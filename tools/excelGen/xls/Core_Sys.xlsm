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星辰\xincheng\trunk\tools\excelGen\xls\"/>
    </mc:Choice>
  </mc:AlternateContent>
  <bookViews>
    <workbookView xWindow="0" yWindow="0" windowWidth="24075" windowHeight="12630" tabRatio="749"/>
  </bookViews>
  <sheets>
    <sheet name="舰队构成规则" sheetId="2" r:id="rId1"/>
    <sheet name="静态数据ID规则" sheetId="16" r:id="rId2"/>
    <sheet name="命名说明" sheetId="15" r:id="rId3"/>
    <sheet name="TECH_BLDG" sheetId="33" r:id="rId4"/>
    <sheet name="TECH_PROD" sheetId="39" r:id="rId5"/>
    <sheet name="BUILDING" sheetId="9" r:id="rId6"/>
    <sheet name="BLDG_FUNC_PARAM" sheetId="41" r:id="rId7"/>
    <sheet name="ITEM_MIN" sheetId="30" r:id="rId8"/>
    <sheet name="ITEM_RES" sheetId="31" r:id="rId9"/>
    <sheet name="SHIP_MOD_TECH" sheetId="3" r:id="rId10"/>
    <sheet name="SMT_AVAIL_HULL_LIST" sheetId="7" r:id="rId11"/>
    <sheet name="SMT_AVAIL_CPNT_LIST" sheetId="8" r:id="rId12"/>
    <sheet name="SHIP_HULL_TECH" sheetId="5" r:id="rId13"/>
    <sheet name="SHIP_CPNT_TECH" sheetId="4" r:id="rId14"/>
    <sheet name="SHIP_TRAIT" sheetId="6" r:id="rId15"/>
    <sheet name="TASK_ONLINE_TIME" sheetId="42" r:id="rId16"/>
    <sheet name="NEW_TABLE" sheetId="25" r:id="rId17"/>
  </sheets>
  <calcPr calcId="152511"/>
</workbook>
</file>

<file path=xl/calcChain.xml><?xml version="1.0" encoding="utf-8"?>
<calcChain xmlns="http://schemas.openxmlformats.org/spreadsheetml/2006/main">
  <c r="A24" i="8" l="1"/>
  <c r="A23" i="8"/>
  <c r="A22" i="8"/>
  <c r="A21" i="8"/>
  <c r="A20" i="8"/>
  <c r="A24" i="7"/>
  <c r="A23" i="7"/>
  <c r="A22" i="7"/>
  <c r="A21" i="7"/>
  <c r="A20" i="7"/>
  <c r="W24" i="3"/>
  <c r="T24" i="3"/>
  <c r="F24" i="3"/>
  <c r="D24" i="3"/>
  <c r="A24" i="3" s="1"/>
  <c r="C24" i="3"/>
  <c r="W23" i="3"/>
  <c r="T23" i="3"/>
  <c r="F23" i="3"/>
  <c r="D23" i="3"/>
  <c r="C23" i="3"/>
  <c r="A23" i="3"/>
  <c r="W22" i="3"/>
  <c r="T22" i="3"/>
  <c r="F22" i="3"/>
  <c r="D22" i="3"/>
  <c r="C22" i="3"/>
  <c r="A22" i="3" s="1"/>
  <c r="W21" i="3"/>
  <c r="T21" i="3"/>
  <c r="F21" i="3"/>
  <c r="D21" i="3"/>
  <c r="C21" i="3"/>
  <c r="A21" i="3"/>
  <c r="W20" i="3"/>
  <c r="T20" i="3"/>
  <c r="F20" i="3"/>
  <c r="D20" i="3"/>
  <c r="A20" i="3" s="1"/>
  <c r="C20" i="3"/>
  <c r="W59" i="3" l="1"/>
  <c r="W58" i="3"/>
  <c r="W57" i="3"/>
  <c r="W56" i="3"/>
  <c r="W55" i="3"/>
  <c r="W54" i="3"/>
  <c r="W53" i="3"/>
  <c r="W52" i="3"/>
  <c r="W51" i="3"/>
  <c r="W50" i="3"/>
  <c r="W49" i="3"/>
  <c r="W48" i="3"/>
  <c r="W47" i="3"/>
  <c r="W46" i="3"/>
  <c r="W45" i="3"/>
  <c r="W44" i="3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DP10" i="5" l="1"/>
  <c r="DP11" i="5"/>
  <c r="DP12" i="5"/>
  <c r="DP13" i="5"/>
  <c r="DP14" i="5"/>
  <c r="DP15" i="5"/>
  <c r="DP16" i="5"/>
  <c r="DP17" i="5"/>
  <c r="DP18" i="5"/>
  <c r="DP19" i="5"/>
  <c r="DP20" i="5"/>
  <c r="DP21" i="5"/>
  <c r="DP22" i="5"/>
  <c r="DP23" i="5"/>
  <c r="DP24" i="5"/>
  <c r="DP25" i="5"/>
  <c r="DP26" i="5"/>
  <c r="DP27" i="5"/>
  <c r="DP28" i="5"/>
  <c r="DP29" i="5"/>
  <c r="DP30" i="5"/>
  <c r="DP31" i="5"/>
  <c r="DP32" i="5"/>
  <c r="DP33" i="5"/>
  <c r="DP34" i="5"/>
  <c r="DP35" i="5"/>
  <c r="DP36" i="5"/>
  <c r="DP37" i="5"/>
  <c r="DP38" i="5"/>
  <c r="DP39" i="5"/>
  <c r="DP40" i="5"/>
  <c r="DP41" i="5"/>
  <c r="DP42" i="5"/>
  <c r="DP43" i="5"/>
  <c r="DP44" i="5"/>
  <c r="DP45" i="5"/>
  <c r="DP46" i="5"/>
  <c r="DL43" i="5" l="1"/>
  <c r="DD43" i="5"/>
  <c r="Z43" i="5"/>
  <c r="L43" i="5"/>
  <c r="G43" i="5" s="1"/>
  <c r="I43" i="5"/>
  <c r="F43" i="5"/>
  <c r="B43" i="5"/>
  <c r="DL42" i="5"/>
  <c r="DD42" i="5"/>
  <c r="Z42" i="5"/>
  <c r="L42" i="5"/>
  <c r="G42" i="5" s="1"/>
  <c r="I42" i="5"/>
  <c r="F42" i="5"/>
  <c r="B42" i="5"/>
  <c r="DL41" i="5"/>
  <c r="DD41" i="5"/>
  <c r="Z41" i="5"/>
  <c r="L41" i="5"/>
  <c r="G41" i="5" s="1"/>
  <c r="I41" i="5"/>
  <c r="F41" i="5"/>
  <c r="B41" i="5"/>
  <c r="D43" i="5" l="1"/>
  <c r="D41" i="5"/>
  <c r="D42" i="5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183" i="9"/>
  <c r="S184" i="9"/>
  <c r="S185" i="9"/>
  <c r="S186" i="9"/>
  <c r="S187" i="9"/>
  <c r="S188" i="9"/>
  <c r="S189" i="9"/>
  <c r="S190" i="9"/>
  <c r="S191" i="9"/>
  <c r="S192" i="9"/>
  <c r="S193" i="9"/>
  <c r="S194" i="9"/>
  <c r="S195" i="9"/>
  <c r="S196" i="9"/>
  <c r="S197" i="9"/>
  <c r="S198" i="9"/>
  <c r="S199" i="9"/>
  <c r="S200" i="9"/>
  <c r="S201" i="9"/>
  <c r="S202" i="9"/>
  <c r="S203" i="9"/>
  <c r="S204" i="9"/>
  <c r="S205" i="9"/>
  <c r="S206" i="9"/>
  <c r="S207" i="9"/>
  <c r="S208" i="9"/>
  <c r="S209" i="9"/>
  <c r="S210" i="9"/>
  <c r="S211" i="9"/>
  <c r="S212" i="9"/>
  <c r="S213" i="9"/>
  <c r="S214" i="9"/>
  <c r="S215" i="9"/>
  <c r="S216" i="9"/>
  <c r="S217" i="9"/>
  <c r="S218" i="9"/>
  <c r="S219" i="9"/>
  <c r="S220" i="9"/>
  <c r="S221" i="9"/>
  <c r="S222" i="9"/>
  <c r="S223" i="9"/>
  <c r="S224" i="9"/>
  <c r="S225" i="9"/>
  <c r="S226" i="9"/>
  <c r="S227" i="9"/>
  <c r="S228" i="9"/>
  <c r="S229" i="9"/>
  <c r="S230" i="9"/>
  <c r="S231" i="9"/>
  <c r="S232" i="9"/>
  <c r="S233" i="9"/>
  <c r="S234" i="9"/>
  <c r="S235" i="9"/>
  <c r="S236" i="9"/>
  <c r="S237" i="9"/>
  <c r="S238" i="9"/>
  <c r="S239" i="9"/>
  <c r="S240" i="9"/>
  <c r="S241" i="9"/>
  <c r="S242" i="9"/>
  <c r="S243" i="9"/>
  <c r="S244" i="9"/>
  <c r="S245" i="9"/>
  <c r="S246" i="9"/>
  <c r="S247" i="9"/>
  <c r="S248" i="9"/>
  <c r="S249" i="9"/>
  <c r="S250" i="9"/>
  <c r="S251" i="9"/>
  <c r="S252" i="9"/>
  <c r="S253" i="9"/>
  <c r="S254" i="9"/>
  <c r="S255" i="9"/>
  <c r="S256" i="9"/>
  <c r="S257" i="9"/>
  <c r="S258" i="9"/>
  <c r="S259" i="9"/>
  <c r="S260" i="9"/>
  <c r="S261" i="9"/>
  <c r="S262" i="9"/>
  <c r="S263" i="9"/>
  <c r="S264" i="9"/>
  <c r="S265" i="9"/>
  <c r="S266" i="9"/>
  <c r="S267" i="9"/>
  <c r="S268" i="9"/>
  <c r="S269" i="9"/>
  <c r="S270" i="9"/>
  <c r="S271" i="9"/>
  <c r="S272" i="9"/>
  <c r="S273" i="9"/>
  <c r="S274" i="9"/>
  <c r="S275" i="9"/>
  <c r="S276" i="9"/>
  <c r="S277" i="9"/>
  <c r="S278" i="9"/>
  <c r="S279" i="9"/>
  <c r="S280" i="9"/>
  <c r="S281" i="9"/>
  <c r="S282" i="9"/>
  <c r="S283" i="9"/>
  <c r="S284" i="9"/>
  <c r="S285" i="9"/>
  <c r="S286" i="9"/>
  <c r="S287" i="9"/>
  <c r="S288" i="9"/>
  <c r="S289" i="9"/>
  <c r="S290" i="9"/>
  <c r="S291" i="9"/>
  <c r="S292" i="9"/>
  <c r="S293" i="9"/>
  <c r="S294" i="9"/>
  <c r="S295" i="9"/>
  <c r="S296" i="9"/>
  <c r="S297" i="9"/>
  <c r="S298" i="9"/>
  <c r="S299" i="9"/>
  <c r="S300" i="9"/>
  <c r="S301" i="9"/>
  <c r="S302" i="9"/>
  <c r="S303" i="9"/>
  <c r="S304" i="9"/>
  <c r="S5" i="9"/>
  <c r="S6" i="33"/>
  <c r="S7" i="33"/>
  <c r="S8" i="33"/>
  <c r="S9" i="33"/>
  <c r="S10" i="33"/>
  <c r="S11" i="33"/>
  <c r="S12" i="33"/>
  <c r="S13" i="33"/>
  <c r="S14" i="33"/>
  <c r="S15" i="33"/>
  <c r="S16" i="33"/>
  <c r="S17" i="33"/>
  <c r="S18" i="33"/>
  <c r="S19" i="33"/>
  <c r="S20" i="33"/>
  <c r="S21" i="33"/>
  <c r="S22" i="33"/>
  <c r="S23" i="33"/>
  <c r="S24" i="33"/>
  <c r="S25" i="33"/>
  <c r="S26" i="33"/>
  <c r="S27" i="33"/>
  <c r="S28" i="33"/>
  <c r="S29" i="33"/>
  <c r="S30" i="33"/>
  <c r="S31" i="33"/>
  <c r="S32" i="33"/>
  <c r="S33" i="33"/>
  <c r="S34" i="33"/>
  <c r="S35" i="33"/>
  <c r="S36" i="33"/>
  <c r="S37" i="33"/>
  <c r="S38" i="33"/>
  <c r="S39" i="33"/>
  <c r="S40" i="33"/>
  <c r="S41" i="33"/>
  <c r="S42" i="33"/>
  <c r="S43" i="33"/>
  <c r="S44" i="33"/>
  <c r="S45" i="33"/>
  <c r="S46" i="33"/>
  <c r="S47" i="33"/>
  <c r="S48" i="33"/>
  <c r="S49" i="33"/>
  <c r="S50" i="33"/>
  <c r="S51" i="33"/>
  <c r="S52" i="33"/>
  <c r="S53" i="33"/>
  <c r="S54" i="33"/>
  <c r="S55" i="33"/>
  <c r="S56" i="33"/>
  <c r="S57" i="33"/>
  <c r="S58" i="33"/>
  <c r="S59" i="33"/>
  <c r="S60" i="33"/>
  <c r="S61" i="33"/>
  <c r="S62" i="33"/>
  <c r="S63" i="33"/>
  <c r="S64" i="33"/>
  <c r="S65" i="33"/>
  <c r="S66" i="33"/>
  <c r="S67" i="33"/>
  <c r="S68" i="33"/>
  <c r="S69" i="33"/>
  <c r="S70" i="33"/>
  <c r="S71" i="33"/>
  <c r="S72" i="33"/>
  <c r="S73" i="33"/>
  <c r="S74" i="33"/>
  <c r="S75" i="33"/>
  <c r="S76" i="33"/>
  <c r="S77" i="33"/>
  <c r="S78" i="33"/>
  <c r="S79" i="33"/>
  <c r="S80" i="33"/>
  <c r="S81" i="33"/>
  <c r="S82" i="33"/>
  <c r="S83" i="33"/>
  <c r="S84" i="33"/>
  <c r="S85" i="33"/>
  <c r="S86" i="33"/>
  <c r="S87" i="33"/>
  <c r="S88" i="33"/>
  <c r="S89" i="33"/>
  <c r="S90" i="33"/>
  <c r="S91" i="33"/>
  <c r="S92" i="33"/>
  <c r="S93" i="33"/>
  <c r="S94" i="33"/>
  <c r="S95" i="33"/>
  <c r="S96" i="33"/>
  <c r="S97" i="33"/>
  <c r="S98" i="33"/>
  <c r="S99" i="33"/>
  <c r="S5" i="33"/>
  <c r="T9" i="39"/>
  <c r="T6" i="39"/>
  <c r="T7" i="39"/>
  <c r="T8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5" i="39"/>
  <c r="R6" i="31" l="1"/>
  <c r="R7" i="31"/>
  <c r="R8" i="31"/>
  <c r="R9" i="31"/>
  <c r="R10" i="31"/>
  <c r="R11" i="31"/>
  <c r="R12" i="31"/>
  <c r="R13" i="31"/>
  <c r="R14" i="31"/>
  <c r="R15" i="31"/>
  <c r="R16" i="31"/>
  <c r="R17" i="31"/>
  <c r="R18" i="31"/>
  <c r="R19" i="31"/>
  <c r="R20" i="31"/>
  <c r="R21" i="31"/>
  <c r="R22" i="31"/>
  <c r="R23" i="31"/>
  <c r="R24" i="31"/>
  <c r="R25" i="31"/>
  <c r="R26" i="31"/>
  <c r="R27" i="31"/>
  <c r="R28" i="31"/>
  <c r="R29" i="31"/>
  <c r="R30" i="31"/>
  <c r="R31" i="31"/>
  <c r="R32" i="31"/>
  <c r="R33" i="31"/>
  <c r="R34" i="31"/>
  <c r="R35" i="31"/>
  <c r="R36" i="31"/>
  <c r="R37" i="31"/>
  <c r="R38" i="31"/>
  <c r="R39" i="31"/>
  <c r="R40" i="31"/>
  <c r="R41" i="31"/>
  <c r="R42" i="31"/>
  <c r="R43" i="31"/>
  <c r="R44" i="31"/>
  <c r="R45" i="31"/>
  <c r="R46" i="31"/>
  <c r="R47" i="31"/>
  <c r="R48" i="31"/>
  <c r="R49" i="31"/>
  <c r="R50" i="31"/>
  <c r="R51" i="31"/>
  <c r="R52" i="31"/>
  <c r="R53" i="31"/>
  <c r="R54" i="31"/>
  <c r="R55" i="31"/>
  <c r="R56" i="31"/>
  <c r="R57" i="31"/>
  <c r="R58" i="31"/>
  <c r="R59" i="31"/>
  <c r="R60" i="31"/>
  <c r="R61" i="31"/>
  <c r="R62" i="31"/>
  <c r="R63" i="31"/>
  <c r="R64" i="31"/>
  <c r="R65" i="31"/>
  <c r="R66" i="31"/>
  <c r="R67" i="31"/>
  <c r="R68" i="31"/>
  <c r="R69" i="31"/>
  <c r="R70" i="31"/>
  <c r="R71" i="31"/>
  <c r="R72" i="31"/>
  <c r="R73" i="31"/>
  <c r="R74" i="31"/>
  <c r="R75" i="31"/>
  <c r="R76" i="31"/>
  <c r="R77" i="31"/>
  <c r="R78" i="31"/>
  <c r="R79" i="31"/>
  <c r="R80" i="31"/>
  <c r="R81" i="31"/>
  <c r="R82" i="31"/>
  <c r="R83" i="31"/>
  <c r="R84" i="31"/>
  <c r="R5" i="31"/>
  <c r="N6" i="30"/>
  <c r="N7" i="30"/>
  <c r="N8" i="30"/>
  <c r="N5" i="30"/>
  <c r="T6" i="3" l="1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5" i="3"/>
  <c r="AG13" i="4"/>
  <c r="I13" i="4"/>
  <c r="F13" i="4"/>
  <c r="B13" i="4"/>
  <c r="AG12" i="4"/>
  <c r="I12" i="4"/>
  <c r="F12" i="4"/>
  <c r="B12" i="4"/>
  <c r="AG10" i="4"/>
  <c r="I10" i="4"/>
  <c r="F10" i="4"/>
  <c r="D10" i="4"/>
  <c r="B10" i="4"/>
  <c r="AG9" i="4"/>
  <c r="I9" i="4"/>
  <c r="D9" i="4" s="1"/>
  <c r="F9" i="4"/>
  <c r="B9" i="4"/>
  <c r="I6" i="4"/>
  <c r="I7" i="4"/>
  <c r="D7" i="4" s="1"/>
  <c r="I8" i="4"/>
  <c r="I11" i="4"/>
  <c r="I5" i="4"/>
  <c r="AG7" i="4"/>
  <c r="F7" i="4"/>
  <c r="B7" i="4"/>
  <c r="AG6" i="4"/>
  <c r="F6" i="4"/>
  <c r="B6" i="4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4" i="5"/>
  <c r="Z45" i="5"/>
  <c r="Z46" i="5"/>
  <c r="Z5" i="5"/>
  <c r="DD46" i="5"/>
  <c r="L46" i="5"/>
  <c r="G46" i="5" s="1"/>
  <c r="I46" i="5"/>
  <c r="F46" i="5"/>
  <c r="B46" i="5"/>
  <c r="DD45" i="5"/>
  <c r="L45" i="5"/>
  <c r="G45" i="5" s="1"/>
  <c r="I45" i="5"/>
  <c r="F45" i="5"/>
  <c r="B45" i="5"/>
  <c r="DD40" i="5"/>
  <c r="L40" i="5"/>
  <c r="G40" i="5" s="1"/>
  <c r="I40" i="5"/>
  <c r="F40" i="5"/>
  <c r="B40" i="5"/>
  <c r="DD39" i="5"/>
  <c r="L39" i="5"/>
  <c r="G39" i="5" s="1"/>
  <c r="I39" i="5"/>
  <c r="F39" i="5"/>
  <c r="B39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DD37" i="5"/>
  <c r="L37" i="5"/>
  <c r="G37" i="5" s="1"/>
  <c r="I37" i="5"/>
  <c r="F37" i="5"/>
  <c r="B37" i="5"/>
  <c r="DD36" i="5"/>
  <c r="L36" i="5"/>
  <c r="G36" i="5" s="1"/>
  <c r="I36" i="5"/>
  <c r="F36" i="5"/>
  <c r="B36" i="5"/>
  <c r="D13" i="4" l="1"/>
  <c r="D12" i="4"/>
  <c r="D6" i="4"/>
  <c r="D40" i="5"/>
  <c r="D45" i="5"/>
  <c r="D46" i="5"/>
  <c r="D36" i="5"/>
  <c r="D37" i="5"/>
  <c r="D39" i="5"/>
  <c r="DD38" i="5"/>
  <c r="L38" i="5"/>
  <c r="G38" i="5" s="1"/>
  <c r="I38" i="5"/>
  <c r="F38" i="5"/>
  <c r="B38" i="5"/>
  <c r="D38" i="5" l="1"/>
  <c r="BC414" i="39"/>
  <c r="AT414" i="39"/>
  <c r="AB414" i="39"/>
  <c r="V414" i="39"/>
  <c r="F414" i="39"/>
  <c r="C414" i="39"/>
  <c r="I414" i="39" s="1"/>
  <c r="A414" i="39"/>
  <c r="BC413" i="39"/>
  <c r="AT413" i="39"/>
  <c r="AB413" i="39"/>
  <c r="V413" i="39"/>
  <c r="F413" i="39"/>
  <c r="C413" i="39"/>
  <c r="I413" i="39" s="1"/>
  <c r="A413" i="39"/>
  <c r="BC412" i="39"/>
  <c r="AT412" i="39"/>
  <c r="AB412" i="39"/>
  <c r="V412" i="39"/>
  <c r="F412" i="39"/>
  <c r="C412" i="39"/>
  <c r="I412" i="39" s="1"/>
  <c r="BC411" i="39"/>
  <c r="AT411" i="39"/>
  <c r="AB411" i="39"/>
  <c r="V411" i="39"/>
  <c r="F411" i="39"/>
  <c r="C411" i="39"/>
  <c r="I411" i="39" s="1"/>
  <c r="BC410" i="39"/>
  <c r="AT410" i="39"/>
  <c r="AB410" i="39"/>
  <c r="V410" i="39"/>
  <c r="F410" i="39"/>
  <c r="C410" i="39"/>
  <c r="I410" i="39" s="1"/>
  <c r="BC409" i="39"/>
  <c r="AT409" i="39"/>
  <c r="AB409" i="39"/>
  <c r="V409" i="39"/>
  <c r="F409" i="39"/>
  <c r="C409" i="39"/>
  <c r="I409" i="39" s="1"/>
  <c r="BC408" i="39"/>
  <c r="AT408" i="39"/>
  <c r="AB408" i="39"/>
  <c r="V408" i="39"/>
  <c r="F408" i="39"/>
  <c r="C408" i="39"/>
  <c r="I408" i="39" s="1"/>
  <c r="BC407" i="39"/>
  <c r="AT407" i="39"/>
  <c r="AB407" i="39"/>
  <c r="V407" i="39"/>
  <c r="F407" i="39"/>
  <c r="C407" i="39"/>
  <c r="I407" i="39" s="1"/>
  <c r="BC406" i="39"/>
  <c r="AT406" i="39"/>
  <c r="AB406" i="39"/>
  <c r="V406" i="39"/>
  <c r="F406" i="39"/>
  <c r="C406" i="39"/>
  <c r="I406" i="39" s="1"/>
  <c r="BC405" i="39"/>
  <c r="AT405" i="39"/>
  <c r="AB405" i="39"/>
  <c r="V405" i="39"/>
  <c r="F405" i="39"/>
  <c r="C405" i="39"/>
  <c r="I405" i="39" s="1"/>
  <c r="BC404" i="39"/>
  <c r="AT404" i="39"/>
  <c r="AB404" i="39"/>
  <c r="V404" i="39"/>
  <c r="F404" i="39"/>
  <c r="C404" i="39"/>
  <c r="I404" i="39" s="1"/>
  <c r="BC403" i="39"/>
  <c r="AT403" i="39"/>
  <c r="AB403" i="39"/>
  <c r="V403" i="39"/>
  <c r="F403" i="39"/>
  <c r="C403" i="39"/>
  <c r="I403" i="39" s="1"/>
  <c r="BC402" i="39"/>
  <c r="AT402" i="39"/>
  <c r="AB402" i="39"/>
  <c r="V402" i="39"/>
  <c r="F402" i="39"/>
  <c r="C402" i="39"/>
  <c r="I402" i="39" s="1"/>
  <c r="BC401" i="39"/>
  <c r="AT401" i="39"/>
  <c r="AB401" i="39"/>
  <c r="V401" i="39"/>
  <c r="F401" i="39"/>
  <c r="C401" i="39"/>
  <c r="I401" i="39" s="1"/>
  <c r="BC400" i="39"/>
  <c r="AT400" i="39"/>
  <c r="AB400" i="39"/>
  <c r="V400" i="39"/>
  <c r="F400" i="39"/>
  <c r="C400" i="39"/>
  <c r="I400" i="39" s="1"/>
  <c r="BC399" i="39"/>
  <c r="AT399" i="39"/>
  <c r="AB399" i="39"/>
  <c r="V399" i="39"/>
  <c r="F399" i="39"/>
  <c r="C399" i="39"/>
  <c r="I399" i="39" s="1"/>
  <c r="BC398" i="39"/>
  <c r="AT398" i="39"/>
  <c r="AB398" i="39"/>
  <c r="V398" i="39"/>
  <c r="F398" i="39"/>
  <c r="C398" i="39"/>
  <c r="I398" i="39" s="1"/>
  <c r="BC397" i="39"/>
  <c r="AT397" i="39"/>
  <c r="AB397" i="39"/>
  <c r="V397" i="39"/>
  <c r="F397" i="39"/>
  <c r="C397" i="39"/>
  <c r="I397" i="39" s="1"/>
  <c r="BC396" i="39"/>
  <c r="AT396" i="39"/>
  <c r="AB396" i="39"/>
  <c r="V396" i="39"/>
  <c r="F396" i="39"/>
  <c r="C396" i="39"/>
  <c r="I396" i="39" s="1"/>
  <c r="BC395" i="39"/>
  <c r="AT395" i="39"/>
  <c r="AB395" i="39"/>
  <c r="V395" i="39"/>
  <c r="F395" i="39"/>
  <c r="C395" i="39"/>
  <c r="I395" i="39" s="1"/>
  <c r="BC394" i="39"/>
  <c r="AT394" i="39"/>
  <c r="AB394" i="39"/>
  <c r="V394" i="39"/>
  <c r="F394" i="39"/>
  <c r="C394" i="39"/>
  <c r="I394" i="39" s="1"/>
  <c r="BC393" i="39"/>
  <c r="AT393" i="39"/>
  <c r="AB393" i="39"/>
  <c r="V393" i="39"/>
  <c r="F393" i="39"/>
  <c r="C393" i="39"/>
  <c r="I393" i="39" s="1"/>
  <c r="BC392" i="39"/>
  <c r="AT392" i="39"/>
  <c r="AB392" i="39"/>
  <c r="V392" i="39"/>
  <c r="F392" i="39"/>
  <c r="C392" i="39"/>
  <c r="A392" i="39" s="1"/>
  <c r="BC391" i="39"/>
  <c r="AT391" i="39"/>
  <c r="AB391" i="39"/>
  <c r="V391" i="39"/>
  <c r="F391" i="39"/>
  <c r="C391" i="39"/>
  <c r="I391" i="39" s="1"/>
  <c r="BC390" i="39"/>
  <c r="AT390" i="39"/>
  <c r="AB390" i="39"/>
  <c r="V390" i="39"/>
  <c r="F390" i="39"/>
  <c r="C390" i="39"/>
  <c r="I390" i="39" s="1"/>
  <c r="BC379" i="39"/>
  <c r="AT379" i="39"/>
  <c r="AB379" i="39"/>
  <c r="V379" i="39"/>
  <c r="F379" i="39"/>
  <c r="C379" i="39"/>
  <c r="I379" i="39" s="1"/>
  <c r="BC378" i="39"/>
  <c r="AT378" i="39"/>
  <c r="AB378" i="39"/>
  <c r="V378" i="39"/>
  <c r="F378" i="39"/>
  <c r="C378" i="39"/>
  <c r="I378" i="39" s="1"/>
  <c r="BC377" i="39"/>
  <c r="AT377" i="39"/>
  <c r="AB377" i="39"/>
  <c r="V377" i="39"/>
  <c r="F377" i="39"/>
  <c r="C377" i="39"/>
  <c r="I377" i="39" s="1"/>
  <c r="BC376" i="39"/>
  <c r="AT376" i="39"/>
  <c r="AB376" i="39"/>
  <c r="V376" i="39"/>
  <c r="F376" i="39"/>
  <c r="C376" i="39"/>
  <c r="I376" i="39" s="1"/>
  <c r="BC375" i="39"/>
  <c r="AT375" i="39"/>
  <c r="AB375" i="39"/>
  <c r="V375" i="39"/>
  <c r="F375" i="39"/>
  <c r="C375" i="39"/>
  <c r="I375" i="39" s="1"/>
  <c r="BC374" i="39"/>
  <c r="AT374" i="39"/>
  <c r="AB374" i="39"/>
  <c r="V374" i="39"/>
  <c r="F374" i="39"/>
  <c r="C374" i="39"/>
  <c r="I374" i="39" s="1"/>
  <c r="BC373" i="39"/>
  <c r="AT373" i="39"/>
  <c r="AB373" i="39"/>
  <c r="V373" i="39"/>
  <c r="F373" i="39"/>
  <c r="C373" i="39"/>
  <c r="I373" i="39" s="1"/>
  <c r="BC372" i="39"/>
  <c r="AT372" i="39"/>
  <c r="AB372" i="39"/>
  <c r="V372" i="39"/>
  <c r="F372" i="39"/>
  <c r="C372" i="39"/>
  <c r="I372" i="39" s="1"/>
  <c r="BC371" i="39"/>
  <c r="AT371" i="39"/>
  <c r="AB371" i="39"/>
  <c r="V371" i="39"/>
  <c r="F371" i="39"/>
  <c r="C371" i="39"/>
  <c r="I371" i="39" s="1"/>
  <c r="BC370" i="39"/>
  <c r="AT370" i="39"/>
  <c r="AB370" i="39"/>
  <c r="V370" i="39"/>
  <c r="F370" i="39"/>
  <c r="C370" i="39"/>
  <c r="I370" i="39" s="1"/>
  <c r="BC369" i="39"/>
  <c r="AT369" i="39"/>
  <c r="AB369" i="39"/>
  <c r="V369" i="39"/>
  <c r="F369" i="39"/>
  <c r="C369" i="39"/>
  <c r="I369" i="39" s="1"/>
  <c r="BC368" i="39"/>
  <c r="AT368" i="39"/>
  <c r="AB368" i="39"/>
  <c r="V368" i="39"/>
  <c r="F368" i="39"/>
  <c r="C368" i="39"/>
  <c r="I368" i="39" s="1"/>
  <c r="BC367" i="39"/>
  <c r="AT367" i="39"/>
  <c r="AB367" i="39"/>
  <c r="V367" i="39"/>
  <c r="F367" i="39"/>
  <c r="C367" i="39"/>
  <c r="I367" i="39" s="1"/>
  <c r="BC366" i="39"/>
  <c r="AT366" i="39"/>
  <c r="AB366" i="39"/>
  <c r="V366" i="39"/>
  <c r="F366" i="39"/>
  <c r="C366" i="39"/>
  <c r="I366" i="39" s="1"/>
  <c r="BC365" i="39"/>
  <c r="AT365" i="39"/>
  <c r="AB365" i="39"/>
  <c r="V365" i="39"/>
  <c r="F365" i="39"/>
  <c r="C365" i="39"/>
  <c r="I365" i="39" s="1"/>
  <c r="BC364" i="39"/>
  <c r="AT364" i="39"/>
  <c r="AB364" i="39"/>
  <c r="V364" i="39"/>
  <c r="F364" i="39"/>
  <c r="C364" i="39"/>
  <c r="I364" i="39" s="1"/>
  <c r="BC363" i="39"/>
  <c r="AT363" i="39"/>
  <c r="AB363" i="39"/>
  <c r="V363" i="39"/>
  <c r="F363" i="39"/>
  <c r="C363" i="39"/>
  <c r="I363" i="39" s="1"/>
  <c r="BC362" i="39"/>
  <c r="AT362" i="39"/>
  <c r="AB362" i="39"/>
  <c r="V362" i="39"/>
  <c r="F362" i="39"/>
  <c r="C362" i="39"/>
  <c r="I362" i="39" s="1"/>
  <c r="BC361" i="39"/>
  <c r="AT361" i="39"/>
  <c r="AB361" i="39"/>
  <c r="V361" i="39"/>
  <c r="F361" i="39"/>
  <c r="C361" i="39"/>
  <c r="I361" i="39" s="1"/>
  <c r="BC360" i="39"/>
  <c r="AT360" i="39"/>
  <c r="AB360" i="39"/>
  <c r="V360" i="39"/>
  <c r="F360" i="39"/>
  <c r="C360" i="39"/>
  <c r="I360" i="39" s="1"/>
  <c r="BC359" i="39"/>
  <c r="AT359" i="39"/>
  <c r="AB359" i="39"/>
  <c r="V359" i="39"/>
  <c r="F359" i="39"/>
  <c r="C359" i="39"/>
  <c r="I359" i="39" s="1"/>
  <c r="BC358" i="39"/>
  <c r="AT358" i="39"/>
  <c r="AB358" i="39"/>
  <c r="V358" i="39"/>
  <c r="F358" i="39"/>
  <c r="C358" i="39"/>
  <c r="I358" i="39" s="1"/>
  <c r="BC357" i="39"/>
  <c r="AT357" i="39"/>
  <c r="AB357" i="39"/>
  <c r="V357" i="39"/>
  <c r="F357" i="39"/>
  <c r="C357" i="39"/>
  <c r="I357" i="39" s="1"/>
  <c r="BC356" i="39"/>
  <c r="AT356" i="39"/>
  <c r="AB356" i="39"/>
  <c r="V356" i="39"/>
  <c r="F356" i="39"/>
  <c r="C356" i="39"/>
  <c r="I356" i="39" s="1"/>
  <c r="BC355" i="39"/>
  <c r="AT355" i="39"/>
  <c r="AB355" i="39"/>
  <c r="V355" i="39"/>
  <c r="F355" i="39"/>
  <c r="C355" i="39"/>
  <c r="I355" i="39" s="1"/>
  <c r="BC349" i="39"/>
  <c r="AT349" i="39"/>
  <c r="AB349" i="39"/>
  <c r="V349" i="39"/>
  <c r="F349" i="39"/>
  <c r="C349" i="39"/>
  <c r="I349" i="39" s="1"/>
  <c r="BC348" i="39"/>
  <c r="AT348" i="39"/>
  <c r="AB348" i="39"/>
  <c r="V348" i="39"/>
  <c r="F348" i="39"/>
  <c r="C348" i="39"/>
  <c r="I348" i="39" s="1"/>
  <c r="BC347" i="39"/>
  <c r="AT347" i="39"/>
  <c r="AB347" i="39"/>
  <c r="V347" i="39"/>
  <c r="F347" i="39"/>
  <c r="C347" i="39"/>
  <c r="I347" i="39" s="1"/>
  <c r="BC346" i="39"/>
  <c r="AT346" i="39"/>
  <c r="AB346" i="39"/>
  <c r="V346" i="39"/>
  <c r="F346" i="39"/>
  <c r="C346" i="39"/>
  <c r="I346" i="39" s="1"/>
  <c r="BC345" i="39"/>
  <c r="AT345" i="39"/>
  <c r="AB345" i="39"/>
  <c r="V345" i="39"/>
  <c r="F345" i="39"/>
  <c r="C345" i="39"/>
  <c r="I345" i="39" s="1"/>
  <c r="BC344" i="39"/>
  <c r="AT344" i="39"/>
  <c r="AB344" i="39"/>
  <c r="V344" i="39"/>
  <c r="F344" i="39"/>
  <c r="C344" i="39"/>
  <c r="I344" i="39" s="1"/>
  <c r="BC343" i="39"/>
  <c r="AT343" i="39"/>
  <c r="AB343" i="39"/>
  <c r="V343" i="39"/>
  <c r="F343" i="39"/>
  <c r="C343" i="39"/>
  <c r="I343" i="39" s="1"/>
  <c r="BC342" i="39"/>
  <c r="AT342" i="39"/>
  <c r="AB342" i="39"/>
  <c r="V342" i="39"/>
  <c r="F342" i="39"/>
  <c r="C342" i="39"/>
  <c r="I342" i="39" s="1"/>
  <c r="BC341" i="39"/>
  <c r="AT341" i="39"/>
  <c r="AB341" i="39"/>
  <c r="V341" i="39"/>
  <c r="F341" i="39"/>
  <c r="C341" i="39"/>
  <c r="I341" i="39" s="1"/>
  <c r="BC340" i="39"/>
  <c r="AT340" i="39"/>
  <c r="AB340" i="39"/>
  <c r="V340" i="39"/>
  <c r="F340" i="39"/>
  <c r="C340" i="39"/>
  <c r="I340" i="39" s="1"/>
  <c r="BC339" i="39"/>
  <c r="AT339" i="39"/>
  <c r="AB339" i="39"/>
  <c r="V339" i="39"/>
  <c r="F339" i="39"/>
  <c r="C339" i="39"/>
  <c r="I339" i="39" s="1"/>
  <c r="BC338" i="39"/>
  <c r="AT338" i="39"/>
  <c r="AB338" i="39"/>
  <c r="V338" i="39"/>
  <c r="F338" i="39"/>
  <c r="C338" i="39"/>
  <c r="I338" i="39" s="1"/>
  <c r="BC337" i="39"/>
  <c r="AT337" i="39"/>
  <c r="AB337" i="39"/>
  <c r="V337" i="39"/>
  <c r="F337" i="39"/>
  <c r="C337" i="39"/>
  <c r="I337" i="39" s="1"/>
  <c r="BC336" i="39"/>
  <c r="AT336" i="39"/>
  <c r="AB336" i="39"/>
  <c r="V336" i="39"/>
  <c r="F336" i="39"/>
  <c r="C336" i="39"/>
  <c r="I336" i="39" s="1"/>
  <c r="BC335" i="39"/>
  <c r="AT335" i="39"/>
  <c r="AB335" i="39"/>
  <c r="V335" i="39"/>
  <c r="F335" i="39"/>
  <c r="C335" i="39"/>
  <c r="I335" i="39" s="1"/>
  <c r="BC334" i="39"/>
  <c r="AT334" i="39"/>
  <c r="AB334" i="39"/>
  <c r="V334" i="39"/>
  <c r="F334" i="39"/>
  <c r="C334" i="39"/>
  <c r="I334" i="39" s="1"/>
  <c r="BC333" i="39"/>
  <c r="AT333" i="39"/>
  <c r="AB333" i="39"/>
  <c r="V333" i="39"/>
  <c r="F333" i="39"/>
  <c r="C333" i="39"/>
  <c r="I333" i="39" s="1"/>
  <c r="BC332" i="39"/>
  <c r="AT332" i="39"/>
  <c r="AB332" i="39"/>
  <c r="V332" i="39"/>
  <c r="F332" i="39"/>
  <c r="C332" i="39"/>
  <c r="I332" i="39" s="1"/>
  <c r="BC331" i="39"/>
  <c r="AT331" i="39"/>
  <c r="AB331" i="39"/>
  <c r="V331" i="39"/>
  <c r="F331" i="39"/>
  <c r="C331" i="39"/>
  <c r="I331" i="39" s="1"/>
  <c r="BC330" i="39"/>
  <c r="AT330" i="39"/>
  <c r="AB330" i="39"/>
  <c r="V330" i="39"/>
  <c r="F330" i="39"/>
  <c r="C330" i="39"/>
  <c r="I330" i="39" s="1"/>
  <c r="BC329" i="39"/>
  <c r="AT329" i="39"/>
  <c r="AB329" i="39"/>
  <c r="V329" i="39"/>
  <c r="F329" i="39"/>
  <c r="C329" i="39"/>
  <c r="I329" i="39" s="1"/>
  <c r="BC328" i="39"/>
  <c r="AT328" i="39"/>
  <c r="AB328" i="39"/>
  <c r="V328" i="39"/>
  <c r="F328" i="39"/>
  <c r="C328" i="39"/>
  <c r="I328" i="39" s="1"/>
  <c r="BC327" i="39"/>
  <c r="AT327" i="39"/>
  <c r="AB327" i="39"/>
  <c r="V327" i="39"/>
  <c r="F327" i="39"/>
  <c r="C327" i="39"/>
  <c r="I327" i="39" s="1"/>
  <c r="BC326" i="39"/>
  <c r="AT326" i="39"/>
  <c r="AB326" i="39"/>
  <c r="V326" i="39"/>
  <c r="F326" i="39"/>
  <c r="C326" i="39"/>
  <c r="I326" i="39" s="1"/>
  <c r="BC325" i="39"/>
  <c r="AT325" i="39"/>
  <c r="AB325" i="39"/>
  <c r="V325" i="39"/>
  <c r="F325" i="39"/>
  <c r="C325" i="39"/>
  <c r="I325" i="39" s="1"/>
  <c r="BC319" i="39"/>
  <c r="AT319" i="39"/>
  <c r="AB319" i="39"/>
  <c r="V319" i="39"/>
  <c r="F319" i="39"/>
  <c r="C319" i="39"/>
  <c r="I319" i="39" s="1"/>
  <c r="BC318" i="39"/>
  <c r="AT318" i="39"/>
  <c r="AB318" i="39"/>
  <c r="V318" i="39"/>
  <c r="F318" i="39"/>
  <c r="C318" i="39"/>
  <c r="I318" i="39" s="1"/>
  <c r="BC317" i="39"/>
  <c r="AT317" i="39"/>
  <c r="AB317" i="39"/>
  <c r="V317" i="39"/>
  <c r="F317" i="39"/>
  <c r="C317" i="39"/>
  <c r="I317" i="39" s="1"/>
  <c r="BC316" i="39"/>
  <c r="AT316" i="39"/>
  <c r="AB316" i="39"/>
  <c r="V316" i="39"/>
  <c r="F316" i="39"/>
  <c r="C316" i="39"/>
  <c r="I316" i="39" s="1"/>
  <c r="BC315" i="39"/>
  <c r="AT315" i="39"/>
  <c r="AB315" i="39"/>
  <c r="V315" i="39"/>
  <c r="F315" i="39"/>
  <c r="C315" i="39"/>
  <c r="I315" i="39" s="1"/>
  <c r="BC314" i="39"/>
  <c r="AT314" i="39"/>
  <c r="AB314" i="39"/>
  <c r="V314" i="39"/>
  <c r="F314" i="39"/>
  <c r="C314" i="39"/>
  <c r="I314" i="39" s="1"/>
  <c r="BC313" i="39"/>
  <c r="AT313" i="39"/>
  <c r="AB313" i="39"/>
  <c r="V313" i="39"/>
  <c r="F313" i="39"/>
  <c r="C313" i="39"/>
  <c r="I313" i="39" s="1"/>
  <c r="BC312" i="39"/>
  <c r="AT312" i="39"/>
  <c r="AB312" i="39"/>
  <c r="V312" i="39"/>
  <c r="F312" i="39"/>
  <c r="C312" i="39"/>
  <c r="I312" i="39" s="1"/>
  <c r="BC311" i="39"/>
  <c r="AT311" i="39"/>
  <c r="AB311" i="39"/>
  <c r="V311" i="39"/>
  <c r="F311" i="39"/>
  <c r="C311" i="39"/>
  <c r="I311" i="39" s="1"/>
  <c r="BC310" i="39"/>
  <c r="AT310" i="39"/>
  <c r="AB310" i="39"/>
  <c r="V310" i="39"/>
  <c r="F310" i="39"/>
  <c r="C310" i="39"/>
  <c r="I310" i="39" s="1"/>
  <c r="BC309" i="39"/>
  <c r="AT309" i="39"/>
  <c r="AB309" i="39"/>
  <c r="V309" i="39"/>
  <c r="F309" i="39"/>
  <c r="C309" i="39"/>
  <c r="I309" i="39" s="1"/>
  <c r="BC308" i="39"/>
  <c r="AT308" i="39"/>
  <c r="AB308" i="39"/>
  <c r="V308" i="39"/>
  <c r="F308" i="39"/>
  <c r="C308" i="39"/>
  <c r="I308" i="39" s="1"/>
  <c r="BC307" i="39"/>
  <c r="AT307" i="39"/>
  <c r="AB307" i="39"/>
  <c r="V307" i="39"/>
  <c r="F307" i="39"/>
  <c r="C307" i="39"/>
  <c r="I307" i="39" s="1"/>
  <c r="BC306" i="39"/>
  <c r="AT306" i="39"/>
  <c r="AB306" i="39"/>
  <c r="V306" i="39"/>
  <c r="F306" i="39"/>
  <c r="C306" i="39"/>
  <c r="I306" i="39" s="1"/>
  <c r="BC305" i="39"/>
  <c r="AT305" i="39"/>
  <c r="AB305" i="39"/>
  <c r="V305" i="39"/>
  <c r="F305" i="39"/>
  <c r="C305" i="39"/>
  <c r="I305" i="39" s="1"/>
  <c r="BC304" i="39"/>
  <c r="AT304" i="39"/>
  <c r="AB304" i="39"/>
  <c r="V304" i="39"/>
  <c r="F304" i="39"/>
  <c r="C304" i="39"/>
  <c r="I304" i="39" s="1"/>
  <c r="BC303" i="39"/>
  <c r="AT303" i="39"/>
  <c r="AB303" i="39"/>
  <c r="V303" i="39"/>
  <c r="F303" i="39"/>
  <c r="C303" i="39"/>
  <c r="I303" i="39" s="1"/>
  <c r="BC302" i="39"/>
  <c r="AT302" i="39"/>
  <c r="AB302" i="39"/>
  <c r="V302" i="39"/>
  <c r="F302" i="39"/>
  <c r="C302" i="39"/>
  <c r="I302" i="39" s="1"/>
  <c r="BC301" i="39"/>
  <c r="AT301" i="39"/>
  <c r="AB301" i="39"/>
  <c r="V301" i="39"/>
  <c r="F301" i="39"/>
  <c r="C301" i="39"/>
  <c r="I301" i="39" s="1"/>
  <c r="BC300" i="39"/>
  <c r="AT300" i="39"/>
  <c r="AB300" i="39"/>
  <c r="V300" i="39"/>
  <c r="F300" i="39"/>
  <c r="C300" i="39"/>
  <c r="I300" i="39" s="1"/>
  <c r="BC299" i="39"/>
  <c r="AT299" i="39"/>
  <c r="AB299" i="39"/>
  <c r="V299" i="39"/>
  <c r="F299" i="39"/>
  <c r="C299" i="39"/>
  <c r="I299" i="39" s="1"/>
  <c r="BC298" i="39"/>
  <c r="AT298" i="39"/>
  <c r="AB298" i="39"/>
  <c r="V298" i="39"/>
  <c r="F298" i="39"/>
  <c r="C298" i="39"/>
  <c r="I298" i="39" s="1"/>
  <c r="BC297" i="39"/>
  <c r="AT297" i="39"/>
  <c r="AB297" i="39"/>
  <c r="V297" i="39"/>
  <c r="F297" i="39"/>
  <c r="C297" i="39"/>
  <c r="I297" i="39" s="1"/>
  <c r="BC296" i="39"/>
  <c r="AT296" i="39"/>
  <c r="AB296" i="39"/>
  <c r="V296" i="39"/>
  <c r="F296" i="39"/>
  <c r="C296" i="39"/>
  <c r="I296" i="39" s="1"/>
  <c r="BC295" i="39"/>
  <c r="AT295" i="39"/>
  <c r="AB295" i="39"/>
  <c r="V295" i="39"/>
  <c r="F295" i="39"/>
  <c r="C295" i="39"/>
  <c r="I295" i="39" s="1"/>
  <c r="BC289" i="39"/>
  <c r="AT289" i="39"/>
  <c r="AB289" i="39"/>
  <c r="V289" i="39"/>
  <c r="F289" i="39"/>
  <c r="C289" i="39"/>
  <c r="I289" i="39" s="1"/>
  <c r="BC288" i="39"/>
  <c r="AT288" i="39"/>
  <c r="AB288" i="39"/>
  <c r="V288" i="39"/>
  <c r="F288" i="39"/>
  <c r="C288" i="39"/>
  <c r="I288" i="39" s="1"/>
  <c r="BC287" i="39"/>
  <c r="AT287" i="39"/>
  <c r="AB287" i="39"/>
  <c r="V287" i="39"/>
  <c r="F287" i="39"/>
  <c r="C287" i="39"/>
  <c r="I287" i="39" s="1"/>
  <c r="BC286" i="39"/>
  <c r="AT286" i="39"/>
  <c r="AB286" i="39"/>
  <c r="V286" i="39"/>
  <c r="F286" i="39"/>
  <c r="C286" i="39"/>
  <c r="I286" i="39" s="1"/>
  <c r="BC285" i="39"/>
  <c r="AT285" i="39"/>
  <c r="AB285" i="39"/>
  <c r="V285" i="39"/>
  <c r="F285" i="39"/>
  <c r="C285" i="39"/>
  <c r="I285" i="39" s="1"/>
  <c r="BC284" i="39"/>
  <c r="AT284" i="39"/>
  <c r="AB284" i="39"/>
  <c r="V284" i="39"/>
  <c r="F284" i="39"/>
  <c r="C284" i="39"/>
  <c r="I284" i="39" s="1"/>
  <c r="BC283" i="39"/>
  <c r="AT283" i="39"/>
  <c r="AB283" i="39"/>
  <c r="V283" i="39"/>
  <c r="F283" i="39"/>
  <c r="C283" i="39"/>
  <c r="I283" i="39" s="1"/>
  <c r="BC282" i="39"/>
  <c r="AT282" i="39"/>
  <c r="AB282" i="39"/>
  <c r="V282" i="39"/>
  <c r="F282" i="39"/>
  <c r="C282" i="39"/>
  <c r="I282" i="39" s="1"/>
  <c r="BC281" i="39"/>
  <c r="AT281" i="39"/>
  <c r="AB281" i="39"/>
  <c r="V281" i="39"/>
  <c r="F281" i="39"/>
  <c r="C281" i="39"/>
  <c r="I281" i="39" s="1"/>
  <c r="BC280" i="39"/>
  <c r="AT280" i="39"/>
  <c r="AB280" i="39"/>
  <c r="V280" i="39"/>
  <c r="F280" i="39"/>
  <c r="C280" i="39"/>
  <c r="I280" i="39" s="1"/>
  <c r="BC279" i="39"/>
  <c r="AT279" i="39"/>
  <c r="AB279" i="39"/>
  <c r="V279" i="39"/>
  <c r="F279" i="39"/>
  <c r="C279" i="39"/>
  <c r="I279" i="39" s="1"/>
  <c r="BC278" i="39"/>
  <c r="AT278" i="39"/>
  <c r="AB278" i="39"/>
  <c r="V278" i="39"/>
  <c r="F278" i="39"/>
  <c r="C278" i="39"/>
  <c r="I278" i="39" s="1"/>
  <c r="BC277" i="39"/>
  <c r="AT277" i="39"/>
  <c r="AB277" i="39"/>
  <c r="V277" i="39"/>
  <c r="F277" i="39"/>
  <c r="C277" i="39"/>
  <c r="I277" i="39" s="1"/>
  <c r="BC276" i="39"/>
  <c r="AT276" i="39"/>
  <c r="AB276" i="39"/>
  <c r="V276" i="39"/>
  <c r="F276" i="39"/>
  <c r="C276" i="39"/>
  <c r="I276" i="39" s="1"/>
  <c r="BC275" i="39"/>
  <c r="AT275" i="39"/>
  <c r="AB275" i="39"/>
  <c r="V275" i="39"/>
  <c r="F275" i="39"/>
  <c r="C275" i="39"/>
  <c r="I275" i="39" s="1"/>
  <c r="BC274" i="39"/>
  <c r="AT274" i="39"/>
  <c r="AB274" i="39"/>
  <c r="V274" i="39"/>
  <c r="F274" i="39"/>
  <c r="C274" i="39"/>
  <c r="I274" i="39" s="1"/>
  <c r="BC273" i="39"/>
  <c r="AT273" i="39"/>
  <c r="AB273" i="39"/>
  <c r="V273" i="39"/>
  <c r="F273" i="39"/>
  <c r="C273" i="39"/>
  <c r="I273" i="39" s="1"/>
  <c r="BC272" i="39"/>
  <c r="AT272" i="39"/>
  <c r="AB272" i="39"/>
  <c r="V272" i="39"/>
  <c r="F272" i="39"/>
  <c r="C272" i="39"/>
  <c r="I272" i="39" s="1"/>
  <c r="BC271" i="39"/>
  <c r="AT271" i="39"/>
  <c r="AB271" i="39"/>
  <c r="V271" i="39"/>
  <c r="F271" i="39"/>
  <c r="C271" i="39"/>
  <c r="I271" i="39" s="1"/>
  <c r="BC270" i="39"/>
  <c r="AT270" i="39"/>
  <c r="AB270" i="39"/>
  <c r="V270" i="39"/>
  <c r="F270" i="39"/>
  <c r="C270" i="39"/>
  <c r="I270" i="39" s="1"/>
  <c r="BC269" i="39"/>
  <c r="AT269" i="39"/>
  <c r="AB269" i="39"/>
  <c r="V269" i="39"/>
  <c r="F269" i="39"/>
  <c r="C269" i="39"/>
  <c r="I269" i="39" s="1"/>
  <c r="BC268" i="39"/>
  <c r="AT268" i="39"/>
  <c r="AB268" i="39"/>
  <c r="V268" i="39"/>
  <c r="F268" i="39"/>
  <c r="C268" i="39"/>
  <c r="I268" i="39" s="1"/>
  <c r="BC267" i="39"/>
  <c r="AT267" i="39"/>
  <c r="AB267" i="39"/>
  <c r="V267" i="39"/>
  <c r="F267" i="39"/>
  <c r="C267" i="39"/>
  <c r="I267" i="39" s="1"/>
  <c r="BC266" i="39"/>
  <c r="AT266" i="39"/>
  <c r="AB266" i="39"/>
  <c r="V266" i="39"/>
  <c r="F266" i="39"/>
  <c r="C266" i="39"/>
  <c r="I266" i="39" s="1"/>
  <c r="BC265" i="39"/>
  <c r="AT265" i="39"/>
  <c r="AB265" i="39"/>
  <c r="V265" i="39"/>
  <c r="F265" i="39"/>
  <c r="C265" i="39"/>
  <c r="I265" i="39" s="1"/>
  <c r="BC259" i="39"/>
  <c r="AT259" i="39"/>
  <c r="AB259" i="39"/>
  <c r="V259" i="39"/>
  <c r="F259" i="39"/>
  <c r="C259" i="39"/>
  <c r="I259" i="39" s="1"/>
  <c r="BC258" i="39"/>
  <c r="AT258" i="39"/>
  <c r="AB258" i="39"/>
  <c r="V258" i="39"/>
  <c r="F258" i="39"/>
  <c r="C258" i="39"/>
  <c r="I258" i="39" s="1"/>
  <c r="BC257" i="39"/>
  <c r="AT257" i="39"/>
  <c r="AB257" i="39"/>
  <c r="V257" i="39"/>
  <c r="F257" i="39"/>
  <c r="C257" i="39"/>
  <c r="I257" i="39" s="1"/>
  <c r="BC256" i="39"/>
  <c r="AT256" i="39"/>
  <c r="AB256" i="39"/>
  <c r="V256" i="39"/>
  <c r="F256" i="39"/>
  <c r="C256" i="39"/>
  <c r="I256" i="39" s="1"/>
  <c r="BC255" i="39"/>
  <c r="AT255" i="39"/>
  <c r="AB255" i="39"/>
  <c r="V255" i="39"/>
  <c r="F255" i="39"/>
  <c r="C255" i="39"/>
  <c r="I255" i="39" s="1"/>
  <c r="BC254" i="39"/>
  <c r="AT254" i="39"/>
  <c r="AB254" i="39"/>
  <c r="V254" i="39"/>
  <c r="F254" i="39"/>
  <c r="C254" i="39"/>
  <c r="I254" i="39" s="1"/>
  <c r="BC253" i="39"/>
  <c r="AT253" i="39"/>
  <c r="AB253" i="39"/>
  <c r="V253" i="39"/>
  <c r="F253" i="39"/>
  <c r="C253" i="39"/>
  <c r="I253" i="39" s="1"/>
  <c r="BC252" i="39"/>
  <c r="AT252" i="39"/>
  <c r="AB252" i="39"/>
  <c r="V252" i="39"/>
  <c r="F252" i="39"/>
  <c r="C252" i="39"/>
  <c r="I252" i="39" s="1"/>
  <c r="BC251" i="39"/>
  <c r="AT251" i="39"/>
  <c r="AB251" i="39"/>
  <c r="V251" i="39"/>
  <c r="F251" i="39"/>
  <c r="C251" i="39"/>
  <c r="I251" i="39" s="1"/>
  <c r="BC250" i="39"/>
  <c r="AT250" i="39"/>
  <c r="AB250" i="39"/>
  <c r="V250" i="39"/>
  <c r="F250" i="39"/>
  <c r="C250" i="39"/>
  <c r="I250" i="39" s="1"/>
  <c r="BC249" i="39"/>
  <c r="AT249" i="39"/>
  <c r="AB249" i="39"/>
  <c r="V249" i="39"/>
  <c r="F249" i="39"/>
  <c r="C249" i="39"/>
  <c r="I249" i="39" s="1"/>
  <c r="BC248" i="39"/>
  <c r="AT248" i="39"/>
  <c r="AB248" i="39"/>
  <c r="V248" i="39"/>
  <c r="F248" i="39"/>
  <c r="C248" i="39"/>
  <c r="I248" i="39" s="1"/>
  <c r="BC247" i="39"/>
  <c r="AT247" i="39"/>
  <c r="AB247" i="39"/>
  <c r="V247" i="39"/>
  <c r="F247" i="39"/>
  <c r="C247" i="39"/>
  <c r="I247" i="39" s="1"/>
  <c r="BC246" i="39"/>
  <c r="AT246" i="39"/>
  <c r="AB246" i="39"/>
  <c r="V246" i="39"/>
  <c r="F246" i="39"/>
  <c r="C246" i="39"/>
  <c r="I246" i="39" s="1"/>
  <c r="BC245" i="39"/>
  <c r="AT245" i="39"/>
  <c r="AB245" i="39"/>
  <c r="V245" i="39"/>
  <c r="F245" i="39"/>
  <c r="C245" i="39"/>
  <c r="I245" i="39" s="1"/>
  <c r="BC244" i="39"/>
  <c r="AT244" i="39"/>
  <c r="AB244" i="39"/>
  <c r="V244" i="39"/>
  <c r="F244" i="39"/>
  <c r="C244" i="39"/>
  <c r="I244" i="39" s="1"/>
  <c r="BC243" i="39"/>
  <c r="AT243" i="39"/>
  <c r="AB243" i="39"/>
  <c r="V243" i="39"/>
  <c r="F243" i="39"/>
  <c r="C243" i="39"/>
  <c r="I243" i="39" s="1"/>
  <c r="BC242" i="39"/>
  <c r="AT242" i="39"/>
  <c r="AB242" i="39"/>
  <c r="V242" i="39"/>
  <c r="F242" i="39"/>
  <c r="C242" i="39"/>
  <c r="I242" i="39" s="1"/>
  <c r="BC241" i="39"/>
  <c r="AT241" i="39"/>
  <c r="AB241" i="39"/>
  <c r="V241" i="39"/>
  <c r="F241" i="39"/>
  <c r="C241" i="39"/>
  <c r="I241" i="39" s="1"/>
  <c r="BC240" i="39"/>
  <c r="AT240" i="39"/>
  <c r="AB240" i="39"/>
  <c r="V240" i="39"/>
  <c r="F240" i="39"/>
  <c r="C240" i="39"/>
  <c r="I240" i="39" s="1"/>
  <c r="BC239" i="39"/>
  <c r="AT239" i="39"/>
  <c r="AB239" i="39"/>
  <c r="V239" i="39"/>
  <c r="F239" i="39"/>
  <c r="C239" i="39"/>
  <c r="I239" i="39" s="1"/>
  <c r="BC238" i="39"/>
  <c r="AT238" i="39"/>
  <c r="AB238" i="39"/>
  <c r="V238" i="39"/>
  <c r="F238" i="39"/>
  <c r="C238" i="39"/>
  <c r="I238" i="39" s="1"/>
  <c r="BC237" i="39"/>
  <c r="AT237" i="39"/>
  <c r="AB237" i="39"/>
  <c r="V237" i="39"/>
  <c r="F237" i="39"/>
  <c r="C237" i="39"/>
  <c r="I237" i="39" s="1"/>
  <c r="BC236" i="39"/>
  <c r="AT236" i="39"/>
  <c r="AB236" i="39"/>
  <c r="V236" i="39"/>
  <c r="F236" i="39"/>
  <c r="C236" i="39"/>
  <c r="I236" i="39" s="1"/>
  <c r="BC235" i="39"/>
  <c r="AT235" i="39"/>
  <c r="AB235" i="39"/>
  <c r="V235" i="39"/>
  <c r="F235" i="39"/>
  <c r="C235" i="39"/>
  <c r="I235" i="39" s="1"/>
  <c r="BC229" i="39"/>
  <c r="AT229" i="39"/>
  <c r="AB229" i="39"/>
  <c r="V229" i="39"/>
  <c r="F229" i="39"/>
  <c r="C229" i="39"/>
  <c r="I229" i="39" s="1"/>
  <c r="BC228" i="39"/>
  <c r="AT228" i="39"/>
  <c r="AB228" i="39"/>
  <c r="V228" i="39"/>
  <c r="F228" i="39"/>
  <c r="C228" i="39"/>
  <c r="I228" i="39" s="1"/>
  <c r="BC227" i="39"/>
  <c r="AT227" i="39"/>
  <c r="AB227" i="39"/>
  <c r="V227" i="39"/>
  <c r="F227" i="39"/>
  <c r="C227" i="39"/>
  <c r="I227" i="39" s="1"/>
  <c r="BC226" i="39"/>
  <c r="AT226" i="39"/>
  <c r="AB226" i="39"/>
  <c r="V226" i="39"/>
  <c r="F226" i="39"/>
  <c r="C226" i="39"/>
  <c r="I226" i="39" s="1"/>
  <c r="BC225" i="39"/>
  <c r="AT225" i="39"/>
  <c r="AB225" i="39"/>
  <c r="V225" i="39"/>
  <c r="F225" i="39"/>
  <c r="C225" i="39"/>
  <c r="I225" i="39" s="1"/>
  <c r="BC224" i="39"/>
  <c r="AT224" i="39"/>
  <c r="AB224" i="39"/>
  <c r="V224" i="39"/>
  <c r="F224" i="39"/>
  <c r="C224" i="39"/>
  <c r="I224" i="39" s="1"/>
  <c r="BC223" i="39"/>
  <c r="AT223" i="39"/>
  <c r="AB223" i="39"/>
  <c r="V223" i="39"/>
  <c r="F223" i="39"/>
  <c r="C223" i="39"/>
  <c r="I223" i="39" s="1"/>
  <c r="BC222" i="39"/>
  <c r="AT222" i="39"/>
  <c r="AB222" i="39"/>
  <c r="V222" i="39"/>
  <c r="F222" i="39"/>
  <c r="C222" i="39"/>
  <c r="I222" i="39" s="1"/>
  <c r="BC221" i="39"/>
  <c r="AT221" i="39"/>
  <c r="AB221" i="39"/>
  <c r="V221" i="39"/>
  <c r="F221" i="39"/>
  <c r="C221" i="39"/>
  <c r="I221" i="39" s="1"/>
  <c r="BC220" i="39"/>
  <c r="AT220" i="39"/>
  <c r="AB220" i="39"/>
  <c r="V220" i="39"/>
  <c r="F220" i="39"/>
  <c r="C220" i="39"/>
  <c r="I220" i="39" s="1"/>
  <c r="BC219" i="39"/>
  <c r="AT219" i="39"/>
  <c r="AB219" i="39"/>
  <c r="V219" i="39"/>
  <c r="F219" i="39"/>
  <c r="C219" i="39"/>
  <c r="I219" i="39" s="1"/>
  <c r="BC218" i="39"/>
  <c r="AT218" i="39"/>
  <c r="AB218" i="39"/>
  <c r="V218" i="39"/>
  <c r="F218" i="39"/>
  <c r="C218" i="39"/>
  <c r="I218" i="39" s="1"/>
  <c r="BC217" i="39"/>
  <c r="AT217" i="39"/>
  <c r="AB217" i="39"/>
  <c r="V217" i="39"/>
  <c r="F217" i="39"/>
  <c r="C217" i="39"/>
  <c r="I217" i="39" s="1"/>
  <c r="BC216" i="39"/>
  <c r="AT216" i="39"/>
  <c r="AB216" i="39"/>
  <c r="V216" i="39"/>
  <c r="F216" i="39"/>
  <c r="C216" i="39"/>
  <c r="I216" i="39" s="1"/>
  <c r="BC215" i="39"/>
  <c r="AT215" i="39"/>
  <c r="AB215" i="39"/>
  <c r="V215" i="39"/>
  <c r="F215" i="39"/>
  <c r="C215" i="39"/>
  <c r="I215" i="39" s="1"/>
  <c r="BC214" i="39"/>
  <c r="AT214" i="39"/>
  <c r="AB214" i="39"/>
  <c r="V214" i="39"/>
  <c r="F214" i="39"/>
  <c r="C214" i="39"/>
  <c r="I214" i="39" s="1"/>
  <c r="BC213" i="39"/>
  <c r="AT213" i="39"/>
  <c r="AB213" i="39"/>
  <c r="V213" i="39"/>
  <c r="F213" i="39"/>
  <c r="C213" i="39"/>
  <c r="I213" i="39" s="1"/>
  <c r="BC212" i="39"/>
  <c r="AT212" i="39"/>
  <c r="AB212" i="39"/>
  <c r="V212" i="39"/>
  <c r="F212" i="39"/>
  <c r="C212" i="39"/>
  <c r="I212" i="39" s="1"/>
  <c r="BC211" i="39"/>
  <c r="AT211" i="39"/>
  <c r="AB211" i="39"/>
  <c r="V211" i="39"/>
  <c r="F211" i="39"/>
  <c r="C211" i="39"/>
  <c r="I211" i="39" s="1"/>
  <c r="BC210" i="39"/>
  <c r="AT210" i="39"/>
  <c r="AB210" i="39"/>
  <c r="V210" i="39"/>
  <c r="F210" i="39"/>
  <c r="C210" i="39"/>
  <c r="I210" i="39" s="1"/>
  <c r="BC209" i="39"/>
  <c r="AT209" i="39"/>
  <c r="AB209" i="39"/>
  <c r="V209" i="39"/>
  <c r="F209" i="39"/>
  <c r="C209" i="39"/>
  <c r="I209" i="39" s="1"/>
  <c r="BC208" i="39"/>
  <c r="AT208" i="39"/>
  <c r="AB208" i="39"/>
  <c r="V208" i="39"/>
  <c r="F208" i="39"/>
  <c r="C208" i="39"/>
  <c r="BC207" i="39"/>
  <c r="AT207" i="39"/>
  <c r="AB207" i="39"/>
  <c r="V207" i="39"/>
  <c r="F207" i="39"/>
  <c r="C207" i="39"/>
  <c r="I207" i="39" s="1"/>
  <c r="BC206" i="39"/>
  <c r="AT206" i="39"/>
  <c r="AB206" i="39"/>
  <c r="V206" i="39"/>
  <c r="F206" i="39"/>
  <c r="C206" i="39"/>
  <c r="I206" i="39" s="1"/>
  <c r="BC205" i="39"/>
  <c r="AT205" i="39"/>
  <c r="AB205" i="39"/>
  <c r="V205" i="39"/>
  <c r="F205" i="39"/>
  <c r="C205" i="39"/>
  <c r="BC194" i="39"/>
  <c r="AT194" i="39"/>
  <c r="AB194" i="39"/>
  <c r="V194" i="39"/>
  <c r="F194" i="39"/>
  <c r="C194" i="39"/>
  <c r="I194" i="39" s="1"/>
  <c r="BC193" i="39"/>
  <c r="AT193" i="39"/>
  <c r="AB193" i="39"/>
  <c r="V193" i="39"/>
  <c r="F193" i="39"/>
  <c r="C193" i="39"/>
  <c r="I193" i="39" s="1"/>
  <c r="BC192" i="39"/>
  <c r="AT192" i="39"/>
  <c r="AB192" i="39"/>
  <c r="V192" i="39"/>
  <c r="F192" i="39"/>
  <c r="C192" i="39"/>
  <c r="I192" i="39" s="1"/>
  <c r="BC191" i="39"/>
  <c r="AT191" i="39"/>
  <c r="AB191" i="39"/>
  <c r="V191" i="39"/>
  <c r="F191" i="39"/>
  <c r="C191" i="39"/>
  <c r="I191" i="39" s="1"/>
  <c r="BC190" i="39"/>
  <c r="AT190" i="39"/>
  <c r="AB190" i="39"/>
  <c r="V190" i="39"/>
  <c r="F190" i="39"/>
  <c r="C190" i="39"/>
  <c r="I190" i="39" s="1"/>
  <c r="BC189" i="39"/>
  <c r="AT189" i="39"/>
  <c r="AB189" i="39"/>
  <c r="V189" i="39"/>
  <c r="F189" i="39"/>
  <c r="C189" i="39"/>
  <c r="I189" i="39" s="1"/>
  <c r="BC188" i="39"/>
  <c r="AT188" i="39"/>
  <c r="AB188" i="39"/>
  <c r="V188" i="39"/>
  <c r="F188" i="39"/>
  <c r="C188" i="39"/>
  <c r="I188" i="39" s="1"/>
  <c r="BC187" i="39"/>
  <c r="AT187" i="39"/>
  <c r="AB187" i="39"/>
  <c r="V187" i="39"/>
  <c r="F187" i="39"/>
  <c r="C187" i="39"/>
  <c r="I187" i="39" s="1"/>
  <c r="BC186" i="39"/>
  <c r="AT186" i="39"/>
  <c r="AB186" i="39"/>
  <c r="V186" i="39"/>
  <c r="F186" i="39"/>
  <c r="A186" i="39" s="1"/>
  <c r="C186" i="39"/>
  <c r="I186" i="39" s="1"/>
  <c r="BC185" i="39"/>
  <c r="AT185" i="39"/>
  <c r="AB185" i="39"/>
  <c r="V185" i="39"/>
  <c r="F185" i="39"/>
  <c r="C185" i="39"/>
  <c r="I185" i="39" s="1"/>
  <c r="BC184" i="39"/>
  <c r="AT184" i="39"/>
  <c r="AB184" i="39"/>
  <c r="V184" i="39"/>
  <c r="F184" i="39"/>
  <c r="C184" i="39"/>
  <c r="I184" i="39" s="1"/>
  <c r="BC183" i="39"/>
  <c r="AT183" i="39"/>
  <c r="AB183" i="39"/>
  <c r="V183" i="39"/>
  <c r="F183" i="39"/>
  <c r="C183" i="39"/>
  <c r="I183" i="39" s="1"/>
  <c r="BC182" i="39"/>
  <c r="AT182" i="39"/>
  <c r="AB182" i="39"/>
  <c r="V182" i="39"/>
  <c r="F182" i="39"/>
  <c r="C182" i="39"/>
  <c r="I182" i="39" s="1"/>
  <c r="BC181" i="39"/>
  <c r="AT181" i="39"/>
  <c r="AB181" i="39"/>
  <c r="V181" i="39"/>
  <c r="F181" i="39"/>
  <c r="C181" i="39"/>
  <c r="I181" i="39" s="1"/>
  <c r="BC180" i="39"/>
  <c r="AT180" i="39"/>
  <c r="AB180" i="39"/>
  <c r="V180" i="39"/>
  <c r="F180" i="39"/>
  <c r="C180" i="39"/>
  <c r="I180" i="39" s="1"/>
  <c r="BC179" i="39"/>
  <c r="AT179" i="39"/>
  <c r="AB179" i="39"/>
  <c r="V179" i="39"/>
  <c r="F179" i="39"/>
  <c r="C179" i="39"/>
  <c r="I179" i="39" s="1"/>
  <c r="BC178" i="39"/>
  <c r="AT178" i="39"/>
  <c r="AB178" i="39"/>
  <c r="V178" i="39"/>
  <c r="F178" i="39"/>
  <c r="C178" i="39"/>
  <c r="I178" i="39" s="1"/>
  <c r="BC177" i="39"/>
  <c r="AT177" i="39"/>
  <c r="AB177" i="39"/>
  <c r="V177" i="39"/>
  <c r="F177" i="39"/>
  <c r="C177" i="39"/>
  <c r="I177" i="39" s="1"/>
  <c r="BC176" i="39"/>
  <c r="AT176" i="39"/>
  <c r="AB176" i="39"/>
  <c r="V176" i="39"/>
  <c r="F176" i="39"/>
  <c r="C176" i="39"/>
  <c r="I176" i="39" s="1"/>
  <c r="BC175" i="39"/>
  <c r="AT175" i="39"/>
  <c r="AB175" i="39"/>
  <c r="V175" i="39"/>
  <c r="F175" i="39"/>
  <c r="C175" i="39"/>
  <c r="I175" i="39" s="1"/>
  <c r="BC174" i="39"/>
  <c r="AT174" i="39"/>
  <c r="AB174" i="39"/>
  <c r="V174" i="39"/>
  <c r="F174" i="39"/>
  <c r="C174" i="39"/>
  <c r="I174" i="39" s="1"/>
  <c r="BC173" i="39"/>
  <c r="AT173" i="39"/>
  <c r="AB173" i="39"/>
  <c r="V173" i="39"/>
  <c r="F173" i="39"/>
  <c r="C173" i="39"/>
  <c r="I173" i="39" s="1"/>
  <c r="BC172" i="39"/>
  <c r="AT172" i="39"/>
  <c r="AB172" i="39"/>
  <c r="V172" i="39"/>
  <c r="F172" i="39"/>
  <c r="C172" i="39"/>
  <c r="I172" i="39" s="1"/>
  <c r="BC171" i="39"/>
  <c r="AT171" i="39"/>
  <c r="AB171" i="39"/>
  <c r="V171" i="39"/>
  <c r="F171" i="39"/>
  <c r="C171" i="39"/>
  <c r="I171" i="39" s="1"/>
  <c r="BC170" i="39"/>
  <c r="AT170" i="39"/>
  <c r="AB170" i="39"/>
  <c r="V170" i="39"/>
  <c r="F170" i="39"/>
  <c r="C170" i="39"/>
  <c r="I170" i="39" s="1"/>
  <c r="BC164" i="39"/>
  <c r="AT164" i="39"/>
  <c r="AB164" i="39"/>
  <c r="V164" i="39"/>
  <c r="F164" i="39"/>
  <c r="C164" i="39"/>
  <c r="I164" i="39" s="1"/>
  <c r="BC163" i="39"/>
  <c r="AT163" i="39"/>
  <c r="AB163" i="39"/>
  <c r="V163" i="39"/>
  <c r="F163" i="39"/>
  <c r="C163" i="39"/>
  <c r="BC162" i="39"/>
  <c r="AT162" i="39"/>
  <c r="AB162" i="39"/>
  <c r="V162" i="39"/>
  <c r="F162" i="39"/>
  <c r="C162" i="39"/>
  <c r="I162" i="39" s="1"/>
  <c r="BC161" i="39"/>
  <c r="AT161" i="39"/>
  <c r="AB161" i="39"/>
  <c r="V161" i="39"/>
  <c r="F161" i="39"/>
  <c r="C161" i="39"/>
  <c r="I161" i="39" s="1"/>
  <c r="BC160" i="39"/>
  <c r="AT160" i="39"/>
  <c r="AB160" i="39"/>
  <c r="V160" i="39"/>
  <c r="F160" i="39"/>
  <c r="C160" i="39"/>
  <c r="I160" i="39" s="1"/>
  <c r="BC159" i="39"/>
  <c r="AT159" i="39"/>
  <c r="AB159" i="39"/>
  <c r="V159" i="39"/>
  <c r="F159" i="39"/>
  <c r="C159" i="39"/>
  <c r="I159" i="39" s="1"/>
  <c r="BC158" i="39"/>
  <c r="AT158" i="39"/>
  <c r="AB158" i="39"/>
  <c r="V158" i="39"/>
  <c r="F158" i="39"/>
  <c r="C158" i="39"/>
  <c r="I158" i="39" s="1"/>
  <c r="BC157" i="39"/>
  <c r="AT157" i="39"/>
  <c r="AB157" i="39"/>
  <c r="V157" i="39"/>
  <c r="F157" i="39"/>
  <c r="C157" i="39"/>
  <c r="I157" i="39" s="1"/>
  <c r="BC156" i="39"/>
  <c r="AT156" i="39"/>
  <c r="AB156" i="39"/>
  <c r="V156" i="39"/>
  <c r="F156" i="39"/>
  <c r="C156" i="39"/>
  <c r="I156" i="39" s="1"/>
  <c r="BC155" i="39"/>
  <c r="AT155" i="39"/>
  <c r="AB155" i="39"/>
  <c r="V155" i="39"/>
  <c r="F155" i="39"/>
  <c r="C155" i="39"/>
  <c r="I155" i="39" s="1"/>
  <c r="BC154" i="39"/>
  <c r="AT154" i="39"/>
  <c r="AB154" i="39"/>
  <c r="V154" i="39"/>
  <c r="F154" i="39"/>
  <c r="C154" i="39"/>
  <c r="I154" i="39" s="1"/>
  <c r="BC153" i="39"/>
  <c r="AT153" i="39"/>
  <c r="AB153" i="39"/>
  <c r="V153" i="39"/>
  <c r="F153" i="39"/>
  <c r="C153" i="39"/>
  <c r="I153" i="39" s="1"/>
  <c r="BC152" i="39"/>
  <c r="AT152" i="39"/>
  <c r="AB152" i="39"/>
  <c r="V152" i="39"/>
  <c r="F152" i="39"/>
  <c r="C152" i="39"/>
  <c r="I152" i="39" s="1"/>
  <c r="BC151" i="39"/>
  <c r="AT151" i="39"/>
  <c r="AB151" i="39"/>
  <c r="V151" i="39"/>
  <c r="F151" i="39"/>
  <c r="C151" i="39"/>
  <c r="I151" i="39" s="1"/>
  <c r="BC150" i="39"/>
  <c r="AT150" i="39"/>
  <c r="AB150" i="39"/>
  <c r="V150" i="39"/>
  <c r="F150" i="39"/>
  <c r="C150" i="39"/>
  <c r="I150" i="39" s="1"/>
  <c r="BC149" i="39"/>
  <c r="AT149" i="39"/>
  <c r="AB149" i="39"/>
  <c r="V149" i="39"/>
  <c r="F149" i="39"/>
  <c r="C149" i="39"/>
  <c r="I149" i="39" s="1"/>
  <c r="BC148" i="39"/>
  <c r="AT148" i="39"/>
  <c r="AB148" i="39"/>
  <c r="V148" i="39"/>
  <c r="F148" i="39"/>
  <c r="C148" i="39"/>
  <c r="I148" i="39" s="1"/>
  <c r="BC147" i="39"/>
  <c r="AT147" i="39"/>
  <c r="AB147" i="39"/>
  <c r="V147" i="39"/>
  <c r="F147" i="39"/>
  <c r="C147" i="39"/>
  <c r="I147" i="39" s="1"/>
  <c r="BC146" i="39"/>
  <c r="AT146" i="39"/>
  <c r="AB146" i="39"/>
  <c r="V146" i="39"/>
  <c r="F146" i="39"/>
  <c r="C146" i="39"/>
  <c r="I146" i="39" s="1"/>
  <c r="BC145" i="39"/>
  <c r="AT145" i="39"/>
  <c r="AB145" i="39"/>
  <c r="V145" i="39"/>
  <c r="F145" i="39"/>
  <c r="C145" i="39"/>
  <c r="I145" i="39" s="1"/>
  <c r="BC144" i="39"/>
  <c r="AT144" i="39"/>
  <c r="AB144" i="39"/>
  <c r="V144" i="39"/>
  <c r="F144" i="39"/>
  <c r="C144" i="39"/>
  <c r="I144" i="39" s="1"/>
  <c r="BC143" i="39"/>
  <c r="AT143" i="39"/>
  <c r="AB143" i="39"/>
  <c r="V143" i="39"/>
  <c r="F143" i="39"/>
  <c r="C143" i="39"/>
  <c r="I143" i="39" s="1"/>
  <c r="BC142" i="39"/>
  <c r="AT142" i="39"/>
  <c r="AB142" i="39"/>
  <c r="V142" i="39"/>
  <c r="F142" i="39"/>
  <c r="C142" i="39"/>
  <c r="I142" i="39" s="1"/>
  <c r="BC141" i="39"/>
  <c r="AT141" i="39"/>
  <c r="AB141" i="39"/>
  <c r="V141" i="39"/>
  <c r="F141" i="39"/>
  <c r="C141" i="39"/>
  <c r="I141" i="39" s="1"/>
  <c r="BC140" i="39"/>
  <c r="AT140" i="39"/>
  <c r="AB140" i="39"/>
  <c r="V140" i="39"/>
  <c r="F140" i="39"/>
  <c r="C140" i="39"/>
  <c r="I140" i="39" s="1"/>
  <c r="BC129" i="39"/>
  <c r="AT129" i="39"/>
  <c r="AB129" i="39"/>
  <c r="V129" i="39"/>
  <c r="F129" i="39"/>
  <c r="C129" i="39"/>
  <c r="I129" i="39" s="1"/>
  <c r="BC128" i="39"/>
  <c r="AT128" i="39"/>
  <c r="AB128" i="39"/>
  <c r="V128" i="39"/>
  <c r="F128" i="39"/>
  <c r="C128" i="39"/>
  <c r="I128" i="39" s="1"/>
  <c r="BC127" i="39"/>
  <c r="AT127" i="39"/>
  <c r="AB127" i="39"/>
  <c r="V127" i="39"/>
  <c r="F127" i="39"/>
  <c r="C127" i="39"/>
  <c r="BC126" i="39"/>
  <c r="AT126" i="39"/>
  <c r="AB126" i="39"/>
  <c r="V126" i="39"/>
  <c r="F126" i="39"/>
  <c r="C126" i="39"/>
  <c r="I126" i="39" s="1"/>
  <c r="BC125" i="39"/>
  <c r="AT125" i="39"/>
  <c r="AB125" i="39"/>
  <c r="V125" i="39"/>
  <c r="F125" i="39"/>
  <c r="C125" i="39"/>
  <c r="I125" i="39" s="1"/>
  <c r="BC124" i="39"/>
  <c r="AT124" i="39"/>
  <c r="AB124" i="39"/>
  <c r="V124" i="39"/>
  <c r="F124" i="39"/>
  <c r="C124" i="39"/>
  <c r="I124" i="39" s="1"/>
  <c r="BC123" i="39"/>
  <c r="AT123" i="39"/>
  <c r="AB123" i="39"/>
  <c r="V123" i="39"/>
  <c r="F123" i="39"/>
  <c r="C123" i="39"/>
  <c r="I123" i="39" s="1"/>
  <c r="BC122" i="39"/>
  <c r="AT122" i="39"/>
  <c r="AB122" i="39"/>
  <c r="V122" i="39"/>
  <c r="F122" i="39"/>
  <c r="C122" i="39"/>
  <c r="I122" i="39" s="1"/>
  <c r="BC121" i="39"/>
  <c r="AT121" i="39"/>
  <c r="AB121" i="39"/>
  <c r="V121" i="39"/>
  <c r="F121" i="39"/>
  <c r="C121" i="39"/>
  <c r="I121" i="39" s="1"/>
  <c r="BC120" i="39"/>
  <c r="AT120" i="39"/>
  <c r="AB120" i="39"/>
  <c r="V120" i="39"/>
  <c r="F120" i="39"/>
  <c r="C120" i="39"/>
  <c r="I120" i="39" s="1"/>
  <c r="BC119" i="39"/>
  <c r="AT119" i="39"/>
  <c r="AB119" i="39"/>
  <c r="V119" i="39"/>
  <c r="F119" i="39"/>
  <c r="C119" i="39"/>
  <c r="I119" i="39" s="1"/>
  <c r="BC118" i="39"/>
  <c r="AT118" i="39"/>
  <c r="AB118" i="39"/>
  <c r="V118" i="39"/>
  <c r="F118" i="39"/>
  <c r="C118" i="39"/>
  <c r="I118" i="39" s="1"/>
  <c r="BC117" i="39"/>
  <c r="AT117" i="39"/>
  <c r="AB117" i="39"/>
  <c r="V117" i="39"/>
  <c r="F117" i="39"/>
  <c r="C117" i="39"/>
  <c r="I117" i="39" s="1"/>
  <c r="BC116" i="39"/>
  <c r="AT116" i="39"/>
  <c r="AB116" i="39"/>
  <c r="V116" i="39"/>
  <c r="F116" i="39"/>
  <c r="C116" i="39"/>
  <c r="I116" i="39" s="1"/>
  <c r="BC115" i="39"/>
  <c r="AT115" i="39"/>
  <c r="AB115" i="39"/>
  <c r="V115" i="39"/>
  <c r="F115" i="39"/>
  <c r="C115" i="39"/>
  <c r="I115" i="39" s="1"/>
  <c r="BC114" i="39"/>
  <c r="AT114" i="39"/>
  <c r="AB114" i="39"/>
  <c r="V114" i="39"/>
  <c r="F114" i="39"/>
  <c r="C114" i="39"/>
  <c r="I114" i="39" s="1"/>
  <c r="BC113" i="39"/>
  <c r="AT113" i="39"/>
  <c r="AB113" i="39"/>
  <c r="V113" i="39"/>
  <c r="F113" i="39"/>
  <c r="C113" i="39"/>
  <c r="I113" i="39" s="1"/>
  <c r="BC112" i="39"/>
  <c r="AT112" i="39"/>
  <c r="AB112" i="39"/>
  <c r="V112" i="39"/>
  <c r="F112" i="39"/>
  <c r="C112" i="39"/>
  <c r="I112" i="39" s="1"/>
  <c r="BC111" i="39"/>
  <c r="AT111" i="39"/>
  <c r="AB111" i="39"/>
  <c r="V111" i="39"/>
  <c r="F111" i="39"/>
  <c r="C111" i="39"/>
  <c r="I111" i="39" s="1"/>
  <c r="BC110" i="39"/>
  <c r="AT110" i="39"/>
  <c r="AB110" i="39"/>
  <c r="V110" i="39"/>
  <c r="F110" i="39"/>
  <c r="C110" i="39"/>
  <c r="I110" i="39" s="1"/>
  <c r="BC109" i="39"/>
  <c r="AT109" i="39"/>
  <c r="AB109" i="39"/>
  <c r="V109" i="39"/>
  <c r="F109" i="39"/>
  <c r="C109" i="39"/>
  <c r="I109" i="39" s="1"/>
  <c r="BC108" i="39"/>
  <c r="AT108" i="39"/>
  <c r="AB108" i="39"/>
  <c r="V108" i="39"/>
  <c r="F108" i="39"/>
  <c r="C108" i="39"/>
  <c r="I108" i="39" s="1"/>
  <c r="BC107" i="39"/>
  <c r="AT107" i="39"/>
  <c r="AB107" i="39"/>
  <c r="V107" i="39"/>
  <c r="F107" i="39"/>
  <c r="C107" i="39"/>
  <c r="I107" i="39" s="1"/>
  <c r="BC106" i="39"/>
  <c r="AT106" i="39"/>
  <c r="AB106" i="39"/>
  <c r="V106" i="39"/>
  <c r="F106" i="39"/>
  <c r="C106" i="39"/>
  <c r="I106" i="39" s="1"/>
  <c r="BC105" i="39"/>
  <c r="AT105" i="39"/>
  <c r="AB105" i="39"/>
  <c r="V105" i="39"/>
  <c r="F105" i="39"/>
  <c r="C105" i="39"/>
  <c r="I105" i="39" s="1"/>
  <c r="BC99" i="39"/>
  <c r="AT99" i="39"/>
  <c r="AB99" i="39"/>
  <c r="V99" i="39"/>
  <c r="F99" i="39"/>
  <c r="C99" i="39"/>
  <c r="I99" i="39" s="1"/>
  <c r="BC98" i="39"/>
  <c r="AT98" i="39"/>
  <c r="AB98" i="39"/>
  <c r="V98" i="39"/>
  <c r="F98" i="39"/>
  <c r="C98" i="39"/>
  <c r="I98" i="39" s="1"/>
  <c r="BC97" i="39"/>
  <c r="AT97" i="39"/>
  <c r="AB97" i="39"/>
  <c r="V97" i="39"/>
  <c r="F97" i="39"/>
  <c r="C97" i="39"/>
  <c r="I97" i="39" s="1"/>
  <c r="BC96" i="39"/>
  <c r="AT96" i="39"/>
  <c r="AB96" i="39"/>
  <c r="V96" i="39"/>
  <c r="F96" i="39"/>
  <c r="C96" i="39"/>
  <c r="I96" i="39" s="1"/>
  <c r="BC95" i="39"/>
  <c r="AT95" i="39"/>
  <c r="AB95" i="39"/>
  <c r="V95" i="39"/>
  <c r="F95" i="39"/>
  <c r="C95" i="39"/>
  <c r="I95" i="39" s="1"/>
  <c r="BC94" i="39"/>
  <c r="AT94" i="39"/>
  <c r="AB94" i="39"/>
  <c r="V94" i="39"/>
  <c r="F94" i="39"/>
  <c r="C94" i="39"/>
  <c r="I94" i="39" s="1"/>
  <c r="BC93" i="39"/>
  <c r="AT93" i="39"/>
  <c r="AB93" i="39"/>
  <c r="V93" i="39"/>
  <c r="F93" i="39"/>
  <c r="C93" i="39"/>
  <c r="I93" i="39" s="1"/>
  <c r="BC92" i="39"/>
  <c r="AT92" i="39"/>
  <c r="AB92" i="39"/>
  <c r="V92" i="39"/>
  <c r="F92" i="39"/>
  <c r="C92" i="39"/>
  <c r="I92" i="39" s="1"/>
  <c r="BC91" i="39"/>
  <c r="AT91" i="39"/>
  <c r="AB91" i="39"/>
  <c r="V91" i="39"/>
  <c r="F91" i="39"/>
  <c r="C91" i="39"/>
  <c r="I91" i="39" s="1"/>
  <c r="BC90" i="39"/>
  <c r="AT90" i="39"/>
  <c r="AB90" i="39"/>
  <c r="V90" i="39"/>
  <c r="F90" i="39"/>
  <c r="C90" i="39"/>
  <c r="I90" i="39" s="1"/>
  <c r="BC89" i="39"/>
  <c r="AT89" i="39"/>
  <c r="AB89" i="39"/>
  <c r="V89" i="39"/>
  <c r="F89" i="39"/>
  <c r="C89" i="39"/>
  <c r="I89" i="39" s="1"/>
  <c r="BC88" i="39"/>
  <c r="AT88" i="39"/>
  <c r="AB88" i="39"/>
  <c r="V88" i="39"/>
  <c r="F88" i="39"/>
  <c r="C88" i="39"/>
  <c r="I88" i="39" s="1"/>
  <c r="BC87" i="39"/>
  <c r="AT87" i="39"/>
  <c r="AB87" i="39"/>
  <c r="V87" i="39"/>
  <c r="F87" i="39"/>
  <c r="C87" i="39"/>
  <c r="I87" i="39" s="1"/>
  <c r="BC86" i="39"/>
  <c r="AT86" i="39"/>
  <c r="AB86" i="39"/>
  <c r="V86" i="39"/>
  <c r="F86" i="39"/>
  <c r="C86" i="39"/>
  <c r="I86" i="39" s="1"/>
  <c r="BC85" i="39"/>
  <c r="AT85" i="39"/>
  <c r="AB85" i="39"/>
  <c r="V85" i="39"/>
  <c r="F85" i="39"/>
  <c r="C85" i="39"/>
  <c r="I85" i="39" s="1"/>
  <c r="BC84" i="39"/>
  <c r="AT84" i="39"/>
  <c r="AB84" i="39"/>
  <c r="V84" i="39"/>
  <c r="F84" i="39"/>
  <c r="C84" i="39"/>
  <c r="I84" i="39" s="1"/>
  <c r="BC83" i="39"/>
  <c r="AT83" i="39"/>
  <c r="AB83" i="39"/>
  <c r="V83" i="39"/>
  <c r="F83" i="39"/>
  <c r="C83" i="39"/>
  <c r="I83" i="39" s="1"/>
  <c r="BC82" i="39"/>
  <c r="AT82" i="39"/>
  <c r="AB82" i="39"/>
  <c r="V82" i="39"/>
  <c r="F82" i="39"/>
  <c r="C82" i="39"/>
  <c r="I82" i="39" s="1"/>
  <c r="BC81" i="39"/>
  <c r="AT81" i="39"/>
  <c r="AB81" i="39"/>
  <c r="V81" i="39"/>
  <c r="F81" i="39"/>
  <c r="C81" i="39"/>
  <c r="I81" i="39" s="1"/>
  <c r="BC80" i="39"/>
  <c r="AT80" i="39"/>
  <c r="AB80" i="39"/>
  <c r="V80" i="39"/>
  <c r="F80" i="39"/>
  <c r="C80" i="39"/>
  <c r="I80" i="39" s="1"/>
  <c r="BC79" i="39"/>
  <c r="AT79" i="39"/>
  <c r="AB79" i="39"/>
  <c r="V79" i="39"/>
  <c r="F79" i="39"/>
  <c r="C79" i="39"/>
  <c r="I79" i="39" s="1"/>
  <c r="BC78" i="39"/>
  <c r="AT78" i="39"/>
  <c r="AB78" i="39"/>
  <c r="V78" i="39"/>
  <c r="F78" i="39"/>
  <c r="C78" i="39"/>
  <c r="I78" i="39" s="1"/>
  <c r="BC77" i="39"/>
  <c r="AT77" i="39"/>
  <c r="AB77" i="39"/>
  <c r="V77" i="39"/>
  <c r="F77" i="39"/>
  <c r="C77" i="39"/>
  <c r="I77" i="39" s="1"/>
  <c r="BC76" i="39"/>
  <c r="AT76" i="39"/>
  <c r="AB76" i="39"/>
  <c r="V76" i="39"/>
  <c r="F76" i="39"/>
  <c r="C76" i="39"/>
  <c r="I76" i="39" s="1"/>
  <c r="BC75" i="39"/>
  <c r="AT75" i="39"/>
  <c r="AB75" i="39"/>
  <c r="V75" i="39"/>
  <c r="F75" i="39"/>
  <c r="C75" i="39"/>
  <c r="I75" i="39" s="1"/>
  <c r="BC69" i="39"/>
  <c r="AT69" i="39"/>
  <c r="AB69" i="39"/>
  <c r="V69" i="39"/>
  <c r="F69" i="39"/>
  <c r="C69" i="39"/>
  <c r="I69" i="39" s="1"/>
  <c r="BC68" i="39"/>
  <c r="AT68" i="39"/>
  <c r="AB68" i="39"/>
  <c r="V68" i="39"/>
  <c r="F68" i="39"/>
  <c r="C68" i="39"/>
  <c r="I68" i="39" s="1"/>
  <c r="BC67" i="39"/>
  <c r="AT67" i="39"/>
  <c r="AB67" i="39"/>
  <c r="V67" i="39"/>
  <c r="F67" i="39"/>
  <c r="C67" i="39"/>
  <c r="I67" i="39" s="1"/>
  <c r="BC66" i="39"/>
  <c r="AT66" i="39"/>
  <c r="AB66" i="39"/>
  <c r="V66" i="39"/>
  <c r="F66" i="39"/>
  <c r="C66" i="39"/>
  <c r="I66" i="39" s="1"/>
  <c r="BC65" i="39"/>
  <c r="AT65" i="39"/>
  <c r="AB65" i="39"/>
  <c r="V65" i="39"/>
  <c r="F65" i="39"/>
  <c r="C65" i="39"/>
  <c r="I65" i="39" s="1"/>
  <c r="BC64" i="39"/>
  <c r="AT64" i="39"/>
  <c r="AB64" i="39"/>
  <c r="V64" i="39"/>
  <c r="F64" i="39"/>
  <c r="C64" i="39"/>
  <c r="I64" i="39" s="1"/>
  <c r="BC63" i="39"/>
  <c r="AT63" i="39"/>
  <c r="AB63" i="39"/>
  <c r="V63" i="39"/>
  <c r="F63" i="39"/>
  <c r="C63" i="39"/>
  <c r="I63" i="39" s="1"/>
  <c r="BC62" i="39"/>
  <c r="AT62" i="39"/>
  <c r="AB62" i="39"/>
  <c r="V62" i="39"/>
  <c r="F62" i="39"/>
  <c r="C62" i="39"/>
  <c r="I62" i="39" s="1"/>
  <c r="BC61" i="39"/>
  <c r="AT61" i="39"/>
  <c r="AB61" i="39"/>
  <c r="V61" i="39"/>
  <c r="F61" i="39"/>
  <c r="C61" i="39"/>
  <c r="I61" i="39" s="1"/>
  <c r="BC60" i="39"/>
  <c r="AT60" i="39"/>
  <c r="AB60" i="39"/>
  <c r="V60" i="39"/>
  <c r="F60" i="39"/>
  <c r="C60" i="39"/>
  <c r="I60" i="39" s="1"/>
  <c r="BC59" i="39"/>
  <c r="AT59" i="39"/>
  <c r="AB59" i="39"/>
  <c r="V59" i="39"/>
  <c r="F59" i="39"/>
  <c r="C59" i="39"/>
  <c r="I59" i="39" s="1"/>
  <c r="BC58" i="39"/>
  <c r="AT58" i="39"/>
  <c r="AB58" i="39"/>
  <c r="V58" i="39"/>
  <c r="F58" i="39"/>
  <c r="C58" i="39"/>
  <c r="I58" i="39" s="1"/>
  <c r="BC57" i="39"/>
  <c r="AT57" i="39"/>
  <c r="AB57" i="39"/>
  <c r="V57" i="39"/>
  <c r="F57" i="39"/>
  <c r="C57" i="39"/>
  <c r="I57" i="39" s="1"/>
  <c r="BC56" i="39"/>
  <c r="AT56" i="39"/>
  <c r="AB56" i="39"/>
  <c r="V56" i="39"/>
  <c r="F56" i="39"/>
  <c r="C56" i="39"/>
  <c r="I56" i="39" s="1"/>
  <c r="BC55" i="39"/>
  <c r="AT55" i="39"/>
  <c r="AB55" i="39"/>
  <c r="V55" i="39"/>
  <c r="F55" i="39"/>
  <c r="C55" i="39"/>
  <c r="I55" i="39" s="1"/>
  <c r="BC54" i="39"/>
  <c r="AT54" i="39"/>
  <c r="AB54" i="39"/>
  <c r="V54" i="39"/>
  <c r="F54" i="39"/>
  <c r="C54" i="39"/>
  <c r="I54" i="39" s="1"/>
  <c r="BC53" i="39"/>
  <c r="AT53" i="39"/>
  <c r="AB53" i="39"/>
  <c r="V53" i="39"/>
  <c r="F53" i="39"/>
  <c r="C53" i="39"/>
  <c r="I53" i="39" s="1"/>
  <c r="BC52" i="39"/>
  <c r="AT52" i="39"/>
  <c r="AB52" i="39"/>
  <c r="V52" i="39"/>
  <c r="F52" i="39"/>
  <c r="C52" i="39"/>
  <c r="I52" i="39" s="1"/>
  <c r="BC51" i="39"/>
  <c r="AT51" i="39"/>
  <c r="AB51" i="39"/>
  <c r="V51" i="39"/>
  <c r="F51" i="39"/>
  <c r="C51" i="39"/>
  <c r="I51" i="39" s="1"/>
  <c r="BC50" i="39"/>
  <c r="AT50" i="39"/>
  <c r="AB50" i="39"/>
  <c r="V50" i="39"/>
  <c r="F50" i="39"/>
  <c r="C50" i="39"/>
  <c r="I50" i="39" s="1"/>
  <c r="BC49" i="39"/>
  <c r="AT49" i="39"/>
  <c r="AB49" i="39"/>
  <c r="V49" i="39"/>
  <c r="F49" i="39"/>
  <c r="C49" i="39"/>
  <c r="I49" i="39" s="1"/>
  <c r="BC48" i="39"/>
  <c r="AT48" i="39"/>
  <c r="AB48" i="39"/>
  <c r="V48" i="39"/>
  <c r="F48" i="39"/>
  <c r="C48" i="39"/>
  <c r="I48" i="39" s="1"/>
  <c r="BC47" i="39"/>
  <c r="AT47" i="39"/>
  <c r="AB47" i="39"/>
  <c r="V47" i="39"/>
  <c r="F47" i="39"/>
  <c r="C47" i="39"/>
  <c r="I47" i="39" s="1"/>
  <c r="BC46" i="39"/>
  <c r="AT46" i="39"/>
  <c r="AB46" i="39"/>
  <c r="V46" i="39"/>
  <c r="F46" i="39"/>
  <c r="C46" i="39"/>
  <c r="I46" i="39" s="1"/>
  <c r="BC45" i="39"/>
  <c r="AT45" i="39"/>
  <c r="AB45" i="39"/>
  <c r="V45" i="39"/>
  <c r="F45" i="39"/>
  <c r="C45" i="39"/>
  <c r="I45" i="39" s="1"/>
  <c r="BC39" i="39"/>
  <c r="AT39" i="39"/>
  <c r="AB39" i="39"/>
  <c r="V39" i="39"/>
  <c r="F39" i="39"/>
  <c r="C39" i="39"/>
  <c r="I39" i="39" s="1"/>
  <c r="BC38" i="39"/>
  <c r="AT38" i="39"/>
  <c r="AB38" i="39"/>
  <c r="V38" i="39"/>
  <c r="F38" i="39"/>
  <c r="C38" i="39"/>
  <c r="I38" i="39" s="1"/>
  <c r="BC37" i="39"/>
  <c r="AT37" i="39"/>
  <c r="AB37" i="39"/>
  <c r="V37" i="39"/>
  <c r="F37" i="39"/>
  <c r="C37" i="39"/>
  <c r="I37" i="39" s="1"/>
  <c r="BC36" i="39"/>
  <c r="AT36" i="39"/>
  <c r="AB36" i="39"/>
  <c r="V36" i="39"/>
  <c r="F36" i="39"/>
  <c r="C36" i="39"/>
  <c r="I36" i="39" s="1"/>
  <c r="BC35" i="39"/>
  <c r="AT35" i="39"/>
  <c r="AB35" i="39"/>
  <c r="V35" i="39"/>
  <c r="F35" i="39"/>
  <c r="C35" i="39"/>
  <c r="I35" i="39" s="1"/>
  <c r="BC34" i="39"/>
  <c r="AT34" i="39"/>
  <c r="AB34" i="39"/>
  <c r="V34" i="39"/>
  <c r="F34" i="39"/>
  <c r="C34" i="39"/>
  <c r="I34" i="39" s="1"/>
  <c r="BC33" i="39"/>
  <c r="AT33" i="39"/>
  <c r="AB33" i="39"/>
  <c r="V33" i="39"/>
  <c r="F33" i="39"/>
  <c r="C33" i="39"/>
  <c r="I33" i="39" s="1"/>
  <c r="BC32" i="39"/>
  <c r="AT32" i="39"/>
  <c r="AB32" i="39"/>
  <c r="V32" i="39"/>
  <c r="F32" i="39"/>
  <c r="C32" i="39"/>
  <c r="I32" i="39" s="1"/>
  <c r="BC31" i="39"/>
  <c r="AT31" i="39"/>
  <c r="AB31" i="39"/>
  <c r="V31" i="39"/>
  <c r="F31" i="39"/>
  <c r="C31" i="39"/>
  <c r="I31" i="39" s="1"/>
  <c r="BC30" i="39"/>
  <c r="AT30" i="39"/>
  <c r="AB30" i="39"/>
  <c r="V30" i="39"/>
  <c r="F30" i="39"/>
  <c r="C30" i="39"/>
  <c r="I30" i="39" s="1"/>
  <c r="BC29" i="39"/>
  <c r="AT29" i="39"/>
  <c r="AB29" i="39"/>
  <c r="V29" i="39"/>
  <c r="F29" i="39"/>
  <c r="C29" i="39"/>
  <c r="I29" i="39" s="1"/>
  <c r="BC28" i="39"/>
  <c r="AT28" i="39"/>
  <c r="AB28" i="39"/>
  <c r="V28" i="39"/>
  <c r="F28" i="39"/>
  <c r="C28" i="39"/>
  <c r="I28" i="39" s="1"/>
  <c r="BC27" i="39"/>
  <c r="AT27" i="39"/>
  <c r="AB27" i="39"/>
  <c r="V27" i="39"/>
  <c r="F27" i="39"/>
  <c r="C27" i="39"/>
  <c r="I27" i="39" s="1"/>
  <c r="BC26" i="39"/>
  <c r="AT26" i="39"/>
  <c r="AB26" i="39"/>
  <c r="V26" i="39"/>
  <c r="F26" i="39"/>
  <c r="C26" i="39"/>
  <c r="I26" i="39" s="1"/>
  <c r="BC25" i="39"/>
  <c r="AT25" i="39"/>
  <c r="AB25" i="39"/>
  <c r="V25" i="39"/>
  <c r="F25" i="39"/>
  <c r="C25" i="39"/>
  <c r="I25" i="39" s="1"/>
  <c r="BC24" i="39"/>
  <c r="AT24" i="39"/>
  <c r="AB24" i="39"/>
  <c r="V24" i="39"/>
  <c r="F24" i="39"/>
  <c r="C24" i="39"/>
  <c r="I24" i="39" s="1"/>
  <c r="BC23" i="39"/>
  <c r="AT23" i="39"/>
  <c r="AB23" i="39"/>
  <c r="V23" i="39"/>
  <c r="F23" i="39"/>
  <c r="C23" i="39"/>
  <c r="I23" i="39" s="1"/>
  <c r="BC22" i="39"/>
  <c r="AT22" i="39"/>
  <c r="AB22" i="39"/>
  <c r="V22" i="39"/>
  <c r="F22" i="39"/>
  <c r="C22" i="39"/>
  <c r="I22" i="39" s="1"/>
  <c r="BC21" i="39"/>
  <c r="AT21" i="39"/>
  <c r="AB21" i="39"/>
  <c r="V21" i="39"/>
  <c r="F21" i="39"/>
  <c r="C21" i="39"/>
  <c r="I21" i="39" s="1"/>
  <c r="BC20" i="39"/>
  <c r="AT20" i="39"/>
  <c r="AB20" i="39"/>
  <c r="V20" i="39"/>
  <c r="F20" i="39"/>
  <c r="C20" i="39"/>
  <c r="I20" i="39" s="1"/>
  <c r="BC19" i="39"/>
  <c r="AT19" i="39"/>
  <c r="AB19" i="39"/>
  <c r="V19" i="39"/>
  <c r="F19" i="39"/>
  <c r="C19" i="39"/>
  <c r="I19" i="39" s="1"/>
  <c r="BC18" i="39"/>
  <c r="AT18" i="39"/>
  <c r="AB18" i="39"/>
  <c r="V18" i="39"/>
  <c r="F18" i="39"/>
  <c r="C18" i="39"/>
  <c r="I18" i="39" s="1"/>
  <c r="BC17" i="39"/>
  <c r="AT17" i="39"/>
  <c r="AB17" i="39"/>
  <c r="V17" i="39"/>
  <c r="F17" i="39"/>
  <c r="C17" i="39"/>
  <c r="I17" i="39" s="1"/>
  <c r="BC16" i="39"/>
  <c r="AT16" i="39"/>
  <c r="AB16" i="39"/>
  <c r="V16" i="39"/>
  <c r="F16" i="39"/>
  <c r="C16" i="39"/>
  <c r="I16" i="39" s="1"/>
  <c r="BC15" i="39"/>
  <c r="AT15" i="39"/>
  <c r="AB15" i="39"/>
  <c r="V15" i="39"/>
  <c r="F15" i="39"/>
  <c r="C15" i="39"/>
  <c r="I15" i="39" s="1"/>
  <c r="A308" i="39" l="1"/>
  <c r="A412" i="39"/>
  <c r="A106" i="39"/>
  <c r="A194" i="39"/>
  <c r="A272" i="39"/>
  <c r="A18" i="39"/>
  <c r="A319" i="39"/>
  <c r="A401" i="39"/>
  <c r="A379" i="39"/>
  <c r="A227" i="39"/>
  <c r="A403" i="39"/>
  <c r="A79" i="39"/>
  <c r="A96" i="39"/>
  <c r="A241" i="39"/>
  <c r="A286" i="39"/>
  <c r="A329" i="39"/>
  <c r="A309" i="39"/>
  <c r="A317" i="39"/>
  <c r="A77" i="39"/>
  <c r="A407" i="39"/>
  <c r="A411" i="39"/>
  <c r="A307" i="39"/>
  <c r="A69" i="39"/>
  <c r="A163" i="39"/>
  <c r="A189" i="39"/>
  <c r="A193" i="39"/>
  <c r="A257" i="39"/>
  <c r="A258" i="39"/>
  <c r="A288" i="39"/>
  <c r="A318" i="39"/>
  <c r="A374" i="39"/>
  <c r="A82" i="39"/>
  <c r="A116" i="39"/>
  <c r="A179" i="39"/>
  <c r="A313" i="39"/>
  <c r="A344" i="39"/>
  <c r="A89" i="39"/>
  <c r="A326" i="39"/>
  <c r="A372" i="39"/>
  <c r="A252" i="39"/>
  <c r="A287" i="39"/>
  <c r="A340" i="39"/>
  <c r="A289" i="39"/>
  <c r="A78" i="39"/>
  <c r="A87" i="39"/>
  <c r="A243" i="39"/>
  <c r="A349" i="39"/>
  <c r="A358" i="39"/>
  <c r="A362" i="39"/>
  <c r="A366" i="39"/>
  <c r="A47" i="39"/>
  <c r="A67" i="39"/>
  <c r="A95" i="39"/>
  <c r="A99" i="39"/>
  <c r="A105" i="39"/>
  <c r="A229" i="39"/>
  <c r="A238" i="39"/>
  <c r="A246" i="39"/>
  <c r="A247" i="39"/>
  <c r="A251" i="39"/>
  <c r="A277" i="39"/>
  <c r="A369" i="39"/>
  <c r="A378" i="39"/>
  <c r="A107" i="39"/>
  <c r="A244" i="39"/>
  <c r="A302" i="39"/>
  <c r="A141" i="39"/>
  <c r="A174" i="39"/>
  <c r="A180" i="39"/>
  <c r="A184" i="39"/>
  <c r="A211" i="39"/>
  <c r="A215" i="39"/>
  <c r="A219" i="39"/>
  <c r="A223" i="39"/>
  <c r="A281" i="39"/>
  <c r="A285" i="39"/>
  <c r="A303" i="39"/>
  <c r="A331" i="39"/>
  <c r="A335" i="39"/>
  <c r="A339" i="39"/>
  <c r="A97" i="39"/>
  <c r="A253" i="39"/>
  <c r="A376" i="39"/>
  <c r="A92" i="39"/>
  <c r="A170" i="39"/>
  <c r="A235" i="39"/>
  <c r="A371" i="39"/>
  <c r="A83" i="39"/>
  <c r="A114" i="39"/>
  <c r="A29" i="39"/>
  <c r="A49" i="39"/>
  <c r="A50" i="39"/>
  <c r="A54" i="39"/>
  <c r="A58" i="39"/>
  <c r="A62" i="39"/>
  <c r="A66" i="39"/>
  <c r="A80" i="39"/>
  <c r="A226" i="39"/>
  <c r="A377" i="39"/>
  <c r="A406" i="39"/>
  <c r="A28" i="39"/>
  <c r="A45" i="39"/>
  <c r="A81" i="39"/>
  <c r="A94" i="39"/>
  <c r="A109" i="39"/>
  <c r="A118" i="39"/>
  <c r="A182" i="39"/>
  <c r="A242" i="39"/>
  <c r="A255" i="39"/>
  <c r="A283" i="39"/>
  <c r="A61" i="39"/>
  <c r="A113" i="39"/>
  <c r="A173" i="39"/>
  <c r="A177" i="39"/>
  <c r="A306" i="39"/>
  <c r="A334" i="39"/>
  <c r="A400" i="39"/>
  <c r="A48" i="39"/>
  <c r="A93" i="39"/>
  <c r="A108" i="39"/>
  <c r="A190" i="39"/>
  <c r="A236" i="39"/>
  <c r="A245" i="39"/>
  <c r="A254" i="39"/>
  <c r="A259" i="39"/>
  <c r="A273" i="39"/>
  <c r="A278" i="39"/>
  <c r="A282" i="39"/>
  <c r="A310" i="39"/>
  <c r="A314" i="39"/>
  <c r="A373" i="39"/>
  <c r="A395" i="39"/>
  <c r="A404" i="39"/>
  <c r="A408" i="39"/>
  <c r="A52" i="39"/>
  <c r="A56" i="39"/>
  <c r="A60" i="39"/>
  <c r="A64" i="39"/>
  <c r="A68" i="39"/>
  <c r="A111" i="39"/>
  <c r="A112" i="39"/>
  <c r="A143" i="39"/>
  <c r="A172" i="39"/>
  <c r="A176" i="39"/>
  <c r="A213" i="39"/>
  <c r="A217" i="39"/>
  <c r="A221" i="39"/>
  <c r="A225" i="39"/>
  <c r="A239" i="39"/>
  <c r="A240" i="39"/>
  <c r="A249" i="39"/>
  <c r="A271" i="39"/>
  <c r="A276" i="39"/>
  <c r="A300" i="39"/>
  <c r="A304" i="39"/>
  <c r="A305" i="39"/>
  <c r="A328" i="39"/>
  <c r="A333" i="39"/>
  <c r="A337" i="39"/>
  <c r="A341" i="39"/>
  <c r="A342" i="39"/>
  <c r="A346" i="39"/>
  <c r="A356" i="39"/>
  <c r="A360" i="39"/>
  <c r="A364" i="39"/>
  <c r="A368" i="39"/>
  <c r="A399" i="39"/>
  <c r="A76" i="39"/>
  <c r="A237" i="39"/>
  <c r="A274" i="39"/>
  <c r="A311" i="39"/>
  <c r="A315" i="39"/>
  <c r="A396" i="39"/>
  <c r="A57" i="39"/>
  <c r="A214" i="39"/>
  <c r="A222" i="39"/>
  <c r="A250" i="39"/>
  <c r="A347" i="39"/>
  <c r="A357" i="39"/>
  <c r="A361" i="39"/>
  <c r="A365" i="39"/>
  <c r="A84" i="39"/>
  <c r="A98" i="39"/>
  <c r="A117" i="39"/>
  <c r="A181" i="39"/>
  <c r="A185" i="39"/>
  <c r="A51" i="39"/>
  <c r="A55" i="39"/>
  <c r="A59" i="39"/>
  <c r="A63" i="39"/>
  <c r="A115" i="39"/>
  <c r="A142" i="39"/>
  <c r="A171" i="39"/>
  <c r="A175" i="39"/>
  <c r="A212" i="39"/>
  <c r="A216" i="39"/>
  <c r="A220" i="39"/>
  <c r="A224" i="39"/>
  <c r="A248" i="39"/>
  <c r="A256" i="39"/>
  <c r="A327" i="39"/>
  <c r="A332" i="39"/>
  <c r="A336" i="39"/>
  <c r="A345" i="39"/>
  <c r="A355" i="39"/>
  <c r="A359" i="39"/>
  <c r="A363" i="39"/>
  <c r="A367" i="39"/>
  <c r="A397" i="39"/>
  <c r="A398" i="39"/>
  <c r="A402" i="39"/>
  <c r="A32" i="39"/>
  <c r="A85" i="39"/>
  <c r="A140" i="39"/>
  <c r="A191" i="39"/>
  <c r="A279" i="39"/>
  <c r="A325" i="39"/>
  <c r="A330" i="39"/>
  <c r="A370" i="39"/>
  <c r="A405" i="39"/>
  <c r="A409" i="39"/>
  <c r="A53" i="39"/>
  <c r="A65" i="39"/>
  <c r="A144" i="39"/>
  <c r="A218" i="39"/>
  <c r="A301" i="39"/>
  <c r="A338" i="39"/>
  <c r="A343" i="39"/>
  <c r="A75" i="39"/>
  <c r="A88" i="39"/>
  <c r="A37" i="39"/>
  <c r="A46" i="39"/>
  <c r="A86" i="39"/>
  <c r="A90" i="39"/>
  <c r="A91" i="39"/>
  <c r="A110" i="39"/>
  <c r="A119" i="39"/>
  <c r="A178" i="39"/>
  <c r="A183" i="39"/>
  <c r="A187" i="39"/>
  <c r="A188" i="39"/>
  <c r="A192" i="39"/>
  <c r="A210" i="39"/>
  <c r="A228" i="39"/>
  <c r="A270" i="39"/>
  <c r="A275" i="39"/>
  <c r="A280" i="39"/>
  <c r="A284" i="39"/>
  <c r="A312" i="39"/>
  <c r="A316" i="39"/>
  <c r="A348" i="39"/>
  <c r="A375" i="39"/>
  <c r="A410" i="39"/>
  <c r="A208" i="39"/>
  <c r="A205" i="39"/>
  <c r="I392" i="39"/>
  <c r="A390" i="39"/>
  <c r="A391" i="39"/>
  <c r="A393" i="39"/>
  <c r="A394" i="39"/>
  <c r="A295" i="39"/>
  <c r="A296" i="39"/>
  <c r="A297" i="39"/>
  <c r="A298" i="39"/>
  <c r="A299" i="39"/>
  <c r="A265" i="39"/>
  <c r="A266" i="39"/>
  <c r="A267" i="39"/>
  <c r="A268" i="39"/>
  <c r="A269" i="39"/>
  <c r="I205" i="39"/>
  <c r="I208" i="39"/>
  <c r="A206" i="39"/>
  <c r="A207" i="39"/>
  <c r="A209" i="39"/>
  <c r="I163" i="39"/>
  <c r="A155" i="39"/>
  <c r="A156" i="39"/>
  <c r="A157" i="39"/>
  <c r="A158" i="39"/>
  <c r="A159" i="39"/>
  <c r="A160" i="39"/>
  <c r="A161" i="39"/>
  <c r="A162" i="39"/>
  <c r="A164" i="39"/>
  <c r="A145" i="39"/>
  <c r="A146" i="39"/>
  <c r="A147" i="39"/>
  <c r="A148" i="39"/>
  <c r="A149" i="39"/>
  <c r="A150" i="39"/>
  <c r="A151" i="39"/>
  <c r="A152" i="39"/>
  <c r="A153" i="39"/>
  <c r="A154" i="39"/>
  <c r="A127" i="39"/>
  <c r="I127" i="39"/>
  <c r="A120" i="39"/>
  <c r="A121" i="39"/>
  <c r="A122" i="39"/>
  <c r="A123" i="39"/>
  <c r="A124" i="39"/>
  <c r="A125" i="39"/>
  <c r="A126" i="39"/>
  <c r="A128" i="39"/>
  <c r="A129" i="39"/>
  <c r="A19" i="39"/>
  <c r="A38" i="39"/>
  <c r="A17" i="39"/>
  <c r="A23" i="39"/>
  <c r="A35" i="39"/>
  <c r="A30" i="39"/>
  <c r="A34" i="39"/>
  <c r="A21" i="39"/>
  <c r="A26" i="39"/>
  <c r="A31" i="39"/>
  <c r="A20" i="39"/>
  <c r="A25" i="39"/>
  <c r="A39" i="39"/>
  <c r="A24" i="39"/>
  <c r="A16" i="39"/>
  <c r="A22" i="39"/>
  <c r="A27" i="39"/>
  <c r="A33" i="39"/>
  <c r="A36" i="39"/>
  <c r="A15" i="39"/>
  <c r="BC384" i="39"/>
  <c r="AT384" i="39"/>
  <c r="AB384" i="39"/>
  <c r="V384" i="39"/>
  <c r="F384" i="39"/>
  <c r="C384" i="39"/>
  <c r="I384" i="39" s="1"/>
  <c r="BC383" i="39"/>
  <c r="AT383" i="39"/>
  <c r="AB383" i="39"/>
  <c r="V383" i="39"/>
  <c r="F383" i="39"/>
  <c r="C383" i="39"/>
  <c r="I383" i="39" s="1"/>
  <c r="BC382" i="39"/>
  <c r="AT382" i="39"/>
  <c r="AB382" i="39"/>
  <c r="V382" i="39"/>
  <c r="F382" i="39"/>
  <c r="C382" i="39"/>
  <c r="I382" i="39" s="1"/>
  <c r="BC381" i="39"/>
  <c r="AT381" i="39"/>
  <c r="AB381" i="39"/>
  <c r="V381" i="39"/>
  <c r="F381" i="39"/>
  <c r="C381" i="39"/>
  <c r="I381" i="39" s="1"/>
  <c r="BC380" i="39"/>
  <c r="AT380" i="39"/>
  <c r="AB380" i="39"/>
  <c r="V380" i="39"/>
  <c r="F380" i="39"/>
  <c r="C380" i="39"/>
  <c r="I380" i="39" s="1"/>
  <c r="BC354" i="39"/>
  <c r="AT354" i="39"/>
  <c r="AB354" i="39"/>
  <c r="V354" i="39"/>
  <c r="F354" i="39"/>
  <c r="C354" i="39"/>
  <c r="I354" i="39" s="1"/>
  <c r="BC353" i="39"/>
  <c r="AT353" i="39"/>
  <c r="AB353" i="39"/>
  <c r="V353" i="39"/>
  <c r="F353" i="39"/>
  <c r="C353" i="39"/>
  <c r="I353" i="39" s="1"/>
  <c r="BC352" i="39"/>
  <c r="AT352" i="39"/>
  <c r="AB352" i="39"/>
  <c r="V352" i="39"/>
  <c r="F352" i="39"/>
  <c r="C352" i="39"/>
  <c r="I352" i="39" s="1"/>
  <c r="BC351" i="39"/>
  <c r="AT351" i="39"/>
  <c r="AB351" i="39"/>
  <c r="V351" i="39"/>
  <c r="F351" i="39"/>
  <c r="C351" i="39"/>
  <c r="I351" i="39" s="1"/>
  <c r="BC350" i="39"/>
  <c r="AT350" i="39"/>
  <c r="AB350" i="39"/>
  <c r="V350" i="39"/>
  <c r="F350" i="39"/>
  <c r="C350" i="39"/>
  <c r="I350" i="39" s="1"/>
  <c r="BC294" i="39"/>
  <c r="AT294" i="39"/>
  <c r="AB294" i="39"/>
  <c r="V294" i="39"/>
  <c r="F294" i="39"/>
  <c r="C294" i="39"/>
  <c r="I294" i="39" s="1"/>
  <c r="BC293" i="39"/>
  <c r="AT293" i="39"/>
  <c r="AB293" i="39"/>
  <c r="V293" i="39"/>
  <c r="F293" i="39"/>
  <c r="C293" i="39"/>
  <c r="I293" i="39" s="1"/>
  <c r="BC292" i="39"/>
  <c r="AT292" i="39"/>
  <c r="AB292" i="39"/>
  <c r="V292" i="39"/>
  <c r="F292" i="39"/>
  <c r="C292" i="39"/>
  <c r="I292" i="39" s="1"/>
  <c r="BC291" i="39"/>
  <c r="AT291" i="39"/>
  <c r="AB291" i="39"/>
  <c r="V291" i="39"/>
  <c r="F291" i="39"/>
  <c r="C291" i="39"/>
  <c r="I291" i="39" s="1"/>
  <c r="BC290" i="39"/>
  <c r="AT290" i="39"/>
  <c r="AB290" i="39"/>
  <c r="V290" i="39"/>
  <c r="F290" i="39"/>
  <c r="C290" i="39"/>
  <c r="I290" i="39" s="1"/>
  <c r="BC234" i="39"/>
  <c r="AT234" i="39"/>
  <c r="AB234" i="39"/>
  <c r="V234" i="39"/>
  <c r="F234" i="39"/>
  <c r="C234" i="39"/>
  <c r="I234" i="39" s="1"/>
  <c r="BC233" i="39"/>
  <c r="AT233" i="39"/>
  <c r="AB233" i="39"/>
  <c r="V233" i="39"/>
  <c r="F233" i="39"/>
  <c r="C233" i="39"/>
  <c r="I233" i="39" s="1"/>
  <c r="BC232" i="39"/>
  <c r="AT232" i="39"/>
  <c r="AB232" i="39"/>
  <c r="V232" i="39"/>
  <c r="F232" i="39"/>
  <c r="C232" i="39"/>
  <c r="I232" i="39" s="1"/>
  <c r="BC231" i="39"/>
  <c r="AT231" i="39"/>
  <c r="AB231" i="39"/>
  <c r="V231" i="39"/>
  <c r="F231" i="39"/>
  <c r="C231" i="39"/>
  <c r="I231" i="39" s="1"/>
  <c r="BC230" i="39"/>
  <c r="AT230" i="39"/>
  <c r="AB230" i="39"/>
  <c r="V230" i="39"/>
  <c r="F230" i="39"/>
  <c r="C230" i="39"/>
  <c r="I230" i="39" s="1"/>
  <c r="BC169" i="39"/>
  <c r="AT169" i="39"/>
  <c r="AB169" i="39"/>
  <c r="V169" i="39"/>
  <c r="F169" i="39"/>
  <c r="C169" i="39"/>
  <c r="I169" i="39" s="1"/>
  <c r="BC168" i="39"/>
  <c r="AT168" i="39"/>
  <c r="AB168" i="39"/>
  <c r="V168" i="39"/>
  <c r="F168" i="39"/>
  <c r="C168" i="39"/>
  <c r="I168" i="39" s="1"/>
  <c r="BC167" i="39"/>
  <c r="AT167" i="39"/>
  <c r="AB167" i="39"/>
  <c r="V167" i="39"/>
  <c r="F167" i="39"/>
  <c r="C167" i="39"/>
  <c r="I167" i="39" s="1"/>
  <c r="BC166" i="39"/>
  <c r="AT166" i="39"/>
  <c r="AB166" i="39"/>
  <c r="V166" i="39"/>
  <c r="F166" i="39"/>
  <c r="C166" i="39"/>
  <c r="I166" i="39" s="1"/>
  <c r="BC165" i="39"/>
  <c r="AT165" i="39"/>
  <c r="AB165" i="39"/>
  <c r="V165" i="39"/>
  <c r="F165" i="39"/>
  <c r="C165" i="39"/>
  <c r="I165" i="39" s="1"/>
  <c r="A383" i="39" l="1"/>
  <c r="A294" i="39"/>
  <c r="A353" i="39"/>
  <c r="A382" i="39"/>
  <c r="A232" i="39"/>
  <c r="A384" i="39"/>
  <c r="A233" i="39"/>
  <c r="A231" i="39"/>
  <c r="A350" i="39"/>
  <c r="A166" i="39"/>
  <c r="A234" i="39"/>
  <c r="A290" i="39"/>
  <c r="A167" i="39"/>
  <c r="A165" i="39"/>
  <c r="A351" i="39"/>
  <c r="A169" i="39"/>
  <c r="A380" i="39"/>
  <c r="A292" i="39"/>
  <c r="A352" i="39"/>
  <c r="A230" i="39"/>
  <c r="A293" i="39"/>
  <c r="A381" i="39"/>
  <c r="A168" i="39"/>
  <c r="A291" i="39"/>
  <c r="A354" i="39"/>
  <c r="BC104" i="39"/>
  <c r="AT104" i="39"/>
  <c r="AB104" i="39"/>
  <c r="V104" i="39"/>
  <c r="F104" i="39"/>
  <c r="C104" i="39"/>
  <c r="I104" i="39" s="1"/>
  <c r="BC103" i="39"/>
  <c r="AT103" i="39"/>
  <c r="AB103" i="39"/>
  <c r="V103" i="39"/>
  <c r="F103" i="39"/>
  <c r="C103" i="39"/>
  <c r="I103" i="39" s="1"/>
  <c r="BC102" i="39"/>
  <c r="AT102" i="39"/>
  <c r="AB102" i="39"/>
  <c r="V102" i="39"/>
  <c r="F102" i="39"/>
  <c r="C102" i="39"/>
  <c r="I102" i="39" s="1"/>
  <c r="BC101" i="39"/>
  <c r="AT101" i="39"/>
  <c r="AB101" i="39"/>
  <c r="V101" i="39"/>
  <c r="F101" i="39"/>
  <c r="C101" i="39"/>
  <c r="I101" i="39" s="1"/>
  <c r="BC100" i="39"/>
  <c r="AT100" i="39"/>
  <c r="AB100" i="39"/>
  <c r="V100" i="39"/>
  <c r="F100" i="39"/>
  <c r="C100" i="39"/>
  <c r="I100" i="39" s="1"/>
  <c r="BC44" i="39"/>
  <c r="AT44" i="39"/>
  <c r="AB44" i="39"/>
  <c r="V44" i="39"/>
  <c r="F44" i="39"/>
  <c r="C44" i="39"/>
  <c r="I44" i="39" s="1"/>
  <c r="BC43" i="39"/>
  <c r="AT43" i="39"/>
  <c r="AB43" i="39"/>
  <c r="V43" i="39"/>
  <c r="F43" i="39"/>
  <c r="C43" i="39"/>
  <c r="I43" i="39" s="1"/>
  <c r="BC42" i="39"/>
  <c r="AT42" i="39"/>
  <c r="AB42" i="39"/>
  <c r="V42" i="39"/>
  <c r="F42" i="39"/>
  <c r="C42" i="39"/>
  <c r="I42" i="39" s="1"/>
  <c r="BC41" i="39"/>
  <c r="AT41" i="39"/>
  <c r="AB41" i="39"/>
  <c r="V41" i="39"/>
  <c r="F41" i="39"/>
  <c r="C41" i="39"/>
  <c r="I41" i="39" s="1"/>
  <c r="BC40" i="39"/>
  <c r="AT40" i="39"/>
  <c r="AB40" i="39"/>
  <c r="V40" i="39"/>
  <c r="F40" i="39"/>
  <c r="C40" i="39"/>
  <c r="I40" i="39" s="1"/>
  <c r="H6" i="41"/>
  <c r="H7" i="41"/>
  <c r="H8" i="41"/>
  <c r="H9" i="41"/>
  <c r="H10" i="41"/>
  <c r="H11" i="41"/>
  <c r="H12" i="41"/>
  <c r="H13" i="41"/>
  <c r="H14" i="41"/>
  <c r="H15" i="41"/>
  <c r="H16" i="41"/>
  <c r="H17" i="41"/>
  <c r="H18" i="41"/>
  <c r="H19" i="41"/>
  <c r="H20" i="41"/>
  <c r="H21" i="41"/>
  <c r="H22" i="41"/>
  <c r="H23" i="41"/>
  <c r="H24" i="41"/>
  <c r="H25" i="41"/>
  <c r="H26" i="41"/>
  <c r="H27" i="41"/>
  <c r="H28" i="41"/>
  <c r="H29" i="41"/>
  <c r="H30" i="41"/>
  <c r="H31" i="41"/>
  <c r="H32" i="41"/>
  <c r="H33" i="41"/>
  <c r="H34" i="41"/>
  <c r="H35" i="41"/>
  <c r="H36" i="41"/>
  <c r="H37" i="41"/>
  <c r="H38" i="41"/>
  <c r="H39" i="41"/>
  <c r="H40" i="41"/>
  <c r="H41" i="41"/>
  <c r="H42" i="41"/>
  <c r="H43" i="41"/>
  <c r="H44" i="41"/>
  <c r="H45" i="41"/>
  <c r="H46" i="41"/>
  <c r="H47" i="41"/>
  <c r="H48" i="41"/>
  <c r="H49" i="41"/>
  <c r="H50" i="41"/>
  <c r="H51" i="41"/>
  <c r="H52" i="41"/>
  <c r="H53" i="41"/>
  <c r="H54" i="41"/>
  <c r="H55" i="41"/>
  <c r="H56" i="41"/>
  <c r="H57" i="41"/>
  <c r="H58" i="41"/>
  <c r="H59" i="41"/>
  <c r="H60" i="41"/>
  <c r="H61" i="41"/>
  <c r="H62" i="41"/>
  <c r="H63" i="41"/>
  <c r="H64" i="41"/>
  <c r="H65" i="41"/>
  <c r="H66" i="41"/>
  <c r="H67" i="41"/>
  <c r="H68" i="41"/>
  <c r="H5" i="41"/>
  <c r="A41" i="39" l="1"/>
  <c r="A43" i="39"/>
  <c r="A104" i="39"/>
  <c r="A42" i="39"/>
  <c r="A40" i="39"/>
  <c r="A101" i="39"/>
  <c r="A103" i="39"/>
  <c r="A44" i="39"/>
  <c r="A102" i="39"/>
  <c r="A100" i="39"/>
  <c r="Y95" i="33"/>
  <c r="Y96" i="33"/>
  <c r="Y97" i="33"/>
  <c r="Y98" i="33"/>
  <c r="Y6" i="33"/>
  <c r="Y7" i="33"/>
  <c r="Y8" i="33"/>
  <c r="Y9" i="33"/>
  <c r="Y10" i="33"/>
  <c r="Y11" i="33"/>
  <c r="Y12" i="33"/>
  <c r="Y13" i="33"/>
  <c r="Y15" i="33"/>
  <c r="Y16" i="33"/>
  <c r="Y17" i="33"/>
  <c r="Y18" i="33"/>
  <c r="Y19" i="33"/>
  <c r="Y20" i="33"/>
  <c r="Y21" i="33"/>
  <c r="Y22" i="33"/>
  <c r="Y23" i="33"/>
  <c r="Y25" i="33"/>
  <c r="Y26" i="33"/>
  <c r="Y27" i="33"/>
  <c r="Y28" i="33"/>
  <c r="Y29" i="33"/>
  <c r="Y30" i="33"/>
  <c r="Y31" i="33"/>
  <c r="Y32" i="33"/>
  <c r="Y33" i="33"/>
  <c r="Y35" i="33"/>
  <c r="Y36" i="33"/>
  <c r="Y37" i="33"/>
  <c r="Y38" i="33"/>
  <c r="Y39" i="33"/>
  <c r="Y40" i="33"/>
  <c r="Y41" i="33"/>
  <c r="Y42" i="33"/>
  <c r="Y43" i="33"/>
  <c r="Y45" i="33"/>
  <c r="Y46" i="33"/>
  <c r="Y47" i="33"/>
  <c r="Y48" i="33"/>
  <c r="Y49" i="33"/>
  <c r="Y50" i="33"/>
  <c r="Y51" i="33"/>
  <c r="Y52" i="33"/>
  <c r="Y53" i="33"/>
  <c r="Y55" i="33"/>
  <c r="Y56" i="33"/>
  <c r="Y57" i="33"/>
  <c r="Y58" i="33"/>
  <c r="Y59" i="33"/>
  <c r="Y60" i="33"/>
  <c r="Y61" i="33"/>
  <c r="Y62" i="33"/>
  <c r="Y63" i="33"/>
  <c r="Y65" i="33"/>
  <c r="Y66" i="33"/>
  <c r="Y67" i="33"/>
  <c r="Y68" i="33"/>
  <c r="Y69" i="33"/>
  <c r="Y70" i="33"/>
  <c r="Y71" i="33"/>
  <c r="Y72" i="33"/>
  <c r="Y73" i="33"/>
  <c r="Y75" i="33"/>
  <c r="Y76" i="33"/>
  <c r="Y77" i="33"/>
  <c r="Y78" i="33"/>
  <c r="Y79" i="33"/>
  <c r="Y80" i="33"/>
  <c r="Y81" i="33"/>
  <c r="Y82" i="33"/>
  <c r="Y83" i="33"/>
  <c r="Y85" i="33"/>
  <c r="Y86" i="33"/>
  <c r="Y87" i="33"/>
  <c r="Y88" i="33"/>
  <c r="Y89" i="33"/>
  <c r="Y90" i="33"/>
  <c r="Y91" i="33"/>
  <c r="Y92" i="33"/>
  <c r="Y93" i="33"/>
  <c r="Y5" i="33"/>
  <c r="AR94" i="33" l="1"/>
  <c r="AI94" i="33"/>
  <c r="U94" i="33"/>
  <c r="F94" i="33"/>
  <c r="C94" i="33"/>
  <c r="I94" i="33" s="1"/>
  <c r="AR93" i="33"/>
  <c r="AI93" i="33"/>
  <c r="U93" i="33"/>
  <c r="F93" i="33"/>
  <c r="C93" i="33"/>
  <c r="I93" i="33" s="1"/>
  <c r="AR92" i="33"/>
  <c r="AI92" i="33"/>
  <c r="U92" i="33"/>
  <c r="F92" i="33"/>
  <c r="C92" i="33"/>
  <c r="I92" i="33" s="1"/>
  <c r="AR91" i="33"/>
  <c r="AI91" i="33"/>
  <c r="U91" i="33"/>
  <c r="F91" i="33"/>
  <c r="C91" i="33"/>
  <c r="I91" i="33" s="1"/>
  <c r="AR90" i="33"/>
  <c r="AI90" i="33"/>
  <c r="U90" i="33"/>
  <c r="F90" i="33"/>
  <c r="C90" i="33"/>
  <c r="I90" i="33" s="1"/>
  <c r="AR84" i="33"/>
  <c r="AI84" i="33"/>
  <c r="U84" i="33"/>
  <c r="F84" i="33"/>
  <c r="C84" i="33"/>
  <c r="I84" i="33" s="1"/>
  <c r="AR83" i="33"/>
  <c r="AI83" i="33"/>
  <c r="U83" i="33"/>
  <c r="F83" i="33"/>
  <c r="C83" i="33"/>
  <c r="I83" i="33" s="1"/>
  <c r="AR82" i="33"/>
  <c r="AI82" i="33"/>
  <c r="U82" i="33"/>
  <c r="F82" i="33"/>
  <c r="C82" i="33"/>
  <c r="I82" i="33" s="1"/>
  <c r="AR81" i="33"/>
  <c r="AI81" i="33"/>
  <c r="U81" i="33"/>
  <c r="F81" i="33"/>
  <c r="C81" i="33"/>
  <c r="I81" i="33" s="1"/>
  <c r="AR80" i="33"/>
  <c r="AI80" i="33"/>
  <c r="U80" i="33"/>
  <c r="F80" i="33"/>
  <c r="C80" i="33"/>
  <c r="I80" i="33" s="1"/>
  <c r="AR74" i="33"/>
  <c r="AI74" i="33"/>
  <c r="U74" i="33"/>
  <c r="F74" i="33"/>
  <c r="C74" i="33"/>
  <c r="I74" i="33" s="1"/>
  <c r="AR73" i="33"/>
  <c r="AI73" i="33"/>
  <c r="U73" i="33"/>
  <c r="F73" i="33"/>
  <c r="C73" i="33"/>
  <c r="I73" i="33" s="1"/>
  <c r="AR72" i="33"/>
  <c r="AI72" i="33"/>
  <c r="U72" i="33"/>
  <c r="F72" i="33"/>
  <c r="C72" i="33"/>
  <c r="I72" i="33" s="1"/>
  <c r="AR71" i="33"/>
  <c r="AI71" i="33"/>
  <c r="U71" i="33"/>
  <c r="F71" i="33"/>
  <c r="C71" i="33"/>
  <c r="I71" i="33" s="1"/>
  <c r="AR70" i="33"/>
  <c r="AI70" i="33"/>
  <c r="U70" i="33"/>
  <c r="F70" i="33"/>
  <c r="C70" i="33"/>
  <c r="I70" i="33" s="1"/>
  <c r="AR64" i="33"/>
  <c r="AI64" i="33"/>
  <c r="U64" i="33"/>
  <c r="F64" i="33"/>
  <c r="C64" i="33"/>
  <c r="I64" i="33" s="1"/>
  <c r="AR63" i="33"/>
  <c r="AI63" i="33"/>
  <c r="U63" i="33"/>
  <c r="F63" i="33"/>
  <c r="C63" i="33"/>
  <c r="I63" i="33" s="1"/>
  <c r="AR62" i="33"/>
  <c r="AI62" i="33"/>
  <c r="U62" i="33"/>
  <c r="F62" i="33"/>
  <c r="C62" i="33"/>
  <c r="I62" i="33" s="1"/>
  <c r="AR61" i="33"/>
  <c r="AI61" i="33"/>
  <c r="U61" i="33"/>
  <c r="F61" i="33"/>
  <c r="C61" i="33"/>
  <c r="I61" i="33" s="1"/>
  <c r="AR60" i="33"/>
  <c r="AI60" i="33"/>
  <c r="U60" i="33"/>
  <c r="F60" i="33"/>
  <c r="C60" i="33"/>
  <c r="I60" i="33" s="1"/>
  <c r="AR54" i="33"/>
  <c r="AI54" i="33"/>
  <c r="U54" i="33"/>
  <c r="F54" i="33"/>
  <c r="C54" i="33"/>
  <c r="I54" i="33" s="1"/>
  <c r="AR53" i="33"/>
  <c r="AI53" i="33"/>
  <c r="U53" i="33"/>
  <c r="F53" i="33"/>
  <c r="C53" i="33"/>
  <c r="I53" i="33" s="1"/>
  <c r="AR52" i="33"/>
  <c r="AI52" i="33"/>
  <c r="U52" i="33"/>
  <c r="F52" i="33"/>
  <c r="C52" i="33"/>
  <c r="I52" i="33" s="1"/>
  <c r="AR51" i="33"/>
  <c r="AI51" i="33"/>
  <c r="U51" i="33"/>
  <c r="F51" i="33"/>
  <c r="C51" i="33"/>
  <c r="I51" i="33" s="1"/>
  <c r="AR50" i="33"/>
  <c r="AI50" i="33"/>
  <c r="U50" i="33"/>
  <c r="F50" i="33"/>
  <c r="C50" i="33"/>
  <c r="I50" i="33" s="1"/>
  <c r="AR44" i="33"/>
  <c r="AI44" i="33"/>
  <c r="U44" i="33"/>
  <c r="F44" i="33"/>
  <c r="C44" i="33"/>
  <c r="I44" i="33" s="1"/>
  <c r="AR43" i="33"/>
  <c r="AI43" i="33"/>
  <c r="U43" i="33"/>
  <c r="F43" i="33"/>
  <c r="C43" i="33"/>
  <c r="I43" i="33" s="1"/>
  <c r="AR42" i="33"/>
  <c r="AI42" i="33"/>
  <c r="U42" i="33"/>
  <c r="F42" i="33"/>
  <c r="C42" i="33"/>
  <c r="I42" i="33" s="1"/>
  <c r="AR41" i="33"/>
  <c r="AI41" i="33"/>
  <c r="U41" i="33"/>
  <c r="F41" i="33"/>
  <c r="C41" i="33"/>
  <c r="I41" i="33" s="1"/>
  <c r="AR40" i="33"/>
  <c r="AI40" i="33"/>
  <c r="U40" i="33"/>
  <c r="F40" i="33"/>
  <c r="C40" i="33"/>
  <c r="I40" i="33" s="1"/>
  <c r="AR34" i="33"/>
  <c r="AI34" i="33"/>
  <c r="U34" i="33"/>
  <c r="F34" i="33"/>
  <c r="C34" i="33"/>
  <c r="I34" i="33" s="1"/>
  <c r="AR33" i="33"/>
  <c r="AI33" i="33"/>
  <c r="U33" i="33"/>
  <c r="F33" i="33"/>
  <c r="C33" i="33"/>
  <c r="I33" i="33" s="1"/>
  <c r="AR32" i="33"/>
  <c r="AI32" i="33"/>
  <c r="U32" i="33"/>
  <c r="F32" i="33"/>
  <c r="C32" i="33"/>
  <c r="I32" i="33" s="1"/>
  <c r="AR31" i="33"/>
  <c r="AI31" i="33"/>
  <c r="U31" i="33"/>
  <c r="F31" i="33"/>
  <c r="C31" i="33"/>
  <c r="I31" i="33" s="1"/>
  <c r="AR30" i="33"/>
  <c r="AI30" i="33"/>
  <c r="U30" i="33"/>
  <c r="F30" i="33"/>
  <c r="C30" i="33"/>
  <c r="I30" i="33" s="1"/>
  <c r="AR24" i="33"/>
  <c r="AI24" i="33"/>
  <c r="U24" i="33"/>
  <c r="F24" i="33"/>
  <c r="C24" i="33"/>
  <c r="I24" i="33" s="1"/>
  <c r="AR23" i="33"/>
  <c r="AI23" i="33"/>
  <c r="U23" i="33"/>
  <c r="F23" i="33"/>
  <c r="C23" i="33"/>
  <c r="I23" i="33" s="1"/>
  <c r="AR22" i="33"/>
  <c r="AI22" i="33"/>
  <c r="U22" i="33"/>
  <c r="F22" i="33"/>
  <c r="C22" i="33"/>
  <c r="I22" i="33" s="1"/>
  <c r="AR21" i="33"/>
  <c r="AI21" i="33"/>
  <c r="U21" i="33"/>
  <c r="F21" i="33"/>
  <c r="C21" i="33"/>
  <c r="I21" i="33" s="1"/>
  <c r="AR20" i="33"/>
  <c r="AI20" i="33"/>
  <c r="U20" i="33"/>
  <c r="F20" i="33"/>
  <c r="C20" i="33"/>
  <c r="A72" i="33" l="1"/>
  <c r="A90" i="33"/>
  <c r="A24" i="33"/>
  <c r="A64" i="33"/>
  <c r="A82" i="33"/>
  <c r="A30" i="33"/>
  <c r="A52" i="33"/>
  <c r="A20" i="33"/>
  <c r="I20" i="33"/>
  <c r="A54" i="33"/>
  <c r="A84" i="33"/>
  <c r="A23" i="33"/>
  <c r="A31" i="33"/>
  <c r="A50" i="33"/>
  <c r="A53" i="33"/>
  <c r="A91" i="33"/>
  <c r="A71" i="33"/>
  <c r="A92" i="33"/>
  <c r="A43" i="33"/>
  <c r="A62" i="33"/>
  <c r="A70" i="33"/>
  <c r="A32" i="33"/>
  <c r="A22" i="33"/>
  <c r="A63" i="33"/>
  <c r="A61" i="33"/>
  <c r="A81" i="33"/>
  <c r="A34" i="33"/>
  <c r="A42" i="33"/>
  <c r="A60" i="33"/>
  <c r="A80" i="33"/>
  <c r="A51" i="33"/>
  <c r="A41" i="33"/>
  <c r="A83" i="33"/>
  <c r="A40" i="33"/>
  <c r="A44" i="33"/>
  <c r="A73" i="33"/>
  <c r="A93" i="33"/>
  <c r="A21" i="33"/>
  <c r="A94" i="33"/>
  <c r="A74" i="33"/>
  <c r="A33" i="33"/>
  <c r="AR14" i="33"/>
  <c r="AI14" i="33"/>
  <c r="U14" i="33"/>
  <c r="F14" i="33"/>
  <c r="C14" i="33"/>
  <c r="I14" i="33" s="1"/>
  <c r="AR13" i="33"/>
  <c r="AI13" i="33"/>
  <c r="U13" i="33"/>
  <c r="F13" i="33"/>
  <c r="C13" i="33"/>
  <c r="I13" i="33" s="1"/>
  <c r="AR12" i="33"/>
  <c r="AI12" i="33"/>
  <c r="U12" i="33"/>
  <c r="F12" i="33"/>
  <c r="C12" i="33"/>
  <c r="I12" i="33" s="1"/>
  <c r="AR11" i="33"/>
  <c r="AI11" i="33"/>
  <c r="U11" i="33"/>
  <c r="F11" i="33"/>
  <c r="C11" i="33"/>
  <c r="I11" i="33" s="1"/>
  <c r="AR10" i="33"/>
  <c r="AI10" i="33"/>
  <c r="U10" i="33"/>
  <c r="F10" i="33"/>
  <c r="C10" i="33"/>
  <c r="I10" i="33" s="1"/>
  <c r="A11" i="33" l="1"/>
  <c r="A14" i="33"/>
  <c r="A12" i="33"/>
  <c r="A10" i="33"/>
  <c r="A13" i="33"/>
  <c r="AG6" i="9" l="1"/>
  <c r="AG7" i="9"/>
  <c r="AG8" i="9"/>
  <c r="AG9" i="9"/>
  <c r="AG10" i="9"/>
  <c r="AG11" i="9"/>
  <c r="AG12" i="9"/>
  <c r="AG13" i="9"/>
  <c r="AG14" i="9"/>
  <c r="AG15" i="9"/>
  <c r="AG16" i="9"/>
  <c r="AG17" i="9"/>
  <c r="AG18" i="9"/>
  <c r="AG19" i="9"/>
  <c r="AG20" i="9"/>
  <c r="AG21" i="9"/>
  <c r="AG22" i="9"/>
  <c r="AG23" i="9"/>
  <c r="AG24" i="9"/>
  <c r="AG25" i="9"/>
  <c r="AG26" i="9"/>
  <c r="AG27" i="9"/>
  <c r="AG28" i="9"/>
  <c r="AG29" i="9"/>
  <c r="AG30" i="9"/>
  <c r="AG31" i="9"/>
  <c r="AG32" i="9"/>
  <c r="AG33" i="9"/>
  <c r="AG34" i="9"/>
  <c r="AG35" i="9"/>
  <c r="AG36" i="9"/>
  <c r="AG37" i="9"/>
  <c r="AG38" i="9"/>
  <c r="AG39" i="9"/>
  <c r="AG40" i="9"/>
  <c r="AG41" i="9"/>
  <c r="AG42" i="9"/>
  <c r="AG43" i="9"/>
  <c r="AG44" i="9"/>
  <c r="AG45" i="9"/>
  <c r="AG46" i="9"/>
  <c r="AG47" i="9"/>
  <c r="AG48" i="9"/>
  <c r="AG49" i="9"/>
  <c r="AG50" i="9"/>
  <c r="AG51" i="9"/>
  <c r="AG52" i="9"/>
  <c r="AG53" i="9"/>
  <c r="AG54" i="9"/>
  <c r="AG55" i="9"/>
  <c r="AG56" i="9"/>
  <c r="AG57" i="9"/>
  <c r="AG58" i="9"/>
  <c r="AG59" i="9"/>
  <c r="AG60" i="9"/>
  <c r="AG61" i="9"/>
  <c r="AG62" i="9"/>
  <c r="AG63" i="9"/>
  <c r="AG64" i="9"/>
  <c r="AG65" i="9"/>
  <c r="AG66" i="9"/>
  <c r="AG67" i="9"/>
  <c r="AG68" i="9"/>
  <c r="AG69" i="9"/>
  <c r="AG70" i="9"/>
  <c r="AG71" i="9"/>
  <c r="AG72" i="9"/>
  <c r="AG73" i="9"/>
  <c r="AG74" i="9"/>
  <c r="AG75" i="9"/>
  <c r="AG76" i="9"/>
  <c r="AG77" i="9"/>
  <c r="AG78" i="9"/>
  <c r="AG79" i="9"/>
  <c r="AG80" i="9"/>
  <c r="AG81" i="9"/>
  <c r="AG82" i="9"/>
  <c r="AG83" i="9"/>
  <c r="AG84" i="9"/>
  <c r="AG85" i="9"/>
  <c r="AG86" i="9"/>
  <c r="AG87" i="9"/>
  <c r="AG88" i="9"/>
  <c r="AG89" i="9"/>
  <c r="AG90" i="9"/>
  <c r="AG91" i="9"/>
  <c r="AG92" i="9"/>
  <c r="AG93" i="9"/>
  <c r="AG94" i="9"/>
  <c r="AG95" i="9"/>
  <c r="AG96" i="9"/>
  <c r="AG97" i="9"/>
  <c r="AG98" i="9"/>
  <c r="AG99" i="9"/>
  <c r="AG100" i="9"/>
  <c r="AG101" i="9"/>
  <c r="AG102" i="9"/>
  <c r="AG103" i="9"/>
  <c r="AG104" i="9"/>
  <c r="AG105" i="9"/>
  <c r="AG106" i="9"/>
  <c r="AG107" i="9"/>
  <c r="AG108" i="9"/>
  <c r="AG109" i="9"/>
  <c r="AG110" i="9"/>
  <c r="AG111" i="9"/>
  <c r="AG112" i="9"/>
  <c r="AG113" i="9"/>
  <c r="AG114" i="9"/>
  <c r="AG115" i="9"/>
  <c r="AG116" i="9"/>
  <c r="AG117" i="9"/>
  <c r="AG118" i="9"/>
  <c r="AG119" i="9"/>
  <c r="AG120" i="9"/>
  <c r="AG121" i="9"/>
  <c r="AG122" i="9"/>
  <c r="AG123" i="9"/>
  <c r="AG124" i="9"/>
  <c r="AG125" i="9"/>
  <c r="AG126" i="9"/>
  <c r="AG127" i="9"/>
  <c r="AG128" i="9"/>
  <c r="AG129" i="9"/>
  <c r="AG130" i="9"/>
  <c r="AG131" i="9"/>
  <c r="AG132" i="9"/>
  <c r="AG133" i="9"/>
  <c r="AG134" i="9"/>
  <c r="AG135" i="9"/>
  <c r="AG136" i="9"/>
  <c r="AG137" i="9"/>
  <c r="AG138" i="9"/>
  <c r="AG139" i="9"/>
  <c r="AG140" i="9"/>
  <c r="AG141" i="9"/>
  <c r="AG142" i="9"/>
  <c r="AG143" i="9"/>
  <c r="AG144" i="9"/>
  <c r="AG145" i="9"/>
  <c r="AG146" i="9"/>
  <c r="AG147" i="9"/>
  <c r="AG148" i="9"/>
  <c r="AG149" i="9"/>
  <c r="AG150" i="9"/>
  <c r="AG151" i="9"/>
  <c r="AG152" i="9"/>
  <c r="AG153" i="9"/>
  <c r="AG154" i="9"/>
  <c r="AG155" i="9"/>
  <c r="AG156" i="9"/>
  <c r="AG157" i="9"/>
  <c r="AG158" i="9"/>
  <c r="AG159" i="9"/>
  <c r="AG160" i="9"/>
  <c r="AG161" i="9"/>
  <c r="AG162" i="9"/>
  <c r="AG163" i="9"/>
  <c r="AG164" i="9"/>
  <c r="AG165" i="9"/>
  <c r="AG166" i="9"/>
  <c r="AG167" i="9"/>
  <c r="AG168" i="9"/>
  <c r="AG169" i="9"/>
  <c r="AG170" i="9"/>
  <c r="AG171" i="9"/>
  <c r="AG172" i="9"/>
  <c r="AG173" i="9"/>
  <c r="AG174" i="9"/>
  <c r="AG175" i="9"/>
  <c r="AG176" i="9"/>
  <c r="AG177" i="9"/>
  <c r="AG178" i="9"/>
  <c r="AG179" i="9"/>
  <c r="AG180" i="9"/>
  <c r="AG181" i="9"/>
  <c r="AG182" i="9"/>
  <c r="AG183" i="9"/>
  <c r="AG184" i="9"/>
  <c r="AG185" i="9"/>
  <c r="AG186" i="9"/>
  <c r="AG187" i="9"/>
  <c r="AG188" i="9"/>
  <c r="AG189" i="9"/>
  <c r="AG190" i="9"/>
  <c r="AG191" i="9"/>
  <c r="AG192" i="9"/>
  <c r="AG193" i="9"/>
  <c r="AG194" i="9"/>
  <c r="AG195" i="9"/>
  <c r="AG196" i="9"/>
  <c r="AG197" i="9"/>
  <c r="AG198" i="9"/>
  <c r="AG199" i="9"/>
  <c r="AG200" i="9"/>
  <c r="AG201" i="9"/>
  <c r="AG202" i="9"/>
  <c r="AG203" i="9"/>
  <c r="AG204" i="9"/>
  <c r="AG205" i="9"/>
  <c r="AG206" i="9"/>
  <c r="AG207" i="9"/>
  <c r="AG208" i="9"/>
  <c r="AG209" i="9"/>
  <c r="AG210" i="9"/>
  <c r="AG211" i="9"/>
  <c r="AG212" i="9"/>
  <c r="AG213" i="9"/>
  <c r="AG214" i="9"/>
  <c r="AG215" i="9"/>
  <c r="AG216" i="9"/>
  <c r="AG217" i="9"/>
  <c r="AG218" i="9"/>
  <c r="AG219" i="9"/>
  <c r="AG220" i="9"/>
  <c r="AG221" i="9"/>
  <c r="AG222" i="9"/>
  <c r="AG223" i="9"/>
  <c r="AG224" i="9"/>
  <c r="AG225" i="9"/>
  <c r="AG226" i="9"/>
  <c r="AG227" i="9"/>
  <c r="AG228" i="9"/>
  <c r="AG229" i="9"/>
  <c r="AG230" i="9"/>
  <c r="AG231" i="9"/>
  <c r="AG232" i="9"/>
  <c r="AG233" i="9"/>
  <c r="AG234" i="9"/>
  <c r="AG235" i="9"/>
  <c r="AG236" i="9"/>
  <c r="AG237" i="9"/>
  <c r="AG238" i="9"/>
  <c r="AG239" i="9"/>
  <c r="AG240" i="9"/>
  <c r="AG241" i="9"/>
  <c r="AG242" i="9"/>
  <c r="AG243" i="9"/>
  <c r="AG244" i="9"/>
  <c r="AG245" i="9"/>
  <c r="AG246" i="9"/>
  <c r="AG247" i="9"/>
  <c r="AG248" i="9"/>
  <c r="AG249" i="9"/>
  <c r="AG250" i="9"/>
  <c r="AG251" i="9"/>
  <c r="AG252" i="9"/>
  <c r="AG253" i="9"/>
  <c r="AG254" i="9"/>
  <c r="AG255" i="9"/>
  <c r="AG256" i="9"/>
  <c r="AG257" i="9"/>
  <c r="AG258" i="9"/>
  <c r="AG259" i="9"/>
  <c r="AG260" i="9"/>
  <c r="AG261" i="9"/>
  <c r="AG262" i="9"/>
  <c r="AG263" i="9"/>
  <c r="AG264" i="9"/>
  <c r="AG265" i="9"/>
  <c r="AG266" i="9"/>
  <c r="AG267" i="9"/>
  <c r="AG268" i="9"/>
  <c r="AG269" i="9"/>
  <c r="AG270" i="9"/>
  <c r="AG271" i="9"/>
  <c r="AG272" i="9"/>
  <c r="AG273" i="9"/>
  <c r="AG274" i="9"/>
  <c r="AG275" i="9"/>
  <c r="AG276" i="9"/>
  <c r="AG277" i="9"/>
  <c r="AG278" i="9"/>
  <c r="AG279" i="9"/>
  <c r="AG280" i="9"/>
  <c r="AG281" i="9"/>
  <c r="AG282" i="9"/>
  <c r="AG283" i="9"/>
  <c r="AG284" i="9"/>
  <c r="AG285" i="9"/>
  <c r="AG286" i="9"/>
  <c r="AG287" i="9"/>
  <c r="AG288" i="9"/>
  <c r="AG289" i="9"/>
  <c r="AG290" i="9"/>
  <c r="AG291" i="9"/>
  <c r="AG292" i="9"/>
  <c r="AG293" i="9"/>
  <c r="AG294" i="9"/>
  <c r="AG295" i="9"/>
  <c r="AG296" i="9"/>
  <c r="AG297" i="9"/>
  <c r="AG298" i="9"/>
  <c r="AG299" i="9"/>
  <c r="AG300" i="9"/>
  <c r="AG301" i="9"/>
  <c r="AG302" i="9"/>
  <c r="AG303" i="9"/>
  <c r="AG304" i="9"/>
  <c r="AG5" i="9"/>
  <c r="BC389" i="39" l="1"/>
  <c r="AT389" i="39"/>
  <c r="AB389" i="39"/>
  <c r="V389" i="39"/>
  <c r="F389" i="39"/>
  <c r="C389" i="39"/>
  <c r="I389" i="39" s="1"/>
  <c r="BC388" i="39"/>
  <c r="AT388" i="39"/>
  <c r="AB388" i="39"/>
  <c r="V388" i="39"/>
  <c r="F388" i="39"/>
  <c r="C388" i="39"/>
  <c r="I388" i="39" s="1"/>
  <c r="BC387" i="39"/>
  <c r="AT387" i="39"/>
  <c r="AB387" i="39"/>
  <c r="V387" i="39"/>
  <c r="F387" i="39"/>
  <c r="C387" i="39"/>
  <c r="I387" i="39" s="1"/>
  <c r="BC386" i="39"/>
  <c r="AT386" i="39"/>
  <c r="AB386" i="39"/>
  <c r="V386" i="39"/>
  <c r="F386" i="39"/>
  <c r="C386" i="39"/>
  <c r="I386" i="39" s="1"/>
  <c r="BC385" i="39"/>
  <c r="AT385" i="39"/>
  <c r="AB385" i="39"/>
  <c r="V385" i="39"/>
  <c r="F385" i="39"/>
  <c r="C385" i="39"/>
  <c r="I385" i="39" s="1"/>
  <c r="BC324" i="39"/>
  <c r="AT324" i="39"/>
  <c r="AB324" i="39"/>
  <c r="V324" i="39"/>
  <c r="F324" i="39"/>
  <c r="C324" i="39"/>
  <c r="I324" i="39" s="1"/>
  <c r="BC323" i="39"/>
  <c r="AT323" i="39"/>
  <c r="AB323" i="39"/>
  <c r="V323" i="39"/>
  <c r="F323" i="39"/>
  <c r="C323" i="39"/>
  <c r="I323" i="39" s="1"/>
  <c r="BC322" i="39"/>
  <c r="AT322" i="39"/>
  <c r="AB322" i="39"/>
  <c r="V322" i="39"/>
  <c r="F322" i="39"/>
  <c r="C322" i="39"/>
  <c r="I322" i="39" s="1"/>
  <c r="BC321" i="39"/>
  <c r="AT321" i="39"/>
  <c r="AB321" i="39"/>
  <c r="V321" i="39"/>
  <c r="F321" i="39"/>
  <c r="C321" i="39"/>
  <c r="I321" i="39" s="1"/>
  <c r="BC320" i="39"/>
  <c r="AT320" i="39"/>
  <c r="AB320" i="39"/>
  <c r="V320" i="39"/>
  <c r="F320" i="39"/>
  <c r="C320" i="39"/>
  <c r="I320" i="39" s="1"/>
  <c r="BC264" i="39"/>
  <c r="AT264" i="39"/>
  <c r="AB264" i="39"/>
  <c r="V264" i="39"/>
  <c r="F264" i="39"/>
  <c r="C264" i="39"/>
  <c r="I264" i="39" s="1"/>
  <c r="BC263" i="39"/>
  <c r="AT263" i="39"/>
  <c r="AB263" i="39"/>
  <c r="V263" i="39"/>
  <c r="F263" i="39"/>
  <c r="C263" i="39"/>
  <c r="I263" i="39" s="1"/>
  <c r="BC262" i="39"/>
  <c r="AT262" i="39"/>
  <c r="AB262" i="39"/>
  <c r="V262" i="39"/>
  <c r="F262" i="39"/>
  <c r="C262" i="39"/>
  <c r="I262" i="39" s="1"/>
  <c r="BC261" i="39"/>
  <c r="AT261" i="39"/>
  <c r="AB261" i="39"/>
  <c r="V261" i="39"/>
  <c r="F261" i="39"/>
  <c r="C261" i="39"/>
  <c r="I261" i="39" s="1"/>
  <c r="BC260" i="39"/>
  <c r="AT260" i="39"/>
  <c r="AB260" i="39"/>
  <c r="V260" i="39"/>
  <c r="F260" i="39"/>
  <c r="C260" i="39"/>
  <c r="I260" i="39" s="1"/>
  <c r="BC14" i="39"/>
  <c r="AT14" i="39"/>
  <c r="V14" i="39"/>
  <c r="F14" i="39"/>
  <c r="C14" i="39"/>
  <c r="I14" i="39" s="1"/>
  <c r="BC13" i="39"/>
  <c r="AT13" i="39"/>
  <c r="V13" i="39"/>
  <c r="F13" i="39"/>
  <c r="C13" i="39"/>
  <c r="I13" i="39" s="1"/>
  <c r="BC12" i="39"/>
  <c r="AT12" i="39"/>
  <c r="V12" i="39"/>
  <c r="F12" i="39"/>
  <c r="C12" i="39"/>
  <c r="I12" i="39" s="1"/>
  <c r="BC11" i="39"/>
  <c r="AT11" i="39"/>
  <c r="V11" i="39"/>
  <c r="F11" i="39"/>
  <c r="C11" i="39"/>
  <c r="I11" i="39" s="1"/>
  <c r="BC10" i="39"/>
  <c r="AT10" i="39"/>
  <c r="V10" i="39"/>
  <c r="F10" i="39"/>
  <c r="C10" i="39"/>
  <c r="I10" i="39" s="1"/>
  <c r="BC9" i="39"/>
  <c r="AT9" i="39"/>
  <c r="AB9" i="39"/>
  <c r="V9" i="39"/>
  <c r="F9" i="39"/>
  <c r="C9" i="39"/>
  <c r="I9" i="39" s="1"/>
  <c r="BC8" i="39"/>
  <c r="AT8" i="39"/>
  <c r="AB8" i="39"/>
  <c r="V8" i="39"/>
  <c r="F8" i="39"/>
  <c r="C8" i="39"/>
  <c r="I8" i="39" s="1"/>
  <c r="BC7" i="39"/>
  <c r="AT7" i="39"/>
  <c r="AB7" i="39"/>
  <c r="V7" i="39"/>
  <c r="F7" i="39"/>
  <c r="C7" i="39"/>
  <c r="I7" i="39" s="1"/>
  <c r="BC6" i="39"/>
  <c r="AT6" i="39"/>
  <c r="AB6" i="39"/>
  <c r="V6" i="39"/>
  <c r="F6" i="39"/>
  <c r="C6" i="39"/>
  <c r="I6" i="39" s="1"/>
  <c r="BC5" i="39"/>
  <c r="AT5" i="39"/>
  <c r="AB5" i="39"/>
  <c r="V5" i="39"/>
  <c r="F5" i="39"/>
  <c r="C5" i="39"/>
  <c r="I5" i="39" s="1"/>
  <c r="A324" i="39" l="1"/>
  <c r="A389" i="39"/>
  <c r="A9" i="39"/>
  <c r="A12" i="39"/>
  <c r="A388" i="39"/>
  <c r="A321" i="39"/>
  <c r="A322" i="39"/>
  <c r="A387" i="39"/>
  <c r="A386" i="39"/>
  <c r="A260" i="39"/>
  <c r="A320" i="39"/>
  <c r="A263" i="39"/>
  <c r="A264" i="39"/>
  <c r="A8" i="39"/>
  <c r="A11" i="39"/>
  <c r="A385" i="39"/>
  <c r="A262" i="39"/>
  <c r="A323" i="39"/>
  <c r="A10" i="39"/>
  <c r="A261" i="39"/>
  <c r="A7" i="39"/>
  <c r="A6" i="39"/>
  <c r="A14" i="39"/>
  <c r="A5" i="39"/>
  <c r="A13" i="39"/>
  <c r="AB135" i="39"/>
  <c r="AB136" i="39"/>
  <c r="AB137" i="39"/>
  <c r="AB138" i="39"/>
  <c r="AB139" i="39"/>
  <c r="AB70" i="39"/>
  <c r="AB71" i="39"/>
  <c r="AB72" i="39"/>
  <c r="AB73" i="39"/>
  <c r="AB74" i="39"/>
  <c r="AB130" i="39"/>
  <c r="AB131" i="39"/>
  <c r="AB132" i="39"/>
  <c r="AB133" i="39"/>
  <c r="AB134" i="39"/>
  <c r="AB195" i="39"/>
  <c r="AB196" i="39"/>
  <c r="AB197" i="39"/>
  <c r="AB198" i="39"/>
  <c r="AB199" i="39"/>
  <c r="AB415" i="39"/>
  <c r="AB416" i="39"/>
  <c r="AB417" i="39"/>
  <c r="AB418" i="39"/>
  <c r="AB419" i="39"/>
  <c r="AB420" i="39"/>
  <c r="AB421" i="39"/>
  <c r="AB422" i="39"/>
  <c r="AB423" i="39"/>
  <c r="AB424" i="39"/>
  <c r="AB425" i="39"/>
  <c r="AB426" i="39"/>
  <c r="AB427" i="39"/>
  <c r="AB428" i="39"/>
  <c r="AB429" i="39"/>
  <c r="C44" i="41" l="1"/>
  <c r="C43" i="41"/>
  <c r="C42" i="41"/>
  <c r="A42" i="41" s="1"/>
  <c r="C41" i="41"/>
  <c r="C40" i="41"/>
  <c r="C14" i="41"/>
  <c r="C13" i="41"/>
  <c r="C12" i="41"/>
  <c r="A12" i="41" s="1"/>
  <c r="C11" i="41"/>
  <c r="C10" i="41"/>
  <c r="C9" i="41"/>
  <c r="C8" i="41"/>
  <c r="C7" i="41"/>
  <c r="A7" i="41" s="1"/>
  <c r="C6" i="41"/>
  <c r="A6" i="41" s="1"/>
  <c r="C5" i="41"/>
  <c r="A41" i="41" l="1"/>
  <c r="A11" i="41"/>
  <c r="A5" i="41"/>
  <c r="A13" i="41"/>
  <c r="A43" i="41"/>
  <c r="A8" i="41"/>
  <c r="A10" i="41"/>
  <c r="A40" i="41"/>
  <c r="A44" i="41"/>
  <c r="A14" i="41"/>
  <c r="A9" i="41"/>
  <c r="BG214" i="9"/>
  <c r="BE214" i="9"/>
  <c r="AW214" i="9"/>
  <c r="AR214" i="9"/>
  <c r="AM214" i="9"/>
  <c r="F214" i="9"/>
  <c r="C214" i="9"/>
  <c r="Y214" i="9" s="1"/>
  <c r="BG213" i="9"/>
  <c r="BE213" i="9"/>
  <c r="AW213" i="9"/>
  <c r="AR213" i="9"/>
  <c r="AM213" i="9"/>
  <c r="F213" i="9"/>
  <c r="C213" i="9"/>
  <c r="Y213" i="9" s="1"/>
  <c r="BG212" i="9"/>
  <c r="BE212" i="9"/>
  <c r="AW212" i="9"/>
  <c r="AR212" i="9"/>
  <c r="AM212" i="9"/>
  <c r="F212" i="9"/>
  <c r="C212" i="9"/>
  <c r="Y212" i="9" s="1"/>
  <c r="BG211" i="9"/>
  <c r="BE211" i="9"/>
  <c r="AW211" i="9"/>
  <c r="AR211" i="9"/>
  <c r="AM211" i="9"/>
  <c r="F211" i="9"/>
  <c r="C211" i="9"/>
  <c r="Y211" i="9" s="1"/>
  <c r="BG210" i="9"/>
  <c r="BE210" i="9"/>
  <c r="AW210" i="9"/>
  <c r="AR210" i="9"/>
  <c r="AM210" i="9"/>
  <c r="F210" i="9"/>
  <c r="C210" i="9"/>
  <c r="Y210" i="9" s="1"/>
  <c r="BG209" i="9"/>
  <c r="BE209" i="9"/>
  <c r="AW209" i="9"/>
  <c r="AR209" i="9"/>
  <c r="AM209" i="9"/>
  <c r="F209" i="9"/>
  <c r="C209" i="9"/>
  <c r="Y209" i="9" s="1"/>
  <c r="BG208" i="9"/>
  <c r="BE208" i="9"/>
  <c r="AW208" i="9"/>
  <c r="AR208" i="9"/>
  <c r="AM208" i="9"/>
  <c r="F208" i="9"/>
  <c r="C208" i="9"/>
  <c r="Y208" i="9" s="1"/>
  <c r="BG207" i="9"/>
  <c r="BE207" i="9"/>
  <c r="AW207" i="9"/>
  <c r="AR207" i="9"/>
  <c r="AM207" i="9"/>
  <c r="F207" i="9"/>
  <c r="C207" i="9"/>
  <c r="Y207" i="9" s="1"/>
  <c r="BG206" i="9"/>
  <c r="BE206" i="9"/>
  <c r="AW206" i="9"/>
  <c r="AR206" i="9"/>
  <c r="AM206" i="9"/>
  <c r="F206" i="9"/>
  <c r="C206" i="9"/>
  <c r="Y206" i="9" s="1"/>
  <c r="BG205" i="9"/>
  <c r="BE205" i="9"/>
  <c r="AW205" i="9"/>
  <c r="AR205" i="9"/>
  <c r="AM205" i="9"/>
  <c r="F205" i="9"/>
  <c r="C205" i="9"/>
  <c r="Y205" i="9" s="1"/>
  <c r="BG204" i="9"/>
  <c r="BE204" i="9"/>
  <c r="AW204" i="9"/>
  <c r="AR204" i="9"/>
  <c r="AM204" i="9"/>
  <c r="F204" i="9"/>
  <c r="C204" i="9"/>
  <c r="Y204" i="9" s="1"/>
  <c r="BG203" i="9"/>
  <c r="BE203" i="9"/>
  <c r="AW203" i="9"/>
  <c r="AR203" i="9"/>
  <c r="AM203" i="9"/>
  <c r="F203" i="9"/>
  <c r="C203" i="9"/>
  <c r="Y203" i="9" s="1"/>
  <c r="BG202" i="9"/>
  <c r="BE202" i="9"/>
  <c r="AW202" i="9"/>
  <c r="AR202" i="9"/>
  <c r="AM202" i="9"/>
  <c r="F202" i="9"/>
  <c r="C202" i="9"/>
  <c r="Y202" i="9" s="1"/>
  <c r="BG201" i="9"/>
  <c r="BE201" i="9"/>
  <c r="AW201" i="9"/>
  <c r="AR201" i="9"/>
  <c r="AM201" i="9"/>
  <c r="F201" i="9"/>
  <c r="C201" i="9"/>
  <c r="Y201" i="9" s="1"/>
  <c r="BG200" i="9"/>
  <c r="BE200" i="9"/>
  <c r="AW200" i="9"/>
  <c r="AR200" i="9"/>
  <c r="AM200" i="9"/>
  <c r="F200" i="9"/>
  <c r="C200" i="9"/>
  <c r="Y200" i="9" s="1"/>
  <c r="BG199" i="9"/>
  <c r="BE199" i="9"/>
  <c r="AW199" i="9"/>
  <c r="AR199" i="9"/>
  <c r="AM199" i="9"/>
  <c r="F199" i="9"/>
  <c r="C199" i="9"/>
  <c r="Y199" i="9" s="1"/>
  <c r="BG198" i="9"/>
  <c r="BE198" i="9"/>
  <c r="AW198" i="9"/>
  <c r="AR198" i="9"/>
  <c r="AM198" i="9"/>
  <c r="F198" i="9"/>
  <c r="C198" i="9"/>
  <c r="Y198" i="9" s="1"/>
  <c r="BG197" i="9"/>
  <c r="BE197" i="9"/>
  <c r="AW197" i="9"/>
  <c r="AR197" i="9"/>
  <c r="AM197" i="9"/>
  <c r="F197" i="9"/>
  <c r="C197" i="9"/>
  <c r="Y197" i="9" s="1"/>
  <c r="BG196" i="9"/>
  <c r="BE196" i="9"/>
  <c r="AW196" i="9"/>
  <c r="AR196" i="9"/>
  <c r="AM196" i="9"/>
  <c r="F196" i="9"/>
  <c r="C196" i="9"/>
  <c r="Y196" i="9" s="1"/>
  <c r="BG195" i="9"/>
  <c r="BE195" i="9"/>
  <c r="AW195" i="9"/>
  <c r="AR195" i="9"/>
  <c r="AM195" i="9"/>
  <c r="F195" i="9"/>
  <c r="C195" i="9"/>
  <c r="Y195" i="9" s="1"/>
  <c r="BG194" i="9"/>
  <c r="BE194" i="9"/>
  <c r="AW194" i="9"/>
  <c r="AR194" i="9"/>
  <c r="AM194" i="9"/>
  <c r="F194" i="9"/>
  <c r="C194" i="9"/>
  <c r="Y194" i="9" s="1"/>
  <c r="BG193" i="9"/>
  <c r="BE193" i="9"/>
  <c r="AW193" i="9"/>
  <c r="AR193" i="9"/>
  <c r="AM193" i="9"/>
  <c r="F193" i="9"/>
  <c r="C193" i="9"/>
  <c r="Y193" i="9" s="1"/>
  <c r="BG192" i="9"/>
  <c r="BE192" i="9"/>
  <c r="AW192" i="9"/>
  <c r="AR192" i="9"/>
  <c r="AM192" i="9"/>
  <c r="F192" i="9"/>
  <c r="C192" i="9"/>
  <c r="Y192" i="9" s="1"/>
  <c r="BG191" i="9"/>
  <c r="BE191" i="9"/>
  <c r="AW191" i="9"/>
  <c r="AR191" i="9"/>
  <c r="AM191" i="9"/>
  <c r="F191" i="9"/>
  <c r="C191" i="9"/>
  <c r="Y191" i="9" s="1"/>
  <c r="BG190" i="9"/>
  <c r="BE190" i="9"/>
  <c r="AW190" i="9"/>
  <c r="AR190" i="9"/>
  <c r="AM190" i="9"/>
  <c r="F190" i="9"/>
  <c r="C190" i="9"/>
  <c r="Y190" i="9" s="1"/>
  <c r="BG189" i="9"/>
  <c r="BE189" i="9"/>
  <c r="AW189" i="9"/>
  <c r="AR189" i="9"/>
  <c r="AM189" i="9"/>
  <c r="F189" i="9"/>
  <c r="C189" i="9"/>
  <c r="Y189" i="9" s="1"/>
  <c r="BG188" i="9"/>
  <c r="BE188" i="9"/>
  <c r="AW188" i="9"/>
  <c r="AR188" i="9"/>
  <c r="AM188" i="9"/>
  <c r="F188" i="9"/>
  <c r="C188" i="9"/>
  <c r="Y188" i="9" s="1"/>
  <c r="BG187" i="9"/>
  <c r="BE187" i="9"/>
  <c r="AW187" i="9"/>
  <c r="AR187" i="9"/>
  <c r="AM187" i="9"/>
  <c r="F187" i="9"/>
  <c r="C187" i="9"/>
  <c r="Y187" i="9" s="1"/>
  <c r="BG186" i="9"/>
  <c r="BE186" i="9"/>
  <c r="AW186" i="9"/>
  <c r="AR186" i="9"/>
  <c r="AM186" i="9"/>
  <c r="F186" i="9"/>
  <c r="C186" i="9"/>
  <c r="Y186" i="9" s="1"/>
  <c r="BG185" i="9"/>
  <c r="BE185" i="9"/>
  <c r="AW185" i="9"/>
  <c r="AR185" i="9"/>
  <c r="AM185" i="9"/>
  <c r="F185" i="9"/>
  <c r="C185" i="9"/>
  <c r="Y185" i="9" s="1"/>
  <c r="AB10" i="39" l="1"/>
  <c r="AB11" i="39"/>
  <c r="AB14" i="39"/>
  <c r="AB12" i="39"/>
  <c r="AB13" i="39"/>
  <c r="A214" i="9"/>
  <c r="A192" i="9"/>
  <c r="A194" i="9"/>
  <c r="A199" i="9"/>
  <c r="A202" i="9"/>
  <c r="A185" i="9"/>
  <c r="A187" i="9"/>
  <c r="A208" i="9"/>
  <c r="A195" i="9"/>
  <c r="A191" i="9"/>
  <c r="A198" i="9"/>
  <c r="A207" i="9"/>
  <c r="A210" i="9"/>
  <c r="A190" i="9"/>
  <c r="A200" i="9"/>
  <c r="A203" i="9"/>
  <c r="A206" i="9"/>
  <c r="A186" i="9"/>
  <c r="A211" i="9"/>
  <c r="A189" i="9"/>
  <c r="A193" i="9"/>
  <c r="A197" i="9"/>
  <c r="A201" i="9"/>
  <c r="A205" i="9"/>
  <c r="A209" i="9"/>
  <c r="A213" i="9"/>
  <c r="A188" i="9"/>
  <c r="A196" i="9"/>
  <c r="A204" i="9"/>
  <c r="A212" i="9"/>
  <c r="BG34" i="9" l="1"/>
  <c r="BE34" i="9"/>
  <c r="AW34" i="9"/>
  <c r="AR34" i="9"/>
  <c r="AM34" i="9"/>
  <c r="F34" i="9"/>
  <c r="C34" i="9"/>
  <c r="Y34" i="9" s="1"/>
  <c r="BG33" i="9"/>
  <c r="BE33" i="9"/>
  <c r="AW33" i="9"/>
  <c r="AR33" i="9"/>
  <c r="AM33" i="9"/>
  <c r="F33" i="9"/>
  <c r="C33" i="9"/>
  <c r="Y33" i="9" s="1"/>
  <c r="BG32" i="9"/>
  <c r="BE32" i="9"/>
  <c r="AW32" i="9"/>
  <c r="AR32" i="9"/>
  <c r="AM32" i="9"/>
  <c r="F32" i="9"/>
  <c r="C32" i="9"/>
  <c r="Y32" i="9" s="1"/>
  <c r="BG31" i="9"/>
  <c r="BE31" i="9"/>
  <c r="AW31" i="9"/>
  <c r="AR31" i="9"/>
  <c r="AM31" i="9"/>
  <c r="F31" i="9"/>
  <c r="C31" i="9"/>
  <c r="Y31" i="9" s="1"/>
  <c r="BG30" i="9"/>
  <c r="BE30" i="9"/>
  <c r="AW30" i="9"/>
  <c r="AR30" i="9"/>
  <c r="AM30" i="9"/>
  <c r="F30" i="9"/>
  <c r="C30" i="9"/>
  <c r="Y30" i="9" s="1"/>
  <c r="BG29" i="9"/>
  <c r="BE29" i="9"/>
  <c r="AW29" i="9"/>
  <c r="AR29" i="9"/>
  <c r="AM29" i="9"/>
  <c r="F29" i="9"/>
  <c r="C29" i="9"/>
  <c r="Y29" i="9" s="1"/>
  <c r="BG28" i="9"/>
  <c r="BE28" i="9"/>
  <c r="AW28" i="9"/>
  <c r="AR28" i="9"/>
  <c r="AM28" i="9"/>
  <c r="F28" i="9"/>
  <c r="C28" i="9"/>
  <c r="Y28" i="9" s="1"/>
  <c r="BG27" i="9"/>
  <c r="BE27" i="9"/>
  <c r="AW27" i="9"/>
  <c r="AR27" i="9"/>
  <c r="AM27" i="9"/>
  <c r="F27" i="9"/>
  <c r="C27" i="9"/>
  <c r="Y27" i="9" s="1"/>
  <c r="BG26" i="9"/>
  <c r="BE26" i="9"/>
  <c r="AW26" i="9"/>
  <c r="AR26" i="9"/>
  <c r="AM26" i="9"/>
  <c r="F26" i="9"/>
  <c r="C26" i="9"/>
  <c r="Y26" i="9" s="1"/>
  <c r="BG25" i="9"/>
  <c r="BE25" i="9"/>
  <c r="AW25" i="9"/>
  <c r="AR25" i="9"/>
  <c r="AM25" i="9"/>
  <c r="F25" i="9"/>
  <c r="C25" i="9"/>
  <c r="Y25" i="9" s="1"/>
  <c r="BG24" i="9"/>
  <c r="BE24" i="9"/>
  <c r="AW24" i="9"/>
  <c r="AR24" i="9"/>
  <c r="AM24" i="9"/>
  <c r="F24" i="9"/>
  <c r="C24" i="9"/>
  <c r="Y24" i="9" s="1"/>
  <c r="BG23" i="9"/>
  <c r="BE23" i="9"/>
  <c r="AW23" i="9"/>
  <c r="AR23" i="9"/>
  <c r="AM23" i="9"/>
  <c r="F23" i="9"/>
  <c r="C23" i="9"/>
  <c r="Y23" i="9" s="1"/>
  <c r="BG22" i="9"/>
  <c r="BE22" i="9"/>
  <c r="AW22" i="9"/>
  <c r="AR22" i="9"/>
  <c r="AM22" i="9"/>
  <c r="F22" i="9"/>
  <c r="C22" i="9"/>
  <c r="Y22" i="9" s="1"/>
  <c r="BG21" i="9"/>
  <c r="BE21" i="9"/>
  <c r="AW21" i="9"/>
  <c r="AR21" i="9"/>
  <c r="AM21" i="9"/>
  <c r="F21" i="9"/>
  <c r="C21" i="9"/>
  <c r="Y21" i="9" s="1"/>
  <c r="BG20" i="9"/>
  <c r="BE20" i="9"/>
  <c r="AW20" i="9"/>
  <c r="AR20" i="9"/>
  <c r="AM20" i="9"/>
  <c r="F20" i="9"/>
  <c r="C20" i="9"/>
  <c r="Y20" i="9" s="1"/>
  <c r="BG19" i="9"/>
  <c r="BE19" i="9"/>
  <c r="AW19" i="9"/>
  <c r="AR19" i="9"/>
  <c r="AM19" i="9"/>
  <c r="F19" i="9"/>
  <c r="C19" i="9"/>
  <c r="Y19" i="9" s="1"/>
  <c r="BG18" i="9"/>
  <c r="BE18" i="9"/>
  <c r="AW18" i="9"/>
  <c r="AR18" i="9"/>
  <c r="AM18" i="9"/>
  <c r="F18" i="9"/>
  <c r="C18" i="9"/>
  <c r="Y18" i="9" s="1"/>
  <c r="BG17" i="9"/>
  <c r="BE17" i="9"/>
  <c r="AW17" i="9"/>
  <c r="AR17" i="9"/>
  <c r="AM17" i="9"/>
  <c r="F17" i="9"/>
  <c r="C17" i="9"/>
  <c r="Y17" i="9" s="1"/>
  <c r="BG16" i="9"/>
  <c r="BE16" i="9"/>
  <c r="AW16" i="9"/>
  <c r="AR16" i="9"/>
  <c r="AM16" i="9"/>
  <c r="F16" i="9"/>
  <c r="C16" i="9"/>
  <c r="Y16" i="9" s="1"/>
  <c r="BG15" i="9"/>
  <c r="BE15" i="9"/>
  <c r="AW15" i="9"/>
  <c r="AR15" i="9"/>
  <c r="AM15" i="9"/>
  <c r="F15" i="9"/>
  <c r="C15" i="9"/>
  <c r="Y15" i="9" s="1"/>
  <c r="BG14" i="9"/>
  <c r="BE14" i="9"/>
  <c r="AW14" i="9"/>
  <c r="AR14" i="9"/>
  <c r="AM14" i="9"/>
  <c r="F14" i="9"/>
  <c r="C14" i="9"/>
  <c r="Y14" i="9" s="1"/>
  <c r="BG13" i="9"/>
  <c r="BE13" i="9"/>
  <c r="AW13" i="9"/>
  <c r="AR13" i="9"/>
  <c r="AM13" i="9"/>
  <c r="F13" i="9"/>
  <c r="C13" i="9"/>
  <c r="Y13" i="9" s="1"/>
  <c r="BG12" i="9"/>
  <c r="BE12" i="9"/>
  <c r="AW12" i="9"/>
  <c r="AR12" i="9"/>
  <c r="AM12" i="9"/>
  <c r="F12" i="9"/>
  <c r="C12" i="9"/>
  <c r="Y12" i="9" s="1"/>
  <c r="BG11" i="9"/>
  <c r="BE11" i="9"/>
  <c r="AW11" i="9"/>
  <c r="AR11" i="9"/>
  <c r="AM11" i="9"/>
  <c r="F11" i="9"/>
  <c r="C11" i="9"/>
  <c r="Y11" i="9" s="1"/>
  <c r="BG10" i="9"/>
  <c r="BE10" i="9"/>
  <c r="AW10" i="9"/>
  <c r="AR10" i="9"/>
  <c r="AM10" i="9"/>
  <c r="F10" i="9"/>
  <c r="C10" i="9"/>
  <c r="Y10" i="9" s="1"/>
  <c r="BG9" i="9"/>
  <c r="BE9" i="9"/>
  <c r="AW9" i="9"/>
  <c r="AR9" i="9"/>
  <c r="AM9" i="9"/>
  <c r="F9" i="9"/>
  <c r="C9" i="9"/>
  <c r="Y9" i="9" s="1"/>
  <c r="BG8" i="9"/>
  <c r="BE8" i="9"/>
  <c r="AW8" i="9"/>
  <c r="AR8" i="9"/>
  <c r="AM8" i="9"/>
  <c r="F8" i="9"/>
  <c r="C8" i="9"/>
  <c r="Y8" i="9" s="1"/>
  <c r="BG7" i="9"/>
  <c r="BE7" i="9"/>
  <c r="AW7" i="9"/>
  <c r="AR7" i="9"/>
  <c r="AM7" i="9"/>
  <c r="F7" i="9"/>
  <c r="C7" i="9"/>
  <c r="Y7" i="9" s="1"/>
  <c r="BG6" i="9"/>
  <c r="BE6" i="9"/>
  <c r="AW6" i="9"/>
  <c r="AR6" i="9"/>
  <c r="AM6" i="9"/>
  <c r="F6" i="9"/>
  <c r="C6" i="9"/>
  <c r="Y6" i="9" s="1"/>
  <c r="BG5" i="9"/>
  <c r="BE5" i="9"/>
  <c r="AW5" i="9"/>
  <c r="AR5" i="9"/>
  <c r="AM5" i="9"/>
  <c r="F5" i="9"/>
  <c r="C5" i="9"/>
  <c r="Y5" i="9" s="1"/>
  <c r="A28" i="9" l="1"/>
  <c r="A33" i="9"/>
  <c r="A19" i="9"/>
  <c r="A18" i="9"/>
  <c r="A9" i="9"/>
  <c r="A26" i="9"/>
  <c r="A27" i="9"/>
  <c r="A12" i="9"/>
  <c r="A17" i="9"/>
  <c r="A11" i="9"/>
  <c r="A25" i="9"/>
  <c r="A10" i="9"/>
  <c r="A20" i="9"/>
  <c r="A6" i="9"/>
  <c r="A14" i="9"/>
  <c r="A22" i="9"/>
  <c r="A30" i="9"/>
  <c r="A5" i="9"/>
  <c r="A13" i="9"/>
  <c r="A21" i="9"/>
  <c r="A29" i="9"/>
  <c r="A8" i="9"/>
  <c r="A16" i="9"/>
  <c r="A24" i="9"/>
  <c r="A32" i="9"/>
  <c r="A34" i="9"/>
  <c r="A7" i="9"/>
  <c r="A15" i="9"/>
  <c r="A23" i="9"/>
  <c r="A31" i="9"/>
  <c r="BG274" i="9" l="1"/>
  <c r="BE274" i="9"/>
  <c r="AW274" i="9"/>
  <c r="AR274" i="9"/>
  <c r="AM274" i="9"/>
  <c r="F274" i="9"/>
  <c r="C274" i="9"/>
  <c r="Y274" i="9" s="1"/>
  <c r="BG273" i="9"/>
  <c r="BE273" i="9"/>
  <c r="AW273" i="9"/>
  <c r="AR273" i="9"/>
  <c r="AM273" i="9"/>
  <c r="F273" i="9"/>
  <c r="C273" i="9"/>
  <c r="Y273" i="9" s="1"/>
  <c r="BG272" i="9"/>
  <c r="BE272" i="9"/>
  <c r="AW272" i="9"/>
  <c r="AR272" i="9"/>
  <c r="AM272" i="9"/>
  <c r="F272" i="9"/>
  <c r="C272" i="9"/>
  <c r="Y272" i="9" s="1"/>
  <c r="BG271" i="9"/>
  <c r="BE271" i="9"/>
  <c r="AW271" i="9"/>
  <c r="AR271" i="9"/>
  <c r="AM271" i="9"/>
  <c r="F271" i="9"/>
  <c r="C271" i="9"/>
  <c r="Y271" i="9" s="1"/>
  <c r="BG270" i="9"/>
  <c r="BE270" i="9"/>
  <c r="AW270" i="9"/>
  <c r="AR270" i="9"/>
  <c r="AM270" i="9"/>
  <c r="F270" i="9"/>
  <c r="C270" i="9"/>
  <c r="Y270" i="9" s="1"/>
  <c r="BG269" i="9"/>
  <c r="BE269" i="9"/>
  <c r="AW269" i="9"/>
  <c r="AR269" i="9"/>
  <c r="AM269" i="9"/>
  <c r="F269" i="9"/>
  <c r="C269" i="9"/>
  <c r="Y269" i="9" s="1"/>
  <c r="BG268" i="9"/>
  <c r="BE268" i="9"/>
  <c r="AW268" i="9"/>
  <c r="AR268" i="9"/>
  <c r="AM268" i="9"/>
  <c r="F268" i="9"/>
  <c r="C268" i="9"/>
  <c r="Y268" i="9" s="1"/>
  <c r="BG267" i="9"/>
  <c r="BE267" i="9"/>
  <c r="AW267" i="9"/>
  <c r="AR267" i="9"/>
  <c r="AM267" i="9"/>
  <c r="F267" i="9"/>
  <c r="C267" i="9"/>
  <c r="Y267" i="9" s="1"/>
  <c r="BG266" i="9"/>
  <c r="BE266" i="9"/>
  <c r="AW266" i="9"/>
  <c r="AR266" i="9"/>
  <c r="AM266" i="9"/>
  <c r="F266" i="9"/>
  <c r="C266" i="9"/>
  <c r="Y266" i="9" s="1"/>
  <c r="BG265" i="9"/>
  <c r="BE265" i="9"/>
  <c r="AW265" i="9"/>
  <c r="AR265" i="9"/>
  <c r="AM265" i="9"/>
  <c r="F265" i="9"/>
  <c r="C265" i="9"/>
  <c r="Y265" i="9" s="1"/>
  <c r="BG264" i="9"/>
  <c r="BE264" i="9"/>
  <c r="AW264" i="9"/>
  <c r="AR264" i="9"/>
  <c r="AM264" i="9"/>
  <c r="F264" i="9"/>
  <c r="C264" i="9"/>
  <c r="Y264" i="9" s="1"/>
  <c r="BG263" i="9"/>
  <c r="BE263" i="9"/>
  <c r="AW263" i="9"/>
  <c r="AR263" i="9"/>
  <c r="AM263" i="9"/>
  <c r="F263" i="9"/>
  <c r="C263" i="9"/>
  <c r="Y263" i="9" s="1"/>
  <c r="BG262" i="9"/>
  <c r="BE262" i="9"/>
  <c r="AW262" i="9"/>
  <c r="AR262" i="9"/>
  <c r="AM262" i="9"/>
  <c r="F262" i="9"/>
  <c r="C262" i="9"/>
  <c r="Y262" i="9" s="1"/>
  <c r="BG261" i="9"/>
  <c r="BE261" i="9"/>
  <c r="AW261" i="9"/>
  <c r="AR261" i="9"/>
  <c r="AM261" i="9"/>
  <c r="F261" i="9"/>
  <c r="C261" i="9"/>
  <c r="Y261" i="9" s="1"/>
  <c r="BG260" i="9"/>
  <c r="BE260" i="9"/>
  <c r="AW260" i="9"/>
  <c r="AR260" i="9"/>
  <c r="AM260" i="9"/>
  <c r="F260" i="9"/>
  <c r="C260" i="9"/>
  <c r="Y260" i="9" s="1"/>
  <c r="BG259" i="9"/>
  <c r="BE259" i="9"/>
  <c r="AW259" i="9"/>
  <c r="AR259" i="9"/>
  <c r="AM259" i="9"/>
  <c r="F259" i="9"/>
  <c r="C259" i="9"/>
  <c r="Y259" i="9" s="1"/>
  <c r="BG258" i="9"/>
  <c r="BE258" i="9"/>
  <c r="AW258" i="9"/>
  <c r="AR258" i="9"/>
  <c r="AM258" i="9"/>
  <c r="F258" i="9"/>
  <c r="C258" i="9"/>
  <c r="Y258" i="9" s="1"/>
  <c r="BG257" i="9"/>
  <c r="BE257" i="9"/>
  <c r="AW257" i="9"/>
  <c r="AR257" i="9"/>
  <c r="AM257" i="9"/>
  <c r="F257" i="9"/>
  <c r="C257" i="9"/>
  <c r="Y257" i="9" s="1"/>
  <c r="BG256" i="9"/>
  <c r="BE256" i="9"/>
  <c r="AW256" i="9"/>
  <c r="AR256" i="9"/>
  <c r="AM256" i="9"/>
  <c r="F256" i="9"/>
  <c r="C256" i="9"/>
  <c r="Y256" i="9" s="1"/>
  <c r="BG255" i="9"/>
  <c r="BE255" i="9"/>
  <c r="AW255" i="9"/>
  <c r="AR255" i="9"/>
  <c r="AM255" i="9"/>
  <c r="F255" i="9"/>
  <c r="C255" i="9"/>
  <c r="Y255" i="9" s="1"/>
  <c r="BG254" i="9"/>
  <c r="BE254" i="9"/>
  <c r="AW254" i="9"/>
  <c r="AR254" i="9"/>
  <c r="AM254" i="9"/>
  <c r="F254" i="9"/>
  <c r="C254" i="9"/>
  <c r="Y254" i="9" s="1"/>
  <c r="BG253" i="9"/>
  <c r="BE253" i="9"/>
  <c r="AW253" i="9"/>
  <c r="AR253" i="9"/>
  <c r="AM253" i="9"/>
  <c r="F253" i="9"/>
  <c r="C253" i="9"/>
  <c r="Y253" i="9" s="1"/>
  <c r="BG252" i="9"/>
  <c r="BE252" i="9"/>
  <c r="AW252" i="9"/>
  <c r="AR252" i="9"/>
  <c r="AM252" i="9"/>
  <c r="F252" i="9"/>
  <c r="C252" i="9"/>
  <c r="Y252" i="9" s="1"/>
  <c r="BG251" i="9"/>
  <c r="BE251" i="9"/>
  <c r="AW251" i="9"/>
  <c r="AR251" i="9"/>
  <c r="AM251" i="9"/>
  <c r="F251" i="9"/>
  <c r="C251" i="9"/>
  <c r="Y251" i="9" s="1"/>
  <c r="BG250" i="9"/>
  <c r="BE250" i="9"/>
  <c r="AW250" i="9"/>
  <c r="AR250" i="9"/>
  <c r="AM250" i="9"/>
  <c r="F250" i="9"/>
  <c r="C250" i="9"/>
  <c r="Y250" i="9" s="1"/>
  <c r="BG244" i="9"/>
  <c r="BE244" i="9"/>
  <c r="AW244" i="9"/>
  <c r="AR244" i="9"/>
  <c r="AM244" i="9"/>
  <c r="F244" i="9"/>
  <c r="C244" i="9"/>
  <c r="Y244" i="9" s="1"/>
  <c r="BG243" i="9"/>
  <c r="BE243" i="9"/>
  <c r="AW243" i="9"/>
  <c r="AR243" i="9"/>
  <c r="AM243" i="9"/>
  <c r="F243" i="9"/>
  <c r="C243" i="9"/>
  <c r="Y243" i="9" s="1"/>
  <c r="BG242" i="9"/>
  <c r="BE242" i="9"/>
  <c r="AW242" i="9"/>
  <c r="AR242" i="9"/>
  <c r="AM242" i="9"/>
  <c r="F242" i="9"/>
  <c r="C242" i="9"/>
  <c r="Y242" i="9" s="1"/>
  <c r="BG241" i="9"/>
  <c r="BE241" i="9"/>
  <c r="AW241" i="9"/>
  <c r="AR241" i="9"/>
  <c r="AM241" i="9"/>
  <c r="F241" i="9"/>
  <c r="C241" i="9"/>
  <c r="Y241" i="9" s="1"/>
  <c r="BG240" i="9"/>
  <c r="BE240" i="9"/>
  <c r="AW240" i="9"/>
  <c r="AR240" i="9"/>
  <c r="AM240" i="9"/>
  <c r="F240" i="9"/>
  <c r="C240" i="9"/>
  <c r="Y240" i="9" s="1"/>
  <c r="BG239" i="9"/>
  <c r="BE239" i="9"/>
  <c r="AW239" i="9"/>
  <c r="AR239" i="9"/>
  <c r="AM239" i="9"/>
  <c r="F239" i="9"/>
  <c r="C239" i="9"/>
  <c r="Y239" i="9" s="1"/>
  <c r="BG238" i="9"/>
  <c r="BE238" i="9"/>
  <c r="AW238" i="9"/>
  <c r="AR238" i="9"/>
  <c r="AM238" i="9"/>
  <c r="F238" i="9"/>
  <c r="C238" i="9"/>
  <c r="Y238" i="9" s="1"/>
  <c r="BG237" i="9"/>
  <c r="BE237" i="9"/>
  <c r="AW237" i="9"/>
  <c r="AR237" i="9"/>
  <c r="AM237" i="9"/>
  <c r="F237" i="9"/>
  <c r="C237" i="9"/>
  <c r="Y237" i="9" s="1"/>
  <c r="BG236" i="9"/>
  <c r="BE236" i="9"/>
  <c r="AW236" i="9"/>
  <c r="AR236" i="9"/>
  <c r="AM236" i="9"/>
  <c r="F236" i="9"/>
  <c r="C236" i="9"/>
  <c r="Y236" i="9" s="1"/>
  <c r="BG235" i="9"/>
  <c r="BE235" i="9"/>
  <c r="AW235" i="9"/>
  <c r="AR235" i="9"/>
  <c r="AM235" i="9"/>
  <c r="F235" i="9"/>
  <c r="C235" i="9"/>
  <c r="Y235" i="9" s="1"/>
  <c r="BG234" i="9"/>
  <c r="BE234" i="9"/>
  <c r="AW234" i="9"/>
  <c r="AR234" i="9"/>
  <c r="AM234" i="9"/>
  <c r="F234" i="9"/>
  <c r="C234" i="9"/>
  <c r="Y234" i="9" s="1"/>
  <c r="BG233" i="9"/>
  <c r="BE233" i="9"/>
  <c r="AW233" i="9"/>
  <c r="AR233" i="9"/>
  <c r="AM233" i="9"/>
  <c r="F233" i="9"/>
  <c r="C233" i="9"/>
  <c r="Y233" i="9" s="1"/>
  <c r="BG232" i="9"/>
  <c r="BE232" i="9"/>
  <c r="AW232" i="9"/>
  <c r="AR232" i="9"/>
  <c r="AM232" i="9"/>
  <c r="F232" i="9"/>
  <c r="C232" i="9"/>
  <c r="Y232" i="9" s="1"/>
  <c r="BG231" i="9"/>
  <c r="BE231" i="9"/>
  <c r="AW231" i="9"/>
  <c r="AR231" i="9"/>
  <c r="AM231" i="9"/>
  <c r="F231" i="9"/>
  <c r="C231" i="9"/>
  <c r="Y231" i="9" s="1"/>
  <c r="BG230" i="9"/>
  <c r="BE230" i="9"/>
  <c r="AW230" i="9"/>
  <c r="AR230" i="9"/>
  <c r="AM230" i="9"/>
  <c r="F230" i="9"/>
  <c r="C230" i="9"/>
  <c r="Y230" i="9" s="1"/>
  <c r="BG229" i="9"/>
  <c r="BE229" i="9"/>
  <c r="AW229" i="9"/>
  <c r="AR229" i="9"/>
  <c r="AM229" i="9"/>
  <c r="F229" i="9"/>
  <c r="C229" i="9"/>
  <c r="Y229" i="9" s="1"/>
  <c r="BG228" i="9"/>
  <c r="BE228" i="9"/>
  <c r="AW228" i="9"/>
  <c r="AR228" i="9"/>
  <c r="AM228" i="9"/>
  <c r="F228" i="9"/>
  <c r="C228" i="9"/>
  <c r="Y228" i="9" s="1"/>
  <c r="BG227" i="9"/>
  <c r="BE227" i="9"/>
  <c r="AW227" i="9"/>
  <c r="AR227" i="9"/>
  <c r="AM227" i="9"/>
  <c r="F227" i="9"/>
  <c r="C227" i="9"/>
  <c r="Y227" i="9" s="1"/>
  <c r="BG226" i="9"/>
  <c r="BE226" i="9"/>
  <c r="AW226" i="9"/>
  <c r="AR226" i="9"/>
  <c r="AM226" i="9"/>
  <c r="F226" i="9"/>
  <c r="C226" i="9"/>
  <c r="Y226" i="9" s="1"/>
  <c r="BG225" i="9"/>
  <c r="BE225" i="9"/>
  <c r="AW225" i="9"/>
  <c r="AR225" i="9"/>
  <c r="AM225" i="9"/>
  <c r="F225" i="9"/>
  <c r="C225" i="9"/>
  <c r="Y225" i="9" s="1"/>
  <c r="BG224" i="9"/>
  <c r="BE224" i="9"/>
  <c r="AW224" i="9"/>
  <c r="AR224" i="9"/>
  <c r="AM224" i="9"/>
  <c r="F224" i="9"/>
  <c r="C224" i="9"/>
  <c r="Y224" i="9" s="1"/>
  <c r="BG223" i="9"/>
  <c r="BE223" i="9"/>
  <c r="AW223" i="9"/>
  <c r="AR223" i="9"/>
  <c r="AM223" i="9"/>
  <c r="F223" i="9"/>
  <c r="C223" i="9"/>
  <c r="Y223" i="9" s="1"/>
  <c r="BG222" i="9"/>
  <c r="BE222" i="9"/>
  <c r="AW222" i="9"/>
  <c r="AR222" i="9"/>
  <c r="AM222" i="9"/>
  <c r="F222" i="9"/>
  <c r="C222" i="9"/>
  <c r="Y222" i="9" s="1"/>
  <c r="BG221" i="9"/>
  <c r="BE221" i="9"/>
  <c r="AW221" i="9"/>
  <c r="AR221" i="9"/>
  <c r="AM221" i="9"/>
  <c r="F221" i="9"/>
  <c r="C221" i="9"/>
  <c r="Y221" i="9" s="1"/>
  <c r="BG220" i="9"/>
  <c r="BE220" i="9"/>
  <c r="AW220" i="9"/>
  <c r="AR220" i="9"/>
  <c r="AM220" i="9"/>
  <c r="F220" i="9"/>
  <c r="C220" i="9"/>
  <c r="Y220" i="9" s="1"/>
  <c r="BG304" i="9"/>
  <c r="BE304" i="9"/>
  <c r="BB304" i="9"/>
  <c r="AW304" i="9"/>
  <c r="AR304" i="9"/>
  <c r="AM304" i="9"/>
  <c r="F304" i="9"/>
  <c r="C304" i="9"/>
  <c r="Y304" i="9" s="1"/>
  <c r="BG303" i="9"/>
  <c r="BE303" i="9"/>
  <c r="BB303" i="9"/>
  <c r="AW303" i="9"/>
  <c r="AR303" i="9"/>
  <c r="AM303" i="9"/>
  <c r="F303" i="9"/>
  <c r="C303" i="9"/>
  <c r="Y303" i="9" s="1"/>
  <c r="BG302" i="9"/>
  <c r="BE302" i="9"/>
  <c r="BB302" i="9"/>
  <c r="AW302" i="9"/>
  <c r="AR302" i="9"/>
  <c r="AM302" i="9"/>
  <c r="F302" i="9"/>
  <c r="C302" i="9"/>
  <c r="Y302" i="9" s="1"/>
  <c r="BG301" i="9"/>
  <c r="BE301" i="9"/>
  <c r="BB301" i="9"/>
  <c r="AW301" i="9"/>
  <c r="AR301" i="9"/>
  <c r="AM301" i="9"/>
  <c r="F301" i="9"/>
  <c r="C301" i="9"/>
  <c r="Y301" i="9" s="1"/>
  <c r="BG300" i="9"/>
  <c r="BE300" i="9"/>
  <c r="BB300" i="9"/>
  <c r="AW300" i="9"/>
  <c r="AR300" i="9"/>
  <c r="AM300" i="9"/>
  <c r="F300" i="9"/>
  <c r="C300" i="9"/>
  <c r="Y300" i="9" s="1"/>
  <c r="BG299" i="9"/>
  <c r="BE299" i="9"/>
  <c r="BB299" i="9"/>
  <c r="AW299" i="9"/>
  <c r="AR299" i="9"/>
  <c r="AM299" i="9"/>
  <c r="F299" i="9"/>
  <c r="C299" i="9"/>
  <c r="Y299" i="9" s="1"/>
  <c r="BG298" i="9"/>
  <c r="BE298" i="9"/>
  <c r="BB298" i="9"/>
  <c r="AW298" i="9"/>
  <c r="AR298" i="9"/>
  <c r="AM298" i="9"/>
  <c r="F298" i="9"/>
  <c r="C298" i="9"/>
  <c r="Y298" i="9" s="1"/>
  <c r="BG297" i="9"/>
  <c r="BE297" i="9"/>
  <c r="BB297" i="9"/>
  <c r="AW297" i="9"/>
  <c r="AR297" i="9"/>
  <c r="AM297" i="9"/>
  <c r="F297" i="9"/>
  <c r="C297" i="9"/>
  <c r="Y297" i="9" s="1"/>
  <c r="BG296" i="9"/>
  <c r="BE296" i="9"/>
  <c r="BB296" i="9"/>
  <c r="AW296" i="9"/>
  <c r="AR296" i="9"/>
  <c r="AM296" i="9"/>
  <c r="F296" i="9"/>
  <c r="C296" i="9"/>
  <c r="Y296" i="9" s="1"/>
  <c r="BG295" i="9"/>
  <c r="BE295" i="9"/>
  <c r="BB295" i="9"/>
  <c r="AW295" i="9"/>
  <c r="AR295" i="9"/>
  <c r="AM295" i="9"/>
  <c r="F295" i="9"/>
  <c r="C295" i="9"/>
  <c r="Y295" i="9" s="1"/>
  <c r="BG294" i="9"/>
  <c r="BE294" i="9"/>
  <c r="BB294" i="9"/>
  <c r="AW294" i="9"/>
  <c r="AR294" i="9"/>
  <c r="AM294" i="9"/>
  <c r="F294" i="9"/>
  <c r="C294" i="9"/>
  <c r="Y294" i="9" s="1"/>
  <c r="BG293" i="9"/>
  <c r="BE293" i="9"/>
  <c r="BB293" i="9"/>
  <c r="AW293" i="9"/>
  <c r="AR293" i="9"/>
  <c r="AM293" i="9"/>
  <c r="F293" i="9"/>
  <c r="C293" i="9"/>
  <c r="Y293" i="9" s="1"/>
  <c r="BG292" i="9"/>
  <c r="BE292" i="9"/>
  <c r="BB292" i="9"/>
  <c r="AW292" i="9"/>
  <c r="AR292" i="9"/>
  <c r="AM292" i="9"/>
  <c r="F292" i="9"/>
  <c r="C292" i="9"/>
  <c r="Y292" i="9" s="1"/>
  <c r="BG291" i="9"/>
  <c r="BE291" i="9"/>
  <c r="BB291" i="9"/>
  <c r="AW291" i="9"/>
  <c r="AR291" i="9"/>
  <c r="AM291" i="9"/>
  <c r="F291" i="9"/>
  <c r="C291" i="9"/>
  <c r="Y291" i="9" s="1"/>
  <c r="BG290" i="9"/>
  <c r="BE290" i="9"/>
  <c r="BB290" i="9"/>
  <c r="AW290" i="9"/>
  <c r="AR290" i="9"/>
  <c r="AM290" i="9"/>
  <c r="F290" i="9"/>
  <c r="C290" i="9"/>
  <c r="Y290" i="9" s="1"/>
  <c r="BG289" i="9"/>
  <c r="BE289" i="9"/>
  <c r="BB289" i="9"/>
  <c r="AW289" i="9"/>
  <c r="AR289" i="9"/>
  <c r="AM289" i="9"/>
  <c r="F289" i="9"/>
  <c r="C289" i="9"/>
  <c r="Y289" i="9" s="1"/>
  <c r="BG288" i="9"/>
  <c r="BE288" i="9"/>
  <c r="BB288" i="9"/>
  <c r="AW288" i="9"/>
  <c r="AR288" i="9"/>
  <c r="AM288" i="9"/>
  <c r="F288" i="9"/>
  <c r="C288" i="9"/>
  <c r="Y288" i="9" s="1"/>
  <c r="BG287" i="9"/>
  <c r="BE287" i="9"/>
  <c r="BB287" i="9"/>
  <c r="AW287" i="9"/>
  <c r="AR287" i="9"/>
  <c r="AM287" i="9"/>
  <c r="F287" i="9"/>
  <c r="C287" i="9"/>
  <c r="Y287" i="9" s="1"/>
  <c r="BG286" i="9"/>
  <c r="BE286" i="9"/>
  <c r="BB286" i="9"/>
  <c r="AW286" i="9"/>
  <c r="AR286" i="9"/>
  <c r="AM286" i="9"/>
  <c r="F286" i="9"/>
  <c r="C286" i="9"/>
  <c r="Y286" i="9" s="1"/>
  <c r="BG285" i="9"/>
  <c r="BE285" i="9"/>
  <c r="BB285" i="9"/>
  <c r="AW285" i="9"/>
  <c r="AR285" i="9"/>
  <c r="AM285" i="9"/>
  <c r="F285" i="9"/>
  <c r="C285" i="9"/>
  <c r="Y285" i="9" s="1"/>
  <c r="BG284" i="9"/>
  <c r="BE284" i="9"/>
  <c r="BB284" i="9"/>
  <c r="AW284" i="9"/>
  <c r="AR284" i="9"/>
  <c r="AM284" i="9"/>
  <c r="F284" i="9"/>
  <c r="C284" i="9"/>
  <c r="Y284" i="9" s="1"/>
  <c r="BG283" i="9"/>
  <c r="BE283" i="9"/>
  <c r="BB283" i="9"/>
  <c r="AW283" i="9"/>
  <c r="AR283" i="9"/>
  <c r="AM283" i="9"/>
  <c r="F283" i="9"/>
  <c r="C283" i="9"/>
  <c r="Y283" i="9" s="1"/>
  <c r="BG282" i="9"/>
  <c r="BE282" i="9"/>
  <c r="BB282" i="9"/>
  <c r="AW282" i="9"/>
  <c r="AR282" i="9"/>
  <c r="AM282" i="9"/>
  <c r="F282" i="9"/>
  <c r="C282" i="9"/>
  <c r="Y282" i="9" s="1"/>
  <c r="BG281" i="9"/>
  <c r="BE281" i="9"/>
  <c r="BB281" i="9"/>
  <c r="AW281" i="9"/>
  <c r="AR281" i="9"/>
  <c r="AM281" i="9"/>
  <c r="F281" i="9"/>
  <c r="C281" i="9"/>
  <c r="Y281" i="9" s="1"/>
  <c r="BG280" i="9"/>
  <c r="BE280" i="9"/>
  <c r="BB280" i="9"/>
  <c r="AW280" i="9"/>
  <c r="AR280" i="9"/>
  <c r="AM280" i="9"/>
  <c r="F280" i="9"/>
  <c r="C280" i="9"/>
  <c r="Y280" i="9" s="1"/>
  <c r="BG184" i="9"/>
  <c r="BE184" i="9"/>
  <c r="AW184" i="9"/>
  <c r="AR184" i="9"/>
  <c r="AM184" i="9"/>
  <c r="F184" i="9"/>
  <c r="C184" i="9"/>
  <c r="Y184" i="9" s="1"/>
  <c r="BG183" i="9"/>
  <c r="BE183" i="9"/>
  <c r="AW183" i="9"/>
  <c r="AR183" i="9"/>
  <c r="AM183" i="9"/>
  <c r="F183" i="9"/>
  <c r="C183" i="9"/>
  <c r="Y183" i="9" s="1"/>
  <c r="BG182" i="9"/>
  <c r="BE182" i="9"/>
  <c r="AW182" i="9"/>
  <c r="AR182" i="9"/>
  <c r="AM182" i="9"/>
  <c r="F182" i="9"/>
  <c r="C182" i="9"/>
  <c r="Y182" i="9" s="1"/>
  <c r="BG181" i="9"/>
  <c r="BE181" i="9"/>
  <c r="AW181" i="9"/>
  <c r="AR181" i="9"/>
  <c r="AM181" i="9"/>
  <c r="F181" i="9"/>
  <c r="C181" i="9"/>
  <c r="Y181" i="9" s="1"/>
  <c r="BG180" i="9"/>
  <c r="BE180" i="9"/>
  <c r="AW180" i="9"/>
  <c r="AR180" i="9"/>
  <c r="AM180" i="9"/>
  <c r="F180" i="9"/>
  <c r="C180" i="9"/>
  <c r="Y180" i="9" s="1"/>
  <c r="BG179" i="9"/>
  <c r="BE179" i="9"/>
  <c r="AW179" i="9"/>
  <c r="AR179" i="9"/>
  <c r="AM179" i="9"/>
  <c r="F179" i="9"/>
  <c r="C179" i="9"/>
  <c r="Y179" i="9" s="1"/>
  <c r="BG178" i="9"/>
  <c r="BE178" i="9"/>
  <c r="AW178" i="9"/>
  <c r="AR178" i="9"/>
  <c r="AM178" i="9"/>
  <c r="F178" i="9"/>
  <c r="C178" i="9"/>
  <c r="Y178" i="9" s="1"/>
  <c r="BG177" i="9"/>
  <c r="BE177" i="9"/>
  <c r="AW177" i="9"/>
  <c r="AR177" i="9"/>
  <c r="AM177" i="9"/>
  <c r="F177" i="9"/>
  <c r="C177" i="9"/>
  <c r="Y177" i="9" s="1"/>
  <c r="BG176" i="9"/>
  <c r="BE176" i="9"/>
  <c r="AW176" i="9"/>
  <c r="AR176" i="9"/>
  <c r="AM176" i="9"/>
  <c r="F176" i="9"/>
  <c r="C176" i="9"/>
  <c r="Y176" i="9" s="1"/>
  <c r="BG175" i="9"/>
  <c r="BE175" i="9"/>
  <c r="AW175" i="9"/>
  <c r="AR175" i="9"/>
  <c r="AM175" i="9"/>
  <c r="F175" i="9"/>
  <c r="C175" i="9"/>
  <c r="Y175" i="9" s="1"/>
  <c r="BG174" i="9"/>
  <c r="BE174" i="9"/>
  <c r="AW174" i="9"/>
  <c r="AR174" i="9"/>
  <c r="AM174" i="9"/>
  <c r="F174" i="9"/>
  <c r="C174" i="9"/>
  <c r="Y174" i="9" s="1"/>
  <c r="BG173" i="9"/>
  <c r="BE173" i="9"/>
  <c r="AW173" i="9"/>
  <c r="AR173" i="9"/>
  <c r="AM173" i="9"/>
  <c r="F173" i="9"/>
  <c r="C173" i="9"/>
  <c r="Y173" i="9" s="1"/>
  <c r="BG172" i="9"/>
  <c r="BE172" i="9"/>
  <c r="AW172" i="9"/>
  <c r="AR172" i="9"/>
  <c r="AM172" i="9"/>
  <c r="F172" i="9"/>
  <c r="C172" i="9"/>
  <c r="Y172" i="9" s="1"/>
  <c r="BG171" i="9"/>
  <c r="BE171" i="9"/>
  <c r="AW171" i="9"/>
  <c r="AR171" i="9"/>
  <c r="AM171" i="9"/>
  <c r="F171" i="9"/>
  <c r="C171" i="9"/>
  <c r="Y171" i="9" s="1"/>
  <c r="BG170" i="9"/>
  <c r="BE170" i="9"/>
  <c r="AW170" i="9"/>
  <c r="AR170" i="9"/>
  <c r="AM170" i="9"/>
  <c r="F170" i="9"/>
  <c r="C170" i="9"/>
  <c r="Y170" i="9" s="1"/>
  <c r="BG169" i="9"/>
  <c r="BE169" i="9"/>
  <c r="AW169" i="9"/>
  <c r="AR169" i="9"/>
  <c r="AM169" i="9"/>
  <c r="F169" i="9"/>
  <c r="C169" i="9"/>
  <c r="Y169" i="9" s="1"/>
  <c r="BG168" i="9"/>
  <c r="BE168" i="9"/>
  <c r="AW168" i="9"/>
  <c r="AR168" i="9"/>
  <c r="AM168" i="9"/>
  <c r="F168" i="9"/>
  <c r="C168" i="9"/>
  <c r="Y168" i="9" s="1"/>
  <c r="BG167" i="9"/>
  <c r="BE167" i="9"/>
  <c r="AW167" i="9"/>
  <c r="AR167" i="9"/>
  <c r="AM167" i="9"/>
  <c r="F167" i="9"/>
  <c r="C167" i="9"/>
  <c r="Y167" i="9" s="1"/>
  <c r="BG166" i="9"/>
  <c r="BE166" i="9"/>
  <c r="AW166" i="9"/>
  <c r="AR166" i="9"/>
  <c r="AM166" i="9"/>
  <c r="F166" i="9"/>
  <c r="C166" i="9"/>
  <c r="Y166" i="9" s="1"/>
  <c r="BG165" i="9"/>
  <c r="BE165" i="9"/>
  <c r="AW165" i="9"/>
  <c r="AR165" i="9"/>
  <c r="AM165" i="9"/>
  <c r="F165" i="9"/>
  <c r="C165" i="9"/>
  <c r="Y165" i="9" s="1"/>
  <c r="BG164" i="9"/>
  <c r="BE164" i="9"/>
  <c r="AW164" i="9"/>
  <c r="AR164" i="9"/>
  <c r="AM164" i="9"/>
  <c r="F164" i="9"/>
  <c r="C164" i="9"/>
  <c r="Y164" i="9" s="1"/>
  <c r="BG163" i="9"/>
  <c r="BE163" i="9"/>
  <c r="AW163" i="9"/>
  <c r="AR163" i="9"/>
  <c r="AM163" i="9"/>
  <c r="F163" i="9"/>
  <c r="C163" i="9"/>
  <c r="Y163" i="9" s="1"/>
  <c r="BG162" i="9"/>
  <c r="BE162" i="9"/>
  <c r="AW162" i="9"/>
  <c r="AR162" i="9"/>
  <c r="AM162" i="9"/>
  <c r="F162" i="9"/>
  <c r="C162" i="9"/>
  <c r="Y162" i="9" s="1"/>
  <c r="BG161" i="9"/>
  <c r="BE161" i="9"/>
  <c r="AW161" i="9"/>
  <c r="AR161" i="9"/>
  <c r="AM161" i="9"/>
  <c r="F161" i="9"/>
  <c r="C161" i="9"/>
  <c r="Y161" i="9" s="1"/>
  <c r="BG160" i="9"/>
  <c r="BE160" i="9"/>
  <c r="AW160" i="9"/>
  <c r="AR160" i="9"/>
  <c r="AM160" i="9"/>
  <c r="F160" i="9"/>
  <c r="C160" i="9"/>
  <c r="Y160" i="9" s="1"/>
  <c r="BG124" i="9"/>
  <c r="BE124" i="9"/>
  <c r="AW124" i="9"/>
  <c r="AR124" i="9"/>
  <c r="AM124" i="9"/>
  <c r="F124" i="9"/>
  <c r="C124" i="9"/>
  <c r="Y124" i="9" s="1"/>
  <c r="BG123" i="9"/>
  <c r="BE123" i="9"/>
  <c r="AW123" i="9"/>
  <c r="AR123" i="9"/>
  <c r="AM123" i="9"/>
  <c r="F123" i="9"/>
  <c r="C123" i="9"/>
  <c r="Y123" i="9" s="1"/>
  <c r="BG122" i="9"/>
  <c r="BE122" i="9"/>
  <c r="AW122" i="9"/>
  <c r="AR122" i="9"/>
  <c r="AM122" i="9"/>
  <c r="F122" i="9"/>
  <c r="C122" i="9"/>
  <c r="Y122" i="9" s="1"/>
  <c r="BG121" i="9"/>
  <c r="BE121" i="9"/>
  <c r="AW121" i="9"/>
  <c r="AR121" i="9"/>
  <c r="AM121" i="9"/>
  <c r="F121" i="9"/>
  <c r="C121" i="9"/>
  <c r="Y121" i="9" s="1"/>
  <c r="BG120" i="9"/>
  <c r="BE120" i="9"/>
  <c r="AW120" i="9"/>
  <c r="AR120" i="9"/>
  <c r="AM120" i="9"/>
  <c r="F120" i="9"/>
  <c r="C120" i="9"/>
  <c r="Y120" i="9" s="1"/>
  <c r="BG119" i="9"/>
  <c r="BE119" i="9"/>
  <c r="AW119" i="9"/>
  <c r="AR119" i="9"/>
  <c r="AM119" i="9"/>
  <c r="F119" i="9"/>
  <c r="C119" i="9"/>
  <c r="Y119" i="9" s="1"/>
  <c r="BG118" i="9"/>
  <c r="BE118" i="9"/>
  <c r="AW118" i="9"/>
  <c r="AR118" i="9"/>
  <c r="AM118" i="9"/>
  <c r="F118" i="9"/>
  <c r="C118" i="9"/>
  <c r="Y118" i="9" s="1"/>
  <c r="BG117" i="9"/>
  <c r="BE117" i="9"/>
  <c r="AW117" i="9"/>
  <c r="AR117" i="9"/>
  <c r="AM117" i="9"/>
  <c r="F117" i="9"/>
  <c r="C117" i="9"/>
  <c r="Y117" i="9" s="1"/>
  <c r="BG116" i="9"/>
  <c r="BE116" i="9"/>
  <c r="AW116" i="9"/>
  <c r="AR116" i="9"/>
  <c r="AM116" i="9"/>
  <c r="F116" i="9"/>
  <c r="C116" i="9"/>
  <c r="Y116" i="9" s="1"/>
  <c r="BG115" i="9"/>
  <c r="BE115" i="9"/>
  <c r="AW115" i="9"/>
  <c r="AR115" i="9"/>
  <c r="AM115" i="9"/>
  <c r="F115" i="9"/>
  <c r="C115" i="9"/>
  <c r="Y115" i="9" s="1"/>
  <c r="BG114" i="9"/>
  <c r="BE114" i="9"/>
  <c r="AW114" i="9"/>
  <c r="AR114" i="9"/>
  <c r="AM114" i="9"/>
  <c r="F114" i="9"/>
  <c r="C114" i="9"/>
  <c r="Y114" i="9" s="1"/>
  <c r="BG113" i="9"/>
  <c r="BE113" i="9"/>
  <c r="AW113" i="9"/>
  <c r="AR113" i="9"/>
  <c r="AM113" i="9"/>
  <c r="F113" i="9"/>
  <c r="C113" i="9"/>
  <c r="Y113" i="9" s="1"/>
  <c r="BG112" i="9"/>
  <c r="BE112" i="9"/>
  <c r="AW112" i="9"/>
  <c r="AR112" i="9"/>
  <c r="AM112" i="9"/>
  <c r="F112" i="9"/>
  <c r="C112" i="9"/>
  <c r="Y112" i="9" s="1"/>
  <c r="BG111" i="9"/>
  <c r="BE111" i="9"/>
  <c r="AW111" i="9"/>
  <c r="AR111" i="9"/>
  <c r="AM111" i="9"/>
  <c r="F111" i="9"/>
  <c r="C111" i="9"/>
  <c r="Y111" i="9" s="1"/>
  <c r="BG110" i="9"/>
  <c r="BE110" i="9"/>
  <c r="AW110" i="9"/>
  <c r="AR110" i="9"/>
  <c r="AM110" i="9"/>
  <c r="F110" i="9"/>
  <c r="C110" i="9"/>
  <c r="Y110" i="9" s="1"/>
  <c r="BG109" i="9"/>
  <c r="BE109" i="9"/>
  <c r="AW109" i="9"/>
  <c r="AR109" i="9"/>
  <c r="AM109" i="9"/>
  <c r="F109" i="9"/>
  <c r="C109" i="9"/>
  <c r="Y109" i="9" s="1"/>
  <c r="BG108" i="9"/>
  <c r="BE108" i="9"/>
  <c r="AW108" i="9"/>
  <c r="AR108" i="9"/>
  <c r="AM108" i="9"/>
  <c r="F108" i="9"/>
  <c r="C108" i="9"/>
  <c r="Y108" i="9" s="1"/>
  <c r="BG107" i="9"/>
  <c r="BE107" i="9"/>
  <c r="AW107" i="9"/>
  <c r="AR107" i="9"/>
  <c r="AM107" i="9"/>
  <c r="F107" i="9"/>
  <c r="C107" i="9"/>
  <c r="Y107" i="9" s="1"/>
  <c r="BG106" i="9"/>
  <c r="BE106" i="9"/>
  <c r="AW106" i="9"/>
  <c r="AR106" i="9"/>
  <c r="AM106" i="9"/>
  <c r="F106" i="9"/>
  <c r="C106" i="9"/>
  <c r="Y106" i="9" s="1"/>
  <c r="BG105" i="9"/>
  <c r="BE105" i="9"/>
  <c r="AW105" i="9"/>
  <c r="AR105" i="9"/>
  <c r="AM105" i="9"/>
  <c r="F105" i="9"/>
  <c r="C105" i="9"/>
  <c r="Y105" i="9" s="1"/>
  <c r="BG104" i="9"/>
  <c r="BE104" i="9"/>
  <c r="AW104" i="9"/>
  <c r="AR104" i="9"/>
  <c r="AM104" i="9"/>
  <c r="F104" i="9"/>
  <c r="C104" i="9"/>
  <c r="Y104" i="9" s="1"/>
  <c r="BG103" i="9"/>
  <c r="BE103" i="9"/>
  <c r="AW103" i="9"/>
  <c r="AR103" i="9"/>
  <c r="AM103" i="9"/>
  <c r="F103" i="9"/>
  <c r="C103" i="9"/>
  <c r="Y103" i="9" s="1"/>
  <c r="BG102" i="9"/>
  <c r="BE102" i="9"/>
  <c r="AW102" i="9"/>
  <c r="AR102" i="9"/>
  <c r="AM102" i="9"/>
  <c r="F102" i="9"/>
  <c r="C102" i="9"/>
  <c r="Y102" i="9" s="1"/>
  <c r="BG101" i="9"/>
  <c r="BE101" i="9"/>
  <c r="AW101" i="9"/>
  <c r="AR101" i="9"/>
  <c r="AM101" i="9"/>
  <c r="F101" i="9"/>
  <c r="C101" i="9"/>
  <c r="Y101" i="9" s="1"/>
  <c r="BG100" i="9"/>
  <c r="BE100" i="9"/>
  <c r="AW100" i="9"/>
  <c r="AR100" i="9"/>
  <c r="AM100" i="9"/>
  <c r="F100" i="9"/>
  <c r="C100" i="9"/>
  <c r="Y100" i="9" s="1"/>
  <c r="BG94" i="9"/>
  <c r="BE94" i="9"/>
  <c r="AW94" i="9"/>
  <c r="AR94" i="9"/>
  <c r="AM94" i="9"/>
  <c r="F94" i="9"/>
  <c r="C94" i="9"/>
  <c r="Y94" i="9" s="1"/>
  <c r="BG93" i="9"/>
  <c r="BE93" i="9"/>
  <c r="AW93" i="9"/>
  <c r="AR93" i="9"/>
  <c r="AM93" i="9"/>
  <c r="F93" i="9"/>
  <c r="C93" i="9"/>
  <c r="Y93" i="9" s="1"/>
  <c r="BG92" i="9"/>
  <c r="BE92" i="9"/>
  <c r="AW92" i="9"/>
  <c r="AR92" i="9"/>
  <c r="AM92" i="9"/>
  <c r="F92" i="9"/>
  <c r="C92" i="9"/>
  <c r="Y92" i="9" s="1"/>
  <c r="BG91" i="9"/>
  <c r="BE91" i="9"/>
  <c r="AW91" i="9"/>
  <c r="AR91" i="9"/>
  <c r="AM91" i="9"/>
  <c r="F91" i="9"/>
  <c r="C91" i="9"/>
  <c r="Y91" i="9" s="1"/>
  <c r="BG90" i="9"/>
  <c r="BE90" i="9"/>
  <c r="AW90" i="9"/>
  <c r="AR90" i="9"/>
  <c r="AM90" i="9"/>
  <c r="F90" i="9"/>
  <c r="C90" i="9"/>
  <c r="Y90" i="9" s="1"/>
  <c r="BG89" i="9"/>
  <c r="BE89" i="9"/>
  <c r="AW89" i="9"/>
  <c r="AR89" i="9"/>
  <c r="AM89" i="9"/>
  <c r="F89" i="9"/>
  <c r="C89" i="9"/>
  <c r="Y89" i="9" s="1"/>
  <c r="BG88" i="9"/>
  <c r="BE88" i="9"/>
  <c r="AW88" i="9"/>
  <c r="AR88" i="9"/>
  <c r="AM88" i="9"/>
  <c r="F88" i="9"/>
  <c r="C88" i="9"/>
  <c r="Y88" i="9" s="1"/>
  <c r="BG87" i="9"/>
  <c r="BE87" i="9"/>
  <c r="AW87" i="9"/>
  <c r="AR87" i="9"/>
  <c r="AM87" i="9"/>
  <c r="F87" i="9"/>
  <c r="C87" i="9"/>
  <c r="Y87" i="9" s="1"/>
  <c r="BG86" i="9"/>
  <c r="BE86" i="9"/>
  <c r="AW86" i="9"/>
  <c r="AR86" i="9"/>
  <c r="AM86" i="9"/>
  <c r="F86" i="9"/>
  <c r="C86" i="9"/>
  <c r="Y86" i="9" s="1"/>
  <c r="BG85" i="9"/>
  <c r="BE85" i="9"/>
  <c r="AW85" i="9"/>
  <c r="AR85" i="9"/>
  <c r="AM85" i="9"/>
  <c r="F85" i="9"/>
  <c r="C85" i="9"/>
  <c r="Y85" i="9" s="1"/>
  <c r="BG84" i="9"/>
  <c r="BE84" i="9"/>
  <c r="AW84" i="9"/>
  <c r="AR84" i="9"/>
  <c r="AM84" i="9"/>
  <c r="F84" i="9"/>
  <c r="C84" i="9"/>
  <c r="Y84" i="9" s="1"/>
  <c r="BG83" i="9"/>
  <c r="BE83" i="9"/>
  <c r="AW83" i="9"/>
  <c r="AR83" i="9"/>
  <c r="AM83" i="9"/>
  <c r="F83" i="9"/>
  <c r="C83" i="9"/>
  <c r="Y83" i="9" s="1"/>
  <c r="BG82" i="9"/>
  <c r="BE82" i="9"/>
  <c r="AW82" i="9"/>
  <c r="AR82" i="9"/>
  <c r="AM82" i="9"/>
  <c r="F82" i="9"/>
  <c r="C82" i="9"/>
  <c r="Y82" i="9" s="1"/>
  <c r="BG81" i="9"/>
  <c r="BE81" i="9"/>
  <c r="AW81" i="9"/>
  <c r="AR81" i="9"/>
  <c r="AM81" i="9"/>
  <c r="F81" i="9"/>
  <c r="C81" i="9"/>
  <c r="Y81" i="9" s="1"/>
  <c r="BG80" i="9"/>
  <c r="BE80" i="9"/>
  <c r="AW80" i="9"/>
  <c r="AR80" i="9"/>
  <c r="AM80" i="9"/>
  <c r="F80" i="9"/>
  <c r="C80" i="9"/>
  <c r="Y80" i="9" s="1"/>
  <c r="BG79" i="9"/>
  <c r="BE79" i="9"/>
  <c r="AW79" i="9"/>
  <c r="AR79" i="9"/>
  <c r="AM79" i="9"/>
  <c r="F79" i="9"/>
  <c r="C79" i="9"/>
  <c r="Y79" i="9" s="1"/>
  <c r="BG78" i="9"/>
  <c r="BE78" i="9"/>
  <c r="AW78" i="9"/>
  <c r="AR78" i="9"/>
  <c r="AM78" i="9"/>
  <c r="F78" i="9"/>
  <c r="C78" i="9"/>
  <c r="Y78" i="9" s="1"/>
  <c r="BG77" i="9"/>
  <c r="BE77" i="9"/>
  <c r="AW77" i="9"/>
  <c r="AR77" i="9"/>
  <c r="AM77" i="9"/>
  <c r="F77" i="9"/>
  <c r="C77" i="9"/>
  <c r="Y77" i="9" s="1"/>
  <c r="BG76" i="9"/>
  <c r="BE76" i="9"/>
  <c r="AW76" i="9"/>
  <c r="AR76" i="9"/>
  <c r="AM76" i="9"/>
  <c r="F76" i="9"/>
  <c r="C76" i="9"/>
  <c r="Y76" i="9" s="1"/>
  <c r="BG75" i="9"/>
  <c r="BE75" i="9"/>
  <c r="AW75" i="9"/>
  <c r="AR75" i="9"/>
  <c r="AM75" i="9"/>
  <c r="F75" i="9"/>
  <c r="C75" i="9"/>
  <c r="Y75" i="9" s="1"/>
  <c r="BG74" i="9"/>
  <c r="BE74" i="9"/>
  <c r="AW74" i="9"/>
  <c r="AR74" i="9"/>
  <c r="AM74" i="9"/>
  <c r="F74" i="9"/>
  <c r="C74" i="9"/>
  <c r="Y74" i="9" s="1"/>
  <c r="BG73" i="9"/>
  <c r="BE73" i="9"/>
  <c r="AW73" i="9"/>
  <c r="AR73" i="9"/>
  <c r="AM73" i="9"/>
  <c r="F73" i="9"/>
  <c r="C73" i="9"/>
  <c r="Y73" i="9" s="1"/>
  <c r="BG72" i="9"/>
  <c r="BE72" i="9"/>
  <c r="AW72" i="9"/>
  <c r="AR72" i="9"/>
  <c r="AM72" i="9"/>
  <c r="F72" i="9"/>
  <c r="C72" i="9"/>
  <c r="Y72" i="9" s="1"/>
  <c r="BG71" i="9"/>
  <c r="BE71" i="9"/>
  <c r="AW71" i="9"/>
  <c r="AR71" i="9"/>
  <c r="AM71" i="9"/>
  <c r="F71" i="9"/>
  <c r="C71" i="9"/>
  <c r="Y71" i="9" s="1"/>
  <c r="BG70" i="9"/>
  <c r="BE70" i="9"/>
  <c r="AW70" i="9"/>
  <c r="AR70" i="9"/>
  <c r="AM70" i="9"/>
  <c r="F70" i="9"/>
  <c r="C70" i="9"/>
  <c r="Y70" i="9" s="1"/>
  <c r="BG154" i="9"/>
  <c r="BE154" i="9"/>
  <c r="AW154" i="9"/>
  <c r="AR154" i="9"/>
  <c r="AM154" i="9"/>
  <c r="F154" i="9"/>
  <c r="C154" i="9"/>
  <c r="Y154" i="9" s="1"/>
  <c r="BG153" i="9"/>
  <c r="BE153" i="9"/>
  <c r="AW153" i="9"/>
  <c r="AR153" i="9"/>
  <c r="AM153" i="9"/>
  <c r="F153" i="9"/>
  <c r="C153" i="9"/>
  <c r="Y153" i="9" s="1"/>
  <c r="BG152" i="9"/>
  <c r="BE152" i="9"/>
  <c r="AW152" i="9"/>
  <c r="AR152" i="9"/>
  <c r="AM152" i="9"/>
  <c r="F152" i="9"/>
  <c r="C152" i="9"/>
  <c r="Y152" i="9" s="1"/>
  <c r="BG151" i="9"/>
  <c r="BE151" i="9"/>
  <c r="AW151" i="9"/>
  <c r="AR151" i="9"/>
  <c r="AM151" i="9"/>
  <c r="F151" i="9"/>
  <c r="C151" i="9"/>
  <c r="Y151" i="9" s="1"/>
  <c r="BG150" i="9"/>
  <c r="BE150" i="9"/>
  <c r="AW150" i="9"/>
  <c r="AR150" i="9"/>
  <c r="AM150" i="9"/>
  <c r="F150" i="9"/>
  <c r="C150" i="9"/>
  <c r="Y150" i="9" s="1"/>
  <c r="BG149" i="9"/>
  <c r="BE149" i="9"/>
  <c r="AW149" i="9"/>
  <c r="AR149" i="9"/>
  <c r="AM149" i="9"/>
  <c r="F149" i="9"/>
  <c r="C149" i="9"/>
  <c r="Y149" i="9" s="1"/>
  <c r="BG148" i="9"/>
  <c r="BE148" i="9"/>
  <c r="AW148" i="9"/>
  <c r="AR148" i="9"/>
  <c r="AM148" i="9"/>
  <c r="F148" i="9"/>
  <c r="C148" i="9"/>
  <c r="Y148" i="9" s="1"/>
  <c r="BG147" i="9"/>
  <c r="BE147" i="9"/>
  <c r="AW147" i="9"/>
  <c r="AR147" i="9"/>
  <c r="AM147" i="9"/>
  <c r="F147" i="9"/>
  <c r="C147" i="9"/>
  <c r="Y147" i="9" s="1"/>
  <c r="BG146" i="9"/>
  <c r="BE146" i="9"/>
  <c r="AW146" i="9"/>
  <c r="AR146" i="9"/>
  <c r="AM146" i="9"/>
  <c r="F146" i="9"/>
  <c r="C146" i="9"/>
  <c r="Y146" i="9" s="1"/>
  <c r="BG145" i="9"/>
  <c r="BE145" i="9"/>
  <c r="AW145" i="9"/>
  <c r="AR145" i="9"/>
  <c r="AM145" i="9"/>
  <c r="F145" i="9"/>
  <c r="C145" i="9"/>
  <c r="Y145" i="9" s="1"/>
  <c r="BG144" i="9"/>
  <c r="BE144" i="9"/>
  <c r="AW144" i="9"/>
  <c r="AR144" i="9"/>
  <c r="AM144" i="9"/>
  <c r="F144" i="9"/>
  <c r="C144" i="9"/>
  <c r="Y144" i="9" s="1"/>
  <c r="BG143" i="9"/>
  <c r="BE143" i="9"/>
  <c r="AW143" i="9"/>
  <c r="AR143" i="9"/>
  <c r="AM143" i="9"/>
  <c r="F143" i="9"/>
  <c r="C143" i="9"/>
  <c r="Y143" i="9" s="1"/>
  <c r="BG142" i="9"/>
  <c r="BE142" i="9"/>
  <c r="AW142" i="9"/>
  <c r="AR142" i="9"/>
  <c r="AM142" i="9"/>
  <c r="F142" i="9"/>
  <c r="C142" i="9"/>
  <c r="Y142" i="9" s="1"/>
  <c r="BG141" i="9"/>
  <c r="BE141" i="9"/>
  <c r="AW141" i="9"/>
  <c r="AR141" i="9"/>
  <c r="AM141" i="9"/>
  <c r="F141" i="9"/>
  <c r="C141" i="9"/>
  <c r="Y141" i="9" s="1"/>
  <c r="BG140" i="9"/>
  <c r="BE140" i="9"/>
  <c r="AW140" i="9"/>
  <c r="AR140" i="9"/>
  <c r="AM140" i="9"/>
  <c r="F140" i="9"/>
  <c r="C140" i="9"/>
  <c r="Y140" i="9" s="1"/>
  <c r="BG139" i="9"/>
  <c r="BE139" i="9"/>
  <c r="AW139" i="9"/>
  <c r="AR139" i="9"/>
  <c r="AM139" i="9"/>
  <c r="F139" i="9"/>
  <c r="C139" i="9"/>
  <c r="Y139" i="9" s="1"/>
  <c r="BG138" i="9"/>
  <c r="BE138" i="9"/>
  <c r="AW138" i="9"/>
  <c r="AR138" i="9"/>
  <c r="AM138" i="9"/>
  <c r="F138" i="9"/>
  <c r="C138" i="9"/>
  <c r="Y138" i="9" s="1"/>
  <c r="BG137" i="9"/>
  <c r="BE137" i="9"/>
  <c r="AW137" i="9"/>
  <c r="AR137" i="9"/>
  <c r="AM137" i="9"/>
  <c r="F137" i="9"/>
  <c r="C137" i="9"/>
  <c r="Y137" i="9" s="1"/>
  <c r="BG136" i="9"/>
  <c r="BE136" i="9"/>
  <c r="AW136" i="9"/>
  <c r="AR136" i="9"/>
  <c r="AM136" i="9"/>
  <c r="F136" i="9"/>
  <c r="C136" i="9"/>
  <c r="Y136" i="9" s="1"/>
  <c r="BG135" i="9"/>
  <c r="BE135" i="9"/>
  <c r="AW135" i="9"/>
  <c r="AR135" i="9"/>
  <c r="AM135" i="9"/>
  <c r="F135" i="9"/>
  <c r="C135" i="9"/>
  <c r="Y135" i="9" s="1"/>
  <c r="BG134" i="9"/>
  <c r="BE134" i="9"/>
  <c r="AW134" i="9"/>
  <c r="AR134" i="9"/>
  <c r="AM134" i="9"/>
  <c r="F134" i="9"/>
  <c r="C134" i="9"/>
  <c r="Y134" i="9" s="1"/>
  <c r="BG133" i="9"/>
  <c r="BE133" i="9"/>
  <c r="AW133" i="9"/>
  <c r="AR133" i="9"/>
  <c r="AM133" i="9"/>
  <c r="F133" i="9"/>
  <c r="C133" i="9"/>
  <c r="Y133" i="9" s="1"/>
  <c r="BG132" i="9"/>
  <c r="BE132" i="9"/>
  <c r="AW132" i="9"/>
  <c r="AR132" i="9"/>
  <c r="AM132" i="9"/>
  <c r="F132" i="9"/>
  <c r="C132" i="9"/>
  <c r="Y132" i="9" s="1"/>
  <c r="BG131" i="9"/>
  <c r="BE131" i="9"/>
  <c r="AW131" i="9"/>
  <c r="AR131" i="9"/>
  <c r="AM131" i="9"/>
  <c r="F131" i="9"/>
  <c r="C131" i="9"/>
  <c r="Y131" i="9" s="1"/>
  <c r="BG130" i="9"/>
  <c r="BE130" i="9"/>
  <c r="AW130" i="9"/>
  <c r="AR130" i="9"/>
  <c r="AM130" i="9"/>
  <c r="F130" i="9"/>
  <c r="C130" i="9"/>
  <c r="Y130" i="9" s="1"/>
  <c r="A242" i="9" l="1"/>
  <c r="A261" i="9"/>
  <c r="A262" i="9"/>
  <c r="A89" i="9"/>
  <c r="A161" i="9"/>
  <c r="A282" i="9"/>
  <c r="A232" i="9"/>
  <c r="A164" i="9"/>
  <c r="A178" i="9"/>
  <c r="A131" i="9"/>
  <c r="A141" i="9"/>
  <c r="A224" i="9"/>
  <c r="A132" i="9"/>
  <c r="A291" i="9"/>
  <c r="A233" i="9"/>
  <c r="A150" i="9"/>
  <c r="A172" i="9"/>
  <c r="A147" i="9"/>
  <c r="A148" i="9"/>
  <c r="A78" i="9"/>
  <c r="A166" i="9"/>
  <c r="A167" i="9"/>
  <c r="A182" i="9"/>
  <c r="A183" i="9"/>
  <c r="A293" i="9"/>
  <c r="A227" i="9"/>
  <c r="A241" i="9"/>
  <c r="A140" i="9"/>
  <c r="A77" i="9"/>
  <c r="A176" i="9"/>
  <c r="A304" i="9"/>
  <c r="A142" i="9"/>
  <c r="A169" i="9"/>
  <c r="A280" i="9"/>
  <c r="A288" i="9"/>
  <c r="A299" i="9"/>
  <c r="A244" i="9"/>
  <c r="A173" i="9"/>
  <c r="A235" i="9"/>
  <c r="A143" i="9"/>
  <c r="A144" i="9"/>
  <c r="A301" i="9"/>
  <c r="A264" i="9"/>
  <c r="A265" i="9"/>
  <c r="A134" i="9"/>
  <c r="A146" i="9"/>
  <c r="A70" i="9"/>
  <c r="A71" i="9"/>
  <c r="A296" i="9"/>
  <c r="A268" i="9"/>
  <c r="A130" i="9"/>
  <c r="A149" i="9"/>
  <c r="A154" i="9"/>
  <c r="A72" i="9"/>
  <c r="A79" i="9"/>
  <c r="A107" i="9"/>
  <c r="A177" i="9"/>
  <c r="A292" i="9"/>
  <c r="A300" i="9"/>
  <c r="A222" i="9"/>
  <c r="A226" i="9"/>
  <c r="A231" i="9"/>
  <c r="A238" i="9"/>
  <c r="A271" i="9"/>
  <c r="A145" i="9"/>
  <c r="A74" i="9"/>
  <c r="A76" i="9"/>
  <c r="A171" i="9"/>
  <c r="A281" i="9"/>
  <c r="A290" i="9"/>
  <c r="A298" i="9"/>
  <c r="A221" i="9"/>
  <c r="A225" i="9"/>
  <c r="A234" i="9"/>
  <c r="A237" i="9"/>
  <c r="A240" i="9"/>
  <c r="A274" i="9"/>
  <c r="A153" i="9"/>
  <c r="A73" i="9"/>
  <c r="A106" i="9"/>
  <c r="A165" i="9"/>
  <c r="A170" i="9"/>
  <c r="A175" i="9"/>
  <c r="A181" i="9"/>
  <c r="A285" i="9"/>
  <c r="A289" i="9"/>
  <c r="A297" i="9"/>
  <c r="A220" i="9"/>
  <c r="A230" i="9"/>
  <c r="A236" i="9"/>
  <c r="A243" i="9"/>
  <c r="A267" i="9"/>
  <c r="A270" i="9"/>
  <c r="A273" i="9"/>
  <c r="A105" i="9"/>
  <c r="A109" i="9"/>
  <c r="A168" i="9"/>
  <c r="A174" i="9"/>
  <c r="A180" i="9"/>
  <c r="A184" i="9"/>
  <c r="A295" i="9"/>
  <c r="A303" i="9"/>
  <c r="A229" i="9"/>
  <c r="A239" i="9"/>
  <c r="A151" i="9"/>
  <c r="A152" i="9"/>
  <c r="A75" i="9"/>
  <c r="A108" i="9"/>
  <c r="A179" i="9"/>
  <c r="A283" i="9"/>
  <c r="A284" i="9"/>
  <c r="A294" i="9"/>
  <c r="A302" i="9"/>
  <c r="A223" i="9"/>
  <c r="A228" i="9"/>
  <c r="A260" i="9"/>
  <c r="A263" i="9"/>
  <c r="A266" i="9"/>
  <c r="A269" i="9"/>
  <c r="A272" i="9"/>
  <c r="A255" i="9"/>
  <c r="A256" i="9"/>
  <c r="A257" i="9"/>
  <c r="A258" i="9"/>
  <c r="A259" i="9"/>
  <c r="A250" i="9"/>
  <c r="A251" i="9"/>
  <c r="A252" i="9"/>
  <c r="A253" i="9"/>
  <c r="A254" i="9"/>
  <c r="A286" i="9"/>
  <c r="A287" i="9"/>
  <c r="A162" i="9"/>
  <c r="A163" i="9"/>
  <c r="A160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00" i="9"/>
  <c r="A101" i="9"/>
  <c r="A102" i="9"/>
  <c r="A103" i="9"/>
  <c r="A104" i="9"/>
  <c r="A83" i="9"/>
  <c r="A87" i="9"/>
  <c r="A91" i="9"/>
  <c r="A84" i="9"/>
  <c r="A82" i="9"/>
  <c r="A90" i="9"/>
  <c r="A80" i="9"/>
  <c r="A81" i="9"/>
  <c r="A85" i="9"/>
  <c r="A86" i="9"/>
  <c r="A88" i="9"/>
  <c r="A92" i="9"/>
  <c r="A93" i="9"/>
  <c r="A94" i="9"/>
  <c r="A133" i="9"/>
  <c r="A135" i="9"/>
  <c r="A136" i="9"/>
  <c r="A137" i="9"/>
  <c r="A138" i="9"/>
  <c r="A139" i="9"/>
  <c r="F81" i="31"/>
  <c r="A81" i="31" s="1"/>
  <c r="X80" i="31" s="1"/>
  <c r="F80" i="31"/>
  <c r="A80" i="31" s="1"/>
  <c r="X79" i="31" s="1"/>
  <c r="F61" i="31"/>
  <c r="A61" i="31" s="1"/>
  <c r="X60" i="31" s="1"/>
  <c r="F60" i="31"/>
  <c r="A60" i="31" s="1"/>
  <c r="X59" i="31" s="1"/>
  <c r="F43" i="31"/>
  <c r="A43" i="31" s="1"/>
  <c r="X42" i="31" s="1"/>
  <c r="F42" i="31"/>
  <c r="A42" i="31" s="1"/>
  <c r="X41" i="31" s="1"/>
  <c r="BG64" i="9" l="1"/>
  <c r="BE64" i="9"/>
  <c r="AW64" i="9"/>
  <c r="AR64" i="9"/>
  <c r="AM64" i="9"/>
  <c r="F64" i="9"/>
  <c r="C64" i="9"/>
  <c r="Y64" i="9" s="1"/>
  <c r="BG63" i="9"/>
  <c r="BE63" i="9"/>
  <c r="AW63" i="9"/>
  <c r="AR63" i="9"/>
  <c r="AM63" i="9"/>
  <c r="F63" i="9"/>
  <c r="C63" i="9"/>
  <c r="Y63" i="9" s="1"/>
  <c r="BG62" i="9"/>
  <c r="BE62" i="9"/>
  <c r="AW62" i="9"/>
  <c r="AR62" i="9"/>
  <c r="AM62" i="9"/>
  <c r="F62" i="9"/>
  <c r="C62" i="9"/>
  <c r="Y62" i="9" s="1"/>
  <c r="BG61" i="9"/>
  <c r="BE61" i="9"/>
  <c r="AW61" i="9"/>
  <c r="AR61" i="9"/>
  <c r="AM61" i="9"/>
  <c r="F61" i="9"/>
  <c r="C61" i="9"/>
  <c r="Y61" i="9" s="1"/>
  <c r="BG60" i="9"/>
  <c r="BE60" i="9"/>
  <c r="AW60" i="9"/>
  <c r="AR60" i="9"/>
  <c r="AM60" i="9"/>
  <c r="F60" i="9"/>
  <c r="C60" i="9"/>
  <c r="Y60" i="9" s="1"/>
  <c r="BG59" i="9"/>
  <c r="BE59" i="9"/>
  <c r="AW59" i="9"/>
  <c r="AR59" i="9"/>
  <c r="AM59" i="9"/>
  <c r="F59" i="9"/>
  <c r="C59" i="9"/>
  <c r="Y59" i="9" s="1"/>
  <c r="BG58" i="9"/>
  <c r="BE58" i="9"/>
  <c r="AW58" i="9"/>
  <c r="AR58" i="9"/>
  <c r="AM58" i="9"/>
  <c r="F58" i="9"/>
  <c r="C58" i="9"/>
  <c r="Y58" i="9" s="1"/>
  <c r="BG57" i="9"/>
  <c r="BE57" i="9"/>
  <c r="AW57" i="9"/>
  <c r="AR57" i="9"/>
  <c r="AM57" i="9"/>
  <c r="F57" i="9"/>
  <c r="C57" i="9"/>
  <c r="Y57" i="9" s="1"/>
  <c r="BG56" i="9"/>
  <c r="BE56" i="9"/>
  <c r="AW56" i="9"/>
  <c r="AR56" i="9"/>
  <c r="AM56" i="9"/>
  <c r="F56" i="9"/>
  <c r="C56" i="9"/>
  <c r="Y56" i="9" s="1"/>
  <c r="BG55" i="9"/>
  <c r="BE55" i="9"/>
  <c r="AW55" i="9"/>
  <c r="AR55" i="9"/>
  <c r="AM55" i="9"/>
  <c r="F55" i="9"/>
  <c r="C55" i="9"/>
  <c r="Y55" i="9" s="1"/>
  <c r="BG54" i="9"/>
  <c r="BE54" i="9"/>
  <c r="AW54" i="9"/>
  <c r="AR54" i="9"/>
  <c r="AM54" i="9"/>
  <c r="F54" i="9"/>
  <c r="C54" i="9"/>
  <c r="Y54" i="9" s="1"/>
  <c r="BG53" i="9"/>
  <c r="BE53" i="9"/>
  <c r="AW53" i="9"/>
  <c r="AR53" i="9"/>
  <c r="AM53" i="9"/>
  <c r="F53" i="9"/>
  <c r="C53" i="9"/>
  <c r="Y53" i="9" s="1"/>
  <c r="BG52" i="9"/>
  <c r="BE52" i="9"/>
  <c r="AW52" i="9"/>
  <c r="AR52" i="9"/>
  <c r="AM52" i="9"/>
  <c r="F52" i="9"/>
  <c r="C52" i="9"/>
  <c r="Y52" i="9" s="1"/>
  <c r="BG51" i="9"/>
  <c r="BE51" i="9"/>
  <c r="AW51" i="9"/>
  <c r="AR51" i="9"/>
  <c r="AM51" i="9"/>
  <c r="F51" i="9"/>
  <c r="C51" i="9"/>
  <c r="Y51" i="9" s="1"/>
  <c r="BG50" i="9"/>
  <c r="BE50" i="9"/>
  <c r="AW50" i="9"/>
  <c r="AR50" i="9"/>
  <c r="AM50" i="9"/>
  <c r="F50" i="9"/>
  <c r="C50" i="9"/>
  <c r="Y50" i="9" s="1"/>
  <c r="BG49" i="9"/>
  <c r="BE49" i="9"/>
  <c r="AW49" i="9"/>
  <c r="AR49" i="9"/>
  <c r="AM49" i="9"/>
  <c r="F49" i="9"/>
  <c r="C49" i="9"/>
  <c r="Y49" i="9" s="1"/>
  <c r="BG48" i="9"/>
  <c r="BE48" i="9"/>
  <c r="AW48" i="9"/>
  <c r="AR48" i="9"/>
  <c r="AM48" i="9"/>
  <c r="F48" i="9"/>
  <c r="C48" i="9"/>
  <c r="Y48" i="9" s="1"/>
  <c r="BG47" i="9"/>
  <c r="BE47" i="9"/>
  <c r="AW47" i="9"/>
  <c r="AR47" i="9"/>
  <c r="AM47" i="9"/>
  <c r="F47" i="9"/>
  <c r="C47" i="9"/>
  <c r="Y47" i="9" s="1"/>
  <c r="BG46" i="9"/>
  <c r="BE46" i="9"/>
  <c r="AW46" i="9"/>
  <c r="AR46" i="9"/>
  <c r="AM46" i="9"/>
  <c r="F46" i="9"/>
  <c r="C46" i="9"/>
  <c r="Y46" i="9" s="1"/>
  <c r="BG45" i="9"/>
  <c r="BE45" i="9"/>
  <c r="AW45" i="9"/>
  <c r="AR45" i="9"/>
  <c r="AM45" i="9"/>
  <c r="F45" i="9"/>
  <c r="C45" i="9"/>
  <c r="Y45" i="9" s="1"/>
  <c r="BG44" i="9"/>
  <c r="BE44" i="9"/>
  <c r="AW44" i="9"/>
  <c r="AR44" i="9"/>
  <c r="AM44" i="9"/>
  <c r="F44" i="9"/>
  <c r="C44" i="9"/>
  <c r="Y44" i="9" s="1"/>
  <c r="BG43" i="9"/>
  <c r="BE43" i="9"/>
  <c r="AW43" i="9"/>
  <c r="AR43" i="9"/>
  <c r="AM43" i="9"/>
  <c r="F43" i="9"/>
  <c r="C43" i="9"/>
  <c r="Y43" i="9" s="1"/>
  <c r="BG42" i="9"/>
  <c r="BE42" i="9"/>
  <c r="AW42" i="9"/>
  <c r="AR42" i="9"/>
  <c r="AM42" i="9"/>
  <c r="F42" i="9"/>
  <c r="C42" i="9"/>
  <c r="Y42" i="9" s="1"/>
  <c r="BG41" i="9"/>
  <c r="BE41" i="9"/>
  <c r="AW41" i="9"/>
  <c r="AR41" i="9"/>
  <c r="AM41" i="9"/>
  <c r="F41" i="9"/>
  <c r="C41" i="9"/>
  <c r="Y41" i="9" s="1"/>
  <c r="BG40" i="9"/>
  <c r="BE40" i="9"/>
  <c r="AW40" i="9"/>
  <c r="AR40" i="9"/>
  <c r="AM40" i="9"/>
  <c r="F40" i="9"/>
  <c r="C40" i="9"/>
  <c r="Y40" i="9" s="1"/>
  <c r="BE125" i="9"/>
  <c r="BE126" i="9"/>
  <c r="BE127" i="9"/>
  <c r="BE128" i="9"/>
  <c r="BE129" i="9"/>
  <c r="BE65" i="9"/>
  <c r="BE66" i="9"/>
  <c r="BE67" i="9"/>
  <c r="BE68" i="9"/>
  <c r="BE69" i="9"/>
  <c r="BE95" i="9"/>
  <c r="BE96" i="9"/>
  <c r="BE97" i="9"/>
  <c r="BE98" i="9"/>
  <c r="BE99" i="9"/>
  <c r="BE155" i="9"/>
  <c r="BE156" i="9"/>
  <c r="BE157" i="9"/>
  <c r="BE158" i="9"/>
  <c r="BE159" i="9"/>
  <c r="BE275" i="9"/>
  <c r="BE276" i="9"/>
  <c r="BE277" i="9"/>
  <c r="BE278" i="9"/>
  <c r="BE279" i="9"/>
  <c r="BE215" i="9"/>
  <c r="BE216" i="9"/>
  <c r="BE217" i="9"/>
  <c r="BE218" i="9"/>
  <c r="BE219" i="9"/>
  <c r="BE35" i="9"/>
  <c r="BE36" i="9"/>
  <c r="BE37" i="9"/>
  <c r="BE38" i="9"/>
  <c r="BE39" i="9"/>
  <c r="BE245" i="9"/>
  <c r="BE246" i="9"/>
  <c r="BE247" i="9"/>
  <c r="BE248" i="9"/>
  <c r="BE249" i="9"/>
  <c r="F22" i="31"/>
  <c r="A22" i="31" s="1"/>
  <c r="X21" i="31" s="1"/>
  <c r="F23" i="31"/>
  <c r="A23" i="31" s="1"/>
  <c r="X22" i="31" s="1"/>
  <c r="F24" i="31"/>
  <c r="BG125" i="9"/>
  <c r="BG126" i="9"/>
  <c r="BG127" i="9"/>
  <c r="BG128" i="9"/>
  <c r="BG129" i="9"/>
  <c r="BG65" i="9"/>
  <c r="BG66" i="9"/>
  <c r="BG67" i="9"/>
  <c r="BG68" i="9"/>
  <c r="BG69" i="9"/>
  <c r="BG95" i="9"/>
  <c r="BG96" i="9"/>
  <c r="BG97" i="9"/>
  <c r="BG98" i="9"/>
  <c r="BG99" i="9"/>
  <c r="BG155" i="9"/>
  <c r="BG156" i="9"/>
  <c r="BG157" i="9"/>
  <c r="BG158" i="9"/>
  <c r="BG159" i="9"/>
  <c r="BG275" i="9"/>
  <c r="BG276" i="9"/>
  <c r="BG277" i="9"/>
  <c r="BG278" i="9"/>
  <c r="BG279" i="9"/>
  <c r="BG215" i="9"/>
  <c r="BG216" i="9"/>
  <c r="BG217" i="9"/>
  <c r="BG218" i="9"/>
  <c r="BG219" i="9"/>
  <c r="BG35" i="9"/>
  <c r="BG36" i="9"/>
  <c r="BG37" i="9"/>
  <c r="BG38" i="9"/>
  <c r="BG39" i="9"/>
  <c r="BG245" i="9"/>
  <c r="BG246" i="9"/>
  <c r="BG247" i="9"/>
  <c r="BG248" i="9"/>
  <c r="BG249" i="9"/>
  <c r="BB275" i="9"/>
  <c r="BB276" i="9"/>
  <c r="BB277" i="9"/>
  <c r="BB278" i="9"/>
  <c r="BB279" i="9"/>
  <c r="AW125" i="9"/>
  <c r="AW126" i="9"/>
  <c r="AW127" i="9"/>
  <c r="AW128" i="9"/>
  <c r="AW129" i="9"/>
  <c r="AW65" i="9"/>
  <c r="AW66" i="9"/>
  <c r="AW67" i="9"/>
  <c r="AW68" i="9"/>
  <c r="AW69" i="9"/>
  <c r="AW95" i="9"/>
  <c r="AW96" i="9"/>
  <c r="AW97" i="9"/>
  <c r="AW98" i="9"/>
  <c r="AW99" i="9"/>
  <c r="AW155" i="9"/>
  <c r="AW156" i="9"/>
  <c r="AW157" i="9"/>
  <c r="AW158" i="9"/>
  <c r="AW159" i="9"/>
  <c r="AW275" i="9"/>
  <c r="AW276" i="9"/>
  <c r="AW277" i="9"/>
  <c r="AW278" i="9"/>
  <c r="AW279" i="9"/>
  <c r="AW215" i="9"/>
  <c r="AW216" i="9"/>
  <c r="AW217" i="9"/>
  <c r="AW218" i="9"/>
  <c r="AW219" i="9"/>
  <c r="AW35" i="9"/>
  <c r="AW36" i="9"/>
  <c r="AW37" i="9"/>
  <c r="AW38" i="9"/>
  <c r="AW39" i="9"/>
  <c r="AW245" i="9"/>
  <c r="AW246" i="9"/>
  <c r="AW247" i="9"/>
  <c r="AW248" i="9"/>
  <c r="AW249" i="9"/>
  <c r="AR125" i="9"/>
  <c r="AR126" i="9"/>
  <c r="AR127" i="9"/>
  <c r="AR128" i="9"/>
  <c r="AR129" i="9"/>
  <c r="AR65" i="9"/>
  <c r="AR66" i="9"/>
  <c r="AR67" i="9"/>
  <c r="AR68" i="9"/>
  <c r="AR69" i="9"/>
  <c r="AR95" i="9"/>
  <c r="AR96" i="9"/>
  <c r="AR97" i="9"/>
  <c r="AR98" i="9"/>
  <c r="AR99" i="9"/>
  <c r="AR155" i="9"/>
  <c r="AR156" i="9"/>
  <c r="AR157" i="9"/>
  <c r="AR158" i="9"/>
  <c r="AR159" i="9"/>
  <c r="AR275" i="9"/>
  <c r="AR276" i="9"/>
  <c r="AR277" i="9"/>
  <c r="AR278" i="9"/>
  <c r="AR279" i="9"/>
  <c r="AR215" i="9"/>
  <c r="AR216" i="9"/>
  <c r="AR217" i="9"/>
  <c r="AR218" i="9"/>
  <c r="AR219" i="9"/>
  <c r="AR35" i="9"/>
  <c r="AR36" i="9"/>
  <c r="AR37" i="9"/>
  <c r="AR38" i="9"/>
  <c r="AR39" i="9"/>
  <c r="AR245" i="9"/>
  <c r="AR246" i="9"/>
  <c r="AR247" i="9"/>
  <c r="AR248" i="9"/>
  <c r="AR249" i="9"/>
  <c r="AM125" i="9"/>
  <c r="AM126" i="9"/>
  <c r="AM127" i="9"/>
  <c r="AM128" i="9"/>
  <c r="AM129" i="9"/>
  <c r="AM65" i="9"/>
  <c r="AM66" i="9"/>
  <c r="AM67" i="9"/>
  <c r="AM68" i="9"/>
  <c r="AM69" i="9"/>
  <c r="AM95" i="9"/>
  <c r="AM96" i="9"/>
  <c r="AM97" i="9"/>
  <c r="AM98" i="9"/>
  <c r="AM99" i="9"/>
  <c r="AM155" i="9"/>
  <c r="AM156" i="9"/>
  <c r="AM157" i="9"/>
  <c r="AM158" i="9"/>
  <c r="AM159" i="9"/>
  <c r="AM275" i="9"/>
  <c r="AM276" i="9"/>
  <c r="AM277" i="9"/>
  <c r="AM278" i="9"/>
  <c r="AM279" i="9"/>
  <c r="AM215" i="9"/>
  <c r="AM216" i="9"/>
  <c r="AM217" i="9"/>
  <c r="AM218" i="9"/>
  <c r="AM219" i="9"/>
  <c r="AM35" i="9"/>
  <c r="AM36" i="9"/>
  <c r="AM37" i="9"/>
  <c r="AM38" i="9"/>
  <c r="AM39" i="9"/>
  <c r="AM245" i="9"/>
  <c r="AM246" i="9"/>
  <c r="AM247" i="9"/>
  <c r="AM248" i="9"/>
  <c r="AM249" i="9"/>
  <c r="A64" i="9" l="1"/>
  <c r="A49" i="9"/>
  <c r="A48" i="9"/>
  <c r="A42" i="9"/>
  <c r="A51" i="9"/>
  <c r="A59" i="9"/>
  <c r="A63" i="9"/>
  <c r="A45" i="9"/>
  <c r="A50" i="9"/>
  <c r="A54" i="9"/>
  <c r="A58" i="9"/>
  <c r="A62" i="9"/>
  <c r="A40" i="9"/>
  <c r="A44" i="9"/>
  <c r="A53" i="9"/>
  <c r="A57" i="9"/>
  <c r="A61" i="9"/>
  <c r="A46" i="9"/>
  <c r="A55" i="9"/>
  <c r="A43" i="9"/>
  <c r="A47" i="9"/>
  <c r="A52" i="9"/>
  <c r="A56" i="9"/>
  <c r="A60" i="9"/>
  <c r="A41" i="9"/>
  <c r="B5" i="42" l="1"/>
  <c r="AG8" i="4" l="1"/>
  <c r="AG11" i="4"/>
  <c r="AG5" i="4"/>
  <c r="F125" i="9" l="1"/>
  <c r="F126" i="9"/>
  <c r="F127" i="9"/>
  <c r="F128" i="9"/>
  <c r="F129" i="9"/>
  <c r="F65" i="9"/>
  <c r="F66" i="9"/>
  <c r="F67" i="9"/>
  <c r="F68" i="9"/>
  <c r="F69" i="9"/>
  <c r="F95" i="9"/>
  <c r="F96" i="9"/>
  <c r="F97" i="9"/>
  <c r="F98" i="9"/>
  <c r="F99" i="9"/>
  <c r="F155" i="9"/>
  <c r="F156" i="9"/>
  <c r="F157" i="9"/>
  <c r="F158" i="9"/>
  <c r="F159" i="9"/>
  <c r="F275" i="9"/>
  <c r="F276" i="9"/>
  <c r="F277" i="9"/>
  <c r="F278" i="9"/>
  <c r="F279" i="9"/>
  <c r="F215" i="9"/>
  <c r="F216" i="9"/>
  <c r="F217" i="9"/>
  <c r="F218" i="9"/>
  <c r="F219" i="9"/>
  <c r="F35" i="9"/>
  <c r="F36" i="9"/>
  <c r="F37" i="9"/>
  <c r="F38" i="9"/>
  <c r="F39" i="9"/>
  <c r="F245" i="9"/>
  <c r="F246" i="9"/>
  <c r="F247" i="9"/>
  <c r="F248" i="9"/>
  <c r="F249" i="9"/>
  <c r="F135" i="39"/>
  <c r="F136" i="39"/>
  <c r="F137" i="39"/>
  <c r="F138" i="39"/>
  <c r="F139" i="39"/>
  <c r="F70" i="39"/>
  <c r="F71" i="39"/>
  <c r="F72" i="39"/>
  <c r="F73" i="39"/>
  <c r="F74" i="39"/>
  <c r="F130" i="39"/>
  <c r="F131" i="39"/>
  <c r="F132" i="39"/>
  <c r="F133" i="39"/>
  <c r="F134" i="39"/>
  <c r="F195" i="39"/>
  <c r="F196" i="39"/>
  <c r="F197" i="39"/>
  <c r="F198" i="39"/>
  <c r="F199" i="39"/>
  <c r="F200" i="39"/>
  <c r="F201" i="39"/>
  <c r="F202" i="39"/>
  <c r="F203" i="39"/>
  <c r="F204" i="39"/>
  <c r="F415" i="39"/>
  <c r="F416" i="39"/>
  <c r="F417" i="39"/>
  <c r="F418" i="39"/>
  <c r="F419" i="39"/>
  <c r="F420" i="39"/>
  <c r="F421" i="39"/>
  <c r="F422" i="39"/>
  <c r="F423" i="39"/>
  <c r="F424" i="39"/>
  <c r="F425" i="39"/>
  <c r="F426" i="39"/>
  <c r="F427" i="39"/>
  <c r="F428" i="39"/>
  <c r="F429" i="39"/>
  <c r="C54" i="41" l="1"/>
  <c r="C53" i="41"/>
  <c r="C52" i="41"/>
  <c r="C51" i="41"/>
  <c r="C50" i="41"/>
  <c r="C49" i="41"/>
  <c r="C48" i="41"/>
  <c r="C47" i="41"/>
  <c r="A47" i="41" s="1"/>
  <c r="C46" i="41"/>
  <c r="C45" i="41"/>
  <c r="C68" i="41"/>
  <c r="C67" i="41"/>
  <c r="C66" i="41"/>
  <c r="C65" i="41"/>
  <c r="C64" i="41"/>
  <c r="C63" i="41"/>
  <c r="C62" i="41"/>
  <c r="C61" i="41"/>
  <c r="C60" i="41"/>
  <c r="C59" i="41"/>
  <c r="C58" i="41"/>
  <c r="C57" i="41"/>
  <c r="C56" i="41"/>
  <c r="C55" i="41"/>
  <c r="A55" i="41" s="1"/>
  <c r="C39" i="41"/>
  <c r="C38" i="41"/>
  <c r="C37" i="41"/>
  <c r="C36" i="41"/>
  <c r="C35" i="41"/>
  <c r="C34" i="41"/>
  <c r="C33" i="41"/>
  <c r="C32" i="41"/>
  <c r="C31" i="41"/>
  <c r="C30" i="41"/>
  <c r="C24" i="41"/>
  <c r="C23" i="41"/>
  <c r="C22" i="41"/>
  <c r="C21" i="41"/>
  <c r="C20" i="41"/>
  <c r="C19" i="41"/>
  <c r="C18" i="41"/>
  <c r="C17" i="41"/>
  <c r="C16" i="41"/>
  <c r="C15" i="41"/>
  <c r="C29" i="41"/>
  <c r="C28" i="41"/>
  <c r="C27" i="41"/>
  <c r="C26" i="41"/>
  <c r="C25" i="41"/>
  <c r="A35" i="41" l="1"/>
  <c r="A21" i="41"/>
  <c r="A57" i="41"/>
  <c r="A56" i="41"/>
  <c r="A60" i="41"/>
  <c r="A64" i="41"/>
  <c r="A46" i="41"/>
  <c r="A20" i="41"/>
  <c r="A33" i="41"/>
  <c r="A61" i="41"/>
  <c r="A68" i="41"/>
  <c r="A38" i="41"/>
  <c r="A45" i="41"/>
  <c r="A29" i="41"/>
  <c r="A18" i="41"/>
  <c r="A37" i="41"/>
  <c r="A51" i="41"/>
  <c r="A19" i="41"/>
  <c r="A59" i="41"/>
  <c r="A62" i="41"/>
  <c r="A65" i="41"/>
  <c r="A17" i="41"/>
  <c r="A53" i="41"/>
  <c r="A16" i="41"/>
  <c r="A39" i="41"/>
  <c r="A63" i="41"/>
  <c r="A48" i="41"/>
  <c r="A66" i="41"/>
  <c r="A24" i="41"/>
  <c r="A30" i="41"/>
  <c r="A31" i="41"/>
  <c r="A32" i="41"/>
  <c r="A34" i="41"/>
  <c r="A36" i="41"/>
  <c r="A58" i="41"/>
  <c r="A50" i="41"/>
  <c r="A52" i="41"/>
  <c r="A54" i="41"/>
  <c r="A49" i="41"/>
  <c r="A22" i="41"/>
  <c r="A25" i="41"/>
  <c r="A26" i="41"/>
  <c r="A27" i="41"/>
  <c r="A28" i="41"/>
  <c r="A15" i="41"/>
  <c r="A23" i="41"/>
  <c r="A67" i="41"/>
  <c r="AB202" i="39" l="1"/>
  <c r="AB200" i="39"/>
  <c r="AB201" i="39"/>
  <c r="AB203" i="39"/>
  <c r="AB204" i="39"/>
  <c r="BC429" i="39"/>
  <c r="AT429" i="39"/>
  <c r="V429" i="39"/>
  <c r="C429" i="39"/>
  <c r="I429" i="39" s="1"/>
  <c r="BC428" i="39"/>
  <c r="AT428" i="39"/>
  <c r="V428" i="39"/>
  <c r="C428" i="39"/>
  <c r="I428" i="39" s="1"/>
  <c r="BC427" i="39"/>
  <c r="AT427" i="39"/>
  <c r="V427" i="39"/>
  <c r="C427" i="39"/>
  <c r="I427" i="39" s="1"/>
  <c r="BC426" i="39"/>
  <c r="AT426" i="39"/>
  <c r="V426" i="39"/>
  <c r="C426" i="39"/>
  <c r="I426" i="39" s="1"/>
  <c r="BC425" i="39"/>
  <c r="AT425" i="39"/>
  <c r="V425" i="39"/>
  <c r="C425" i="39"/>
  <c r="I425" i="39" s="1"/>
  <c r="AT424" i="39"/>
  <c r="V424" i="39"/>
  <c r="C424" i="39"/>
  <c r="I424" i="39" s="1"/>
  <c r="AT423" i="39"/>
  <c r="V423" i="39"/>
  <c r="C423" i="39"/>
  <c r="I423" i="39" s="1"/>
  <c r="AT422" i="39"/>
  <c r="V422" i="39"/>
  <c r="C422" i="39"/>
  <c r="I422" i="39" s="1"/>
  <c r="AT421" i="39"/>
  <c r="V421" i="39"/>
  <c r="C421" i="39"/>
  <c r="I421" i="39" s="1"/>
  <c r="AT420" i="39"/>
  <c r="V420" i="39"/>
  <c r="C420" i="39"/>
  <c r="I420" i="39" s="1"/>
  <c r="BC419" i="39"/>
  <c r="AT419" i="39"/>
  <c r="V419" i="39"/>
  <c r="C419" i="39"/>
  <c r="I419" i="39" s="1"/>
  <c r="BC418" i="39"/>
  <c r="AT418" i="39"/>
  <c r="V418" i="39"/>
  <c r="C418" i="39"/>
  <c r="I418" i="39" s="1"/>
  <c r="BC417" i="39"/>
  <c r="AT417" i="39"/>
  <c r="V417" i="39"/>
  <c r="C417" i="39"/>
  <c r="I417" i="39" s="1"/>
  <c r="BC416" i="39"/>
  <c r="AT416" i="39"/>
  <c r="V416" i="39"/>
  <c r="C416" i="39"/>
  <c r="I416" i="39" s="1"/>
  <c r="BC415" i="39"/>
  <c r="AT415" i="39"/>
  <c r="V415" i="39"/>
  <c r="C415" i="39"/>
  <c r="I415" i="39" s="1"/>
  <c r="AT204" i="39"/>
  <c r="V204" i="39"/>
  <c r="C204" i="39"/>
  <c r="I204" i="39" s="1"/>
  <c r="AT203" i="39"/>
  <c r="V203" i="39"/>
  <c r="C203" i="39"/>
  <c r="I203" i="39" s="1"/>
  <c r="AT202" i="39"/>
  <c r="V202" i="39"/>
  <c r="C202" i="39"/>
  <c r="I202" i="39" s="1"/>
  <c r="AT201" i="39"/>
  <c r="V201" i="39"/>
  <c r="C201" i="39"/>
  <c r="I201" i="39" s="1"/>
  <c r="AT200" i="39"/>
  <c r="V200" i="39"/>
  <c r="C200" i="39"/>
  <c r="I200" i="39" s="1"/>
  <c r="BC199" i="39"/>
  <c r="AT199" i="39"/>
  <c r="V199" i="39"/>
  <c r="C199" i="39"/>
  <c r="I199" i="39" s="1"/>
  <c r="BC198" i="39"/>
  <c r="AT198" i="39"/>
  <c r="V198" i="39"/>
  <c r="C198" i="39"/>
  <c r="I198" i="39" s="1"/>
  <c r="BC197" i="39"/>
  <c r="AT197" i="39"/>
  <c r="V197" i="39"/>
  <c r="C197" i="39"/>
  <c r="I197" i="39" s="1"/>
  <c r="BC196" i="39"/>
  <c r="AT196" i="39"/>
  <c r="V196" i="39"/>
  <c r="C196" i="39"/>
  <c r="I196" i="39" s="1"/>
  <c r="BC195" i="39"/>
  <c r="AT195" i="39"/>
  <c r="V195" i="39"/>
  <c r="C195" i="39"/>
  <c r="I195" i="39" s="1"/>
  <c r="AT134" i="39"/>
  <c r="V134" i="39"/>
  <c r="C134" i="39"/>
  <c r="I134" i="39" s="1"/>
  <c r="AT133" i="39"/>
  <c r="V133" i="39"/>
  <c r="C133" i="39"/>
  <c r="I133" i="39" s="1"/>
  <c r="AT132" i="39"/>
  <c r="V132" i="39"/>
  <c r="C132" i="39"/>
  <c r="I132" i="39" s="1"/>
  <c r="AT131" i="39"/>
  <c r="V131" i="39"/>
  <c r="C131" i="39"/>
  <c r="I131" i="39" s="1"/>
  <c r="AT130" i="39"/>
  <c r="V130" i="39"/>
  <c r="C130" i="39"/>
  <c r="I130" i="39" s="1"/>
  <c r="AT74" i="39"/>
  <c r="V74" i="39"/>
  <c r="C74" i="39"/>
  <c r="I74" i="39" s="1"/>
  <c r="AT73" i="39"/>
  <c r="V73" i="39"/>
  <c r="C73" i="39"/>
  <c r="I73" i="39" s="1"/>
  <c r="AT72" i="39"/>
  <c r="V72" i="39"/>
  <c r="C72" i="39"/>
  <c r="I72" i="39" s="1"/>
  <c r="AT71" i="39"/>
  <c r="V71" i="39"/>
  <c r="C71" i="39"/>
  <c r="I71" i="39" s="1"/>
  <c r="AT70" i="39"/>
  <c r="V70" i="39"/>
  <c r="C70" i="39"/>
  <c r="I70" i="39" s="1"/>
  <c r="AT139" i="39"/>
  <c r="V139" i="39"/>
  <c r="C139" i="39"/>
  <c r="I139" i="39" s="1"/>
  <c r="AT138" i="39"/>
  <c r="V138" i="39"/>
  <c r="C138" i="39"/>
  <c r="I138" i="39" s="1"/>
  <c r="AT137" i="39"/>
  <c r="V137" i="39"/>
  <c r="C137" i="39"/>
  <c r="I137" i="39" s="1"/>
  <c r="AT136" i="39"/>
  <c r="V136" i="39"/>
  <c r="C136" i="39"/>
  <c r="I136" i="39" s="1"/>
  <c r="AT135" i="39"/>
  <c r="V135" i="39"/>
  <c r="C135" i="39"/>
  <c r="I135" i="39" s="1"/>
  <c r="A429" i="39" l="1"/>
  <c r="A139" i="39"/>
  <c r="A426" i="39"/>
  <c r="A72" i="39"/>
  <c r="A417" i="39"/>
  <c r="A200" i="39"/>
  <c r="A199" i="39"/>
  <c r="A130" i="39"/>
  <c r="A198" i="39"/>
  <c r="A137" i="39"/>
  <c r="A425" i="39"/>
  <c r="A203" i="39"/>
  <c r="A424" i="39"/>
  <c r="A138" i="39"/>
  <c r="A74" i="39"/>
  <c r="A132" i="39"/>
  <c r="A195" i="39"/>
  <c r="A415" i="39"/>
  <c r="A136" i="39"/>
  <c r="A131" i="39"/>
  <c r="A418" i="39"/>
  <c r="A421" i="39"/>
  <c r="A197" i="39"/>
  <c r="A416" i="39"/>
  <c r="A71" i="39"/>
  <c r="A428" i="39"/>
  <c r="A134" i="39"/>
  <c r="A202" i="39"/>
  <c r="A420" i="39"/>
  <c r="A70" i="39"/>
  <c r="A133" i="39"/>
  <c r="A201" i="39"/>
  <c r="A419" i="39"/>
  <c r="A423" i="39"/>
  <c r="A427" i="39"/>
  <c r="A135" i="39"/>
  <c r="A73" i="39"/>
  <c r="A196" i="39"/>
  <c r="A204" i="39"/>
  <c r="A422" i="39"/>
  <c r="DD31" i="5" l="1"/>
  <c r="CI31" i="5"/>
  <c r="CH31" i="5"/>
  <c r="BT31" i="5"/>
  <c r="CB31" i="5" s="1"/>
  <c r="BS31" i="5"/>
  <c r="L31" i="5"/>
  <c r="G31" i="5" s="1"/>
  <c r="I31" i="5"/>
  <c r="F31" i="5"/>
  <c r="DD30" i="5"/>
  <c r="CI30" i="5"/>
  <c r="CH30" i="5"/>
  <c r="BT30" i="5"/>
  <c r="CC30" i="5" s="1"/>
  <c r="BS30" i="5"/>
  <c r="L30" i="5"/>
  <c r="G30" i="5" s="1"/>
  <c r="I30" i="5"/>
  <c r="F30" i="5"/>
  <c r="DD28" i="5"/>
  <c r="CI28" i="5"/>
  <c r="CH28" i="5"/>
  <c r="BT28" i="5"/>
  <c r="CC28" i="5" s="1"/>
  <c r="BS28" i="5"/>
  <c r="L28" i="5"/>
  <c r="G28" i="5" s="1"/>
  <c r="I28" i="5"/>
  <c r="F28" i="5"/>
  <c r="DD27" i="5"/>
  <c r="CI27" i="5"/>
  <c r="CH27" i="5"/>
  <c r="BT27" i="5"/>
  <c r="BZ27" i="5" s="1"/>
  <c r="BS27" i="5"/>
  <c r="L27" i="5"/>
  <c r="G27" i="5" s="1"/>
  <c r="I27" i="5"/>
  <c r="F27" i="5"/>
  <c r="DD25" i="5"/>
  <c r="CI25" i="5"/>
  <c r="CH25" i="5"/>
  <c r="BT25" i="5"/>
  <c r="CB25" i="5" s="1"/>
  <c r="BS25" i="5"/>
  <c r="L25" i="5"/>
  <c r="G25" i="5" s="1"/>
  <c r="I25" i="5"/>
  <c r="F25" i="5"/>
  <c r="DD24" i="5"/>
  <c r="CI24" i="5"/>
  <c r="CH24" i="5"/>
  <c r="BT24" i="5"/>
  <c r="CB24" i="5" s="1"/>
  <c r="BS24" i="5"/>
  <c r="L24" i="5"/>
  <c r="G24" i="5" s="1"/>
  <c r="I24" i="5"/>
  <c r="F24" i="5"/>
  <c r="DD22" i="5"/>
  <c r="CI22" i="5"/>
  <c r="CH22" i="5"/>
  <c r="BT22" i="5"/>
  <c r="CB22" i="5" s="1"/>
  <c r="BS22" i="5"/>
  <c r="L22" i="5"/>
  <c r="G22" i="5" s="1"/>
  <c r="I22" i="5"/>
  <c r="F22" i="5"/>
  <c r="DD21" i="5"/>
  <c r="CI21" i="5"/>
  <c r="CH21" i="5"/>
  <c r="BT21" i="5"/>
  <c r="CB21" i="5" s="1"/>
  <c r="BS21" i="5"/>
  <c r="L21" i="5"/>
  <c r="G21" i="5" s="1"/>
  <c r="I21" i="5"/>
  <c r="F21" i="5"/>
  <c r="DD34" i="5"/>
  <c r="CR34" i="5"/>
  <c r="L34" i="5"/>
  <c r="G34" i="5" s="1"/>
  <c r="I34" i="5"/>
  <c r="F34" i="5"/>
  <c r="DD33" i="5"/>
  <c r="CR33" i="5"/>
  <c r="L33" i="5"/>
  <c r="G33" i="5" s="1"/>
  <c r="I33" i="5"/>
  <c r="F33" i="5"/>
  <c r="DD19" i="5"/>
  <c r="L19" i="5"/>
  <c r="G19" i="5" s="1"/>
  <c r="I19" i="5"/>
  <c r="F19" i="5"/>
  <c r="DD18" i="5"/>
  <c r="L18" i="5"/>
  <c r="G18" i="5" s="1"/>
  <c r="I18" i="5"/>
  <c r="F18" i="5"/>
  <c r="DD16" i="5"/>
  <c r="L16" i="5"/>
  <c r="G16" i="5" s="1"/>
  <c r="I16" i="5"/>
  <c r="F16" i="5"/>
  <c r="DD14" i="5"/>
  <c r="L14" i="5"/>
  <c r="G14" i="5" s="1"/>
  <c r="I14" i="5"/>
  <c r="F14" i="5"/>
  <c r="DD13" i="5"/>
  <c r="L13" i="5"/>
  <c r="G13" i="5" s="1"/>
  <c r="I13" i="5"/>
  <c r="F13" i="5"/>
  <c r="DD12" i="5"/>
  <c r="L12" i="5"/>
  <c r="G12" i="5" s="1"/>
  <c r="I12" i="5"/>
  <c r="F12" i="5"/>
  <c r="DD10" i="5"/>
  <c r="L10" i="5"/>
  <c r="G10" i="5" s="1"/>
  <c r="I10" i="5"/>
  <c r="F10" i="5"/>
  <c r="DD9" i="5"/>
  <c r="L9" i="5"/>
  <c r="G9" i="5" s="1"/>
  <c r="I9" i="5"/>
  <c r="F9" i="5"/>
  <c r="I6" i="5"/>
  <c r="I7" i="5"/>
  <c r="I8" i="5"/>
  <c r="I11" i="5"/>
  <c r="I15" i="5"/>
  <c r="I17" i="5"/>
  <c r="I32" i="5"/>
  <c r="I20" i="5"/>
  <c r="I23" i="5"/>
  <c r="I26" i="5"/>
  <c r="I29" i="5"/>
  <c r="I35" i="5"/>
  <c r="I44" i="5"/>
  <c r="I5" i="5"/>
  <c r="DD7" i="5"/>
  <c r="L7" i="5"/>
  <c r="G7" i="5" s="1"/>
  <c r="F7" i="5"/>
  <c r="DD6" i="5"/>
  <c r="L6" i="5"/>
  <c r="G6" i="5" s="1"/>
  <c r="F6" i="5"/>
  <c r="L8" i="5"/>
  <c r="G8" i="5" s="1"/>
  <c r="L11" i="5"/>
  <c r="G11" i="5" s="1"/>
  <c r="L15" i="5"/>
  <c r="G15" i="5" s="1"/>
  <c r="L17" i="5"/>
  <c r="G17" i="5" s="1"/>
  <c r="L32" i="5"/>
  <c r="G32" i="5" s="1"/>
  <c r="L20" i="5"/>
  <c r="G20" i="5" s="1"/>
  <c r="L23" i="5"/>
  <c r="G23" i="5" s="1"/>
  <c r="L26" i="5"/>
  <c r="G26" i="5" s="1"/>
  <c r="L29" i="5"/>
  <c r="G29" i="5" s="1"/>
  <c r="L35" i="5"/>
  <c r="G35" i="5" s="1"/>
  <c r="L44" i="5"/>
  <c r="G44" i="5" s="1"/>
  <c r="L5" i="5"/>
  <c r="G5" i="5" s="1"/>
  <c r="CA31" i="5" l="1"/>
  <c r="CC31" i="5"/>
  <c r="D21" i="5"/>
  <c r="BZ31" i="5"/>
  <c r="D24" i="5"/>
  <c r="CC21" i="5"/>
  <c r="CC24" i="5"/>
  <c r="CC27" i="5"/>
  <c r="D19" i="5"/>
  <c r="D16" i="5"/>
  <c r="CB30" i="5"/>
  <c r="CA28" i="5"/>
  <c r="D31" i="5"/>
  <c r="CB28" i="5"/>
  <c r="BZ30" i="5"/>
  <c r="CA30" i="5"/>
  <c r="BZ28" i="5"/>
  <c r="D12" i="5"/>
  <c r="D6" i="5"/>
  <c r="D18" i="5"/>
  <c r="BZ21" i="5"/>
  <c r="CA21" i="5"/>
  <c r="CA22" i="5"/>
  <c r="CA24" i="5"/>
  <c r="CA25" i="5"/>
  <c r="D9" i="5"/>
  <c r="D13" i="5"/>
  <c r="D30" i="5"/>
  <c r="BZ22" i="5"/>
  <c r="BZ24" i="5"/>
  <c r="BZ25" i="5"/>
  <c r="CC22" i="5"/>
  <c r="CC25" i="5"/>
  <c r="D28" i="5"/>
  <c r="D27" i="5"/>
  <c r="D22" i="5"/>
  <c r="D25" i="5"/>
  <c r="D33" i="5"/>
  <c r="D34" i="5"/>
  <c r="D14" i="5"/>
  <c r="CA27" i="5"/>
  <c r="CB27" i="5"/>
  <c r="D10" i="5"/>
  <c r="D7" i="5"/>
  <c r="F84" i="31"/>
  <c r="A84" i="31" s="1"/>
  <c r="X83" i="31" s="1"/>
  <c r="F83" i="31"/>
  <c r="A83" i="31" s="1"/>
  <c r="X82" i="31" s="1"/>
  <c r="F82" i="31"/>
  <c r="A82" i="31" s="1"/>
  <c r="X81" i="31" s="1"/>
  <c r="F79" i="31"/>
  <c r="A79" i="31" s="1"/>
  <c r="X78" i="31" s="1"/>
  <c r="F78" i="31"/>
  <c r="A78" i="31" s="1"/>
  <c r="X77" i="31" s="1"/>
  <c r="F77" i="31"/>
  <c r="A77" i="31" s="1"/>
  <c r="X76" i="31" s="1"/>
  <c r="F76" i="31"/>
  <c r="A76" i="31" s="1"/>
  <c r="X75" i="31" s="1"/>
  <c r="F75" i="31"/>
  <c r="A75" i="31" s="1"/>
  <c r="X74" i="31" s="1"/>
  <c r="F74" i="31"/>
  <c r="A74" i="31" s="1"/>
  <c r="F73" i="31"/>
  <c r="A73" i="31" s="1"/>
  <c r="F72" i="31"/>
  <c r="A72" i="31" s="1"/>
  <c r="F71" i="31"/>
  <c r="A71" i="31" s="1"/>
  <c r="F70" i="31"/>
  <c r="A70" i="31" s="1"/>
  <c r="F69" i="31"/>
  <c r="A69" i="31" s="1"/>
  <c r="F68" i="31"/>
  <c r="A68" i="31" s="1"/>
  <c r="F67" i="31"/>
  <c r="A67" i="31" s="1"/>
  <c r="F66" i="31"/>
  <c r="A66" i="31" s="1"/>
  <c r="F65" i="31"/>
  <c r="A65" i="31" s="1"/>
  <c r="F64" i="31"/>
  <c r="A64" i="31" s="1"/>
  <c r="X63" i="31" s="1"/>
  <c r="F63" i="31"/>
  <c r="A63" i="31" s="1"/>
  <c r="X62" i="31" s="1"/>
  <c r="F62" i="31"/>
  <c r="A62" i="31" s="1"/>
  <c r="X61" i="31" s="1"/>
  <c r="F59" i="31"/>
  <c r="A59" i="31" s="1"/>
  <c r="X58" i="31" s="1"/>
  <c r="F58" i="31"/>
  <c r="A58" i="31" s="1"/>
  <c r="X57" i="31" s="1"/>
  <c r="F57" i="31"/>
  <c r="A57" i="31" s="1"/>
  <c r="X56" i="31" s="1"/>
  <c r="F56" i="31"/>
  <c r="A56" i="31" s="1"/>
  <c r="X55" i="31" s="1"/>
  <c r="F55" i="31"/>
  <c r="A55" i="31" s="1"/>
  <c r="X54" i="31" s="1"/>
  <c r="F54" i="31"/>
  <c r="A54" i="31" s="1"/>
  <c r="F53" i="31"/>
  <c r="A53" i="31" s="1"/>
  <c r="F52" i="31"/>
  <c r="A52" i="31" s="1"/>
  <c r="F51" i="31"/>
  <c r="A51" i="31" s="1"/>
  <c r="F50" i="31"/>
  <c r="A50" i="31" s="1"/>
  <c r="F49" i="31"/>
  <c r="A49" i="31" s="1"/>
  <c r="F48" i="31"/>
  <c r="A48" i="31"/>
  <c r="F47" i="31"/>
  <c r="A47" i="31" s="1"/>
  <c r="F46" i="31"/>
  <c r="A46" i="31" s="1"/>
  <c r="F45" i="31"/>
  <c r="A45" i="31" s="1"/>
  <c r="F44" i="31"/>
  <c r="A44" i="31" s="1"/>
  <c r="X43" i="31" s="1"/>
  <c r="F41" i="31"/>
  <c r="A41" i="31" s="1"/>
  <c r="X40" i="31" s="1"/>
  <c r="F40" i="31"/>
  <c r="A40" i="31" s="1"/>
  <c r="X39" i="31" s="1"/>
  <c r="F39" i="31"/>
  <c r="A39" i="31" s="1"/>
  <c r="X38" i="31" s="1"/>
  <c r="F38" i="31"/>
  <c r="A38" i="31" s="1"/>
  <c r="X37" i="31" s="1"/>
  <c r="F37" i="31"/>
  <c r="A37" i="31" s="1"/>
  <c r="X36" i="31" s="1"/>
  <c r="F36" i="31"/>
  <c r="A36" i="31" s="1"/>
  <c r="X35" i="31" s="1"/>
  <c r="F35" i="31"/>
  <c r="A35" i="31" s="1"/>
  <c r="X34" i="31" s="1"/>
  <c r="F34" i="31"/>
  <c r="A34" i="31" s="1"/>
  <c r="F33" i="31"/>
  <c r="A33" i="31" s="1"/>
  <c r="F32" i="31"/>
  <c r="A32" i="31" s="1"/>
  <c r="F31" i="31"/>
  <c r="A31" i="31" s="1"/>
  <c r="F30" i="31"/>
  <c r="A30" i="31" s="1"/>
  <c r="F29" i="31"/>
  <c r="A29" i="31" s="1"/>
  <c r="F28" i="31"/>
  <c r="A28" i="31" s="1"/>
  <c r="F27" i="31"/>
  <c r="A27" i="31" s="1"/>
  <c r="F26" i="31"/>
  <c r="A26" i="31" s="1"/>
  <c r="F25" i="31"/>
  <c r="A25" i="31" s="1"/>
  <c r="F6" i="31"/>
  <c r="A6" i="31" s="1"/>
  <c r="F7" i="31"/>
  <c r="A7" i="31" s="1"/>
  <c r="F8" i="31"/>
  <c r="A8" i="31" s="1"/>
  <c r="F9" i="31"/>
  <c r="A9" i="31" s="1"/>
  <c r="F10" i="31"/>
  <c r="A10" i="31" s="1"/>
  <c r="F11" i="31"/>
  <c r="A11" i="31" s="1"/>
  <c r="F12" i="31"/>
  <c r="A12" i="31" s="1"/>
  <c r="F13" i="31"/>
  <c r="A13" i="31" s="1"/>
  <c r="F14" i="31"/>
  <c r="A14" i="31" s="1"/>
  <c r="F15" i="31"/>
  <c r="A15" i="31" s="1"/>
  <c r="X14" i="31" s="1"/>
  <c r="F16" i="31"/>
  <c r="A16" i="31" s="1"/>
  <c r="X15" i="31" s="1"/>
  <c r="F17" i="31"/>
  <c r="A17" i="31" s="1"/>
  <c r="X16" i="31" s="1"/>
  <c r="F18" i="31"/>
  <c r="A18" i="31" s="1"/>
  <c r="X17" i="31" s="1"/>
  <c r="F19" i="31"/>
  <c r="A19" i="31" s="1"/>
  <c r="X18" i="31" s="1"/>
  <c r="F20" i="31"/>
  <c r="A20" i="31" s="1"/>
  <c r="X19" i="31" s="1"/>
  <c r="F21" i="31"/>
  <c r="A21" i="31" s="1"/>
  <c r="X20" i="31" s="1"/>
  <c r="A24" i="31"/>
  <c r="X23" i="31" s="1"/>
  <c r="F5" i="31"/>
  <c r="X45" i="31" l="1"/>
  <c r="AU190" i="9"/>
  <c r="BB190" i="9" s="1"/>
  <c r="AU188" i="9"/>
  <c r="BB188" i="9" s="1"/>
  <c r="AU189" i="9"/>
  <c r="BB189" i="9" s="1"/>
  <c r="AU10" i="9"/>
  <c r="AU9" i="9"/>
  <c r="AU8" i="9"/>
  <c r="X28" i="31"/>
  <c r="AP198" i="9"/>
  <c r="AP199" i="9"/>
  <c r="AP197" i="9"/>
  <c r="AP18" i="9"/>
  <c r="AP19" i="9"/>
  <c r="AP17" i="9"/>
  <c r="X71" i="31"/>
  <c r="AZ207" i="9"/>
  <c r="AZ206" i="9"/>
  <c r="AZ208" i="9"/>
  <c r="AZ26" i="9"/>
  <c r="AZ27" i="9"/>
  <c r="AZ28" i="9"/>
  <c r="X5" i="31"/>
  <c r="AK189" i="9"/>
  <c r="AK188" i="9"/>
  <c r="AK190" i="9"/>
  <c r="AK8" i="9"/>
  <c r="AK10" i="9"/>
  <c r="AK9" i="9"/>
  <c r="X12" i="31"/>
  <c r="AK211" i="9"/>
  <c r="AK209" i="9"/>
  <c r="AK210" i="9"/>
  <c r="AK30" i="9"/>
  <c r="AK31" i="9"/>
  <c r="AK29" i="9"/>
  <c r="X72" i="31"/>
  <c r="AZ209" i="9"/>
  <c r="AZ211" i="9"/>
  <c r="AZ210" i="9"/>
  <c r="AZ31" i="9"/>
  <c r="AZ30" i="9"/>
  <c r="AZ29" i="9"/>
  <c r="X11" i="31"/>
  <c r="AK207" i="9"/>
  <c r="AK208" i="9"/>
  <c r="AK206" i="9"/>
  <c r="AK28" i="9"/>
  <c r="AK26" i="9"/>
  <c r="AK27" i="9"/>
  <c r="X48" i="31"/>
  <c r="AU198" i="9"/>
  <c r="BB198" i="9" s="1"/>
  <c r="AU199" i="9"/>
  <c r="BB199" i="9" s="1"/>
  <c r="AU197" i="9"/>
  <c r="BB197" i="9" s="1"/>
  <c r="AU19" i="9"/>
  <c r="AU17" i="9"/>
  <c r="AU18" i="9"/>
  <c r="X33" i="31"/>
  <c r="AP214" i="9"/>
  <c r="AP212" i="9"/>
  <c r="AP213" i="9"/>
  <c r="AP32" i="9"/>
  <c r="AP33" i="9"/>
  <c r="AP34" i="9"/>
  <c r="X49" i="31"/>
  <c r="AU202" i="9"/>
  <c r="BB202" i="9" s="1"/>
  <c r="AU200" i="9"/>
  <c r="BB200" i="9" s="1"/>
  <c r="AU201" i="9"/>
  <c r="BB201" i="9" s="1"/>
  <c r="AU21" i="9"/>
  <c r="AU22" i="9"/>
  <c r="AU20" i="9"/>
  <c r="X67" i="31"/>
  <c r="AZ195" i="9"/>
  <c r="AZ194" i="9"/>
  <c r="AZ196" i="9"/>
  <c r="AZ15" i="9"/>
  <c r="AZ14" i="9"/>
  <c r="AZ16" i="9"/>
  <c r="X9" i="31"/>
  <c r="AK201" i="9"/>
  <c r="AK202" i="9"/>
  <c r="AK200" i="9"/>
  <c r="AK22" i="9"/>
  <c r="AK20" i="9"/>
  <c r="AK21" i="9"/>
  <c r="X27" i="31"/>
  <c r="AP195" i="9"/>
  <c r="AP194" i="9"/>
  <c r="AP196" i="9"/>
  <c r="AP15" i="9"/>
  <c r="AP14" i="9"/>
  <c r="AP16" i="9"/>
  <c r="DL39" i="5"/>
  <c r="DL40" i="5"/>
  <c r="DL38" i="5"/>
  <c r="AU186" i="9"/>
  <c r="BB186" i="9" s="1"/>
  <c r="AU187" i="9"/>
  <c r="BB187" i="9" s="1"/>
  <c r="AU185" i="9"/>
  <c r="BB185" i="9" s="1"/>
  <c r="AU7" i="9"/>
  <c r="AU5" i="9"/>
  <c r="AU6" i="9"/>
  <c r="X50" i="31"/>
  <c r="AU204" i="9"/>
  <c r="BB204" i="9" s="1"/>
  <c r="AU205" i="9"/>
  <c r="BB205" i="9" s="1"/>
  <c r="AU203" i="9"/>
  <c r="BB203" i="9" s="1"/>
  <c r="AU25" i="9"/>
  <c r="AU23" i="9"/>
  <c r="AU24" i="9"/>
  <c r="X68" i="31"/>
  <c r="AZ197" i="9"/>
  <c r="AZ198" i="9"/>
  <c r="AZ199" i="9"/>
  <c r="AZ17" i="9"/>
  <c r="AZ18" i="9"/>
  <c r="AZ19" i="9"/>
  <c r="X31" i="31"/>
  <c r="AP206" i="9"/>
  <c r="AP207" i="9"/>
  <c r="AP208" i="9"/>
  <c r="AP26" i="9"/>
  <c r="AP28" i="9"/>
  <c r="AP27" i="9"/>
  <c r="X65" i="31"/>
  <c r="AZ188" i="9"/>
  <c r="AZ189" i="9"/>
  <c r="AZ190" i="9"/>
  <c r="AZ10" i="9"/>
  <c r="AZ9" i="9"/>
  <c r="AZ8" i="9"/>
  <c r="X25" i="31"/>
  <c r="AP190" i="9"/>
  <c r="AP188" i="9"/>
  <c r="AP189" i="9"/>
  <c r="AP10" i="9"/>
  <c r="AP8" i="9"/>
  <c r="AP9" i="9"/>
  <c r="X26" i="31"/>
  <c r="AP191" i="9"/>
  <c r="AP193" i="9"/>
  <c r="AP192" i="9"/>
  <c r="AP11" i="9"/>
  <c r="AP12" i="9"/>
  <c r="AP13" i="9"/>
  <c r="X8" i="31"/>
  <c r="AK199" i="9"/>
  <c r="AK197" i="9"/>
  <c r="AK198" i="9"/>
  <c r="AK18" i="9"/>
  <c r="AK19" i="9"/>
  <c r="AK17" i="9"/>
  <c r="X51" i="31"/>
  <c r="AU208" i="9"/>
  <c r="BB208" i="9" s="1"/>
  <c r="AU206" i="9"/>
  <c r="BB206" i="9" s="1"/>
  <c r="AU207" i="9"/>
  <c r="BB207" i="9" s="1"/>
  <c r="AU27" i="9"/>
  <c r="AU26" i="9"/>
  <c r="AU28" i="9"/>
  <c r="X69" i="31"/>
  <c r="AZ201" i="9"/>
  <c r="AZ202" i="9"/>
  <c r="AZ200" i="9"/>
  <c r="AZ22" i="9"/>
  <c r="AZ20" i="9"/>
  <c r="AZ21" i="9"/>
  <c r="X13" i="31"/>
  <c r="AK213" i="9"/>
  <c r="AK214" i="9"/>
  <c r="AK212" i="9"/>
  <c r="AK34" i="9"/>
  <c r="AK32" i="9"/>
  <c r="AK33" i="9"/>
  <c r="X47" i="31"/>
  <c r="AU196" i="9"/>
  <c r="BB196" i="9" s="1"/>
  <c r="AU194" i="9"/>
  <c r="BB194" i="9" s="1"/>
  <c r="AU195" i="9"/>
  <c r="BB195" i="9" s="1"/>
  <c r="AU14" i="9"/>
  <c r="AU15" i="9"/>
  <c r="AU16" i="9"/>
  <c r="X32" i="31"/>
  <c r="AP209" i="9"/>
  <c r="AP210" i="9"/>
  <c r="AP211" i="9"/>
  <c r="AP30" i="9"/>
  <c r="AP31" i="9"/>
  <c r="AP29" i="9"/>
  <c r="X73" i="31"/>
  <c r="AZ213" i="9"/>
  <c r="AZ214" i="9"/>
  <c r="AZ212" i="9"/>
  <c r="AZ33" i="9"/>
  <c r="AZ34" i="9"/>
  <c r="AZ32" i="9"/>
  <c r="X7" i="31"/>
  <c r="AK195" i="9"/>
  <c r="AK196" i="9"/>
  <c r="AK194" i="9"/>
  <c r="AK14" i="9"/>
  <c r="AK16" i="9"/>
  <c r="AK15" i="9"/>
  <c r="X52" i="31"/>
  <c r="AU210" i="9"/>
  <c r="BB210" i="9" s="1"/>
  <c r="AU211" i="9"/>
  <c r="BB211" i="9" s="1"/>
  <c r="AU209" i="9"/>
  <c r="BB209" i="9" s="1"/>
  <c r="AU30" i="9"/>
  <c r="AU31" i="9"/>
  <c r="AU29" i="9"/>
  <c r="X70" i="31"/>
  <c r="AZ205" i="9"/>
  <c r="AZ203" i="9"/>
  <c r="AZ204" i="9"/>
  <c r="AZ23" i="9"/>
  <c r="AZ25" i="9"/>
  <c r="AZ24" i="9"/>
  <c r="X30" i="31"/>
  <c r="AP205" i="9"/>
  <c r="AP203" i="9"/>
  <c r="AP204" i="9"/>
  <c r="AP23" i="9"/>
  <c r="AP25" i="9"/>
  <c r="AP24" i="9"/>
  <c r="AZ185" i="9"/>
  <c r="AZ186" i="9"/>
  <c r="AZ187" i="9"/>
  <c r="AZ5" i="9"/>
  <c r="AZ6" i="9"/>
  <c r="AZ7" i="9"/>
  <c r="DL36" i="5"/>
  <c r="DL37" i="5"/>
  <c r="AP186" i="9"/>
  <c r="AP187" i="9"/>
  <c r="AP185" i="9"/>
  <c r="AP6" i="9"/>
  <c r="AP7" i="9"/>
  <c r="AP5" i="9"/>
  <c r="X66" i="31"/>
  <c r="AZ193" i="9"/>
  <c r="AZ192" i="9"/>
  <c r="AZ191" i="9"/>
  <c r="AZ11" i="9"/>
  <c r="AZ12" i="9"/>
  <c r="AZ13" i="9"/>
  <c r="X10" i="31"/>
  <c r="AK205" i="9"/>
  <c r="AK203" i="9"/>
  <c r="AK204" i="9"/>
  <c r="AK24" i="9"/>
  <c r="AK25" i="9"/>
  <c r="AK23" i="9"/>
  <c r="X6" i="31"/>
  <c r="AK193" i="9"/>
  <c r="AK191" i="9"/>
  <c r="AK192" i="9"/>
  <c r="AK12" i="9"/>
  <c r="AK13" i="9"/>
  <c r="AK11" i="9"/>
  <c r="X29" i="31"/>
  <c r="AP202" i="9"/>
  <c r="AP201" i="9"/>
  <c r="AP200" i="9"/>
  <c r="AP20" i="9"/>
  <c r="AP22" i="9"/>
  <c r="AP21" i="9"/>
  <c r="X46" i="31"/>
  <c r="AU192" i="9"/>
  <c r="BB192" i="9" s="1"/>
  <c r="AU191" i="9"/>
  <c r="BB191" i="9" s="1"/>
  <c r="AU193" i="9"/>
  <c r="BB193" i="9" s="1"/>
  <c r="AU13" i="9"/>
  <c r="AU11" i="9"/>
  <c r="AU12" i="9"/>
  <c r="X53" i="31"/>
  <c r="AU214" i="9"/>
  <c r="BB214" i="9" s="1"/>
  <c r="AU212" i="9"/>
  <c r="BB212" i="9" s="1"/>
  <c r="AU213" i="9"/>
  <c r="BB213" i="9" s="1"/>
  <c r="AU33" i="9"/>
  <c r="AU32" i="9"/>
  <c r="AU34" i="9"/>
  <c r="AP233" i="9"/>
  <c r="AP173" i="9"/>
  <c r="AP263" i="9"/>
  <c r="AP115" i="9"/>
  <c r="AP84" i="9"/>
  <c r="AP265" i="9"/>
  <c r="AP295" i="9"/>
  <c r="AP85" i="9"/>
  <c r="AP114" i="9"/>
  <c r="AP234" i="9"/>
  <c r="AP264" i="9"/>
  <c r="AP294" i="9"/>
  <c r="AP113" i="9"/>
  <c r="AP174" i="9"/>
  <c r="AP145" i="9"/>
  <c r="AP235" i="9"/>
  <c r="AP83" i="9"/>
  <c r="AP293" i="9"/>
  <c r="AP144" i="9"/>
  <c r="AP175" i="9"/>
  <c r="AP143" i="9"/>
  <c r="AP53" i="9"/>
  <c r="AP54" i="9"/>
  <c r="AP55" i="9"/>
  <c r="AU304" i="9"/>
  <c r="AU273" i="9"/>
  <c r="AU244" i="9"/>
  <c r="AU182" i="9"/>
  <c r="AU123" i="9"/>
  <c r="BB123" i="9" s="1"/>
  <c r="AU274" i="9"/>
  <c r="AU242" i="9"/>
  <c r="BB242" i="9" s="1"/>
  <c r="AU183" i="9"/>
  <c r="AU152" i="9"/>
  <c r="AU94" i="9"/>
  <c r="AU92" i="9"/>
  <c r="AU302" i="9"/>
  <c r="AU124" i="9"/>
  <c r="AU272" i="9"/>
  <c r="BB272" i="9" s="1"/>
  <c r="AU184" i="9"/>
  <c r="BB184" i="9" s="1"/>
  <c r="AU93" i="9"/>
  <c r="AU303" i="9"/>
  <c r="AU243" i="9"/>
  <c r="AU153" i="9"/>
  <c r="AU122" i="9"/>
  <c r="BB122" i="9" s="1"/>
  <c r="AU154" i="9"/>
  <c r="BB154" i="9" s="1"/>
  <c r="AU62" i="9"/>
  <c r="AU63" i="9"/>
  <c r="AU64" i="9"/>
  <c r="AK100" i="9"/>
  <c r="AK280" i="9"/>
  <c r="AK250" i="9"/>
  <c r="AK160" i="9"/>
  <c r="AK130" i="9"/>
  <c r="AK220" i="9"/>
  <c r="AK70" i="9"/>
  <c r="AK40" i="9"/>
  <c r="AK265" i="9"/>
  <c r="AK114" i="9"/>
  <c r="AK234" i="9"/>
  <c r="AK293" i="9"/>
  <c r="AK235" i="9"/>
  <c r="AK175" i="9"/>
  <c r="AK173" i="9"/>
  <c r="AK83" i="9"/>
  <c r="AK143" i="9"/>
  <c r="AK263" i="9"/>
  <c r="AK295" i="9"/>
  <c r="AK85" i="9"/>
  <c r="AK144" i="9"/>
  <c r="AK264" i="9"/>
  <c r="AK233" i="9"/>
  <c r="AK294" i="9"/>
  <c r="AK84" i="9"/>
  <c r="AK174" i="9"/>
  <c r="AK113" i="9"/>
  <c r="AK145" i="9"/>
  <c r="AK115" i="9"/>
  <c r="AK55" i="9"/>
  <c r="AK54" i="9"/>
  <c r="AK53" i="9"/>
  <c r="AK268" i="9"/>
  <c r="AK296" i="9"/>
  <c r="AK117" i="9"/>
  <c r="AK297" i="9"/>
  <c r="AK88" i="9"/>
  <c r="AK177" i="9"/>
  <c r="AK118" i="9"/>
  <c r="AK116" i="9"/>
  <c r="AK237" i="9"/>
  <c r="AK267" i="9"/>
  <c r="AK298" i="9"/>
  <c r="AK87" i="9"/>
  <c r="AK147" i="9"/>
  <c r="AK238" i="9"/>
  <c r="AK236" i="9"/>
  <c r="AK266" i="9"/>
  <c r="AK178" i="9"/>
  <c r="AK176" i="9"/>
  <c r="AK86" i="9"/>
  <c r="AK148" i="9"/>
  <c r="AK146" i="9"/>
  <c r="AK58" i="9"/>
  <c r="AK57" i="9"/>
  <c r="AK56" i="9"/>
  <c r="AZ270" i="9"/>
  <c r="AZ179" i="9"/>
  <c r="AZ120" i="9"/>
  <c r="AZ300" i="9"/>
  <c r="AZ239" i="9"/>
  <c r="AZ181" i="9"/>
  <c r="AZ240" i="9"/>
  <c r="AZ299" i="9"/>
  <c r="AZ121" i="9"/>
  <c r="AZ119" i="9"/>
  <c r="AZ90" i="9"/>
  <c r="AZ149" i="9"/>
  <c r="AZ269" i="9"/>
  <c r="AZ241" i="9"/>
  <c r="AZ151" i="9"/>
  <c r="AZ271" i="9"/>
  <c r="AZ301" i="9"/>
  <c r="AZ180" i="9"/>
  <c r="AZ91" i="9"/>
  <c r="AZ89" i="9"/>
  <c r="AZ150" i="9"/>
  <c r="AZ60" i="9"/>
  <c r="AZ61" i="9"/>
  <c r="AZ59" i="9"/>
  <c r="AZ183" i="9"/>
  <c r="AZ124" i="9"/>
  <c r="AZ92" i="9"/>
  <c r="AZ184" i="9"/>
  <c r="AZ302" i="9"/>
  <c r="AZ94" i="9"/>
  <c r="AZ274" i="9"/>
  <c r="AZ272" i="9"/>
  <c r="AZ243" i="9"/>
  <c r="AZ153" i="9"/>
  <c r="AZ123" i="9"/>
  <c r="AZ93" i="9"/>
  <c r="AZ303" i="9"/>
  <c r="AZ273" i="9"/>
  <c r="AZ242" i="9"/>
  <c r="AZ244" i="9"/>
  <c r="AZ182" i="9"/>
  <c r="AZ154" i="9"/>
  <c r="AZ304" i="9"/>
  <c r="AZ122" i="9"/>
  <c r="AZ152" i="9"/>
  <c r="AZ64" i="9"/>
  <c r="AZ63" i="9"/>
  <c r="AZ62" i="9"/>
  <c r="AP239" i="9"/>
  <c r="AP181" i="9"/>
  <c r="AP269" i="9"/>
  <c r="AP91" i="9"/>
  <c r="AP270" i="9"/>
  <c r="AP179" i="9"/>
  <c r="AP120" i="9"/>
  <c r="AP241" i="9"/>
  <c r="AP180" i="9"/>
  <c r="AP89" i="9"/>
  <c r="AP301" i="9"/>
  <c r="AP151" i="9"/>
  <c r="AP300" i="9"/>
  <c r="AP90" i="9"/>
  <c r="AP299" i="9"/>
  <c r="AP121" i="9"/>
  <c r="AP150" i="9"/>
  <c r="AP240" i="9"/>
  <c r="AP271" i="9"/>
  <c r="AP119" i="9"/>
  <c r="AP149" i="9"/>
  <c r="AP59" i="9"/>
  <c r="AP60" i="9"/>
  <c r="AP61" i="9"/>
  <c r="AZ255" i="9"/>
  <c r="AZ224" i="9"/>
  <c r="AZ106" i="9"/>
  <c r="AZ286" i="9"/>
  <c r="AZ76" i="9"/>
  <c r="AZ74" i="9"/>
  <c r="AZ165" i="9"/>
  <c r="AZ285" i="9"/>
  <c r="AZ104" i="9"/>
  <c r="AZ226" i="9"/>
  <c r="AZ105" i="9"/>
  <c r="AZ135" i="9"/>
  <c r="AZ225" i="9"/>
  <c r="AZ136" i="9"/>
  <c r="AZ166" i="9"/>
  <c r="AZ164" i="9"/>
  <c r="AZ134" i="9"/>
  <c r="AZ254" i="9"/>
  <c r="AZ284" i="9"/>
  <c r="AZ256" i="9"/>
  <c r="AZ75" i="9"/>
  <c r="AZ44" i="9"/>
  <c r="AZ45" i="9"/>
  <c r="AZ46" i="9"/>
  <c r="AK259" i="9"/>
  <c r="AK229" i="9"/>
  <c r="AK107" i="9"/>
  <c r="AK287" i="9"/>
  <c r="AK257" i="9"/>
  <c r="AK227" i="9"/>
  <c r="AK289" i="9"/>
  <c r="AK108" i="9"/>
  <c r="AK139" i="9"/>
  <c r="AK228" i="9"/>
  <c r="AK169" i="9"/>
  <c r="AK79" i="9"/>
  <c r="AK77" i="9"/>
  <c r="AK168" i="9"/>
  <c r="AK78" i="9"/>
  <c r="AK137" i="9"/>
  <c r="AK288" i="9"/>
  <c r="AK109" i="9"/>
  <c r="AK258" i="9"/>
  <c r="AK167" i="9"/>
  <c r="AK138" i="9"/>
  <c r="AK48" i="9"/>
  <c r="AK49" i="9"/>
  <c r="AK47" i="9"/>
  <c r="AP165" i="9"/>
  <c r="AP284" i="9"/>
  <c r="AP75" i="9"/>
  <c r="AP255" i="9"/>
  <c r="AP224" i="9"/>
  <c r="AP225" i="9"/>
  <c r="AP106" i="9"/>
  <c r="AP74" i="9"/>
  <c r="AP256" i="9"/>
  <c r="AP254" i="9"/>
  <c r="AP286" i="9"/>
  <c r="AP104" i="9"/>
  <c r="AP226" i="9"/>
  <c r="AP135" i="9"/>
  <c r="AP285" i="9"/>
  <c r="AP164" i="9"/>
  <c r="AP105" i="9"/>
  <c r="AP136" i="9"/>
  <c r="AP134" i="9"/>
  <c r="AP166" i="9"/>
  <c r="AP76" i="9"/>
  <c r="AP46" i="9"/>
  <c r="AP45" i="9"/>
  <c r="AP44" i="9"/>
  <c r="AP184" i="9"/>
  <c r="AP272" i="9"/>
  <c r="AP243" i="9"/>
  <c r="AP303" i="9"/>
  <c r="AP122" i="9"/>
  <c r="AP273" i="9"/>
  <c r="AP244" i="9"/>
  <c r="AP182" i="9"/>
  <c r="AP93" i="9"/>
  <c r="AP304" i="9"/>
  <c r="AP123" i="9"/>
  <c r="AP154" i="9"/>
  <c r="AP302" i="9"/>
  <c r="AP183" i="9"/>
  <c r="AP274" i="9"/>
  <c r="AP94" i="9"/>
  <c r="AP124" i="9"/>
  <c r="AP92" i="9"/>
  <c r="AP152" i="9"/>
  <c r="AP153" i="9"/>
  <c r="AP242" i="9"/>
  <c r="AP62" i="9"/>
  <c r="AP63" i="9"/>
  <c r="AP64" i="9"/>
  <c r="AU251" i="9"/>
  <c r="BB251" i="9" s="1"/>
  <c r="AU223" i="9"/>
  <c r="AU161" i="9"/>
  <c r="BB161" i="9" s="1"/>
  <c r="AU162" i="9"/>
  <c r="BB162" i="9" s="1"/>
  <c r="AU102" i="9"/>
  <c r="BB102" i="9" s="1"/>
  <c r="AU282" i="9"/>
  <c r="AU163" i="9"/>
  <c r="BB163" i="9" s="1"/>
  <c r="AU222" i="9"/>
  <c r="AU101" i="9"/>
  <c r="BB101" i="9" s="1"/>
  <c r="AU72" i="9"/>
  <c r="AU131" i="9"/>
  <c r="AU253" i="9"/>
  <c r="AU71" i="9"/>
  <c r="AU133" i="9"/>
  <c r="AU252" i="9"/>
  <c r="AU283" i="9"/>
  <c r="AU281" i="9"/>
  <c r="AU103" i="9"/>
  <c r="AU73" i="9"/>
  <c r="AU221" i="9"/>
  <c r="AU132" i="9"/>
  <c r="AU41" i="9"/>
  <c r="AU42" i="9"/>
  <c r="AU43" i="9"/>
  <c r="AZ258" i="9"/>
  <c r="AZ228" i="9"/>
  <c r="AZ109" i="9"/>
  <c r="AZ167" i="9"/>
  <c r="AZ168" i="9"/>
  <c r="AZ78" i="9"/>
  <c r="AZ288" i="9"/>
  <c r="AZ107" i="9"/>
  <c r="AZ138" i="9"/>
  <c r="AZ229" i="9"/>
  <c r="AZ169" i="9"/>
  <c r="AZ79" i="9"/>
  <c r="AZ108" i="9"/>
  <c r="AZ227" i="9"/>
  <c r="AZ289" i="9"/>
  <c r="AZ287" i="9"/>
  <c r="AZ257" i="9"/>
  <c r="AZ259" i="9"/>
  <c r="AZ77" i="9"/>
  <c r="AZ139" i="9"/>
  <c r="AZ137" i="9"/>
  <c r="AZ48" i="9"/>
  <c r="AZ49" i="9"/>
  <c r="AZ47" i="9"/>
  <c r="AU234" i="9"/>
  <c r="AU293" i="9"/>
  <c r="AU264" i="9"/>
  <c r="AU294" i="9"/>
  <c r="AU174" i="9"/>
  <c r="AU265" i="9"/>
  <c r="AU144" i="9"/>
  <c r="BB144" i="9" s="1"/>
  <c r="AU115" i="9"/>
  <c r="BB115" i="9" s="1"/>
  <c r="AU145" i="9"/>
  <c r="BB145" i="9" s="1"/>
  <c r="AU263" i="9"/>
  <c r="BB263" i="9" s="1"/>
  <c r="AU295" i="9"/>
  <c r="AU173" i="9"/>
  <c r="AU235" i="9"/>
  <c r="AU113" i="9"/>
  <c r="BB113" i="9" s="1"/>
  <c r="AU83" i="9"/>
  <c r="AU143" i="9"/>
  <c r="AU175" i="9"/>
  <c r="AU85" i="9"/>
  <c r="AU114" i="9"/>
  <c r="BB114" i="9" s="1"/>
  <c r="AU84" i="9"/>
  <c r="AU233" i="9"/>
  <c r="BB233" i="9" s="1"/>
  <c r="AU53" i="9"/>
  <c r="AU54" i="9"/>
  <c r="AU55" i="9"/>
  <c r="AZ250" i="9"/>
  <c r="AZ160" i="9"/>
  <c r="AZ220" i="9"/>
  <c r="AZ70" i="9"/>
  <c r="AZ280" i="9"/>
  <c r="AZ130" i="9"/>
  <c r="AZ100" i="9"/>
  <c r="AZ40" i="9"/>
  <c r="AP250" i="9"/>
  <c r="AP160" i="9"/>
  <c r="AP100" i="9"/>
  <c r="AP130" i="9"/>
  <c r="AP220" i="9"/>
  <c r="AP280" i="9"/>
  <c r="AP70" i="9"/>
  <c r="AP40" i="9"/>
  <c r="AU280" i="9"/>
  <c r="AU220" i="9"/>
  <c r="BB220" i="9" s="1"/>
  <c r="AU70" i="9"/>
  <c r="AU250" i="9"/>
  <c r="BB250" i="9" s="1"/>
  <c r="AU160" i="9"/>
  <c r="BB160" i="9" s="1"/>
  <c r="AU100" i="9"/>
  <c r="BB100" i="9" s="1"/>
  <c r="AU130" i="9"/>
  <c r="BB130" i="9" s="1"/>
  <c r="AU40" i="9"/>
  <c r="AZ252" i="9"/>
  <c r="AZ281" i="9"/>
  <c r="AZ163" i="9"/>
  <c r="AZ221" i="9"/>
  <c r="AZ282" i="9"/>
  <c r="AZ103" i="9"/>
  <c r="AZ222" i="9"/>
  <c r="AZ132" i="9"/>
  <c r="AZ253" i="9"/>
  <c r="AZ251" i="9"/>
  <c r="AZ283" i="9"/>
  <c r="AZ161" i="9"/>
  <c r="AZ102" i="9"/>
  <c r="AZ101" i="9"/>
  <c r="AZ73" i="9"/>
  <c r="AZ131" i="9"/>
  <c r="AZ72" i="9"/>
  <c r="AZ162" i="9"/>
  <c r="AZ133" i="9"/>
  <c r="AZ223" i="9"/>
  <c r="AZ71" i="9"/>
  <c r="AZ42" i="9"/>
  <c r="AZ41" i="9"/>
  <c r="AZ43" i="9"/>
  <c r="AP222" i="9"/>
  <c r="AP101" i="9"/>
  <c r="AP252" i="9"/>
  <c r="AP281" i="9"/>
  <c r="AP163" i="9"/>
  <c r="AP103" i="9"/>
  <c r="AP282" i="9"/>
  <c r="AP221" i="9"/>
  <c r="AP283" i="9"/>
  <c r="AP161" i="9"/>
  <c r="AP131" i="9"/>
  <c r="AP253" i="9"/>
  <c r="AP223" i="9"/>
  <c r="AP71" i="9"/>
  <c r="AP133" i="9"/>
  <c r="AP162" i="9"/>
  <c r="AP102" i="9"/>
  <c r="AP72" i="9"/>
  <c r="AP251" i="9"/>
  <c r="AP73" i="9"/>
  <c r="AP132" i="9"/>
  <c r="AP43" i="9"/>
  <c r="AP41" i="9"/>
  <c r="AP42" i="9"/>
  <c r="AU119" i="9"/>
  <c r="BB119" i="9" s="1"/>
  <c r="AU240" i="9"/>
  <c r="AU299" i="9"/>
  <c r="AU89" i="9"/>
  <c r="AU241" i="9"/>
  <c r="BB241" i="9" s="1"/>
  <c r="AU301" i="9"/>
  <c r="AU180" i="9"/>
  <c r="AU269" i="9"/>
  <c r="AU271" i="9"/>
  <c r="BB271" i="9" s="1"/>
  <c r="AU181" i="9"/>
  <c r="AU179" i="9"/>
  <c r="BB179" i="9" s="1"/>
  <c r="AU121" i="9"/>
  <c r="BB121" i="9" s="1"/>
  <c r="AU90" i="9"/>
  <c r="AU91" i="9"/>
  <c r="AU150" i="9"/>
  <c r="BB150" i="9" s="1"/>
  <c r="AU120" i="9"/>
  <c r="AU151" i="9"/>
  <c r="BB151" i="9" s="1"/>
  <c r="AU149" i="9"/>
  <c r="BB149" i="9" s="1"/>
  <c r="AU270" i="9"/>
  <c r="AU300" i="9"/>
  <c r="AU239" i="9"/>
  <c r="AU59" i="9"/>
  <c r="AU60" i="9"/>
  <c r="AU61" i="9"/>
  <c r="AK256" i="9"/>
  <c r="AK164" i="9"/>
  <c r="AK225" i="9"/>
  <c r="AK254" i="9"/>
  <c r="AK226" i="9"/>
  <c r="AK286" i="9"/>
  <c r="AK166" i="9"/>
  <c r="AK105" i="9"/>
  <c r="AK75" i="9"/>
  <c r="AK106" i="9"/>
  <c r="AK136" i="9"/>
  <c r="AK284" i="9"/>
  <c r="AK74" i="9"/>
  <c r="AK165" i="9"/>
  <c r="AK104" i="9"/>
  <c r="AK135" i="9"/>
  <c r="AK255" i="9"/>
  <c r="AK285" i="9"/>
  <c r="AK76" i="9"/>
  <c r="AK134" i="9"/>
  <c r="AK224" i="9"/>
  <c r="AK45" i="9"/>
  <c r="AK46" i="9"/>
  <c r="AK44" i="9"/>
  <c r="AP168" i="9"/>
  <c r="AP257" i="9"/>
  <c r="AP288" i="9"/>
  <c r="AP169" i="9"/>
  <c r="AP108" i="9"/>
  <c r="AP258" i="9"/>
  <c r="AP228" i="9"/>
  <c r="AP109" i="9"/>
  <c r="AP79" i="9"/>
  <c r="AP77" i="9"/>
  <c r="AP167" i="9"/>
  <c r="AP137" i="9"/>
  <c r="AP287" i="9"/>
  <c r="AP259" i="9"/>
  <c r="AP139" i="9"/>
  <c r="AP138" i="9"/>
  <c r="AP229" i="9"/>
  <c r="AP227" i="9"/>
  <c r="AP289" i="9"/>
  <c r="AP107" i="9"/>
  <c r="AP78" i="9"/>
  <c r="AP49" i="9"/>
  <c r="AP47" i="9"/>
  <c r="AP48" i="9"/>
  <c r="AU254" i="9"/>
  <c r="BB254" i="9" s="1"/>
  <c r="AU226" i="9"/>
  <c r="BB226" i="9" s="1"/>
  <c r="AU285" i="9"/>
  <c r="AU166" i="9"/>
  <c r="AU256" i="9"/>
  <c r="AU164" i="9"/>
  <c r="AU165" i="9"/>
  <c r="AU74" i="9"/>
  <c r="AU224" i="9"/>
  <c r="AU134" i="9"/>
  <c r="AU104" i="9"/>
  <c r="BB104" i="9" s="1"/>
  <c r="AU76" i="9"/>
  <c r="AU106" i="9"/>
  <c r="BB106" i="9" s="1"/>
  <c r="AU136" i="9"/>
  <c r="BB136" i="9" s="1"/>
  <c r="AU105" i="9"/>
  <c r="BB105" i="9" s="1"/>
  <c r="AU255" i="9"/>
  <c r="BB255" i="9" s="1"/>
  <c r="AU225" i="9"/>
  <c r="AU286" i="9"/>
  <c r="AU75" i="9"/>
  <c r="AU135" i="9"/>
  <c r="BB135" i="9" s="1"/>
  <c r="AU284" i="9"/>
  <c r="AU44" i="9"/>
  <c r="AU46" i="9"/>
  <c r="AU45" i="9"/>
  <c r="AZ231" i="9"/>
  <c r="AZ171" i="9"/>
  <c r="AZ290" i="9"/>
  <c r="AZ260" i="9"/>
  <c r="AZ111" i="9"/>
  <c r="AZ172" i="9"/>
  <c r="AZ170" i="9"/>
  <c r="AZ82" i="9"/>
  <c r="AZ80" i="9"/>
  <c r="AZ262" i="9"/>
  <c r="AZ142" i="9"/>
  <c r="AZ291" i="9"/>
  <c r="AZ230" i="9"/>
  <c r="AZ110" i="9"/>
  <c r="AZ141" i="9"/>
  <c r="AZ232" i="9"/>
  <c r="AZ81" i="9"/>
  <c r="AZ140" i="9"/>
  <c r="AZ292" i="9"/>
  <c r="AZ261" i="9"/>
  <c r="AZ112" i="9"/>
  <c r="AZ51" i="9"/>
  <c r="AZ50" i="9"/>
  <c r="AZ52" i="9"/>
  <c r="AK253" i="9"/>
  <c r="AK283" i="9"/>
  <c r="AK251" i="9"/>
  <c r="AK223" i="9"/>
  <c r="AK161" i="9"/>
  <c r="AK221" i="9"/>
  <c r="AK281" i="9"/>
  <c r="AK162" i="9"/>
  <c r="AK73" i="9"/>
  <c r="AK71" i="9"/>
  <c r="AK103" i="9"/>
  <c r="AK133" i="9"/>
  <c r="AK252" i="9"/>
  <c r="AK282" i="9"/>
  <c r="AK102" i="9"/>
  <c r="AK72" i="9"/>
  <c r="AK132" i="9"/>
  <c r="AK163" i="9"/>
  <c r="AK131" i="9"/>
  <c r="AK222" i="9"/>
  <c r="AK101" i="9"/>
  <c r="AK42" i="9"/>
  <c r="AK43" i="9"/>
  <c r="AK41" i="9"/>
  <c r="AZ235" i="9"/>
  <c r="AZ295" i="9"/>
  <c r="AZ175" i="9"/>
  <c r="AZ113" i="9"/>
  <c r="AZ83" i="9"/>
  <c r="AZ233" i="9"/>
  <c r="AZ173" i="9"/>
  <c r="AZ264" i="9"/>
  <c r="AZ293" i="9"/>
  <c r="AZ174" i="9"/>
  <c r="AZ115" i="9"/>
  <c r="AZ84" i="9"/>
  <c r="AZ145" i="9"/>
  <c r="AZ294" i="9"/>
  <c r="AZ143" i="9"/>
  <c r="AZ234" i="9"/>
  <c r="AZ85" i="9"/>
  <c r="AZ265" i="9"/>
  <c r="AZ263" i="9"/>
  <c r="AZ144" i="9"/>
  <c r="AZ114" i="9"/>
  <c r="AZ55" i="9"/>
  <c r="AZ53" i="9"/>
  <c r="AZ54" i="9"/>
  <c r="AP236" i="9"/>
  <c r="AP176" i="9"/>
  <c r="AP118" i="9"/>
  <c r="AP266" i="9"/>
  <c r="AP298" i="9"/>
  <c r="AP267" i="9"/>
  <c r="AP87" i="9"/>
  <c r="AP178" i="9"/>
  <c r="AP238" i="9"/>
  <c r="AP116" i="9"/>
  <c r="AP147" i="9"/>
  <c r="AP148" i="9"/>
  <c r="AP296" i="9"/>
  <c r="AP177" i="9"/>
  <c r="AP86" i="9"/>
  <c r="AP297" i="9"/>
  <c r="AP117" i="9"/>
  <c r="AP268" i="9"/>
  <c r="AP237" i="9"/>
  <c r="AP146" i="9"/>
  <c r="AP88" i="9"/>
  <c r="AP56" i="9"/>
  <c r="AP57" i="9"/>
  <c r="AP58" i="9"/>
  <c r="AU177" i="9"/>
  <c r="BB177" i="9" s="1"/>
  <c r="AU237" i="9"/>
  <c r="BB237" i="9" s="1"/>
  <c r="AU178" i="9"/>
  <c r="BB178" i="9" s="1"/>
  <c r="AU116" i="9"/>
  <c r="AU268" i="9"/>
  <c r="AU296" i="9"/>
  <c r="AU117" i="9"/>
  <c r="BB117" i="9" s="1"/>
  <c r="AU238" i="9"/>
  <c r="AU236" i="9"/>
  <c r="AU176" i="9"/>
  <c r="BB176" i="9" s="1"/>
  <c r="AU148" i="9"/>
  <c r="AU88" i="9"/>
  <c r="AU86" i="9"/>
  <c r="AU267" i="9"/>
  <c r="BB267" i="9" s="1"/>
  <c r="AU298" i="9"/>
  <c r="AU297" i="9"/>
  <c r="AU118" i="9"/>
  <c r="BB118" i="9" s="1"/>
  <c r="AU87" i="9"/>
  <c r="AU266" i="9"/>
  <c r="AU146" i="9"/>
  <c r="BB146" i="9" s="1"/>
  <c r="AU147" i="9"/>
  <c r="AU56" i="9"/>
  <c r="AU57" i="9"/>
  <c r="AU58" i="9"/>
  <c r="AK262" i="9"/>
  <c r="AK232" i="9"/>
  <c r="AK172" i="9"/>
  <c r="AK110" i="9"/>
  <c r="AK291" i="9"/>
  <c r="AK81" i="9"/>
  <c r="AK170" i="9"/>
  <c r="AK112" i="9"/>
  <c r="AK171" i="9"/>
  <c r="AK261" i="9"/>
  <c r="AK292" i="9"/>
  <c r="AK230" i="9"/>
  <c r="AK231" i="9"/>
  <c r="AK142" i="9"/>
  <c r="AK111" i="9"/>
  <c r="AK290" i="9"/>
  <c r="AK260" i="9"/>
  <c r="AK140" i="9"/>
  <c r="AK80" i="9"/>
  <c r="AK82" i="9"/>
  <c r="AK141" i="9"/>
  <c r="AK52" i="9"/>
  <c r="AK50" i="9"/>
  <c r="AK51" i="9"/>
  <c r="AK274" i="9"/>
  <c r="AK242" i="9"/>
  <c r="AK302" i="9"/>
  <c r="AK304" i="9"/>
  <c r="AK303" i="9"/>
  <c r="AK122" i="9"/>
  <c r="AK153" i="9"/>
  <c r="AK184" i="9"/>
  <c r="AK273" i="9"/>
  <c r="AK244" i="9"/>
  <c r="AK182" i="9"/>
  <c r="AK93" i="9"/>
  <c r="AK124" i="9"/>
  <c r="AK92" i="9"/>
  <c r="AK243" i="9"/>
  <c r="AK152" i="9"/>
  <c r="AK154" i="9"/>
  <c r="AK272" i="9"/>
  <c r="AK94" i="9"/>
  <c r="AK123" i="9"/>
  <c r="AK183" i="9"/>
  <c r="AK64" i="9"/>
  <c r="AK62" i="9"/>
  <c r="AK63" i="9"/>
  <c r="AP260" i="9"/>
  <c r="AP111" i="9"/>
  <c r="AP230" i="9"/>
  <c r="AP292" i="9"/>
  <c r="AP231" i="9"/>
  <c r="AP171" i="9"/>
  <c r="AP112" i="9"/>
  <c r="AP110" i="9"/>
  <c r="AP81" i="9"/>
  <c r="AP140" i="9"/>
  <c r="AP232" i="9"/>
  <c r="AP290" i="9"/>
  <c r="AP172" i="9"/>
  <c r="AP261" i="9"/>
  <c r="AP80" i="9"/>
  <c r="AP82" i="9"/>
  <c r="AP291" i="9"/>
  <c r="AP170" i="9"/>
  <c r="AP142" i="9"/>
  <c r="AP141" i="9"/>
  <c r="AP262" i="9"/>
  <c r="AP52" i="9"/>
  <c r="AP50" i="9"/>
  <c r="AP51" i="9"/>
  <c r="AU227" i="9"/>
  <c r="BB227" i="9" s="1"/>
  <c r="AU289" i="9"/>
  <c r="AU259" i="9"/>
  <c r="BB259" i="9" s="1"/>
  <c r="AU229" i="9"/>
  <c r="AU107" i="9"/>
  <c r="AU287" i="9"/>
  <c r="AU258" i="9"/>
  <c r="BB258" i="9" s="1"/>
  <c r="AU78" i="9"/>
  <c r="AU167" i="9"/>
  <c r="AU77" i="9"/>
  <c r="AU138" i="9"/>
  <c r="AU169" i="9"/>
  <c r="BB169" i="9" s="1"/>
  <c r="AU108" i="9"/>
  <c r="AU257" i="9"/>
  <c r="AU79" i="9"/>
  <c r="AU168" i="9"/>
  <c r="BB168" i="9" s="1"/>
  <c r="AU228" i="9"/>
  <c r="BB228" i="9" s="1"/>
  <c r="AU139" i="9"/>
  <c r="BB139" i="9" s="1"/>
  <c r="AU137" i="9"/>
  <c r="AU288" i="9"/>
  <c r="AU109" i="9"/>
  <c r="BB109" i="9" s="1"/>
  <c r="AU47" i="9"/>
  <c r="AU49" i="9"/>
  <c r="AU48" i="9"/>
  <c r="AZ267" i="9"/>
  <c r="AZ238" i="9"/>
  <c r="AZ236" i="9"/>
  <c r="AZ176" i="9"/>
  <c r="AZ118" i="9"/>
  <c r="AZ296" i="9"/>
  <c r="AZ117" i="9"/>
  <c r="AZ88" i="9"/>
  <c r="AZ86" i="9"/>
  <c r="AZ266" i="9"/>
  <c r="AZ268" i="9"/>
  <c r="AZ297" i="9"/>
  <c r="AZ146" i="9"/>
  <c r="AZ148" i="9"/>
  <c r="AZ178" i="9"/>
  <c r="AZ237" i="9"/>
  <c r="AZ116" i="9"/>
  <c r="AZ298" i="9"/>
  <c r="AZ177" i="9"/>
  <c r="AZ147" i="9"/>
  <c r="AZ87" i="9"/>
  <c r="AZ57" i="9"/>
  <c r="AZ58" i="9"/>
  <c r="AZ56" i="9"/>
  <c r="AK241" i="9"/>
  <c r="AK301" i="9"/>
  <c r="AK180" i="9"/>
  <c r="AK271" i="9"/>
  <c r="AK121" i="9"/>
  <c r="AK119" i="9"/>
  <c r="AK239" i="9"/>
  <c r="AK300" i="9"/>
  <c r="AK120" i="9"/>
  <c r="AK91" i="9"/>
  <c r="AK150" i="9"/>
  <c r="AK89" i="9"/>
  <c r="AK179" i="9"/>
  <c r="AK149" i="9"/>
  <c r="AK270" i="9"/>
  <c r="AK181" i="9"/>
  <c r="AK269" i="9"/>
  <c r="AK90" i="9"/>
  <c r="AK299" i="9"/>
  <c r="AK151" i="9"/>
  <c r="AK240" i="9"/>
  <c r="AK60" i="9"/>
  <c r="AK61" i="9"/>
  <c r="AK59" i="9"/>
  <c r="AU170" i="9"/>
  <c r="BB170" i="9" s="1"/>
  <c r="AU112" i="9"/>
  <c r="AU261" i="9"/>
  <c r="AU80" i="9"/>
  <c r="AU262" i="9"/>
  <c r="AU232" i="9"/>
  <c r="BB232" i="9" s="1"/>
  <c r="AU172" i="9"/>
  <c r="AU110" i="9"/>
  <c r="BB110" i="9" s="1"/>
  <c r="AU230" i="9"/>
  <c r="AU290" i="9"/>
  <c r="AU260" i="9"/>
  <c r="AU141" i="9"/>
  <c r="AU82" i="9"/>
  <c r="AU111" i="9"/>
  <c r="BB111" i="9" s="1"/>
  <c r="AU81" i="9"/>
  <c r="AU292" i="9"/>
  <c r="AU140" i="9"/>
  <c r="BB140" i="9" s="1"/>
  <c r="AU291" i="9"/>
  <c r="AU171" i="9"/>
  <c r="BB171" i="9" s="1"/>
  <c r="AU142" i="9"/>
  <c r="AU231" i="9"/>
  <c r="AU51" i="9"/>
  <c r="AU52" i="9"/>
  <c r="AU50" i="9"/>
  <c r="DP6" i="5"/>
  <c r="DP9" i="5"/>
  <c r="DL16" i="5"/>
  <c r="DP7" i="5"/>
  <c r="DL14" i="5"/>
  <c r="BC71" i="39"/>
  <c r="BC135" i="39"/>
  <c r="BC73" i="39"/>
  <c r="BC137" i="39"/>
  <c r="BC424" i="39"/>
  <c r="BC422" i="39"/>
  <c r="BC420" i="39"/>
  <c r="BC204" i="39"/>
  <c r="BC202" i="39"/>
  <c r="BC200" i="39"/>
  <c r="BC134" i="39"/>
  <c r="BC132" i="39"/>
  <c r="BC130" i="39"/>
  <c r="BC139" i="39"/>
  <c r="BC423" i="39"/>
  <c r="BC421" i="39"/>
  <c r="BC203" i="39"/>
  <c r="BC201" i="39"/>
  <c r="BC133" i="39"/>
  <c r="BC131" i="39"/>
  <c r="BC74" i="39"/>
  <c r="BC72" i="39"/>
  <c r="BC70" i="39"/>
  <c r="BC138" i="39"/>
  <c r="BC136" i="39"/>
  <c r="AR68" i="33"/>
  <c r="AR26" i="33"/>
  <c r="AR39" i="33"/>
  <c r="AR57" i="33"/>
  <c r="AR95" i="33"/>
  <c r="AR17" i="33"/>
  <c r="AR98" i="33"/>
  <c r="AR6" i="33"/>
  <c r="AR99" i="33"/>
  <c r="AR86" i="33"/>
  <c r="AR78" i="33"/>
  <c r="AR16" i="33"/>
  <c r="AR69" i="33"/>
  <c r="AR27" i="33"/>
  <c r="AR58" i="33"/>
  <c r="AR96" i="33"/>
  <c r="AR18" i="33"/>
  <c r="AR46" i="33"/>
  <c r="AR76" i="33"/>
  <c r="AR47" i="33"/>
  <c r="AR77" i="33"/>
  <c r="AR48" i="33"/>
  <c r="AR8" i="33"/>
  <c r="AR45" i="33"/>
  <c r="AR28" i="33"/>
  <c r="AR59" i="33"/>
  <c r="AR97" i="33"/>
  <c r="AR75" i="33"/>
  <c r="AR19" i="33"/>
  <c r="AR5" i="33"/>
  <c r="AR29" i="33"/>
  <c r="AR85" i="33"/>
  <c r="AR35" i="33"/>
  <c r="AR7" i="33"/>
  <c r="AR36" i="33"/>
  <c r="AR87" i="33"/>
  <c r="AR89" i="33"/>
  <c r="AR66" i="33"/>
  <c r="AR49" i="33"/>
  <c r="AR37" i="33"/>
  <c r="AR55" i="33"/>
  <c r="AR79" i="33"/>
  <c r="AR15" i="33"/>
  <c r="AR88" i="33"/>
  <c r="AR9" i="33"/>
  <c r="AR65" i="33"/>
  <c r="AR67" i="33"/>
  <c r="AR25" i="33"/>
  <c r="AR38" i="33"/>
  <c r="AR56" i="33"/>
  <c r="DL25" i="5"/>
  <c r="DL31" i="5"/>
  <c r="DL28" i="5"/>
  <c r="DL21" i="5"/>
  <c r="DL24" i="5"/>
  <c r="DL27" i="5"/>
  <c r="DL30" i="5"/>
  <c r="DL22" i="5"/>
  <c r="AI9" i="33"/>
  <c r="U9" i="33"/>
  <c r="F9" i="33"/>
  <c r="C9" i="33"/>
  <c r="I9" i="33" s="1"/>
  <c r="AI8" i="33"/>
  <c r="U8" i="33"/>
  <c r="F8" i="33"/>
  <c r="C8" i="33"/>
  <c r="I8" i="33" s="1"/>
  <c r="AI7" i="33"/>
  <c r="U7" i="33"/>
  <c r="F7" i="33"/>
  <c r="C7" i="33"/>
  <c r="I7" i="33" s="1"/>
  <c r="AI6" i="33"/>
  <c r="U6" i="33"/>
  <c r="F6" i="33"/>
  <c r="C6" i="33"/>
  <c r="I6" i="33" s="1"/>
  <c r="AI5" i="33"/>
  <c r="U5" i="33"/>
  <c r="F5" i="33"/>
  <c r="C5" i="33"/>
  <c r="I5" i="33" s="1"/>
  <c r="AI89" i="33"/>
  <c r="U89" i="33"/>
  <c r="F89" i="33"/>
  <c r="C89" i="33"/>
  <c r="I89" i="33" s="1"/>
  <c r="AI88" i="33"/>
  <c r="U88" i="33"/>
  <c r="F88" i="33"/>
  <c r="C88" i="33"/>
  <c r="I88" i="33" s="1"/>
  <c r="AI87" i="33"/>
  <c r="U87" i="33"/>
  <c r="F87" i="33"/>
  <c r="C87" i="33"/>
  <c r="I87" i="33" s="1"/>
  <c r="AI86" i="33"/>
  <c r="U86" i="33"/>
  <c r="F86" i="33"/>
  <c r="C86" i="33"/>
  <c r="I86" i="33" s="1"/>
  <c r="AI85" i="33"/>
  <c r="U85" i="33"/>
  <c r="F85" i="33"/>
  <c r="C85" i="33"/>
  <c r="AI19" i="33"/>
  <c r="U19" i="33"/>
  <c r="F19" i="33"/>
  <c r="C19" i="33"/>
  <c r="I19" i="33" s="1"/>
  <c r="AI18" i="33"/>
  <c r="U18" i="33"/>
  <c r="F18" i="33"/>
  <c r="C18" i="33"/>
  <c r="I18" i="33" s="1"/>
  <c r="AI17" i="33"/>
  <c r="U17" i="33"/>
  <c r="F17" i="33"/>
  <c r="C17" i="33"/>
  <c r="I17" i="33" s="1"/>
  <c r="AI16" i="33"/>
  <c r="U16" i="33"/>
  <c r="F16" i="33"/>
  <c r="C16" i="33"/>
  <c r="I16" i="33" s="1"/>
  <c r="AI15" i="33"/>
  <c r="U15" i="33"/>
  <c r="F15" i="33"/>
  <c r="C15" i="33"/>
  <c r="I15" i="33" s="1"/>
  <c r="AI79" i="33"/>
  <c r="U79" i="33"/>
  <c r="F79" i="33"/>
  <c r="C79" i="33"/>
  <c r="I79" i="33" s="1"/>
  <c r="AI78" i="33"/>
  <c r="U78" i="33"/>
  <c r="F78" i="33"/>
  <c r="C78" i="33"/>
  <c r="I78" i="33" s="1"/>
  <c r="AI77" i="33"/>
  <c r="U77" i="33"/>
  <c r="F77" i="33"/>
  <c r="C77" i="33"/>
  <c r="I77" i="33" s="1"/>
  <c r="AI76" i="33"/>
  <c r="U76" i="33"/>
  <c r="F76" i="33"/>
  <c r="C76" i="33"/>
  <c r="I76" i="33" s="1"/>
  <c r="AI75" i="33"/>
  <c r="U75" i="33"/>
  <c r="F75" i="33"/>
  <c r="C75" i="33"/>
  <c r="I75" i="33" s="1"/>
  <c r="AI99" i="33"/>
  <c r="U99" i="33"/>
  <c r="F99" i="33"/>
  <c r="C99" i="33"/>
  <c r="I99" i="33" s="1"/>
  <c r="AI98" i="33"/>
  <c r="U98" i="33"/>
  <c r="F98" i="33"/>
  <c r="C98" i="33"/>
  <c r="I98" i="33" s="1"/>
  <c r="AI97" i="33"/>
  <c r="U97" i="33"/>
  <c r="F97" i="33"/>
  <c r="C97" i="33"/>
  <c r="I97" i="33" s="1"/>
  <c r="AI96" i="33"/>
  <c r="U96" i="33"/>
  <c r="F96" i="33"/>
  <c r="C96" i="33"/>
  <c r="I96" i="33" s="1"/>
  <c r="AI95" i="33"/>
  <c r="U95" i="33"/>
  <c r="F95" i="33"/>
  <c r="C95" i="33"/>
  <c r="I95" i="33" s="1"/>
  <c r="AI59" i="33"/>
  <c r="U59" i="33"/>
  <c r="F59" i="33"/>
  <c r="C59" i="33"/>
  <c r="I59" i="33" s="1"/>
  <c r="AI58" i="33"/>
  <c r="U58" i="33"/>
  <c r="F58" i="33"/>
  <c r="C58" i="33"/>
  <c r="I58" i="33" s="1"/>
  <c r="AI57" i="33"/>
  <c r="U57" i="33"/>
  <c r="F57" i="33"/>
  <c r="C57" i="33"/>
  <c r="I57" i="33" s="1"/>
  <c r="AI56" i="33"/>
  <c r="U56" i="33"/>
  <c r="F56" i="33"/>
  <c r="C56" i="33"/>
  <c r="I56" i="33" s="1"/>
  <c r="AI55" i="33"/>
  <c r="U55" i="33"/>
  <c r="F55" i="33"/>
  <c r="C55" i="33"/>
  <c r="I55" i="33" s="1"/>
  <c r="AI39" i="33"/>
  <c r="U39" i="33"/>
  <c r="F39" i="33"/>
  <c r="C39" i="33"/>
  <c r="I39" i="33" s="1"/>
  <c r="AI38" i="33"/>
  <c r="U38" i="33"/>
  <c r="F38" i="33"/>
  <c r="C38" i="33"/>
  <c r="I38" i="33" s="1"/>
  <c r="AI37" i="33"/>
  <c r="U37" i="33"/>
  <c r="F37" i="33"/>
  <c r="C37" i="33"/>
  <c r="I37" i="33" s="1"/>
  <c r="AI36" i="33"/>
  <c r="U36" i="33"/>
  <c r="F36" i="33"/>
  <c r="C36" i="33"/>
  <c r="I36" i="33" s="1"/>
  <c r="AI35" i="33"/>
  <c r="U35" i="33"/>
  <c r="F35" i="33"/>
  <c r="C35" i="33"/>
  <c r="I35" i="33" s="1"/>
  <c r="AI29" i="33"/>
  <c r="U29" i="33"/>
  <c r="F29" i="33"/>
  <c r="C29" i="33"/>
  <c r="I29" i="33" s="1"/>
  <c r="AI28" i="33"/>
  <c r="U28" i="33"/>
  <c r="F28" i="33"/>
  <c r="C28" i="33"/>
  <c r="I28" i="33" s="1"/>
  <c r="AI27" i="33"/>
  <c r="U27" i="33"/>
  <c r="F27" i="33"/>
  <c r="C27" i="33"/>
  <c r="I27" i="33" s="1"/>
  <c r="AI26" i="33"/>
  <c r="U26" i="33"/>
  <c r="F26" i="33"/>
  <c r="C26" i="33"/>
  <c r="I26" i="33" s="1"/>
  <c r="AI25" i="33"/>
  <c r="U25" i="33"/>
  <c r="F25" i="33"/>
  <c r="C25" i="33"/>
  <c r="I25" i="33" s="1"/>
  <c r="AI49" i="33"/>
  <c r="U49" i="33"/>
  <c r="F49" i="33"/>
  <c r="C49" i="33"/>
  <c r="I49" i="33" s="1"/>
  <c r="AI48" i="33"/>
  <c r="U48" i="33"/>
  <c r="F48" i="33"/>
  <c r="C48" i="33"/>
  <c r="I48" i="33" s="1"/>
  <c r="AI47" i="33"/>
  <c r="U47" i="33"/>
  <c r="F47" i="33"/>
  <c r="C47" i="33"/>
  <c r="I47" i="33" s="1"/>
  <c r="AI46" i="33"/>
  <c r="U46" i="33"/>
  <c r="F46" i="33"/>
  <c r="C46" i="33"/>
  <c r="I46" i="33" s="1"/>
  <c r="AI45" i="33"/>
  <c r="U45" i="33"/>
  <c r="F45" i="33"/>
  <c r="C45" i="33"/>
  <c r="I45" i="33" s="1"/>
  <c r="AI69" i="33"/>
  <c r="U69" i="33"/>
  <c r="F69" i="33"/>
  <c r="C69" i="33"/>
  <c r="I69" i="33" s="1"/>
  <c r="AI68" i="33"/>
  <c r="U68" i="33"/>
  <c r="F68" i="33"/>
  <c r="C68" i="33"/>
  <c r="I68" i="33" s="1"/>
  <c r="AI67" i="33"/>
  <c r="U67" i="33"/>
  <c r="F67" i="33"/>
  <c r="C67" i="33"/>
  <c r="I67" i="33" s="1"/>
  <c r="AI66" i="33"/>
  <c r="U66" i="33"/>
  <c r="F66" i="33"/>
  <c r="C66" i="33"/>
  <c r="I66" i="33" s="1"/>
  <c r="AI65" i="33"/>
  <c r="U65" i="33"/>
  <c r="F65" i="33"/>
  <c r="C65" i="33"/>
  <c r="I65" i="33" s="1"/>
  <c r="BB256" i="9" l="1"/>
  <c r="BB253" i="9"/>
  <c r="BB260" i="9"/>
  <c r="BB261" i="9"/>
  <c r="BB266" i="9"/>
  <c r="BB270" i="9"/>
  <c r="BB264" i="9"/>
  <c r="BB273" i="9"/>
  <c r="BB262" i="9"/>
  <c r="BB268" i="9"/>
  <c r="BB269" i="9"/>
  <c r="BB252" i="9"/>
  <c r="BB257" i="9"/>
  <c r="BB265" i="9"/>
  <c r="BB274" i="9"/>
  <c r="BB231" i="9"/>
  <c r="BB240" i="9"/>
  <c r="BB223" i="9"/>
  <c r="BB243" i="9"/>
  <c r="BB230" i="9"/>
  <c r="BB236" i="9"/>
  <c r="BB225" i="9"/>
  <c r="BB224" i="9"/>
  <c r="BB234" i="9"/>
  <c r="BB221" i="9"/>
  <c r="BB244" i="9"/>
  <c r="BB239" i="9"/>
  <c r="BB235" i="9"/>
  <c r="BB229" i="9"/>
  <c r="BB238" i="9"/>
  <c r="BB222" i="9"/>
  <c r="BB174" i="9"/>
  <c r="BB166" i="9"/>
  <c r="BB173" i="9"/>
  <c r="BB182" i="9"/>
  <c r="BB181" i="9"/>
  <c r="BB167" i="9"/>
  <c r="BB175" i="9"/>
  <c r="BB183" i="9"/>
  <c r="BB172" i="9"/>
  <c r="BB165" i="9"/>
  <c r="BB180" i="9"/>
  <c r="BB164" i="9"/>
  <c r="BB142" i="9"/>
  <c r="BB137" i="9"/>
  <c r="BB138" i="9"/>
  <c r="BB148" i="9"/>
  <c r="BB131" i="9"/>
  <c r="BB153" i="9"/>
  <c r="BB132" i="9"/>
  <c r="BB134" i="9"/>
  <c r="BB152" i="9"/>
  <c r="BB141" i="9"/>
  <c r="BB143" i="9"/>
  <c r="BB147" i="9"/>
  <c r="BB133" i="9"/>
  <c r="BB108" i="9"/>
  <c r="BB112" i="9"/>
  <c r="BB103" i="9"/>
  <c r="BB120" i="9"/>
  <c r="BB107" i="9"/>
  <c r="BB124" i="9"/>
  <c r="BB116" i="9"/>
  <c r="BB82" i="9"/>
  <c r="BB90" i="9"/>
  <c r="BB76" i="9"/>
  <c r="BB89" i="9"/>
  <c r="BB84" i="9"/>
  <c r="BB70" i="9"/>
  <c r="BB73" i="9"/>
  <c r="BB92" i="9"/>
  <c r="BB87" i="9"/>
  <c r="BB81" i="9"/>
  <c r="BB79" i="9"/>
  <c r="BB50" i="9"/>
  <c r="BB58" i="9"/>
  <c r="BB61" i="9"/>
  <c r="BB45" i="9"/>
  <c r="BB49" i="9"/>
  <c r="BB57" i="9"/>
  <c r="BB54" i="9"/>
  <c r="BB53" i="9"/>
  <c r="BB41" i="9"/>
  <c r="BB62" i="9"/>
  <c r="BB15" i="9"/>
  <c r="BB18" i="9"/>
  <c r="BB20" i="9"/>
  <c r="BB19" i="9"/>
  <c r="BB9" i="9"/>
  <c r="BB29" i="9"/>
  <c r="BB22" i="9"/>
  <c r="BB10" i="9"/>
  <c r="BB12" i="9"/>
  <c r="BB31" i="9"/>
  <c r="BB28" i="9"/>
  <c r="BB6" i="9"/>
  <c r="BB21" i="9"/>
  <c r="BB17" i="9"/>
  <c r="BB11" i="9"/>
  <c r="BB30" i="9"/>
  <c r="BB26" i="9"/>
  <c r="BB24" i="9"/>
  <c r="BB5" i="9"/>
  <c r="BB14" i="9"/>
  <c r="BB8" i="9"/>
  <c r="BB34" i="9"/>
  <c r="BB32" i="9"/>
  <c r="BB13" i="9"/>
  <c r="BB27" i="9"/>
  <c r="BB23" i="9"/>
  <c r="BB7" i="9"/>
  <c r="BB33" i="9"/>
  <c r="BB16" i="9"/>
  <c r="BB25" i="9"/>
  <c r="BB86" i="9"/>
  <c r="BB71" i="9"/>
  <c r="BB88" i="9"/>
  <c r="BB72" i="9"/>
  <c r="BB78" i="9"/>
  <c r="BB74" i="9"/>
  <c r="BB93" i="9"/>
  <c r="BB80" i="9"/>
  <c r="BB75" i="9"/>
  <c r="BB77" i="9"/>
  <c r="BB85" i="9"/>
  <c r="BB94" i="9"/>
  <c r="BB83" i="9"/>
  <c r="BB91" i="9"/>
  <c r="BB48" i="9"/>
  <c r="BB40" i="9"/>
  <c r="BB55" i="9"/>
  <c r="BB43" i="9"/>
  <c r="BB64" i="9"/>
  <c r="BB52" i="9"/>
  <c r="BB46" i="9"/>
  <c r="BB60" i="9"/>
  <c r="BB42" i="9"/>
  <c r="BB63" i="9"/>
  <c r="BB51" i="9"/>
  <c r="BB47" i="9"/>
  <c r="BB56" i="9"/>
  <c r="BB44" i="9"/>
  <c r="BB59" i="9"/>
  <c r="A87" i="33"/>
  <c r="A85" i="33"/>
  <c r="I85" i="33"/>
  <c r="A46" i="33"/>
  <c r="A68" i="33"/>
  <c r="A39" i="33"/>
  <c r="A97" i="33"/>
  <c r="A89" i="33"/>
  <c r="A19" i="33"/>
  <c r="A48" i="33"/>
  <c r="A45" i="33"/>
  <c r="A5" i="33"/>
  <c r="A56" i="33"/>
  <c r="A75" i="33"/>
  <c r="A26" i="33"/>
  <c r="A65" i="33"/>
  <c r="A57" i="33"/>
  <c r="A25" i="33"/>
  <c r="A29" i="33"/>
  <c r="A36" i="33"/>
  <c r="A76" i="33"/>
  <c r="A78" i="33"/>
  <c r="A17" i="33"/>
  <c r="A58" i="33"/>
  <c r="A59" i="33"/>
  <c r="A96" i="33"/>
  <c r="A98" i="33"/>
  <c r="A69" i="33"/>
  <c r="A18" i="33"/>
  <c r="A27" i="33"/>
  <c r="A67" i="33"/>
  <c r="A28" i="33"/>
  <c r="A95" i="33"/>
  <c r="A16" i="33"/>
  <c r="A6" i="33"/>
  <c r="A8" i="33"/>
  <c r="A66" i="33"/>
  <c r="A49" i="33"/>
  <c r="A37" i="33"/>
  <c r="A55" i="33"/>
  <c r="A79" i="33"/>
  <c r="A15" i="33"/>
  <c r="A88" i="33"/>
  <c r="A9" i="33"/>
  <c r="A47" i="33"/>
  <c r="A35" i="33"/>
  <c r="A38" i="33"/>
  <c r="A99" i="33"/>
  <c r="A77" i="33"/>
  <c r="A86" i="33"/>
  <c r="A7" i="33"/>
  <c r="DL35" i="5"/>
  <c r="AZ125" i="9"/>
  <c r="AZ126" i="9"/>
  <c r="AZ127" i="9"/>
  <c r="AZ128" i="9"/>
  <c r="AZ129" i="9"/>
  <c r="AZ65" i="9"/>
  <c r="AZ66" i="9"/>
  <c r="AZ67" i="9"/>
  <c r="AZ68" i="9"/>
  <c r="AZ69" i="9"/>
  <c r="AZ95" i="9"/>
  <c r="AZ96" i="9"/>
  <c r="AZ97" i="9"/>
  <c r="AZ98" i="9"/>
  <c r="AZ99" i="9"/>
  <c r="AZ155" i="9"/>
  <c r="AZ156" i="9"/>
  <c r="AZ157" i="9"/>
  <c r="AZ158" i="9"/>
  <c r="AZ159" i="9"/>
  <c r="AZ275" i="9"/>
  <c r="AZ276" i="9"/>
  <c r="AZ277" i="9"/>
  <c r="AZ278" i="9"/>
  <c r="AZ279" i="9"/>
  <c r="AZ215" i="9"/>
  <c r="AZ216" i="9"/>
  <c r="AZ217" i="9"/>
  <c r="AZ218" i="9"/>
  <c r="AZ219" i="9"/>
  <c r="AZ35" i="9"/>
  <c r="AZ36" i="9"/>
  <c r="AZ37" i="9"/>
  <c r="AZ38" i="9"/>
  <c r="AZ39" i="9"/>
  <c r="AZ245" i="9"/>
  <c r="AZ246" i="9"/>
  <c r="AZ247" i="9"/>
  <c r="AZ248" i="9"/>
  <c r="AZ249" i="9"/>
  <c r="AU125" i="9"/>
  <c r="AU126" i="9"/>
  <c r="AU127" i="9"/>
  <c r="AU128" i="9"/>
  <c r="AU129" i="9"/>
  <c r="AU65" i="9"/>
  <c r="AU66" i="9"/>
  <c r="AU67" i="9"/>
  <c r="AU68" i="9"/>
  <c r="AU69" i="9"/>
  <c r="AU95" i="9"/>
  <c r="AU96" i="9"/>
  <c r="AU97" i="9"/>
  <c r="AU98" i="9"/>
  <c r="AU99" i="9"/>
  <c r="AU155" i="9"/>
  <c r="AU156" i="9"/>
  <c r="AU157" i="9"/>
  <c r="AU158" i="9"/>
  <c r="AU159" i="9"/>
  <c r="AU275" i="9"/>
  <c r="AU276" i="9"/>
  <c r="AU277" i="9"/>
  <c r="AU278" i="9"/>
  <c r="AU279" i="9"/>
  <c r="AU215" i="9"/>
  <c r="AU216" i="9"/>
  <c r="AU217" i="9"/>
  <c r="AU218" i="9"/>
  <c r="AU219" i="9"/>
  <c r="AU35" i="9"/>
  <c r="AU36" i="9"/>
  <c r="AU37" i="9"/>
  <c r="AU38" i="9"/>
  <c r="AU39" i="9"/>
  <c r="AU245" i="9"/>
  <c r="AU246" i="9"/>
  <c r="AU247" i="9"/>
  <c r="AU248" i="9"/>
  <c r="AU249" i="9"/>
  <c r="BB245" i="9" l="1"/>
  <c r="BB247" i="9"/>
  <c r="BB246" i="9"/>
  <c r="BB249" i="9"/>
  <c r="BB248" i="9"/>
  <c r="BB215" i="9"/>
  <c r="BB217" i="9"/>
  <c r="BB216" i="9"/>
  <c r="BB219" i="9"/>
  <c r="BB218" i="9"/>
  <c r="BB156" i="9"/>
  <c r="BB158" i="9"/>
  <c r="BB155" i="9"/>
  <c r="BB159" i="9"/>
  <c r="BB157" i="9"/>
  <c r="BB127" i="9"/>
  <c r="BB126" i="9"/>
  <c r="BB125" i="9"/>
  <c r="BB129" i="9"/>
  <c r="BB128" i="9"/>
  <c r="BB95" i="9"/>
  <c r="BB96" i="9"/>
  <c r="BB97" i="9"/>
  <c r="BB98" i="9"/>
  <c r="BB99" i="9"/>
  <c r="BB68" i="9"/>
  <c r="BB67" i="9"/>
  <c r="BB66" i="9"/>
  <c r="BB65" i="9"/>
  <c r="BB69" i="9"/>
  <c r="BB38" i="9"/>
  <c r="BB37" i="9"/>
  <c r="BB39" i="9"/>
  <c r="BB36" i="9"/>
  <c r="BB35" i="9"/>
  <c r="A5" i="31"/>
  <c r="AO12" i="4" l="1"/>
  <c r="DL46" i="5"/>
  <c r="AO6" i="4"/>
  <c r="DL45" i="5"/>
  <c r="AO10" i="4"/>
  <c r="AO13" i="4"/>
  <c r="AO9" i="4"/>
  <c r="AO7" i="4"/>
  <c r="AK187" i="9"/>
  <c r="AK185" i="9"/>
  <c r="AK186" i="9"/>
  <c r="AK5" i="9"/>
  <c r="AK6" i="9"/>
  <c r="AK7" i="9"/>
  <c r="DL44" i="5"/>
  <c r="AO8" i="4"/>
  <c r="AO5" i="4"/>
  <c r="AO11" i="4"/>
  <c r="DL13" i="5"/>
  <c r="DL6" i="5"/>
  <c r="DL18" i="5"/>
  <c r="DL19" i="5"/>
  <c r="DL9" i="5"/>
  <c r="DL33" i="5"/>
  <c r="DL7" i="5"/>
  <c r="DL34" i="5"/>
  <c r="DL10" i="5"/>
  <c r="DL12" i="5"/>
  <c r="DP8" i="5"/>
  <c r="AP66" i="9"/>
  <c r="AP99" i="9"/>
  <c r="AP157" i="9"/>
  <c r="AP275" i="9"/>
  <c r="AP37" i="9"/>
  <c r="AP68" i="9"/>
  <c r="AP277" i="9"/>
  <c r="AP39" i="9"/>
  <c r="AP127" i="9"/>
  <c r="AP96" i="9"/>
  <c r="AP218" i="9"/>
  <c r="AP155" i="9"/>
  <c r="AP35" i="9"/>
  <c r="AP156" i="9"/>
  <c r="AP249" i="9"/>
  <c r="AP67" i="9"/>
  <c r="AP158" i="9"/>
  <c r="AP276" i="9"/>
  <c r="AP38" i="9"/>
  <c r="AP125" i="9"/>
  <c r="AP159" i="9"/>
  <c r="AP215" i="9"/>
  <c r="AP217" i="9"/>
  <c r="AP246" i="9"/>
  <c r="DP5" i="5"/>
  <c r="AP128" i="9"/>
  <c r="AP247" i="9"/>
  <c r="AP129" i="9"/>
  <c r="AP219" i="9"/>
  <c r="AP248" i="9"/>
  <c r="AP98" i="9"/>
  <c r="DL15" i="5"/>
  <c r="AP126" i="9"/>
  <c r="AP69" i="9"/>
  <c r="AP278" i="9"/>
  <c r="AP216" i="9"/>
  <c r="AP245" i="9"/>
  <c r="AP95" i="9"/>
  <c r="AP279" i="9"/>
  <c r="AP97" i="9"/>
  <c r="AP65" i="9"/>
  <c r="AP36" i="9"/>
  <c r="DL29" i="5"/>
  <c r="DL23" i="5"/>
  <c r="DL20" i="5"/>
  <c r="DL26" i="5"/>
  <c r="DL32" i="5"/>
  <c r="AK65" i="9"/>
  <c r="AK98" i="9"/>
  <c r="AK156" i="9"/>
  <c r="AK36" i="9"/>
  <c r="AK249" i="9"/>
  <c r="AK67" i="9"/>
  <c r="AK158" i="9"/>
  <c r="AK216" i="9"/>
  <c r="AK245" i="9"/>
  <c r="AK127" i="9"/>
  <c r="DL8" i="5"/>
  <c r="AK128" i="9"/>
  <c r="AK96" i="9"/>
  <c r="DL11" i="5"/>
  <c r="AK66" i="9"/>
  <c r="AK99" i="9"/>
  <c r="AK157" i="9"/>
  <c r="AK275" i="9"/>
  <c r="AK37" i="9"/>
  <c r="AK276" i="9"/>
  <c r="AK38" i="9"/>
  <c r="AK126" i="9"/>
  <c r="AK217" i="9"/>
  <c r="AK246" i="9"/>
  <c r="AK218" i="9"/>
  <c r="AK247" i="9"/>
  <c r="DL17" i="5"/>
  <c r="AK97" i="9"/>
  <c r="AK35" i="9"/>
  <c r="DL5" i="5"/>
  <c r="AK125" i="9"/>
  <c r="AK68" i="9"/>
  <c r="AK159" i="9"/>
  <c r="AK277" i="9"/>
  <c r="AK215" i="9"/>
  <c r="AK39" i="9"/>
  <c r="AK69" i="9"/>
  <c r="AK278" i="9"/>
  <c r="AK95" i="9"/>
  <c r="AK279" i="9"/>
  <c r="AK129" i="9"/>
  <c r="AK155" i="9"/>
  <c r="AK219" i="9"/>
  <c r="AK248" i="9"/>
  <c r="A8" i="30"/>
  <c r="A6" i="30" l="1"/>
  <c r="A7" i="30"/>
  <c r="A5" i="30"/>
  <c r="DD44" i="5" l="1"/>
  <c r="DD35" i="5"/>
  <c r="DD29" i="5"/>
  <c r="DD26" i="5"/>
  <c r="DD23" i="5"/>
  <c r="DD20" i="5"/>
  <c r="DD32" i="5"/>
  <c r="DD17" i="5"/>
  <c r="DD15" i="5"/>
  <c r="DD11" i="5"/>
  <c r="DD8" i="5"/>
  <c r="DD5" i="5"/>
  <c r="C125" i="9"/>
  <c r="Y125" i="9" s="1"/>
  <c r="C126" i="9"/>
  <c r="Y126" i="9" s="1"/>
  <c r="C127" i="9"/>
  <c r="Y127" i="9" s="1"/>
  <c r="C128" i="9"/>
  <c r="Y128" i="9" s="1"/>
  <c r="C129" i="9"/>
  <c r="Y129" i="9" s="1"/>
  <c r="C65" i="9"/>
  <c r="Y65" i="9" s="1"/>
  <c r="C66" i="9"/>
  <c r="Y66" i="9" s="1"/>
  <c r="C67" i="9"/>
  <c r="Y67" i="9" s="1"/>
  <c r="C68" i="9"/>
  <c r="Y68" i="9" s="1"/>
  <c r="C69" i="9"/>
  <c r="Y69" i="9" s="1"/>
  <c r="C95" i="9"/>
  <c r="Y95" i="9" s="1"/>
  <c r="C96" i="9"/>
  <c r="C97" i="9"/>
  <c r="Y97" i="9" s="1"/>
  <c r="C98" i="9"/>
  <c r="Y98" i="9" s="1"/>
  <c r="C99" i="9"/>
  <c r="Y99" i="9" s="1"/>
  <c r="C155" i="9"/>
  <c r="Y155" i="9" s="1"/>
  <c r="C156" i="9"/>
  <c r="Y156" i="9" s="1"/>
  <c r="C157" i="9"/>
  <c r="Y157" i="9" s="1"/>
  <c r="C158" i="9"/>
  <c r="Y158" i="9" s="1"/>
  <c r="C159" i="9"/>
  <c r="Y159" i="9" s="1"/>
  <c r="C275" i="9"/>
  <c r="Y275" i="9" s="1"/>
  <c r="C276" i="9"/>
  <c r="Y276" i="9" s="1"/>
  <c r="C277" i="9"/>
  <c r="Y277" i="9" s="1"/>
  <c r="C278" i="9"/>
  <c r="Y278" i="9" s="1"/>
  <c r="C279" i="9"/>
  <c r="Y279" i="9" s="1"/>
  <c r="C215" i="9"/>
  <c r="Y215" i="9" s="1"/>
  <c r="C216" i="9"/>
  <c r="Y216" i="9" s="1"/>
  <c r="C217" i="9"/>
  <c r="Y217" i="9" s="1"/>
  <c r="C218" i="9"/>
  <c r="Y218" i="9" s="1"/>
  <c r="C219" i="9"/>
  <c r="Y219" i="9" s="1"/>
  <c r="C35" i="9"/>
  <c r="Y35" i="9" s="1"/>
  <c r="C36" i="9"/>
  <c r="Y36" i="9" s="1"/>
  <c r="C37" i="9"/>
  <c r="Y37" i="9" s="1"/>
  <c r="C38" i="9"/>
  <c r="Y38" i="9" s="1"/>
  <c r="C39" i="9"/>
  <c r="Y39" i="9" s="1"/>
  <c r="C245" i="9"/>
  <c r="Y245" i="9" s="1"/>
  <c r="C246" i="9"/>
  <c r="Y246" i="9" s="1"/>
  <c r="C247" i="9"/>
  <c r="Y247" i="9" s="1"/>
  <c r="C248" i="9"/>
  <c r="Y248" i="9" s="1"/>
  <c r="C249" i="9"/>
  <c r="Y249" i="9" s="1"/>
  <c r="F15" i="5"/>
  <c r="BS29" i="5"/>
  <c r="BT29" i="5"/>
  <c r="CA29" i="5" s="1"/>
  <c r="CH29" i="5"/>
  <c r="CI29" i="5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5" i="6"/>
  <c r="F8" i="4"/>
  <c r="D8" i="4" s="1"/>
  <c r="F11" i="4"/>
  <c r="D11" i="4" s="1"/>
  <c r="F5" i="4"/>
  <c r="D5" i="4" s="1"/>
  <c r="BS23" i="5"/>
  <c r="BT23" i="5"/>
  <c r="CB23" i="5" s="1"/>
  <c r="CH23" i="5"/>
  <c r="CI23" i="5"/>
  <c r="BS26" i="5"/>
  <c r="BT26" i="5"/>
  <c r="BZ26" i="5" s="1"/>
  <c r="CH26" i="5"/>
  <c r="CI26" i="5"/>
  <c r="BT20" i="5"/>
  <c r="CC20" i="5" s="1"/>
  <c r="BS20" i="5"/>
  <c r="CI20" i="5"/>
  <c r="CH20" i="5"/>
  <c r="C63" i="6"/>
  <c r="B11" i="4"/>
  <c r="B8" i="4"/>
  <c r="B5" i="4"/>
  <c r="B35" i="5"/>
  <c r="B44" i="5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5" i="6"/>
  <c r="C14" i="3"/>
  <c r="D14" i="3"/>
  <c r="F11" i="5"/>
  <c r="D11" i="5" s="1"/>
  <c r="F5" i="5"/>
  <c r="F17" i="5"/>
  <c r="F32" i="5"/>
  <c r="D32" i="5" s="1"/>
  <c r="F20" i="5"/>
  <c r="D20" i="5" s="1"/>
  <c r="F23" i="5"/>
  <c r="D23" i="5" s="1"/>
  <c r="F26" i="5"/>
  <c r="D26" i="5" s="1"/>
  <c r="F29" i="5"/>
  <c r="D29" i="5" s="1"/>
  <c r="F35" i="5"/>
  <c r="D35" i="5" s="1"/>
  <c r="F44" i="5"/>
  <c r="D44" i="5" s="1"/>
  <c r="F8" i="5"/>
  <c r="D6" i="3"/>
  <c r="D7" i="3"/>
  <c r="D8" i="3"/>
  <c r="D9" i="3"/>
  <c r="D10" i="3"/>
  <c r="D11" i="3"/>
  <c r="D12" i="3"/>
  <c r="D13" i="3"/>
  <c r="D15" i="3"/>
  <c r="D16" i="3"/>
  <c r="D17" i="3"/>
  <c r="D18" i="3"/>
  <c r="D19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5" i="3"/>
  <c r="C6" i="3"/>
  <c r="C7" i="3"/>
  <c r="C8" i="3"/>
  <c r="C9" i="3"/>
  <c r="C10" i="3"/>
  <c r="C11" i="3"/>
  <c r="C12" i="3"/>
  <c r="C13" i="3"/>
  <c r="C15" i="3"/>
  <c r="C16" i="3"/>
  <c r="C17" i="3"/>
  <c r="C18" i="3"/>
  <c r="C19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5" i="3"/>
  <c r="CR32" i="5"/>
  <c r="A96" i="9" l="1"/>
  <c r="Y96" i="9"/>
  <c r="A5" i="3"/>
  <c r="A5" i="8" s="1"/>
  <c r="A44" i="3"/>
  <c r="A38" i="3"/>
  <c r="A17" i="3"/>
  <c r="A17" i="7" s="1"/>
  <c r="A48" i="3"/>
  <c r="A42" i="3"/>
  <c r="A14" i="3"/>
  <c r="A14" i="8" s="1"/>
  <c r="A6" i="3"/>
  <c r="A6" i="7" s="1"/>
  <c r="A32" i="3"/>
  <c r="A19" i="3"/>
  <c r="A19" i="8" s="1"/>
  <c r="A10" i="3"/>
  <c r="A10" i="8" s="1"/>
  <c r="CB20" i="5"/>
  <c r="CC23" i="5"/>
  <c r="A35" i="9"/>
  <c r="A247" i="9"/>
  <c r="A57" i="3"/>
  <c r="A12" i="3"/>
  <c r="A12" i="7" s="1"/>
  <c r="A55" i="3"/>
  <c r="A39" i="3"/>
  <c r="A33" i="3"/>
  <c r="A25" i="3"/>
  <c r="A25" i="7" s="1"/>
  <c r="A11" i="3"/>
  <c r="A11" i="8" s="1"/>
  <c r="A54" i="3"/>
  <c r="A36" i="3"/>
  <c r="A30" i="3"/>
  <c r="BZ20" i="5"/>
  <c r="CA23" i="5"/>
  <c r="A219" i="9"/>
  <c r="A158" i="9"/>
  <c r="A97" i="9"/>
  <c r="A68" i="9"/>
  <c r="A128" i="9"/>
  <c r="A129" i="9"/>
  <c r="A38" i="9"/>
  <c r="A215" i="9"/>
  <c r="A248" i="9"/>
  <c r="A39" i="9"/>
  <c r="A125" i="9"/>
  <c r="A67" i="9"/>
  <c r="A277" i="9"/>
  <c r="A155" i="9"/>
  <c r="A159" i="9"/>
  <c r="A218" i="9"/>
  <c r="A276" i="9"/>
  <c r="CA20" i="5"/>
  <c r="BZ23" i="5"/>
  <c r="CB29" i="5"/>
  <c r="D17" i="5"/>
  <c r="CC29" i="5"/>
  <c r="BZ29" i="5"/>
  <c r="D15" i="5"/>
  <c r="A49" i="3"/>
  <c r="A43" i="3"/>
  <c r="A37" i="3"/>
  <c r="A31" i="3"/>
  <c r="A18" i="3"/>
  <c r="A18" i="8" s="1"/>
  <c r="A9" i="3"/>
  <c r="A9" i="8" s="1"/>
  <c r="A27" i="3"/>
  <c r="A27" i="7" s="1"/>
  <c r="A59" i="3"/>
  <c r="A53" i="3"/>
  <c r="A47" i="3"/>
  <c r="A41" i="3"/>
  <c r="A35" i="3"/>
  <c r="A29" i="3"/>
  <c r="A16" i="3"/>
  <c r="A7" i="3"/>
  <c r="A7" i="8" s="1"/>
  <c r="A56" i="3"/>
  <c r="A50" i="3"/>
  <c r="A34" i="3"/>
  <c r="A26" i="3"/>
  <c r="A26" i="7" s="1"/>
  <c r="A8" i="3"/>
  <c r="A51" i="3"/>
  <c r="A45" i="3"/>
  <c r="A13" i="3"/>
  <c r="A58" i="3"/>
  <c r="A52" i="3"/>
  <c r="A46" i="3"/>
  <c r="A40" i="3"/>
  <c r="A28" i="3"/>
  <c r="A28" i="7" s="1"/>
  <c r="A15" i="3"/>
  <c r="D8" i="5"/>
  <c r="CB26" i="5"/>
  <c r="CC26" i="5"/>
  <c r="CA26" i="5"/>
  <c r="D5" i="5"/>
  <c r="A246" i="9"/>
  <c r="A37" i="9"/>
  <c r="A217" i="9"/>
  <c r="A279" i="9"/>
  <c r="A275" i="9"/>
  <c r="A157" i="9"/>
  <c r="A99" i="9"/>
  <c r="A95" i="9"/>
  <c r="A66" i="9"/>
  <c r="A127" i="9"/>
  <c r="A249" i="9"/>
  <c r="A245" i="9"/>
  <c r="A36" i="9"/>
  <c r="A216" i="9"/>
  <c r="A278" i="9"/>
  <c r="A156" i="9"/>
  <c r="A98" i="9"/>
  <c r="A69" i="9"/>
  <c r="A65" i="9"/>
  <c r="A126" i="9"/>
  <c r="A17" i="8" l="1"/>
  <c r="A31" i="8"/>
  <c r="A31" i="7"/>
  <c r="A46" i="7"/>
  <c r="A46" i="8"/>
  <c r="A52" i="7"/>
  <c r="A52" i="8"/>
  <c r="A49" i="8"/>
  <c r="A49" i="7"/>
  <c r="A48" i="8"/>
  <c r="A48" i="7"/>
  <c r="A58" i="8"/>
  <c r="A58" i="7"/>
  <c r="A56" i="7"/>
  <c r="A56" i="8"/>
  <c r="A59" i="8"/>
  <c r="A59" i="7"/>
  <c r="A33" i="8"/>
  <c r="A33" i="7"/>
  <c r="A57" i="8"/>
  <c r="A57" i="7"/>
  <c r="A37" i="7"/>
  <c r="A37" i="8"/>
  <c r="A39" i="8"/>
  <c r="A39" i="7"/>
  <c r="A41" i="8"/>
  <c r="A41" i="7"/>
  <c r="A54" i="7"/>
  <c r="A54" i="8"/>
  <c r="A34" i="7"/>
  <c r="A34" i="8"/>
  <c r="A43" i="7"/>
  <c r="A43" i="8"/>
  <c r="A53" i="7"/>
  <c r="A53" i="8"/>
  <c r="A38" i="7"/>
  <c r="A38" i="8"/>
  <c r="A45" i="7"/>
  <c r="A45" i="8"/>
  <c r="A55" i="7"/>
  <c r="A55" i="8"/>
  <c r="A44" i="7"/>
  <c r="A44" i="8"/>
  <c r="A35" i="8"/>
  <c r="A35" i="7"/>
  <c r="A36" i="7"/>
  <c r="A36" i="8"/>
  <c r="A40" i="8"/>
  <c r="A40" i="7"/>
  <c r="A47" i="8"/>
  <c r="A47" i="7"/>
  <c r="A42" i="7"/>
  <c r="A42" i="8"/>
  <c r="A50" i="8"/>
  <c r="A50" i="7"/>
  <c r="A51" i="8"/>
  <c r="A51" i="7"/>
  <c r="A29" i="8"/>
  <c r="A29" i="7"/>
  <c r="A30" i="7"/>
  <c r="A30" i="8"/>
  <c r="A32" i="8"/>
  <c r="A32" i="7"/>
  <c r="A5" i="7"/>
  <c r="A6" i="8"/>
  <c r="A18" i="7"/>
  <c r="A19" i="7"/>
  <c r="A14" i="7"/>
  <c r="A11" i="7"/>
  <c r="A7" i="7"/>
  <c r="A10" i="7"/>
  <c r="A25" i="8"/>
  <c r="A12" i="8"/>
  <c r="A9" i="7"/>
  <c r="A27" i="8"/>
  <c r="A28" i="8"/>
  <c r="A16" i="7"/>
  <c r="A16" i="8"/>
  <c r="A13" i="8"/>
  <c r="A13" i="7"/>
  <c r="A15" i="7"/>
  <c r="A15" i="8"/>
  <c r="A8" i="7"/>
  <c r="A8" i="8"/>
  <c r="A26" i="8"/>
  <c r="V10" i="4" l="1"/>
  <c r="V8" i="4"/>
  <c r="V11" i="4"/>
  <c r="V12" i="4"/>
  <c r="V13" i="4"/>
  <c r="V9" i="4"/>
  <c r="V7" i="4"/>
  <c r="V5" i="4"/>
  <c r="V6" i="4"/>
  <c r="T5" i="3"/>
</calcChain>
</file>

<file path=xl/sharedStrings.xml><?xml version="1.0" encoding="utf-8"?>
<sst xmlns="http://schemas.openxmlformats.org/spreadsheetml/2006/main" count="10151" uniqueCount="1230">
  <si>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</si>
  <si>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</si>
  <si>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</si>
  <si>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</si>
  <si>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</si>
  <si>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</si>
  <si>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</si>
  <si>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</si>
  <si>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</si>
  <si>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</si>
  <si>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</si>
  <si>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</si>
  <si>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</si>
  <si>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</si>
  <si>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</si>
  <si>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</si>
  <si>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</si>
  <si>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</si>
  <si>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</si>
  <si>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</si>
  <si>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</si>
  <si>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</si>
  <si>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</si>
  <si>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</si>
  <si>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</si>
  <si>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</si>
  <si>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</si>
  <si>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</si>
  <si>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</si>
  <si>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</si>
  <si>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</si>
  <si>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</si>
  <si>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</si>
  <si>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</si>
  <si>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</si>
  <si>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</si>
  <si>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</si>
  <si>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</si>
  <si>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</si>
  <si>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</si>
  <si>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</si>
  <si>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</si>
  <si>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</si>
  <si>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</si>
  <si>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</si>
  <si>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</si>
  <si>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</si>
  <si>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</si>
  <si>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</si>
  <si>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</si>
  <si>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</si>
  <si>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</si>
  <si>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</si>
  <si>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</si>
  <si>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</si>
  <si>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</si>
  <si>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</si>
  <si>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</si>
  <si>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</si>
  <si>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</si>
  <si>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</si>
  <si>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</si>
  <si>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</si>
  <si>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组装技术ID</t>
  </si>
  <si>
    <t>注释</t>
  </si>
  <si>
    <t>核心特性1</t>
  </si>
  <si>
    <t>核心特性2</t>
  </si>
  <si>
    <t>核心特性3</t>
  </si>
  <si>
    <t>最大舰体数</t>
  </si>
  <si>
    <t>shield_hp</t>
  </si>
  <si>
    <t>舰体部件ID</t>
  </si>
  <si>
    <t>舰体名</t>
  </si>
  <si>
    <t>生存/空间</t>
  </si>
  <si>
    <t>秒伤/空间</t>
  </si>
  <si>
    <t>空间占用</t>
  </si>
  <si>
    <t>是否有防御</t>
  </si>
  <si>
    <t>是否有武器</t>
  </si>
  <si>
    <t>是否有动力</t>
  </si>
  <si>
    <t>功能类型
无=0
殖民=1
探索=2
采集=3
运输=4</t>
  </si>
  <si>
    <t>船员需求</t>
  </si>
  <si>
    <t>质量</t>
  </si>
  <si>
    <t>防御特性系数</t>
  </si>
  <si>
    <t>防御特性1</t>
  </si>
  <si>
    <t>防御特性2</t>
  </si>
  <si>
    <t>防御特性3</t>
  </si>
  <si>
    <t>最长移动距离</t>
  </si>
  <si>
    <t>动力</t>
  </si>
  <si>
    <t>配件ID</t>
  </si>
  <si>
    <t>槽位能量消耗</t>
  </si>
  <si>
    <t>配件特性1</t>
  </si>
  <si>
    <t>配件特性2</t>
  </si>
  <si>
    <t>配件特性3</t>
  </si>
  <si>
    <t>特性ID</t>
  </si>
  <si>
    <t>特性逻辑</t>
  </si>
  <si>
    <t>秒伤</t>
  </si>
  <si>
    <t>对护盾伤害</t>
  </si>
  <si>
    <t>伤害基数</t>
  </si>
  <si>
    <t>伤害系数</t>
  </si>
  <si>
    <t>电磁比例</t>
  </si>
  <si>
    <t>热能比例</t>
  </si>
  <si>
    <t>动能比例</t>
  </si>
  <si>
    <t>爆炸比例</t>
  </si>
  <si>
    <t>单发热能伤害</t>
  </si>
  <si>
    <t>单发动能伤害</t>
  </si>
  <si>
    <t>单发爆炸伤害</t>
  </si>
  <si>
    <t>连发弹数</t>
  </si>
  <si>
    <t>武器特性系数</t>
  </si>
  <si>
    <t>武器特性1</t>
  </si>
  <si>
    <t>武器特性2</t>
  </si>
  <si>
    <t>武器特性3</t>
  </si>
  <si>
    <t>材料类型</t>
  </si>
  <si>
    <t>舰体量级</t>
  </si>
  <si>
    <t>repeated</t>
  </si>
  <si>
    <t>特性类型
核心特性=1
武器特性=2
防御特性=3
配件特性=4</t>
  </si>
  <si>
    <t>命名说明</t>
  </si>
  <si>
    <t>组装技术</t>
  </si>
  <si>
    <t>舰船</t>
  </si>
  <si>
    <t>特性</t>
  </si>
  <si>
    <t>舰体</t>
  </si>
  <si>
    <t>hull</t>
  </si>
  <si>
    <t>配件</t>
  </si>
  <si>
    <t>mat_type</t>
  </si>
  <si>
    <t>材料</t>
  </si>
  <si>
    <t>mat</t>
  </si>
  <si>
    <t>数量</t>
  </si>
  <si>
    <t>nrg</t>
  </si>
  <si>
    <t>能量</t>
  </si>
  <si>
    <t>max_slot_nrg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</si>
  <si>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</si>
  <si>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</si>
  <si>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</si>
  <si>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</si>
  <si>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</si>
  <si>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</si>
  <si>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</si>
  <si>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</si>
  <si>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</si>
  <si>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</si>
  <si>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hull_id</t>
  </si>
  <si>
    <t>hull_type</t>
  </si>
  <si>
    <t>hull_name</t>
  </si>
  <si>
    <t>hull_size</t>
  </si>
  <si>
    <t>func_type</t>
  </si>
  <si>
    <t>功能</t>
  </si>
  <si>
    <t>functionality</t>
  </si>
  <si>
    <t>func</t>
  </si>
  <si>
    <t>mass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</si>
  <si>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</si>
  <si>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</si>
  <si>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</si>
  <si>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</si>
  <si>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</si>
  <si>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</si>
  <si>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</si>
  <si>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</si>
  <si>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</si>
  <si>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strut_hp</t>
  </si>
  <si>
    <t>strut</t>
  </si>
  <si>
    <t>修复</t>
  </si>
  <si>
    <t>repair</t>
  </si>
  <si>
    <t>repr</t>
  </si>
  <si>
    <t>strut_repr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</si>
  <si>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</si>
  <si>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</si>
  <si>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</si>
  <si>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</si>
  <si>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</si>
  <si>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</si>
  <si>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</si>
  <si>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</si>
  <si>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</si>
  <si>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</si>
  <si>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</si>
  <si>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</si>
  <si>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</si>
  <si>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</si>
  <si>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</si>
  <si>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</si>
  <si>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</si>
  <si>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</si>
  <si>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</si>
  <si>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</si>
  <si>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payload_type</t>
  </si>
  <si>
    <t>ac</t>
  </si>
  <si>
    <t>mod_tech_name</t>
  </si>
  <si>
    <t>max_hull_qty</t>
  </si>
  <si>
    <t>ship_type</t>
  </si>
  <si>
    <t>trait_type</t>
  </si>
  <si>
    <t xml:space="preserve">  </t>
  </si>
  <si>
    <t>cpnt_id</t>
  </si>
  <si>
    <t>cpnt</t>
  </si>
  <si>
    <t>core_trait_1</t>
  </si>
  <si>
    <t>core_trait_2</t>
  </si>
  <si>
    <t>core_trait_3</t>
  </si>
  <si>
    <t>crew_qty</t>
  </si>
  <si>
    <t>kin_res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</si>
  <si>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</si>
  <si>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</si>
  <si>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</si>
  <si>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</si>
  <si>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</si>
  <si>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</si>
  <si>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</si>
  <si>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</si>
  <si>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</si>
  <si>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</si>
  <si>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</si>
  <si>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exp_res</t>
  </si>
  <si>
    <t>em_res</t>
  </si>
  <si>
    <t>therm_res</t>
  </si>
  <si>
    <t>therm</t>
  </si>
  <si>
    <t>tgt_value</t>
  </si>
  <si>
    <t>eva_value</t>
  </si>
  <si>
    <t>瞄准</t>
  </si>
  <si>
    <t>移速</t>
  </si>
  <si>
    <t>转速</t>
  </si>
  <si>
    <t>rev_spd</t>
  </si>
  <si>
    <t>debuff_res</t>
  </si>
  <si>
    <t>def_trait_1</t>
  </si>
  <si>
    <t>def_trait_2</t>
  </si>
  <si>
    <t>def_trait_3</t>
  </si>
  <si>
    <t>异常状态</t>
  </si>
  <si>
    <t>anomaly</t>
  </si>
  <si>
    <t>ano</t>
  </si>
  <si>
    <t>减益状态</t>
  </si>
  <si>
    <t>debuff</t>
  </si>
  <si>
    <t>deb</t>
  </si>
  <si>
    <t>cpnt_name</t>
  </si>
  <si>
    <t>cpnt_type</t>
  </si>
  <si>
    <t>slot_nrg_cost</t>
  </si>
  <si>
    <t>cpnt_trait_1</t>
  </si>
  <si>
    <t>cpnt_trait_2</t>
  </si>
  <si>
    <t>cpnt_trait_3</t>
  </si>
  <si>
    <t>shield_repr</t>
  </si>
  <si>
    <t>命中率</t>
  </si>
  <si>
    <t>damage to shield</t>
  </si>
  <si>
    <t>dmg_to_shld</t>
  </si>
  <si>
    <t>填装时间
(帧)</t>
  </si>
  <si>
    <t>中距离命中率
(百分比)</t>
  </si>
  <si>
    <t>远距离命中率
(百分比)</t>
  </si>
  <si>
    <t>近距离击中延迟
(帧)</t>
  </si>
  <si>
    <t>中距离击中延迟
(帧)</t>
  </si>
  <si>
    <t>远距离击中延迟
(帧)</t>
  </si>
  <si>
    <t>单发</t>
  </si>
  <si>
    <t>one shot</t>
  </si>
  <si>
    <t>os</t>
  </si>
  <si>
    <t>os_em_dmg</t>
  </si>
  <si>
    <t>os_therm_dmg</t>
  </si>
  <si>
    <t>os_kin_dmg</t>
  </si>
  <si>
    <t>os_exp_dmg</t>
  </si>
  <si>
    <t>距离</t>
  </si>
  <si>
    <t>range</t>
  </si>
  <si>
    <t>rng</t>
  </si>
  <si>
    <t>short_rng_ac</t>
  </si>
  <si>
    <t>mid_rng_ac</t>
  </si>
  <si>
    <t>long_rng_ac</t>
  </si>
  <si>
    <t>short_rng_delay</t>
  </si>
  <si>
    <t>mid_rng_delay</t>
  </si>
  <si>
    <t>long_rng_delay</t>
  </si>
  <si>
    <t>burst_qty</t>
  </si>
  <si>
    <t>延迟</t>
  </si>
  <si>
    <t>delay</t>
  </si>
  <si>
    <t>dalay</t>
  </si>
  <si>
    <t>连发</t>
  </si>
  <si>
    <t>burst</t>
  </si>
  <si>
    <t>burst_intvl</t>
  </si>
  <si>
    <t>间隔</t>
  </si>
  <si>
    <t>interval</t>
  </si>
  <si>
    <t>intvl</t>
  </si>
  <si>
    <t>reload_intvl</t>
  </si>
  <si>
    <t>装弹</t>
  </si>
  <si>
    <t>reload</t>
  </si>
  <si>
    <t>wpn_trait_1</t>
  </si>
  <si>
    <t>wpn_trait_2</t>
  </si>
  <si>
    <t>wpn_trait_3</t>
  </si>
  <si>
    <t>thrust</t>
  </si>
  <si>
    <t>推力</t>
  </si>
  <si>
    <t>fuel_vol</t>
  </si>
  <si>
    <t>容量</t>
  </si>
  <si>
    <t>volume</t>
  </si>
  <si>
    <t>vol</t>
  </si>
  <si>
    <t>消耗</t>
  </si>
  <si>
    <t>consumption</t>
  </si>
  <si>
    <t>fuel_cons_rate</t>
  </si>
  <si>
    <t>cons</t>
  </si>
  <si>
    <t>采矿</t>
  </si>
  <si>
    <t>mining</t>
  </si>
  <si>
    <t>装载量</t>
  </si>
  <si>
    <t>殖民</t>
  </si>
  <si>
    <t>colony</t>
  </si>
  <si>
    <t>col</t>
  </si>
  <si>
    <t>col_spd</t>
  </si>
  <si>
    <t>expl_level</t>
  </si>
  <si>
    <t>expl_spd</t>
  </si>
  <si>
    <t>探索</t>
  </si>
  <si>
    <t>expl</t>
  </si>
  <si>
    <t>cruz_spd</t>
  </si>
  <si>
    <t>中文</t>
  </si>
  <si>
    <t>英文</t>
  </si>
  <si>
    <t>简写</t>
  </si>
  <si>
    <t>结构HP</t>
  </si>
  <si>
    <t>护盾HP</t>
  </si>
  <si>
    <t>护盾修复</t>
  </si>
  <si>
    <t>电磁抗性</t>
  </si>
  <si>
    <t>热能抗性</t>
  </si>
  <si>
    <t>动能抗性</t>
  </si>
  <si>
    <t>爆炸抗性</t>
  </si>
  <si>
    <t>减益耐性</t>
  </si>
  <si>
    <t>特性类型</t>
  </si>
  <si>
    <t>配件类型
攻击配件=1
防御配件=2
子系统配件=3</t>
  </si>
  <si>
    <t>策划专用
配置区域</t>
  </si>
  <si>
    <t>射弹伤害提高5%</t>
  </si>
  <si>
    <t>wpn_type</t>
  </si>
  <si>
    <t>武器类型
射弹武器=1
能量武器=2
混合武器=3
炸弹武器=4
导弹武器=5
末日武器=6</t>
  </si>
  <si>
    <t>能量伤害提高5%</t>
  </si>
  <si>
    <t>混合伤害提高5%</t>
  </si>
  <si>
    <t>导弹伤害提高5%</t>
  </si>
  <si>
    <t>炸弹伤害提高5%</t>
  </si>
  <si>
    <t>末日伤害提高5%</t>
  </si>
  <si>
    <t>结构HP提高5%</t>
  </si>
  <si>
    <t>护盾HP提高5%</t>
  </si>
  <si>
    <t>移速提高5%</t>
  </si>
  <si>
    <t>表示组装技术</t>
  </si>
  <si>
    <t>表示舰体部件</t>
  </si>
  <si>
    <t>表示配件</t>
  </si>
  <si>
    <t>表示特性</t>
  </si>
  <si>
    <t>逻辑属性计算公式</t>
  </si>
  <si>
    <t>=</t>
  </si>
  <si>
    <t>舰队的采集a（深度）等级的速度</t>
  </si>
  <si>
    <t>舰队的探索a（深度）等级的速度</t>
  </si>
  <si>
    <t>装载类型
人=1
货物=2
矿物=3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</si>
  <si>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</si>
  <si>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</si>
  <si>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</si>
  <si>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</si>
  <si>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</si>
  <si>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</si>
  <si>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</si>
  <si>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</si>
  <si>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</si>
  <si>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</si>
  <si>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t>舰体类型
舰首=1
舰中=2
舰尾=3</t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</si>
  <si>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</si>
  <si>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</si>
  <si>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</si>
  <si>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</si>
  <si>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</si>
  <si>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</si>
  <si>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</si>
  <si>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</si>
  <si>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</si>
  <si>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</si>
  <si>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</si>
  <si>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</si>
  <si>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</si>
  <si>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</si>
  <si>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</si>
  <si>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</si>
  <si>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</si>
  <si>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</si>
  <si>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</si>
  <si>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</si>
  <si>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</si>
  <si>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</si>
  <si>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</si>
  <si>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</si>
  <si>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</si>
  <si>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</si>
  <si>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</si>
  <si>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</si>
  <si>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</si>
  <si>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</si>
  <si>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</si>
  <si>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</si>
  <si>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</si>
  <si>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</si>
  <si>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</si>
  <si>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</si>
  <si>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太空基地</t>
  </si>
  <si>
    <t>组装厂</t>
  </si>
  <si>
    <t>配件厂</t>
  </si>
  <si>
    <t>提炼厂</t>
  </si>
  <si>
    <t>消耗数量</t>
  </si>
  <si>
    <t>消耗名称</t>
  </si>
  <si>
    <t>消耗ID</t>
  </si>
  <si>
    <t>秒</t>
  </si>
  <si>
    <t>分</t>
  </si>
  <si>
    <t>时</t>
  </si>
  <si>
    <t>天</t>
  </si>
  <si>
    <t>消耗时间
（秒）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</si>
  <si>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</si>
  <si>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</si>
  <si>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</si>
  <si>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</si>
  <si>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</si>
  <si>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</si>
  <si>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</si>
  <si>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</si>
  <si>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</si>
  <si>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</si>
  <si>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affact_rng</t>
  </si>
  <si>
    <t>bldg_lvl</t>
  </si>
  <si>
    <t>bldg_name</t>
  </si>
  <si>
    <t>bldg_type</t>
  </si>
  <si>
    <t>optional_struct</t>
  </si>
  <si>
    <t>资源名称</t>
  </si>
  <si>
    <t>表示资源</t>
  </si>
  <si>
    <t>资源ID</t>
  </si>
  <si>
    <t>res_name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</si>
  <si>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</si>
  <si>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</si>
  <si>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</si>
  <si>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</si>
  <si>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</si>
  <si>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</si>
  <si>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</si>
  <si>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</si>
  <si>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</si>
  <si>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</si>
  <si>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</si>
  <si>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</si>
  <si>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</si>
  <si>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</si>
  <si>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</si>
  <si>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</si>
  <si>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</si>
  <si>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</si>
  <si>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</si>
  <si>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</si>
  <si>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</si>
  <si>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</si>
  <si>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</si>
  <si>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</si>
  <si>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</si>
  <si>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</si>
  <si>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</si>
  <si>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</si>
  <si>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</si>
  <si>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</si>
  <si>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</si>
  <si>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</si>
  <si>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bldg_func_type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</si>
  <si>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</si>
  <si>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</si>
  <si>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</si>
  <si>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</si>
  <si>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</si>
  <si>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</si>
  <si>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</si>
  <si>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</si>
  <si>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</si>
  <si>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bldg_tech_lvl</t>
  </si>
  <si>
    <t>科技等级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</si>
  <si>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</si>
  <si>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</si>
  <si>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</si>
  <si>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</si>
  <si>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</si>
  <si>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</si>
  <si>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</si>
  <si>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</si>
  <si>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装载量
(立方米)</t>
  </si>
  <si>
    <t>bldg_size</t>
  </si>
  <si>
    <t>探索速度
(探索量/小时)
探索量为
1000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</si>
  <si>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</si>
  <si>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</si>
  <si>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</si>
  <si>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</si>
  <si>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</si>
  <si>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</si>
  <si>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</si>
  <si>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</si>
  <si>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</si>
  <si>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max_ssp</t>
  </si>
  <si>
    <t>消耗数量
(qty=quantity)</t>
  </si>
  <si>
    <t>前置科技ID
(pre=prerequisite)</t>
  </si>
  <si>
    <t>组装技术名
(mod=modification)</t>
  </si>
  <si>
    <t>空间占用上限
(ssp=ship space)</t>
  </si>
  <si>
    <t>槽位能量上限
(nrg=energy)</t>
  </si>
  <si>
    <t>ssp_cost</t>
  </si>
  <si>
    <t>结构修复
(repr=repair)</t>
  </si>
  <si>
    <t>瞄准值
(tgt=targeting)</t>
  </si>
  <si>
    <t>回避值
(eva=evasion)</t>
  </si>
  <si>
    <t>转速
(rev=revolving)</t>
  </si>
  <si>
    <t>移速
(cruz=cruising)</t>
  </si>
  <si>
    <t>异常耐性
(res=resistance)</t>
  </si>
  <si>
    <t>对护盾伤害
(shld=shield)
(百分比)</t>
  </si>
  <si>
    <t>单发电磁伤害
(os=one shot)</t>
  </si>
  <si>
    <t>近距离命中率
(ac=accuracy)
(百分比)</t>
  </si>
  <si>
    <t>单发间隔
(intvl=interval)
(帧)</t>
  </si>
  <si>
    <t>燃料容积
(vol=volumn)
(立方米)</t>
  </si>
  <si>
    <t>燃料消耗率
(cons=consumption)
(立方米/光年)</t>
  </si>
  <si>
    <t>殖民速度
(col=colony)
(殖民量/小时)</t>
  </si>
  <si>
    <t>可探索等级
(expl=exploration)</t>
  </si>
  <si>
    <t>exploration</t>
  </si>
  <si>
    <t>配件名
(cpnt=component)</t>
  </si>
  <si>
    <t>索引</t>
  </si>
  <si>
    <t>max_item_cap</t>
  </si>
  <si>
    <t>max_labor_uk</t>
  </si>
  <si>
    <t>文明度</t>
  </si>
  <si>
    <t>cult_pt</t>
  </si>
  <si>
    <t>culture point</t>
  </si>
  <si>
    <t>仓库</t>
  </si>
  <si>
    <t>storage</t>
  </si>
  <si>
    <t>stg</t>
  </si>
  <si>
    <t>聚居地</t>
  </si>
  <si>
    <t>核电厂</t>
  </si>
  <si>
    <t>消耗时间
(秒)</t>
  </si>
  <si>
    <t>返还</t>
  </si>
  <si>
    <t>refund</t>
  </si>
  <si>
    <t>建筑体量
小(Small)=1
中(Medium)=2
大(Big)=3
小对应2x2
中对应3x3
大对应4x4</t>
  </si>
  <si>
    <t>max_bldg_lvl</t>
  </si>
  <si>
    <t>icon_name</t>
  </si>
  <si>
    <t>图标名称</t>
  </si>
  <si>
    <t>desc</t>
  </si>
  <si>
    <t>描述</t>
  </si>
  <si>
    <t>description</t>
  </si>
  <si>
    <t>max_ele_cap</t>
  </si>
  <si>
    <t>jidi</t>
  </si>
  <si>
    <t>hr_slot_qty</t>
  </si>
  <si>
    <t>加成职业
工程专家=1
科学专家=2
舰船专家=3
普通公民=4</t>
  </si>
  <si>
    <t>人力储存上限
(个)</t>
  </si>
  <si>
    <t>人力槽位数
(个)</t>
  </si>
  <si>
    <t>tiliangchang</t>
  </si>
  <si>
    <t>zuzhuangchang</t>
  </si>
  <si>
    <t>ele_regen_rate</t>
  </si>
  <si>
    <t>buff_pro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</si>
  <si>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</si>
  <si>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</si>
  <si>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</si>
  <si>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</si>
  <si>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</si>
  <si>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</si>
  <si>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</si>
  <si>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材料类型
(mat=material)
机械体(Mech)=1
生物体(Bio)=2
光耀体(Phot)=3</t>
  </si>
  <si>
    <t>建筑功能表名</t>
  </si>
  <si>
    <t>bldg_func_table_name</t>
  </si>
  <si>
    <t>BLDG_REFNY</t>
  </si>
  <si>
    <t>BLDG_FUNC_HULL_FACT</t>
  </si>
  <si>
    <t>BLDG_SURF_COL</t>
  </si>
  <si>
    <t>BLDG_SPACEPORT</t>
  </si>
  <si>
    <t>BLDG_SS</t>
  </si>
  <si>
    <t>舰体量级
殖民舰(ColonyShip)=1
探索舰(ScienceShip)=2
采集舰(EngineeringShip)=3
运输舰(TransportShip)=4
护卫舰(Corvette)=5
驱逐舰(Destroyer)=6
巡洋舰(Cruiser)=7
战巡舰(Battlecruiser)=8
战列舰(Battleship)=9
无畏舰(Dreadnaught)=10</t>
  </si>
  <si>
    <t>neg_stat_res</t>
  </si>
  <si>
    <t>stor_unit</t>
  </si>
  <si>
    <t>储存体积
占用
(立方米)</t>
  </si>
  <si>
    <t>矿物ID</t>
  </si>
  <si>
    <t>表示矿物</t>
  </si>
  <si>
    <t>矿物名称</t>
  </si>
  <si>
    <t>min_name</t>
  </si>
  <si>
    <t>建筑功能表索引ID</t>
  </si>
  <si>
    <t>bldg_func_table_id</t>
  </si>
  <si>
    <t>in_use</t>
  </si>
  <si>
    <t>可用
1表示是
0表示否</t>
  </si>
  <si>
    <t>朝向
左右前后(Horizontal)=1
上下前后(Vertical)=2</t>
  </si>
  <si>
    <t>ship_struct_dir</t>
  </si>
  <si>
    <t>tech_name</t>
  </si>
  <si>
    <t>科技名称</t>
  </si>
  <si>
    <t>tech_coord</t>
  </si>
  <si>
    <t>UI坐标</t>
  </si>
  <si>
    <t>pre_tech_id</t>
  </si>
  <si>
    <t>sd_cost</t>
  </si>
  <si>
    <t>消耗星尘数</t>
  </si>
  <si>
    <t>建筑科技ID</t>
  </si>
  <si>
    <t>科技-建筑</t>
  </si>
  <si>
    <t>表示建筑科技</t>
  </si>
  <si>
    <t>科技-舰船</t>
  </si>
  <si>
    <t>tech_desp</t>
  </si>
  <si>
    <t>科技描述</t>
  </si>
  <si>
    <t>UI坐标X</t>
  </si>
  <si>
    <t>UI坐标Y</t>
  </si>
  <si>
    <t>item_lvl</t>
  </si>
  <si>
    <t>物品等级</t>
  </si>
  <si>
    <t>1级原石</t>
  </si>
  <si>
    <t>2级原石</t>
  </si>
  <si>
    <t>3级原石</t>
  </si>
  <si>
    <t>4级原石</t>
  </si>
  <si>
    <t>5级原石</t>
  </si>
  <si>
    <t>6级原石</t>
  </si>
  <si>
    <t>7级原石</t>
  </si>
  <si>
    <t>8级原石</t>
  </si>
  <si>
    <t>9级原石</t>
  </si>
  <si>
    <t>10级原石</t>
  </si>
  <si>
    <t>11级原石</t>
  </si>
  <si>
    <t>12级原石</t>
  </si>
  <si>
    <t>13级原石</t>
  </si>
  <si>
    <t>14级原石</t>
  </si>
  <si>
    <t>15级原石</t>
  </si>
  <si>
    <t>16级原石</t>
  </si>
  <si>
    <t>17级原石</t>
  </si>
  <si>
    <t>18级原石</t>
  </si>
  <si>
    <t>1级金属</t>
  </si>
  <si>
    <t>2级金属</t>
  </si>
  <si>
    <t>3级金属</t>
  </si>
  <si>
    <t>4级金属</t>
  </si>
  <si>
    <t>5级金属</t>
  </si>
  <si>
    <t>6级金属</t>
  </si>
  <si>
    <t>7级金属</t>
  </si>
  <si>
    <t>8级金属</t>
  </si>
  <si>
    <t>9级金属</t>
  </si>
  <si>
    <t>10级金属</t>
  </si>
  <si>
    <t>11级金属</t>
  </si>
  <si>
    <t>12级金属</t>
  </si>
  <si>
    <t>13级金属</t>
  </si>
  <si>
    <t>14级金属</t>
  </si>
  <si>
    <t>15级金属</t>
  </si>
  <si>
    <t>16级金属</t>
  </si>
  <si>
    <t>17级金属</t>
  </si>
  <si>
    <t>18级金属</t>
  </si>
  <si>
    <t>1级气体</t>
  </si>
  <si>
    <t>2级气体</t>
  </si>
  <si>
    <t>3级气体</t>
  </si>
  <si>
    <t>4级气体</t>
  </si>
  <si>
    <t>5级气体</t>
  </si>
  <si>
    <t>6级气体</t>
  </si>
  <si>
    <t>7级气体</t>
  </si>
  <si>
    <t>8级气体</t>
  </si>
  <si>
    <t>9级气体</t>
  </si>
  <si>
    <t>10级气体</t>
  </si>
  <si>
    <t>11级气体</t>
  </si>
  <si>
    <t>12级气体</t>
  </si>
  <si>
    <t>13级气体</t>
  </si>
  <si>
    <t>14级气体</t>
  </si>
  <si>
    <t>15级气体</t>
  </si>
  <si>
    <t>16级气体</t>
  </si>
  <si>
    <t>17级气体</t>
  </si>
  <si>
    <t>18级气体</t>
  </si>
  <si>
    <t>1级水晶</t>
  </si>
  <si>
    <t>2级水晶</t>
  </si>
  <si>
    <t>3级水晶</t>
  </si>
  <si>
    <t>4级水晶</t>
  </si>
  <si>
    <t>5级水晶</t>
  </si>
  <si>
    <t>6级水晶</t>
  </si>
  <si>
    <t>7级水晶</t>
  </si>
  <si>
    <t>8级水晶</t>
  </si>
  <si>
    <t>9级水晶</t>
  </si>
  <si>
    <t>10级水晶</t>
  </si>
  <si>
    <t>11级水晶</t>
  </si>
  <si>
    <t>12级水晶</t>
  </si>
  <si>
    <t>13级水晶</t>
  </si>
  <si>
    <t>14级水晶</t>
  </si>
  <si>
    <t>15级水晶</t>
  </si>
  <si>
    <t>16级水晶</t>
  </si>
  <si>
    <t>17级水晶</t>
  </si>
  <si>
    <t>18级水晶</t>
  </si>
  <si>
    <t>舰体孔位上</t>
  </si>
  <si>
    <t>舰体孔位下</t>
  </si>
  <si>
    <t>舰体孔位左</t>
  </si>
  <si>
    <t>舰体孔位右</t>
  </si>
  <si>
    <t>舰体孔位前</t>
  </si>
  <si>
    <t>舰体孔位后</t>
  </si>
  <si>
    <t>hull_slot_top</t>
  </si>
  <si>
    <t>hull_slot_bottom</t>
  </si>
  <si>
    <t>hull_slot_left</t>
  </si>
  <si>
    <t>hull_slot_right</t>
  </si>
  <si>
    <t>hull_slot_front</t>
  </si>
  <si>
    <t>hull_slot_back</t>
  </si>
  <si>
    <t>slot_qty</t>
  </si>
  <si>
    <t>槽位数量</t>
  </si>
  <si>
    <t>舰体分类</t>
  </si>
  <si>
    <t>hull_lvl</t>
  </si>
  <si>
    <t>user_lvl_req</t>
  </si>
  <si>
    <t>玩家等级
要求</t>
  </si>
  <si>
    <t>生产科技ID</t>
  </si>
  <si>
    <t>表示生产科技</t>
  </si>
  <si>
    <t>建筑-功能</t>
  </si>
  <si>
    <t>表示建筑功能</t>
  </si>
  <si>
    <t>建筑功能
参数ID</t>
  </si>
  <si>
    <t>字段描述</t>
  </si>
  <si>
    <t>功能参数ID</t>
  </si>
  <si>
    <t>参数值</t>
  </si>
  <si>
    <t>func_param_id</t>
  </si>
  <si>
    <t>func_param_value</t>
  </si>
  <si>
    <t>FuncParamStruct</t>
  </si>
  <si>
    <t>func_param_table</t>
  </si>
  <si>
    <t>caijichang_level5</t>
  </si>
  <si>
    <t>加成方式
百分比=1
绝对值=2</t>
  </si>
  <si>
    <t>buff_mode</t>
  </si>
  <si>
    <t>解锁建筑等级</t>
  </si>
  <si>
    <t>解锁建筑数量</t>
  </si>
  <si>
    <t>uock_bldg_lvl</t>
  </si>
  <si>
    <t>uock_bldg_qty</t>
  </si>
  <si>
    <t>限制</t>
  </si>
  <si>
    <t>物品通用</t>
  </si>
  <si>
    <t>功能舰船属性</t>
  </si>
  <si>
    <t>动力属性</t>
  </si>
  <si>
    <t>武器属性</t>
  </si>
  <si>
    <t>防御属性</t>
  </si>
  <si>
    <t>ele_cost</t>
  </si>
  <si>
    <t>消耗电力</t>
  </si>
  <si>
    <t>small_icon_name</t>
  </si>
  <si>
    <t>小图标名称</t>
  </si>
  <si>
    <t>c1ic41</t>
  </si>
  <si>
    <t>c1ic39</t>
  </si>
  <si>
    <t>c1ic40</t>
  </si>
  <si>
    <t>c1ic38</t>
  </si>
  <si>
    <t>qty_limit</t>
  </si>
  <si>
    <t>cd_time</t>
  </si>
  <si>
    <t>冷却时间</t>
  </si>
  <si>
    <t>次数限制</t>
  </si>
  <si>
    <t>物品-全局</t>
  </si>
  <si>
    <t>物品-行星资源</t>
  </si>
  <si>
    <t>科技点数</t>
  </si>
  <si>
    <t>tech_point</t>
  </si>
  <si>
    <t>xinggang</t>
  </si>
  <si>
    <t>xinggang</t>
    <phoneticPr fontId="13" type="noConversion"/>
  </si>
  <si>
    <t>int32</t>
    <phoneticPr fontId="13" type="noConversion"/>
  </si>
  <si>
    <t>数量复制</t>
  </si>
  <si>
    <t>时间复制</t>
  </si>
  <si>
    <t>内部名称</t>
  </si>
  <si>
    <t>19级原石</t>
  </si>
  <si>
    <t>20级原石</t>
  </si>
  <si>
    <t>19级金属</t>
  </si>
  <si>
    <t>20级金属</t>
  </si>
  <si>
    <t>19级气体</t>
  </si>
  <si>
    <t>20级气体</t>
  </si>
  <si>
    <t>19级水晶</t>
  </si>
  <si>
    <t>20级水晶</t>
  </si>
  <si>
    <t>c_ys_Warhead_01_b</t>
  </si>
  <si>
    <t>c_ys_Warhead_02_b</t>
  </si>
  <si>
    <t>c_ys_Warhead_03_b</t>
  </si>
  <si>
    <t>c_ys_tail_03_f</t>
  </si>
  <si>
    <t>c_ys_tail_02_f</t>
  </si>
  <si>
    <t>c_ys_middle_01_fblr</t>
  </si>
  <si>
    <t>c_ys_middle_02_fblr</t>
  </si>
  <si>
    <t>c_ys_middle_03_fblr</t>
  </si>
  <si>
    <t>mining_spd_coeff</t>
  </si>
  <si>
    <t>采矿速度系数
(百分比)</t>
  </si>
  <si>
    <t>BLDG_CPNT_FACT</t>
  </si>
  <si>
    <t>tp_cost</t>
  </si>
  <si>
    <t>消耗科技点数</t>
  </si>
  <si>
    <t>star_dust</t>
  </si>
  <si>
    <t>星尘数</t>
  </si>
  <si>
    <t>result_id</t>
  </si>
  <si>
    <t>结果ID</t>
  </si>
  <si>
    <t>熔炼</t>
  </si>
  <si>
    <t>建筑类型
(bldg=building)
工业(Industry)=1
资源(Resource)=2
人类(Human)=3
防御(Defense)=4</t>
  </si>
  <si>
    <t>采集厂</t>
  </si>
  <si>
    <t>舰体厂</t>
  </si>
  <si>
    <t>jiantichang_lv1</t>
  </si>
  <si>
    <t>peijianchang</t>
  </si>
  <si>
    <t>装配中心</t>
  </si>
  <si>
    <t>uock_bldg_lvl_max</t>
  </si>
  <si>
    <t>解锁建筑最大等级</t>
  </si>
  <si>
    <t>cunchucang_lv1</t>
  </si>
  <si>
    <t>聚居地</t>
    <phoneticPr fontId="13" type="noConversion"/>
  </si>
  <si>
    <t>ui_order</t>
  </si>
  <si>
    <t>界面排序</t>
  </si>
  <si>
    <t>nengyuanchang_lv1</t>
  </si>
  <si>
    <t>Caijichang_lv2</t>
  </si>
  <si>
    <t>table_name</t>
  </si>
  <si>
    <t>var_name</t>
  </si>
  <si>
    <t>参数表名</t>
  </si>
  <si>
    <t>字段名</t>
  </si>
  <si>
    <t>BUILDING</t>
  </si>
  <si>
    <t>max_cap</t>
  </si>
  <si>
    <t>refine_spd_coeff</t>
  </si>
  <si>
    <t>max_refine_qty</t>
  </si>
  <si>
    <t>prod_spd_coeff</t>
  </si>
  <si>
    <t>temp_cap</t>
  </si>
  <si>
    <t>repr_spd_coeff</t>
  </si>
  <si>
    <t>ssp_vol</t>
  </si>
  <si>
    <t>建筑功能类型
(func=functional)
太空基地(SpaceStation)=101
星港(Spaceport)=102
舰体厂(FuncHullFact)=103
组装厂(ModFact)=104
配件厂(CpntFact)=105
采集厂(SurfCol)=201
提炼厂(Refinery)=202
核电厂(PowerPlant)=203
仓库(ItemStg)=204
聚居地(Habitat)=301</t>
  </si>
  <si>
    <t>jiantichang_lv2</t>
  </si>
  <si>
    <t>max_tech_lvl</t>
  </si>
  <si>
    <t>科技最大等级</t>
  </si>
  <si>
    <t>Kongjianzhan</t>
  </si>
  <si>
    <t>SB</t>
  </si>
  <si>
    <t>SB</t>
    <phoneticPr fontId="13" type="noConversion"/>
  </si>
  <si>
    <t>Sp</t>
    <phoneticPr fontId="13" type="noConversion"/>
  </si>
  <si>
    <t>Sp</t>
    <phoneticPr fontId="13" type="noConversion"/>
  </si>
  <si>
    <t>HP</t>
  </si>
  <si>
    <t>HP</t>
    <phoneticPr fontId="13" type="noConversion"/>
  </si>
  <si>
    <t>AC</t>
    <phoneticPr fontId="13" type="noConversion"/>
  </si>
  <si>
    <t>AC</t>
    <phoneticPr fontId="13" type="noConversion"/>
  </si>
  <si>
    <t>AP</t>
    <phoneticPr fontId="13" type="noConversion"/>
  </si>
  <si>
    <t>MS</t>
  </si>
  <si>
    <t>MS</t>
    <phoneticPr fontId="13" type="noConversion"/>
  </si>
  <si>
    <t>Rf</t>
  </si>
  <si>
    <t>Rf</t>
    <phoneticPr fontId="13" type="noConversion"/>
  </si>
  <si>
    <t>PS</t>
  </si>
  <si>
    <t>PS</t>
    <phoneticPr fontId="13" type="noConversion"/>
  </si>
  <si>
    <t>WC</t>
    <phoneticPr fontId="13" type="noConversion"/>
  </si>
  <si>
    <t>ResZYSDtl</t>
    <phoneticPr fontId="13" type="noConversion"/>
  </si>
  <si>
    <t>ResJS</t>
    <phoneticPr fontId="13" type="noConversion"/>
  </si>
  <si>
    <t>ResJSDtl</t>
    <phoneticPr fontId="13" type="noConversion"/>
  </si>
  <si>
    <t>ResYT</t>
    <phoneticPr fontId="13" type="noConversion"/>
  </si>
  <si>
    <t>ResYTDtl</t>
    <phoneticPr fontId="13" type="noConversion"/>
  </si>
  <si>
    <t>ResJT</t>
    <phoneticPr fontId="13" type="noConversion"/>
  </si>
  <si>
    <t>ResJTDtl</t>
    <phoneticPr fontId="13" type="noConversion"/>
  </si>
  <si>
    <t>ResZYS1Dtl</t>
  </si>
  <si>
    <t>ResZYS2Dtl</t>
  </si>
  <si>
    <t>ResZYS3Dtl</t>
  </si>
  <si>
    <t>ResZYS4Dtl</t>
  </si>
  <si>
    <t>ResZYS5Dtl</t>
  </si>
  <si>
    <t>ResZYS6Dtl</t>
  </si>
  <si>
    <t>ResZYS7Dtl</t>
  </si>
  <si>
    <t>ResZYS8Dtl</t>
  </si>
  <si>
    <t>ResZYS9Dtl</t>
  </si>
  <si>
    <t>ResZYS10Dtl</t>
  </si>
  <si>
    <t>ResZYS11Dtl</t>
  </si>
  <si>
    <t>ResZYS12Dtl</t>
  </si>
  <si>
    <t>ResZYS13Dtl</t>
  </si>
  <si>
    <t>ResZYS14Dtl</t>
  </si>
  <si>
    <t>ResZYS15Dtl</t>
  </si>
  <si>
    <t>ResZYS16Dtl</t>
  </si>
  <si>
    <t>ResZYS17Dtl</t>
  </si>
  <si>
    <t>ResZYS18Dtl</t>
  </si>
  <si>
    <t>ResZYS19Dtl</t>
  </si>
  <si>
    <t>ResZYS20Dtl</t>
  </si>
  <si>
    <t>ResJS1Dtl</t>
  </si>
  <si>
    <t>ResJS2Dtl</t>
  </si>
  <si>
    <t>ResJS3Dtl</t>
  </si>
  <si>
    <t>ResJS4Dtl</t>
  </si>
  <si>
    <t>ResJS5Dtl</t>
  </si>
  <si>
    <t>ResJS6Dtl</t>
  </si>
  <si>
    <t>ResJS7Dtl</t>
  </si>
  <si>
    <t>ResJS8Dtl</t>
  </si>
  <si>
    <t>ResJS9Dtl</t>
  </si>
  <si>
    <t>ResJS10Dtl</t>
  </si>
  <si>
    <t>ResJS11Dtl</t>
  </si>
  <si>
    <t>ResJS12Dtl</t>
  </si>
  <si>
    <t>ResJS13Dtl</t>
  </si>
  <si>
    <t>ResJS14Dtl</t>
  </si>
  <si>
    <t>ResJS15Dtl</t>
  </si>
  <si>
    <t>ResJS16Dtl</t>
  </si>
  <si>
    <t>ResJS17Dtl</t>
  </si>
  <si>
    <t>ResJS18Dtl</t>
  </si>
  <si>
    <t>ResJS19Dtl</t>
  </si>
  <si>
    <t>ResJS20Dtl</t>
  </si>
  <si>
    <t>ResYT1Dtl</t>
  </si>
  <si>
    <t>ResYT2Dtl</t>
  </si>
  <si>
    <t>ResYT3Dtl</t>
  </si>
  <si>
    <t>ResYT4Dtl</t>
  </si>
  <si>
    <t>ResYT5Dtl</t>
  </si>
  <si>
    <t>ResYT6Dtl</t>
  </si>
  <si>
    <t>ResYT7Dtl</t>
  </si>
  <si>
    <t>ResYT8Dtl</t>
  </si>
  <si>
    <t>ResYT9Dtl</t>
  </si>
  <si>
    <t>ResYT10Dtl</t>
  </si>
  <si>
    <t>ResYT11Dtl</t>
  </si>
  <si>
    <t>ResYT12Dtl</t>
  </si>
  <si>
    <t>ResYT13Dtl</t>
  </si>
  <si>
    <t>ResYT14Dtl</t>
  </si>
  <si>
    <t>ResYT15Dtl</t>
  </si>
  <si>
    <t>ResYT16Dtl</t>
  </si>
  <si>
    <t>ResYT17Dtl</t>
  </si>
  <si>
    <t>ResYT18Dtl</t>
  </si>
  <si>
    <t>ResYT19Dtl</t>
  </si>
  <si>
    <t>ResYT20Dtl</t>
  </si>
  <si>
    <t>ResJT1Dtl</t>
  </si>
  <si>
    <t>ResJT2Dtl</t>
  </si>
  <si>
    <t>ResJT3Dtl</t>
  </si>
  <si>
    <t>ResJT4Dtl</t>
  </si>
  <si>
    <t>ResJT5Dtl</t>
  </si>
  <si>
    <t>ResJT6Dtl</t>
  </si>
  <si>
    <t>ResJT7Dtl</t>
  </si>
  <si>
    <t>ResJT8Dtl</t>
  </si>
  <si>
    <t>ResJT9Dtl</t>
  </si>
  <si>
    <t>ResJT10Dtl</t>
  </si>
  <si>
    <t>ResJT11Dtl</t>
  </si>
  <si>
    <t>ResJT12Dtl</t>
  </si>
  <si>
    <t>ResJT13Dtl</t>
  </si>
  <si>
    <t>ResJT14Dtl</t>
  </si>
  <si>
    <t>ResJT15Dtl</t>
  </si>
  <si>
    <t>ResJT16Dtl</t>
  </si>
  <si>
    <t>ResJT17Dtl</t>
  </si>
  <si>
    <t>ResJT18Dtl</t>
  </si>
  <si>
    <t>ResJT19Dtl</t>
  </si>
  <si>
    <t>ResJT20Dtl</t>
  </si>
  <si>
    <t>ResZYS1</t>
  </si>
  <si>
    <t>ResZYS2</t>
  </si>
  <si>
    <t>ResZYS3</t>
  </si>
  <si>
    <t>ResZYS4</t>
  </si>
  <si>
    <t>ResZYS5</t>
  </si>
  <si>
    <t>ResZYS6</t>
  </si>
  <si>
    <t>ResZYS7</t>
  </si>
  <si>
    <t>ResZYS8</t>
  </si>
  <si>
    <t>ResZYS9</t>
  </si>
  <si>
    <t>ResZYS10</t>
  </si>
  <si>
    <t>ResZYS11</t>
  </si>
  <si>
    <t>ResZYS12</t>
  </si>
  <si>
    <t>ResZYS13</t>
  </si>
  <si>
    <t>ResZYS14</t>
  </si>
  <si>
    <t>ResZYS15</t>
  </si>
  <si>
    <t>ResZYS16</t>
  </si>
  <si>
    <t>ResZYS17</t>
  </si>
  <si>
    <t>ResZYS18</t>
  </si>
  <si>
    <t>ResZYS19</t>
  </si>
  <si>
    <t>ResZYS20</t>
  </si>
  <si>
    <t>ResJS1</t>
  </si>
  <si>
    <t>ResJS2</t>
  </si>
  <si>
    <t>ResJS3</t>
  </si>
  <si>
    <t>ResJS4</t>
  </si>
  <si>
    <t>ResJS5</t>
  </si>
  <si>
    <t>ResJS6</t>
  </si>
  <si>
    <t>ResJS7</t>
  </si>
  <si>
    <t>ResJS8</t>
  </si>
  <si>
    <t>ResJS9</t>
  </si>
  <si>
    <t>ResJS10</t>
  </si>
  <si>
    <t>ResJS11</t>
  </si>
  <si>
    <t>ResJS12</t>
  </si>
  <si>
    <t>ResJS13</t>
  </si>
  <si>
    <t>ResJS14</t>
  </si>
  <si>
    <t>ResJS15</t>
  </si>
  <si>
    <t>ResJS16</t>
  </si>
  <si>
    <t>ResJS17</t>
  </si>
  <si>
    <t>ResJS18</t>
  </si>
  <si>
    <t>ResJS19</t>
  </si>
  <si>
    <t>ResJS20</t>
  </si>
  <si>
    <t>ResYT1</t>
  </si>
  <si>
    <t>ResYT2</t>
  </si>
  <si>
    <t>ResYT3</t>
  </si>
  <si>
    <t>ResYT4</t>
  </si>
  <si>
    <t>ResYT5</t>
  </si>
  <si>
    <t>ResYT6</t>
  </si>
  <si>
    <t>ResYT7</t>
  </si>
  <si>
    <t>ResYT8</t>
  </si>
  <si>
    <t>ResYT9</t>
  </si>
  <si>
    <t>ResYT10</t>
  </si>
  <si>
    <t>ResYT11</t>
  </si>
  <si>
    <t>ResYT12</t>
  </si>
  <si>
    <t>ResYT13</t>
  </si>
  <si>
    <t>ResYT14</t>
  </si>
  <si>
    <t>ResYT15</t>
  </si>
  <si>
    <t>ResYT16</t>
  </si>
  <si>
    <t>ResYT17</t>
  </si>
  <si>
    <t>ResYT18</t>
  </si>
  <si>
    <t>ResYT19</t>
  </si>
  <si>
    <t>ResYT20</t>
  </si>
  <si>
    <t>ResJT1</t>
  </si>
  <si>
    <t>ResJT2</t>
  </si>
  <si>
    <t>ResJT3</t>
  </si>
  <si>
    <t>ResJT4</t>
  </si>
  <si>
    <t>ResJT5</t>
  </si>
  <si>
    <t>ResJT6</t>
  </si>
  <si>
    <t>ResJT7</t>
  </si>
  <si>
    <t>ResJT8</t>
  </si>
  <si>
    <t>ResJT9</t>
  </si>
  <si>
    <t>ResJT10</t>
  </si>
  <si>
    <t>ResJT11</t>
  </si>
  <si>
    <t>ResJT12</t>
  </si>
  <si>
    <t>ResJT13</t>
  </si>
  <si>
    <t>ResJT14</t>
  </si>
  <si>
    <t>ResJT15</t>
  </si>
  <si>
    <t>ResJT16</t>
  </si>
  <si>
    <t>ResJT17</t>
  </si>
  <si>
    <t>ResJT18</t>
  </si>
  <si>
    <t>ResJT19</t>
  </si>
  <si>
    <t>ResJT20</t>
  </si>
  <si>
    <t>AcNWeapon1</t>
  </si>
  <si>
    <t>AcNWeapon1Dtl</t>
  </si>
  <si>
    <t>AcNShield1</t>
  </si>
  <si>
    <t>AcNShield1Dtl</t>
  </si>
  <si>
    <t>AcNThrusters1</t>
  </si>
  <si>
    <t>AcNThrusters1Dtl</t>
  </si>
  <si>
    <t>提炼速度系数</t>
  </si>
  <si>
    <t>维修速度系数</t>
  </si>
  <si>
    <t>舰船空间容量</t>
  </si>
  <si>
    <t>舰体生产速度系数</t>
  </si>
  <si>
    <t>舰体领取容量</t>
  </si>
  <si>
    <t>配件生产速度系数</t>
  </si>
  <si>
    <t>配件领取容量</t>
  </si>
  <si>
    <t>采集速度系数</t>
  </si>
  <si>
    <t>采集最大容量</t>
  </si>
  <si>
    <t>最大提炼量</t>
  </si>
  <si>
    <t>电力回复速率</t>
  </si>
  <si>
    <t>提供电力上限</t>
  </si>
  <si>
    <t>电力范围限定</t>
  </si>
  <si>
    <t>物品容量上限</t>
  </si>
  <si>
    <t>运输舰</t>
  </si>
  <si>
    <t>采集舰</t>
  </si>
  <si>
    <t>探索舰</t>
  </si>
  <si>
    <t>殖民舰</t>
  </si>
  <si>
    <t>舰体尺度
功能舰=1
护卫舰=2
驱逐舰=3
巡洋舰=4
战巡舰=5
战列舰=6</t>
  </si>
  <si>
    <t>翻译表名</t>
  </si>
  <si>
    <t>transl_table_name</t>
  </si>
  <si>
    <t>殖民舰首1</t>
  </si>
  <si>
    <t>殖民舰首2</t>
  </si>
  <si>
    <t>殖民舰首3</t>
  </si>
  <si>
    <t>探索舰首1</t>
  </si>
  <si>
    <t>探索舰首2</t>
  </si>
  <si>
    <t>探索舰首3</t>
  </si>
  <si>
    <t>采集舰首2</t>
  </si>
  <si>
    <t>采集舰首3</t>
  </si>
  <si>
    <t>运输舰首1</t>
  </si>
  <si>
    <t>运输舰首2</t>
  </si>
  <si>
    <t>运输舰首3</t>
  </si>
  <si>
    <t>载客舰中1</t>
  </si>
  <si>
    <t>载客舰中2</t>
  </si>
  <si>
    <t>载客舰中3</t>
  </si>
  <si>
    <t>载货舰中1</t>
  </si>
  <si>
    <t>载货舰中2</t>
  </si>
  <si>
    <t>载货舰中3</t>
  </si>
  <si>
    <t>泛用推进器2</t>
  </si>
  <si>
    <t>泛用推进器3</t>
  </si>
  <si>
    <t>泛用舰中3</t>
  </si>
  <si>
    <t>泛用舰中1</t>
  </si>
  <si>
    <t>泛用舰中2</t>
  </si>
  <si>
    <t>泛用舰首1</t>
  </si>
  <si>
    <t>泛用舰首2</t>
  </si>
  <si>
    <t>泛用舰首3</t>
  </si>
  <si>
    <t>采集舰中2</t>
  </si>
  <si>
    <t>采集舰中3</t>
  </si>
  <si>
    <t>护卫舰舰尾2</t>
  </si>
  <si>
    <t>护卫舰舰尾3</t>
  </si>
  <si>
    <t>护卫舰舰头2</t>
  </si>
  <si>
    <t>护卫舰舰头3</t>
  </si>
  <si>
    <t>护卫舰舰中2</t>
  </si>
  <si>
    <t>护卫舰舰中3</t>
  </si>
  <si>
    <t>图标文件名称</t>
  </si>
  <si>
    <t>图标路径</t>
  </si>
  <si>
    <t>组装逻辑</t>
  </si>
  <si>
    <t>战斗属性</t>
  </si>
  <si>
    <t>客户端表现</t>
  </si>
  <si>
    <t>索引字段</t>
  </si>
  <si>
    <t>配件等级</t>
  </si>
  <si>
    <t>cpnt_lvl</t>
  </si>
  <si>
    <t>舰体等级</t>
  </si>
  <si>
    <t>驱逐舰</t>
  </si>
  <si>
    <t>巡洋舰</t>
  </si>
  <si>
    <t>战巡舰</t>
  </si>
  <si>
    <t>战列舰</t>
  </si>
  <si>
    <t>无畏舰</t>
  </si>
  <si>
    <t>ship_mod_lvl</t>
  </si>
  <si>
    <t>组装技术等级</t>
  </si>
  <si>
    <t>UITexture/ShipMod/</t>
  </si>
  <si>
    <t>UITexture/ShipHull/</t>
  </si>
  <si>
    <t>UITexture/ShipCpnt/</t>
  </si>
  <si>
    <t>UITexture/ItemMin/</t>
  </si>
  <si>
    <t>UITexture/ItemRes/</t>
  </si>
  <si>
    <t>UITexture/TechProd/</t>
  </si>
  <si>
    <t>字段索引</t>
  </si>
  <si>
    <t>UITexture/TechBldg/</t>
  </si>
  <si>
    <t>HNCollectHead1</t>
    <phoneticPr fontId="13" type="noConversion"/>
  </si>
  <si>
    <t>HNFrigateHead1</t>
    <phoneticPr fontId="13" type="noConversion"/>
  </si>
  <si>
    <t>HNFrigateTail1</t>
    <phoneticPr fontId="13" type="noConversion"/>
  </si>
  <si>
    <t>HNCollectHead1Dtl</t>
  </si>
  <si>
    <t>HNGeneralTail1Dtl</t>
    <phoneticPr fontId="13" type="noConversion"/>
  </si>
  <si>
    <t>HNFrigateHead1Dtl</t>
    <phoneticPr fontId="13" type="noConversion"/>
  </si>
  <si>
    <t>HNFrigateTail1Dtl</t>
    <phoneticPr fontId="13" type="noConversion"/>
  </si>
  <si>
    <t>BuildingAttribute</t>
  </si>
  <si>
    <t>SBDtl</t>
    <phoneticPr fontId="13" type="noConversion"/>
  </si>
  <si>
    <t>HPDtl</t>
    <phoneticPr fontId="13" type="noConversion"/>
  </si>
  <si>
    <t>SpDtl</t>
    <phoneticPr fontId="13" type="noConversion"/>
  </si>
  <si>
    <t>ACDtl</t>
    <phoneticPr fontId="13" type="noConversion"/>
  </si>
  <si>
    <t>APDtl</t>
    <phoneticPr fontId="13" type="noConversion"/>
  </si>
  <si>
    <t>MSDtl</t>
    <phoneticPr fontId="13" type="noConversion"/>
  </si>
  <si>
    <t>RfDtl</t>
    <phoneticPr fontId="13" type="noConversion"/>
  </si>
  <si>
    <t>PSDtl</t>
    <phoneticPr fontId="13" type="noConversion"/>
  </si>
  <si>
    <t>WCDtl</t>
    <phoneticPr fontId="13" type="noConversion"/>
  </si>
  <si>
    <t>ModFrigate1Dtl</t>
  </si>
  <si>
    <t>ModFrigate1</t>
    <phoneticPr fontId="13" type="noConversion"/>
  </si>
  <si>
    <t>采集舰首1</t>
  </si>
  <si>
    <t>采集舰中1</t>
  </si>
  <si>
    <t>泛用推进器1</t>
  </si>
  <si>
    <t>护卫舰舰头1</t>
  </si>
  <si>
    <t>护卫舰舰尾1</t>
  </si>
  <si>
    <t>护卫舰</t>
  </si>
  <si>
    <t>原石矿</t>
  </si>
  <si>
    <t>金属矿</t>
  </si>
  <si>
    <t>水晶矿</t>
  </si>
  <si>
    <t>气体矿</t>
  </si>
  <si>
    <t>太空基地科技</t>
  </si>
  <si>
    <t>星港科技</t>
  </si>
  <si>
    <t>舰体厂科技</t>
  </si>
  <si>
    <t>组装厂科技</t>
  </si>
  <si>
    <t>配件厂科技</t>
  </si>
  <si>
    <t>采集厂科技</t>
  </si>
  <si>
    <t>提炼厂科技</t>
  </si>
  <si>
    <t>仓库科技</t>
  </si>
  <si>
    <t>聚居地科技</t>
  </si>
  <si>
    <t>核电厂科技</t>
  </si>
  <si>
    <t>维修速度系数科技</t>
  </si>
  <si>
    <t>舰船空间容量科技</t>
  </si>
  <si>
    <t>舰体生产速度系数科技</t>
  </si>
  <si>
    <t>舰体领取容量科技</t>
  </si>
  <si>
    <t>配件生产速度系数科技</t>
  </si>
  <si>
    <t>配件领取容量科技</t>
  </si>
  <si>
    <t>采集速度系数科技</t>
  </si>
  <si>
    <t>采集最大容量科技</t>
  </si>
  <si>
    <t>提炼速度系数科技</t>
  </si>
  <si>
    <t>最大提炼量科技</t>
  </si>
  <si>
    <t>电力回复速率科技</t>
  </si>
  <si>
    <t>提供电力上限科技</t>
  </si>
  <si>
    <t>电力范围限定科技</t>
  </si>
  <si>
    <t>物品容量上限科技</t>
  </si>
  <si>
    <t>max_res_lvl</t>
  </si>
  <si>
    <t>资源最大等级</t>
  </si>
  <si>
    <t>max_ship_mod_lvl</t>
  </si>
  <si>
    <t>建筑最大等级</t>
  </si>
  <si>
    <t>组装技术最大等级</t>
  </si>
  <si>
    <t>max_hull_lvl</t>
  </si>
  <si>
    <t>舰体最大等级</t>
  </si>
  <si>
    <t>射弹武器增幅器</t>
  </si>
  <si>
    <t>结构加固</t>
  </si>
  <si>
    <t>推进辅助器</t>
  </si>
  <si>
    <t>max_cpnt_lvl</t>
  </si>
  <si>
    <t>配件最大等级</t>
  </si>
  <si>
    <t>ModCollect1</t>
  </si>
  <si>
    <t>ModCollect1Dtl</t>
  </si>
  <si>
    <t>hw_js_01_b</t>
  </si>
  <si>
    <t>hw_zd_01_fblr</t>
  </si>
  <si>
    <t>hw_wt_01_f</t>
  </si>
  <si>
    <t>护卫舰A型舰中1</t>
  </si>
  <si>
    <t>护卫舰A型舰中2</t>
  </si>
  <si>
    <t>护卫舰A型舰中3</t>
  </si>
  <si>
    <t>护卫舰B型舰中1</t>
  </si>
  <si>
    <t>护卫舰B型舰中2</t>
  </si>
  <si>
    <t>护卫舰B型舰中3</t>
  </si>
  <si>
    <t>hw_zd_02_fblr</t>
  </si>
  <si>
    <t>HNFrigateBodyA1</t>
  </si>
  <si>
    <t>HNFrigateBodyA1Dtl</t>
  </si>
  <si>
    <t>HNFrigateBodyB1Dtl</t>
  </si>
  <si>
    <t>HNFrigateBodyB1</t>
    <phoneticPr fontId="13" type="noConversion"/>
  </si>
  <si>
    <t>SkillTree</t>
  </si>
  <si>
    <t>STStation</t>
  </si>
  <si>
    <t>STPort</t>
  </si>
  <si>
    <t>STHull</t>
  </si>
  <si>
    <t>STMine</t>
  </si>
  <si>
    <t>STSmelt</t>
  </si>
  <si>
    <t>STPower</t>
  </si>
  <si>
    <t>STWarehouse</t>
  </si>
  <si>
    <t>STName3210201</t>
  </si>
  <si>
    <t>STName3210202</t>
  </si>
  <si>
    <t>STName3210301</t>
  </si>
  <si>
    <t>STName3210302</t>
  </si>
  <si>
    <t>STName3210501</t>
  </si>
  <si>
    <t>STName3210502</t>
  </si>
  <si>
    <t>STName3220101</t>
  </si>
  <si>
    <t>STName3220102</t>
  </si>
  <si>
    <t>STName3220201</t>
  </si>
  <si>
    <t>STName3220202</t>
  </si>
  <si>
    <t>STName3220301</t>
  </si>
  <si>
    <t>STName3220302</t>
  </si>
  <si>
    <t>STName3220303</t>
  </si>
  <si>
    <t>STName3220401</t>
  </si>
  <si>
    <t>STName3230101</t>
  </si>
  <si>
    <t>STProperty3210201</t>
  </si>
  <si>
    <t>STProperty3210202</t>
  </si>
  <si>
    <t>STProperty3210301</t>
  </si>
  <si>
    <t>STProperty3210302</t>
  </si>
  <si>
    <t>STProperty3210501</t>
  </si>
  <si>
    <t>STProperty3210502</t>
  </si>
  <si>
    <t>STProperty3220101</t>
  </si>
  <si>
    <t>STProperty3220102</t>
  </si>
  <si>
    <t>STProperty3220201</t>
  </si>
  <si>
    <t>STProperty3220202</t>
  </si>
  <si>
    <t>STProperty3220301</t>
  </si>
  <si>
    <t>STProperty3220302</t>
  </si>
  <si>
    <t>STProperty3220303</t>
  </si>
  <si>
    <t>STProperty3220401</t>
  </si>
  <si>
    <t>STProperty3230101</t>
  </si>
  <si>
    <t>BLDG_POWER_PLANT</t>
  </si>
  <si>
    <t>BLDG_ITEM_STG</t>
  </si>
  <si>
    <t>HNGeneralTail1</t>
  </si>
  <si>
    <t>HNCollectBody1</t>
    <phoneticPr fontId="13" type="noConversion"/>
  </si>
  <si>
    <t>HNCollectBody1Dtl</t>
    <phoneticPr fontId="13" type="noConversion"/>
  </si>
  <si>
    <t>STjzProperty01</t>
  </si>
  <si>
    <t>STjzProperty01</t>
    <phoneticPr fontId="13" type="noConversion"/>
  </si>
  <si>
    <t>UITexture/Bldg/</t>
  </si>
  <si>
    <t>STPart</t>
    <phoneticPr fontId="13" type="noConversion"/>
  </si>
  <si>
    <t>bldg_side_length</t>
  </si>
  <si>
    <t>建筑占地边长</t>
  </si>
  <si>
    <t>bldg_lvl_req</t>
  </si>
  <si>
    <t>建筑等级要求</t>
  </si>
  <si>
    <t>STShipPlant</t>
  </si>
  <si>
    <t>倍率</t>
  </si>
  <si>
    <t>multiplier</t>
  </si>
  <si>
    <t>ui_scale</t>
  </si>
  <si>
    <t>界面缩放
(百分比)</t>
  </si>
  <si>
    <t>ship_icon_name</t>
  </si>
  <si>
    <t>UITexture/ShipType/</t>
  </si>
  <si>
    <t>EngineeringShip</t>
  </si>
  <si>
    <t>Corvette</t>
  </si>
  <si>
    <t>表现名称</t>
  </si>
  <si>
    <t>重元素</t>
  </si>
  <si>
    <t>金属</t>
  </si>
  <si>
    <t>液体</t>
  </si>
  <si>
    <t>晶体</t>
  </si>
  <si>
    <t>墨钛金属</t>
  </si>
  <si>
    <t>墨钛-60</t>
  </si>
  <si>
    <t>墨钛-80</t>
  </si>
  <si>
    <t>空气合金</t>
  </si>
  <si>
    <t>多孔合金</t>
  </si>
  <si>
    <t>非晶合金</t>
  </si>
  <si>
    <t>记忆合金</t>
  </si>
  <si>
    <t>纳米合金</t>
  </si>
  <si>
    <t>磁电合金</t>
  </si>
  <si>
    <t>液体金属</t>
  </si>
  <si>
    <t>锝元素</t>
  </si>
  <si>
    <t>钷元素</t>
  </si>
  <si>
    <t>镎元素</t>
  </si>
  <si>
    <t>镅元素</t>
  </si>
  <si>
    <t>锎元素</t>
  </si>
  <si>
    <t>镄元素</t>
  </si>
  <si>
    <t>106号元素</t>
  </si>
  <si>
    <t>110号元素</t>
  </si>
  <si>
    <t>112号元素</t>
  </si>
  <si>
    <t>118号元素</t>
  </si>
  <si>
    <t>液氢</t>
  </si>
  <si>
    <t>浓缩液氢</t>
  </si>
  <si>
    <t>超密度液氢</t>
  </si>
  <si>
    <t>甲烷</t>
  </si>
  <si>
    <t>浓缩甲烷</t>
  </si>
  <si>
    <t>超密度甲烷</t>
  </si>
  <si>
    <t>离子液体</t>
  </si>
  <si>
    <t>无限液体</t>
  </si>
  <si>
    <t>重力液体</t>
  </si>
  <si>
    <t>反物质液体</t>
  </si>
  <si>
    <t>高强度晶体</t>
  </si>
  <si>
    <t>高强度晶体II</t>
  </si>
  <si>
    <t>高强度晶体III</t>
  </si>
  <si>
    <t>反射晶体</t>
  </si>
  <si>
    <t>反射晶体II</t>
  </si>
  <si>
    <t>反射晶体III</t>
  </si>
  <si>
    <t>声波晶体</t>
  </si>
  <si>
    <t>声波晶体II</t>
  </si>
  <si>
    <t>声波晶体III</t>
  </si>
  <si>
    <t>超声波晶体I</t>
  </si>
  <si>
    <t>舰船图标名称</t>
  </si>
  <si>
    <t>ModCollect2</t>
  </si>
  <si>
    <t>ModCollect2Dtl</t>
  </si>
  <si>
    <t>cj_zd_01_fb</t>
  </si>
  <si>
    <t>cj_wt_01_f</t>
  </si>
  <si>
    <t>cj_js_01_b</t>
  </si>
  <si>
    <t>ResZYS</t>
    <phoneticPr fontId="13" type="noConversion"/>
  </si>
  <si>
    <t>ItemName</t>
  </si>
  <si>
    <t>ItemName</t>
    <phoneticPr fontId="13" type="noConversion"/>
  </si>
  <si>
    <t>ItemName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</si>
</sst>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8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sz val="11"/>
      <color theme="5" tint="-0.249977111117893"/>
      <name val="微软雅黑"/>
      <family val="2"/>
      <charset val="134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0" tint="-4.9989318521683403E-2"/>
      <name val="微软雅黑"/>
      <family val="2"/>
      <charset val="134"/>
    </font>
    <font>
      <sz val="11"/>
      <color theme="6" tint="0.79998168889431442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</borders>
  <cellStyleXfs count="6">
    <xf numFmtId="0" fontId="0" fillId="0" borderId="0"/>
    <xf numFmtId="0" fontId="10" fillId="0" borderId="0"/>
    <xf numFmtId="0" fontId="2" fillId="0" borderId="0"/>
    <xf numFmtId="0" fontId="11" fillId="0" borderId="0">
      <alignment vertical="center"/>
    </xf>
    <xf numFmtId="0" fontId="2" fillId="0" borderId="0"/>
    <xf numFmtId="0" fontId="1" fillId="0" borderId="0"/>
  </cellStyleXfs>
  <cellXfs count="266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2" borderId="0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3" borderId="0" xfId="0" applyNumberFormat="1" applyFont="1" applyFill="1" applyAlignment="1">
      <alignment horizontal="center" vertical="center"/>
    </xf>
    <xf numFmtId="0" fontId="3" fillId="4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NumberFormat="1" applyFont="1" applyFill="1" applyBorder="1" applyAlignment="1">
      <alignment horizontal="center" vertical="center"/>
    </xf>
    <xf numFmtId="0" fontId="3" fillId="4" borderId="1" xfId="0" applyNumberFormat="1" applyFont="1" applyFill="1" applyBorder="1" applyAlignment="1">
      <alignment horizontal="center" vertical="center"/>
    </xf>
    <xf numFmtId="0" fontId="3" fillId="3" borderId="0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0" fontId="3" fillId="3" borderId="2" xfId="0" applyNumberFormat="1" applyFont="1" applyFill="1" applyBorder="1" applyAlignment="1">
      <alignment horizontal="center" vertical="center"/>
    </xf>
    <xf numFmtId="0" fontId="3" fillId="4" borderId="2" xfId="0" applyNumberFormat="1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6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176" fontId="3" fillId="5" borderId="1" xfId="0" applyNumberFormat="1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/>
    </xf>
    <xf numFmtId="1" fontId="3" fillId="4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1" fontId="3" fillId="4" borderId="2" xfId="0" applyNumberFormat="1" applyFont="1" applyFill="1" applyBorder="1" applyAlignment="1">
      <alignment horizontal="center" vertical="center"/>
    </xf>
    <xf numFmtId="1" fontId="3" fillId="4" borderId="1" xfId="0" applyNumberFormat="1" applyFon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0" fontId="5" fillId="6" borderId="0" xfId="0" applyFont="1" applyFill="1"/>
    <xf numFmtId="0" fontId="5" fillId="2" borderId="0" xfId="0" applyFont="1" applyFill="1"/>
    <xf numFmtId="0" fontId="6" fillId="6" borderId="0" xfId="0" applyFont="1" applyFill="1"/>
    <xf numFmtId="0" fontId="7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176" fontId="3" fillId="5" borderId="2" xfId="0" applyNumberFormat="1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horizontal="center" vertical="center" wrapText="1"/>
    </xf>
    <xf numFmtId="0" fontId="7" fillId="10" borderId="2" xfId="0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/>
    </xf>
    <xf numFmtId="0" fontId="8" fillId="2" borderId="0" xfId="0" applyFont="1" applyFill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7" fillId="7" borderId="0" xfId="0" applyFont="1" applyFill="1" applyBorder="1" applyAlignment="1">
      <alignment horizontal="center" vertical="center" wrapText="1"/>
    </xf>
    <xf numFmtId="0" fontId="7" fillId="4" borderId="0" xfId="0" applyNumberFormat="1" applyFont="1" applyFill="1" applyAlignment="1">
      <alignment horizontal="center" vertical="center" wrapText="1"/>
    </xf>
    <xf numFmtId="0" fontId="3" fillId="9" borderId="0" xfId="0" applyFont="1" applyFill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7" fillId="4" borderId="1" xfId="0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3" fillId="7" borderId="0" xfId="0" applyNumberFormat="1" applyFont="1" applyFill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0" fontId="3" fillId="7" borderId="0" xfId="0" applyNumberFormat="1" applyFont="1" applyFill="1" applyBorder="1" applyAlignment="1">
      <alignment horizontal="center" vertical="center"/>
    </xf>
    <xf numFmtId="0" fontId="3" fillId="7" borderId="2" xfId="0" applyNumberFormat="1" applyFont="1" applyFill="1" applyBorder="1" applyAlignment="1">
      <alignment horizontal="center" vertical="center"/>
    </xf>
    <xf numFmtId="0" fontId="4" fillId="7" borderId="0" xfId="0" applyNumberFormat="1" applyFont="1" applyFill="1" applyBorder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 wrapText="1"/>
    </xf>
    <xf numFmtId="0" fontId="3" fillId="7" borderId="0" xfId="0" applyNumberFormat="1" applyFont="1" applyFill="1" applyAlignment="1">
      <alignment horizontal="center" vertical="center" wrapText="1"/>
    </xf>
    <xf numFmtId="0" fontId="3" fillId="3" borderId="0" xfId="0" applyNumberFormat="1" applyFont="1" applyFill="1" applyAlignment="1">
      <alignment horizontal="center" vertical="center" wrapText="1"/>
    </xf>
    <xf numFmtId="0" fontId="3" fillId="4" borderId="0" xfId="0" applyNumberFormat="1" applyFont="1" applyFill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3" fillId="2" borderId="0" xfId="1" applyFont="1" applyFill="1" applyBorder="1" applyAlignment="1">
      <alignment horizontal="center"/>
    </xf>
    <xf numFmtId="0" fontId="3" fillId="4" borderId="0" xfId="1" applyFont="1" applyFill="1" applyBorder="1" applyAlignment="1">
      <alignment horizontal="center" vertical="center"/>
    </xf>
    <xf numFmtId="0" fontId="3" fillId="9" borderId="0" xfId="1" applyFont="1" applyFill="1" applyBorder="1" applyAlignment="1">
      <alignment horizontal="center" vertical="center"/>
    </xf>
    <xf numFmtId="0" fontId="3" fillId="10" borderId="0" xfId="1" applyFont="1" applyFill="1" applyBorder="1" applyAlignment="1">
      <alignment horizontal="center" vertical="center"/>
    </xf>
    <xf numFmtId="0" fontId="3" fillId="7" borderId="0" xfId="1" applyFont="1" applyFill="1" applyBorder="1" applyAlignment="1">
      <alignment horizontal="center" vertical="center"/>
    </xf>
    <xf numFmtId="0" fontId="3" fillId="3" borderId="0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/>
    </xf>
    <xf numFmtId="0" fontId="3" fillId="4" borderId="2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horizontal="center" vertical="center"/>
    </xf>
    <xf numFmtId="0" fontId="3" fillId="10" borderId="2" xfId="1" applyFont="1" applyFill="1" applyBorder="1" applyAlignment="1">
      <alignment horizontal="center" vertical="center"/>
    </xf>
    <xf numFmtId="0" fontId="3" fillId="7" borderId="2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/>
    </xf>
    <xf numFmtId="0" fontId="3" fillId="4" borderId="1" xfId="1" applyFont="1" applyFill="1" applyBorder="1" applyAlignment="1">
      <alignment horizontal="center" vertical="center"/>
    </xf>
    <xf numFmtId="0" fontId="3" fillId="9" borderId="1" xfId="1" applyFont="1" applyFill="1" applyBorder="1" applyAlignment="1">
      <alignment horizontal="center" vertical="center"/>
    </xf>
    <xf numFmtId="0" fontId="3" fillId="10" borderId="1" xfId="1" applyFont="1" applyFill="1" applyBorder="1" applyAlignment="1">
      <alignment horizontal="center" vertical="center"/>
    </xf>
    <xf numFmtId="0" fontId="3" fillId="7" borderId="1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1" fontId="3" fillId="4" borderId="2" xfId="1" applyNumberFormat="1" applyFont="1" applyFill="1" applyBorder="1" applyAlignment="1">
      <alignment horizontal="center" vertical="center"/>
    </xf>
    <xf numFmtId="1" fontId="3" fillId="9" borderId="2" xfId="1" applyNumberFormat="1" applyFont="1" applyFill="1" applyBorder="1" applyAlignment="1">
      <alignment horizontal="center" vertical="center"/>
    </xf>
    <xf numFmtId="1" fontId="3" fillId="10" borderId="2" xfId="1" applyNumberFormat="1" applyFont="1" applyFill="1" applyBorder="1" applyAlignment="1">
      <alignment horizontal="center" vertical="center"/>
    </xf>
    <xf numFmtId="1" fontId="3" fillId="10" borderId="2" xfId="1" applyNumberFormat="1" applyFont="1" applyFill="1" applyBorder="1" applyAlignment="1">
      <alignment horizontal="center" vertical="center" wrapText="1"/>
    </xf>
    <xf numFmtId="1" fontId="3" fillId="9" borderId="2" xfId="1" applyNumberFormat="1" applyFont="1" applyFill="1" applyBorder="1" applyAlignment="1">
      <alignment horizontal="center" vertical="center" wrapText="1"/>
    </xf>
    <xf numFmtId="0" fontId="3" fillId="4" borderId="0" xfId="1" applyFont="1" applyFill="1" applyBorder="1" applyAlignment="1">
      <alignment horizontal="center" vertical="center" wrapText="1"/>
    </xf>
    <xf numFmtId="0" fontId="3" fillId="3" borderId="0" xfId="1" applyFont="1" applyFill="1" applyBorder="1" applyAlignment="1">
      <alignment horizontal="center" vertical="center" wrapText="1"/>
    </xf>
    <xf numFmtId="0" fontId="3" fillId="7" borderId="0" xfId="1" applyFont="1" applyFill="1" applyBorder="1" applyAlignment="1">
      <alignment horizontal="center" vertical="center" wrapText="1"/>
    </xf>
    <xf numFmtId="1" fontId="3" fillId="4" borderId="0" xfId="1" applyNumberFormat="1" applyFont="1" applyFill="1" applyAlignment="1">
      <alignment horizontal="center" vertical="center"/>
    </xf>
    <xf numFmtId="1" fontId="3" fillId="9" borderId="0" xfId="1" applyNumberFormat="1" applyFont="1" applyFill="1" applyAlignment="1">
      <alignment horizontal="center" vertical="center"/>
    </xf>
    <xf numFmtId="1" fontId="3" fillId="10" borderId="0" xfId="1" applyNumberFormat="1" applyFont="1" applyFill="1" applyAlignment="1">
      <alignment horizontal="center" vertical="center"/>
    </xf>
    <xf numFmtId="0" fontId="3" fillId="4" borderId="0" xfId="1" applyFont="1" applyFill="1" applyAlignment="1">
      <alignment horizontal="center" vertical="center"/>
    </xf>
    <xf numFmtId="0" fontId="3" fillId="9" borderId="0" xfId="1" applyFont="1" applyFill="1" applyAlignment="1">
      <alignment horizontal="center" vertical="center"/>
    </xf>
    <xf numFmtId="0" fontId="3" fillId="10" borderId="0" xfId="1" applyFont="1" applyFill="1" applyAlignment="1">
      <alignment horizontal="center" vertical="center"/>
    </xf>
    <xf numFmtId="0" fontId="3" fillId="10" borderId="0" xfId="2" applyFont="1" applyFill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3" fillId="9" borderId="0" xfId="2" applyFont="1" applyFill="1" applyAlignment="1">
      <alignment horizontal="center" vertical="center"/>
    </xf>
    <xf numFmtId="0" fontId="3" fillId="7" borderId="0" xfId="2" applyFont="1" applyFill="1" applyAlignment="1">
      <alignment horizontal="center" vertical="center"/>
    </xf>
    <xf numFmtId="0" fontId="3" fillId="10" borderId="2" xfId="2" applyFont="1" applyFill="1" applyBorder="1" applyAlignment="1">
      <alignment horizontal="center" vertical="center"/>
    </xf>
    <xf numFmtId="0" fontId="3" fillId="8" borderId="2" xfId="2" applyFont="1" applyFill="1" applyBorder="1" applyAlignment="1">
      <alignment horizontal="center" vertical="center"/>
    </xf>
    <xf numFmtId="0" fontId="3" fillId="9" borderId="2" xfId="2" applyFont="1" applyFill="1" applyBorder="1" applyAlignment="1">
      <alignment horizontal="center" vertical="center"/>
    </xf>
    <xf numFmtId="0" fontId="3" fillId="7" borderId="2" xfId="2" applyFont="1" applyFill="1" applyBorder="1" applyAlignment="1">
      <alignment horizontal="center" vertical="center"/>
    </xf>
    <xf numFmtId="0" fontId="3" fillId="10" borderId="0" xfId="2" applyFont="1" applyFill="1" applyBorder="1" applyAlignment="1">
      <alignment horizontal="center" vertical="center"/>
    </xf>
    <xf numFmtId="0" fontId="3" fillId="8" borderId="0" xfId="2" applyFont="1" applyFill="1" applyBorder="1" applyAlignment="1">
      <alignment horizontal="center" vertical="center"/>
    </xf>
    <xf numFmtId="0" fontId="3" fillId="9" borderId="0" xfId="2" applyFont="1" applyFill="1" applyBorder="1" applyAlignment="1">
      <alignment horizontal="center" vertical="center"/>
    </xf>
    <xf numFmtId="0" fontId="3" fillId="7" borderId="0" xfId="2" applyFont="1" applyFill="1" applyBorder="1" applyAlignment="1">
      <alignment horizontal="center" vertical="center"/>
    </xf>
    <xf numFmtId="0" fontId="3" fillId="10" borderId="1" xfId="2" applyFont="1" applyFill="1" applyBorder="1" applyAlignment="1">
      <alignment horizontal="center" vertical="center"/>
    </xf>
    <xf numFmtId="0" fontId="3" fillId="8" borderId="1" xfId="2" applyFont="1" applyFill="1" applyBorder="1" applyAlignment="1">
      <alignment horizontal="center" vertical="center"/>
    </xf>
    <xf numFmtId="0" fontId="3" fillId="9" borderId="1" xfId="2" applyFont="1" applyFill="1" applyBorder="1" applyAlignment="1">
      <alignment horizontal="center" vertical="center"/>
    </xf>
    <xf numFmtId="0" fontId="3" fillId="7" borderId="1" xfId="2" applyFont="1" applyFill="1" applyBorder="1" applyAlignment="1">
      <alignment horizontal="center" vertical="center"/>
    </xf>
    <xf numFmtId="0" fontId="3" fillId="10" borderId="0" xfId="2" applyFont="1" applyFill="1" applyAlignment="1">
      <alignment horizontal="center" vertical="center" wrapText="1"/>
    </xf>
    <xf numFmtId="0" fontId="3" fillId="8" borderId="0" xfId="2" applyFont="1" applyFill="1" applyAlignment="1">
      <alignment horizontal="center" vertical="center" wrapText="1"/>
    </xf>
    <xf numFmtId="0" fontId="3" fillId="9" borderId="0" xfId="2" applyFont="1" applyFill="1" applyAlignment="1">
      <alignment horizontal="center" vertical="center" wrapText="1"/>
    </xf>
    <xf numFmtId="0" fontId="3" fillId="7" borderId="0" xfId="2" applyFont="1" applyFill="1" applyAlignment="1">
      <alignment horizontal="center" vertical="center" wrapText="1"/>
    </xf>
    <xf numFmtId="0" fontId="5" fillId="10" borderId="0" xfId="1" applyFont="1" applyFill="1"/>
    <xf numFmtId="0" fontId="6" fillId="6" borderId="0" xfId="1" applyFont="1" applyFill="1"/>
    <xf numFmtId="0" fontId="5" fillId="6" borderId="0" xfId="1" applyFont="1" applyFill="1"/>
    <xf numFmtId="0" fontId="12" fillId="10" borderId="0" xfId="5" applyFont="1" applyFill="1"/>
    <xf numFmtId="0" fontId="12" fillId="6" borderId="0" xfId="5" applyFont="1" applyFill="1"/>
    <xf numFmtId="0" fontId="6" fillId="6" borderId="0" xfId="5" applyFont="1" applyFill="1"/>
    <xf numFmtId="0" fontId="12" fillId="10" borderId="3" xfId="5" applyFont="1" applyFill="1" applyBorder="1"/>
    <xf numFmtId="0" fontId="12" fillId="10" borderId="4" xfId="5" applyFont="1" applyFill="1" applyBorder="1"/>
    <xf numFmtId="0" fontId="12" fillId="10" borderId="5" xfId="5" applyFont="1" applyFill="1" applyBorder="1"/>
    <xf numFmtId="49" fontId="12" fillId="10" borderId="6" xfId="5" applyNumberFormat="1" applyFont="1" applyFill="1" applyBorder="1"/>
    <xf numFmtId="49" fontId="12" fillId="10" borderId="7" xfId="5" applyNumberFormat="1" applyFont="1" applyFill="1" applyBorder="1"/>
    <xf numFmtId="0" fontId="12" fillId="10" borderId="8" xfId="5" applyFont="1" applyFill="1" applyBorder="1"/>
    <xf numFmtId="0" fontId="12" fillId="10" borderId="9" xfId="5" applyFont="1" applyFill="1" applyBorder="1"/>
    <xf numFmtId="0" fontId="12" fillId="10" borderId="10" xfId="5" applyFont="1" applyFill="1" applyBorder="1"/>
    <xf numFmtId="0" fontId="12" fillId="10" borderId="11" xfId="5" applyFont="1" applyFill="1" applyBorder="1"/>
    <xf numFmtId="0" fontId="3" fillId="8" borderId="0" xfId="1" applyFont="1" applyFill="1" applyBorder="1" applyAlignment="1">
      <alignment horizontal="center" vertical="center"/>
    </xf>
    <xf numFmtId="0" fontId="3" fillId="8" borderId="0" xfId="1" applyFont="1" applyFill="1" applyBorder="1" applyAlignment="1">
      <alignment horizontal="center" vertical="center" wrapText="1"/>
    </xf>
    <xf numFmtId="0" fontId="3" fillId="8" borderId="1" xfId="1" applyFont="1" applyFill="1" applyBorder="1" applyAlignment="1">
      <alignment horizontal="center" vertical="center"/>
    </xf>
    <xf numFmtId="0" fontId="3" fillId="8" borderId="2" xfId="1" applyFont="1" applyFill="1" applyBorder="1" applyAlignment="1">
      <alignment horizontal="center" vertical="center"/>
    </xf>
    <xf numFmtId="0" fontId="3" fillId="10" borderId="0" xfId="1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/>
    </xf>
    <xf numFmtId="0" fontId="3" fillId="8" borderId="2" xfId="1" applyFont="1" applyFill="1" applyBorder="1" applyAlignment="1">
      <alignment horizontal="center" vertical="center" wrapText="1"/>
    </xf>
    <xf numFmtId="1" fontId="3" fillId="4" borderId="2" xfId="1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0" xfId="1" applyFont="1" applyFill="1" applyAlignment="1">
      <alignment horizontal="center" vertical="center"/>
    </xf>
    <xf numFmtId="1" fontId="3" fillId="8" borderId="0" xfId="1" applyNumberFormat="1" applyFont="1" applyFill="1" applyAlignment="1">
      <alignment horizontal="center" vertical="center"/>
    </xf>
    <xf numFmtId="1" fontId="3" fillId="8" borderId="2" xfId="1" applyNumberFormat="1" applyFont="1" applyFill="1" applyBorder="1" applyAlignment="1">
      <alignment horizontal="center" vertical="center" wrapText="1"/>
    </xf>
    <xf numFmtId="0" fontId="3" fillId="8" borderId="0" xfId="3" applyFont="1" applyFill="1" applyBorder="1" applyAlignment="1">
      <alignment horizontal="center" vertical="center"/>
    </xf>
    <xf numFmtId="0" fontId="3" fillId="9" borderId="0" xfId="1" applyFont="1" applyFill="1" applyBorder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0" xfId="1" applyFont="1" applyFill="1" applyBorder="1" applyAlignment="1">
      <alignment horizontal="center"/>
    </xf>
    <xf numFmtId="0" fontId="3" fillId="8" borderId="1" xfId="1" applyFont="1" applyFill="1" applyBorder="1" applyAlignment="1">
      <alignment horizontal="center"/>
    </xf>
    <xf numFmtId="0" fontId="3" fillId="8" borderId="2" xfId="1" applyFont="1" applyFill="1" applyBorder="1" applyAlignment="1">
      <alignment horizontal="center"/>
    </xf>
    <xf numFmtId="1" fontId="3" fillId="8" borderId="0" xfId="0" applyNumberFormat="1" applyFont="1" applyFill="1" applyAlignment="1">
      <alignment horizontal="center" vertical="center"/>
    </xf>
    <xf numFmtId="1" fontId="3" fillId="8" borderId="0" xfId="0" applyNumberFormat="1" applyFont="1" applyFill="1" applyBorder="1" applyAlignment="1">
      <alignment horizontal="center" vertical="center"/>
    </xf>
    <xf numFmtId="1" fontId="3" fillId="8" borderId="1" xfId="0" applyNumberFormat="1" applyFont="1" applyFill="1" applyBorder="1" applyAlignment="1">
      <alignment horizontal="center" vertical="center"/>
    </xf>
    <xf numFmtId="1" fontId="3" fillId="8" borderId="2" xfId="0" applyNumberFormat="1" applyFont="1" applyFill="1" applyBorder="1" applyAlignment="1">
      <alignment horizontal="center" vertical="center"/>
    </xf>
    <xf numFmtId="176" fontId="3" fillId="5" borderId="2" xfId="0" applyNumberFormat="1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7" fillId="4" borderId="0" xfId="0" applyNumberFormat="1" applyFont="1" applyFill="1" applyBorder="1" applyAlignment="1">
      <alignment horizontal="center" vertical="center"/>
    </xf>
    <xf numFmtId="1" fontId="3" fillId="9" borderId="0" xfId="1" applyNumberFormat="1" applyFont="1" applyFill="1" applyBorder="1" applyAlignment="1">
      <alignment horizontal="center" vertical="center" wrapText="1"/>
    </xf>
    <xf numFmtId="1" fontId="3" fillId="10" borderId="0" xfId="1" applyNumberFormat="1" applyFont="1" applyFill="1" applyBorder="1" applyAlignment="1">
      <alignment horizontal="center" vertical="center" wrapText="1"/>
    </xf>
    <xf numFmtId="0" fontId="3" fillId="4" borderId="1" xfId="1" applyFont="1" applyFill="1" applyBorder="1" applyAlignment="1">
      <alignment horizontal="center" vertical="center" wrapText="1"/>
    </xf>
    <xf numFmtId="0" fontId="3" fillId="2" borderId="0" xfId="0" applyNumberFormat="1" applyFont="1" applyFill="1" applyBorder="1" applyAlignment="1">
      <alignment horizontal="center" vertical="center" wrapText="1"/>
    </xf>
    <xf numFmtId="1" fontId="3" fillId="10" borderId="0" xfId="1" applyNumberFormat="1" applyFont="1" applyFill="1" applyBorder="1" applyAlignment="1">
      <alignment horizontal="center" vertical="center"/>
    </xf>
    <xf numFmtId="1" fontId="3" fillId="9" borderId="0" xfId="1" applyNumberFormat="1" applyFont="1" applyFill="1" applyBorder="1" applyAlignment="1">
      <alignment horizontal="center" vertical="center"/>
    </xf>
    <xf numFmtId="1" fontId="3" fillId="4" borderId="0" xfId="1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 wrapText="1"/>
    </xf>
    <xf numFmtId="0" fontId="3" fillId="9" borderId="0" xfId="0" applyNumberFormat="1" applyFont="1" applyFill="1" applyBorder="1" applyAlignment="1">
      <alignment horizontal="center" vertical="center"/>
    </xf>
    <xf numFmtId="0" fontId="3" fillId="9" borderId="0" xfId="0" applyNumberFormat="1" applyFont="1" applyFill="1" applyAlignment="1">
      <alignment horizontal="center" vertical="center" wrapText="1"/>
    </xf>
    <xf numFmtId="0" fontId="7" fillId="9" borderId="1" xfId="0" applyNumberFormat="1" applyFont="1" applyFill="1" applyBorder="1" applyAlignment="1">
      <alignment horizontal="center" vertical="center"/>
    </xf>
    <xf numFmtId="0" fontId="7" fillId="9" borderId="0" xfId="0" applyNumberFormat="1" applyFont="1" applyFill="1" applyBorder="1" applyAlignment="1">
      <alignment horizontal="center" vertical="center"/>
    </xf>
    <xf numFmtId="0" fontId="4" fillId="9" borderId="0" xfId="0" applyNumberFormat="1" applyFont="1" applyFill="1" applyBorder="1" applyAlignment="1">
      <alignment horizontal="center" vertical="center"/>
    </xf>
    <xf numFmtId="0" fontId="3" fillId="9" borderId="0" xfId="0" applyNumberFormat="1" applyFont="1" applyFill="1" applyAlignment="1">
      <alignment horizontal="center" vertical="center"/>
    </xf>
    <xf numFmtId="0" fontId="3" fillId="9" borderId="1" xfId="0" applyNumberFormat="1" applyFont="1" applyFill="1" applyBorder="1" applyAlignment="1">
      <alignment horizontal="center" vertical="center"/>
    </xf>
    <xf numFmtId="0" fontId="3" fillId="10" borderId="1" xfId="0" applyNumberFormat="1" applyFont="1" applyFill="1" applyBorder="1" applyAlignment="1">
      <alignment horizontal="center" vertical="center"/>
    </xf>
    <xf numFmtId="0" fontId="3" fillId="10" borderId="0" xfId="0" applyNumberFormat="1" applyFont="1" applyFill="1" applyBorder="1" applyAlignment="1">
      <alignment horizontal="center" vertical="center"/>
    </xf>
    <xf numFmtId="0" fontId="7" fillId="10" borderId="1" xfId="0" applyNumberFormat="1" applyFont="1" applyFill="1" applyBorder="1" applyAlignment="1">
      <alignment horizontal="center" vertical="center"/>
    </xf>
    <xf numFmtId="0" fontId="7" fillId="10" borderId="0" xfId="0" applyNumberFormat="1" applyFont="1" applyFill="1" applyBorder="1" applyAlignment="1">
      <alignment horizontal="center" vertical="center"/>
    </xf>
    <xf numFmtId="0" fontId="4" fillId="10" borderId="0" xfId="0" applyNumberFormat="1" applyFont="1" applyFill="1" applyBorder="1" applyAlignment="1">
      <alignment horizontal="center" vertical="center"/>
    </xf>
    <xf numFmtId="0" fontId="3" fillId="10" borderId="0" xfId="0" applyNumberFormat="1" applyFont="1" applyFill="1" applyAlignment="1">
      <alignment horizontal="center" vertical="center"/>
    </xf>
    <xf numFmtId="0" fontId="7" fillId="4" borderId="2" xfId="0" applyNumberFormat="1" applyFont="1" applyFill="1" applyBorder="1" applyAlignment="1">
      <alignment horizontal="center" vertical="center"/>
    </xf>
    <xf numFmtId="0" fontId="7" fillId="9" borderId="2" xfId="0" applyNumberFormat="1" applyFont="1" applyFill="1" applyBorder="1" applyAlignment="1">
      <alignment horizontal="center" vertical="center"/>
    </xf>
    <xf numFmtId="0" fontId="7" fillId="10" borderId="2" xfId="0" applyNumberFormat="1" applyFont="1" applyFill="1" applyBorder="1" applyAlignment="1">
      <alignment horizontal="center" vertical="center"/>
    </xf>
    <xf numFmtId="0" fontId="3" fillId="9" borderId="0" xfId="3" applyFont="1" applyFill="1" applyBorder="1" applyAlignment="1">
      <alignment horizontal="center" vertical="center"/>
    </xf>
    <xf numFmtId="0" fontId="3" fillId="10" borderId="0" xfId="3" applyFont="1" applyFill="1" applyBorder="1" applyAlignment="1">
      <alignment horizontal="center" vertical="center"/>
    </xf>
    <xf numFmtId="0" fontId="14" fillId="11" borderId="0" xfId="0" applyFont="1" applyFill="1" applyAlignment="1">
      <alignment horizontal="center" vertical="center"/>
    </xf>
    <xf numFmtId="0" fontId="14" fillId="11" borderId="2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4" fillId="11" borderId="2" xfId="0" applyFont="1" applyFill="1" applyBorder="1" applyAlignment="1">
      <alignment horizontal="center" vertical="center"/>
    </xf>
    <xf numFmtId="0" fontId="15" fillId="11" borderId="0" xfId="0" applyNumberFormat="1" applyFont="1" applyFill="1" applyAlignment="1">
      <alignment horizontal="center" vertical="center" wrapText="1"/>
    </xf>
    <xf numFmtId="0" fontId="15" fillId="11" borderId="0" xfId="0" applyNumberFormat="1" applyFont="1" applyFill="1" applyBorder="1" applyAlignment="1">
      <alignment horizontal="center" vertical="center"/>
    </xf>
    <xf numFmtId="0" fontId="15" fillId="11" borderId="1" xfId="0" applyNumberFormat="1" applyFont="1" applyFill="1" applyBorder="1" applyAlignment="1">
      <alignment horizontal="center" vertical="center"/>
    </xf>
    <xf numFmtId="0" fontId="15" fillId="11" borderId="2" xfId="0" applyNumberFormat="1" applyFont="1" applyFill="1" applyBorder="1" applyAlignment="1">
      <alignment horizontal="center" vertical="center"/>
    </xf>
    <xf numFmtId="0" fontId="15" fillId="11" borderId="0" xfId="0" applyNumberFormat="1" applyFont="1" applyFill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5" fillId="11" borderId="2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/>
    </xf>
    <xf numFmtId="0" fontId="15" fillId="11" borderId="0" xfId="0" applyFont="1" applyFill="1" applyBorder="1" applyAlignment="1">
      <alignment horizontal="center" vertical="center"/>
    </xf>
    <xf numFmtId="0" fontId="15" fillId="11" borderId="2" xfId="0" applyFont="1" applyFill="1" applyBorder="1" applyAlignment="1">
      <alignment horizontal="center" vertical="center"/>
    </xf>
    <xf numFmtId="0" fontId="15" fillId="11" borderId="1" xfId="2" applyFont="1" applyFill="1" applyBorder="1" applyAlignment="1">
      <alignment horizontal="center" vertical="center"/>
    </xf>
    <xf numFmtId="0" fontId="15" fillId="11" borderId="0" xfId="2" applyFont="1" applyFill="1" applyBorder="1" applyAlignment="1">
      <alignment horizontal="center" vertical="center"/>
    </xf>
    <xf numFmtId="0" fontId="15" fillId="11" borderId="2" xfId="2" applyFont="1" applyFill="1" applyBorder="1" applyAlignment="1">
      <alignment horizontal="center" vertical="center"/>
    </xf>
    <xf numFmtId="0" fontId="15" fillId="11" borderId="0" xfId="2" applyFont="1" applyFill="1" applyAlignment="1">
      <alignment horizontal="center" vertical="center"/>
    </xf>
    <xf numFmtId="0" fontId="15" fillId="11" borderId="0" xfId="3" applyFont="1" applyFill="1" applyBorder="1" applyAlignment="1">
      <alignment horizontal="center" vertical="center"/>
    </xf>
    <xf numFmtId="0" fontId="15" fillId="11" borderId="0" xfId="1" applyFont="1" applyFill="1" applyBorder="1" applyAlignment="1">
      <alignment horizontal="center"/>
    </xf>
    <xf numFmtId="0" fontId="15" fillId="11" borderId="0" xfId="1" applyFont="1" applyFill="1" applyBorder="1" applyAlignment="1">
      <alignment horizontal="center" vertical="center" wrapText="1"/>
    </xf>
    <xf numFmtId="0" fontId="15" fillId="11" borderId="1" xfId="1" applyFont="1" applyFill="1" applyBorder="1" applyAlignment="1">
      <alignment horizontal="center"/>
    </xf>
    <xf numFmtId="0" fontId="15" fillId="11" borderId="2" xfId="1" applyFont="1" applyFill="1" applyBorder="1" applyAlignment="1">
      <alignment horizontal="center"/>
    </xf>
    <xf numFmtId="0" fontId="15" fillId="11" borderId="0" xfId="1" applyFont="1" applyFill="1" applyBorder="1" applyAlignment="1">
      <alignment horizontal="center" vertical="center"/>
    </xf>
    <xf numFmtId="0" fontId="15" fillId="11" borderId="1" xfId="1" applyFont="1" applyFill="1" applyBorder="1" applyAlignment="1">
      <alignment horizontal="center" vertical="center"/>
    </xf>
    <xf numFmtId="0" fontId="15" fillId="11" borderId="2" xfId="1" applyFont="1" applyFill="1" applyBorder="1" applyAlignment="1">
      <alignment horizontal="center" vertical="center"/>
    </xf>
    <xf numFmtId="0" fontId="3" fillId="10" borderId="2" xfId="2" applyFont="1" applyFill="1" applyBorder="1" applyAlignment="1">
      <alignment horizontal="center" vertical="center" wrapText="1"/>
    </xf>
    <xf numFmtId="0" fontId="3" fillId="9" borderId="2" xfId="2" applyFont="1" applyFill="1" applyBorder="1" applyAlignment="1">
      <alignment horizontal="center" vertical="center" wrapText="1"/>
    </xf>
    <xf numFmtId="0" fontId="3" fillId="8" borderId="2" xfId="2" applyFont="1" applyFill="1" applyBorder="1" applyAlignment="1">
      <alignment horizontal="center" vertical="center" wrapText="1"/>
    </xf>
    <xf numFmtId="0" fontId="3" fillId="9" borderId="2" xfId="0" applyNumberFormat="1" applyFont="1" applyFill="1" applyBorder="1" applyAlignment="1">
      <alignment horizontal="center" vertical="center" wrapText="1"/>
    </xf>
    <xf numFmtId="0" fontId="3" fillId="9" borderId="1" xfId="1" applyFont="1" applyFill="1" applyBorder="1" applyAlignment="1">
      <alignment horizontal="center" vertical="center" wrapText="1"/>
    </xf>
    <xf numFmtId="1" fontId="3" fillId="8" borderId="0" xfId="1" applyNumberFormat="1" applyFont="1" applyFill="1" applyBorder="1" applyAlignment="1">
      <alignment horizontal="center" vertical="center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abSelected="1" workbookViewId="0">
      <selection activeCell="E55" sqref="E55"/>
    </sheetView>
  </sheetViews>
  <sheetFormatPr defaultColWidth="9.125" defaultRowHeight="13.5" x14ac:dyDescent="0.15"/>
  <cols>
    <col min="1" max="16384" width="9.125" style="48"/>
  </cols>
  <sheetData>
    <row r="1" spans="1:7" s="47" customFormat="1" x14ac:dyDescent="0.15">
      <c r="A1" s="49" t="s">
        <v>0</v>
      </c>
    </row>
    <row r="3" spans="1:7" x14ac:dyDescent="0.15">
      <c r="B3" s="48" t="s">
        <v>1</v>
      </c>
      <c r="C3" s="48" t="s">
        <v>2</v>
      </c>
      <c r="E3" s="48" t="s">
        <v>3</v>
      </c>
    </row>
    <row r="4" spans="1:7" x14ac:dyDescent="0.15">
      <c r="B4" s="48" t="s">
        <v>4</v>
      </c>
      <c r="C4" s="48" t="s">
        <v>5</v>
      </c>
      <c r="E4" s="48" t="s">
        <v>6</v>
      </c>
    </row>
    <row r="5" spans="1:7" x14ac:dyDescent="0.15">
      <c r="B5" s="48" t="s">
        <v>4</v>
      </c>
      <c r="C5" s="48" t="s">
        <v>7</v>
      </c>
      <c r="E5" s="48" t="s">
        <v>8</v>
      </c>
    </row>
    <row r="6" spans="1:7" x14ac:dyDescent="0.15">
      <c r="B6" s="48" t="s">
        <v>4</v>
      </c>
      <c r="C6" s="48" t="s">
        <v>9</v>
      </c>
      <c r="E6" s="48" t="s">
        <v>10</v>
      </c>
    </row>
    <row r="7" spans="1:7" x14ac:dyDescent="0.15">
      <c r="B7" s="48" t="s">
        <v>4</v>
      </c>
      <c r="C7" s="48" t="s">
        <v>11</v>
      </c>
      <c r="E7" s="48" t="s">
        <v>12</v>
      </c>
    </row>
    <row r="10" spans="1:7" s="47" customFormat="1" x14ac:dyDescent="0.15">
      <c r="A10" s="49" t="s">
        <v>13</v>
      </c>
    </row>
    <row r="12" spans="1:7" x14ac:dyDescent="0.15">
      <c r="B12" s="48" t="s">
        <v>14</v>
      </c>
      <c r="C12" s="48" t="s">
        <v>15</v>
      </c>
    </row>
    <row r="13" spans="1:7" x14ac:dyDescent="0.15">
      <c r="B13" s="48" t="s">
        <v>4</v>
      </c>
      <c r="C13" s="48" t="s">
        <v>16</v>
      </c>
      <c r="E13" s="48" t="s">
        <v>17</v>
      </c>
    </row>
    <row r="14" spans="1:7" x14ac:dyDescent="0.15">
      <c r="F14" s="48" t="s">
        <v>18</v>
      </c>
    </row>
    <row r="15" spans="1:7" x14ac:dyDescent="0.15">
      <c r="G15" s="48" t="s">
        <v>19</v>
      </c>
    </row>
    <row r="16" spans="1:7" x14ac:dyDescent="0.15">
      <c r="G16" s="48" t="s">
        <v>20</v>
      </c>
    </row>
    <row r="17" spans="2:7" x14ac:dyDescent="0.15">
      <c r="F17" s="48" t="s">
        <v>21</v>
      </c>
    </row>
    <row r="18" spans="2:7" x14ac:dyDescent="0.15">
      <c r="G18" s="48" t="s">
        <v>22</v>
      </c>
    </row>
    <row r="19" spans="2:7" x14ac:dyDescent="0.15">
      <c r="G19" s="48" t="s">
        <v>23</v>
      </c>
    </row>
    <row r="20" spans="2:7" x14ac:dyDescent="0.15">
      <c r="G20" s="48" t="s">
        <v>24</v>
      </c>
    </row>
    <row r="21" spans="2:7" x14ac:dyDescent="0.15">
      <c r="G21" s="48" t="s">
        <v>25</v>
      </c>
    </row>
    <row r="22" spans="2:7" x14ac:dyDescent="0.15">
      <c r="G22" s="48" t="s">
        <v>26</v>
      </c>
    </row>
    <row r="23" spans="2:7" x14ac:dyDescent="0.15">
      <c r="G23" s="48" t="s">
        <v>27</v>
      </c>
    </row>
    <row r="24" spans="2:7" x14ac:dyDescent="0.15">
      <c r="G24" s="48" t="s">
        <v>28</v>
      </c>
    </row>
    <row r="26" spans="2:7" x14ac:dyDescent="0.15">
      <c r="B26" s="48" t="s">
        <v>14</v>
      </c>
      <c r="C26" s="48" t="s">
        <v>29</v>
      </c>
    </row>
    <row r="27" spans="2:7" x14ac:dyDescent="0.15">
      <c r="B27" s="48" t="s">
        <v>4</v>
      </c>
      <c r="C27" s="48" t="s">
        <v>30</v>
      </c>
      <c r="E27" s="48" t="s">
        <v>31</v>
      </c>
    </row>
    <row r="28" spans="2:7" x14ac:dyDescent="0.15">
      <c r="F28" s="48" t="s">
        <v>18</v>
      </c>
    </row>
    <row r="29" spans="2:7" x14ac:dyDescent="0.15">
      <c r="G29" s="48" t="s">
        <v>32</v>
      </c>
    </row>
    <row r="30" spans="2:7" x14ac:dyDescent="0.15">
      <c r="G30" s="48" t="s">
        <v>33</v>
      </c>
    </row>
    <row r="31" spans="2:7" x14ac:dyDescent="0.15">
      <c r="F31" s="48" t="s">
        <v>34</v>
      </c>
    </row>
    <row r="32" spans="2:7" x14ac:dyDescent="0.15">
      <c r="G32" s="48" t="s">
        <v>35</v>
      </c>
    </row>
    <row r="33" spans="2:7" x14ac:dyDescent="0.15">
      <c r="G33" s="48" t="s">
        <v>36</v>
      </c>
    </row>
    <row r="34" spans="2:7" x14ac:dyDescent="0.15">
      <c r="G34" s="48" t="s">
        <v>37</v>
      </c>
    </row>
    <row r="35" spans="2:7" x14ac:dyDescent="0.15">
      <c r="G35" s="48" t="s">
        <v>38</v>
      </c>
    </row>
    <row r="36" spans="2:7" x14ac:dyDescent="0.15">
      <c r="G36" s="48" t="s">
        <v>39</v>
      </c>
    </row>
    <row r="37" spans="2:7" x14ac:dyDescent="0.15">
      <c r="G37" s="48" t="s">
        <v>40</v>
      </c>
    </row>
    <row r="39" spans="2:7" x14ac:dyDescent="0.15">
      <c r="B39" s="48" t="s">
        <v>14</v>
      </c>
      <c r="C39" s="48" t="s">
        <v>41</v>
      </c>
    </row>
    <row r="40" spans="2:7" x14ac:dyDescent="0.15">
      <c r="B40" s="48" t="s">
        <v>4</v>
      </c>
      <c r="C40" s="48" t="s">
        <v>42</v>
      </c>
      <c r="E40" s="48" t="s">
        <v>43</v>
      </c>
    </row>
    <row r="41" spans="2:7" x14ac:dyDescent="0.15">
      <c r="F41" s="48" t="s">
        <v>18</v>
      </c>
    </row>
    <row r="42" spans="2:7" x14ac:dyDescent="0.15">
      <c r="G42" s="48" t="s">
        <v>44</v>
      </c>
    </row>
    <row r="43" spans="2:7" x14ac:dyDescent="0.15">
      <c r="G43" s="48" t="s">
        <v>45</v>
      </c>
    </row>
    <row r="44" spans="2:7" x14ac:dyDescent="0.15">
      <c r="F44" s="48" t="s">
        <v>46</v>
      </c>
    </row>
    <row r="45" spans="2:7" x14ac:dyDescent="0.15">
      <c r="G45" s="48" t="s">
        <v>47</v>
      </c>
    </row>
    <row r="46" spans="2:7" x14ac:dyDescent="0.15">
      <c r="G46" s="48" t="s">
        <v>48</v>
      </c>
    </row>
    <row r="47" spans="2:7" x14ac:dyDescent="0.15">
      <c r="G47" s="48" t="s">
        <v>49</v>
      </c>
    </row>
    <row r="48" spans="2:7" x14ac:dyDescent="0.15">
      <c r="G48" s="48" t="s">
        <v>50</v>
      </c>
    </row>
    <row r="51" spans="1:7" s="47" customFormat="1" x14ac:dyDescent="0.15">
      <c r="A51" s="49" t="s">
        <v>51</v>
      </c>
    </row>
    <row r="53" spans="1:7" x14ac:dyDescent="0.15">
      <c r="B53" s="48" t="s">
        <v>52</v>
      </c>
    </row>
    <row r="54" spans="1:7" x14ac:dyDescent="0.15">
      <c r="C54" s="48" t="s">
        <v>53</v>
      </c>
    </row>
    <row r="55" spans="1:7" x14ac:dyDescent="0.15">
      <c r="C55" s="48" t="s">
        <v>54</v>
      </c>
    </row>
    <row r="56" spans="1:7" x14ac:dyDescent="0.15">
      <c r="B56" s="48" t="s">
        <v>55</v>
      </c>
    </row>
    <row r="57" spans="1:7" x14ac:dyDescent="0.15">
      <c r="C57" s="48" t="s">
        <v>56</v>
      </c>
    </row>
    <row r="58" spans="1:7" x14ac:dyDescent="0.15">
      <c r="B58" s="48" t="s">
        <v>57</v>
      </c>
    </row>
    <row r="59" spans="1:7" x14ac:dyDescent="0.15">
      <c r="C59" s="48" t="s">
        <v>58</v>
      </c>
    </row>
    <row r="62" spans="1:7" s="47" customFormat="1" x14ac:dyDescent="0.15">
      <c r="A62" s="49" t="s">
        <v>326</v>
      </c>
    </row>
    <row r="64" spans="1:7" x14ac:dyDescent="0.15">
      <c r="B64" s="48" t="s">
        <v>329</v>
      </c>
      <c r="F64" s="48" t="s">
        <v>327</v>
      </c>
      <c r="G64" s="48" t="s">
        <v>361</v>
      </c>
    </row>
    <row r="65" spans="2:8" x14ac:dyDescent="0.15">
      <c r="C65" s="48" t="s">
        <v>334</v>
      </c>
      <c r="F65" s="48" t="s">
        <v>327</v>
      </c>
      <c r="G65" s="48" t="s">
        <v>342</v>
      </c>
    </row>
    <row r="66" spans="2:8" x14ac:dyDescent="0.15">
      <c r="H66" s="48" t="s">
        <v>343</v>
      </c>
    </row>
    <row r="67" spans="2:8" x14ac:dyDescent="0.15">
      <c r="H67" s="48" t="s">
        <v>344</v>
      </c>
    </row>
    <row r="68" spans="2:8" x14ac:dyDescent="0.15">
      <c r="B68" s="48" t="s">
        <v>328</v>
      </c>
      <c r="F68" s="48" t="s">
        <v>327</v>
      </c>
      <c r="G68" s="48" t="s">
        <v>362</v>
      </c>
    </row>
    <row r="69" spans="2:8" x14ac:dyDescent="0.15">
      <c r="C69" s="48" t="s">
        <v>333</v>
      </c>
      <c r="F69" s="48" t="s">
        <v>327</v>
      </c>
      <c r="G69" s="48" t="s">
        <v>345</v>
      </c>
    </row>
    <row r="70" spans="2:8" x14ac:dyDescent="0.15">
      <c r="H70" s="48" t="s">
        <v>346</v>
      </c>
    </row>
    <row r="71" spans="2:8" x14ac:dyDescent="0.15">
      <c r="H71" s="48" t="s">
        <v>347</v>
      </c>
    </row>
    <row r="72" spans="2:8" x14ac:dyDescent="0.15">
      <c r="B72" s="48" t="s">
        <v>331</v>
      </c>
      <c r="F72" s="48" t="s">
        <v>327</v>
      </c>
      <c r="G72" s="48" t="s">
        <v>332</v>
      </c>
    </row>
    <row r="73" spans="2:8" x14ac:dyDescent="0.15">
      <c r="C73" s="48" t="s">
        <v>335</v>
      </c>
      <c r="F73" s="48" t="s">
        <v>327</v>
      </c>
      <c r="G73" s="48" t="s">
        <v>348</v>
      </c>
    </row>
    <row r="74" spans="2:8" x14ac:dyDescent="0.15">
      <c r="H74" s="48" t="s">
        <v>349</v>
      </c>
    </row>
    <row r="75" spans="2:8" x14ac:dyDescent="0.15">
      <c r="H75" s="48" t="s">
        <v>350</v>
      </c>
    </row>
    <row r="76" spans="2:8" x14ac:dyDescent="0.15">
      <c r="B76" s="48" t="s">
        <v>337</v>
      </c>
      <c r="F76" s="48" t="s">
        <v>327</v>
      </c>
      <c r="G76" s="48" t="s">
        <v>338</v>
      </c>
    </row>
    <row r="77" spans="2:8" x14ac:dyDescent="0.15">
      <c r="C77" s="48" t="s">
        <v>336</v>
      </c>
      <c r="F77" s="48" t="s">
        <v>327</v>
      </c>
      <c r="G77" s="48" t="s">
        <v>351</v>
      </c>
    </row>
    <row r="78" spans="2:8" x14ac:dyDescent="0.15">
      <c r="H78" s="48" t="s">
        <v>352</v>
      </c>
    </row>
    <row r="79" spans="2:8" x14ac:dyDescent="0.15">
      <c r="H79" s="48" t="s">
        <v>353</v>
      </c>
    </row>
    <row r="80" spans="2:8" x14ac:dyDescent="0.15">
      <c r="C80" s="48" t="s">
        <v>340</v>
      </c>
      <c r="F80" s="48" t="s">
        <v>327</v>
      </c>
      <c r="G80" s="48" t="s">
        <v>354</v>
      </c>
    </row>
    <row r="81" spans="1:8" x14ac:dyDescent="0.15">
      <c r="H81" s="48" t="s">
        <v>355</v>
      </c>
    </row>
    <row r="82" spans="1:8" x14ac:dyDescent="0.15">
      <c r="H82" s="48" t="s">
        <v>356</v>
      </c>
    </row>
    <row r="83" spans="1:8" x14ac:dyDescent="0.15">
      <c r="C83" s="48" t="s">
        <v>339</v>
      </c>
      <c r="F83" s="48" t="s">
        <v>327</v>
      </c>
      <c r="G83" s="48" t="s">
        <v>357</v>
      </c>
    </row>
    <row r="84" spans="1:8" x14ac:dyDescent="0.15">
      <c r="H84" s="48" t="s">
        <v>358</v>
      </c>
    </row>
    <row r="85" spans="1:8" x14ac:dyDescent="0.15">
      <c r="H85" s="48" t="s">
        <v>359</v>
      </c>
    </row>
    <row r="88" spans="1:8" s="47" customFormat="1" x14ac:dyDescent="0.15">
      <c r="A88" s="49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topLeftCell="A10" workbookViewId="0">
      <selection activeCell="D16" sqref="D16"/>
    </sheetView>
  </sheetViews>
  <sheetFormatPr defaultColWidth="9.125" defaultRowHeight="13.5" x14ac:dyDescent="0.15"/>
  <cols>
    <col min="1" max="16384" width="9.125" style="160"/>
  </cols>
  <sheetData>
    <row r="1" spans="1:7" s="161" customFormat="1" x14ac:dyDescent="0.15">
      <c r="A1" s="162" t="s">
        <v>431</v>
      </c>
    </row>
    <row r="3" spans="1:7" x14ac:dyDescent="0.15">
      <c r="B3" s="160" t="s">
        <v>430</v>
      </c>
    </row>
    <row r="4" spans="1:7" ht="14.25" thickBot="1" x14ac:dyDescent="0.2"/>
    <row r="5" spans="1:7" x14ac:dyDescent="0.15">
      <c r="B5" s="171" t="s">
        <v>429</v>
      </c>
      <c r="C5" s="170" t="s">
        <v>428</v>
      </c>
      <c r="D5" s="170" t="s">
        <v>427</v>
      </c>
      <c r="E5" s="170" t="s">
        <v>426</v>
      </c>
      <c r="F5" s="170" t="s">
        <v>425</v>
      </c>
      <c r="G5" s="169" t="s">
        <v>424</v>
      </c>
    </row>
    <row r="6" spans="1:7" x14ac:dyDescent="0.15">
      <c r="B6" s="168" t="s">
        <v>423</v>
      </c>
      <c r="C6" s="167" t="s">
        <v>422</v>
      </c>
      <c r="D6" s="167" t="s">
        <v>453</v>
      </c>
      <c r="E6" s="167" t="s">
        <v>454</v>
      </c>
      <c r="F6" s="167" t="s">
        <v>454</v>
      </c>
      <c r="G6" s="166" t="s">
        <v>454</v>
      </c>
    </row>
    <row r="7" spans="1:7" ht="14.25" thickBot="1" x14ac:dyDescent="0.2">
      <c r="B7" s="165" t="s">
        <v>421</v>
      </c>
      <c r="C7" s="164" t="s">
        <v>420</v>
      </c>
      <c r="D7" s="164" t="s">
        <v>419</v>
      </c>
      <c r="E7" s="164" t="s">
        <v>418</v>
      </c>
      <c r="F7" s="164" t="s">
        <v>418</v>
      </c>
      <c r="G7" s="163" t="s">
        <v>418</v>
      </c>
    </row>
    <row r="9" spans="1:7" x14ac:dyDescent="0.15">
      <c r="B9" s="160" t="s">
        <v>455</v>
      </c>
    </row>
    <row r="10" spans="1:7" x14ac:dyDescent="0.15">
      <c r="B10" s="160" t="s">
        <v>456</v>
      </c>
    </row>
    <row r="13" spans="1:7" s="161" customFormat="1" x14ac:dyDescent="0.15">
      <c r="A13" s="162" t="s">
        <v>417</v>
      </c>
    </row>
    <row r="15" spans="1:7" x14ac:dyDescent="0.15">
      <c r="B15" s="160">
        <v>1</v>
      </c>
      <c r="D15" s="160" t="s">
        <v>416</v>
      </c>
    </row>
    <row r="16" spans="1:7" x14ac:dyDescent="0.15">
      <c r="B16" s="160">
        <v>2</v>
      </c>
      <c r="D16" s="160" t="s">
        <v>415</v>
      </c>
    </row>
    <row r="17" spans="2:4" x14ac:dyDescent="0.15">
      <c r="B17" s="160">
        <v>3</v>
      </c>
      <c r="D17" s="160" t="s">
        <v>414</v>
      </c>
    </row>
    <row r="18" spans="2:4" x14ac:dyDescent="0.15">
      <c r="B18" s="160">
        <v>4</v>
      </c>
      <c r="D18" s="160" t="s">
        <v>413</v>
      </c>
    </row>
    <row r="19" spans="2:4" x14ac:dyDescent="0.15">
      <c r="B19" s="160">
        <v>5</v>
      </c>
    </row>
    <row r="20" spans="2:4" x14ac:dyDescent="0.15">
      <c r="B20" s="160">
        <v>6</v>
      </c>
      <c r="D20" s="160" t="s">
        <v>412</v>
      </c>
    </row>
    <row r="21" spans="2:4" x14ac:dyDescent="0.15">
      <c r="B21" s="160">
        <v>7</v>
      </c>
    </row>
    <row r="22" spans="2:4" x14ac:dyDescent="0.15">
      <c r="B22" s="160">
        <v>8</v>
      </c>
    </row>
    <row r="23" spans="2:4" x14ac:dyDescent="0.15">
      <c r="B23" s="160">
        <v>9</v>
      </c>
    </row>
    <row r="24" spans="2:4" x14ac:dyDescent="0.15">
      <c r="B24" s="160">
        <v>10</v>
      </c>
    </row>
    <row r="25" spans="2:4" x14ac:dyDescent="0.15">
      <c r="B25" s="160">
        <v>11</v>
      </c>
      <c r="D25" s="160" t="s">
        <v>1</v>
      </c>
    </row>
    <row r="26" spans="2:4" x14ac:dyDescent="0.15">
      <c r="B26" s="160">
        <v>12</v>
      </c>
      <c r="D26" s="160" t="s">
        <v>665</v>
      </c>
    </row>
    <row r="27" spans="2:4" x14ac:dyDescent="0.15">
      <c r="B27" s="160">
        <v>13</v>
      </c>
    </row>
    <row r="28" spans="2:4" x14ac:dyDescent="0.15">
      <c r="B28" s="160">
        <v>14</v>
      </c>
    </row>
    <row r="29" spans="2:4" x14ac:dyDescent="0.15">
      <c r="B29" s="160">
        <v>15</v>
      </c>
    </row>
    <row r="30" spans="2:4" x14ac:dyDescent="0.15">
      <c r="B30" s="160">
        <v>16</v>
      </c>
    </row>
    <row r="31" spans="2:4" x14ac:dyDescent="0.15">
      <c r="B31" s="160">
        <v>17</v>
      </c>
    </row>
    <row r="32" spans="2:4" x14ac:dyDescent="0.15">
      <c r="B32" s="160">
        <v>18</v>
      </c>
    </row>
    <row r="33" spans="2:4" x14ac:dyDescent="0.15">
      <c r="B33" s="160">
        <v>19</v>
      </c>
    </row>
    <row r="34" spans="2:4" x14ac:dyDescent="0.15">
      <c r="B34" s="160">
        <v>20</v>
      </c>
    </row>
    <row r="35" spans="2:4" x14ac:dyDescent="0.15">
      <c r="B35" s="160">
        <v>21</v>
      </c>
      <c r="D35" s="160" t="s">
        <v>701</v>
      </c>
    </row>
    <row r="36" spans="2:4" x14ac:dyDescent="0.15">
      <c r="B36" s="160">
        <v>22</v>
      </c>
      <c r="D36" s="160" t="s">
        <v>411</v>
      </c>
    </row>
    <row r="37" spans="2:4" x14ac:dyDescent="0.15">
      <c r="B37" s="160">
        <v>23</v>
      </c>
      <c r="D37" s="160" t="s">
        <v>700</v>
      </c>
    </row>
    <row r="38" spans="2:4" x14ac:dyDescent="0.15">
      <c r="B38" s="160">
        <v>24</v>
      </c>
    </row>
    <row r="39" spans="2:4" x14ac:dyDescent="0.15">
      <c r="B39" s="160">
        <v>25</v>
      </c>
    </row>
    <row r="40" spans="2:4" x14ac:dyDescent="0.15">
      <c r="B40" s="160">
        <v>26</v>
      </c>
    </row>
    <row r="41" spans="2:4" x14ac:dyDescent="0.15">
      <c r="B41" s="160">
        <v>27</v>
      </c>
    </row>
    <row r="42" spans="2:4" x14ac:dyDescent="0.15">
      <c r="B42" s="160">
        <v>28</v>
      </c>
    </row>
    <row r="43" spans="2:4" x14ac:dyDescent="0.15">
      <c r="B43" s="160">
        <v>29</v>
      </c>
    </row>
    <row r="44" spans="2:4" x14ac:dyDescent="0.15">
      <c r="B44" s="160">
        <v>30</v>
      </c>
    </row>
    <row r="45" spans="2:4" x14ac:dyDescent="0.15">
      <c r="B45" s="160">
        <v>31</v>
      </c>
      <c r="D45" s="160" t="s">
        <v>564</v>
      </c>
    </row>
    <row r="46" spans="2:4" x14ac:dyDescent="0.15">
      <c r="B46" s="160">
        <v>32</v>
      </c>
      <c r="D46" s="160" t="s">
        <v>566</v>
      </c>
    </row>
    <row r="47" spans="2:4" x14ac:dyDescent="0.15">
      <c r="B47" s="160">
        <v>33</v>
      </c>
    </row>
    <row r="48" spans="2:4" x14ac:dyDescent="0.15">
      <c r="B48" s="160">
        <v>34</v>
      </c>
    </row>
    <row r="49" spans="2:2" x14ac:dyDescent="0.15">
      <c r="B49" s="160">
        <v>35</v>
      </c>
    </row>
    <row r="50" spans="2:2" x14ac:dyDescent="0.15">
      <c r="B50" s="160">
        <v>36</v>
      </c>
    </row>
    <row r="51" spans="2:2" x14ac:dyDescent="0.15">
      <c r="B51" s="160">
        <v>37</v>
      </c>
    </row>
    <row r="52" spans="2:2" x14ac:dyDescent="0.15">
      <c r="B52" s="160">
        <v>38</v>
      </c>
    </row>
    <row r="53" spans="2:2" x14ac:dyDescent="0.15">
      <c r="B53" s="160">
        <v>39</v>
      </c>
    </row>
    <row r="54" spans="2:2" x14ac:dyDescent="0.15">
      <c r="B54" s="160">
        <v>40</v>
      </c>
    </row>
    <row r="55" spans="2:2" x14ac:dyDescent="0.15">
      <c r="B55" s="160">
        <v>41</v>
      </c>
    </row>
    <row r="56" spans="2:2" x14ac:dyDescent="0.15">
      <c r="B56" s="160">
        <v>42</v>
      </c>
    </row>
    <row r="57" spans="2:2" x14ac:dyDescent="0.15">
      <c r="B57" s="160">
        <v>43</v>
      </c>
    </row>
    <row r="58" spans="2:2" x14ac:dyDescent="0.15">
      <c r="B58" s="160">
        <v>44</v>
      </c>
    </row>
    <row r="59" spans="2:2" x14ac:dyDescent="0.15">
      <c r="B59" s="160">
        <v>45</v>
      </c>
    </row>
    <row r="60" spans="2:2" x14ac:dyDescent="0.15">
      <c r="B60" s="160">
        <v>46</v>
      </c>
    </row>
    <row r="61" spans="2:2" x14ac:dyDescent="0.15">
      <c r="B61" s="160">
        <v>47</v>
      </c>
    </row>
    <row r="62" spans="2:2" x14ac:dyDescent="0.15">
      <c r="B62" s="160">
        <v>48</v>
      </c>
    </row>
    <row r="63" spans="2:2" x14ac:dyDescent="0.15">
      <c r="B63" s="160">
        <v>49</v>
      </c>
    </row>
    <row r="64" spans="2:2" x14ac:dyDescent="0.15">
      <c r="B64" s="160">
        <v>50</v>
      </c>
    </row>
    <row r="65" spans="2:2" x14ac:dyDescent="0.15">
      <c r="B65" s="160">
        <v>51</v>
      </c>
    </row>
    <row r="66" spans="2:2" x14ac:dyDescent="0.15">
      <c r="B66" s="160">
        <v>52</v>
      </c>
    </row>
    <row r="67" spans="2:2" x14ac:dyDescent="0.15">
      <c r="B67" s="160">
        <v>53</v>
      </c>
    </row>
    <row r="68" spans="2:2" x14ac:dyDescent="0.15">
      <c r="B68" s="160">
        <v>54</v>
      </c>
    </row>
    <row r="69" spans="2:2" x14ac:dyDescent="0.15">
      <c r="B69" s="160">
        <v>55</v>
      </c>
    </row>
    <row r="70" spans="2:2" x14ac:dyDescent="0.15">
      <c r="B70" s="160">
        <v>56</v>
      </c>
    </row>
    <row r="71" spans="2:2" x14ac:dyDescent="0.15">
      <c r="B71" s="160">
        <v>57</v>
      </c>
    </row>
    <row r="72" spans="2:2" x14ac:dyDescent="0.15">
      <c r="B72" s="160">
        <v>58</v>
      </c>
    </row>
    <row r="73" spans="2:2" x14ac:dyDescent="0.15">
      <c r="B73" s="160">
        <v>59</v>
      </c>
    </row>
    <row r="74" spans="2:2" x14ac:dyDescent="0.15">
      <c r="B74" s="160">
        <v>60</v>
      </c>
    </row>
    <row r="75" spans="2:2" x14ac:dyDescent="0.15">
      <c r="B75" s="160">
        <v>61</v>
      </c>
    </row>
    <row r="76" spans="2:2" x14ac:dyDescent="0.15">
      <c r="B76" s="160">
        <v>62</v>
      </c>
    </row>
    <row r="77" spans="2:2" x14ac:dyDescent="0.15">
      <c r="B77" s="160">
        <v>63</v>
      </c>
    </row>
    <row r="78" spans="2:2" x14ac:dyDescent="0.15">
      <c r="B78" s="160">
        <v>64</v>
      </c>
    </row>
    <row r="79" spans="2:2" x14ac:dyDescent="0.15">
      <c r="B79" s="160">
        <v>65</v>
      </c>
    </row>
    <row r="80" spans="2:2" x14ac:dyDescent="0.15">
      <c r="B80" s="160">
        <v>66</v>
      </c>
    </row>
    <row r="81" spans="2:2" x14ac:dyDescent="0.15">
      <c r="B81" s="160">
        <v>67</v>
      </c>
    </row>
    <row r="82" spans="2:2" x14ac:dyDescent="0.15">
      <c r="B82" s="160">
        <v>68</v>
      </c>
    </row>
    <row r="83" spans="2:2" x14ac:dyDescent="0.15">
      <c r="B83" s="160">
        <v>69</v>
      </c>
    </row>
    <row r="84" spans="2:2" x14ac:dyDescent="0.15">
      <c r="B84" s="160">
        <v>70</v>
      </c>
    </row>
    <row r="85" spans="2:2" x14ac:dyDescent="0.15">
      <c r="B85" s="160">
        <v>71</v>
      </c>
    </row>
    <row r="86" spans="2:2" x14ac:dyDescent="0.15">
      <c r="B86" s="160">
        <v>72</v>
      </c>
    </row>
    <row r="87" spans="2:2" x14ac:dyDescent="0.15">
      <c r="B87" s="160">
        <v>73</v>
      </c>
    </row>
    <row r="88" spans="2:2" x14ac:dyDescent="0.15">
      <c r="B88" s="160">
        <v>74</v>
      </c>
    </row>
    <row r="89" spans="2:2" x14ac:dyDescent="0.15">
      <c r="B89" s="160">
        <v>75</v>
      </c>
    </row>
    <row r="90" spans="2:2" x14ac:dyDescent="0.15">
      <c r="B90" s="160">
        <v>76</v>
      </c>
    </row>
    <row r="91" spans="2:2" x14ac:dyDescent="0.15">
      <c r="B91" s="160">
        <v>77</v>
      </c>
    </row>
    <row r="92" spans="2:2" x14ac:dyDescent="0.15">
      <c r="B92" s="160">
        <v>78</v>
      </c>
    </row>
    <row r="93" spans="2:2" x14ac:dyDescent="0.15">
      <c r="B93" s="160">
        <v>79</v>
      </c>
    </row>
    <row r="94" spans="2:2" x14ac:dyDescent="0.15">
      <c r="B94" s="160">
        <v>80</v>
      </c>
    </row>
    <row r="95" spans="2:2" x14ac:dyDescent="0.15">
      <c r="B95" s="160">
        <v>81</v>
      </c>
    </row>
    <row r="96" spans="2:2" x14ac:dyDescent="0.15">
      <c r="B96" s="160">
        <v>82</v>
      </c>
    </row>
    <row r="97" spans="2:2" x14ac:dyDescent="0.15">
      <c r="B97" s="160">
        <v>83</v>
      </c>
    </row>
    <row r="98" spans="2:2" x14ac:dyDescent="0.15">
      <c r="B98" s="160">
        <v>84</v>
      </c>
    </row>
    <row r="99" spans="2:2" x14ac:dyDescent="0.15">
      <c r="B99" s="160">
        <v>85</v>
      </c>
    </row>
    <row r="100" spans="2:2" x14ac:dyDescent="0.15">
      <c r="B100" s="160">
        <v>86</v>
      </c>
    </row>
    <row r="101" spans="2:2" x14ac:dyDescent="0.15">
      <c r="B101" s="160">
        <v>87</v>
      </c>
    </row>
    <row r="102" spans="2:2" x14ac:dyDescent="0.15">
      <c r="B102" s="160">
        <v>88</v>
      </c>
    </row>
    <row r="103" spans="2:2" x14ac:dyDescent="0.15">
      <c r="B103" s="160">
        <v>89</v>
      </c>
    </row>
    <row r="104" spans="2:2" x14ac:dyDescent="0.15">
      <c r="B104" s="160">
        <v>90</v>
      </c>
    </row>
    <row r="105" spans="2:2" x14ac:dyDescent="0.15">
      <c r="B105" s="160">
        <v>91</v>
      </c>
    </row>
    <row r="106" spans="2:2" x14ac:dyDescent="0.15">
      <c r="B106" s="160">
        <v>92</v>
      </c>
    </row>
    <row r="107" spans="2:2" x14ac:dyDescent="0.15">
      <c r="B107" s="160">
        <v>93</v>
      </c>
    </row>
    <row r="108" spans="2:2" x14ac:dyDescent="0.15">
      <c r="B108" s="160">
        <v>94</v>
      </c>
    </row>
    <row r="109" spans="2:2" x14ac:dyDescent="0.15">
      <c r="B109" s="160">
        <v>95</v>
      </c>
    </row>
    <row r="110" spans="2:2" x14ac:dyDescent="0.15">
      <c r="B110" s="160">
        <v>96</v>
      </c>
    </row>
    <row r="111" spans="2:2" x14ac:dyDescent="0.15">
      <c r="B111" s="160">
        <v>97</v>
      </c>
    </row>
    <row r="112" spans="2:2" x14ac:dyDescent="0.15">
      <c r="B112" s="160">
        <v>98</v>
      </c>
    </row>
    <row r="113" spans="2:2" x14ac:dyDescent="0.15">
      <c r="B113" s="160">
        <v>99</v>
      </c>
    </row>
    <row r="114" spans="2:2" x14ac:dyDescent="0.15">
      <c r="B114" s="160">
        <v>100</v>
      </c>
    </row>
    <row r="115" spans="2:2" x14ac:dyDescent="0.15">
      <c r="B115" s="160">
        <v>101</v>
      </c>
    </row>
    <row r="116" spans="2:2" x14ac:dyDescent="0.15">
      <c r="B116" s="160">
        <v>102</v>
      </c>
    </row>
    <row r="117" spans="2:2" x14ac:dyDescent="0.15">
      <c r="B117" s="160">
        <v>103</v>
      </c>
    </row>
    <row r="118" spans="2:2" x14ac:dyDescent="0.15">
      <c r="B118" s="160">
        <v>104</v>
      </c>
    </row>
    <row r="119" spans="2:2" x14ac:dyDescent="0.15">
      <c r="B119" s="160">
        <v>105</v>
      </c>
    </row>
    <row r="120" spans="2:2" x14ac:dyDescent="0.15">
      <c r="B120" s="160">
        <v>106</v>
      </c>
    </row>
    <row r="121" spans="2:2" x14ac:dyDescent="0.15">
      <c r="B121" s="160">
        <v>107</v>
      </c>
    </row>
    <row r="122" spans="2:2" x14ac:dyDescent="0.15">
      <c r="B122" s="160">
        <v>108</v>
      </c>
    </row>
    <row r="123" spans="2:2" x14ac:dyDescent="0.15">
      <c r="B123" s="160">
        <v>109</v>
      </c>
    </row>
    <row r="124" spans="2:2" x14ac:dyDescent="0.15">
      <c r="B124" s="160">
        <v>110</v>
      </c>
    </row>
    <row r="125" spans="2:2" x14ac:dyDescent="0.15">
      <c r="B125" s="160">
        <v>111</v>
      </c>
    </row>
    <row r="126" spans="2:2" x14ac:dyDescent="0.15">
      <c r="B126" s="160">
        <v>112</v>
      </c>
    </row>
    <row r="127" spans="2:2" x14ac:dyDescent="0.15">
      <c r="B127" s="160">
        <v>113</v>
      </c>
    </row>
    <row r="128" spans="2:2" x14ac:dyDescent="0.15">
      <c r="B128" s="160">
        <v>114</v>
      </c>
    </row>
    <row r="129" spans="2:2" x14ac:dyDescent="0.15">
      <c r="B129" s="160">
        <v>115</v>
      </c>
    </row>
    <row r="130" spans="2:2" x14ac:dyDescent="0.15">
      <c r="B130" s="160">
        <v>116</v>
      </c>
    </row>
    <row r="131" spans="2:2" x14ac:dyDescent="0.15">
      <c r="B131" s="160">
        <v>117</v>
      </c>
    </row>
    <row r="132" spans="2:2" x14ac:dyDescent="0.15">
      <c r="B132" s="160">
        <v>118</v>
      </c>
    </row>
    <row r="133" spans="2:2" x14ac:dyDescent="0.15">
      <c r="B133" s="160">
        <v>119</v>
      </c>
    </row>
    <row r="134" spans="2:2" x14ac:dyDescent="0.15">
      <c r="B134" s="160">
        <v>120</v>
      </c>
    </row>
    <row r="135" spans="2:2" x14ac:dyDescent="0.15">
      <c r="B135" s="160">
        <v>121</v>
      </c>
    </row>
    <row r="136" spans="2:2" x14ac:dyDescent="0.15">
      <c r="B136" s="160">
        <v>122</v>
      </c>
    </row>
    <row r="137" spans="2:2" x14ac:dyDescent="0.15">
      <c r="B137" s="160">
        <v>123</v>
      </c>
    </row>
    <row r="138" spans="2:2" x14ac:dyDescent="0.15">
      <c r="B138" s="160">
        <v>124</v>
      </c>
    </row>
    <row r="139" spans="2:2" x14ac:dyDescent="0.15">
      <c r="B139" s="160">
        <v>125</v>
      </c>
    </row>
    <row r="140" spans="2:2" x14ac:dyDescent="0.15">
      <c r="B140" s="160">
        <v>126</v>
      </c>
    </row>
    <row r="141" spans="2:2" x14ac:dyDescent="0.15">
      <c r="B141" s="160">
        <v>127</v>
      </c>
    </row>
    <row r="142" spans="2:2" x14ac:dyDescent="0.15">
      <c r="B142" s="160">
        <v>128</v>
      </c>
    </row>
    <row r="143" spans="2:2" x14ac:dyDescent="0.15">
      <c r="B143" s="160">
        <v>129</v>
      </c>
    </row>
    <row r="144" spans="2:2" x14ac:dyDescent="0.15">
      <c r="B144" s="160">
        <v>130</v>
      </c>
    </row>
    <row r="145" spans="2:2" x14ac:dyDescent="0.15">
      <c r="B145" s="160">
        <v>131</v>
      </c>
    </row>
    <row r="146" spans="2:2" x14ac:dyDescent="0.15">
      <c r="B146" s="160">
        <v>132</v>
      </c>
    </row>
    <row r="147" spans="2:2" x14ac:dyDescent="0.15">
      <c r="B147" s="160">
        <v>133</v>
      </c>
    </row>
    <row r="148" spans="2:2" x14ac:dyDescent="0.15">
      <c r="B148" s="160">
        <v>134</v>
      </c>
    </row>
    <row r="149" spans="2:2" x14ac:dyDescent="0.15">
      <c r="B149" s="160">
        <v>135</v>
      </c>
    </row>
    <row r="150" spans="2:2" x14ac:dyDescent="0.15">
      <c r="B150" s="160">
        <v>136</v>
      </c>
    </row>
    <row r="151" spans="2:2" x14ac:dyDescent="0.15">
      <c r="B151" s="160">
        <v>137</v>
      </c>
    </row>
    <row r="152" spans="2:2" x14ac:dyDescent="0.15">
      <c r="B152" s="160">
        <v>138</v>
      </c>
    </row>
    <row r="153" spans="2:2" x14ac:dyDescent="0.15">
      <c r="B153" s="160">
        <v>139</v>
      </c>
    </row>
    <row r="154" spans="2:2" x14ac:dyDescent="0.15">
      <c r="B154" s="160">
        <v>140</v>
      </c>
    </row>
    <row r="155" spans="2:2" x14ac:dyDescent="0.15">
      <c r="B155" s="160">
        <v>141</v>
      </c>
    </row>
    <row r="156" spans="2:2" x14ac:dyDescent="0.15">
      <c r="B156" s="160">
        <v>142</v>
      </c>
    </row>
    <row r="157" spans="2:2" x14ac:dyDescent="0.15">
      <c r="B157" s="160">
        <v>143</v>
      </c>
    </row>
    <row r="158" spans="2:2" x14ac:dyDescent="0.15">
      <c r="B158" s="160">
        <v>144</v>
      </c>
    </row>
    <row r="159" spans="2:2" x14ac:dyDescent="0.15">
      <c r="B159" s="160">
        <v>145</v>
      </c>
    </row>
    <row r="160" spans="2:2" x14ac:dyDescent="0.15">
      <c r="B160" s="160">
        <v>146</v>
      </c>
    </row>
    <row r="161" spans="2:2" x14ac:dyDescent="0.15">
      <c r="B161" s="160">
        <v>147</v>
      </c>
    </row>
    <row r="162" spans="2:2" x14ac:dyDescent="0.15">
      <c r="B162" s="160">
        <v>148</v>
      </c>
    </row>
    <row r="163" spans="2:2" x14ac:dyDescent="0.15">
      <c r="B163" s="160">
        <v>149</v>
      </c>
    </row>
    <row r="164" spans="2:2" x14ac:dyDescent="0.15">
      <c r="B164" s="160">
        <v>150</v>
      </c>
    </row>
    <row r="165" spans="2:2" x14ac:dyDescent="0.15">
      <c r="B165" s="160">
        <v>151</v>
      </c>
    </row>
    <row r="166" spans="2:2" x14ac:dyDescent="0.15">
      <c r="B166" s="160">
        <v>152</v>
      </c>
    </row>
    <row r="167" spans="2:2" x14ac:dyDescent="0.15">
      <c r="B167" s="160">
        <v>153</v>
      </c>
    </row>
    <row r="168" spans="2:2" x14ac:dyDescent="0.15">
      <c r="B168" s="160">
        <v>154</v>
      </c>
    </row>
    <row r="169" spans="2:2" x14ac:dyDescent="0.15">
      <c r="B169" s="160">
        <v>155</v>
      </c>
    </row>
    <row r="170" spans="2:2" x14ac:dyDescent="0.15">
      <c r="B170" s="160">
        <v>156</v>
      </c>
    </row>
    <row r="171" spans="2:2" x14ac:dyDescent="0.15">
      <c r="B171" s="160">
        <v>157</v>
      </c>
    </row>
    <row r="172" spans="2:2" x14ac:dyDescent="0.15">
      <c r="B172" s="160">
        <v>158</v>
      </c>
    </row>
    <row r="173" spans="2:2" x14ac:dyDescent="0.15">
      <c r="B173" s="160">
        <v>159</v>
      </c>
    </row>
    <row r="174" spans="2:2" x14ac:dyDescent="0.15">
      <c r="B174" s="160">
        <v>160</v>
      </c>
    </row>
    <row r="175" spans="2:2" x14ac:dyDescent="0.15">
      <c r="B175" s="160">
        <v>161</v>
      </c>
    </row>
    <row r="176" spans="2:2" x14ac:dyDescent="0.15">
      <c r="B176" s="160">
        <v>162</v>
      </c>
    </row>
    <row r="177" spans="2:2" x14ac:dyDescent="0.15">
      <c r="B177" s="160">
        <v>163</v>
      </c>
    </row>
    <row r="178" spans="2:2" x14ac:dyDescent="0.15">
      <c r="B178" s="160">
        <v>164</v>
      </c>
    </row>
    <row r="179" spans="2:2" x14ac:dyDescent="0.15">
      <c r="B179" s="160">
        <v>165</v>
      </c>
    </row>
    <row r="180" spans="2:2" x14ac:dyDescent="0.15">
      <c r="B180" s="160">
        <v>166</v>
      </c>
    </row>
    <row r="181" spans="2:2" x14ac:dyDescent="0.15">
      <c r="B181" s="160">
        <v>167</v>
      </c>
    </row>
    <row r="182" spans="2:2" x14ac:dyDescent="0.15">
      <c r="B182" s="160">
        <v>168</v>
      </c>
    </row>
    <row r="183" spans="2:2" x14ac:dyDescent="0.15">
      <c r="B183" s="160">
        <v>169</v>
      </c>
    </row>
    <row r="184" spans="2:2" x14ac:dyDescent="0.15">
      <c r="B184" s="160">
        <v>170</v>
      </c>
    </row>
    <row r="185" spans="2:2" x14ac:dyDescent="0.15">
      <c r="B185" s="160">
        <v>171</v>
      </c>
    </row>
    <row r="186" spans="2:2" x14ac:dyDescent="0.15">
      <c r="B186" s="160">
        <v>172</v>
      </c>
    </row>
    <row r="187" spans="2:2" x14ac:dyDescent="0.15">
      <c r="B187" s="160">
        <v>173</v>
      </c>
    </row>
    <row r="188" spans="2:2" x14ac:dyDescent="0.15">
      <c r="B188" s="160">
        <v>174</v>
      </c>
    </row>
    <row r="189" spans="2:2" x14ac:dyDescent="0.15">
      <c r="B189" s="160">
        <v>175</v>
      </c>
    </row>
    <row r="190" spans="2:2" x14ac:dyDescent="0.15">
      <c r="B190" s="160">
        <v>176</v>
      </c>
    </row>
    <row r="191" spans="2:2" x14ac:dyDescent="0.15">
      <c r="B191" s="160">
        <v>177</v>
      </c>
    </row>
    <row r="192" spans="2:2" x14ac:dyDescent="0.15">
      <c r="B192" s="160">
        <v>178</v>
      </c>
    </row>
    <row r="193" spans="2:2" x14ac:dyDescent="0.15">
      <c r="B193" s="160">
        <v>179</v>
      </c>
    </row>
    <row r="194" spans="2:2" x14ac:dyDescent="0.15">
      <c r="B194" s="160">
        <v>180</v>
      </c>
    </row>
    <row r="195" spans="2:2" x14ac:dyDescent="0.15">
      <c r="B195" s="160">
        <v>181</v>
      </c>
    </row>
    <row r="196" spans="2:2" x14ac:dyDescent="0.15">
      <c r="B196" s="160">
        <v>182</v>
      </c>
    </row>
    <row r="197" spans="2:2" x14ac:dyDescent="0.15">
      <c r="B197" s="160">
        <v>183</v>
      </c>
    </row>
    <row r="198" spans="2:2" x14ac:dyDescent="0.15">
      <c r="B198" s="160">
        <v>184</v>
      </c>
    </row>
    <row r="199" spans="2:2" x14ac:dyDescent="0.15">
      <c r="B199" s="160">
        <v>185</v>
      </c>
    </row>
    <row r="200" spans="2:2" x14ac:dyDescent="0.15">
      <c r="B200" s="160">
        <v>186</v>
      </c>
    </row>
    <row r="201" spans="2:2" x14ac:dyDescent="0.15">
      <c r="B201" s="160">
        <v>187</v>
      </c>
    </row>
    <row r="202" spans="2:2" x14ac:dyDescent="0.15">
      <c r="B202" s="160">
        <v>188</v>
      </c>
    </row>
    <row r="203" spans="2:2" x14ac:dyDescent="0.15">
      <c r="B203" s="160">
        <v>189</v>
      </c>
    </row>
    <row r="204" spans="2:2" x14ac:dyDescent="0.15">
      <c r="B204" s="160">
        <v>190</v>
      </c>
    </row>
    <row r="205" spans="2:2" x14ac:dyDescent="0.15">
      <c r="B205" s="160">
        <v>191</v>
      </c>
    </row>
    <row r="206" spans="2:2" x14ac:dyDescent="0.15">
      <c r="B206" s="160">
        <v>192</v>
      </c>
    </row>
    <row r="207" spans="2:2" x14ac:dyDescent="0.15">
      <c r="B207" s="160">
        <v>193</v>
      </c>
    </row>
    <row r="208" spans="2:2" x14ac:dyDescent="0.15">
      <c r="B208" s="160">
        <v>194</v>
      </c>
    </row>
    <row r="209" spans="2:2" x14ac:dyDescent="0.15">
      <c r="B209" s="160">
        <v>195</v>
      </c>
    </row>
    <row r="210" spans="2:2" x14ac:dyDescent="0.15">
      <c r="B210" s="160">
        <v>196</v>
      </c>
    </row>
    <row r="211" spans="2:2" x14ac:dyDescent="0.15">
      <c r="B211" s="160">
        <v>197</v>
      </c>
    </row>
    <row r="212" spans="2:2" x14ac:dyDescent="0.15">
      <c r="B212" s="160">
        <v>198</v>
      </c>
    </row>
    <row r="213" spans="2:2" x14ac:dyDescent="0.15">
      <c r="B213" s="160">
        <v>199</v>
      </c>
    </row>
    <row r="214" spans="2:2" x14ac:dyDescent="0.15">
      <c r="B214" s="160">
        <v>200</v>
      </c>
    </row>
    <row r="215" spans="2:2" x14ac:dyDescent="0.15">
      <c r="B215" s="160">
        <v>201</v>
      </c>
    </row>
    <row r="216" spans="2:2" x14ac:dyDescent="0.15">
      <c r="B216" s="160">
        <v>202</v>
      </c>
    </row>
    <row r="217" spans="2:2" x14ac:dyDescent="0.15">
      <c r="B217" s="160">
        <v>203</v>
      </c>
    </row>
    <row r="218" spans="2:2" x14ac:dyDescent="0.15">
      <c r="B218" s="160">
        <v>204</v>
      </c>
    </row>
    <row r="219" spans="2:2" x14ac:dyDescent="0.15">
      <c r="B219" s="160">
        <v>205</v>
      </c>
    </row>
    <row r="220" spans="2:2" x14ac:dyDescent="0.15">
      <c r="B220" s="160">
        <v>206</v>
      </c>
    </row>
    <row r="221" spans="2:2" x14ac:dyDescent="0.15">
      <c r="B221" s="160">
        <v>207</v>
      </c>
    </row>
    <row r="222" spans="2:2" x14ac:dyDescent="0.15">
      <c r="B222" s="160">
        <v>208</v>
      </c>
    </row>
    <row r="223" spans="2:2" x14ac:dyDescent="0.15">
      <c r="B223" s="160">
        <v>209</v>
      </c>
    </row>
    <row r="224" spans="2:2" x14ac:dyDescent="0.15">
      <c r="B224" s="160">
        <v>210</v>
      </c>
    </row>
    <row r="225" spans="2:2" x14ac:dyDescent="0.15">
      <c r="B225" s="160">
        <v>211</v>
      </c>
    </row>
    <row r="226" spans="2:2" x14ac:dyDescent="0.15">
      <c r="B226" s="160">
        <v>212</v>
      </c>
    </row>
    <row r="227" spans="2:2" x14ac:dyDescent="0.15">
      <c r="B227" s="160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topLeftCell="A4" workbookViewId="0">
      <selection activeCell="D65" sqref="D65"/>
    </sheetView>
  </sheetViews>
  <sheetFormatPr defaultColWidth="9.125" defaultRowHeight="13.5" x14ac:dyDescent="0.15"/>
  <cols>
    <col min="1" max="16384" width="9.125" style="157"/>
  </cols>
  <sheetData>
    <row r="1" spans="1:9" s="158" customFormat="1" x14ac:dyDescent="0.15">
      <c r="A1" s="158" t="s">
        <v>114</v>
      </c>
    </row>
    <row r="2" spans="1:9" s="48" customFormat="1" x14ac:dyDescent="0.15"/>
    <row r="3" spans="1:9" s="76" customFormat="1" x14ac:dyDescent="0.15">
      <c r="B3" s="76" t="s">
        <v>297</v>
      </c>
      <c r="D3" s="76" t="s">
        <v>298</v>
      </c>
      <c r="G3" s="76" t="s">
        <v>299</v>
      </c>
    </row>
    <row r="4" spans="1:9" s="48" customFormat="1" x14ac:dyDescent="0.15">
      <c r="B4" s="48" t="s">
        <v>116</v>
      </c>
      <c r="D4" s="48" t="s">
        <v>164</v>
      </c>
      <c r="G4" s="48" t="s">
        <v>164</v>
      </c>
    </row>
    <row r="5" spans="1:9" s="48" customFormat="1" x14ac:dyDescent="0.15">
      <c r="B5" s="48" t="s">
        <v>115</v>
      </c>
      <c r="D5" s="48" t="s">
        <v>166</v>
      </c>
      <c r="G5" s="48" t="s">
        <v>167</v>
      </c>
    </row>
    <row r="6" spans="1:9" s="48" customFormat="1" x14ac:dyDescent="0.15">
      <c r="B6" s="48" t="s">
        <v>122</v>
      </c>
      <c r="D6" s="48" t="s">
        <v>152</v>
      </c>
      <c r="G6" s="48" t="s">
        <v>123</v>
      </c>
    </row>
    <row r="7" spans="1:9" s="48" customFormat="1" x14ac:dyDescent="0.15">
      <c r="B7" s="48" t="s">
        <v>117</v>
      </c>
      <c r="D7" s="48" t="s">
        <v>168</v>
      </c>
      <c r="G7" s="48" t="s">
        <v>168</v>
      </c>
    </row>
    <row r="8" spans="1:9" s="48" customFormat="1" x14ac:dyDescent="0.15">
      <c r="B8" s="48" t="s">
        <v>118</v>
      </c>
      <c r="D8" s="48" t="s">
        <v>119</v>
      </c>
      <c r="G8" s="48" t="s">
        <v>119</v>
      </c>
    </row>
    <row r="9" spans="1:9" s="48" customFormat="1" x14ac:dyDescent="0.15">
      <c r="B9" s="48" t="s">
        <v>120</v>
      </c>
      <c r="D9" s="48" t="s">
        <v>165</v>
      </c>
      <c r="G9" s="48" t="s">
        <v>190</v>
      </c>
    </row>
    <row r="10" spans="1:9" s="48" customFormat="1" x14ac:dyDescent="0.15">
      <c r="B10" s="48" t="s">
        <v>470</v>
      </c>
      <c r="D10" s="48" t="s">
        <v>471</v>
      </c>
      <c r="G10" s="48" t="s">
        <v>472</v>
      </c>
    </row>
    <row r="11" spans="1:9" s="48" customFormat="1" x14ac:dyDescent="0.15">
      <c r="B11" s="48" t="s">
        <v>124</v>
      </c>
      <c r="D11" s="48" t="s">
        <v>363</v>
      </c>
      <c r="G11" s="48" t="s">
        <v>169</v>
      </c>
    </row>
    <row r="12" spans="1:9" s="48" customFormat="1" x14ac:dyDescent="0.15">
      <c r="B12" s="48" t="s">
        <v>126</v>
      </c>
      <c r="D12" s="48" t="s">
        <v>151</v>
      </c>
      <c r="G12" s="48" t="s">
        <v>125</v>
      </c>
    </row>
    <row r="13" spans="1:9" s="48" customFormat="1" x14ac:dyDescent="0.15">
      <c r="B13" s="48" t="s">
        <v>133</v>
      </c>
      <c r="D13" s="48" t="s">
        <v>170</v>
      </c>
      <c r="G13" s="48" t="s">
        <v>172</v>
      </c>
      <c r="I13" s="48" t="s">
        <v>188</v>
      </c>
    </row>
    <row r="14" spans="1:9" s="48" customFormat="1" x14ac:dyDescent="0.15">
      <c r="B14" s="48" t="s">
        <v>134</v>
      </c>
      <c r="D14" s="48" t="s">
        <v>171</v>
      </c>
      <c r="G14" s="48" t="s">
        <v>135</v>
      </c>
    </row>
    <row r="15" spans="1:9" s="48" customFormat="1" x14ac:dyDescent="0.15">
      <c r="B15" s="48" t="s">
        <v>130</v>
      </c>
      <c r="D15" s="48" t="s">
        <v>131</v>
      </c>
      <c r="G15" s="48" t="s">
        <v>132</v>
      </c>
    </row>
    <row r="16" spans="1:9" s="48" customFormat="1" x14ac:dyDescent="0.15">
      <c r="B16" s="48" t="s">
        <v>128</v>
      </c>
      <c r="D16" s="48" t="s">
        <v>150</v>
      </c>
      <c r="G16" s="48" t="s">
        <v>129</v>
      </c>
    </row>
    <row r="17" spans="2:7" s="48" customFormat="1" x14ac:dyDescent="0.15">
      <c r="B17" s="48" t="s">
        <v>136</v>
      </c>
      <c r="D17" s="48" t="s">
        <v>149</v>
      </c>
      <c r="G17" s="48" t="s">
        <v>137</v>
      </c>
    </row>
    <row r="18" spans="2:7" s="48" customFormat="1" x14ac:dyDescent="0.15">
      <c r="B18" s="48" t="s">
        <v>143</v>
      </c>
      <c r="D18" s="48" t="s">
        <v>144</v>
      </c>
      <c r="G18" s="48" t="s">
        <v>145</v>
      </c>
    </row>
    <row r="19" spans="2:7" s="48" customFormat="1" x14ac:dyDescent="0.15"/>
    <row r="20" spans="2:7" s="48" customFormat="1" x14ac:dyDescent="0.15">
      <c r="B20" s="48" t="s">
        <v>147</v>
      </c>
      <c r="D20" s="48" t="s">
        <v>148</v>
      </c>
      <c r="G20" s="48" t="s">
        <v>157</v>
      </c>
    </row>
    <row r="21" spans="2:7" s="48" customFormat="1" x14ac:dyDescent="0.15">
      <c r="B21" s="48" t="s">
        <v>155</v>
      </c>
      <c r="D21" s="48" t="s">
        <v>153</v>
      </c>
      <c r="G21" s="48" t="s">
        <v>154</v>
      </c>
    </row>
    <row r="22" spans="2:7" s="48" customFormat="1" x14ac:dyDescent="0.15">
      <c r="B22" s="48" t="s">
        <v>158</v>
      </c>
      <c r="D22" s="48" t="s">
        <v>159</v>
      </c>
      <c r="G22" s="48" t="s">
        <v>160</v>
      </c>
    </row>
    <row r="23" spans="2:7" s="48" customFormat="1" x14ac:dyDescent="0.15">
      <c r="B23" s="48" t="s">
        <v>162</v>
      </c>
      <c r="D23" s="48" t="s">
        <v>173</v>
      </c>
      <c r="G23" s="48" t="s">
        <v>174</v>
      </c>
    </row>
    <row r="24" spans="2:7" s="48" customFormat="1" x14ac:dyDescent="0.15">
      <c r="B24" s="48" t="s">
        <v>197</v>
      </c>
      <c r="D24" s="48" t="s">
        <v>204</v>
      </c>
      <c r="G24" s="48" t="s">
        <v>200</v>
      </c>
    </row>
    <row r="25" spans="2:7" s="48" customFormat="1" x14ac:dyDescent="0.15">
      <c r="B25" s="48" t="s">
        <v>198</v>
      </c>
      <c r="D25" s="48" t="s">
        <v>201</v>
      </c>
      <c r="G25" s="48" t="s">
        <v>210</v>
      </c>
    </row>
    <row r="26" spans="2:7" s="48" customFormat="1" x14ac:dyDescent="0.15">
      <c r="B26" s="48" t="s">
        <v>196</v>
      </c>
      <c r="D26" s="48" t="s">
        <v>202</v>
      </c>
      <c r="G26" s="48" t="s">
        <v>203</v>
      </c>
    </row>
    <row r="27" spans="2:7" s="48" customFormat="1" x14ac:dyDescent="0.15">
      <c r="B27" s="48" t="s">
        <v>199</v>
      </c>
      <c r="D27" s="48" t="s">
        <v>205</v>
      </c>
      <c r="G27" s="48" t="s">
        <v>206</v>
      </c>
    </row>
    <row r="28" spans="2:7" s="48" customFormat="1" x14ac:dyDescent="0.15">
      <c r="B28" s="48" t="s">
        <v>213</v>
      </c>
      <c r="D28" s="48" t="s">
        <v>178</v>
      </c>
      <c r="G28" s="48" t="s">
        <v>179</v>
      </c>
    </row>
    <row r="29" spans="2:7" s="48" customFormat="1" x14ac:dyDescent="0.15">
      <c r="B29" s="48" t="s">
        <v>175</v>
      </c>
      <c r="D29" s="48" t="s">
        <v>176</v>
      </c>
      <c r="G29" s="48" t="s">
        <v>180</v>
      </c>
    </row>
    <row r="30" spans="2:7" s="48" customFormat="1" x14ac:dyDescent="0.15">
      <c r="B30" s="48" t="s">
        <v>214</v>
      </c>
      <c r="D30" s="48" t="s">
        <v>531</v>
      </c>
      <c r="G30" s="48" t="s">
        <v>532</v>
      </c>
    </row>
    <row r="31" spans="2:7" s="48" customFormat="1" x14ac:dyDescent="0.15">
      <c r="B31" s="48" t="s">
        <v>215</v>
      </c>
      <c r="D31" s="48" t="s">
        <v>530</v>
      </c>
      <c r="G31" s="48" t="s">
        <v>533</v>
      </c>
    </row>
    <row r="32" spans="2:7" s="48" customFormat="1" x14ac:dyDescent="0.15">
      <c r="B32" s="48" t="s">
        <v>529</v>
      </c>
      <c r="D32" s="48" t="s">
        <v>527</v>
      </c>
      <c r="G32" s="48" t="s">
        <v>528</v>
      </c>
    </row>
    <row r="33" spans="2:7" s="48" customFormat="1" x14ac:dyDescent="0.15">
      <c r="B33" s="48" t="s">
        <v>221</v>
      </c>
      <c r="D33" s="48" t="s">
        <v>222</v>
      </c>
      <c r="G33" s="48" t="s">
        <v>223</v>
      </c>
    </row>
    <row r="34" spans="2:7" s="48" customFormat="1" x14ac:dyDescent="0.15">
      <c r="B34" s="48" t="s">
        <v>224</v>
      </c>
      <c r="D34" s="48" t="s">
        <v>225</v>
      </c>
      <c r="G34" s="48" t="s">
        <v>226</v>
      </c>
    </row>
    <row r="35" spans="2:7" s="48" customFormat="1" x14ac:dyDescent="0.15">
      <c r="B35" s="48" t="s">
        <v>163</v>
      </c>
      <c r="D35" s="48" t="s">
        <v>173</v>
      </c>
      <c r="G35" s="48" t="s">
        <v>174</v>
      </c>
    </row>
    <row r="36" spans="2:7" s="48" customFormat="1" x14ac:dyDescent="0.15">
      <c r="B36" s="48" t="s">
        <v>95</v>
      </c>
      <c r="D36" s="48" t="s">
        <v>235</v>
      </c>
      <c r="G36" s="48" t="s">
        <v>236</v>
      </c>
    </row>
    <row r="37" spans="2:7" s="48" customFormat="1" x14ac:dyDescent="0.15">
      <c r="B37" s="48" t="s">
        <v>243</v>
      </c>
      <c r="D37" s="48" t="s">
        <v>244</v>
      </c>
      <c r="G37" s="48" t="s">
        <v>245</v>
      </c>
    </row>
    <row r="38" spans="2:7" s="48" customFormat="1" x14ac:dyDescent="0.15">
      <c r="B38" s="48" t="s">
        <v>250</v>
      </c>
      <c r="D38" s="48" t="s">
        <v>251</v>
      </c>
      <c r="G38" s="48" t="s">
        <v>252</v>
      </c>
    </row>
    <row r="39" spans="2:7" s="48" customFormat="1" x14ac:dyDescent="0.15">
      <c r="B39" s="48" t="s">
        <v>234</v>
      </c>
      <c r="D39" s="48" t="s">
        <v>177</v>
      </c>
      <c r="G39" s="48" t="s">
        <v>183</v>
      </c>
    </row>
    <row r="40" spans="2:7" s="48" customFormat="1" x14ac:dyDescent="0.15">
      <c r="B40" s="48" t="s">
        <v>260</v>
      </c>
      <c r="D40" s="48" t="s">
        <v>261</v>
      </c>
      <c r="G40" s="48" t="s">
        <v>262</v>
      </c>
    </row>
    <row r="41" spans="2:7" s="48" customFormat="1" x14ac:dyDescent="0.15">
      <c r="B41" s="48" t="s">
        <v>263</v>
      </c>
      <c r="D41" s="48" t="s">
        <v>264</v>
      </c>
      <c r="G41" s="48" t="s">
        <v>264</v>
      </c>
    </row>
    <row r="42" spans="2:7" s="48" customFormat="1" x14ac:dyDescent="0.15">
      <c r="B42" s="48" t="s">
        <v>266</v>
      </c>
      <c r="D42" s="48" t="s">
        <v>267</v>
      </c>
      <c r="G42" s="48" t="s">
        <v>268</v>
      </c>
    </row>
    <row r="43" spans="2:7" s="48" customFormat="1" x14ac:dyDescent="0.15">
      <c r="B43" s="48" t="s">
        <v>270</v>
      </c>
      <c r="D43" s="48" t="s">
        <v>271</v>
      </c>
      <c r="G43" s="48" t="s">
        <v>271</v>
      </c>
    </row>
    <row r="44" spans="2:7" s="48" customFormat="1" x14ac:dyDescent="0.15">
      <c r="B44" s="48" t="s">
        <v>276</v>
      </c>
      <c r="D44" s="48" t="s">
        <v>275</v>
      </c>
      <c r="G44" s="48" t="s">
        <v>275</v>
      </c>
    </row>
    <row r="45" spans="2:7" s="48" customFormat="1" x14ac:dyDescent="0.15">
      <c r="B45" s="48" t="s">
        <v>278</v>
      </c>
      <c r="D45" s="48" t="s">
        <v>279</v>
      </c>
      <c r="G45" s="48" t="s">
        <v>280</v>
      </c>
    </row>
    <row r="46" spans="2:7" s="48" customFormat="1" x14ac:dyDescent="0.15">
      <c r="B46" s="48" t="s">
        <v>281</v>
      </c>
      <c r="D46" s="48" t="s">
        <v>282</v>
      </c>
      <c r="G46" s="48" t="s">
        <v>284</v>
      </c>
    </row>
    <row r="47" spans="2:7" s="48" customFormat="1" x14ac:dyDescent="0.15">
      <c r="B47" s="48" t="s">
        <v>294</v>
      </c>
      <c r="D47" s="48" t="s">
        <v>494</v>
      </c>
      <c r="G47" s="48" t="s">
        <v>295</v>
      </c>
    </row>
    <row r="48" spans="2:7" s="48" customFormat="1" x14ac:dyDescent="0.15">
      <c r="B48" s="48" t="s">
        <v>285</v>
      </c>
      <c r="D48" s="48" t="s">
        <v>286</v>
      </c>
      <c r="G48" s="48" t="s">
        <v>286</v>
      </c>
    </row>
    <row r="49" spans="2:7" s="48" customFormat="1" x14ac:dyDescent="0.15">
      <c r="B49" s="48" t="s">
        <v>287</v>
      </c>
      <c r="D49" s="48" t="s">
        <v>181</v>
      </c>
      <c r="G49" s="48" t="s">
        <v>181</v>
      </c>
    </row>
    <row r="50" spans="2:7" s="48" customFormat="1" x14ac:dyDescent="0.15">
      <c r="B50" s="48" t="s">
        <v>288</v>
      </c>
      <c r="D50" s="48" t="s">
        <v>289</v>
      </c>
      <c r="G50" s="48" t="s">
        <v>290</v>
      </c>
    </row>
    <row r="51" spans="2:7" s="48" customFormat="1" x14ac:dyDescent="0.15"/>
    <row r="52" spans="2:7" s="48" customFormat="1" x14ac:dyDescent="0.15">
      <c r="B52" s="48" t="s">
        <v>1</v>
      </c>
      <c r="D52" s="48" t="s">
        <v>364</v>
      </c>
      <c r="G52" s="48" t="s">
        <v>365</v>
      </c>
    </row>
    <row r="53" spans="2:7" s="48" customFormat="1" x14ac:dyDescent="0.15">
      <c r="B53" s="48" t="s">
        <v>499</v>
      </c>
      <c r="D53" s="48" t="s">
        <v>501</v>
      </c>
      <c r="G53" s="48" t="s">
        <v>500</v>
      </c>
    </row>
    <row r="54" spans="2:7" s="48" customFormat="1" x14ac:dyDescent="0.15">
      <c r="B54" s="48" t="s">
        <v>508</v>
      </c>
      <c r="D54" s="48" t="s">
        <v>509</v>
      </c>
      <c r="G54" s="48" t="s">
        <v>509</v>
      </c>
    </row>
    <row r="55" spans="2:7" s="48" customFormat="1" x14ac:dyDescent="0.15">
      <c r="B55" s="48" t="s">
        <v>381</v>
      </c>
      <c r="D55" s="48" t="s">
        <v>457</v>
      </c>
      <c r="G55" s="48" t="s">
        <v>458</v>
      </c>
    </row>
    <row r="56" spans="2:7" s="48" customFormat="1" x14ac:dyDescent="0.15">
      <c r="B56" s="48" t="s">
        <v>447</v>
      </c>
      <c r="D56" s="48" t="s">
        <v>448</v>
      </c>
      <c r="G56" s="48" t="s">
        <v>449</v>
      </c>
    </row>
    <row r="57" spans="2:7" s="48" customFormat="1" x14ac:dyDescent="0.15">
      <c r="B57" s="48" t="s">
        <v>442</v>
      </c>
      <c r="D57" s="48" t="s">
        <v>443</v>
      </c>
      <c r="G57" s="48" t="s">
        <v>290</v>
      </c>
    </row>
    <row r="58" spans="2:7" x14ac:dyDescent="0.15">
      <c r="B58" s="157" t="s">
        <v>432</v>
      </c>
      <c r="D58" s="157" t="s">
        <v>433</v>
      </c>
      <c r="G58" s="157" t="s">
        <v>434</v>
      </c>
    </row>
    <row r="59" spans="2:7" x14ac:dyDescent="0.15">
      <c r="B59" s="157" t="s">
        <v>502</v>
      </c>
      <c r="D59" s="157" t="s">
        <v>503</v>
      </c>
      <c r="G59" s="157" t="s">
        <v>504</v>
      </c>
    </row>
    <row r="60" spans="2:7" x14ac:dyDescent="0.15">
      <c r="B60" s="157" t="s">
        <v>444</v>
      </c>
      <c r="D60" s="157" t="s">
        <v>445</v>
      </c>
      <c r="G60" s="157" t="s">
        <v>446</v>
      </c>
    </row>
    <row r="61" spans="2:7" s="48" customFormat="1" x14ac:dyDescent="0.15">
      <c r="B61" s="48" t="s">
        <v>366</v>
      </c>
      <c r="D61" s="48" t="s">
        <v>367</v>
      </c>
      <c r="G61" s="48" t="s">
        <v>450</v>
      </c>
    </row>
    <row r="62" spans="2:7" s="48" customFormat="1" x14ac:dyDescent="0.15">
      <c r="B62" s="48" t="s">
        <v>368</v>
      </c>
      <c r="D62" s="48" t="s">
        <v>369</v>
      </c>
      <c r="G62" s="48" t="s">
        <v>370</v>
      </c>
    </row>
    <row r="63" spans="2:7" s="48" customFormat="1" x14ac:dyDescent="0.15">
      <c r="B63" s="48" t="s">
        <v>371</v>
      </c>
      <c r="D63" s="48" t="s">
        <v>372</v>
      </c>
      <c r="G63" s="48" t="s">
        <v>372</v>
      </c>
    </row>
    <row r="64" spans="2:7" s="48" customFormat="1" x14ac:dyDescent="0.15">
      <c r="B64" s="48" t="s">
        <v>373</v>
      </c>
      <c r="D64" s="48" t="s">
        <v>374</v>
      </c>
      <c r="G64" s="48" t="s">
        <v>174</v>
      </c>
    </row>
    <row r="65" spans="2:7" s="48" customFormat="1" x14ac:dyDescent="0.15">
      <c r="B65" s="48" t="s">
        <v>375</v>
      </c>
      <c r="D65" s="48" t="s">
        <v>376</v>
      </c>
      <c r="G65" s="48" t="s">
        <v>377</v>
      </c>
    </row>
    <row r="66" spans="2:7" s="48" customFormat="1" x14ac:dyDescent="0.15">
      <c r="B66" s="48" t="s">
        <v>435</v>
      </c>
      <c r="D66" s="48" t="s">
        <v>436</v>
      </c>
      <c r="G66" s="48" t="s">
        <v>437</v>
      </c>
    </row>
    <row r="67" spans="2:7" x14ac:dyDescent="0.15">
      <c r="B67" s="157" t="s">
        <v>438</v>
      </c>
      <c r="D67" s="157" t="s">
        <v>439</v>
      </c>
      <c r="G67" s="157" t="s">
        <v>440</v>
      </c>
    </row>
    <row r="68" spans="2:7" x14ac:dyDescent="0.15">
      <c r="B68" s="157" t="s">
        <v>278</v>
      </c>
      <c r="D68" s="157" t="s">
        <v>459</v>
      </c>
      <c r="G68" s="157" t="s">
        <v>460</v>
      </c>
    </row>
    <row r="69" spans="2:7" x14ac:dyDescent="0.15">
      <c r="B69" s="157" t="s">
        <v>464</v>
      </c>
      <c r="D69" s="157" t="s">
        <v>465</v>
      </c>
      <c r="G69" s="157" t="s">
        <v>466</v>
      </c>
    </row>
    <row r="70" spans="2:7" x14ac:dyDescent="0.15">
      <c r="B70" s="157" t="s">
        <v>467</v>
      </c>
      <c r="D70" s="157" t="s">
        <v>468</v>
      </c>
      <c r="G70" s="157" t="s">
        <v>469</v>
      </c>
    </row>
    <row r="72" spans="2:7" x14ac:dyDescent="0.15">
      <c r="B72" s="157" t="s">
        <v>515</v>
      </c>
      <c r="D72" s="157" t="s">
        <v>516</v>
      </c>
      <c r="G72" s="157" t="s">
        <v>514</v>
      </c>
    </row>
    <row r="80" spans="2:7" s="48" customFormat="1" x14ac:dyDescent="0.15"/>
    <row r="81" s="48" customFormat="1" x14ac:dyDescent="0.15"/>
    <row r="82" s="48" customFormat="1" x14ac:dyDescent="0.15"/>
    <row r="83" s="159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79998168889431442"/>
  </sheetPr>
  <dimension ref="A1:BJ99"/>
  <sheetViews>
    <sheetView zoomScaleNormal="100" workbookViewId="0">
      <selection activeCell="AN6" sqref="AN6"/>
    </sheetView>
  </sheetViews>
  <sheetFormatPr defaultColWidth="9.125" defaultRowHeight="16.5" x14ac:dyDescent="0.3"/>
  <cols>
    <col min="1" max="1" width="12.875" style="107" bestFit="1" customWidth="1"/>
    <col min="2" max="2" width="3.875" style="106" customWidth="1"/>
    <col min="3" max="3" width="3.375" style="105" bestFit="1" customWidth="1"/>
    <col min="4" max="5" width="2.625" style="106" bestFit="1" customWidth="1"/>
    <col min="6" max="6" width="3.875" style="105" bestFit="1" customWidth="1"/>
    <col min="7" max="7" width="5.625" style="257" bestFit="1" customWidth="1"/>
    <col min="8" max="8" width="19.875" style="103" bestFit="1" customWidth="1"/>
    <col min="9" max="9" width="31.125" style="105" bestFit="1" customWidth="1"/>
    <col min="10" max="10" width="15.125" style="172" bestFit="1" customWidth="1"/>
    <col min="11" max="11" width="5.625" style="257" bestFit="1" customWidth="1"/>
    <col min="12" max="12" width="20.25" style="172" bestFit="1" customWidth="1"/>
    <col min="13" max="13" width="15.75" style="172" bestFit="1" customWidth="1"/>
    <col min="14" max="14" width="14.25" style="103" bestFit="1" customWidth="1"/>
    <col min="15" max="15" width="10" style="172" bestFit="1" customWidth="1"/>
    <col min="16" max="16" width="14.625" style="172" bestFit="1" customWidth="1"/>
    <col min="17" max="17" width="23.25" style="103" bestFit="1" customWidth="1"/>
    <col min="18" max="18" width="14.25" style="103" bestFit="1" customWidth="1"/>
    <col min="19" max="19" width="40.125" style="104" bestFit="1" customWidth="1"/>
    <col min="20" max="20" width="17.25" style="172" bestFit="1" customWidth="1"/>
    <col min="21" max="21" width="13.125" style="104" bestFit="1" customWidth="1"/>
    <col min="22" max="22" width="9.125" style="103" bestFit="1" customWidth="1"/>
    <col min="23" max="23" width="9" style="103" bestFit="1" customWidth="1"/>
    <col min="24" max="24" width="5.625" style="257" bestFit="1" customWidth="1"/>
    <col min="25" max="25" width="21" style="172" bestFit="1" customWidth="1"/>
    <col min="26" max="26" width="15.625" style="172" bestFit="1" customWidth="1"/>
    <col min="27" max="27" width="16.75" style="172" bestFit="1" customWidth="1"/>
    <col min="28" max="28" width="5.625" style="257" bestFit="1" customWidth="1"/>
    <col min="29" max="29" width="13.75" style="102" bestFit="1" customWidth="1"/>
    <col min="30" max="30" width="13.625" style="102" bestFit="1" customWidth="1"/>
    <col min="31" max="33" width="20.875" style="102" bestFit="1" customWidth="1"/>
    <col min="34" max="34" width="5.625" style="257" bestFit="1" customWidth="1"/>
    <col min="35" max="35" width="11.375" style="104" bestFit="1" customWidth="1"/>
    <col min="36" max="37" width="3.375" style="103" bestFit="1" customWidth="1"/>
    <col min="38" max="39" width="3.875" style="103" bestFit="1" customWidth="1"/>
    <col min="40" max="40" width="12" style="102" bestFit="1" customWidth="1"/>
    <col min="41" max="41" width="14.25" style="102" bestFit="1" customWidth="1"/>
    <col min="42" max="42" width="12" style="172" bestFit="1" customWidth="1"/>
    <col min="43" max="43" width="17.125" style="104" bestFit="1" customWidth="1"/>
    <col min="44" max="44" width="10" style="104" bestFit="1" customWidth="1"/>
    <col min="45" max="45" width="9.875" style="103" bestFit="1" customWidth="1"/>
    <col min="46" max="46" width="10.125" style="102" bestFit="1" customWidth="1"/>
    <col min="47" max="47" width="17.125" style="104" bestFit="1" customWidth="1"/>
    <col min="48" max="48" width="10" style="104" bestFit="1" customWidth="1"/>
    <col min="49" max="49" width="9.875" style="103" bestFit="1" customWidth="1"/>
    <col min="50" max="50" width="10.125" style="102" bestFit="1" customWidth="1"/>
    <col min="51" max="51" width="17.125" style="104" bestFit="1" customWidth="1"/>
    <col min="52" max="52" width="10" style="104" bestFit="1" customWidth="1"/>
    <col min="53" max="53" width="9.875" style="103" bestFit="1" customWidth="1"/>
    <col min="54" max="54" width="10.125" style="102" bestFit="1" customWidth="1"/>
    <col min="55" max="55" width="17.125" style="104" bestFit="1" customWidth="1"/>
    <col min="56" max="56" width="10" style="104" bestFit="1" customWidth="1"/>
    <col min="57" max="57" width="9.875" style="103" bestFit="1" customWidth="1"/>
    <col min="58" max="58" width="10.125" style="102" bestFit="1" customWidth="1"/>
    <col min="59" max="59" width="17.125" style="104" bestFit="1" customWidth="1"/>
    <col min="60" max="60" width="10" style="104" bestFit="1" customWidth="1"/>
    <col min="61" max="61" width="9.875" style="103" bestFit="1" customWidth="1"/>
    <col min="62" max="62" width="10.125" style="102" bestFit="1" customWidth="1"/>
    <col min="63" max="16384" width="9.125" style="101"/>
  </cols>
  <sheetData>
    <row r="1" spans="1:62" x14ac:dyDescent="0.3">
      <c r="A1" s="107" t="s">
        <v>59</v>
      </c>
      <c r="J1" s="172" t="s">
        <v>60</v>
      </c>
      <c r="L1" s="172" t="s">
        <v>60</v>
      </c>
      <c r="M1" s="172" t="s">
        <v>60</v>
      </c>
      <c r="O1" s="35" t="s">
        <v>60</v>
      </c>
      <c r="P1" s="172" t="s">
        <v>60</v>
      </c>
      <c r="Q1" s="84"/>
      <c r="R1" s="84"/>
      <c r="S1" s="104" t="s">
        <v>60</v>
      </c>
      <c r="T1" s="172" t="s">
        <v>60</v>
      </c>
      <c r="U1" s="104" t="s">
        <v>60</v>
      </c>
      <c r="Y1" s="172" t="s">
        <v>60</v>
      </c>
      <c r="Z1" s="172" t="s">
        <v>60</v>
      </c>
      <c r="AA1" s="172" t="s">
        <v>60</v>
      </c>
      <c r="AC1" s="102" t="s">
        <v>60</v>
      </c>
      <c r="AD1" s="102" t="s">
        <v>112</v>
      </c>
      <c r="AE1" s="102" t="s">
        <v>60</v>
      </c>
      <c r="AF1" s="102" t="s">
        <v>60</v>
      </c>
      <c r="AG1" s="102" t="s">
        <v>60</v>
      </c>
      <c r="AI1" s="136" t="s">
        <v>60</v>
      </c>
      <c r="AJ1" s="135"/>
      <c r="AK1" s="135"/>
      <c r="AL1" s="135"/>
      <c r="AM1" s="135"/>
      <c r="AN1" s="102" t="s">
        <v>60</v>
      </c>
      <c r="AO1" s="102" t="s">
        <v>60</v>
      </c>
      <c r="AP1" s="183" t="s">
        <v>112</v>
      </c>
      <c r="AQ1" s="136" t="s">
        <v>404</v>
      </c>
      <c r="AR1" s="136" t="s">
        <v>60</v>
      </c>
      <c r="AS1" s="135"/>
      <c r="AT1" s="134" t="s">
        <v>60</v>
      </c>
      <c r="AU1" s="136" t="s">
        <v>404</v>
      </c>
      <c r="AV1" s="136" t="s">
        <v>60</v>
      </c>
      <c r="AW1" s="135"/>
      <c r="AX1" s="134" t="s">
        <v>60</v>
      </c>
      <c r="AY1" s="136" t="s">
        <v>404</v>
      </c>
      <c r="AZ1" s="136" t="s">
        <v>60</v>
      </c>
      <c r="BA1" s="135"/>
      <c r="BB1" s="134" t="s">
        <v>60</v>
      </c>
      <c r="BC1" s="136" t="s">
        <v>404</v>
      </c>
      <c r="BD1" s="136" t="s">
        <v>60</v>
      </c>
      <c r="BE1" s="135"/>
      <c r="BF1" s="134" t="s">
        <v>60</v>
      </c>
      <c r="BG1" s="136" t="s">
        <v>404</v>
      </c>
      <c r="BH1" s="136" t="s">
        <v>60</v>
      </c>
      <c r="BI1" s="135"/>
      <c r="BJ1" s="134" t="s">
        <v>60</v>
      </c>
    </row>
    <row r="2" spans="1:62" x14ac:dyDescent="0.3">
      <c r="A2" s="107" t="s">
        <v>61</v>
      </c>
      <c r="J2" s="172" t="s">
        <v>61</v>
      </c>
      <c r="L2" s="172" t="s">
        <v>62</v>
      </c>
      <c r="M2" s="172" t="s">
        <v>62</v>
      </c>
      <c r="O2" s="35" t="s">
        <v>61</v>
      </c>
      <c r="P2" s="172" t="s">
        <v>61</v>
      </c>
      <c r="Q2" s="84"/>
      <c r="R2" s="84"/>
      <c r="S2" s="104" t="s">
        <v>62</v>
      </c>
      <c r="T2" s="172" t="s">
        <v>62</v>
      </c>
      <c r="U2" s="104" t="s">
        <v>61</v>
      </c>
      <c r="Y2" s="172" t="s">
        <v>61</v>
      </c>
      <c r="Z2" s="172" t="s">
        <v>61</v>
      </c>
      <c r="AA2" s="172" t="s">
        <v>61</v>
      </c>
      <c r="AC2" s="102" t="s">
        <v>61</v>
      </c>
      <c r="AD2" s="102">
        <v>3</v>
      </c>
      <c r="AE2" s="102" t="s">
        <v>61</v>
      </c>
      <c r="AF2" s="102" t="s">
        <v>61</v>
      </c>
      <c r="AG2" s="102" t="s">
        <v>61</v>
      </c>
      <c r="AI2" s="133" t="s">
        <v>61</v>
      </c>
      <c r="AJ2" s="132"/>
      <c r="AK2" s="132"/>
      <c r="AL2" s="132"/>
      <c r="AM2" s="132"/>
      <c r="AN2" s="102" t="s">
        <v>61</v>
      </c>
      <c r="AO2" s="102" t="s">
        <v>61</v>
      </c>
      <c r="AP2" s="184">
        <v>5</v>
      </c>
      <c r="AQ2" s="133">
        <v>3</v>
      </c>
      <c r="AR2" s="133" t="s">
        <v>61</v>
      </c>
      <c r="AS2" s="132"/>
      <c r="AT2" s="131" t="s">
        <v>61</v>
      </c>
      <c r="AU2" s="133">
        <v>3</v>
      </c>
      <c r="AV2" s="133" t="s">
        <v>61</v>
      </c>
      <c r="AW2" s="132"/>
      <c r="AX2" s="131" t="s">
        <v>61</v>
      </c>
      <c r="AY2" s="133">
        <v>3</v>
      </c>
      <c r="AZ2" s="133" t="s">
        <v>61</v>
      </c>
      <c r="BA2" s="132"/>
      <c r="BB2" s="131" t="s">
        <v>61</v>
      </c>
      <c r="BC2" s="133">
        <v>3</v>
      </c>
      <c r="BD2" s="133" t="s">
        <v>61</v>
      </c>
      <c r="BE2" s="132"/>
      <c r="BF2" s="131" t="s">
        <v>61</v>
      </c>
      <c r="BG2" s="133">
        <v>3</v>
      </c>
      <c r="BH2" s="133" t="s">
        <v>61</v>
      </c>
      <c r="BI2" s="132"/>
      <c r="BJ2" s="131" t="s">
        <v>61</v>
      </c>
    </row>
    <row r="3" spans="1:62" x14ac:dyDescent="0.3">
      <c r="A3" s="107" t="s">
        <v>360</v>
      </c>
      <c r="J3" s="172" t="s">
        <v>451</v>
      </c>
      <c r="L3" s="172" t="s">
        <v>976</v>
      </c>
      <c r="M3" s="172" t="s">
        <v>556</v>
      </c>
      <c r="O3" s="35" t="s">
        <v>552</v>
      </c>
      <c r="P3" s="172" t="s">
        <v>764</v>
      </c>
      <c r="Q3" s="84"/>
      <c r="R3" s="84"/>
      <c r="S3" s="104" t="s">
        <v>512</v>
      </c>
      <c r="T3" s="172" t="s">
        <v>567</v>
      </c>
      <c r="U3" s="104" t="s">
        <v>558</v>
      </c>
      <c r="Y3" s="172" t="s">
        <v>742</v>
      </c>
      <c r="Z3" s="172" t="s">
        <v>680</v>
      </c>
      <c r="AA3" s="172" t="s">
        <v>681</v>
      </c>
      <c r="AC3" s="102" t="s">
        <v>661</v>
      </c>
      <c r="AD3" s="102" t="s">
        <v>560</v>
      </c>
      <c r="AE3" s="102" t="s">
        <v>560</v>
      </c>
      <c r="AF3" s="102" t="s">
        <v>560</v>
      </c>
      <c r="AG3" s="102" t="s">
        <v>560</v>
      </c>
      <c r="AI3" s="133" t="s">
        <v>398</v>
      </c>
      <c r="AJ3" s="132"/>
      <c r="AK3" s="132"/>
      <c r="AL3" s="132"/>
      <c r="AM3" s="132"/>
      <c r="AN3" s="102" t="s">
        <v>561</v>
      </c>
      <c r="AO3" s="102" t="s">
        <v>729</v>
      </c>
      <c r="AP3" s="184" t="s">
        <v>409</v>
      </c>
      <c r="AQ3" s="133" t="s">
        <v>410</v>
      </c>
      <c r="AR3" s="133" t="s">
        <v>397</v>
      </c>
      <c r="AS3" s="132"/>
      <c r="AT3" s="131" t="s">
        <v>396</v>
      </c>
      <c r="AU3" s="133" t="s">
        <v>410</v>
      </c>
      <c r="AV3" s="133" t="s">
        <v>397</v>
      </c>
      <c r="AW3" s="132"/>
      <c r="AX3" s="131" t="s">
        <v>396</v>
      </c>
      <c r="AY3" s="133" t="s">
        <v>410</v>
      </c>
      <c r="AZ3" s="133" t="s">
        <v>397</v>
      </c>
      <c r="BA3" s="132"/>
      <c r="BB3" s="131" t="s">
        <v>396</v>
      </c>
      <c r="BC3" s="133" t="s">
        <v>410</v>
      </c>
      <c r="BD3" s="133" t="s">
        <v>397</v>
      </c>
      <c r="BE3" s="132"/>
      <c r="BF3" s="131" t="s">
        <v>396</v>
      </c>
      <c r="BG3" s="133" t="s">
        <v>410</v>
      </c>
      <c r="BH3" s="133" t="s">
        <v>397</v>
      </c>
      <c r="BI3" s="132"/>
      <c r="BJ3" s="131" t="s">
        <v>396</v>
      </c>
    </row>
    <row r="4" spans="1:62" s="122" customFormat="1" ht="198.75" thickBot="1" x14ac:dyDescent="0.2">
      <c r="A4" s="122" t="s">
        <v>563</v>
      </c>
      <c r="B4" s="129" t="s">
        <v>565</v>
      </c>
      <c r="C4" s="130" t="s">
        <v>393</v>
      </c>
      <c r="D4" s="129"/>
      <c r="E4" s="129"/>
      <c r="F4" s="130" t="s">
        <v>452</v>
      </c>
      <c r="G4" s="254" t="s">
        <v>1032</v>
      </c>
      <c r="H4" s="187" t="s">
        <v>736</v>
      </c>
      <c r="I4" s="130" t="s">
        <v>762</v>
      </c>
      <c r="J4" s="173" t="s">
        <v>452</v>
      </c>
      <c r="K4" s="254" t="s">
        <v>1014</v>
      </c>
      <c r="L4" s="173" t="s">
        <v>975</v>
      </c>
      <c r="M4" s="173" t="s">
        <v>557</v>
      </c>
      <c r="N4" s="187" t="s">
        <v>709</v>
      </c>
      <c r="O4" s="39" t="s">
        <v>553</v>
      </c>
      <c r="P4" s="173" t="s">
        <v>765</v>
      </c>
      <c r="Q4" s="216" t="s">
        <v>1011</v>
      </c>
      <c r="R4" s="216" t="s">
        <v>1010</v>
      </c>
      <c r="S4" s="176" t="s">
        <v>513</v>
      </c>
      <c r="T4" s="173" t="s">
        <v>568</v>
      </c>
      <c r="U4" s="176" t="s">
        <v>559</v>
      </c>
      <c r="V4" s="187" t="s">
        <v>569</v>
      </c>
      <c r="W4" s="187" t="s">
        <v>570</v>
      </c>
      <c r="X4" s="254" t="s">
        <v>143</v>
      </c>
      <c r="Y4" s="173" t="s">
        <v>743</v>
      </c>
      <c r="Z4" s="173" t="s">
        <v>678</v>
      </c>
      <c r="AA4" s="173" t="s">
        <v>679</v>
      </c>
      <c r="AB4" s="254" t="s">
        <v>682</v>
      </c>
      <c r="AC4" s="128" t="s">
        <v>662</v>
      </c>
      <c r="AD4" s="128"/>
      <c r="AE4" s="128" t="s">
        <v>475</v>
      </c>
      <c r="AF4" s="128" t="s">
        <v>475</v>
      </c>
      <c r="AG4" s="128" t="s">
        <v>475</v>
      </c>
      <c r="AH4" s="254" t="s">
        <v>281</v>
      </c>
      <c r="AI4" s="126" t="s">
        <v>389</v>
      </c>
      <c r="AJ4" s="127" t="s">
        <v>388</v>
      </c>
      <c r="AK4" s="127" t="s">
        <v>387</v>
      </c>
      <c r="AL4" s="127" t="s">
        <v>386</v>
      </c>
      <c r="AM4" s="127" t="s">
        <v>385</v>
      </c>
      <c r="AN4" s="128" t="s">
        <v>562</v>
      </c>
      <c r="AO4" s="128" t="s">
        <v>730</v>
      </c>
      <c r="AP4" s="185"/>
      <c r="AQ4" s="125" t="s">
        <v>409</v>
      </c>
      <c r="AR4" s="125" t="s">
        <v>384</v>
      </c>
      <c r="AS4" s="124" t="s">
        <v>383</v>
      </c>
      <c r="AT4" s="123" t="s">
        <v>382</v>
      </c>
      <c r="AU4" s="125" t="s">
        <v>409</v>
      </c>
      <c r="AV4" s="125" t="s">
        <v>384</v>
      </c>
      <c r="AW4" s="124" t="s">
        <v>383</v>
      </c>
      <c r="AX4" s="123" t="s">
        <v>382</v>
      </c>
      <c r="AY4" s="125" t="s">
        <v>409</v>
      </c>
      <c r="AZ4" s="125" t="s">
        <v>384</v>
      </c>
      <c r="BA4" s="124" t="s">
        <v>383</v>
      </c>
      <c r="BB4" s="123" t="s">
        <v>382</v>
      </c>
      <c r="BC4" s="125" t="s">
        <v>409</v>
      </c>
      <c r="BD4" s="125" t="s">
        <v>384</v>
      </c>
      <c r="BE4" s="124" t="s">
        <v>383</v>
      </c>
      <c r="BF4" s="123" t="s">
        <v>382</v>
      </c>
      <c r="BG4" s="125" t="s">
        <v>409</v>
      </c>
      <c r="BH4" s="125" t="s">
        <v>384</v>
      </c>
      <c r="BI4" s="124" t="s">
        <v>383</v>
      </c>
      <c r="BJ4" s="123" t="s">
        <v>382</v>
      </c>
    </row>
    <row r="5" spans="1:62" s="115" customFormat="1" x14ac:dyDescent="0.3">
      <c r="A5" s="121">
        <f t="shared" ref="A5:A19" si="0">B5*10000000+C5*1000000+D5*10000+E5*100+F5</f>
        <v>311010001</v>
      </c>
      <c r="B5" s="120">
        <v>31</v>
      </c>
      <c r="C5" s="119">
        <f t="shared" ref="C5:C19" si="1">H5</f>
        <v>1</v>
      </c>
      <c r="D5" s="120">
        <v>1</v>
      </c>
      <c r="E5" s="120">
        <v>0</v>
      </c>
      <c r="F5" s="119">
        <f t="shared" ref="F5:F36" si="2">J5</f>
        <v>1</v>
      </c>
      <c r="G5" s="258"/>
      <c r="H5" s="117">
        <v>1</v>
      </c>
      <c r="I5" s="119">
        <f t="shared" ref="I5:I36" si="3">C5*100+D5</f>
        <v>101</v>
      </c>
      <c r="J5" s="174">
        <v>1</v>
      </c>
      <c r="K5" s="258"/>
      <c r="L5" s="174" t="s">
        <v>1115</v>
      </c>
      <c r="M5" s="174" t="s">
        <v>1116</v>
      </c>
      <c r="N5" s="117" t="s">
        <v>1063</v>
      </c>
      <c r="O5" s="174">
        <v>1</v>
      </c>
      <c r="P5" s="174">
        <v>4</v>
      </c>
      <c r="Q5" s="117" t="s">
        <v>1033</v>
      </c>
      <c r="R5" s="117">
        <v>311010001</v>
      </c>
      <c r="S5" s="118" t="str">
        <f>CONCATENATE(Q5,R5,".png")</f>
        <v>UITexture/TechBldg/311010001.png</v>
      </c>
      <c r="T5" s="174" t="s">
        <v>1158</v>
      </c>
      <c r="U5" s="118">
        <f t="shared" ref="U5:U19" si="4">V5*1000+W5</f>
        <v>2001</v>
      </c>
      <c r="V5" s="117">
        <v>2</v>
      </c>
      <c r="W5" s="117">
        <v>1</v>
      </c>
      <c r="X5" s="258"/>
      <c r="Y5" s="174">
        <f>Z6-1</f>
        <v>3</v>
      </c>
      <c r="Z5" s="174">
        <v>1</v>
      </c>
      <c r="AA5" s="174">
        <v>1</v>
      </c>
      <c r="AB5" s="258"/>
      <c r="AC5" s="116">
        <v>0</v>
      </c>
      <c r="AD5" s="116">
        <v>0</v>
      </c>
      <c r="AE5" s="116"/>
      <c r="AF5" s="116"/>
      <c r="AG5" s="116"/>
      <c r="AH5" s="258"/>
      <c r="AI5" s="118">
        <f t="shared" ref="AI5:AI19" si="5">((AJ5*24+AK5)*60+AL5)*60+AM5</f>
        <v>5</v>
      </c>
      <c r="AJ5" s="117"/>
      <c r="AK5" s="117"/>
      <c r="AL5" s="117"/>
      <c r="AM5" s="117">
        <v>5</v>
      </c>
      <c r="AN5" s="116">
        <v>100</v>
      </c>
      <c r="AO5" s="116">
        <v>5</v>
      </c>
      <c r="AP5" s="174">
        <v>0</v>
      </c>
      <c r="AQ5" s="118"/>
      <c r="AR5" s="118">
        <f ca="1">IFERROR(OFFSET(ITEM_RES!$A$5,MATCH(AS5,ITEM_RES!$M$5:$M$84,0)-1,0),0)</f>
        <v>0</v>
      </c>
      <c r="AS5" s="117"/>
      <c r="AT5" s="116"/>
      <c r="AU5" s="118"/>
      <c r="AV5" s="118"/>
      <c r="AW5" s="117"/>
      <c r="AX5" s="116"/>
      <c r="AY5" s="118"/>
      <c r="AZ5" s="118"/>
      <c r="BA5" s="117"/>
      <c r="BB5" s="116"/>
      <c r="BC5" s="118"/>
      <c r="BD5" s="118"/>
      <c r="BE5" s="117"/>
      <c r="BF5" s="116"/>
      <c r="BG5" s="118"/>
      <c r="BH5" s="118"/>
      <c r="BI5" s="117"/>
      <c r="BJ5" s="116"/>
    </row>
    <row r="6" spans="1:62" x14ac:dyDescent="0.3">
      <c r="A6" s="107">
        <f t="shared" si="0"/>
        <v>311010002</v>
      </c>
      <c r="B6" s="106">
        <v>31</v>
      </c>
      <c r="C6" s="105">
        <f t="shared" si="1"/>
        <v>1</v>
      </c>
      <c r="D6" s="106">
        <v>1</v>
      </c>
      <c r="E6" s="106">
        <v>0</v>
      </c>
      <c r="F6" s="105">
        <f t="shared" si="2"/>
        <v>2</v>
      </c>
      <c r="H6" s="103">
        <v>1</v>
      </c>
      <c r="I6" s="105">
        <f t="shared" si="3"/>
        <v>101</v>
      </c>
      <c r="J6" s="172">
        <v>2</v>
      </c>
      <c r="L6" s="172" t="s">
        <v>1115</v>
      </c>
      <c r="M6" s="172" t="s">
        <v>1116</v>
      </c>
      <c r="N6" s="103" t="s">
        <v>1063</v>
      </c>
      <c r="O6" s="172">
        <v>1</v>
      </c>
      <c r="P6" s="172">
        <v>4</v>
      </c>
      <c r="Q6" s="103" t="s">
        <v>1033</v>
      </c>
      <c r="R6" s="103">
        <v>311010001</v>
      </c>
      <c r="S6" s="104" t="str">
        <f t="shared" ref="S6:S64" si="6">CONCATENATE(Q6,R6,".png")</f>
        <v>UITexture/TechBldg/311010001.png</v>
      </c>
      <c r="T6" s="172" t="s">
        <v>1158</v>
      </c>
      <c r="U6" s="104">
        <f t="shared" si="4"/>
        <v>0</v>
      </c>
      <c r="Y6" s="172">
        <f t="shared" ref="Y6:Y63" si="7">Z7-1</f>
        <v>6</v>
      </c>
      <c r="Z6" s="172">
        <v>4</v>
      </c>
      <c r="AA6" s="172">
        <v>1</v>
      </c>
      <c r="AC6" s="102">
        <v>3</v>
      </c>
      <c r="AD6" s="102">
        <v>0</v>
      </c>
      <c r="AI6" s="104">
        <f t="shared" si="5"/>
        <v>30</v>
      </c>
      <c r="AM6" s="103">
        <v>30</v>
      </c>
      <c r="AN6" s="102">
        <v>200</v>
      </c>
      <c r="AO6" s="102">
        <v>10</v>
      </c>
      <c r="AP6" s="172">
        <v>0</v>
      </c>
      <c r="AR6" s="104">
        <f ca="1">IFERROR(OFFSET(ITEM_RES!$A$5,MATCH(AS6,ITEM_RES!$M$5:$M$84,0)-1,0),0)</f>
        <v>0</v>
      </c>
    </row>
    <row r="7" spans="1:62" x14ac:dyDescent="0.3">
      <c r="A7" s="107">
        <f t="shared" si="0"/>
        <v>311010003</v>
      </c>
      <c r="B7" s="106">
        <v>31</v>
      </c>
      <c r="C7" s="105">
        <f t="shared" si="1"/>
        <v>1</v>
      </c>
      <c r="D7" s="106">
        <v>1</v>
      </c>
      <c r="E7" s="106">
        <v>0</v>
      </c>
      <c r="F7" s="105">
        <f t="shared" si="2"/>
        <v>3</v>
      </c>
      <c r="H7" s="103">
        <v>1</v>
      </c>
      <c r="I7" s="105">
        <f t="shared" si="3"/>
        <v>101</v>
      </c>
      <c r="J7" s="172">
        <v>3</v>
      </c>
      <c r="L7" s="172" t="s">
        <v>1115</v>
      </c>
      <c r="M7" s="172" t="s">
        <v>1116</v>
      </c>
      <c r="N7" s="103" t="s">
        <v>1063</v>
      </c>
      <c r="O7" s="172">
        <v>1</v>
      </c>
      <c r="P7" s="172">
        <v>4</v>
      </c>
      <c r="Q7" s="103" t="s">
        <v>1033</v>
      </c>
      <c r="R7" s="103">
        <v>311010001</v>
      </c>
      <c r="S7" s="104" t="str">
        <f t="shared" si="6"/>
        <v>UITexture/TechBldg/311010001.png</v>
      </c>
      <c r="T7" s="172" t="s">
        <v>1158</v>
      </c>
      <c r="U7" s="104">
        <f t="shared" si="4"/>
        <v>0</v>
      </c>
      <c r="Y7" s="172">
        <f t="shared" si="7"/>
        <v>9</v>
      </c>
      <c r="Z7" s="172">
        <v>7</v>
      </c>
      <c r="AA7" s="172">
        <v>1</v>
      </c>
      <c r="AC7" s="102">
        <v>6</v>
      </c>
      <c r="AD7" s="102">
        <v>0</v>
      </c>
      <c r="AI7" s="104">
        <f t="shared" si="5"/>
        <v>60</v>
      </c>
      <c r="AL7" s="103">
        <v>1</v>
      </c>
      <c r="AN7" s="102">
        <v>300</v>
      </c>
      <c r="AO7" s="102">
        <v>15</v>
      </c>
      <c r="AP7" s="172">
        <v>0</v>
      </c>
      <c r="AR7" s="104">
        <f ca="1">IFERROR(OFFSET(ITEM_RES!$A$5,MATCH(AS7,ITEM_RES!$M$5:$M$84,0)-1,0),0)</f>
        <v>0</v>
      </c>
    </row>
    <row r="8" spans="1:62" x14ac:dyDescent="0.3">
      <c r="A8" s="107">
        <f t="shared" si="0"/>
        <v>311010004</v>
      </c>
      <c r="B8" s="106">
        <v>31</v>
      </c>
      <c r="C8" s="105">
        <f t="shared" si="1"/>
        <v>1</v>
      </c>
      <c r="D8" s="106">
        <v>1</v>
      </c>
      <c r="E8" s="106">
        <v>0</v>
      </c>
      <c r="F8" s="105">
        <f t="shared" si="2"/>
        <v>4</v>
      </c>
      <c r="H8" s="103">
        <v>1</v>
      </c>
      <c r="I8" s="105">
        <f t="shared" si="3"/>
        <v>101</v>
      </c>
      <c r="J8" s="172">
        <v>4</v>
      </c>
      <c r="L8" s="172" t="s">
        <v>1115</v>
      </c>
      <c r="M8" s="172" t="s">
        <v>1116</v>
      </c>
      <c r="N8" s="103" t="s">
        <v>1063</v>
      </c>
      <c r="O8" s="172">
        <v>1</v>
      </c>
      <c r="P8" s="172">
        <v>4</v>
      </c>
      <c r="Q8" s="103" t="s">
        <v>1033</v>
      </c>
      <c r="R8" s="103">
        <v>311010001</v>
      </c>
      <c r="S8" s="104" t="str">
        <f t="shared" si="6"/>
        <v>UITexture/TechBldg/311010001.png</v>
      </c>
      <c r="T8" s="172" t="s">
        <v>1158</v>
      </c>
      <c r="U8" s="104">
        <f t="shared" si="4"/>
        <v>0</v>
      </c>
      <c r="Y8" s="172">
        <f t="shared" si="7"/>
        <v>12</v>
      </c>
      <c r="Z8" s="172">
        <v>10</v>
      </c>
      <c r="AA8" s="172">
        <v>1</v>
      </c>
      <c r="AC8" s="102">
        <v>9</v>
      </c>
      <c r="AD8" s="102">
        <v>0</v>
      </c>
      <c r="AI8" s="104">
        <f t="shared" si="5"/>
        <v>60</v>
      </c>
      <c r="AL8" s="103">
        <v>1</v>
      </c>
      <c r="AN8" s="102">
        <v>400</v>
      </c>
      <c r="AO8" s="102">
        <v>20</v>
      </c>
      <c r="AP8" s="172">
        <v>0</v>
      </c>
      <c r="AR8" s="104">
        <f ca="1">IFERROR(OFFSET(ITEM_RES!$A$5,MATCH(AS8,ITEM_RES!$M$5:$M$84,0)-1,0),0)</f>
        <v>0</v>
      </c>
    </row>
    <row r="9" spans="1:62" x14ac:dyDescent="0.3">
      <c r="A9" s="107">
        <f t="shared" si="0"/>
        <v>311010005</v>
      </c>
      <c r="B9" s="106">
        <v>31</v>
      </c>
      <c r="C9" s="105">
        <f t="shared" si="1"/>
        <v>1</v>
      </c>
      <c r="D9" s="106">
        <v>1</v>
      </c>
      <c r="E9" s="106">
        <v>0</v>
      </c>
      <c r="F9" s="105">
        <f t="shared" si="2"/>
        <v>5</v>
      </c>
      <c r="H9" s="103">
        <v>1</v>
      </c>
      <c r="I9" s="105">
        <f t="shared" si="3"/>
        <v>101</v>
      </c>
      <c r="J9" s="172">
        <v>5</v>
      </c>
      <c r="L9" s="172" t="s">
        <v>1115</v>
      </c>
      <c r="M9" s="172" t="s">
        <v>1116</v>
      </c>
      <c r="N9" s="103" t="s">
        <v>1063</v>
      </c>
      <c r="O9" s="172">
        <v>0</v>
      </c>
      <c r="P9" s="172">
        <v>4</v>
      </c>
      <c r="Q9" s="103" t="s">
        <v>1033</v>
      </c>
      <c r="R9" s="103">
        <v>311010001</v>
      </c>
      <c r="S9" s="104" t="str">
        <f t="shared" si="6"/>
        <v>UITexture/TechBldg/311010001.png</v>
      </c>
      <c r="T9" s="172" t="s">
        <v>1158</v>
      </c>
      <c r="U9" s="104">
        <f t="shared" si="4"/>
        <v>0</v>
      </c>
      <c r="Y9" s="172">
        <f t="shared" si="7"/>
        <v>15</v>
      </c>
      <c r="Z9" s="172">
        <v>13</v>
      </c>
      <c r="AA9" s="172">
        <v>1</v>
      </c>
      <c r="AC9" s="102">
        <v>12</v>
      </c>
      <c r="AD9" s="102">
        <v>0</v>
      </c>
      <c r="AI9" s="104">
        <f t="shared" si="5"/>
        <v>60</v>
      </c>
      <c r="AL9" s="103">
        <v>1</v>
      </c>
      <c r="AN9" s="102">
        <v>500</v>
      </c>
      <c r="AO9" s="102">
        <v>25</v>
      </c>
      <c r="AP9" s="172">
        <v>0</v>
      </c>
      <c r="AR9" s="104">
        <f ca="1">IFERROR(OFFSET(ITEM_RES!$A$5,MATCH(AS9,ITEM_RES!$M$5:$M$84,0)-1,0),0)</f>
        <v>0</v>
      </c>
    </row>
    <row r="10" spans="1:62" x14ac:dyDescent="0.3">
      <c r="A10" s="107">
        <f t="shared" ref="A10:A14" si="8">B10*10000000+C10*1000000+D10*10000+E10*100+F10</f>
        <v>311010006</v>
      </c>
      <c r="B10" s="106">
        <v>31</v>
      </c>
      <c r="C10" s="105">
        <f t="shared" ref="C10:C14" si="9">H10</f>
        <v>1</v>
      </c>
      <c r="D10" s="106">
        <v>1</v>
      </c>
      <c r="E10" s="106">
        <v>0</v>
      </c>
      <c r="F10" s="105">
        <f t="shared" si="2"/>
        <v>6</v>
      </c>
      <c r="H10" s="103">
        <v>1</v>
      </c>
      <c r="I10" s="105">
        <f t="shared" si="3"/>
        <v>101</v>
      </c>
      <c r="J10" s="172">
        <v>6</v>
      </c>
      <c r="L10" s="172" t="s">
        <v>1115</v>
      </c>
      <c r="M10" s="172" t="s">
        <v>1116</v>
      </c>
      <c r="N10" s="103" t="s">
        <v>1063</v>
      </c>
      <c r="O10" s="172">
        <v>0</v>
      </c>
      <c r="P10" s="172">
        <v>4</v>
      </c>
      <c r="Q10" s="103" t="s">
        <v>1033</v>
      </c>
      <c r="R10" s="103">
        <v>311010001</v>
      </c>
      <c r="S10" s="104" t="str">
        <f t="shared" si="6"/>
        <v>UITexture/TechBldg/311010001.png</v>
      </c>
      <c r="T10" s="172" t="s">
        <v>1158</v>
      </c>
      <c r="U10" s="104">
        <f t="shared" ref="U10:U14" si="10">V10*1000+W10</f>
        <v>0</v>
      </c>
      <c r="Y10" s="172">
        <f t="shared" si="7"/>
        <v>18</v>
      </c>
      <c r="Z10" s="172">
        <v>16</v>
      </c>
      <c r="AA10" s="172">
        <v>1</v>
      </c>
      <c r="AC10" s="102">
        <v>15</v>
      </c>
      <c r="AD10" s="102">
        <v>0</v>
      </c>
      <c r="AI10" s="104">
        <f t="shared" ref="AI10:AI14" si="11">((AJ10*24+AK10)*60+AL10)*60+AM10</f>
        <v>60</v>
      </c>
      <c r="AL10" s="103">
        <v>1</v>
      </c>
      <c r="AN10" s="102">
        <v>600</v>
      </c>
      <c r="AO10" s="102">
        <v>30</v>
      </c>
      <c r="AP10" s="172">
        <v>0</v>
      </c>
      <c r="AR10" s="104">
        <f ca="1">IFERROR(OFFSET(ITEM_RES!$A$5,MATCH(AS10,ITEM_RES!$M$5:$M$84,0)-1,0),0)</f>
        <v>0</v>
      </c>
    </row>
    <row r="11" spans="1:62" x14ac:dyDescent="0.3">
      <c r="A11" s="107">
        <f t="shared" si="8"/>
        <v>311010007</v>
      </c>
      <c r="B11" s="106">
        <v>31</v>
      </c>
      <c r="C11" s="105">
        <f t="shared" si="9"/>
        <v>1</v>
      </c>
      <c r="D11" s="106">
        <v>1</v>
      </c>
      <c r="E11" s="106">
        <v>0</v>
      </c>
      <c r="F11" s="105">
        <f t="shared" si="2"/>
        <v>7</v>
      </c>
      <c r="H11" s="103">
        <v>1</v>
      </c>
      <c r="I11" s="105">
        <f t="shared" si="3"/>
        <v>101</v>
      </c>
      <c r="J11" s="172">
        <v>7</v>
      </c>
      <c r="L11" s="172" t="s">
        <v>1115</v>
      </c>
      <c r="M11" s="172" t="s">
        <v>1116</v>
      </c>
      <c r="N11" s="103" t="s">
        <v>1063</v>
      </c>
      <c r="O11" s="172">
        <v>0</v>
      </c>
      <c r="P11" s="172">
        <v>4</v>
      </c>
      <c r="Q11" s="103" t="s">
        <v>1033</v>
      </c>
      <c r="R11" s="103">
        <v>311010001</v>
      </c>
      <c r="S11" s="104" t="str">
        <f t="shared" si="6"/>
        <v>UITexture/TechBldg/311010001.png</v>
      </c>
      <c r="T11" s="172" t="s">
        <v>1158</v>
      </c>
      <c r="U11" s="104">
        <f t="shared" si="10"/>
        <v>0</v>
      </c>
      <c r="Y11" s="172">
        <f t="shared" si="7"/>
        <v>21</v>
      </c>
      <c r="Z11" s="172">
        <v>19</v>
      </c>
      <c r="AA11" s="172">
        <v>1</v>
      </c>
      <c r="AC11" s="102">
        <v>18</v>
      </c>
      <c r="AD11" s="102">
        <v>0</v>
      </c>
      <c r="AI11" s="104">
        <f t="shared" si="11"/>
        <v>60</v>
      </c>
      <c r="AL11" s="103">
        <v>1</v>
      </c>
      <c r="AN11" s="102">
        <v>700</v>
      </c>
      <c r="AO11" s="102">
        <v>35</v>
      </c>
      <c r="AP11" s="172">
        <v>0</v>
      </c>
      <c r="AR11" s="104">
        <f ca="1">IFERROR(OFFSET(ITEM_RES!$A$5,MATCH(AS11,ITEM_RES!$M$5:$M$84,0)-1,0),0)</f>
        <v>0</v>
      </c>
    </row>
    <row r="12" spans="1:62" x14ac:dyDescent="0.3">
      <c r="A12" s="107">
        <f t="shared" si="8"/>
        <v>311010008</v>
      </c>
      <c r="B12" s="106">
        <v>31</v>
      </c>
      <c r="C12" s="105">
        <f t="shared" si="9"/>
        <v>1</v>
      </c>
      <c r="D12" s="106">
        <v>1</v>
      </c>
      <c r="E12" s="106">
        <v>0</v>
      </c>
      <c r="F12" s="105">
        <f t="shared" si="2"/>
        <v>8</v>
      </c>
      <c r="H12" s="103">
        <v>1</v>
      </c>
      <c r="I12" s="105">
        <f t="shared" si="3"/>
        <v>101</v>
      </c>
      <c r="J12" s="172">
        <v>8</v>
      </c>
      <c r="L12" s="172" t="s">
        <v>1115</v>
      </c>
      <c r="M12" s="172" t="s">
        <v>1116</v>
      </c>
      <c r="N12" s="103" t="s">
        <v>1063</v>
      </c>
      <c r="O12" s="172">
        <v>0</v>
      </c>
      <c r="P12" s="172">
        <v>4</v>
      </c>
      <c r="Q12" s="103" t="s">
        <v>1033</v>
      </c>
      <c r="R12" s="103">
        <v>311010001</v>
      </c>
      <c r="S12" s="104" t="str">
        <f t="shared" si="6"/>
        <v>UITexture/TechBldg/311010001.png</v>
      </c>
      <c r="T12" s="172" t="s">
        <v>1158</v>
      </c>
      <c r="U12" s="104">
        <f t="shared" si="10"/>
        <v>0</v>
      </c>
      <c r="Y12" s="172">
        <f t="shared" si="7"/>
        <v>24</v>
      </c>
      <c r="Z12" s="172">
        <v>22</v>
      </c>
      <c r="AA12" s="172">
        <v>1</v>
      </c>
      <c r="AC12" s="102">
        <v>21</v>
      </c>
      <c r="AD12" s="102">
        <v>0</v>
      </c>
      <c r="AI12" s="104">
        <f t="shared" si="11"/>
        <v>60</v>
      </c>
      <c r="AL12" s="103">
        <v>1</v>
      </c>
      <c r="AN12" s="102">
        <v>800</v>
      </c>
      <c r="AO12" s="102">
        <v>40</v>
      </c>
      <c r="AP12" s="172">
        <v>0</v>
      </c>
      <c r="AR12" s="104">
        <f ca="1">IFERROR(OFFSET(ITEM_RES!$A$5,MATCH(AS12,ITEM_RES!$M$5:$M$84,0)-1,0),0)</f>
        <v>0</v>
      </c>
    </row>
    <row r="13" spans="1:62" x14ac:dyDescent="0.3">
      <c r="A13" s="107">
        <f t="shared" si="8"/>
        <v>311010009</v>
      </c>
      <c r="B13" s="106">
        <v>31</v>
      </c>
      <c r="C13" s="105">
        <f t="shared" si="9"/>
        <v>1</v>
      </c>
      <c r="D13" s="106">
        <v>1</v>
      </c>
      <c r="E13" s="106">
        <v>0</v>
      </c>
      <c r="F13" s="105">
        <f t="shared" si="2"/>
        <v>9</v>
      </c>
      <c r="H13" s="103">
        <v>1</v>
      </c>
      <c r="I13" s="105">
        <f t="shared" si="3"/>
        <v>101</v>
      </c>
      <c r="J13" s="172">
        <v>9</v>
      </c>
      <c r="L13" s="172" t="s">
        <v>1115</v>
      </c>
      <c r="M13" s="172" t="s">
        <v>1116</v>
      </c>
      <c r="N13" s="103" t="s">
        <v>1063</v>
      </c>
      <c r="O13" s="172">
        <v>0</v>
      </c>
      <c r="P13" s="172">
        <v>4</v>
      </c>
      <c r="Q13" s="103" t="s">
        <v>1033</v>
      </c>
      <c r="R13" s="103">
        <v>311010001</v>
      </c>
      <c r="S13" s="104" t="str">
        <f t="shared" si="6"/>
        <v>UITexture/TechBldg/311010001.png</v>
      </c>
      <c r="T13" s="172" t="s">
        <v>1158</v>
      </c>
      <c r="U13" s="104">
        <f t="shared" si="10"/>
        <v>0</v>
      </c>
      <c r="Y13" s="172">
        <f t="shared" si="7"/>
        <v>27</v>
      </c>
      <c r="Z13" s="172">
        <v>25</v>
      </c>
      <c r="AA13" s="172">
        <v>1</v>
      </c>
      <c r="AC13" s="102">
        <v>24</v>
      </c>
      <c r="AD13" s="102">
        <v>0</v>
      </c>
      <c r="AI13" s="104">
        <f t="shared" si="11"/>
        <v>60</v>
      </c>
      <c r="AL13" s="103">
        <v>1</v>
      </c>
      <c r="AN13" s="102">
        <v>900</v>
      </c>
      <c r="AO13" s="102">
        <v>45</v>
      </c>
      <c r="AP13" s="172">
        <v>0</v>
      </c>
      <c r="AR13" s="104">
        <f ca="1">IFERROR(OFFSET(ITEM_RES!$A$5,MATCH(AS13,ITEM_RES!$M$5:$M$84,0)-1,0),0)</f>
        <v>0</v>
      </c>
    </row>
    <row r="14" spans="1:62" x14ac:dyDescent="0.3">
      <c r="A14" s="107">
        <f t="shared" si="8"/>
        <v>311010010</v>
      </c>
      <c r="B14" s="106">
        <v>31</v>
      </c>
      <c r="C14" s="105">
        <f t="shared" si="9"/>
        <v>1</v>
      </c>
      <c r="D14" s="106">
        <v>1</v>
      </c>
      <c r="E14" s="106">
        <v>0</v>
      </c>
      <c r="F14" s="105">
        <f t="shared" si="2"/>
        <v>10</v>
      </c>
      <c r="H14" s="103">
        <v>1</v>
      </c>
      <c r="I14" s="105">
        <f t="shared" si="3"/>
        <v>101</v>
      </c>
      <c r="J14" s="172">
        <v>10</v>
      </c>
      <c r="L14" s="172" t="s">
        <v>1115</v>
      </c>
      <c r="M14" s="172" t="s">
        <v>1116</v>
      </c>
      <c r="N14" s="103" t="s">
        <v>1063</v>
      </c>
      <c r="O14" s="172">
        <v>0</v>
      </c>
      <c r="P14" s="172">
        <v>4</v>
      </c>
      <c r="Q14" s="103" t="s">
        <v>1033</v>
      </c>
      <c r="R14" s="103">
        <v>311010001</v>
      </c>
      <c r="S14" s="104" t="str">
        <f t="shared" si="6"/>
        <v>UITexture/TechBldg/311010001.png</v>
      </c>
      <c r="T14" s="172" t="s">
        <v>1158</v>
      </c>
      <c r="U14" s="104">
        <f t="shared" si="10"/>
        <v>0</v>
      </c>
      <c r="Y14" s="172">
        <v>30</v>
      </c>
      <c r="Z14" s="172">
        <v>28</v>
      </c>
      <c r="AA14" s="172">
        <v>1</v>
      </c>
      <c r="AC14" s="102">
        <v>27</v>
      </c>
      <c r="AD14" s="102">
        <v>0</v>
      </c>
      <c r="AI14" s="104">
        <f t="shared" si="11"/>
        <v>60</v>
      </c>
      <c r="AL14" s="103">
        <v>1</v>
      </c>
      <c r="AN14" s="102">
        <v>1000</v>
      </c>
      <c r="AO14" s="102">
        <v>50</v>
      </c>
      <c r="AP14" s="172">
        <v>0</v>
      </c>
      <c r="AR14" s="104">
        <f ca="1">IFERROR(OFFSET(ITEM_RES!$A$5,MATCH(AS14,ITEM_RES!$M$5:$M$84,0)-1,0),0)</f>
        <v>0</v>
      </c>
    </row>
    <row r="15" spans="1:62" x14ac:dyDescent="0.3">
      <c r="A15" s="107">
        <f t="shared" si="0"/>
        <v>311020001</v>
      </c>
      <c r="B15" s="106">
        <v>31</v>
      </c>
      <c r="C15" s="105">
        <f t="shared" si="1"/>
        <v>1</v>
      </c>
      <c r="D15" s="106">
        <v>2</v>
      </c>
      <c r="E15" s="106">
        <v>0</v>
      </c>
      <c r="F15" s="105">
        <f t="shared" si="2"/>
        <v>1</v>
      </c>
      <c r="H15" s="103">
        <v>1</v>
      </c>
      <c r="I15" s="105">
        <f t="shared" si="3"/>
        <v>102</v>
      </c>
      <c r="J15" s="172">
        <v>1</v>
      </c>
      <c r="L15" s="172" t="s">
        <v>1115</v>
      </c>
      <c r="M15" s="172" t="s">
        <v>1117</v>
      </c>
      <c r="N15" s="103" t="s">
        <v>1064</v>
      </c>
      <c r="O15" s="172">
        <v>1</v>
      </c>
      <c r="P15" s="172">
        <v>4</v>
      </c>
      <c r="Q15" s="103" t="s">
        <v>1033</v>
      </c>
      <c r="R15" s="103">
        <v>311020001</v>
      </c>
      <c r="S15" s="104" t="str">
        <f t="shared" si="6"/>
        <v>UITexture/TechBldg/311020001.png</v>
      </c>
      <c r="T15" s="172" t="s">
        <v>1158</v>
      </c>
      <c r="U15" s="104">
        <f t="shared" si="4"/>
        <v>4001</v>
      </c>
      <c r="V15" s="103">
        <v>4</v>
      </c>
      <c r="W15" s="103">
        <v>1</v>
      </c>
      <c r="Y15" s="172">
        <f t="shared" si="7"/>
        <v>3</v>
      </c>
      <c r="Z15" s="172">
        <v>1</v>
      </c>
      <c r="AA15" s="172">
        <v>1</v>
      </c>
      <c r="AC15" s="102">
        <v>0</v>
      </c>
      <c r="AD15" s="102">
        <v>0</v>
      </c>
      <c r="AI15" s="104">
        <f t="shared" si="5"/>
        <v>5</v>
      </c>
      <c r="AM15" s="103">
        <v>5</v>
      </c>
      <c r="AN15" s="102">
        <v>100</v>
      </c>
      <c r="AO15" s="102">
        <v>5</v>
      </c>
      <c r="AP15" s="172">
        <v>0</v>
      </c>
      <c r="AR15" s="104">
        <f ca="1">IFERROR(OFFSET(ITEM_RES!$A$5,MATCH(AS15,ITEM_RES!$M$5:$M$84,0)-1,0),0)</f>
        <v>0</v>
      </c>
    </row>
    <row r="16" spans="1:62" x14ac:dyDescent="0.3">
      <c r="A16" s="107">
        <f t="shared" si="0"/>
        <v>311020002</v>
      </c>
      <c r="B16" s="106">
        <v>31</v>
      </c>
      <c r="C16" s="105">
        <f t="shared" si="1"/>
        <v>1</v>
      </c>
      <c r="D16" s="106">
        <v>2</v>
      </c>
      <c r="E16" s="106">
        <v>0</v>
      </c>
      <c r="F16" s="105">
        <f t="shared" si="2"/>
        <v>2</v>
      </c>
      <c r="H16" s="103">
        <v>1</v>
      </c>
      <c r="I16" s="105">
        <f t="shared" si="3"/>
        <v>102</v>
      </c>
      <c r="J16" s="172">
        <v>2</v>
      </c>
      <c r="L16" s="172" t="s">
        <v>1115</v>
      </c>
      <c r="M16" s="172" t="s">
        <v>1117</v>
      </c>
      <c r="N16" s="103" t="s">
        <v>1064</v>
      </c>
      <c r="O16" s="172">
        <v>1</v>
      </c>
      <c r="P16" s="172">
        <v>4</v>
      </c>
      <c r="Q16" s="103" t="s">
        <v>1033</v>
      </c>
      <c r="R16" s="103">
        <v>311020001</v>
      </c>
      <c r="S16" s="104" t="str">
        <f t="shared" si="6"/>
        <v>UITexture/TechBldg/311020001.png</v>
      </c>
      <c r="T16" s="172" t="s">
        <v>1158</v>
      </c>
      <c r="U16" s="104">
        <f t="shared" si="4"/>
        <v>0</v>
      </c>
      <c r="Y16" s="172">
        <f t="shared" si="7"/>
        <v>6</v>
      </c>
      <c r="Z16" s="172">
        <v>4</v>
      </c>
      <c r="AA16" s="172">
        <v>1</v>
      </c>
      <c r="AC16" s="102">
        <v>3</v>
      </c>
      <c r="AD16" s="102">
        <v>0</v>
      </c>
      <c r="AI16" s="104">
        <f t="shared" si="5"/>
        <v>30</v>
      </c>
      <c r="AM16" s="103">
        <v>30</v>
      </c>
      <c r="AN16" s="102">
        <v>200</v>
      </c>
      <c r="AO16" s="102">
        <v>10</v>
      </c>
      <c r="AP16" s="172">
        <v>0</v>
      </c>
      <c r="AR16" s="104">
        <f ca="1">IFERROR(OFFSET(ITEM_RES!$A$5,MATCH(AS16,ITEM_RES!$M$5:$M$84,0)-1,0),0)</f>
        <v>0</v>
      </c>
    </row>
    <row r="17" spans="1:44" x14ac:dyDescent="0.3">
      <c r="A17" s="107">
        <f t="shared" si="0"/>
        <v>311020003</v>
      </c>
      <c r="B17" s="106">
        <v>31</v>
      </c>
      <c r="C17" s="105">
        <f t="shared" si="1"/>
        <v>1</v>
      </c>
      <c r="D17" s="106">
        <v>2</v>
      </c>
      <c r="E17" s="106">
        <v>0</v>
      </c>
      <c r="F17" s="105">
        <f t="shared" si="2"/>
        <v>3</v>
      </c>
      <c r="H17" s="103">
        <v>1</v>
      </c>
      <c r="I17" s="105">
        <f t="shared" si="3"/>
        <v>102</v>
      </c>
      <c r="J17" s="172">
        <v>3</v>
      </c>
      <c r="L17" s="172" t="s">
        <v>1115</v>
      </c>
      <c r="M17" s="172" t="s">
        <v>1117</v>
      </c>
      <c r="N17" s="103" t="s">
        <v>1064</v>
      </c>
      <c r="O17" s="172">
        <v>1</v>
      </c>
      <c r="P17" s="172">
        <v>4</v>
      </c>
      <c r="Q17" s="103" t="s">
        <v>1033</v>
      </c>
      <c r="R17" s="103">
        <v>311020001</v>
      </c>
      <c r="S17" s="104" t="str">
        <f t="shared" si="6"/>
        <v>UITexture/TechBldg/311020001.png</v>
      </c>
      <c r="T17" s="172" t="s">
        <v>1158</v>
      </c>
      <c r="U17" s="104">
        <f t="shared" si="4"/>
        <v>0</v>
      </c>
      <c r="Y17" s="172">
        <f t="shared" si="7"/>
        <v>9</v>
      </c>
      <c r="Z17" s="172">
        <v>7</v>
      </c>
      <c r="AA17" s="172">
        <v>1</v>
      </c>
      <c r="AC17" s="102">
        <v>6</v>
      </c>
      <c r="AD17" s="102">
        <v>0</v>
      </c>
      <c r="AI17" s="104">
        <f t="shared" si="5"/>
        <v>60</v>
      </c>
      <c r="AL17" s="103">
        <v>1</v>
      </c>
      <c r="AN17" s="102">
        <v>300</v>
      </c>
      <c r="AO17" s="102">
        <v>15</v>
      </c>
      <c r="AP17" s="172">
        <v>0</v>
      </c>
      <c r="AR17" s="104">
        <f ca="1">IFERROR(OFFSET(ITEM_RES!$A$5,MATCH(AS17,ITEM_RES!$M$5:$M$84,0)-1,0),0)</f>
        <v>0</v>
      </c>
    </row>
    <row r="18" spans="1:44" x14ac:dyDescent="0.3">
      <c r="A18" s="107">
        <f t="shared" si="0"/>
        <v>311020004</v>
      </c>
      <c r="B18" s="106">
        <v>31</v>
      </c>
      <c r="C18" s="105">
        <f t="shared" si="1"/>
        <v>1</v>
      </c>
      <c r="D18" s="106">
        <v>2</v>
      </c>
      <c r="E18" s="106">
        <v>0</v>
      </c>
      <c r="F18" s="105">
        <f t="shared" si="2"/>
        <v>4</v>
      </c>
      <c r="H18" s="103">
        <v>1</v>
      </c>
      <c r="I18" s="105">
        <f t="shared" si="3"/>
        <v>102</v>
      </c>
      <c r="J18" s="172">
        <v>4</v>
      </c>
      <c r="L18" s="172" t="s">
        <v>1115</v>
      </c>
      <c r="M18" s="172" t="s">
        <v>1117</v>
      </c>
      <c r="N18" s="103" t="s">
        <v>1064</v>
      </c>
      <c r="O18" s="172">
        <v>1</v>
      </c>
      <c r="P18" s="172">
        <v>4</v>
      </c>
      <c r="Q18" s="103" t="s">
        <v>1033</v>
      </c>
      <c r="R18" s="103">
        <v>311020001</v>
      </c>
      <c r="S18" s="104" t="str">
        <f t="shared" si="6"/>
        <v>UITexture/TechBldg/311020001.png</v>
      </c>
      <c r="T18" s="172" t="s">
        <v>1158</v>
      </c>
      <c r="U18" s="104">
        <f t="shared" si="4"/>
        <v>0</v>
      </c>
      <c r="Y18" s="172">
        <f t="shared" si="7"/>
        <v>12</v>
      </c>
      <c r="Z18" s="172">
        <v>10</v>
      </c>
      <c r="AA18" s="172">
        <v>1</v>
      </c>
      <c r="AC18" s="102">
        <v>9</v>
      </c>
      <c r="AD18" s="102">
        <v>0</v>
      </c>
      <c r="AI18" s="104">
        <f t="shared" si="5"/>
        <v>60</v>
      </c>
      <c r="AL18" s="103">
        <v>1</v>
      </c>
      <c r="AN18" s="102">
        <v>400</v>
      </c>
      <c r="AO18" s="102">
        <v>20</v>
      </c>
      <c r="AP18" s="172">
        <v>0</v>
      </c>
      <c r="AR18" s="104">
        <f ca="1">IFERROR(OFFSET(ITEM_RES!$A$5,MATCH(AS18,ITEM_RES!$M$5:$M$84,0)-1,0),0)</f>
        <v>0</v>
      </c>
    </row>
    <row r="19" spans="1:44" x14ac:dyDescent="0.3">
      <c r="A19" s="107">
        <f t="shared" si="0"/>
        <v>311020005</v>
      </c>
      <c r="B19" s="106">
        <v>31</v>
      </c>
      <c r="C19" s="105">
        <f t="shared" si="1"/>
        <v>1</v>
      </c>
      <c r="D19" s="106">
        <v>2</v>
      </c>
      <c r="E19" s="106">
        <v>0</v>
      </c>
      <c r="F19" s="105">
        <f t="shared" si="2"/>
        <v>5</v>
      </c>
      <c r="H19" s="103">
        <v>1</v>
      </c>
      <c r="I19" s="105">
        <f t="shared" si="3"/>
        <v>102</v>
      </c>
      <c r="J19" s="172">
        <v>5</v>
      </c>
      <c r="L19" s="172" t="s">
        <v>1115</v>
      </c>
      <c r="M19" s="172" t="s">
        <v>1117</v>
      </c>
      <c r="N19" s="103" t="s">
        <v>1064</v>
      </c>
      <c r="O19" s="172">
        <v>0</v>
      </c>
      <c r="P19" s="172">
        <v>4</v>
      </c>
      <c r="Q19" s="103" t="s">
        <v>1033</v>
      </c>
      <c r="R19" s="103">
        <v>311020001</v>
      </c>
      <c r="S19" s="104" t="str">
        <f t="shared" si="6"/>
        <v>UITexture/TechBldg/311020001.png</v>
      </c>
      <c r="T19" s="172" t="s">
        <v>1158</v>
      </c>
      <c r="U19" s="104">
        <f t="shared" si="4"/>
        <v>0</v>
      </c>
      <c r="Y19" s="172">
        <f t="shared" si="7"/>
        <v>15</v>
      </c>
      <c r="Z19" s="172">
        <v>13</v>
      </c>
      <c r="AA19" s="172">
        <v>1</v>
      </c>
      <c r="AC19" s="102">
        <v>12</v>
      </c>
      <c r="AD19" s="102">
        <v>0</v>
      </c>
      <c r="AI19" s="104">
        <f t="shared" si="5"/>
        <v>60</v>
      </c>
      <c r="AL19" s="103">
        <v>1</v>
      </c>
      <c r="AN19" s="102">
        <v>500</v>
      </c>
      <c r="AO19" s="102">
        <v>25</v>
      </c>
      <c r="AP19" s="172">
        <v>0</v>
      </c>
      <c r="AR19" s="104">
        <f ca="1">IFERROR(OFFSET(ITEM_RES!$A$5,MATCH(AS19,ITEM_RES!$M$5:$M$84,0)-1,0),0)</f>
        <v>0</v>
      </c>
    </row>
    <row r="20" spans="1:44" x14ac:dyDescent="0.3">
      <c r="A20" s="107">
        <f t="shared" ref="A20:A24" si="12">B20*10000000+C20*1000000+D20*10000+E20*100+F20</f>
        <v>311020006</v>
      </c>
      <c r="B20" s="106">
        <v>31</v>
      </c>
      <c r="C20" s="105">
        <f t="shared" ref="C20:C24" si="13">H20</f>
        <v>1</v>
      </c>
      <c r="D20" s="106">
        <v>2</v>
      </c>
      <c r="E20" s="106">
        <v>0</v>
      </c>
      <c r="F20" s="105">
        <f t="shared" si="2"/>
        <v>6</v>
      </c>
      <c r="H20" s="103">
        <v>1</v>
      </c>
      <c r="I20" s="105">
        <f t="shared" si="3"/>
        <v>102</v>
      </c>
      <c r="J20" s="172">
        <v>6</v>
      </c>
      <c r="L20" s="172" t="s">
        <v>1115</v>
      </c>
      <c r="M20" s="172" t="s">
        <v>1117</v>
      </c>
      <c r="N20" s="103" t="s">
        <v>1064</v>
      </c>
      <c r="O20" s="172">
        <v>0</v>
      </c>
      <c r="P20" s="172">
        <v>4</v>
      </c>
      <c r="Q20" s="103" t="s">
        <v>1033</v>
      </c>
      <c r="R20" s="103">
        <v>311020001</v>
      </c>
      <c r="S20" s="104" t="str">
        <f t="shared" si="6"/>
        <v>UITexture/TechBldg/311020001.png</v>
      </c>
      <c r="T20" s="172" t="s">
        <v>1158</v>
      </c>
      <c r="U20" s="104">
        <f t="shared" ref="U20:U24" si="14">V20*1000+W20</f>
        <v>0</v>
      </c>
      <c r="Y20" s="172">
        <f t="shared" si="7"/>
        <v>18</v>
      </c>
      <c r="Z20" s="172">
        <v>16</v>
      </c>
      <c r="AA20" s="172">
        <v>1</v>
      </c>
      <c r="AC20" s="102">
        <v>15</v>
      </c>
      <c r="AD20" s="102">
        <v>0</v>
      </c>
      <c r="AI20" s="104">
        <f t="shared" ref="AI20:AI24" si="15">((AJ20*24+AK20)*60+AL20)*60+AM20</f>
        <v>60</v>
      </c>
      <c r="AL20" s="103">
        <v>1</v>
      </c>
      <c r="AN20" s="102">
        <v>600</v>
      </c>
      <c r="AO20" s="102">
        <v>30</v>
      </c>
      <c r="AP20" s="172">
        <v>0</v>
      </c>
      <c r="AR20" s="104">
        <f ca="1">IFERROR(OFFSET(ITEM_RES!$A$5,MATCH(AS20,ITEM_RES!$M$5:$M$84,0)-1,0),0)</f>
        <v>0</v>
      </c>
    </row>
    <row r="21" spans="1:44" x14ac:dyDescent="0.3">
      <c r="A21" s="107">
        <f t="shared" si="12"/>
        <v>311020007</v>
      </c>
      <c r="B21" s="106">
        <v>31</v>
      </c>
      <c r="C21" s="105">
        <f t="shared" si="13"/>
        <v>1</v>
      </c>
      <c r="D21" s="106">
        <v>2</v>
      </c>
      <c r="E21" s="106">
        <v>0</v>
      </c>
      <c r="F21" s="105">
        <f t="shared" si="2"/>
        <v>7</v>
      </c>
      <c r="H21" s="103">
        <v>1</v>
      </c>
      <c r="I21" s="105">
        <f t="shared" si="3"/>
        <v>102</v>
      </c>
      <c r="J21" s="172">
        <v>7</v>
      </c>
      <c r="L21" s="172" t="s">
        <v>1115</v>
      </c>
      <c r="M21" s="172" t="s">
        <v>1117</v>
      </c>
      <c r="N21" s="103" t="s">
        <v>1064</v>
      </c>
      <c r="O21" s="172">
        <v>0</v>
      </c>
      <c r="P21" s="172">
        <v>4</v>
      </c>
      <c r="Q21" s="103" t="s">
        <v>1033</v>
      </c>
      <c r="R21" s="103">
        <v>311020001</v>
      </c>
      <c r="S21" s="104" t="str">
        <f t="shared" si="6"/>
        <v>UITexture/TechBldg/311020001.png</v>
      </c>
      <c r="T21" s="172" t="s">
        <v>1158</v>
      </c>
      <c r="U21" s="104">
        <f t="shared" si="14"/>
        <v>0</v>
      </c>
      <c r="Y21" s="172">
        <f t="shared" si="7"/>
        <v>21</v>
      </c>
      <c r="Z21" s="172">
        <v>19</v>
      </c>
      <c r="AA21" s="172">
        <v>1</v>
      </c>
      <c r="AC21" s="102">
        <v>18</v>
      </c>
      <c r="AD21" s="102">
        <v>0</v>
      </c>
      <c r="AI21" s="104">
        <f t="shared" si="15"/>
        <v>60</v>
      </c>
      <c r="AL21" s="103">
        <v>1</v>
      </c>
      <c r="AN21" s="102">
        <v>700</v>
      </c>
      <c r="AO21" s="102">
        <v>35</v>
      </c>
      <c r="AP21" s="172">
        <v>0</v>
      </c>
      <c r="AR21" s="104">
        <f ca="1">IFERROR(OFFSET(ITEM_RES!$A$5,MATCH(AS21,ITEM_RES!$M$5:$M$84,0)-1,0),0)</f>
        <v>0</v>
      </c>
    </row>
    <row r="22" spans="1:44" x14ac:dyDescent="0.3">
      <c r="A22" s="107">
        <f t="shared" si="12"/>
        <v>311020008</v>
      </c>
      <c r="B22" s="106">
        <v>31</v>
      </c>
      <c r="C22" s="105">
        <f t="shared" si="13"/>
        <v>1</v>
      </c>
      <c r="D22" s="106">
        <v>2</v>
      </c>
      <c r="E22" s="106">
        <v>0</v>
      </c>
      <c r="F22" s="105">
        <f t="shared" si="2"/>
        <v>8</v>
      </c>
      <c r="H22" s="103">
        <v>1</v>
      </c>
      <c r="I22" s="105">
        <f t="shared" si="3"/>
        <v>102</v>
      </c>
      <c r="J22" s="172">
        <v>8</v>
      </c>
      <c r="L22" s="172" t="s">
        <v>1115</v>
      </c>
      <c r="M22" s="172" t="s">
        <v>1117</v>
      </c>
      <c r="N22" s="103" t="s">
        <v>1064</v>
      </c>
      <c r="O22" s="172">
        <v>0</v>
      </c>
      <c r="P22" s="172">
        <v>4</v>
      </c>
      <c r="Q22" s="103" t="s">
        <v>1033</v>
      </c>
      <c r="R22" s="103">
        <v>311020001</v>
      </c>
      <c r="S22" s="104" t="str">
        <f t="shared" si="6"/>
        <v>UITexture/TechBldg/311020001.png</v>
      </c>
      <c r="T22" s="172" t="s">
        <v>1158</v>
      </c>
      <c r="U22" s="104">
        <f t="shared" si="14"/>
        <v>0</v>
      </c>
      <c r="Y22" s="172">
        <f t="shared" si="7"/>
        <v>24</v>
      </c>
      <c r="Z22" s="172">
        <v>22</v>
      </c>
      <c r="AA22" s="172">
        <v>1</v>
      </c>
      <c r="AC22" s="102">
        <v>21</v>
      </c>
      <c r="AD22" s="102">
        <v>0</v>
      </c>
      <c r="AI22" s="104">
        <f t="shared" si="15"/>
        <v>60</v>
      </c>
      <c r="AL22" s="103">
        <v>1</v>
      </c>
      <c r="AN22" s="102">
        <v>800</v>
      </c>
      <c r="AO22" s="102">
        <v>40</v>
      </c>
      <c r="AP22" s="172">
        <v>0</v>
      </c>
      <c r="AR22" s="104">
        <f ca="1">IFERROR(OFFSET(ITEM_RES!$A$5,MATCH(AS22,ITEM_RES!$M$5:$M$84,0)-1,0),0)</f>
        <v>0</v>
      </c>
    </row>
    <row r="23" spans="1:44" x14ac:dyDescent="0.3">
      <c r="A23" s="107">
        <f t="shared" si="12"/>
        <v>311020009</v>
      </c>
      <c r="B23" s="106">
        <v>31</v>
      </c>
      <c r="C23" s="105">
        <f t="shared" si="13"/>
        <v>1</v>
      </c>
      <c r="D23" s="106">
        <v>2</v>
      </c>
      <c r="E23" s="106">
        <v>0</v>
      </c>
      <c r="F23" s="105">
        <f t="shared" si="2"/>
        <v>9</v>
      </c>
      <c r="H23" s="103">
        <v>1</v>
      </c>
      <c r="I23" s="105">
        <f t="shared" si="3"/>
        <v>102</v>
      </c>
      <c r="J23" s="172">
        <v>9</v>
      </c>
      <c r="L23" s="172" t="s">
        <v>1115</v>
      </c>
      <c r="M23" s="172" t="s">
        <v>1117</v>
      </c>
      <c r="N23" s="103" t="s">
        <v>1064</v>
      </c>
      <c r="O23" s="172">
        <v>0</v>
      </c>
      <c r="P23" s="172">
        <v>4</v>
      </c>
      <c r="Q23" s="103" t="s">
        <v>1033</v>
      </c>
      <c r="R23" s="103">
        <v>311020001</v>
      </c>
      <c r="S23" s="104" t="str">
        <f t="shared" si="6"/>
        <v>UITexture/TechBldg/311020001.png</v>
      </c>
      <c r="T23" s="172" t="s">
        <v>1158</v>
      </c>
      <c r="U23" s="104">
        <f t="shared" si="14"/>
        <v>0</v>
      </c>
      <c r="Y23" s="172">
        <f t="shared" si="7"/>
        <v>27</v>
      </c>
      <c r="Z23" s="172">
        <v>25</v>
      </c>
      <c r="AA23" s="172">
        <v>1</v>
      </c>
      <c r="AC23" s="102">
        <v>24</v>
      </c>
      <c r="AD23" s="102">
        <v>0</v>
      </c>
      <c r="AI23" s="104">
        <f t="shared" si="15"/>
        <v>60</v>
      </c>
      <c r="AL23" s="103">
        <v>1</v>
      </c>
      <c r="AN23" s="102">
        <v>900</v>
      </c>
      <c r="AO23" s="102">
        <v>45</v>
      </c>
      <c r="AP23" s="172">
        <v>0</v>
      </c>
      <c r="AR23" s="104">
        <f ca="1">IFERROR(OFFSET(ITEM_RES!$A$5,MATCH(AS23,ITEM_RES!$M$5:$M$84,0)-1,0),0)</f>
        <v>0</v>
      </c>
    </row>
    <row r="24" spans="1:44" x14ac:dyDescent="0.3">
      <c r="A24" s="107">
        <f t="shared" si="12"/>
        <v>311020010</v>
      </c>
      <c r="B24" s="106">
        <v>31</v>
      </c>
      <c r="C24" s="105">
        <f t="shared" si="13"/>
        <v>1</v>
      </c>
      <c r="D24" s="106">
        <v>2</v>
      </c>
      <c r="E24" s="106">
        <v>0</v>
      </c>
      <c r="F24" s="105">
        <f t="shared" si="2"/>
        <v>10</v>
      </c>
      <c r="H24" s="103">
        <v>1</v>
      </c>
      <c r="I24" s="105">
        <f t="shared" si="3"/>
        <v>102</v>
      </c>
      <c r="J24" s="172">
        <v>10</v>
      </c>
      <c r="L24" s="172" t="s">
        <v>1115</v>
      </c>
      <c r="M24" s="172" t="s">
        <v>1117</v>
      </c>
      <c r="N24" s="103" t="s">
        <v>1064</v>
      </c>
      <c r="O24" s="172">
        <v>0</v>
      </c>
      <c r="P24" s="172">
        <v>4</v>
      </c>
      <c r="Q24" s="103" t="s">
        <v>1033</v>
      </c>
      <c r="R24" s="103">
        <v>311020001</v>
      </c>
      <c r="S24" s="104" t="str">
        <f t="shared" si="6"/>
        <v>UITexture/TechBldg/311020001.png</v>
      </c>
      <c r="T24" s="172" t="s">
        <v>1158</v>
      </c>
      <c r="U24" s="104">
        <f t="shared" si="14"/>
        <v>0</v>
      </c>
      <c r="Y24" s="172">
        <v>30</v>
      </c>
      <c r="Z24" s="172">
        <v>28</v>
      </c>
      <c r="AA24" s="172">
        <v>1</v>
      </c>
      <c r="AC24" s="102">
        <v>27</v>
      </c>
      <c r="AD24" s="102">
        <v>0</v>
      </c>
      <c r="AI24" s="104">
        <f t="shared" si="15"/>
        <v>60</v>
      </c>
      <c r="AL24" s="103">
        <v>1</v>
      </c>
      <c r="AN24" s="102">
        <v>1000</v>
      </c>
      <c r="AO24" s="102">
        <v>50</v>
      </c>
      <c r="AP24" s="172">
        <v>0</v>
      </c>
      <c r="AR24" s="104">
        <f ca="1">IFERROR(OFFSET(ITEM_RES!$A$5,MATCH(AS24,ITEM_RES!$M$5:$M$84,0)-1,0),0)</f>
        <v>0</v>
      </c>
    </row>
    <row r="25" spans="1:44" x14ac:dyDescent="0.3">
      <c r="A25" s="107">
        <f t="shared" ref="A25:A99" si="16">B25*10000000+C25*1000000+D25*10000+E25*100+F25</f>
        <v>311030001</v>
      </c>
      <c r="B25" s="106">
        <v>31</v>
      </c>
      <c r="C25" s="105">
        <f t="shared" ref="C25:C99" si="17">H25</f>
        <v>1</v>
      </c>
      <c r="D25" s="106">
        <v>3</v>
      </c>
      <c r="E25" s="106">
        <v>0</v>
      </c>
      <c r="F25" s="105">
        <f t="shared" si="2"/>
        <v>1</v>
      </c>
      <c r="H25" s="103">
        <v>1</v>
      </c>
      <c r="I25" s="105">
        <f t="shared" si="3"/>
        <v>103</v>
      </c>
      <c r="J25" s="172">
        <v>1</v>
      </c>
      <c r="L25" s="172" t="s">
        <v>1115</v>
      </c>
      <c r="M25" s="172" t="s">
        <v>1118</v>
      </c>
      <c r="N25" s="103" t="s">
        <v>1065</v>
      </c>
      <c r="O25" s="172">
        <v>1</v>
      </c>
      <c r="P25" s="172">
        <v>4</v>
      </c>
      <c r="Q25" s="103" t="s">
        <v>1033</v>
      </c>
      <c r="R25" s="103">
        <v>311030001</v>
      </c>
      <c r="S25" s="104" t="str">
        <f t="shared" si="6"/>
        <v>UITexture/TechBldg/311030001.png</v>
      </c>
      <c r="T25" s="172" t="s">
        <v>1158</v>
      </c>
      <c r="U25" s="104">
        <f t="shared" ref="U25:U99" si="18">V25*1000+W25</f>
        <v>2003</v>
      </c>
      <c r="V25" s="103">
        <v>2</v>
      </c>
      <c r="W25" s="103">
        <v>3</v>
      </c>
      <c r="Y25" s="172">
        <f t="shared" si="7"/>
        <v>3</v>
      </c>
      <c r="Z25" s="172">
        <v>1</v>
      </c>
      <c r="AA25" s="172">
        <v>1</v>
      </c>
      <c r="AC25" s="102">
        <v>1</v>
      </c>
      <c r="AD25" s="102">
        <v>0</v>
      </c>
      <c r="AI25" s="104">
        <f t="shared" ref="AI25:AI99" si="19">((AJ25*24+AK25)*60+AL25)*60+AM25</f>
        <v>5</v>
      </c>
      <c r="AM25" s="103">
        <v>5</v>
      </c>
      <c r="AN25" s="102">
        <v>100</v>
      </c>
      <c r="AO25" s="102">
        <v>5</v>
      </c>
      <c r="AP25" s="172">
        <v>0</v>
      </c>
      <c r="AR25" s="104">
        <f ca="1">IFERROR(OFFSET(ITEM_RES!$A$5,MATCH(AS25,ITEM_RES!$M$5:$M$84,0)-1,0),0)</f>
        <v>0</v>
      </c>
    </row>
    <row r="26" spans="1:44" x14ac:dyDescent="0.3">
      <c r="A26" s="107">
        <f t="shared" si="16"/>
        <v>311030002</v>
      </c>
      <c r="B26" s="106">
        <v>31</v>
      </c>
      <c r="C26" s="105">
        <f t="shared" si="17"/>
        <v>1</v>
      </c>
      <c r="D26" s="106">
        <v>3</v>
      </c>
      <c r="E26" s="106">
        <v>0</v>
      </c>
      <c r="F26" s="105">
        <f t="shared" si="2"/>
        <v>2</v>
      </c>
      <c r="H26" s="103">
        <v>1</v>
      </c>
      <c r="I26" s="105">
        <f t="shared" si="3"/>
        <v>103</v>
      </c>
      <c r="J26" s="172">
        <v>2</v>
      </c>
      <c r="L26" s="172" t="s">
        <v>1115</v>
      </c>
      <c r="M26" s="172" t="s">
        <v>1118</v>
      </c>
      <c r="N26" s="103" t="s">
        <v>1065</v>
      </c>
      <c r="O26" s="172">
        <v>1</v>
      </c>
      <c r="P26" s="172">
        <v>4</v>
      </c>
      <c r="Q26" s="103" t="s">
        <v>1033</v>
      </c>
      <c r="R26" s="103">
        <v>311030001</v>
      </c>
      <c r="S26" s="104" t="str">
        <f t="shared" si="6"/>
        <v>UITexture/TechBldg/311030001.png</v>
      </c>
      <c r="T26" s="172" t="s">
        <v>1158</v>
      </c>
      <c r="U26" s="104">
        <f t="shared" si="18"/>
        <v>0</v>
      </c>
      <c r="Y26" s="172">
        <f t="shared" si="7"/>
        <v>6</v>
      </c>
      <c r="Z26" s="172">
        <v>4</v>
      </c>
      <c r="AA26" s="172">
        <v>1</v>
      </c>
      <c r="AC26" s="102">
        <v>4</v>
      </c>
      <c r="AD26" s="102">
        <v>0</v>
      </c>
      <c r="AI26" s="104">
        <f t="shared" si="19"/>
        <v>30</v>
      </c>
      <c r="AM26" s="103">
        <v>30</v>
      </c>
      <c r="AN26" s="102">
        <v>200</v>
      </c>
      <c r="AO26" s="102">
        <v>10</v>
      </c>
      <c r="AP26" s="172">
        <v>0</v>
      </c>
      <c r="AR26" s="104">
        <f ca="1">IFERROR(OFFSET(ITEM_RES!$A$5,MATCH(AS26,ITEM_RES!$M$5:$M$84,0)-1,0),0)</f>
        <v>0</v>
      </c>
    </row>
    <row r="27" spans="1:44" x14ac:dyDescent="0.3">
      <c r="A27" s="107">
        <f t="shared" si="16"/>
        <v>311030003</v>
      </c>
      <c r="B27" s="106">
        <v>31</v>
      </c>
      <c r="C27" s="105">
        <f t="shared" si="17"/>
        <v>1</v>
      </c>
      <c r="D27" s="106">
        <v>3</v>
      </c>
      <c r="E27" s="106">
        <v>0</v>
      </c>
      <c r="F27" s="105">
        <f t="shared" si="2"/>
        <v>3</v>
      </c>
      <c r="H27" s="103">
        <v>1</v>
      </c>
      <c r="I27" s="105">
        <f t="shared" si="3"/>
        <v>103</v>
      </c>
      <c r="J27" s="172">
        <v>3</v>
      </c>
      <c r="L27" s="172" t="s">
        <v>1115</v>
      </c>
      <c r="M27" s="172" t="s">
        <v>1118</v>
      </c>
      <c r="N27" s="103" t="s">
        <v>1065</v>
      </c>
      <c r="O27" s="172">
        <v>1</v>
      </c>
      <c r="P27" s="172">
        <v>4</v>
      </c>
      <c r="Q27" s="103" t="s">
        <v>1033</v>
      </c>
      <c r="R27" s="103">
        <v>311030001</v>
      </c>
      <c r="S27" s="104" t="str">
        <f t="shared" si="6"/>
        <v>UITexture/TechBldg/311030001.png</v>
      </c>
      <c r="T27" s="172" t="s">
        <v>1158</v>
      </c>
      <c r="U27" s="104">
        <f t="shared" si="18"/>
        <v>0</v>
      </c>
      <c r="Y27" s="172">
        <f t="shared" si="7"/>
        <v>9</v>
      </c>
      <c r="Z27" s="172">
        <v>7</v>
      </c>
      <c r="AA27" s="172">
        <v>1</v>
      </c>
      <c r="AC27" s="102">
        <v>7</v>
      </c>
      <c r="AD27" s="102">
        <v>0</v>
      </c>
      <c r="AI27" s="104">
        <f t="shared" si="19"/>
        <v>60</v>
      </c>
      <c r="AL27" s="103">
        <v>1</v>
      </c>
      <c r="AN27" s="102">
        <v>300</v>
      </c>
      <c r="AO27" s="102">
        <v>15</v>
      </c>
      <c r="AP27" s="172">
        <v>0</v>
      </c>
      <c r="AR27" s="104">
        <f ca="1">IFERROR(OFFSET(ITEM_RES!$A$5,MATCH(AS27,ITEM_RES!$M$5:$M$84,0)-1,0),0)</f>
        <v>0</v>
      </c>
    </row>
    <row r="28" spans="1:44" x14ac:dyDescent="0.3">
      <c r="A28" s="107">
        <f t="shared" si="16"/>
        <v>311030004</v>
      </c>
      <c r="B28" s="106">
        <v>31</v>
      </c>
      <c r="C28" s="105">
        <f t="shared" si="17"/>
        <v>1</v>
      </c>
      <c r="D28" s="106">
        <v>3</v>
      </c>
      <c r="E28" s="106">
        <v>0</v>
      </c>
      <c r="F28" s="105">
        <f t="shared" si="2"/>
        <v>4</v>
      </c>
      <c r="H28" s="103">
        <v>1</v>
      </c>
      <c r="I28" s="105">
        <f t="shared" si="3"/>
        <v>103</v>
      </c>
      <c r="J28" s="172">
        <v>4</v>
      </c>
      <c r="L28" s="172" t="s">
        <v>1115</v>
      </c>
      <c r="M28" s="172" t="s">
        <v>1118</v>
      </c>
      <c r="N28" s="103" t="s">
        <v>1065</v>
      </c>
      <c r="O28" s="172">
        <v>1</v>
      </c>
      <c r="P28" s="172">
        <v>4</v>
      </c>
      <c r="Q28" s="103" t="s">
        <v>1033</v>
      </c>
      <c r="R28" s="103">
        <v>311030001</v>
      </c>
      <c r="S28" s="104" t="str">
        <f t="shared" si="6"/>
        <v>UITexture/TechBldg/311030001.png</v>
      </c>
      <c r="T28" s="172" t="s">
        <v>1158</v>
      </c>
      <c r="U28" s="104">
        <f t="shared" si="18"/>
        <v>0</v>
      </c>
      <c r="Y28" s="172">
        <f t="shared" si="7"/>
        <v>12</v>
      </c>
      <c r="Z28" s="172">
        <v>10</v>
      </c>
      <c r="AA28" s="172">
        <v>1</v>
      </c>
      <c r="AC28" s="102">
        <v>10</v>
      </c>
      <c r="AD28" s="102">
        <v>0</v>
      </c>
      <c r="AI28" s="104">
        <f t="shared" si="19"/>
        <v>60</v>
      </c>
      <c r="AL28" s="103">
        <v>1</v>
      </c>
      <c r="AN28" s="102">
        <v>400</v>
      </c>
      <c r="AO28" s="102">
        <v>20</v>
      </c>
      <c r="AP28" s="172">
        <v>0</v>
      </c>
      <c r="AR28" s="104">
        <f ca="1">IFERROR(OFFSET(ITEM_RES!$A$5,MATCH(AS28,ITEM_RES!$M$5:$M$84,0)-1,0),0)</f>
        <v>0</v>
      </c>
    </row>
    <row r="29" spans="1:44" x14ac:dyDescent="0.3">
      <c r="A29" s="107">
        <f t="shared" si="16"/>
        <v>311030005</v>
      </c>
      <c r="B29" s="106">
        <v>31</v>
      </c>
      <c r="C29" s="105">
        <f t="shared" si="17"/>
        <v>1</v>
      </c>
      <c r="D29" s="106">
        <v>3</v>
      </c>
      <c r="E29" s="106">
        <v>0</v>
      </c>
      <c r="F29" s="105">
        <f t="shared" si="2"/>
        <v>5</v>
      </c>
      <c r="H29" s="103">
        <v>1</v>
      </c>
      <c r="I29" s="105">
        <f t="shared" si="3"/>
        <v>103</v>
      </c>
      <c r="J29" s="172">
        <v>5</v>
      </c>
      <c r="L29" s="172" t="s">
        <v>1115</v>
      </c>
      <c r="M29" s="172" t="s">
        <v>1118</v>
      </c>
      <c r="N29" s="103" t="s">
        <v>1065</v>
      </c>
      <c r="O29" s="172">
        <v>0</v>
      </c>
      <c r="P29" s="172">
        <v>4</v>
      </c>
      <c r="Q29" s="103" t="s">
        <v>1033</v>
      </c>
      <c r="R29" s="103">
        <v>311030001</v>
      </c>
      <c r="S29" s="104" t="str">
        <f t="shared" si="6"/>
        <v>UITexture/TechBldg/311030001.png</v>
      </c>
      <c r="T29" s="172" t="s">
        <v>1158</v>
      </c>
      <c r="U29" s="104">
        <f t="shared" si="18"/>
        <v>0</v>
      </c>
      <c r="Y29" s="172">
        <f t="shared" si="7"/>
        <v>15</v>
      </c>
      <c r="Z29" s="172">
        <v>13</v>
      </c>
      <c r="AA29" s="172">
        <v>1</v>
      </c>
      <c r="AC29" s="102">
        <v>13</v>
      </c>
      <c r="AD29" s="102">
        <v>0</v>
      </c>
      <c r="AI29" s="104">
        <f t="shared" si="19"/>
        <v>60</v>
      </c>
      <c r="AL29" s="103">
        <v>1</v>
      </c>
      <c r="AN29" s="102">
        <v>500</v>
      </c>
      <c r="AO29" s="102">
        <v>25</v>
      </c>
      <c r="AP29" s="172">
        <v>0</v>
      </c>
      <c r="AR29" s="104">
        <f ca="1">IFERROR(OFFSET(ITEM_RES!$A$5,MATCH(AS29,ITEM_RES!$M$5:$M$84,0)-1,0),0)</f>
        <v>0</v>
      </c>
    </row>
    <row r="30" spans="1:44" x14ac:dyDescent="0.3">
      <c r="A30" s="107">
        <f t="shared" ref="A30:A34" si="20">B30*10000000+C30*1000000+D30*10000+E30*100+F30</f>
        <v>311030006</v>
      </c>
      <c r="B30" s="106">
        <v>31</v>
      </c>
      <c r="C30" s="105">
        <f t="shared" ref="C30:C34" si="21">H30</f>
        <v>1</v>
      </c>
      <c r="D30" s="106">
        <v>3</v>
      </c>
      <c r="E30" s="106">
        <v>0</v>
      </c>
      <c r="F30" s="105">
        <f t="shared" si="2"/>
        <v>6</v>
      </c>
      <c r="H30" s="103">
        <v>1</v>
      </c>
      <c r="I30" s="105">
        <f t="shared" si="3"/>
        <v>103</v>
      </c>
      <c r="J30" s="172">
        <v>6</v>
      </c>
      <c r="L30" s="172" t="s">
        <v>1115</v>
      </c>
      <c r="M30" s="172" t="s">
        <v>1118</v>
      </c>
      <c r="N30" s="103" t="s">
        <v>1065</v>
      </c>
      <c r="O30" s="172">
        <v>0</v>
      </c>
      <c r="P30" s="172">
        <v>4</v>
      </c>
      <c r="Q30" s="103" t="s">
        <v>1033</v>
      </c>
      <c r="R30" s="103">
        <v>311030001</v>
      </c>
      <c r="S30" s="104" t="str">
        <f t="shared" si="6"/>
        <v>UITexture/TechBldg/311030001.png</v>
      </c>
      <c r="T30" s="172" t="s">
        <v>1158</v>
      </c>
      <c r="U30" s="104">
        <f t="shared" ref="U30:U34" si="22">V30*1000+W30</f>
        <v>0</v>
      </c>
      <c r="Y30" s="172">
        <f t="shared" si="7"/>
        <v>18</v>
      </c>
      <c r="Z30" s="172">
        <v>16</v>
      </c>
      <c r="AA30" s="172">
        <v>1</v>
      </c>
      <c r="AC30" s="102">
        <v>16</v>
      </c>
      <c r="AD30" s="102">
        <v>0</v>
      </c>
      <c r="AI30" s="104">
        <f t="shared" ref="AI30:AI34" si="23">((AJ30*24+AK30)*60+AL30)*60+AM30</f>
        <v>60</v>
      </c>
      <c r="AL30" s="103">
        <v>1</v>
      </c>
      <c r="AN30" s="102">
        <v>600</v>
      </c>
      <c r="AO30" s="102">
        <v>30</v>
      </c>
      <c r="AP30" s="172">
        <v>0</v>
      </c>
      <c r="AR30" s="104">
        <f ca="1">IFERROR(OFFSET(ITEM_RES!$A$5,MATCH(AS30,ITEM_RES!$M$5:$M$84,0)-1,0),0)</f>
        <v>0</v>
      </c>
    </row>
    <row r="31" spans="1:44" x14ac:dyDescent="0.3">
      <c r="A31" s="107">
        <f t="shared" si="20"/>
        <v>311030007</v>
      </c>
      <c r="B31" s="106">
        <v>31</v>
      </c>
      <c r="C31" s="105">
        <f t="shared" si="21"/>
        <v>1</v>
      </c>
      <c r="D31" s="106">
        <v>3</v>
      </c>
      <c r="E31" s="106">
        <v>0</v>
      </c>
      <c r="F31" s="105">
        <f t="shared" si="2"/>
        <v>7</v>
      </c>
      <c r="H31" s="103">
        <v>1</v>
      </c>
      <c r="I31" s="105">
        <f t="shared" si="3"/>
        <v>103</v>
      </c>
      <c r="J31" s="172">
        <v>7</v>
      </c>
      <c r="L31" s="172" t="s">
        <v>1115</v>
      </c>
      <c r="M31" s="172" t="s">
        <v>1118</v>
      </c>
      <c r="N31" s="103" t="s">
        <v>1065</v>
      </c>
      <c r="O31" s="172">
        <v>0</v>
      </c>
      <c r="P31" s="172">
        <v>4</v>
      </c>
      <c r="Q31" s="103" t="s">
        <v>1033</v>
      </c>
      <c r="R31" s="103">
        <v>311030001</v>
      </c>
      <c r="S31" s="104" t="str">
        <f t="shared" si="6"/>
        <v>UITexture/TechBldg/311030001.png</v>
      </c>
      <c r="T31" s="172" t="s">
        <v>1158</v>
      </c>
      <c r="U31" s="104">
        <f t="shared" si="22"/>
        <v>0</v>
      </c>
      <c r="Y31" s="172">
        <f t="shared" si="7"/>
        <v>21</v>
      </c>
      <c r="Z31" s="172">
        <v>19</v>
      </c>
      <c r="AA31" s="172">
        <v>1</v>
      </c>
      <c r="AC31" s="102">
        <v>19</v>
      </c>
      <c r="AD31" s="102">
        <v>0</v>
      </c>
      <c r="AI31" s="104">
        <f t="shared" si="23"/>
        <v>60</v>
      </c>
      <c r="AL31" s="103">
        <v>1</v>
      </c>
      <c r="AN31" s="102">
        <v>700</v>
      </c>
      <c r="AO31" s="102">
        <v>35</v>
      </c>
      <c r="AP31" s="172">
        <v>0</v>
      </c>
      <c r="AR31" s="104">
        <f ca="1">IFERROR(OFFSET(ITEM_RES!$A$5,MATCH(AS31,ITEM_RES!$M$5:$M$84,0)-1,0),0)</f>
        <v>0</v>
      </c>
    </row>
    <row r="32" spans="1:44" x14ac:dyDescent="0.3">
      <c r="A32" s="107">
        <f t="shared" si="20"/>
        <v>311030008</v>
      </c>
      <c r="B32" s="106">
        <v>31</v>
      </c>
      <c r="C32" s="105">
        <f t="shared" si="21"/>
        <v>1</v>
      </c>
      <c r="D32" s="106">
        <v>3</v>
      </c>
      <c r="E32" s="106">
        <v>0</v>
      </c>
      <c r="F32" s="105">
        <f t="shared" si="2"/>
        <v>8</v>
      </c>
      <c r="H32" s="103">
        <v>1</v>
      </c>
      <c r="I32" s="105">
        <f t="shared" si="3"/>
        <v>103</v>
      </c>
      <c r="J32" s="172">
        <v>8</v>
      </c>
      <c r="L32" s="172" t="s">
        <v>1115</v>
      </c>
      <c r="M32" s="172" t="s">
        <v>1118</v>
      </c>
      <c r="N32" s="103" t="s">
        <v>1065</v>
      </c>
      <c r="O32" s="172">
        <v>0</v>
      </c>
      <c r="P32" s="172">
        <v>4</v>
      </c>
      <c r="Q32" s="103" t="s">
        <v>1033</v>
      </c>
      <c r="R32" s="103">
        <v>311030001</v>
      </c>
      <c r="S32" s="104" t="str">
        <f t="shared" si="6"/>
        <v>UITexture/TechBldg/311030001.png</v>
      </c>
      <c r="T32" s="172" t="s">
        <v>1158</v>
      </c>
      <c r="U32" s="104">
        <f t="shared" si="22"/>
        <v>0</v>
      </c>
      <c r="Y32" s="172">
        <f t="shared" si="7"/>
        <v>24</v>
      </c>
      <c r="Z32" s="172">
        <v>22</v>
      </c>
      <c r="AA32" s="172">
        <v>1</v>
      </c>
      <c r="AC32" s="102">
        <v>22</v>
      </c>
      <c r="AD32" s="102">
        <v>0</v>
      </c>
      <c r="AI32" s="104">
        <f t="shared" si="23"/>
        <v>60</v>
      </c>
      <c r="AL32" s="103">
        <v>1</v>
      </c>
      <c r="AN32" s="102">
        <v>800</v>
      </c>
      <c r="AO32" s="102">
        <v>40</v>
      </c>
      <c r="AP32" s="172">
        <v>0</v>
      </c>
      <c r="AR32" s="104">
        <f ca="1">IFERROR(OFFSET(ITEM_RES!$A$5,MATCH(AS32,ITEM_RES!$M$5:$M$84,0)-1,0),0)</f>
        <v>0</v>
      </c>
    </row>
    <row r="33" spans="1:44" x14ac:dyDescent="0.3">
      <c r="A33" s="107">
        <f t="shared" si="20"/>
        <v>311030009</v>
      </c>
      <c r="B33" s="106">
        <v>31</v>
      </c>
      <c r="C33" s="105">
        <f t="shared" si="21"/>
        <v>1</v>
      </c>
      <c r="D33" s="106">
        <v>3</v>
      </c>
      <c r="E33" s="106">
        <v>0</v>
      </c>
      <c r="F33" s="105">
        <f t="shared" si="2"/>
        <v>9</v>
      </c>
      <c r="H33" s="103">
        <v>1</v>
      </c>
      <c r="I33" s="105">
        <f t="shared" si="3"/>
        <v>103</v>
      </c>
      <c r="J33" s="172">
        <v>9</v>
      </c>
      <c r="L33" s="172" t="s">
        <v>1115</v>
      </c>
      <c r="M33" s="172" t="s">
        <v>1118</v>
      </c>
      <c r="N33" s="103" t="s">
        <v>1065</v>
      </c>
      <c r="O33" s="172">
        <v>0</v>
      </c>
      <c r="P33" s="172">
        <v>4</v>
      </c>
      <c r="Q33" s="103" t="s">
        <v>1033</v>
      </c>
      <c r="R33" s="103">
        <v>311030001</v>
      </c>
      <c r="S33" s="104" t="str">
        <f t="shared" si="6"/>
        <v>UITexture/TechBldg/311030001.png</v>
      </c>
      <c r="T33" s="172" t="s">
        <v>1158</v>
      </c>
      <c r="U33" s="104">
        <f t="shared" si="22"/>
        <v>0</v>
      </c>
      <c r="Y33" s="172">
        <f t="shared" si="7"/>
        <v>27</v>
      </c>
      <c r="Z33" s="172">
        <v>25</v>
      </c>
      <c r="AA33" s="172">
        <v>1</v>
      </c>
      <c r="AC33" s="102">
        <v>25</v>
      </c>
      <c r="AD33" s="102">
        <v>0</v>
      </c>
      <c r="AI33" s="104">
        <f t="shared" si="23"/>
        <v>60</v>
      </c>
      <c r="AL33" s="103">
        <v>1</v>
      </c>
      <c r="AN33" s="102">
        <v>900</v>
      </c>
      <c r="AO33" s="102">
        <v>45</v>
      </c>
      <c r="AP33" s="172">
        <v>0</v>
      </c>
      <c r="AR33" s="104">
        <f ca="1">IFERROR(OFFSET(ITEM_RES!$A$5,MATCH(AS33,ITEM_RES!$M$5:$M$84,0)-1,0),0)</f>
        <v>0</v>
      </c>
    </row>
    <row r="34" spans="1:44" x14ac:dyDescent="0.3">
      <c r="A34" s="107">
        <f t="shared" si="20"/>
        <v>311030010</v>
      </c>
      <c r="B34" s="106">
        <v>31</v>
      </c>
      <c r="C34" s="105">
        <f t="shared" si="21"/>
        <v>1</v>
      </c>
      <c r="D34" s="106">
        <v>3</v>
      </c>
      <c r="E34" s="106">
        <v>0</v>
      </c>
      <c r="F34" s="105">
        <f t="shared" si="2"/>
        <v>10</v>
      </c>
      <c r="H34" s="103">
        <v>1</v>
      </c>
      <c r="I34" s="105">
        <f t="shared" si="3"/>
        <v>103</v>
      </c>
      <c r="J34" s="172">
        <v>10</v>
      </c>
      <c r="L34" s="172" t="s">
        <v>1115</v>
      </c>
      <c r="M34" s="172" t="s">
        <v>1118</v>
      </c>
      <c r="N34" s="103" t="s">
        <v>1065</v>
      </c>
      <c r="O34" s="172">
        <v>0</v>
      </c>
      <c r="P34" s="172">
        <v>4</v>
      </c>
      <c r="Q34" s="103" t="s">
        <v>1033</v>
      </c>
      <c r="R34" s="103">
        <v>311030001</v>
      </c>
      <c r="S34" s="104" t="str">
        <f t="shared" si="6"/>
        <v>UITexture/TechBldg/311030001.png</v>
      </c>
      <c r="T34" s="172" t="s">
        <v>1158</v>
      </c>
      <c r="U34" s="104">
        <f t="shared" si="22"/>
        <v>0</v>
      </c>
      <c r="Y34" s="172">
        <v>30</v>
      </c>
      <c r="Z34" s="172">
        <v>28</v>
      </c>
      <c r="AA34" s="172">
        <v>1</v>
      </c>
      <c r="AC34" s="102">
        <v>28</v>
      </c>
      <c r="AD34" s="102">
        <v>0</v>
      </c>
      <c r="AI34" s="104">
        <f t="shared" si="23"/>
        <v>60</v>
      </c>
      <c r="AL34" s="103">
        <v>1</v>
      </c>
      <c r="AN34" s="102">
        <v>1000</v>
      </c>
      <c r="AO34" s="102">
        <v>50</v>
      </c>
      <c r="AP34" s="172">
        <v>0</v>
      </c>
      <c r="AR34" s="104">
        <f ca="1">IFERROR(OFFSET(ITEM_RES!$A$5,MATCH(AS34,ITEM_RES!$M$5:$M$84,0)-1,0),0)</f>
        <v>0</v>
      </c>
    </row>
    <row r="35" spans="1:44" x14ac:dyDescent="0.3">
      <c r="A35" s="107">
        <f t="shared" si="16"/>
        <v>311040001</v>
      </c>
      <c r="B35" s="106">
        <v>31</v>
      </c>
      <c r="C35" s="105">
        <f t="shared" si="17"/>
        <v>1</v>
      </c>
      <c r="D35" s="106">
        <v>4</v>
      </c>
      <c r="E35" s="106">
        <v>0</v>
      </c>
      <c r="F35" s="105">
        <f t="shared" si="2"/>
        <v>1</v>
      </c>
      <c r="H35" s="103">
        <v>1</v>
      </c>
      <c r="I35" s="105">
        <f t="shared" si="3"/>
        <v>104</v>
      </c>
      <c r="J35" s="172">
        <v>1</v>
      </c>
      <c r="L35" s="172" t="s">
        <v>1115</v>
      </c>
      <c r="M35" s="172" t="s">
        <v>1166</v>
      </c>
      <c r="N35" s="103" t="s">
        <v>1066</v>
      </c>
      <c r="O35" s="172">
        <v>1</v>
      </c>
      <c r="P35" s="172">
        <v>4</v>
      </c>
      <c r="Q35" s="103" t="s">
        <v>1033</v>
      </c>
      <c r="R35" s="103">
        <v>311040001</v>
      </c>
      <c r="S35" s="104" t="str">
        <f t="shared" si="6"/>
        <v>UITexture/TechBldg/311040001.png</v>
      </c>
      <c r="T35" s="172" t="s">
        <v>1158</v>
      </c>
      <c r="U35" s="104">
        <f t="shared" si="18"/>
        <v>4003</v>
      </c>
      <c r="V35" s="103">
        <v>4</v>
      </c>
      <c r="W35" s="103">
        <v>3</v>
      </c>
      <c r="Y35" s="172">
        <f t="shared" si="7"/>
        <v>3</v>
      </c>
      <c r="Z35" s="172">
        <v>1</v>
      </c>
      <c r="AA35" s="172">
        <v>1</v>
      </c>
      <c r="AC35" s="102">
        <v>1</v>
      </c>
      <c r="AD35" s="102">
        <v>0</v>
      </c>
      <c r="AI35" s="104">
        <f t="shared" si="19"/>
        <v>5</v>
      </c>
      <c r="AM35" s="103">
        <v>5</v>
      </c>
      <c r="AN35" s="102">
        <v>100</v>
      </c>
      <c r="AO35" s="102">
        <v>5</v>
      </c>
      <c r="AP35" s="172">
        <v>0</v>
      </c>
      <c r="AR35" s="104">
        <f ca="1">IFERROR(OFFSET(ITEM_RES!$A$5,MATCH(AS35,ITEM_RES!$M$5:$M$84,0)-1,0),0)</f>
        <v>0</v>
      </c>
    </row>
    <row r="36" spans="1:44" x14ac:dyDescent="0.3">
      <c r="A36" s="107">
        <f t="shared" si="16"/>
        <v>311040002</v>
      </c>
      <c r="B36" s="106">
        <v>31</v>
      </c>
      <c r="C36" s="105">
        <f t="shared" si="17"/>
        <v>1</v>
      </c>
      <c r="D36" s="106">
        <v>4</v>
      </c>
      <c r="E36" s="106">
        <v>0</v>
      </c>
      <c r="F36" s="105">
        <f t="shared" si="2"/>
        <v>2</v>
      </c>
      <c r="H36" s="103">
        <v>1</v>
      </c>
      <c r="I36" s="105">
        <f t="shared" si="3"/>
        <v>104</v>
      </c>
      <c r="J36" s="172">
        <v>2</v>
      </c>
      <c r="L36" s="172" t="s">
        <v>1115</v>
      </c>
      <c r="M36" s="172" t="s">
        <v>1166</v>
      </c>
      <c r="N36" s="103" t="s">
        <v>1066</v>
      </c>
      <c r="O36" s="172">
        <v>1</v>
      </c>
      <c r="P36" s="172">
        <v>4</v>
      </c>
      <c r="Q36" s="103" t="s">
        <v>1033</v>
      </c>
      <c r="R36" s="103">
        <v>311040001</v>
      </c>
      <c r="S36" s="104" t="str">
        <f t="shared" si="6"/>
        <v>UITexture/TechBldg/311040001.png</v>
      </c>
      <c r="T36" s="172" t="s">
        <v>1158</v>
      </c>
      <c r="U36" s="104">
        <f t="shared" si="18"/>
        <v>0</v>
      </c>
      <c r="Y36" s="172">
        <f t="shared" si="7"/>
        <v>6</v>
      </c>
      <c r="Z36" s="172">
        <v>4</v>
      </c>
      <c r="AA36" s="172">
        <v>1</v>
      </c>
      <c r="AC36" s="102">
        <v>4</v>
      </c>
      <c r="AD36" s="102">
        <v>0</v>
      </c>
      <c r="AI36" s="104">
        <f t="shared" si="19"/>
        <v>30</v>
      </c>
      <c r="AM36" s="103">
        <v>30</v>
      </c>
      <c r="AN36" s="102">
        <v>200</v>
      </c>
      <c r="AO36" s="102">
        <v>10</v>
      </c>
      <c r="AP36" s="172">
        <v>0</v>
      </c>
      <c r="AR36" s="104">
        <f ca="1">IFERROR(OFFSET(ITEM_RES!$A$5,MATCH(AS36,ITEM_RES!$M$5:$M$84,0)-1,0),0)</f>
        <v>0</v>
      </c>
    </row>
    <row r="37" spans="1:44" x14ac:dyDescent="0.3">
      <c r="A37" s="107">
        <f t="shared" si="16"/>
        <v>311040003</v>
      </c>
      <c r="B37" s="106">
        <v>31</v>
      </c>
      <c r="C37" s="105">
        <f t="shared" si="17"/>
        <v>1</v>
      </c>
      <c r="D37" s="106">
        <v>4</v>
      </c>
      <c r="E37" s="106">
        <v>0</v>
      </c>
      <c r="F37" s="105">
        <f t="shared" ref="F37:F68" si="24">J37</f>
        <v>3</v>
      </c>
      <c r="H37" s="103">
        <v>1</v>
      </c>
      <c r="I37" s="105">
        <f t="shared" ref="I37:I68" si="25">C37*100+D37</f>
        <v>104</v>
      </c>
      <c r="J37" s="172">
        <v>3</v>
      </c>
      <c r="L37" s="172" t="s">
        <v>1115</v>
      </c>
      <c r="M37" s="172" t="s">
        <v>1166</v>
      </c>
      <c r="N37" s="103" t="s">
        <v>1066</v>
      </c>
      <c r="O37" s="172">
        <v>1</v>
      </c>
      <c r="P37" s="172">
        <v>4</v>
      </c>
      <c r="Q37" s="103" t="s">
        <v>1033</v>
      </c>
      <c r="R37" s="103">
        <v>311040001</v>
      </c>
      <c r="S37" s="104" t="str">
        <f t="shared" si="6"/>
        <v>UITexture/TechBldg/311040001.png</v>
      </c>
      <c r="T37" s="172" t="s">
        <v>1158</v>
      </c>
      <c r="U37" s="104">
        <f t="shared" si="18"/>
        <v>0</v>
      </c>
      <c r="Y37" s="172">
        <f t="shared" si="7"/>
        <v>9</v>
      </c>
      <c r="Z37" s="172">
        <v>7</v>
      </c>
      <c r="AA37" s="172">
        <v>1</v>
      </c>
      <c r="AC37" s="102">
        <v>7</v>
      </c>
      <c r="AD37" s="102">
        <v>0</v>
      </c>
      <c r="AI37" s="104">
        <f t="shared" si="19"/>
        <v>60</v>
      </c>
      <c r="AL37" s="103">
        <v>1</v>
      </c>
      <c r="AN37" s="102">
        <v>300</v>
      </c>
      <c r="AO37" s="102">
        <v>15</v>
      </c>
      <c r="AP37" s="172">
        <v>0</v>
      </c>
      <c r="AR37" s="104">
        <f ca="1">IFERROR(OFFSET(ITEM_RES!$A$5,MATCH(AS37,ITEM_RES!$M$5:$M$84,0)-1,0),0)</f>
        <v>0</v>
      </c>
    </row>
    <row r="38" spans="1:44" x14ac:dyDescent="0.3">
      <c r="A38" s="107">
        <f t="shared" si="16"/>
        <v>311040004</v>
      </c>
      <c r="B38" s="106">
        <v>31</v>
      </c>
      <c r="C38" s="105">
        <f t="shared" si="17"/>
        <v>1</v>
      </c>
      <c r="D38" s="106">
        <v>4</v>
      </c>
      <c r="E38" s="106">
        <v>0</v>
      </c>
      <c r="F38" s="105">
        <f t="shared" si="24"/>
        <v>4</v>
      </c>
      <c r="H38" s="103">
        <v>1</v>
      </c>
      <c r="I38" s="105">
        <f t="shared" si="25"/>
        <v>104</v>
      </c>
      <c r="J38" s="172">
        <v>4</v>
      </c>
      <c r="L38" s="172" t="s">
        <v>1115</v>
      </c>
      <c r="M38" s="172" t="s">
        <v>1166</v>
      </c>
      <c r="N38" s="103" t="s">
        <v>1066</v>
      </c>
      <c r="O38" s="172">
        <v>1</v>
      </c>
      <c r="P38" s="172">
        <v>4</v>
      </c>
      <c r="Q38" s="103" t="s">
        <v>1033</v>
      </c>
      <c r="R38" s="103">
        <v>311040001</v>
      </c>
      <c r="S38" s="104" t="str">
        <f t="shared" si="6"/>
        <v>UITexture/TechBldg/311040001.png</v>
      </c>
      <c r="T38" s="172" t="s">
        <v>1158</v>
      </c>
      <c r="U38" s="104">
        <f t="shared" si="18"/>
        <v>0</v>
      </c>
      <c r="Y38" s="172">
        <f t="shared" si="7"/>
        <v>12</v>
      </c>
      <c r="Z38" s="172">
        <v>10</v>
      </c>
      <c r="AA38" s="172">
        <v>1</v>
      </c>
      <c r="AC38" s="102">
        <v>10</v>
      </c>
      <c r="AD38" s="102">
        <v>0</v>
      </c>
      <c r="AI38" s="104">
        <f t="shared" si="19"/>
        <v>60</v>
      </c>
      <c r="AL38" s="103">
        <v>1</v>
      </c>
      <c r="AN38" s="102">
        <v>400</v>
      </c>
      <c r="AO38" s="102">
        <v>20</v>
      </c>
      <c r="AP38" s="172">
        <v>0</v>
      </c>
      <c r="AR38" s="104">
        <f ca="1">IFERROR(OFFSET(ITEM_RES!$A$5,MATCH(AS38,ITEM_RES!$M$5:$M$84,0)-1,0),0)</f>
        <v>0</v>
      </c>
    </row>
    <row r="39" spans="1:44" x14ac:dyDescent="0.3">
      <c r="A39" s="107">
        <f t="shared" si="16"/>
        <v>311040005</v>
      </c>
      <c r="B39" s="106">
        <v>31</v>
      </c>
      <c r="C39" s="105">
        <f t="shared" si="17"/>
        <v>1</v>
      </c>
      <c r="D39" s="106">
        <v>4</v>
      </c>
      <c r="E39" s="106">
        <v>0</v>
      </c>
      <c r="F39" s="105">
        <f t="shared" si="24"/>
        <v>5</v>
      </c>
      <c r="H39" s="103">
        <v>1</v>
      </c>
      <c r="I39" s="105">
        <f t="shared" si="25"/>
        <v>104</v>
      </c>
      <c r="J39" s="172">
        <v>5</v>
      </c>
      <c r="L39" s="172" t="s">
        <v>1115</v>
      </c>
      <c r="M39" s="172" t="s">
        <v>1166</v>
      </c>
      <c r="N39" s="103" t="s">
        <v>1066</v>
      </c>
      <c r="O39" s="172">
        <v>0</v>
      </c>
      <c r="P39" s="172">
        <v>4</v>
      </c>
      <c r="Q39" s="103" t="s">
        <v>1033</v>
      </c>
      <c r="R39" s="103">
        <v>311040001</v>
      </c>
      <c r="S39" s="104" t="str">
        <f t="shared" si="6"/>
        <v>UITexture/TechBldg/311040001.png</v>
      </c>
      <c r="T39" s="172" t="s">
        <v>1158</v>
      </c>
      <c r="U39" s="104">
        <f t="shared" si="18"/>
        <v>0</v>
      </c>
      <c r="Y39" s="172">
        <f t="shared" si="7"/>
        <v>15</v>
      </c>
      <c r="Z39" s="172">
        <v>13</v>
      </c>
      <c r="AA39" s="172">
        <v>1</v>
      </c>
      <c r="AC39" s="102">
        <v>13</v>
      </c>
      <c r="AD39" s="102">
        <v>0</v>
      </c>
      <c r="AI39" s="104">
        <f t="shared" si="19"/>
        <v>60</v>
      </c>
      <c r="AL39" s="103">
        <v>1</v>
      </c>
      <c r="AN39" s="102">
        <v>500</v>
      </c>
      <c r="AO39" s="102">
        <v>25</v>
      </c>
      <c r="AP39" s="172">
        <v>0</v>
      </c>
      <c r="AR39" s="104">
        <f ca="1">IFERROR(OFFSET(ITEM_RES!$A$5,MATCH(AS39,ITEM_RES!$M$5:$M$84,0)-1,0),0)</f>
        <v>0</v>
      </c>
    </row>
    <row r="40" spans="1:44" x14ac:dyDescent="0.3">
      <c r="A40" s="107">
        <f t="shared" ref="A40:A44" si="26">B40*10000000+C40*1000000+D40*10000+E40*100+F40</f>
        <v>311040006</v>
      </c>
      <c r="B40" s="106">
        <v>31</v>
      </c>
      <c r="C40" s="105">
        <f t="shared" ref="C40:C44" si="27">H40</f>
        <v>1</v>
      </c>
      <c r="D40" s="106">
        <v>4</v>
      </c>
      <c r="E40" s="106">
        <v>0</v>
      </c>
      <c r="F40" s="105">
        <f t="shared" si="24"/>
        <v>6</v>
      </c>
      <c r="H40" s="103">
        <v>1</v>
      </c>
      <c r="I40" s="105">
        <f t="shared" si="25"/>
        <v>104</v>
      </c>
      <c r="J40" s="172">
        <v>6</v>
      </c>
      <c r="L40" s="172" t="s">
        <v>1115</v>
      </c>
      <c r="M40" s="172" t="s">
        <v>1166</v>
      </c>
      <c r="N40" s="103" t="s">
        <v>1066</v>
      </c>
      <c r="O40" s="172">
        <v>0</v>
      </c>
      <c r="P40" s="172">
        <v>4</v>
      </c>
      <c r="Q40" s="103" t="s">
        <v>1033</v>
      </c>
      <c r="R40" s="103">
        <v>311040001</v>
      </c>
      <c r="S40" s="104" t="str">
        <f t="shared" si="6"/>
        <v>UITexture/TechBldg/311040001.png</v>
      </c>
      <c r="T40" s="172" t="s">
        <v>1158</v>
      </c>
      <c r="U40" s="104">
        <f t="shared" ref="U40:U44" si="28">V40*1000+W40</f>
        <v>0</v>
      </c>
      <c r="Y40" s="172">
        <f t="shared" si="7"/>
        <v>18</v>
      </c>
      <c r="Z40" s="172">
        <v>16</v>
      </c>
      <c r="AA40" s="172">
        <v>1</v>
      </c>
      <c r="AC40" s="102">
        <v>16</v>
      </c>
      <c r="AD40" s="102">
        <v>0</v>
      </c>
      <c r="AI40" s="104">
        <f t="shared" ref="AI40:AI44" si="29">((AJ40*24+AK40)*60+AL40)*60+AM40</f>
        <v>60</v>
      </c>
      <c r="AL40" s="103">
        <v>1</v>
      </c>
      <c r="AN40" s="102">
        <v>600</v>
      </c>
      <c r="AO40" s="102">
        <v>30</v>
      </c>
      <c r="AP40" s="172">
        <v>0</v>
      </c>
      <c r="AR40" s="104">
        <f ca="1">IFERROR(OFFSET(ITEM_RES!$A$5,MATCH(AS40,ITEM_RES!$M$5:$M$84,0)-1,0),0)</f>
        <v>0</v>
      </c>
    </row>
    <row r="41" spans="1:44" x14ac:dyDescent="0.3">
      <c r="A41" s="107">
        <f t="shared" si="26"/>
        <v>311040007</v>
      </c>
      <c r="B41" s="106">
        <v>31</v>
      </c>
      <c r="C41" s="105">
        <f t="shared" si="27"/>
        <v>1</v>
      </c>
      <c r="D41" s="106">
        <v>4</v>
      </c>
      <c r="E41" s="106">
        <v>0</v>
      </c>
      <c r="F41" s="105">
        <f t="shared" si="24"/>
        <v>7</v>
      </c>
      <c r="H41" s="103">
        <v>1</v>
      </c>
      <c r="I41" s="105">
        <f t="shared" si="25"/>
        <v>104</v>
      </c>
      <c r="J41" s="172">
        <v>7</v>
      </c>
      <c r="L41" s="172" t="s">
        <v>1115</v>
      </c>
      <c r="M41" s="172" t="s">
        <v>1166</v>
      </c>
      <c r="N41" s="103" t="s">
        <v>1066</v>
      </c>
      <c r="O41" s="172">
        <v>0</v>
      </c>
      <c r="P41" s="172">
        <v>4</v>
      </c>
      <c r="Q41" s="103" t="s">
        <v>1033</v>
      </c>
      <c r="R41" s="103">
        <v>311040001</v>
      </c>
      <c r="S41" s="104" t="str">
        <f t="shared" si="6"/>
        <v>UITexture/TechBldg/311040001.png</v>
      </c>
      <c r="T41" s="172" t="s">
        <v>1158</v>
      </c>
      <c r="U41" s="104">
        <f t="shared" si="28"/>
        <v>0</v>
      </c>
      <c r="Y41" s="172">
        <f t="shared" si="7"/>
        <v>21</v>
      </c>
      <c r="Z41" s="172">
        <v>19</v>
      </c>
      <c r="AA41" s="172">
        <v>1</v>
      </c>
      <c r="AC41" s="102">
        <v>19</v>
      </c>
      <c r="AD41" s="102">
        <v>0</v>
      </c>
      <c r="AI41" s="104">
        <f t="shared" si="29"/>
        <v>60</v>
      </c>
      <c r="AL41" s="103">
        <v>1</v>
      </c>
      <c r="AN41" s="102">
        <v>700</v>
      </c>
      <c r="AO41" s="102">
        <v>35</v>
      </c>
      <c r="AP41" s="172">
        <v>0</v>
      </c>
      <c r="AR41" s="104">
        <f ca="1">IFERROR(OFFSET(ITEM_RES!$A$5,MATCH(AS41,ITEM_RES!$M$5:$M$84,0)-1,0),0)</f>
        <v>0</v>
      </c>
    </row>
    <row r="42" spans="1:44" x14ac:dyDescent="0.3">
      <c r="A42" s="107">
        <f t="shared" si="26"/>
        <v>311040008</v>
      </c>
      <c r="B42" s="106">
        <v>31</v>
      </c>
      <c r="C42" s="105">
        <f t="shared" si="27"/>
        <v>1</v>
      </c>
      <c r="D42" s="106">
        <v>4</v>
      </c>
      <c r="E42" s="106">
        <v>0</v>
      </c>
      <c r="F42" s="105">
        <f t="shared" si="24"/>
        <v>8</v>
      </c>
      <c r="H42" s="103">
        <v>1</v>
      </c>
      <c r="I42" s="105">
        <f t="shared" si="25"/>
        <v>104</v>
      </c>
      <c r="J42" s="172">
        <v>8</v>
      </c>
      <c r="L42" s="172" t="s">
        <v>1115</v>
      </c>
      <c r="M42" s="172" t="s">
        <v>1166</v>
      </c>
      <c r="N42" s="103" t="s">
        <v>1066</v>
      </c>
      <c r="O42" s="172">
        <v>0</v>
      </c>
      <c r="P42" s="172">
        <v>4</v>
      </c>
      <c r="Q42" s="103" t="s">
        <v>1033</v>
      </c>
      <c r="R42" s="103">
        <v>311040001</v>
      </c>
      <c r="S42" s="104" t="str">
        <f t="shared" si="6"/>
        <v>UITexture/TechBldg/311040001.png</v>
      </c>
      <c r="T42" s="172" t="s">
        <v>1158</v>
      </c>
      <c r="U42" s="104">
        <f t="shared" si="28"/>
        <v>0</v>
      </c>
      <c r="Y42" s="172">
        <f t="shared" si="7"/>
        <v>24</v>
      </c>
      <c r="Z42" s="172">
        <v>22</v>
      </c>
      <c r="AA42" s="172">
        <v>1</v>
      </c>
      <c r="AC42" s="102">
        <v>22</v>
      </c>
      <c r="AD42" s="102">
        <v>0</v>
      </c>
      <c r="AI42" s="104">
        <f t="shared" si="29"/>
        <v>60</v>
      </c>
      <c r="AL42" s="103">
        <v>1</v>
      </c>
      <c r="AN42" s="102">
        <v>800</v>
      </c>
      <c r="AO42" s="102">
        <v>40</v>
      </c>
      <c r="AP42" s="172">
        <v>0</v>
      </c>
      <c r="AR42" s="104">
        <f ca="1">IFERROR(OFFSET(ITEM_RES!$A$5,MATCH(AS42,ITEM_RES!$M$5:$M$84,0)-1,0),0)</f>
        <v>0</v>
      </c>
    </row>
    <row r="43" spans="1:44" x14ac:dyDescent="0.3">
      <c r="A43" s="107">
        <f t="shared" si="26"/>
        <v>311040009</v>
      </c>
      <c r="B43" s="106">
        <v>31</v>
      </c>
      <c r="C43" s="105">
        <f t="shared" si="27"/>
        <v>1</v>
      </c>
      <c r="D43" s="106">
        <v>4</v>
      </c>
      <c r="E43" s="106">
        <v>0</v>
      </c>
      <c r="F43" s="105">
        <f t="shared" si="24"/>
        <v>9</v>
      </c>
      <c r="H43" s="103">
        <v>1</v>
      </c>
      <c r="I43" s="105">
        <f t="shared" si="25"/>
        <v>104</v>
      </c>
      <c r="J43" s="172">
        <v>9</v>
      </c>
      <c r="L43" s="172" t="s">
        <v>1115</v>
      </c>
      <c r="M43" s="172" t="s">
        <v>1166</v>
      </c>
      <c r="N43" s="103" t="s">
        <v>1066</v>
      </c>
      <c r="O43" s="172">
        <v>0</v>
      </c>
      <c r="P43" s="172">
        <v>4</v>
      </c>
      <c r="Q43" s="103" t="s">
        <v>1033</v>
      </c>
      <c r="R43" s="103">
        <v>311040001</v>
      </c>
      <c r="S43" s="104" t="str">
        <f t="shared" si="6"/>
        <v>UITexture/TechBldg/311040001.png</v>
      </c>
      <c r="T43" s="172" t="s">
        <v>1158</v>
      </c>
      <c r="U43" s="104">
        <f t="shared" si="28"/>
        <v>0</v>
      </c>
      <c r="Y43" s="172">
        <f t="shared" si="7"/>
        <v>27</v>
      </c>
      <c r="Z43" s="172">
        <v>25</v>
      </c>
      <c r="AA43" s="172">
        <v>1</v>
      </c>
      <c r="AC43" s="102">
        <v>25</v>
      </c>
      <c r="AD43" s="102">
        <v>0</v>
      </c>
      <c r="AI43" s="104">
        <f t="shared" si="29"/>
        <v>60</v>
      </c>
      <c r="AL43" s="103">
        <v>1</v>
      </c>
      <c r="AN43" s="102">
        <v>900</v>
      </c>
      <c r="AO43" s="102">
        <v>45</v>
      </c>
      <c r="AP43" s="172">
        <v>0</v>
      </c>
      <c r="AR43" s="104">
        <f ca="1">IFERROR(OFFSET(ITEM_RES!$A$5,MATCH(AS43,ITEM_RES!$M$5:$M$84,0)-1,0),0)</f>
        <v>0</v>
      </c>
    </row>
    <row r="44" spans="1:44" x14ac:dyDescent="0.3">
      <c r="A44" s="107">
        <f t="shared" si="26"/>
        <v>311040010</v>
      </c>
      <c r="B44" s="106">
        <v>31</v>
      </c>
      <c r="C44" s="105">
        <f t="shared" si="27"/>
        <v>1</v>
      </c>
      <c r="D44" s="106">
        <v>4</v>
      </c>
      <c r="E44" s="106">
        <v>0</v>
      </c>
      <c r="F44" s="105">
        <f t="shared" si="24"/>
        <v>10</v>
      </c>
      <c r="H44" s="103">
        <v>1</v>
      </c>
      <c r="I44" s="105">
        <f t="shared" si="25"/>
        <v>104</v>
      </c>
      <c r="J44" s="172">
        <v>10</v>
      </c>
      <c r="L44" s="172" t="s">
        <v>1115</v>
      </c>
      <c r="M44" s="172" t="s">
        <v>1166</v>
      </c>
      <c r="N44" s="103" t="s">
        <v>1066</v>
      </c>
      <c r="O44" s="172">
        <v>0</v>
      </c>
      <c r="P44" s="172">
        <v>4</v>
      </c>
      <c r="Q44" s="103" t="s">
        <v>1033</v>
      </c>
      <c r="R44" s="103">
        <v>311040001</v>
      </c>
      <c r="S44" s="104" t="str">
        <f t="shared" si="6"/>
        <v>UITexture/TechBldg/311040001.png</v>
      </c>
      <c r="T44" s="172" t="s">
        <v>1158</v>
      </c>
      <c r="U44" s="104">
        <f t="shared" si="28"/>
        <v>0</v>
      </c>
      <c r="Y44" s="172">
        <v>30</v>
      </c>
      <c r="Z44" s="172">
        <v>28</v>
      </c>
      <c r="AA44" s="172">
        <v>1</v>
      </c>
      <c r="AC44" s="102">
        <v>28</v>
      </c>
      <c r="AD44" s="102">
        <v>0</v>
      </c>
      <c r="AI44" s="104">
        <f t="shared" si="29"/>
        <v>60</v>
      </c>
      <c r="AL44" s="103">
        <v>1</v>
      </c>
      <c r="AN44" s="102">
        <v>1000</v>
      </c>
      <c r="AO44" s="102">
        <v>50</v>
      </c>
      <c r="AP44" s="172">
        <v>0</v>
      </c>
      <c r="AR44" s="104">
        <f ca="1">IFERROR(OFFSET(ITEM_RES!$A$5,MATCH(AS44,ITEM_RES!$M$5:$M$84,0)-1,0),0)</f>
        <v>0</v>
      </c>
    </row>
    <row r="45" spans="1:44" x14ac:dyDescent="0.3">
      <c r="A45" s="107">
        <f t="shared" ref="A45:A54" si="30">B45*10000000+C45*1000000+D45*10000+E45*100+F45</f>
        <v>311050001</v>
      </c>
      <c r="B45" s="106">
        <v>31</v>
      </c>
      <c r="C45" s="105">
        <f t="shared" ref="C45:C54" si="31">H45</f>
        <v>1</v>
      </c>
      <c r="D45" s="106">
        <v>5</v>
      </c>
      <c r="E45" s="106">
        <v>0</v>
      </c>
      <c r="F45" s="105">
        <f t="shared" si="24"/>
        <v>1</v>
      </c>
      <c r="H45" s="103">
        <v>1</v>
      </c>
      <c r="I45" s="105">
        <f t="shared" si="25"/>
        <v>105</v>
      </c>
      <c r="J45" s="172">
        <v>1</v>
      </c>
      <c r="L45" s="172" t="s">
        <v>1115</v>
      </c>
      <c r="M45" s="172" t="s">
        <v>1161</v>
      </c>
      <c r="N45" s="103" t="s">
        <v>1067</v>
      </c>
      <c r="O45" s="172">
        <v>1</v>
      </c>
      <c r="P45" s="172">
        <v>4</v>
      </c>
      <c r="Q45" s="103" t="s">
        <v>1033</v>
      </c>
      <c r="R45" s="103">
        <v>311050001</v>
      </c>
      <c r="S45" s="104" t="str">
        <f t="shared" si="6"/>
        <v>UITexture/TechBldg/311050001.png</v>
      </c>
      <c r="T45" s="172" t="s">
        <v>1158</v>
      </c>
      <c r="U45" s="104">
        <f t="shared" ref="U45:U54" si="32">V45*1000+W45</f>
        <v>3005</v>
      </c>
      <c r="V45" s="103">
        <v>3</v>
      </c>
      <c r="W45" s="103">
        <v>5</v>
      </c>
      <c r="Y45" s="172">
        <f t="shared" si="7"/>
        <v>3</v>
      </c>
      <c r="Z45" s="172">
        <v>1</v>
      </c>
      <c r="AA45" s="172">
        <v>1</v>
      </c>
      <c r="AC45" s="102">
        <v>2</v>
      </c>
      <c r="AD45" s="102">
        <v>0</v>
      </c>
      <c r="AI45" s="104">
        <f t="shared" ref="AI45:AI54" si="33">((AJ45*24+AK45)*60+AL45)*60+AM45</f>
        <v>5</v>
      </c>
      <c r="AM45" s="103">
        <v>5</v>
      </c>
      <c r="AN45" s="102">
        <v>100</v>
      </c>
      <c r="AO45" s="102">
        <v>5</v>
      </c>
      <c r="AP45" s="172">
        <v>0</v>
      </c>
      <c r="AR45" s="104">
        <f ca="1">IFERROR(OFFSET(ITEM_RES!$A$5,MATCH(AS45,ITEM_RES!$M$5:$M$84,0)-1,0),0)</f>
        <v>0</v>
      </c>
    </row>
    <row r="46" spans="1:44" x14ac:dyDescent="0.3">
      <c r="A46" s="107">
        <f t="shared" si="30"/>
        <v>311050002</v>
      </c>
      <c r="B46" s="106">
        <v>31</v>
      </c>
      <c r="C46" s="105">
        <f t="shared" si="31"/>
        <v>1</v>
      </c>
      <c r="D46" s="106">
        <v>5</v>
      </c>
      <c r="E46" s="106">
        <v>0</v>
      </c>
      <c r="F46" s="105">
        <f t="shared" si="24"/>
        <v>2</v>
      </c>
      <c r="H46" s="103">
        <v>1</v>
      </c>
      <c r="I46" s="105">
        <f t="shared" si="25"/>
        <v>105</v>
      </c>
      <c r="J46" s="172">
        <v>2</v>
      </c>
      <c r="L46" s="172" t="s">
        <v>1115</v>
      </c>
      <c r="M46" s="172" t="s">
        <v>1161</v>
      </c>
      <c r="N46" s="103" t="s">
        <v>1067</v>
      </c>
      <c r="O46" s="172">
        <v>1</v>
      </c>
      <c r="P46" s="172">
        <v>4</v>
      </c>
      <c r="Q46" s="103" t="s">
        <v>1033</v>
      </c>
      <c r="R46" s="103">
        <v>311050001</v>
      </c>
      <c r="S46" s="104" t="str">
        <f t="shared" si="6"/>
        <v>UITexture/TechBldg/311050001.png</v>
      </c>
      <c r="T46" s="172" t="s">
        <v>1158</v>
      </c>
      <c r="U46" s="104">
        <f t="shared" si="32"/>
        <v>0</v>
      </c>
      <c r="Y46" s="172">
        <f t="shared" si="7"/>
        <v>6</v>
      </c>
      <c r="Z46" s="172">
        <v>4</v>
      </c>
      <c r="AA46" s="172">
        <v>1</v>
      </c>
      <c r="AC46" s="102">
        <v>5</v>
      </c>
      <c r="AD46" s="102">
        <v>0</v>
      </c>
      <c r="AI46" s="104">
        <f t="shared" si="33"/>
        <v>30</v>
      </c>
      <c r="AM46" s="103">
        <v>30</v>
      </c>
      <c r="AN46" s="102">
        <v>200</v>
      </c>
      <c r="AO46" s="102">
        <v>10</v>
      </c>
      <c r="AP46" s="172">
        <v>0</v>
      </c>
      <c r="AR46" s="104">
        <f ca="1">IFERROR(OFFSET(ITEM_RES!$A$5,MATCH(AS46,ITEM_RES!$M$5:$M$84,0)-1,0),0)</f>
        <v>0</v>
      </c>
    </row>
    <row r="47" spans="1:44" x14ac:dyDescent="0.3">
      <c r="A47" s="107">
        <f t="shared" si="30"/>
        <v>311050003</v>
      </c>
      <c r="B47" s="106">
        <v>31</v>
      </c>
      <c r="C47" s="105">
        <f t="shared" si="31"/>
        <v>1</v>
      </c>
      <c r="D47" s="106">
        <v>5</v>
      </c>
      <c r="E47" s="106">
        <v>0</v>
      </c>
      <c r="F47" s="105">
        <f t="shared" si="24"/>
        <v>3</v>
      </c>
      <c r="H47" s="103">
        <v>1</v>
      </c>
      <c r="I47" s="105">
        <f t="shared" si="25"/>
        <v>105</v>
      </c>
      <c r="J47" s="172">
        <v>3</v>
      </c>
      <c r="L47" s="172" t="s">
        <v>1115</v>
      </c>
      <c r="M47" s="172" t="s">
        <v>1161</v>
      </c>
      <c r="N47" s="103" t="s">
        <v>1067</v>
      </c>
      <c r="O47" s="172">
        <v>1</v>
      </c>
      <c r="P47" s="172">
        <v>4</v>
      </c>
      <c r="Q47" s="103" t="s">
        <v>1033</v>
      </c>
      <c r="R47" s="103">
        <v>311050001</v>
      </c>
      <c r="S47" s="104" t="str">
        <f t="shared" si="6"/>
        <v>UITexture/TechBldg/311050001.png</v>
      </c>
      <c r="T47" s="172" t="s">
        <v>1158</v>
      </c>
      <c r="U47" s="104">
        <f t="shared" si="32"/>
        <v>0</v>
      </c>
      <c r="Y47" s="172">
        <f t="shared" si="7"/>
        <v>9</v>
      </c>
      <c r="Z47" s="172">
        <v>7</v>
      </c>
      <c r="AA47" s="172">
        <v>1</v>
      </c>
      <c r="AC47" s="102">
        <v>8</v>
      </c>
      <c r="AD47" s="102">
        <v>0</v>
      </c>
      <c r="AI47" s="104">
        <f t="shared" si="33"/>
        <v>60</v>
      </c>
      <c r="AL47" s="103">
        <v>1</v>
      </c>
      <c r="AN47" s="102">
        <v>300</v>
      </c>
      <c r="AO47" s="102">
        <v>15</v>
      </c>
      <c r="AP47" s="172">
        <v>0</v>
      </c>
      <c r="AR47" s="104">
        <f ca="1">IFERROR(OFFSET(ITEM_RES!$A$5,MATCH(AS47,ITEM_RES!$M$5:$M$84,0)-1,0),0)</f>
        <v>0</v>
      </c>
    </row>
    <row r="48" spans="1:44" x14ac:dyDescent="0.3">
      <c r="A48" s="107">
        <f t="shared" si="30"/>
        <v>311050004</v>
      </c>
      <c r="B48" s="106">
        <v>31</v>
      </c>
      <c r="C48" s="105">
        <f t="shared" si="31"/>
        <v>1</v>
      </c>
      <c r="D48" s="106">
        <v>5</v>
      </c>
      <c r="E48" s="106">
        <v>0</v>
      </c>
      <c r="F48" s="105">
        <f t="shared" si="24"/>
        <v>4</v>
      </c>
      <c r="H48" s="103">
        <v>1</v>
      </c>
      <c r="I48" s="105">
        <f t="shared" si="25"/>
        <v>105</v>
      </c>
      <c r="J48" s="172">
        <v>4</v>
      </c>
      <c r="L48" s="172" t="s">
        <v>1115</v>
      </c>
      <c r="M48" s="172" t="s">
        <v>1161</v>
      </c>
      <c r="N48" s="103" t="s">
        <v>1067</v>
      </c>
      <c r="O48" s="172">
        <v>1</v>
      </c>
      <c r="P48" s="172">
        <v>4</v>
      </c>
      <c r="Q48" s="103" t="s">
        <v>1033</v>
      </c>
      <c r="R48" s="103">
        <v>311050001</v>
      </c>
      <c r="S48" s="104" t="str">
        <f t="shared" si="6"/>
        <v>UITexture/TechBldg/311050001.png</v>
      </c>
      <c r="T48" s="172" t="s">
        <v>1158</v>
      </c>
      <c r="U48" s="104">
        <f t="shared" si="32"/>
        <v>0</v>
      </c>
      <c r="Y48" s="172">
        <f t="shared" si="7"/>
        <v>12</v>
      </c>
      <c r="Z48" s="172">
        <v>10</v>
      </c>
      <c r="AA48" s="172">
        <v>1</v>
      </c>
      <c r="AC48" s="102">
        <v>11</v>
      </c>
      <c r="AD48" s="102">
        <v>0</v>
      </c>
      <c r="AI48" s="104">
        <f t="shared" si="33"/>
        <v>60</v>
      </c>
      <c r="AL48" s="103">
        <v>1</v>
      </c>
      <c r="AN48" s="102">
        <v>400</v>
      </c>
      <c r="AO48" s="102">
        <v>20</v>
      </c>
      <c r="AP48" s="172">
        <v>0</v>
      </c>
      <c r="AR48" s="104">
        <f ca="1">IFERROR(OFFSET(ITEM_RES!$A$5,MATCH(AS48,ITEM_RES!$M$5:$M$84,0)-1,0),0)</f>
        <v>0</v>
      </c>
    </row>
    <row r="49" spans="1:62" x14ac:dyDescent="0.3">
      <c r="A49" s="107">
        <f t="shared" si="30"/>
        <v>311050005</v>
      </c>
      <c r="B49" s="106">
        <v>31</v>
      </c>
      <c r="C49" s="105">
        <f t="shared" si="31"/>
        <v>1</v>
      </c>
      <c r="D49" s="106">
        <v>5</v>
      </c>
      <c r="E49" s="106">
        <v>0</v>
      </c>
      <c r="F49" s="105">
        <f t="shared" si="24"/>
        <v>5</v>
      </c>
      <c r="H49" s="103">
        <v>1</v>
      </c>
      <c r="I49" s="105">
        <f t="shared" si="25"/>
        <v>105</v>
      </c>
      <c r="J49" s="172">
        <v>5</v>
      </c>
      <c r="L49" s="172" t="s">
        <v>1115</v>
      </c>
      <c r="M49" s="172" t="s">
        <v>1161</v>
      </c>
      <c r="N49" s="103" t="s">
        <v>1067</v>
      </c>
      <c r="O49" s="172">
        <v>0</v>
      </c>
      <c r="P49" s="172">
        <v>4</v>
      </c>
      <c r="Q49" s="103" t="s">
        <v>1033</v>
      </c>
      <c r="R49" s="103">
        <v>311050001</v>
      </c>
      <c r="S49" s="104" t="str">
        <f t="shared" si="6"/>
        <v>UITexture/TechBldg/311050001.png</v>
      </c>
      <c r="T49" s="172" t="s">
        <v>1158</v>
      </c>
      <c r="U49" s="104">
        <f t="shared" si="32"/>
        <v>0</v>
      </c>
      <c r="Y49" s="172">
        <f t="shared" si="7"/>
        <v>15</v>
      </c>
      <c r="Z49" s="172">
        <v>13</v>
      </c>
      <c r="AA49" s="172">
        <v>1</v>
      </c>
      <c r="AC49" s="102">
        <v>14</v>
      </c>
      <c r="AD49" s="102">
        <v>0</v>
      </c>
      <c r="AI49" s="104">
        <f t="shared" si="33"/>
        <v>60</v>
      </c>
      <c r="AL49" s="103">
        <v>1</v>
      </c>
      <c r="AN49" s="102">
        <v>500</v>
      </c>
      <c r="AO49" s="102">
        <v>25</v>
      </c>
      <c r="AP49" s="172">
        <v>0</v>
      </c>
      <c r="AR49" s="104">
        <f ca="1">IFERROR(OFFSET(ITEM_RES!$A$5,MATCH(AS49,ITEM_RES!$M$5:$M$84,0)-1,0),0)</f>
        <v>0</v>
      </c>
    </row>
    <row r="50" spans="1:62" x14ac:dyDescent="0.3">
      <c r="A50" s="107">
        <f t="shared" si="30"/>
        <v>311050006</v>
      </c>
      <c r="B50" s="106">
        <v>31</v>
      </c>
      <c r="C50" s="105">
        <f t="shared" si="31"/>
        <v>1</v>
      </c>
      <c r="D50" s="106">
        <v>5</v>
      </c>
      <c r="E50" s="106">
        <v>0</v>
      </c>
      <c r="F50" s="105">
        <f t="shared" si="24"/>
        <v>6</v>
      </c>
      <c r="H50" s="103">
        <v>1</v>
      </c>
      <c r="I50" s="105">
        <f t="shared" si="25"/>
        <v>105</v>
      </c>
      <c r="J50" s="172">
        <v>6</v>
      </c>
      <c r="L50" s="172" t="s">
        <v>1115</v>
      </c>
      <c r="M50" s="172" t="s">
        <v>1161</v>
      </c>
      <c r="N50" s="103" t="s">
        <v>1067</v>
      </c>
      <c r="O50" s="172">
        <v>0</v>
      </c>
      <c r="P50" s="172">
        <v>4</v>
      </c>
      <c r="Q50" s="103" t="s">
        <v>1033</v>
      </c>
      <c r="R50" s="103">
        <v>311050001</v>
      </c>
      <c r="S50" s="104" t="str">
        <f t="shared" si="6"/>
        <v>UITexture/TechBldg/311050001.png</v>
      </c>
      <c r="T50" s="172" t="s">
        <v>1158</v>
      </c>
      <c r="U50" s="104">
        <f t="shared" si="32"/>
        <v>0</v>
      </c>
      <c r="Y50" s="172">
        <f t="shared" si="7"/>
        <v>18</v>
      </c>
      <c r="Z50" s="172">
        <v>16</v>
      </c>
      <c r="AA50" s="172">
        <v>1</v>
      </c>
      <c r="AC50" s="102">
        <v>17</v>
      </c>
      <c r="AD50" s="102">
        <v>0</v>
      </c>
      <c r="AI50" s="104">
        <f t="shared" si="33"/>
        <v>60</v>
      </c>
      <c r="AL50" s="103">
        <v>1</v>
      </c>
      <c r="AN50" s="102">
        <v>600</v>
      </c>
      <c r="AO50" s="102">
        <v>30</v>
      </c>
      <c r="AP50" s="172">
        <v>0</v>
      </c>
      <c r="AR50" s="104">
        <f ca="1">IFERROR(OFFSET(ITEM_RES!$A$5,MATCH(AS50,ITEM_RES!$M$5:$M$84,0)-1,0),0)</f>
        <v>0</v>
      </c>
    </row>
    <row r="51" spans="1:62" x14ac:dyDescent="0.3">
      <c r="A51" s="107">
        <f t="shared" si="30"/>
        <v>311050007</v>
      </c>
      <c r="B51" s="106">
        <v>31</v>
      </c>
      <c r="C51" s="105">
        <f t="shared" si="31"/>
        <v>1</v>
      </c>
      <c r="D51" s="106">
        <v>5</v>
      </c>
      <c r="E51" s="106">
        <v>0</v>
      </c>
      <c r="F51" s="105">
        <f t="shared" si="24"/>
        <v>7</v>
      </c>
      <c r="H51" s="103">
        <v>1</v>
      </c>
      <c r="I51" s="105">
        <f t="shared" si="25"/>
        <v>105</v>
      </c>
      <c r="J51" s="172">
        <v>7</v>
      </c>
      <c r="L51" s="172" t="s">
        <v>1115</v>
      </c>
      <c r="M51" s="172" t="s">
        <v>1161</v>
      </c>
      <c r="N51" s="103" t="s">
        <v>1067</v>
      </c>
      <c r="O51" s="172">
        <v>0</v>
      </c>
      <c r="P51" s="172">
        <v>4</v>
      </c>
      <c r="Q51" s="103" t="s">
        <v>1033</v>
      </c>
      <c r="R51" s="103">
        <v>311050001</v>
      </c>
      <c r="S51" s="104" t="str">
        <f t="shared" si="6"/>
        <v>UITexture/TechBldg/311050001.png</v>
      </c>
      <c r="T51" s="172" t="s">
        <v>1158</v>
      </c>
      <c r="U51" s="104">
        <f t="shared" si="32"/>
        <v>0</v>
      </c>
      <c r="Y51" s="172">
        <f t="shared" si="7"/>
        <v>21</v>
      </c>
      <c r="Z51" s="172">
        <v>19</v>
      </c>
      <c r="AA51" s="172">
        <v>1</v>
      </c>
      <c r="AC51" s="102">
        <v>20</v>
      </c>
      <c r="AD51" s="102">
        <v>0</v>
      </c>
      <c r="AI51" s="104">
        <f t="shared" si="33"/>
        <v>60</v>
      </c>
      <c r="AL51" s="103">
        <v>1</v>
      </c>
      <c r="AN51" s="102">
        <v>700</v>
      </c>
      <c r="AO51" s="102">
        <v>35</v>
      </c>
      <c r="AP51" s="172">
        <v>0</v>
      </c>
      <c r="AR51" s="104">
        <f ca="1">IFERROR(OFFSET(ITEM_RES!$A$5,MATCH(AS51,ITEM_RES!$M$5:$M$84,0)-1,0),0)</f>
        <v>0</v>
      </c>
    </row>
    <row r="52" spans="1:62" x14ac:dyDescent="0.3">
      <c r="A52" s="107">
        <f t="shared" si="30"/>
        <v>311050008</v>
      </c>
      <c r="B52" s="106">
        <v>31</v>
      </c>
      <c r="C52" s="105">
        <f t="shared" si="31"/>
        <v>1</v>
      </c>
      <c r="D52" s="106">
        <v>5</v>
      </c>
      <c r="E52" s="106">
        <v>0</v>
      </c>
      <c r="F52" s="105">
        <f t="shared" si="24"/>
        <v>8</v>
      </c>
      <c r="H52" s="103">
        <v>1</v>
      </c>
      <c r="I52" s="105">
        <f t="shared" si="25"/>
        <v>105</v>
      </c>
      <c r="J52" s="172">
        <v>8</v>
      </c>
      <c r="L52" s="172" t="s">
        <v>1115</v>
      </c>
      <c r="M52" s="172" t="s">
        <v>1161</v>
      </c>
      <c r="N52" s="103" t="s">
        <v>1067</v>
      </c>
      <c r="O52" s="172">
        <v>0</v>
      </c>
      <c r="P52" s="172">
        <v>4</v>
      </c>
      <c r="Q52" s="103" t="s">
        <v>1033</v>
      </c>
      <c r="R52" s="103">
        <v>311050001</v>
      </c>
      <c r="S52" s="104" t="str">
        <f t="shared" si="6"/>
        <v>UITexture/TechBldg/311050001.png</v>
      </c>
      <c r="T52" s="172" t="s">
        <v>1158</v>
      </c>
      <c r="U52" s="104">
        <f t="shared" si="32"/>
        <v>0</v>
      </c>
      <c r="Y52" s="172">
        <f t="shared" si="7"/>
        <v>24</v>
      </c>
      <c r="Z52" s="172">
        <v>22</v>
      </c>
      <c r="AA52" s="172">
        <v>1</v>
      </c>
      <c r="AC52" s="102">
        <v>23</v>
      </c>
      <c r="AD52" s="102">
        <v>0</v>
      </c>
      <c r="AI52" s="104">
        <f t="shared" si="33"/>
        <v>60</v>
      </c>
      <c r="AL52" s="103">
        <v>1</v>
      </c>
      <c r="AN52" s="102">
        <v>800</v>
      </c>
      <c r="AO52" s="102">
        <v>40</v>
      </c>
      <c r="AP52" s="172">
        <v>0</v>
      </c>
      <c r="AR52" s="104">
        <f ca="1">IFERROR(OFFSET(ITEM_RES!$A$5,MATCH(AS52,ITEM_RES!$M$5:$M$84,0)-1,0),0)</f>
        <v>0</v>
      </c>
    </row>
    <row r="53" spans="1:62" x14ac:dyDescent="0.3">
      <c r="A53" s="107">
        <f t="shared" si="30"/>
        <v>311050009</v>
      </c>
      <c r="B53" s="106">
        <v>31</v>
      </c>
      <c r="C53" s="105">
        <f t="shared" si="31"/>
        <v>1</v>
      </c>
      <c r="D53" s="106">
        <v>5</v>
      </c>
      <c r="E53" s="106">
        <v>0</v>
      </c>
      <c r="F53" s="105">
        <f t="shared" si="24"/>
        <v>9</v>
      </c>
      <c r="H53" s="103">
        <v>1</v>
      </c>
      <c r="I53" s="105">
        <f t="shared" si="25"/>
        <v>105</v>
      </c>
      <c r="J53" s="172">
        <v>9</v>
      </c>
      <c r="L53" s="172" t="s">
        <v>1115</v>
      </c>
      <c r="M53" s="172" t="s">
        <v>1161</v>
      </c>
      <c r="N53" s="103" t="s">
        <v>1067</v>
      </c>
      <c r="O53" s="172">
        <v>0</v>
      </c>
      <c r="P53" s="172">
        <v>4</v>
      </c>
      <c r="Q53" s="103" t="s">
        <v>1033</v>
      </c>
      <c r="R53" s="103">
        <v>311050001</v>
      </c>
      <c r="S53" s="104" t="str">
        <f t="shared" si="6"/>
        <v>UITexture/TechBldg/311050001.png</v>
      </c>
      <c r="T53" s="172" t="s">
        <v>1159</v>
      </c>
      <c r="U53" s="104">
        <f t="shared" si="32"/>
        <v>0</v>
      </c>
      <c r="Y53" s="172">
        <f t="shared" si="7"/>
        <v>27</v>
      </c>
      <c r="Z53" s="172">
        <v>25</v>
      </c>
      <c r="AA53" s="172">
        <v>1</v>
      </c>
      <c r="AC53" s="102">
        <v>26</v>
      </c>
      <c r="AD53" s="102">
        <v>0</v>
      </c>
      <c r="AI53" s="104">
        <f t="shared" si="33"/>
        <v>60</v>
      </c>
      <c r="AL53" s="103">
        <v>1</v>
      </c>
      <c r="AN53" s="102">
        <v>900</v>
      </c>
      <c r="AO53" s="102">
        <v>45</v>
      </c>
      <c r="AP53" s="172">
        <v>0</v>
      </c>
      <c r="AR53" s="104">
        <f ca="1">IFERROR(OFFSET(ITEM_RES!$A$5,MATCH(AS53,ITEM_RES!$M$5:$M$84,0)-1,0),0)</f>
        <v>0</v>
      </c>
    </row>
    <row r="54" spans="1:62" ht="17.25" thickBot="1" x14ac:dyDescent="0.35">
      <c r="A54" s="107">
        <f t="shared" si="30"/>
        <v>311050010</v>
      </c>
      <c r="B54" s="106">
        <v>31</v>
      </c>
      <c r="C54" s="105">
        <f t="shared" si="31"/>
        <v>1</v>
      </c>
      <c r="D54" s="106">
        <v>5</v>
      </c>
      <c r="E54" s="106">
        <v>0</v>
      </c>
      <c r="F54" s="105">
        <f t="shared" si="24"/>
        <v>10</v>
      </c>
      <c r="H54" s="103">
        <v>1</v>
      </c>
      <c r="I54" s="105">
        <f t="shared" si="25"/>
        <v>105</v>
      </c>
      <c r="J54" s="172">
        <v>10</v>
      </c>
      <c r="L54" s="172" t="s">
        <v>1115</v>
      </c>
      <c r="M54" s="172" t="s">
        <v>1161</v>
      </c>
      <c r="N54" s="103" t="s">
        <v>1067</v>
      </c>
      <c r="O54" s="172">
        <v>0</v>
      </c>
      <c r="P54" s="172">
        <v>4</v>
      </c>
      <c r="Q54" s="103" t="s">
        <v>1033</v>
      </c>
      <c r="R54" s="103">
        <v>311050001</v>
      </c>
      <c r="S54" s="104" t="str">
        <f t="shared" si="6"/>
        <v>UITexture/TechBldg/311050001.png</v>
      </c>
      <c r="T54" s="175" t="s">
        <v>1159</v>
      </c>
      <c r="U54" s="104">
        <f t="shared" si="32"/>
        <v>0</v>
      </c>
      <c r="Y54" s="172">
        <v>30</v>
      </c>
      <c r="Z54" s="172">
        <v>28</v>
      </c>
      <c r="AA54" s="172">
        <v>1</v>
      </c>
      <c r="AC54" s="102">
        <v>29</v>
      </c>
      <c r="AD54" s="102">
        <v>0</v>
      </c>
      <c r="AI54" s="104">
        <f t="shared" si="33"/>
        <v>60</v>
      </c>
      <c r="AL54" s="103">
        <v>1</v>
      </c>
      <c r="AN54" s="102">
        <v>1000</v>
      </c>
      <c r="AO54" s="102">
        <v>50</v>
      </c>
      <c r="AP54" s="172">
        <v>0</v>
      </c>
      <c r="AR54" s="104">
        <f ca="1">IFERROR(OFFSET(ITEM_RES!$A$5,MATCH(AS54,ITEM_RES!$M$5:$M$84,0)-1,0),0)</f>
        <v>0</v>
      </c>
    </row>
    <row r="55" spans="1:62" s="115" customFormat="1" x14ac:dyDescent="0.3">
      <c r="A55" s="121">
        <f t="shared" si="16"/>
        <v>312010001</v>
      </c>
      <c r="B55" s="120">
        <v>31</v>
      </c>
      <c r="C55" s="119">
        <f t="shared" si="17"/>
        <v>2</v>
      </c>
      <c r="D55" s="120">
        <v>1</v>
      </c>
      <c r="E55" s="120">
        <v>0</v>
      </c>
      <c r="F55" s="119">
        <f t="shared" si="24"/>
        <v>1</v>
      </c>
      <c r="G55" s="258"/>
      <c r="H55" s="117">
        <v>2</v>
      </c>
      <c r="I55" s="119">
        <f t="shared" si="25"/>
        <v>201</v>
      </c>
      <c r="J55" s="174">
        <v>1</v>
      </c>
      <c r="K55" s="258"/>
      <c r="L55" s="174" t="s">
        <v>1115</v>
      </c>
      <c r="M55" s="174" t="s">
        <v>1119</v>
      </c>
      <c r="N55" s="117" t="s">
        <v>1068</v>
      </c>
      <c r="O55" s="174">
        <v>1</v>
      </c>
      <c r="P55" s="174">
        <v>4</v>
      </c>
      <c r="Q55" s="117" t="s">
        <v>1033</v>
      </c>
      <c r="R55" s="117">
        <v>312010001</v>
      </c>
      <c r="S55" s="118" t="str">
        <f t="shared" si="6"/>
        <v>UITexture/TechBldg/312010001.png</v>
      </c>
      <c r="T55" s="172" t="s">
        <v>1158</v>
      </c>
      <c r="U55" s="118">
        <f t="shared" si="18"/>
        <v>2002</v>
      </c>
      <c r="V55" s="117">
        <v>2</v>
      </c>
      <c r="W55" s="117">
        <v>2</v>
      </c>
      <c r="X55" s="258"/>
      <c r="Y55" s="174">
        <f t="shared" si="7"/>
        <v>3</v>
      </c>
      <c r="Z55" s="174">
        <v>1</v>
      </c>
      <c r="AA55" s="174">
        <v>1</v>
      </c>
      <c r="AB55" s="258"/>
      <c r="AC55" s="116">
        <v>1</v>
      </c>
      <c r="AD55" s="116">
        <v>0</v>
      </c>
      <c r="AE55" s="116"/>
      <c r="AF55" s="116"/>
      <c r="AG55" s="116"/>
      <c r="AH55" s="258"/>
      <c r="AI55" s="118">
        <f t="shared" si="19"/>
        <v>5</v>
      </c>
      <c r="AJ55" s="117"/>
      <c r="AK55" s="117"/>
      <c r="AL55" s="117"/>
      <c r="AM55" s="117">
        <v>5</v>
      </c>
      <c r="AN55" s="116">
        <v>100</v>
      </c>
      <c r="AO55" s="116">
        <v>5</v>
      </c>
      <c r="AP55" s="174">
        <v>0</v>
      </c>
      <c r="AQ55" s="118"/>
      <c r="AR55" s="118">
        <f ca="1">IFERROR(OFFSET(ITEM_RES!$A$5,MATCH(AS55,ITEM_RES!$M$5:$M$84,0)-1,0),0)</f>
        <v>0</v>
      </c>
      <c r="AS55" s="117"/>
      <c r="AT55" s="116"/>
      <c r="AU55" s="118"/>
      <c r="AV55" s="118"/>
      <c r="AW55" s="117"/>
      <c r="AX55" s="116"/>
      <c r="AY55" s="118"/>
      <c r="AZ55" s="118"/>
      <c r="BA55" s="117"/>
      <c r="BB55" s="116"/>
      <c r="BC55" s="118"/>
      <c r="BD55" s="118"/>
      <c r="BE55" s="117"/>
      <c r="BF55" s="116"/>
      <c r="BG55" s="118"/>
      <c r="BH55" s="118"/>
      <c r="BI55" s="117"/>
      <c r="BJ55" s="116"/>
    </row>
    <row r="56" spans="1:62" x14ac:dyDescent="0.3">
      <c r="A56" s="107">
        <f t="shared" si="16"/>
        <v>312010002</v>
      </c>
      <c r="B56" s="106">
        <v>31</v>
      </c>
      <c r="C56" s="105">
        <f t="shared" si="17"/>
        <v>2</v>
      </c>
      <c r="D56" s="106">
        <v>1</v>
      </c>
      <c r="E56" s="106">
        <v>0</v>
      </c>
      <c r="F56" s="105">
        <f t="shared" si="24"/>
        <v>2</v>
      </c>
      <c r="H56" s="103">
        <v>2</v>
      </c>
      <c r="I56" s="105">
        <f t="shared" si="25"/>
        <v>201</v>
      </c>
      <c r="J56" s="172">
        <v>2</v>
      </c>
      <c r="L56" s="172" t="s">
        <v>1115</v>
      </c>
      <c r="M56" s="172" t="s">
        <v>1119</v>
      </c>
      <c r="N56" s="103" t="s">
        <v>1068</v>
      </c>
      <c r="O56" s="172">
        <v>1</v>
      </c>
      <c r="P56" s="172">
        <v>4</v>
      </c>
      <c r="Q56" s="103" t="s">
        <v>1033</v>
      </c>
      <c r="R56" s="103">
        <v>312010001</v>
      </c>
      <c r="S56" s="104" t="str">
        <f t="shared" si="6"/>
        <v>UITexture/TechBldg/312010001.png</v>
      </c>
      <c r="T56" s="172" t="s">
        <v>1158</v>
      </c>
      <c r="U56" s="104">
        <f t="shared" si="18"/>
        <v>0</v>
      </c>
      <c r="Y56" s="172">
        <f t="shared" si="7"/>
        <v>6</v>
      </c>
      <c r="Z56" s="172">
        <v>4</v>
      </c>
      <c r="AA56" s="172">
        <v>2</v>
      </c>
      <c r="AC56" s="102">
        <v>4</v>
      </c>
      <c r="AD56" s="102">
        <v>0</v>
      </c>
      <c r="AI56" s="104">
        <f t="shared" si="19"/>
        <v>30</v>
      </c>
      <c r="AM56" s="103">
        <v>30</v>
      </c>
      <c r="AN56" s="102">
        <v>200</v>
      </c>
      <c r="AO56" s="102">
        <v>10</v>
      </c>
      <c r="AP56" s="172">
        <v>0</v>
      </c>
      <c r="AR56" s="104">
        <f ca="1">IFERROR(OFFSET(ITEM_RES!$A$5,MATCH(AS56,ITEM_RES!$M$5:$M$84,0)-1,0),0)</f>
        <v>0</v>
      </c>
    </row>
    <row r="57" spans="1:62" x14ac:dyDescent="0.3">
      <c r="A57" s="107">
        <f t="shared" si="16"/>
        <v>312010003</v>
      </c>
      <c r="B57" s="106">
        <v>31</v>
      </c>
      <c r="C57" s="105">
        <f t="shared" si="17"/>
        <v>2</v>
      </c>
      <c r="D57" s="106">
        <v>1</v>
      </c>
      <c r="E57" s="106">
        <v>0</v>
      </c>
      <c r="F57" s="105">
        <f t="shared" si="24"/>
        <v>3</v>
      </c>
      <c r="H57" s="103">
        <v>2</v>
      </c>
      <c r="I57" s="105">
        <f t="shared" si="25"/>
        <v>201</v>
      </c>
      <c r="J57" s="172">
        <v>3</v>
      </c>
      <c r="L57" s="172" t="s">
        <v>1115</v>
      </c>
      <c r="M57" s="172" t="s">
        <v>1119</v>
      </c>
      <c r="N57" s="103" t="s">
        <v>1068</v>
      </c>
      <c r="O57" s="172">
        <v>1</v>
      </c>
      <c r="P57" s="172">
        <v>4</v>
      </c>
      <c r="Q57" s="103" t="s">
        <v>1033</v>
      </c>
      <c r="R57" s="103">
        <v>312010001</v>
      </c>
      <c r="S57" s="104" t="str">
        <f t="shared" si="6"/>
        <v>UITexture/TechBldg/312010001.png</v>
      </c>
      <c r="T57" s="172" t="s">
        <v>1158</v>
      </c>
      <c r="U57" s="104">
        <f t="shared" si="18"/>
        <v>0</v>
      </c>
      <c r="Y57" s="172">
        <f t="shared" si="7"/>
        <v>9</v>
      </c>
      <c r="Z57" s="172">
        <v>7</v>
      </c>
      <c r="AA57" s="172">
        <v>3</v>
      </c>
      <c r="AC57" s="102">
        <v>7</v>
      </c>
      <c r="AD57" s="102">
        <v>0</v>
      </c>
      <c r="AI57" s="104">
        <f t="shared" si="19"/>
        <v>60</v>
      </c>
      <c r="AL57" s="103">
        <v>1</v>
      </c>
      <c r="AN57" s="102">
        <v>300</v>
      </c>
      <c r="AO57" s="102">
        <v>15</v>
      </c>
      <c r="AP57" s="172">
        <v>0</v>
      </c>
      <c r="AR57" s="104">
        <f ca="1">IFERROR(OFFSET(ITEM_RES!$A$5,MATCH(AS57,ITEM_RES!$M$5:$M$84,0)-1,0),0)</f>
        <v>0</v>
      </c>
    </row>
    <row r="58" spans="1:62" x14ac:dyDescent="0.3">
      <c r="A58" s="107">
        <f t="shared" si="16"/>
        <v>312010004</v>
      </c>
      <c r="B58" s="106">
        <v>31</v>
      </c>
      <c r="C58" s="105">
        <f t="shared" si="17"/>
        <v>2</v>
      </c>
      <c r="D58" s="106">
        <v>1</v>
      </c>
      <c r="E58" s="106">
        <v>0</v>
      </c>
      <c r="F58" s="105">
        <f t="shared" si="24"/>
        <v>4</v>
      </c>
      <c r="H58" s="103">
        <v>2</v>
      </c>
      <c r="I58" s="105">
        <f t="shared" si="25"/>
        <v>201</v>
      </c>
      <c r="J58" s="172">
        <v>4</v>
      </c>
      <c r="L58" s="172" t="s">
        <v>1115</v>
      </c>
      <c r="M58" s="172" t="s">
        <v>1119</v>
      </c>
      <c r="N58" s="103" t="s">
        <v>1068</v>
      </c>
      <c r="O58" s="172">
        <v>1</v>
      </c>
      <c r="P58" s="172">
        <v>4</v>
      </c>
      <c r="Q58" s="103" t="s">
        <v>1033</v>
      </c>
      <c r="R58" s="103">
        <v>312010001</v>
      </c>
      <c r="S58" s="104" t="str">
        <f t="shared" si="6"/>
        <v>UITexture/TechBldg/312010001.png</v>
      </c>
      <c r="T58" s="172" t="s">
        <v>1158</v>
      </c>
      <c r="U58" s="104">
        <f t="shared" si="18"/>
        <v>0</v>
      </c>
      <c r="Y58" s="172">
        <f t="shared" si="7"/>
        <v>12</v>
      </c>
      <c r="Z58" s="172">
        <v>10</v>
      </c>
      <c r="AA58" s="172">
        <v>3</v>
      </c>
      <c r="AC58" s="102">
        <v>10</v>
      </c>
      <c r="AD58" s="102">
        <v>0</v>
      </c>
      <c r="AI58" s="104">
        <f t="shared" si="19"/>
        <v>60</v>
      </c>
      <c r="AL58" s="103">
        <v>1</v>
      </c>
      <c r="AN58" s="102">
        <v>400</v>
      </c>
      <c r="AO58" s="102">
        <v>20</v>
      </c>
      <c r="AP58" s="172">
        <v>0</v>
      </c>
      <c r="AR58" s="104">
        <f ca="1">IFERROR(OFFSET(ITEM_RES!$A$5,MATCH(AS58,ITEM_RES!$M$5:$M$84,0)-1,0),0)</f>
        <v>0</v>
      </c>
    </row>
    <row r="59" spans="1:62" x14ac:dyDescent="0.3">
      <c r="A59" s="107">
        <f t="shared" si="16"/>
        <v>312010005</v>
      </c>
      <c r="B59" s="106">
        <v>31</v>
      </c>
      <c r="C59" s="105">
        <f t="shared" si="17"/>
        <v>2</v>
      </c>
      <c r="D59" s="106">
        <v>1</v>
      </c>
      <c r="E59" s="106">
        <v>0</v>
      </c>
      <c r="F59" s="105">
        <f t="shared" si="24"/>
        <v>5</v>
      </c>
      <c r="H59" s="103">
        <v>2</v>
      </c>
      <c r="I59" s="105">
        <f t="shared" si="25"/>
        <v>201</v>
      </c>
      <c r="J59" s="172">
        <v>5</v>
      </c>
      <c r="L59" s="172" t="s">
        <v>1115</v>
      </c>
      <c r="M59" s="172" t="s">
        <v>1119</v>
      </c>
      <c r="N59" s="103" t="s">
        <v>1068</v>
      </c>
      <c r="O59" s="172">
        <v>0</v>
      </c>
      <c r="P59" s="172">
        <v>4</v>
      </c>
      <c r="Q59" s="103" t="s">
        <v>1033</v>
      </c>
      <c r="R59" s="103">
        <v>312010001</v>
      </c>
      <c r="S59" s="104" t="str">
        <f t="shared" si="6"/>
        <v>UITexture/TechBldg/312010001.png</v>
      </c>
      <c r="T59" s="172" t="s">
        <v>1158</v>
      </c>
      <c r="U59" s="104">
        <f t="shared" si="18"/>
        <v>0</v>
      </c>
      <c r="Y59" s="172">
        <f t="shared" si="7"/>
        <v>15</v>
      </c>
      <c r="Z59" s="172">
        <v>13</v>
      </c>
      <c r="AA59" s="172">
        <v>4</v>
      </c>
      <c r="AC59" s="102">
        <v>13</v>
      </c>
      <c r="AD59" s="102">
        <v>0</v>
      </c>
      <c r="AI59" s="104">
        <f t="shared" si="19"/>
        <v>60</v>
      </c>
      <c r="AL59" s="103">
        <v>1</v>
      </c>
      <c r="AN59" s="102">
        <v>500</v>
      </c>
      <c r="AO59" s="102">
        <v>25</v>
      </c>
      <c r="AP59" s="172">
        <v>0</v>
      </c>
      <c r="AR59" s="104">
        <f ca="1">IFERROR(OFFSET(ITEM_RES!$A$5,MATCH(AS59,ITEM_RES!$M$5:$M$84,0)-1,0),0)</f>
        <v>0</v>
      </c>
    </row>
    <row r="60" spans="1:62" x14ac:dyDescent="0.3">
      <c r="A60" s="107">
        <f t="shared" ref="A60:A64" si="34">B60*10000000+C60*1000000+D60*10000+E60*100+F60</f>
        <v>312010006</v>
      </c>
      <c r="B60" s="106">
        <v>31</v>
      </c>
      <c r="C60" s="105">
        <f t="shared" ref="C60:C64" si="35">H60</f>
        <v>2</v>
      </c>
      <c r="D60" s="106">
        <v>1</v>
      </c>
      <c r="E60" s="106">
        <v>0</v>
      </c>
      <c r="F60" s="105">
        <f t="shared" si="24"/>
        <v>6</v>
      </c>
      <c r="H60" s="103">
        <v>2</v>
      </c>
      <c r="I60" s="105">
        <f t="shared" si="25"/>
        <v>201</v>
      </c>
      <c r="J60" s="172">
        <v>6</v>
      </c>
      <c r="L60" s="172" t="s">
        <v>1115</v>
      </c>
      <c r="M60" s="172" t="s">
        <v>1119</v>
      </c>
      <c r="N60" s="103" t="s">
        <v>1068</v>
      </c>
      <c r="O60" s="172">
        <v>0</v>
      </c>
      <c r="P60" s="172">
        <v>4</v>
      </c>
      <c r="Q60" s="103" t="s">
        <v>1033</v>
      </c>
      <c r="R60" s="103">
        <v>312010001</v>
      </c>
      <c r="S60" s="104" t="str">
        <f t="shared" si="6"/>
        <v>UITexture/TechBldg/312010001.png</v>
      </c>
      <c r="T60" s="172" t="s">
        <v>1158</v>
      </c>
      <c r="U60" s="104">
        <f t="shared" ref="U60:U64" si="36">V60*1000+W60</f>
        <v>0</v>
      </c>
      <c r="Y60" s="172">
        <f t="shared" si="7"/>
        <v>18</v>
      </c>
      <c r="Z60" s="172">
        <v>16</v>
      </c>
      <c r="AA60" s="172">
        <v>4</v>
      </c>
      <c r="AC60" s="102">
        <v>16</v>
      </c>
      <c r="AD60" s="102">
        <v>0</v>
      </c>
      <c r="AI60" s="104">
        <f t="shared" ref="AI60:AI64" si="37">((AJ60*24+AK60)*60+AL60)*60+AM60</f>
        <v>60</v>
      </c>
      <c r="AL60" s="103">
        <v>1</v>
      </c>
      <c r="AN60" s="102">
        <v>600</v>
      </c>
      <c r="AO60" s="102">
        <v>30</v>
      </c>
      <c r="AP60" s="172">
        <v>0</v>
      </c>
      <c r="AR60" s="104">
        <f ca="1">IFERROR(OFFSET(ITEM_RES!$A$5,MATCH(AS60,ITEM_RES!$M$5:$M$84,0)-1,0),0)</f>
        <v>0</v>
      </c>
    </row>
    <row r="61" spans="1:62" x14ac:dyDescent="0.3">
      <c r="A61" s="107">
        <f t="shared" si="34"/>
        <v>312010007</v>
      </c>
      <c r="B61" s="106">
        <v>31</v>
      </c>
      <c r="C61" s="105">
        <f t="shared" si="35"/>
        <v>2</v>
      </c>
      <c r="D61" s="106">
        <v>1</v>
      </c>
      <c r="E61" s="106">
        <v>0</v>
      </c>
      <c r="F61" s="105">
        <f t="shared" si="24"/>
        <v>7</v>
      </c>
      <c r="H61" s="103">
        <v>2</v>
      </c>
      <c r="I61" s="105">
        <f t="shared" si="25"/>
        <v>201</v>
      </c>
      <c r="J61" s="172">
        <v>7</v>
      </c>
      <c r="L61" s="172" t="s">
        <v>1115</v>
      </c>
      <c r="M61" s="172" t="s">
        <v>1119</v>
      </c>
      <c r="N61" s="103" t="s">
        <v>1068</v>
      </c>
      <c r="O61" s="172">
        <v>0</v>
      </c>
      <c r="P61" s="172">
        <v>4</v>
      </c>
      <c r="Q61" s="103" t="s">
        <v>1033</v>
      </c>
      <c r="R61" s="103">
        <v>312010001</v>
      </c>
      <c r="S61" s="104" t="str">
        <f t="shared" si="6"/>
        <v>UITexture/TechBldg/312010001.png</v>
      </c>
      <c r="T61" s="172" t="s">
        <v>1158</v>
      </c>
      <c r="U61" s="104">
        <f t="shared" si="36"/>
        <v>0</v>
      </c>
      <c r="Y61" s="172">
        <f t="shared" si="7"/>
        <v>21</v>
      </c>
      <c r="Z61" s="172">
        <v>19</v>
      </c>
      <c r="AA61" s="172">
        <v>4</v>
      </c>
      <c r="AC61" s="102">
        <v>19</v>
      </c>
      <c r="AD61" s="102">
        <v>0</v>
      </c>
      <c r="AI61" s="104">
        <f t="shared" si="37"/>
        <v>60</v>
      </c>
      <c r="AL61" s="103">
        <v>1</v>
      </c>
      <c r="AN61" s="102">
        <v>700</v>
      </c>
      <c r="AO61" s="102">
        <v>35</v>
      </c>
      <c r="AP61" s="172">
        <v>0</v>
      </c>
      <c r="AR61" s="104">
        <f ca="1">IFERROR(OFFSET(ITEM_RES!$A$5,MATCH(AS61,ITEM_RES!$M$5:$M$84,0)-1,0),0)</f>
        <v>0</v>
      </c>
    </row>
    <row r="62" spans="1:62" x14ac:dyDescent="0.3">
      <c r="A62" s="107">
        <f t="shared" si="34"/>
        <v>312010008</v>
      </c>
      <c r="B62" s="106">
        <v>31</v>
      </c>
      <c r="C62" s="105">
        <f t="shared" si="35"/>
        <v>2</v>
      </c>
      <c r="D62" s="106">
        <v>1</v>
      </c>
      <c r="E62" s="106">
        <v>0</v>
      </c>
      <c r="F62" s="105">
        <f t="shared" si="24"/>
        <v>8</v>
      </c>
      <c r="H62" s="103">
        <v>2</v>
      </c>
      <c r="I62" s="105">
        <f t="shared" si="25"/>
        <v>201</v>
      </c>
      <c r="J62" s="172">
        <v>8</v>
      </c>
      <c r="L62" s="172" t="s">
        <v>1115</v>
      </c>
      <c r="M62" s="172" t="s">
        <v>1119</v>
      </c>
      <c r="N62" s="103" t="s">
        <v>1068</v>
      </c>
      <c r="O62" s="172">
        <v>0</v>
      </c>
      <c r="P62" s="172">
        <v>4</v>
      </c>
      <c r="Q62" s="103" t="s">
        <v>1033</v>
      </c>
      <c r="R62" s="103">
        <v>312010001</v>
      </c>
      <c r="S62" s="104" t="str">
        <f t="shared" si="6"/>
        <v>UITexture/TechBldg/312010001.png</v>
      </c>
      <c r="T62" s="172" t="s">
        <v>1158</v>
      </c>
      <c r="U62" s="104">
        <f t="shared" si="36"/>
        <v>0</v>
      </c>
      <c r="Y62" s="172">
        <f t="shared" si="7"/>
        <v>24</v>
      </c>
      <c r="Z62" s="172">
        <v>22</v>
      </c>
      <c r="AA62" s="172">
        <v>5</v>
      </c>
      <c r="AC62" s="102">
        <v>22</v>
      </c>
      <c r="AD62" s="102">
        <v>0</v>
      </c>
      <c r="AI62" s="104">
        <f t="shared" si="37"/>
        <v>60</v>
      </c>
      <c r="AL62" s="103">
        <v>1</v>
      </c>
      <c r="AN62" s="102">
        <v>800</v>
      </c>
      <c r="AO62" s="102">
        <v>40</v>
      </c>
      <c r="AP62" s="172">
        <v>0</v>
      </c>
      <c r="AR62" s="104">
        <f ca="1">IFERROR(OFFSET(ITEM_RES!$A$5,MATCH(AS62,ITEM_RES!$M$5:$M$84,0)-1,0),0)</f>
        <v>0</v>
      </c>
    </row>
    <row r="63" spans="1:62" x14ac:dyDescent="0.3">
      <c r="A63" s="107">
        <f t="shared" si="34"/>
        <v>312010009</v>
      </c>
      <c r="B63" s="106">
        <v>31</v>
      </c>
      <c r="C63" s="105">
        <f t="shared" si="35"/>
        <v>2</v>
      </c>
      <c r="D63" s="106">
        <v>1</v>
      </c>
      <c r="E63" s="106">
        <v>0</v>
      </c>
      <c r="F63" s="105">
        <f t="shared" si="24"/>
        <v>9</v>
      </c>
      <c r="H63" s="103">
        <v>2</v>
      </c>
      <c r="I63" s="105">
        <f t="shared" si="25"/>
        <v>201</v>
      </c>
      <c r="J63" s="172">
        <v>9</v>
      </c>
      <c r="L63" s="172" t="s">
        <v>1115</v>
      </c>
      <c r="M63" s="172" t="s">
        <v>1119</v>
      </c>
      <c r="N63" s="103" t="s">
        <v>1068</v>
      </c>
      <c r="O63" s="172">
        <v>0</v>
      </c>
      <c r="P63" s="172">
        <v>4</v>
      </c>
      <c r="Q63" s="103" t="s">
        <v>1033</v>
      </c>
      <c r="R63" s="103">
        <v>312010001</v>
      </c>
      <c r="S63" s="104" t="str">
        <f t="shared" si="6"/>
        <v>UITexture/TechBldg/312010001.png</v>
      </c>
      <c r="T63" s="172" t="s">
        <v>1158</v>
      </c>
      <c r="U63" s="104">
        <f t="shared" si="36"/>
        <v>0</v>
      </c>
      <c r="Y63" s="172">
        <f t="shared" si="7"/>
        <v>27</v>
      </c>
      <c r="Z63" s="172">
        <v>25</v>
      </c>
      <c r="AA63" s="172">
        <v>5</v>
      </c>
      <c r="AC63" s="102">
        <v>25</v>
      </c>
      <c r="AD63" s="102">
        <v>0</v>
      </c>
      <c r="AI63" s="104">
        <f t="shared" si="37"/>
        <v>60</v>
      </c>
      <c r="AL63" s="103">
        <v>1</v>
      </c>
      <c r="AN63" s="102">
        <v>900</v>
      </c>
      <c r="AO63" s="102">
        <v>45</v>
      </c>
      <c r="AP63" s="172">
        <v>0</v>
      </c>
      <c r="AR63" s="104">
        <f ca="1">IFERROR(OFFSET(ITEM_RES!$A$5,MATCH(AS63,ITEM_RES!$M$5:$M$84,0)-1,0),0)</f>
        <v>0</v>
      </c>
    </row>
    <row r="64" spans="1:62" x14ac:dyDescent="0.3">
      <c r="A64" s="107">
        <f t="shared" si="34"/>
        <v>312010010</v>
      </c>
      <c r="B64" s="106">
        <v>31</v>
      </c>
      <c r="C64" s="105">
        <f t="shared" si="35"/>
        <v>2</v>
      </c>
      <c r="D64" s="106">
        <v>1</v>
      </c>
      <c r="E64" s="106">
        <v>0</v>
      </c>
      <c r="F64" s="105">
        <f t="shared" si="24"/>
        <v>10</v>
      </c>
      <c r="H64" s="103">
        <v>2</v>
      </c>
      <c r="I64" s="105">
        <f t="shared" si="25"/>
        <v>201</v>
      </c>
      <c r="J64" s="172">
        <v>10</v>
      </c>
      <c r="L64" s="172" t="s">
        <v>1115</v>
      </c>
      <c r="M64" s="172" t="s">
        <v>1119</v>
      </c>
      <c r="N64" s="103" t="s">
        <v>1068</v>
      </c>
      <c r="O64" s="172">
        <v>0</v>
      </c>
      <c r="P64" s="172">
        <v>4</v>
      </c>
      <c r="Q64" s="103" t="s">
        <v>1033</v>
      </c>
      <c r="R64" s="103">
        <v>312010001</v>
      </c>
      <c r="S64" s="104" t="str">
        <f t="shared" si="6"/>
        <v>UITexture/TechBldg/312010001.png</v>
      </c>
      <c r="T64" s="172" t="s">
        <v>1158</v>
      </c>
      <c r="U64" s="104">
        <f t="shared" si="36"/>
        <v>0</v>
      </c>
      <c r="Y64" s="172">
        <v>30</v>
      </c>
      <c r="Z64" s="172">
        <v>28</v>
      </c>
      <c r="AA64" s="172">
        <v>5</v>
      </c>
      <c r="AC64" s="102">
        <v>28</v>
      </c>
      <c r="AD64" s="102">
        <v>0</v>
      </c>
      <c r="AI64" s="104">
        <f t="shared" si="37"/>
        <v>60</v>
      </c>
      <c r="AL64" s="103">
        <v>1</v>
      </c>
      <c r="AN64" s="102">
        <v>1000</v>
      </c>
      <c r="AO64" s="102">
        <v>50</v>
      </c>
      <c r="AP64" s="172">
        <v>0</v>
      </c>
      <c r="AR64" s="104">
        <f ca="1">IFERROR(OFFSET(ITEM_RES!$A$5,MATCH(AS64,ITEM_RES!$M$5:$M$84,0)-1,0),0)</f>
        <v>0</v>
      </c>
    </row>
    <row r="65" spans="1:44" x14ac:dyDescent="0.3">
      <c r="A65" s="107">
        <f t="shared" ref="A65:A89" si="38">B65*10000000+C65*1000000+D65*10000+E65*100+F65</f>
        <v>312020001</v>
      </c>
      <c r="B65" s="106">
        <v>31</v>
      </c>
      <c r="C65" s="105">
        <f t="shared" ref="C65:C89" si="39">H65</f>
        <v>2</v>
      </c>
      <c r="D65" s="106">
        <v>2</v>
      </c>
      <c r="E65" s="106">
        <v>0</v>
      </c>
      <c r="F65" s="105">
        <f t="shared" si="24"/>
        <v>1</v>
      </c>
      <c r="H65" s="103">
        <v>2</v>
      </c>
      <c r="I65" s="105">
        <f t="shared" si="25"/>
        <v>202</v>
      </c>
      <c r="J65" s="172">
        <v>1</v>
      </c>
      <c r="L65" s="172" t="s">
        <v>1115</v>
      </c>
      <c r="M65" s="172" t="s">
        <v>1120</v>
      </c>
      <c r="N65" s="103" t="s">
        <v>1069</v>
      </c>
      <c r="O65" s="172">
        <v>1</v>
      </c>
      <c r="P65" s="172">
        <v>4</v>
      </c>
      <c r="Q65" s="103" t="s">
        <v>1033</v>
      </c>
      <c r="R65" s="103">
        <v>312020001</v>
      </c>
      <c r="S65" s="104" t="str">
        <f t="shared" ref="S65:S99" si="40">CONCATENATE(Q65,R65,".png")</f>
        <v>UITexture/TechBldg/312020001.png</v>
      </c>
      <c r="T65" s="172" t="s">
        <v>1158</v>
      </c>
      <c r="U65" s="104">
        <f t="shared" ref="U65:U89" si="41">V65*1000+W65</f>
        <v>4002</v>
      </c>
      <c r="V65" s="103">
        <v>4</v>
      </c>
      <c r="W65" s="103">
        <v>2</v>
      </c>
      <c r="Y65" s="172">
        <f t="shared" ref="Y65:Y98" si="42">Z66-1</f>
        <v>3</v>
      </c>
      <c r="Z65" s="172">
        <v>1</v>
      </c>
      <c r="AA65" s="172">
        <v>1</v>
      </c>
      <c r="AC65" s="102">
        <v>1</v>
      </c>
      <c r="AD65" s="102">
        <v>0</v>
      </c>
      <c r="AI65" s="104">
        <f t="shared" ref="AI65:AI89" si="43">((AJ65*24+AK65)*60+AL65)*60+AM65</f>
        <v>5</v>
      </c>
      <c r="AM65" s="103">
        <v>5</v>
      </c>
      <c r="AN65" s="102">
        <v>100</v>
      </c>
      <c r="AO65" s="102">
        <v>5</v>
      </c>
      <c r="AP65" s="172">
        <v>0</v>
      </c>
      <c r="AR65" s="104">
        <f ca="1">IFERROR(OFFSET(ITEM_RES!$A$5,MATCH(AS65,ITEM_RES!$M$5:$M$84,0)-1,0),0)</f>
        <v>0</v>
      </c>
    </row>
    <row r="66" spans="1:44" x14ac:dyDescent="0.3">
      <c r="A66" s="107">
        <f t="shared" si="38"/>
        <v>312020002</v>
      </c>
      <c r="B66" s="106">
        <v>31</v>
      </c>
      <c r="C66" s="105">
        <f t="shared" si="39"/>
        <v>2</v>
      </c>
      <c r="D66" s="106">
        <v>2</v>
      </c>
      <c r="E66" s="106">
        <v>0</v>
      </c>
      <c r="F66" s="105">
        <f t="shared" si="24"/>
        <v>2</v>
      </c>
      <c r="H66" s="103">
        <v>2</v>
      </c>
      <c r="I66" s="105">
        <f t="shared" si="25"/>
        <v>202</v>
      </c>
      <c r="J66" s="172">
        <v>2</v>
      </c>
      <c r="L66" s="172" t="s">
        <v>1115</v>
      </c>
      <c r="M66" s="172" t="s">
        <v>1120</v>
      </c>
      <c r="N66" s="103" t="s">
        <v>1069</v>
      </c>
      <c r="O66" s="172">
        <v>1</v>
      </c>
      <c r="P66" s="172">
        <v>4</v>
      </c>
      <c r="Q66" s="103" t="s">
        <v>1033</v>
      </c>
      <c r="R66" s="103">
        <v>312020001</v>
      </c>
      <c r="S66" s="104" t="str">
        <f t="shared" si="40"/>
        <v>UITexture/TechBldg/312020001.png</v>
      </c>
      <c r="T66" s="172" t="s">
        <v>1158</v>
      </c>
      <c r="U66" s="104">
        <f t="shared" si="41"/>
        <v>0</v>
      </c>
      <c r="Y66" s="172">
        <f t="shared" si="42"/>
        <v>6</v>
      </c>
      <c r="Z66" s="172">
        <v>4</v>
      </c>
      <c r="AA66" s="172">
        <v>2</v>
      </c>
      <c r="AC66" s="102">
        <v>3</v>
      </c>
      <c r="AD66" s="102">
        <v>0</v>
      </c>
      <c r="AI66" s="104">
        <f t="shared" si="43"/>
        <v>30</v>
      </c>
      <c r="AM66" s="103">
        <v>30</v>
      </c>
      <c r="AN66" s="102">
        <v>200</v>
      </c>
      <c r="AO66" s="102">
        <v>10</v>
      </c>
      <c r="AP66" s="172">
        <v>0</v>
      </c>
      <c r="AR66" s="104">
        <f ca="1">IFERROR(OFFSET(ITEM_RES!$A$5,MATCH(AS66,ITEM_RES!$M$5:$M$84,0)-1,0),0)</f>
        <v>0</v>
      </c>
    </row>
    <row r="67" spans="1:44" x14ac:dyDescent="0.3">
      <c r="A67" s="107">
        <f t="shared" si="38"/>
        <v>312020003</v>
      </c>
      <c r="B67" s="106">
        <v>31</v>
      </c>
      <c r="C67" s="105">
        <f t="shared" si="39"/>
        <v>2</v>
      </c>
      <c r="D67" s="106">
        <v>2</v>
      </c>
      <c r="E67" s="106">
        <v>0</v>
      </c>
      <c r="F67" s="105">
        <f t="shared" si="24"/>
        <v>3</v>
      </c>
      <c r="H67" s="103">
        <v>2</v>
      </c>
      <c r="I67" s="105">
        <f t="shared" si="25"/>
        <v>202</v>
      </c>
      <c r="J67" s="172">
        <v>3</v>
      </c>
      <c r="L67" s="172" t="s">
        <v>1115</v>
      </c>
      <c r="M67" s="172" t="s">
        <v>1120</v>
      </c>
      <c r="N67" s="103" t="s">
        <v>1069</v>
      </c>
      <c r="O67" s="172">
        <v>1</v>
      </c>
      <c r="P67" s="172">
        <v>4</v>
      </c>
      <c r="Q67" s="103" t="s">
        <v>1033</v>
      </c>
      <c r="R67" s="103">
        <v>312020001</v>
      </c>
      <c r="S67" s="104" t="str">
        <f t="shared" si="40"/>
        <v>UITexture/TechBldg/312020001.png</v>
      </c>
      <c r="T67" s="172" t="s">
        <v>1158</v>
      </c>
      <c r="U67" s="104">
        <f t="shared" si="41"/>
        <v>0</v>
      </c>
      <c r="Y67" s="172">
        <f t="shared" si="42"/>
        <v>9</v>
      </c>
      <c r="Z67" s="172">
        <v>7</v>
      </c>
      <c r="AA67" s="172">
        <v>3</v>
      </c>
      <c r="AC67" s="102">
        <v>5</v>
      </c>
      <c r="AD67" s="102">
        <v>0</v>
      </c>
      <c r="AI67" s="104">
        <f t="shared" si="43"/>
        <v>60</v>
      </c>
      <c r="AL67" s="103">
        <v>1</v>
      </c>
      <c r="AN67" s="102">
        <v>300</v>
      </c>
      <c r="AO67" s="102">
        <v>15</v>
      </c>
      <c r="AP67" s="172">
        <v>0</v>
      </c>
      <c r="AR67" s="104">
        <f ca="1">IFERROR(OFFSET(ITEM_RES!$A$5,MATCH(AS67,ITEM_RES!$M$5:$M$84,0)-1,0),0)</f>
        <v>0</v>
      </c>
    </row>
    <row r="68" spans="1:44" x14ac:dyDescent="0.3">
      <c r="A68" s="107">
        <f t="shared" si="38"/>
        <v>312020004</v>
      </c>
      <c r="B68" s="106">
        <v>31</v>
      </c>
      <c r="C68" s="105">
        <f t="shared" si="39"/>
        <v>2</v>
      </c>
      <c r="D68" s="106">
        <v>2</v>
      </c>
      <c r="E68" s="106">
        <v>0</v>
      </c>
      <c r="F68" s="105">
        <f t="shared" si="24"/>
        <v>4</v>
      </c>
      <c r="H68" s="103">
        <v>2</v>
      </c>
      <c r="I68" s="105">
        <f t="shared" si="25"/>
        <v>202</v>
      </c>
      <c r="J68" s="172">
        <v>4</v>
      </c>
      <c r="L68" s="172" t="s">
        <v>1115</v>
      </c>
      <c r="M68" s="172" t="s">
        <v>1120</v>
      </c>
      <c r="N68" s="103" t="s">
        <v>1069</v>
      </c>
      <c r="O68" s="172">
        <v>1</v>
      </c>
      <c r="P68" s="172">
        <v>4</v>
      </c>
      <c r="Q68" s="103" t="s">
        <v>1033</v>
      </c>
      <c r="R68" s="103">
        <v>312020001</v>
      </c>
      <c r="S68" s="104" t="str">
        <f t="shared" si="40"/>
        <v>UITexture/TechBldg/312020001.png</v>
      </c>
      <c r="T68" s="172" t="s">
        <v>1158</v>
      </c>
      <c r="U68" s="104">
        <f t="shared" si="41"/>
        <v>0</v>
      </c>
      <c r="Y68" s="172">
        <f t="shared" si="42"/>
        <v>12</v>
      </c>
      <c r="Z68" s="172">
        <v>10</v>
      </c>
      <c r="AA68" s="172">
        <v>3</v>
      </c>
      <c r="AC68" s="102">
        <v>7</v>
      </c>
      <c r="AD68" s="102">
        <v>0</v>
      </c>
      <c r="AI68" s="104">
        <f t="shared" si="43"/>
        <v>60</v>
      </c>
      <c r="AL68" s="103">
        <v>1</v>
      </c>
      <c r="AN68" s="102">
        <v>400</v>
      </c>
      <c r="AO68" s="102">
        <v>20</v>
      </c>
      <c r="AP68" s="172">
        <v>0</v>
      </c>
      <c r="AR68" s="104">
        <f ca="1">IFERROR(OFFSET(ITEM_RES!$A$5,MATCH(AS68,ITEM_RES!$M$5:$M$84,0)-1,0),0)</f>
        <v>0</v>
      </c>
    </row>
    <row r="69" spans="1:44" x14ac:dyDescent="0.3">
      <c r="A69" s="107">
        <f t="shared" si="38"/>
        <v>312020005</v>
      </c>
      <c r="B69" s="106">
        <v>31</v>
      </c>
      <c r="C69" s="105">
        <f t="shared" si="39"/>
        <v>2</v>
      </c>
      <c r="D69" s="106">
        <v>2</v>
      </c>
      <c r="E69" s="106">
        <v>0</v>
      </c>
      <c r="F69" s="105">
        <f t="shared" ref="F69:F99" si="44">J69</f>
        <v>5</v>
      </c>
      <c r="H69" s="103">
        <v>2</v>
      </c>
      <c r="I69" s="105">
        <f t="shared" ref="I69:I99" si="45">C69*100+D69</f>
        <v>202</v>
      </c>
      <c r="J69" s="172">
        <v>5</v>
      </c>
      <c r="L69" s="172" t="s">
        <v>1115</v>
      </c>
      <c r="M69" s="172" t="s">
        <v>1120</v>
      </c>
      <c r="N69" s="103" t="s">
        <v>1069</v>
      </c>
      <c r="O69" s="172">
        <v>0</v>
      </c>
      <c r="P69" s="172">
        <v>4</v>
      </c>
      <c r="Q69" s="103" t="s">
        <v>1033</v>
      </c>
      <c r="R69" s="103">
        <v>312020001</v>
      </c>
      <c r="S69" s="104" t="str">
        <f t="shared" si="40"/>
        <v>UITexture/TechBldg/312020001.png</v>
      </c>
      <c r="T69" s="172" t="s">
        <v>1158</v>
      </c>
      <c r="U69" s="104">
        <f t="shared" si="41"/>
        <v>0</v>
      </c>
      <c r="Y69" s="172">
        <f t="shared" si="42"/>
        <v>15</v>
      </c>
      <c r="Z69" s="172">
        <v>13</v>
      </c>
      <c r="AA69" s="172">
        <v>4</v>
      </c>
      <c r="AC69" s="102">
        <v>9</v>
      </c>
      <c r="AD69" s="102">
        <v>0</v>
      </c>
      <c r="AI69" s="104">
        <f t="shared" si="43"/>
        <v>60</v>
      </c>
      <c r="AL69" s="103">
        <v>1</v>
      </c>
      <c r="AN69" s="102">
        <v>500</v>
      </c>
      <c r="AO69" s="102">
        <v>25</v>
      </c>
      <c r="AP69" s="172">
        <v>0</v>
      </c>
      <c r="AR69" s="104">
        <f ca="1">IFERROR(OFFSET(ITEM_RES!$A$5,MATCH(AS69,ITEM_RES!$M$5:$M$84,0)-1,0),0)</f>
        <v>0</v>
      </c>
    </row>
    <row r="70" spans="1:44" x14ac:dyDescent="0.3">
      <c r="A70" s="107">
        <f t="shared" ref="A70:A74" si="46">B70*10000000+C70*1000000+D70*10000+E70*100+F70</f>
        <v>312020006</v>
      </c>
      <c r="B70" s="106">
        <v>31</v>
      </c>
      <c r="C70" s="105">
        <f t="shared" ref="C70:C74" si="47">H70</f>
        <v>2</v>
      </c>
      <c r="D70" s="106">
        <v>2</v>
      </c>
      <c r="E70" s="106">
        <v>0</v>
      </c>
      <c r="F70" s="105">
        <f t="shared" si="44"/>
        <v>6</v>
      </c>
      <c r="H70" s="103">
        <v>2</v>
      </c>
      <c r="I70" s="105">
        <f t="shared" si="45"/>
        <v>202</v>
      </c>
      <c r="J70" s="172">
        <v>6</v>
      </c>
      <c r="L70" s="172" t="s">
        <v>1115</v>
      </c>
      <c r="M70" s="172" t="s">
        <v>1120</v>
      </c>
      <c r="N70" s="103" t="s">
        <v>1069</v>
      </c>
      <c r="O70" s="172">
        <v>0</v>
      </c>
      <c r="P70" s="172">
        <v>4</v>
      </c>
      <c r="Q70" s="103" t="s">
        <v>1033</v>
      </c>
      <c r="R70" s="103">
        <v>312020001</v>
      </c>
      <c r="S70" s="104" t="str">
        <f t="shared" si="40"/>
        <v>UITexture/TechBldg/312020001.png</v>
      </c>
      <c r="T70" s="172" t="s">
        <v>1158</v>
      </c>
      <c r="U70" s="104">
        <f t="shared" ref="U70:U74" si="48">V70*1000+W70</f>
        <v>0</v>
      </c>
      <c r="Y70" s="172">
        <f t="shared" si="42"/>
        <v>18</v>
      </c>
      <c r="Z70" s="172">
        <v>16</v>
      </c>
      <c r="AA70" s="172">
        <v>4</v>
      </c>
      <c r="AC70" s="102">
        <v>11</v>
      </c>
      <c r="AD70" s="102">
        <v>0</v>
      </c>
      <c r="AI70" s="104">
        <f t="shared" ref="AI70:AI74" si="49">((AJ70*24+AK70)*60+AL70)*60+AM70</f>
        <v>60</v>
      </c>
      <c r="AL70" s="103">
        <v>1</v>
      </c>
      <c r="AN70" s="102">
        <v>600</v>
      </c>
      <c r="AO70" s="102">
        <v>30</v>
      </c>
      <c r="AP70" s="172">
        <v>0</v>
      </c>
      <c r="AR70" s="104">
        <f ca="1">IFERROR(OFFSET(ITEM_RES!$A$5,MATCH(AS70,ITEM_RES!$M$5:$M$84,0)-1,0),0)</f>
        <v>0</v>
      </c>
    </row>
    <row r="71" spans="1:44" x14ac:dyDescent="0.3">
      <c r="A71" s="107">
        <f t="shared" si="46"/>
        <v>312020007</v>
      </c>
      <c r="B71" s="106">
        <v>31</v>
      </c>
      <c r="C71" s="105">
        <f t="shared" si="47"/>
        <v>2</v>
      </c>
      <c r="D71" s="106">
        <v>2</v>
      </c>
      <c r="E71" s="106">
        <v>0</v>
      </c>
      <c r="F71" s="105">
        <f t="shared" si="44"/>
        <v>7</v>
      </c>
      <c r="H71" s="103">
        <v>2</v>
      </c>
      <c r="I71" s="105">
        <f t="shared" si="45"/>
        <v>202</v>
      </c>
      <c r="J71" s="172">
        <v>7</v>
      </c>
      <c r="L71" s="172" t="s">
        <v>1115</v>
      </c>
      <c r="M71" s="172" t="s">
        <v>1120</v>
      </c>
      <c r="N71" s="103" t="s">
        <v>1069</v>
      </c>
      <c r="O71" s="172">
        <v>0</v>
      </c>
      <c r="P71" s="172">
        <v>4</v>
      </c>
      <c r="Q71" s="103" t="s">
        <v>1033</v>
      </c>
      <c r="R71" s="103">
        <v>312020001</v>
      </c>
      <c r="S71" s="104" t="str">
        <f t="shared" si="40"/>
        <v>UITexture/TechBldg/312020001.png</v>
      </c>
      <c r="T71" s="172" t="s">
        <v>1158</v>
      </c>
      <c r="U71" s="104">
        <f t="shared" si="48"/>
        <v>0</v>
      </c>
      <c r="Y71" s="172">
        <f t="shared" si="42"/>
        <v>21</v>
      </c>
      <c r="Z71" s="172">
        <v>19</v>
      </c>
      <c r="AA71" s="172">
        <v>4</v>
      </c>
      <c r="AC71" s="102">
        <v>13</v>
      </c>
      <c r="AD71" s="102">
        <v>0</v>
      </c>
      <c r="AI71" s="104">
        <f t="shared" si="49"/>
        <v>60</v>
      </c>
      <c r="AL71" s="103">
        <v>1</v>
      </c>
      <c r="AN71" s="102">
        <v>700</v>
      </c>
      <c r="AO71" s="102">
        <v>35</v>
      </c>
      <c r="AP71" s="172">
        <v>0</v>
      </c>
      <c r="AR71" s="104">
        <f ca="1">IFERROR(OFFSET(ITEM_RES!$A$5,MATCH(AS71,ITEM_RES!$M$5:$M$84,0)-1,0),0)</f>
        <v>0</v>
      </c>
    </row>
    <row r="72" spans="1:44" x14ac:dyDescent="0.3">
      <c r="A72" s="107">
        <f t="shared" si="46"/>
        <v>312020008</v>
      </c>
      <c r="B72" s="106">
        <v>31</v>
      </c>
      <c r="C72" s="105">
        <f t="shared" si="47"/>
        <v>2</v>
      </c>
      <c r="D72" s="106">
        <v>2</v>
      </c>
      <c r="E72" s="106">
        <v>0</v>
      </c>
      <c r="F72" s="105">
        <f t="shared" si="44"/>
        <v>8</v>
      </c>
      <c r="H72" s="103">
        <v>2</v>
      </c>
      <c r="I72" s="105">
        <f t="shared" si="45"/>
        <v>202</v>
      </c>
      <c r="J72" s="172">
        <v>8</v>
      </c>
      <c r="L72" s="172" t="s">
        <v>1115</v>
      </c>
      <c r="M72" s="172" t="s">
        <v>1120</v>
      </c>
      <c r="N72" s="103" t="s">
        <v>1069</v>
      </c>
      <c r="O72" s="172">
        <v>0</v>
      </c>
      <c r="P72" s="172">
        <v>4</v>
      </c>
      <c r="Q72" s="103" t="s">
        <v>1033</v>
      </c>
      <c r="R72" s="103">
        <v>312020001</v>
      </c>
      <c r="S72" s="104" t="str">
        <f t="shared" si="40"/>
        <v>UITexture/TechBldg/312020001.png</v>
      </c>
      <c r="T72" s="172" t="s">
        <v>1158</v>
      </c>
      <c r="U72" s="104">
        <f t="shared" si="48"/>
        <v>0</v>
      </c>
      <c r="Y72" s="172">
        <f t="shared" si="42"/>
        <v>24</v>
      </c>
      <c r="Z72" s="172">
        <v>22</v>
      </c>
      <c r="AA72" s="172">
        <v>5</v>
      </c>
      <c r="AC72" s="102">
        <v>15</v>
      </c>
      <c r="AD72" s="102">
        <v>0</v>
      </c>
      <c r="AI72" s="104">
        <f t="shared" si="49"/>
        <v>60</v>
      </c>
      <c r="AL72" s="103">
        <v>1</v>
      </c>
      <c r="AN72" s="102">
        <v>800</v>
      </c>
      <c r="AO72" s="102">
        <v>40</v>
      </c>
      <c r="AP72" s="172">
        <v>0</v>
      </c>
      <c r="AR72" s="104">
        <f ca="1">IFERROR(OFFSET(ITEM_RES!$A$5,MATCH(AS72,ITEM_RES!$M$5:$M$84,0)-1,0),0)</f>
        <v>0</v>
      </c>
    </row>
    <row r="73" spans="1:44" x14ac:dyDescent="0.3">
      <c r="A73" s="107">
        <f t="shared" si="46"/>
        <v>312020009</v>
      </c>
      <c r="B73" s="106">
        <v>31</v>
      </c>
      <c r="C73" s="105">
        <f t="shared" si="47"/>
        <v>2</v>
      </c>
      <c r="D73" s="106">
        <v>2</v>
      </c>
      <c r="E73" s="106">
        <v>0</v>
      </c>
      <c r="F73" s="105">
        <f t="shared" si="44"/>
        <v>9</v>
      </c>
      <c r="H73" s="103">
        <v>2</v>
      </c>
      <c r="I73" s="105">
        <f t="shared" si="45"/>
        <v>202</v>
      </c>
      <c r="J73" s="172">
        <v>9</v>
      </c>
      <c r="L73" s="172" t="s">
        <v>1115</v>
      </c>
      <c r="M73" s="172" t="s">
        <v>1120</v>
      </c>
      <c r="N73" s="103" t="s">
        <v>1069</v>
      </c>
      <c r="O73" s="172">
        <v>0</v>
      </c>
      <c r="P73" s="172">
        <v>4</v>
      </c>
      <c r="Q73" s="103" t="s">
        <v>1033</v>
      </c>
      <c r="R73" s="103">
        <v>312020001</v>
      </c>
      <c r="S73" s="104" t="str">
        <f t="shared" si="40"/>
        <v>UITexture/TechBldg/312020001.png</v>
      </c>
      <c r="T73" s="172" t="s">
        <v>1158</v>
      </c>
      <c r="U73" s="104">
        <f t="shared" si="48"/>
        <v>0</v>
      </c>
      <c r="Y73" s="172">
        <f t="shared" si="42"/>
        <v>27</v>
      </c>
      <c r="Z73" s="172">
        <v>25</v>
      </c>
      <c r="AA73" s="172">
        <v>5</v>
      </c>
      <c r="AC73" s="102">
        <v>17</v>
      </c>
      <c r="AD73" s="102">
        <v>0</v>
      </c>
      <c r="AI73" s="104">
        <f t="shared" si="49"/>
        <v>60</v>
      </c>
      <c r="AL73" s="103">
        <v>1</v>
      </c>
      <c r="AN73" s="102">
        <v>900</v>
      </c>
      <c r="AO73" s="102">
        <v>45</v>
      </c>
      <c r="AP73" s="172">
        <v>0</v>
      </c>
      <c r="AR73" s="104">
        <f ca="1">IFERROR(OFFSET(ITEM_RES!$A$5,MATCH(AS73,ITEM_RES!$M$5:$M$84,0)-1,0),0)</f>
        <v>0</v>
      </c>
    </row>
    <row r="74" spans="1:44" x14ac:dyDescent="0.3">
      <c r="A74" s="107">
        <f t="shared" si="46"/>
        <v>312020010</v>
      </c>
      <c r="B74" s="106">
        <v>31</v>
      </c>
      <c r="C74" s="105">
        <f t="shared" si="47"/>
        <v>2</v>
      </c>
      <c r="D74" s="106">
        <v>2</v>
      </c>
      <c r="E74" s="106">
        <v>0</v>
      </c>
      <c r="F74" s="105">
        <f t="shared" si="44"/>
        <v>10</v>
      </c>
      <c r="H74" s="103">
        <v>2</v>
      </c>
      <c r="I74" s="105">
        <f t="shared" si="45"/>
        <v>202</v>
      </c>
      <c r="J74" s="172">
        <v>10</v>
      </c>
      <c r="L74" s="172" t="s">
        <v>1115</v>
      </c>
      <c r="M74" s="172" t="s">
        <v>1120</v>
      </c>
      <c r="N74" s="103" t="s">
        <v>1069</v>
      </c>
      <c r="O74" s="172">
        <v>0</v>
      </c>
      <c r="P74" s="172">
        <v>4</v>
      </c>
      <c r="Q74" s="103" t="s">
        <v>1033</v>
      </c>
      <c r="R74" s="103">
        <v>312020001</v>
      </c>
      <c r="S74" s="104" t="str">
        <f t="shared" si="40"/>
        <v>UITexture/TechBldg/312020001.png</v>
      </c>
      <c r="T74" s="172" t="s">
        <v>1158</v>
      </c>
      <c r="U74" s="104">
        <f t="shared" si="48"/>
        <v>0</v>
      </c>
      <c r="Y74" s="172">
        <v>30</v>
      </c>
      <c r="Z74" s="172">
        <v>28</v>
      </c>
      <c r="AA74" s="172">
        <v>5</v>
      </c>
      <c r="AC74" s="102">
        <v>19</v>
      </c>
      <c r="AD74" s="102">
        <v>0</v>
      </c>
      <c r="AI74" s="104">
        <f t="shared" si="49"/>
        <v>60</v>
      </c>
      <c r="AL74" s="103">
        <v>1</v>
      </c>
      <c r="AN74" s="102">
        <v>1000</v>
      </c>
      <c r="AO74" s="102">
        <v>50</v>
      </c>
      <c r="AP74" s="172">
        <v>0</v>
      </c>
      <c r="AR74" s="104">
        <f ca="1">IFERROR(OFFSET(ITEM_RES!$A$5,MATCH(AS74,ITEM_RES!$M$5:$M$84,0)-1,0),0)</f>
        <v>0</v>
      </c>
    </row>
    <row r="75" spans="1:44" x14ac:dyDescent="0.3">
      <c r="A75" s="107">
        <f t="shared" si="38"/>
        <v>312030001</v>
      </c>
      <c r="B75" s="106">
        <v>31</v>
      </c>
      <c r="C75" s="105">
        <f t="shared" si="39"/>
        <v>2</v>
      </c>
      <c r="D75" s="106">
        <v>3</v>
      </c>
      <c r="E75" s="106">
        <v>0</v>
      </c>
      <c r="F75" s="105">
        <f t="shared" si="44"/>
        <v>1</v>
      </c>
      <c r="H75" s="103">
        <v>2</v>
      </c>
      <c r="I75" s="105">
        <f t="shared" si="45"/>
        <v>203</v>
      </c>
      <c r="J75" s="172">
        <v>1</v>
      </c>
      <c r="L75" s="172" t="s">
        <v>1115</v>
      </c>
      <c r="M75" s="172" t="s">
        <v>1121</v>
      </c>
      <c r="N75" s="103" t="s">
        <v>1072</v>
      </c>
      <c r="O75" s="172">
        <v>1</v>
      </c>
      <c r="P75" s="172">
        <v>4</v>
      </c>
      <c r="Q75" s="103" t="s">
        <v>1033</v>
      </c>
      <c r="R75" s="103">
        <v>312030001</v>
      </c>
      <c r="S75" s="104" t="str">
        <f t="shared" si="40"/>
        <v>UITexture/TechBldg/312030001.png</v>
      </c>
      <c r="T75" s="172" t="s">
        <v>1158</v>
      </c>
      <c r="U75" s="104">
        <f t="shared" si="41"/>
        <v>2004</v>
      </c>
      <c r="V75" s="103">
        <v>2</v>
      </c>
      <c r="W75" s="103">
        <v>4</v>
      </c>
      <c r="Y75" s="172">
        <f t="shared" si="42"/>
        <v>3</v>
      </c>
      <c r="Z75" s="172">
        <v>1</v>
      </c>
      <c r="AA75" s="172">
        <v>1</v>
      </c>
      <c r="AC75" s="102">
        <v>2</v>
      </c>
      <c r="AD75" s="102">
        <v>0</v>
      </c>
      <c r="AI75" s="104">
        <f t="shared" si="43"/>
        <v>5</v>
      </c>
      <c r="AM75" s="103">
        <v>5</v>
      </c>
      <c r="AN75" s="102">
        <v>100</v>
      </c>
      <c r="AO75" s="102">
        <v>5</v>
      </c>
      <c r="AP75" s="172">
        <v>0</v>
      </c>
      <c r="AR75" s="104">
        <f ca="1">IFERROR(OFFSET(ITEM_RES!$A$5,MATCH(AS75,ITEM_RES!$M$5:$M$84,0)-1,0),0)</f>
        <v>0</v>
      </c>
    </row>
    <row r="76" spans="1:44" x14ac:dyDescent="0.3">
      <c r="A76" s="107">
        <f t="shared" si="38"/>
        <v>312030002</v>
      </c>
      <c r="B76" s="106">
        <v>31</v>
      </c>
      <c r="C76" s="105">
        <f t="shared" si="39"/>
        <v>2</v>
      </c>
      <c r="D76" s="106">
        <v>3</v>
      </c>
      <c r="E76" s="106">
        <v>0</v>
      </c>
      <c r="F76" s="105">
        <f t="shared" si="44"/>
        <v>2</v>
      </c>
      <c r="H76" s="103">
        <v>2</v>
      </c>
      <c r="I76" s="105">
        <f t="shared" si="45"/>
        <v>203</v>
      </c>
      <c r="J76" s="172">
        <v>2</v>
      </c>
      <c r="L76" s="172" t="s">
        <v>1115</v>
      </c>
      <c r="M76" s="172" t="s">
        <v>1121</v>
      </c>
      <c r="N76" s="103" t="s">
        <v>1072</v>
      </c>
      <c r="O76" s="172">
        <v>1</v>
      </c>
      <c r="P76" s="172">
        <v>4</v>
      </c>
      <c r="Q76" s="103" t="s">
        <v>1033</v>
      </c>
      <c r="R76" s="103">
        <v>312030001</v>
      </c>
      <c r="S76" s="104" t="str">
        <f t="shared" si="40"/>
        <v>UITexture/TechBldg/312030001.png</v>
      </c>
      <c r="T76" s="172" t="s">
        <v>1158</v>
      </c>
      <c r="U76" s="104">
        <f t="shared" si="41"/>
        <v>0</v>
      </c>
      <c r="Y76" s="172">
        <f t="shared" si="42"/>
        <v>6</v>
      </c>
      <c r="Z76" s="172">
        <v>4</v>
      </c>
      <c r="AA76" s="172">
        <v>1</v>
      </c>
      <c r="AC76" s="102">
        <v>4</v>
      </c>
      <c r="AD76" s="102">
        <v>0</v>
      </c>
      <c r="AI76" s="104">
        <f t="shared" si="43"/>
        <v>30</v>
      </c>
      <c r="AM76" s="103">
        <v>30</v>
      </c>
      <c r="AN76" s="102">
        <v>200</v>
      </c>
      <c r="AO76" s="102">
        <v>10</v>
      </c>
      <c r="AP76" s="172">
        <v>0</v>
      </c>
      <c r="AR76" s="104">
        <f ca="1">IFERROR(OFFSET(ITEM_RES!$A$5,MATCH(AS76,ITEM_RES!$M$5:$M$84,0)-1,0),0)</f>
        <v>0</v>
      </c>
    </row>
    <row r="77" spans="1:44" x14ac:dyDescent="0.3">
      <c r="A77" s="107">
        <f t="shared" si="38"/>
        <v>312030003</v>
      </c>
      <c r="B77" s="106">
        <v>31</v>
      </c>
      <c r="C77" s="105">
        <f t="shared" si="39"/>
        <v>2</v>
      </c>
      <c r="D77" s="106">
        <v>3</v>
      </c>
      <c r="E77" s="106">
        <v>0</v>
      </c>
      <c r="F77" s="105">
        <f t="shared" si="44"/>
        <v>3</v>
      </c>
      <c r="H77" s="103">
        <v>2</v>
      </c>
      <c r="I77" s="105">
        <f t="shared" si="45"/>
        <v>203</v>
      </c>
      <c r="J77" s="172">
        <v>3</v>
      </c>
      <c r="L77" s="172" t="s">
        <v>1115</v>
      </c>
      <c r="M77" s="172" t="s">
        <v>1121</v>
      </c>
      <c r="N77" s="103" t="s">
        <v>1072</v>
      </c>
      <c r="O77" s="172">
        <v>1</v>
      </c>
      <c r="P77" s="172">
        <v>4</v>
      </c>
      <c r="Q77" s="103" t="s">
        <v>1033</v>
      </c>
      <c r="R77" s="103">
        <v>312030001</v>
      </c>
      <c r="S77" s="104" t="str">
        <f t="shared" si="40"/>
        <v>UITexture/TechBldg/312030001.png</v>
      </c>
      <c r="T77" s="172" t="s">
        <v>1158</v>
      </c>
      <c r="U77" s="104">
        <f t="shared" si="41"/>
        <v>0</v>
      </c>
      <c r="Y77" s="172">
        <f t="shared" si="42"/>
        <v>9</v>
      </c>
      <c r="Z77" s="172">
        <v>7</v>
      </c>
      <c r="AA77" s="172">
        <v>2</v>
      </c>
      <c r="AC77" s="102">
        <v>6</v>
      </c>
      <c r="AD77" s="102">
        <v>0</v>
      </c>
      <c r="AI77" s="104">
        <f t="shared" si="43"/>
        <v>60</v>
      </c>
      <c r="AL77" s="103">
        <v>1</v>
      </c>
      <c r="AN77" s="102">
        <v>300</v>
      </c>
      <c r="AO77" s="102">
        <v>15</v>
      </c>
      <c r="AP77" s="172">
        <v>0</v>
      </c>
      <c r="AR77" s="104">
        <f ca="1">IFERROR(OFFSET(ITEM_RES!$A$5,MATCH(AS77,ITEM_RES!$M$5:$M$84,0)-1,0),0)</f>
        <v>0</v>
      </c>
    </row>
    <row r="78" spans="1:44" x14ac:dyDescent="0.3">
      <c r="A78" s="107">
        <f t="shared" si="38"/>
        <v>312030004</v>
      </c>
      <c r="B78" s="106">
        <v>31</v>
      </c>
      <c r="C78" s="105">
        <f t="shared" si="39"/>
        <v>2</v>
      </c>
      <c r="D78" s="106">
        <v>3</v>
      </c>
      <c r="E78" s="106">
        <v>0</v>
      </c>
      <c r="F78" s="105">
        <f t="shared" si="44"/>
        <v>4</v>
      </c>
      <c r="H78" s="103">
        <v>2</v>
      </c>
      <c r="I78" s="105">
        <f t="shared" si="45"/>
        <v>203</v>
      </c>
      <c r="J78" s="172">
        <v>4</v>
      </c>
      <c r="L78" s="172" t="s">
        <v>1115</v>
      </c>
      <c r="M78" s="172" t="s">
        <v>1121</v>
      </c>
      <c r="N78" s="103" t="s">
        <v>1072</v>
      </c>
      <c r="O78" s="172">
        <v>1</v>
      </c>
      <c r="P78" s="172">
        <v>4</v>
      </c>
      <c r="Q78" s="103" t="s">
        <v>1033</v>
      </c>
      <c r="R78" s="103">
        <v>312030001</v>
      </c>
      <c r="S78" s="104" t="str">
        <f t="shared" si="40"/>
        <v>UITexture/TechBldg/312030001.png</v>
      </c>
      <c r="T78" s="172" t="s">
        <v>1158</v>
      </c>
      <c r="U78" s="104">
        <f t="shared" si="41"/>
        <v>0</v>
      </c>
      <c r="Y78" s="172">
        <f t="shared" si="42"/>
        <v>12</v>
      </c>
      <c r="Z78" s="172">
        <v>10</v>
      </c>
      <c r="AA78" s="172">
        <v>2</v>
      </c>
      <c r="AC78" s="102">
        <v>8</v>
      </c>
      <c r="AD78" s="102">
        <v>0</v>
      </c>
      <c r="AI78" s="104">
        <f t="shared" si="43"/>
        <v>60</v>
      </c>
      <c r="AL78" s="103">
        <v>1</v>
      </c>
      <c r="AN78" s="102">
        <v>400</v>
      </c>
      <c r="AO78" s="102">
        <v>20</v>
      </c>
      <c r="AP78" s="172">
        <v>0</v>
      </c>
      <c r="AR78" s="104">
        <f ca="1">IFERROR(OFFSET(ITEM_RES!$A$5,MATCH(AS78,ITEM_RES!$M$5:$M$84,0)-1,0),0)</f>
        <v>0</v>
      </c>
    </row>
    <row r="79" spans="1:44" x14ac:dyDescent="0.3">
      <c r="A79" s="107">
        <f t="shared" si="38"/>
        <v>312030005</v>
      </c>
      <c r="B79" s="106">
        <v>31</v>
      </c>
      <c r="C79" s="105">
        <f t="shared" si="39"/>
        <v>2</v>
      </c>
      <c r="D79" s="106">
        <v>3</v>
      </c>
      <c r="E79" s="106">
        <v>0</v>
      </c>
      <c r="F79" s="105">
        <f t="shared" si="44"/>
        <v>5</v>
      </c>
      <c r="H79" s="103">
        <v>2</v>
      </c>
      <c r="I79" s="105">
        <f t="shared" si="45"/>
        <v>203</v>
      </c>
      <c r="J79" s="172">
        <v>5</v>
      </c>
      <c r="L79" s="172" t="s">
        <v>1115</v>
      </c>
      <c r="M79" s="172" t="s">
        <v>1121</v>
      </c>
      <c r="N79" s="103" t="s">
        <v>1072</v>
      </c>
      <c r="O79" s="172">
        <v>0</v>
      </c>
      <c r="P79" s="172">
        <v>4</v>
      </c>
      <c r="Q79" s="103" t="s">
        <v>1033</v>
      </c>
      <c r="R79" s="103">
        <v>312030001</v>
      </c>
      <c r="S79" s="104" t="str">
        <f t="shared" si="40"/>
        <v>UITexture/TechBldg/312030001.png</v>
      </c>
      <c r="T79" s="172" t="s">
        <v>1158</v>
      </c>
      <c r="U79" s="104">
        <f t="shared" si="41"/>
        <v>0</v>
      </c>
      <c r="Y79" s="172">
        <f t="shared" si="42"/>
        <v>15</v>
      </c>
      <c r="Z79" s="172">
        <v>13</v>
      </c>
      <c r="AA79" s="172">
        <v>3</v>
      </c>
      <c r="AC79" s="102">
        <v>10</v>
      </c>
      <c r="AD79" s="102">
        <v>0</v>
      </c>
      <c r="AI79" s="104">
        <f t="shared" si="43"/>
        <v>60</v>
      </c>
      <c r="AL79" s="103">
        <v>1</v>
      </c>
      <c r="AN79" s="102">
        <v>500</v>
      </c>
      <c r="AO79" s="102">
        <v>25</v>
      </c>
      <c r="AP79" s="172">
        <v>0</v>
      </c>
      <c r="AR79" s="104">
        <f ca="1">IFERROR(OFFSET(ITEM_RES!$A$5,MATCH(AS79,ITEM_RES!$M$5:$M$84,0)-1,0),0)</f>
        <v>0</v>
      </c>
    </row>
    <row r="80" spans="1:44" x14ac:dyDescent="0.3">
      <c r="A80" s="107">
        <f t="shared" ref="A80:A84" si="50">B80*10000000+C80*1000000+D80*10000+E80*100+F80</f>
        <v>312030006</v>
      </c>
      <c r="B80" s="106">
        <v>31</v>
      </c>
      <c r="C80" s="105">
        <f t="shared" ref="C80:C84" si="51">H80</f>
        <v>2</v>
      </c>
      <c r="D80" s="106">
        <v>3</v>
      </c>
      <c r="E80" s="106">
        <v>0</v>
      </c>
      <c r="F80" s="105">
        <f t="shared" si="44"/>
        <v>6</v>
      </c>
      <c r="H80" s="103">
        <v>2</v>
      </c>
      <c r="I80" s="105">
        <f t="shared" si="45"/>
        <v>203</v>
      </c>
      <c r="J80" s="172">
        <v>6</v>
      </c>
      <c r="L80" s="172" t="s">
        <v>1115</v>
      </c>
      <c r="M80" s="172" t="s">
        <v>1121</v>
      </c>
      <c r="N80" s="103" t="s">
        <v>1072</v>
      </c>
      <c r="O80" s="172">
        <v>0</v>
      </c>
      <c r="P80" s="172">
        <v>4</v>
      </c>
      <c r="Q80" s="103" t="s">
        <v>1033</v>
      </c>
      <c r="R80" s="103">
        <v>312030001</v>
      </c>
      <c r="S80" s="104" t="str">
        <f t="shared" si="40"/>
        <v>UITexture/TechBldg/312030001.png</v>
      </c>
      <c r="T80" s="172" t="s">
        <v>1158</v>
      </c>
      <c r="U80" s="104">
        <f t="shared" ref="U80:U84" si="52">V80*1000+W80</f>
        <v>0</v>
      </c>
      <c r="Y80" s="172">
        <f t="shared" si="42"/>
        <v>18</v>
      </c>
      <c r="Z80" s="172">
        <v>16</v>
      </c>
      <c r="AA80" s="172">
        <v>3</v>
      </c>
      <c r="AC80" s="102">
        <v>12</v>
      </c>
      <c r="AD80" s="102">
        <v>0</v>
      </c>
      <c r="AI80" s="104">
        <f t="shared" ref="AI80:AI84" si="53">((AJ80*24+AK80)*60+AL80)*60+AM80</f>
        <v>60</v>
      </c>
      <c r="AL80" s="103">
        <v>1</v>
      </c>
      <c r="AN80" s="102">
        <v>600</v>
      </c>
      <c r="AO80" s="102">
        <v>30</v>
      </c>
      <c r="AP80" s="172">
        <v>0</v>
      </c>
      <c r="AR80" s="104">
        <f ca="1">IFERROR(OFFSET(ITEM_RES!$A$5,MATCH(AS80,ITEM_RES!$M$5:$M$84,0)-1,0),0)</f>
        <v>0</v>
      </c>
    </row>
    <row r="81" spans="1:62" x14ac:dyDescent="0.3">
      <c r="A81" s="107">
        <f t="shared" si="50"/>
        <v>312030007</v>
      </c>
      <c r="B81" s="106">
        <v>31</v>
      </c>
      <c r="C81" s="105">
        <f t="shared" si="51"/>
        <v>2</v>
      </c>
      <c r="D81" s="106">
        <v>3</v>
      </c>
      <c r="E81" s="106">
        <v>0</v>
      </c>
      <c r="F81" s="105">
        <f t="shared" si="44"/>
        <v>7</v>
      </c>
      <c r="H81" s="103">
        <v>2</v>
      </c>
      <c r="I81" s="105">
        <f t="shared" si="45"/>
        <v>203</v>
      </c>
      <c r="J81" s="172">
        <v>7</v>
      </c>
      <c r="L81" s="172" t="s">
        <v>1115</v>
      </c>
      <c r="M81" s="172" t="s">
        <v>1121</v>
      </c>
      <c r="N81" s="103" t="s">
        <v>1072</v>
      </c>
      <c r="O81" s="172">
        <v>0</v>
      </c>
      <c r="P81" s="172">
        <v>4</v>
      </c>
      <c r="Q81" s="103" t="s">
        <v>1033</v>
      </c>
      <c r="R81" s="103">
        <v>312030001</v>
      </c>
      <c r="S81" s="104" t="str">
        <f t="shared" si="40"/>
        <v>UITexture/TechBldg/312030001.png</v>
      </c>
      <c r="T81" s="172" t="s">
        <v>1158</v>
      </c>
      <c r="U81" s="104">
        <f t="shared" si="52"/>
        <v>0</v>
      </c>
      <c r="Y81" s="172">
        <f t="shared" si="42"/>
        <v>21</v>
      </c>
      <c r="Z81" s="172">
        <v>19</v>
      </c>
      <c r="AA81" s="172">
        <v>4</v>
      </c>
      <c r="AC81" s="102">
        <v>14</v>
      </c>
      <c r="AD81" s="102">
        <v>0</v>
      </c>
      <c r="AI81" s="104">
        <f t="shared" si="53"/>
        <v>60</v>
      </c>
      <c r="AL81" s="103">
        <v>1</v>
      </c>
      <c r="AN81" s="102">
        <v>700</v>
      </c>
      <c r="AO81" s="102">
        <v>35</v>
      </c>
      <c r="AP81" s="172">
        <v>0</v>
      </c>
      <c r="AR81" s="104">
        <f ca="1">IFERROR(OFFSET(ITEM_RES!$A$5,MATCH(AS81,ITEM_RES!$M$5:$M$84,0)-1,0),0)</f>
        <v>0</v>
      </c>
    </row>
    <row r="82" spans="1:62" x14ac:dyDescent="0.3">
      <c r="A82" s="107">
        <f t="shared" si="50"/>
        <v>312030008</v>
      </c>
      <c r="B82" s="106">
        <v>31</v>
      </c>
      <c r="C82" s="105">
        <f t="shared" si="51"/>
        <v>2</v>
      </c>
      <c r="D82" s="106">
        <v>3</v>
      </c>
      <c r="E82" s="106">
        <v>0</v>
      </c>
      <c r="F82" s="105">
        <f t="shared" si="44"/>
        <v>8</v>
      </c>
      <c r="H82" s="103">
        <v>2</v>
      </c>
      <c r="I82" s="105">
        <f t="shared" si="45"/>
        <v>203</v>
      </c>
      <c r="J82" s="172">
        <v>8</v>
      </c>
      <c r="L82" s="172" t="s">
        <v>1115</v>
      </c>
      <c r="M82" s="172" t="s">
        <v>1121</v>
      </c>
      <c r="N82" s="103" t="s">
        <v>1072</v>
      </c>
      <c r="O82" s="172">
        <v>0</v>
      </c>
      <c r="P82" s="172">
        <v>4</v>
      </c>
      <c r="Q82" s="103" t="s">
        <v>1033</v>
      </c>
      <c r="R82" s="103">
        <v>312030001</v>
      </c>
      <c r="S82" s="104" t="str">
        <f t="shared" si="40"/>
        <v>UITexture/TechBldg/312030001.png</v>
      </c>
      <c r="T82" s="172" t="s">
        <v>1158</v>
      </c>
      <c r="U82" s="104">
        <f t="shared" si="52"/>
        <v>0</v>
      </c>
      <c r="Y82" s="172">
        <f t="shared" si="42"/>
        <v>24</v>
      </c>
      <c r="Z82" s="172">
        <v>22</v>
      </c>
      <c r="AA82" s="172">
        <v>4</v>
      </c>
      <c r="AC82" s="102">
        <v>16</v>
      </c>
      <c r="AD82" s="102">
        <v>0</v>
      </c>
      <c r="AI82" s="104">
        <f t="shared" si="53"/>
        <v>60</v>
      </c>
      <c r="AL82" s="103">
        <v>1</v>
      </c>
      <c r="AN82" s="102">
        <v>800</v>
      </c>
      <c r="AO82" s="102">
        <v>40</v>
      </c>
      <c r="AP82" s="172">
        <v>0</v>
      </c>
      <c r="AR82" s="104">
        <f ca="1">IFERROR(OFFSET(ITEM_RES!$A$5,MATCH(AS82,ITEM_RES!$M$5:$M$84,0)-1,0),0)</f>
        <v>0</v>
      </c>
    </row>
    <row r="83" spans="1:62" x14ac:dyDescent="0.3">
      <c r="A83" s="107">
        <f t="shared" si="50"/>
        <v>312030009</v>
      </c>
      <c r="B83" s="106">
        <v>31</v>
      </c>
      <c r="C83" s="105">
        <f t="shared" si="51"/>
        <v>2</v>
      </c>
      <c r="D83" s="106">
        <v>3</v>
      </c>
      <c r="E83" s="106">
        <v>0</v>
      </c>
      <c r="F83" s="105">
        <f t="shared" si="44"/>
        <v>9</v>
      </c>
      <c r="H83" s="103">
        <v>2</v>
      </c>
      <c r="I83" s="105">
        <f t="shared" si="45"/>
        <v>203</v>
      </c>
      <c r="J83" s="172">
        <v>9</v>
      </c>
      <c r="L83" s="172" t="s">
        <v>1115</v>
      </c>
      <c r="M83" s="172" t="s">
        <v>1121</v>
      </c>
      <c r="N83" s="103" t="s">
        <v>1072</v>
      </c>
      <c r="O83" s="172">
        <v>0</v>
      </c>
      <c r="P83" s="172">
        <v>4</v>
      </c>
      <c r="Q83" s="103" t="s">
        <v>1033</v>
      </c>
      <c r="R83" s="103">
        <v>312030001</v>
      </c>
      <c r="S83" s="104" t="str">
        <f t="shared" si="40"/>
        <v>UITexture/TechBldg/312030001.png</v>
      </c>
      <c r="T83" s="172" t="s">
        <v>1158</v>
      </c>
      <c r="U83" s="104">
        <f t="shared" si="52"/>
        <v>0</v>
      </c>
      <c r="Y83" s="172">
        <f t="shared" si="42"/>
        <v>27</v>
      </c>
      <c r="Z83" s="172">
        <v>25</v>
      </c>
      <c r="AA83" s="172">
        <v>5</v>
      </c>
      <c r="AC83" s="102">
        <v>18</v>
      </c>
      <c r="AD83" s="102">
        <v>0</v>
      </c>
      <c r="AI83" s="104">
        <f t="shared" si="53"/>
        <v>60</v>
      </c>
      <c r="AL83" s="103">
        <v>1</v>
      </c>
      <c r="AN83" s="102">
        <v>900</v>
      </c>
      <c r="AO83" s="102">
        <v>45</v>
      </c>
      <c r="AP83" s="172">
        <v>0</v>
      </c>
      <c r="AR83" s="104">
        <f ca="1">IFERROR(OFFSET(ITEM_RES!$A$5,MATCH(AS83,ITEM_RES!$M$5:$M$84,0)-1,0),0)</f>
        <v>0</v>
      </c>
    </row>
    <row r="84" spans="1:62" x14ac:dyDescent="0.3">
      <c r="A84" s="107">
        <f t="shared" si="50"/>
        <v>312030010</v>
      </c>
      <c r="B84" s="106">
        <v>31</v>
      </c>
      <c r="C84" s="105">
        <f t="shared" si="51"/>
        <v>2</v>
      </c>
      <c r="D84" s="106">
        <v>3</v>
      </c>
      <c r="E84" s="106">
        <v>0</v>
      </c>
      <c r="F84" s="105">
        <f t="shared" si="44"/>
        <v>10</v>
      </c>
      <c r="H84" s="103">
        <v>2</v>
      </c>
      <c r="I84" s="105">
        <f t="shared" si="45"/>
        <v>203</v>
      </c>
      <c r="J84" s="172">
        <v>10</v>
      </c>
      <c r="L84" s="172" t="s">
        <v>1115</v>
      </c>
      <c r="M84" s="172" t="s">
        <v>1121</v>
      </c>
      <c r="N84" s="103" t="s">
        <v>1072</v>
      </c>
      <c r="O84" s="172">
        <v>0</v>
      </c>
      <c r="P84" s="172">
        <v>4</v>
      </c>
      <c r="Q84" s="103" t="s">
        <v>1033</v>
      </c>
      <c r="R84" s="103">
        <v>312030001</v>
      </c>
      <c r="S84" s="104" t="str">
        <f t="shared" si="40"/>
        <v>UITexture/TechBldg/312030001.png</v>
      </c>
      <c r="T84" s="172" t="s">
        <v>1158</v>
      </c>
      <c r="U84" s="104">
        <f t="shared" si="52"/>
        <v>0</v>
      </c>
      <c r="Y84" s="172">
        <v>30</v>
      </c>
      <c r="Z84" s="172">
        <v>28</v>
      </c>
      <c r="AA84" s="172">
        <v>5</v>
      </c>
      <c r="AC84" s="102">
        <v>20</v>
      </c>
      <c r="AD84" s="102">
        <v>0</v>
      </c>
      <c r="AI84" s="104">
        <f t="shared" si="53"/>
        <v>60</v>
      </c>
      <c r="AL84" s="103">
        <v>1</v>
      </c>
      <c r="AN84" s="102">
        <v>1000</v>
      </c>
      <c r="AO84" s="102">
        <v>50</v>
      </c>
      <c r="AP84" s="172">
        <v>0</v>
      </c>
      <c r="AR84" s="104">
        <f ca="1">IFERROR(OFFSET(ITEM_RES!$A$5,MATCH(AS84,ITEM_RES!$M$5:$M$84,0)-1,0),0)</f>
        <v>0</v>
      </c>
    </row>
    <row r="85" spans="1:62" x14ac:dyDescent="0.3">
      <c r="A85" s="107">
        <f t="shared" si="38"/>
        <v>312040001</v>
      </c>
      <c r="B85" s="106">
        <v>31</v>
      </c>
      <c r="C85" s="105">
        <f t="shared" si="39"/>
        <v>2</v>
      </c>
      <c r="D85" s="106">
        <v>4</v>
      </c>
      <c r="E85" s="106">
        <v>0</v>
      </c>
      <c r="F85" s="105">
        <f t="shared" si="44"/>
        <v>1</v>
      </c>
      <c r="H85" s="103">
        <v>2</v>
      </c>
      <c r="I85" s="105">
        <f t="shared" si="45"/>
        <v>204</v>
      </c>
      <c r="J85" s="172">
        <v>1</v>
      </c>
      <c r="L85" s="172" t="s">
        <v>1115</v>
      </c>
      <c r="M85" s="172" t="s">
        <v>1122</v>
      </c>
      <c r="N85" s="103" t="s">
        <v>1070</v>
      </c>
      <c r="O85" s="172">
        <v>1</v>
      </c>
      <c r="P85" s="172">
        <v>4</v>
      </c>
      <c r="Q85" s="103" t="s">
        <v>1033</v>
      </c>
      <c r="R85" s="103">
        <v>312040001</v>
      </c>
      <c r="S85" s="104" t="str">
        <f t="shared" si="40"/>
        <v>UITexture/TechBldg/312040001.png</v>
      </c>
      <c r="T85" s="172" t="s">
        <v>1158</v>
      </c>
      <c r="U85" s="104">
        <f t="shared" si="41"/>
        <v>4004</v>
      </c>
      <c r="V85" s="103">
        <v>4</v>
      </c>
      <c r="W85" s="103">
        <v>4</v>
      </c>
      <c r="Y85" s="172">
        <f t="shared" si="42"/>
        <v>3</v>
      </c>
      <c r="Z85" s="172">
        <v>1</v>
      </c>
      <c r="AA85" s="172">
        <v>1</v>
      </c>
      <c r="AC85" s="102">
        <v>2</v>
      </c>
      <c r="AD85" s="102">
        <v>0</v>
      </c>
      <c r="AI85" s="104">
        <f t="shared" si="43"/>
        <v>5</v>
      </c>
      <c r="AM85" s="103">
        <v>5</v>
      </c>
      <c r="AN85" s="102">
        <v>100</v>
      </c>
      <c r="AO85" s="102">
        <v>5</v>
      </c>
      <c r="AP85" s="172">
        <v>0</v>
      </c>
      <c r="AR85" s="104">
        <f ca="1">IFERROR(OFFSET(ITEM_RES!$A$5,MATCH(AS85,ITEM_RES!$M$5:$M$84,0)-1,0),0)</f>
        <v>0</v>
      </c>
    </row>
    <row r="86" spans="1:62" x14ac:dyDescent="0.3">
      <c r="A86" s="107">
        <f t="shared" si="38"/>
        <v>312040002</v>
      </c>
      <c r="B86" s="106">
        <v>31</v>
      </c>
      <c r="C86" s="105">
        <f t="shared" si="39"/>
        <v>2</v>
      </c>
      <c r="D86" s="106">
        <v>4</v>
      </c>
      <c r="E86" s="106">
        <v>0</v>
      </c>
      <c r="F86" s="105">
        <f t="shared" si="44"/>
        <v>2</v>
      </c>
      <c r="H86" s="103">
        <v>2</v>
      </c>
      <c r="I86" s="105">
        <f t="shared" si="45"/>
        <v>204</v>
      </c>
      <c r="J86" s="172">
        <v>2</v>
      </c>
      <c r="L86" s="172" t="s">
        <v>1115</v>
      </c>
      <c r="M86" s="172" t="s">
        <v>1122</v>
      </c>
      <c r="N86" s="103" t="s">
        <v>1070</v>
      </c>
      <c r="O86" s="172">
        <v>1</v>
      </c>
      <c r="P86" s="172">
        <v>4</v>
      </c>
      <c r="Q86" s="103" t="s">
        <v>1033</v>
      </c>
      <c r="R86" s="103">
        <v>312040001</v>
      </c>
      <c r="S86" s="104" t="str">
        <f t="shared" si="40"/>
        <v>UITexture/TechBldg/312040001.png</v>
      </c>
      <c r="T86" s="172" t="s">
        <v>1158</v>
      </c>
      <c r="U86" s="104">
        <f t="shared" si="41"/>
        <v>0</v>
      </c>
      <c r="Y86" s="172">
        <f t="shared" si="42"/>
        <v>6</v>
      </c>
      <c r="Z86" s="172">
        <v>4</v>
      </c>
      <c r="AA86" s="172">
        <v>1</v>
      </c>
      <c r="AC86" s="102">
        <v>4</v>
      </c>
      <c r="AD86" s="102">
        <v>0</v>
      </c>
      <c r="AI86" s="104">
        <f t="shared" si="43"/>
        <v>30</v>
      </c>
      <c r="AM86" s="103">
        <v>30</v>
      </c>
      <c r="AN86" s="102">
        <v>200</v>
      </c>
      <c r="AO86" s="102">
        <v>10</v>
      </c>
      <c r="AP86" s="172">
        <v>0</v>
      </c>
      <c r="AR86" s="104">
        <f ca="1">IFERROR(OFFSET(ITEM_RES!$A$5,MATCH(AS86,ITEM_RES!$M$5:$M$84,0)-1,0),0)</f>
        <v>0</v>
      </c>
    </row>
    <row r="87" spans="1:62" x14ac:dyDescent="0.3">
      <c r="A87" s="107">
        <f t="shared" si="38"/>
        <v>312040003</v>
      </c>
      <c r="B87" s="106">
        <v>31</v>
      </c>
      <c r="C87" s="105">
        <f t="shared" si="39"/>
        <v>2</v>
      </c>
      <c r="D87" s="106">
        <v>4</v>
      </c>
      <c r="E87" s="106">
        <v>0</v>
      </c>
      <c r="F87" s="105">
        <f t="shared" si="44"/>
        <v>3</v>
      </c>
      <c r="H87" s="103">
        <v>2</v>
      </c>
      <c r="I87" s="105">
        <f t="shared" si="45"/>
        <v>204</v>
      </c>
      <c r="J87" s="172">
        <v>3</v>
      </c>
      <c r="L87" s="172" t="s">
        <v>1115</v>
      </c>
      <c r="M87" s="172" t="s">
        <v>1122</v>
      </c>
      <c r="N87" s="103" t="s">
        <v>1070</v>
      </c>
      <c r="O87" s="172">
        <v>1</v>
      </c>
      <c r="P87" s="172">
        <v>4</v>
      </c>
      <c r="Q87" s="103" t="s">
        <v>1033</v>
      </c>
      <c r="R87" s="103">
        <v>312040001</v>
      </c>
      <c r="S87" s="104" t="str">
        <f t="shared" si="40"/>
        <v>UITexture/TechBldg/312040001.png</v>
      </c>
      <c r="T87" s="172" t="s">
        <v>1158</v>
      </c>
      <c r="U87" s="104">
        <f t="shared" si="41"/>
        <v>0</v>
      </c>
      <c r="Y87" s="172">
        <f t="shared" si="42"/>
        <v>9</v>
      </c>
      <c r="Z87" s="172">
        <v>7</v>
      </c>
      <c r="AA87" s="172">
        <v>2</v>
      </c>
      <c r="AC87" s="102">
        <v>7</v>
      </c>
      <c r="AD87" s="102">
        <v>0</v>
      </c>
      <c r="AI87" s="104">
        <f t="shared" si="43"/>
        <v>60</v>
      </c>
      <c r="AL87" s="103">
        <v>1</v>
      </c>
      <c r="AN87" s="102">
        <v>300</v>
      </c>
      <c r="AO87" s="102">
        <v>15</v>
      </c>
      <c r="AP87" s="172">
        <v>0</v>
      </c>
      <c r="AR87" s="104">
        <f ca="1">IFERROR(OFFSET(ITEM_RES!$A$5,MATCH(AS87,ITEM_RES!$M$5:$M$84,0)-1,0),0)</f>
        <v>0</v>
      </c>
    </row>
    <row r="88" spans="1:62" x14ac:dyDescent="0.3">
      <c r="A88" s="107">
        <f t="shared" si="38"/>
        <v>312040004</v>
      </c>
      <c r="B88" s="106">
        <v>31</v>
      </c>
      <c r="C88" s="105">
        <f t="shared" si="39"/>
        <v>2</v>
      </c>
      <c r="D88" s="106">
        <v>4</v>
      </c>
      <c r="E88" s="106">
        <v>0</v>
      </c>
      <c r="F88" s="105">
        <f t="shared" si="44"/>
        <v>4</v>
      </c>
      <c r="H88" s="103">
        <v>2</v>
      </c>
      <c r="I88" s="105">
        <f t="shared" si="45"/>
        <v>204</v>
      </c>
      <c r="J88" s="172">
        <v>4</v>
      </c>
      <c r="L88" s="172" t="s">
        <v>1115</v>
      </c>
      <c r="M88" s="172" t="s">
        <v>1122</v>
      </c>
      <c r="N88" s="103" t="s">
        <v>1070</v>
      </c>
      <c r="O88" s="172">
        <v>1</v>
      </c>
      <c r="P88" s="172">
        <v>4</v>
      </c>
      <c r="Q88" s="103" t="s">
        <v>1033</v>
      </c>
      <c r="R88" s="103">
        <v>312040001</v>
      </c>
      <c r="S88" s="104" t="str">
        <f t="shared" si="40"/>
        <v>UITexture/TechBldg/312040001.png</v>
      </c>
      <c r="T88" s="172" t="s">
        <v>1158</v>
      </c>
      <c r="U88" s="104">
        <f t="shared" si="41"/>
        <v>0</v>
      </c>
      <c r="Y88" s="172">
        <f t="shared" si="42"/>
        <v>12</v>
      </c>
      <c r="Z88" s="172">
        <v>10</v>
      </c>
      <c r="AA88" s="172">
        <v>2</v>
      </c>
      <c r="AC88" s="102">
        <v>9</v>
      </c>
      <c r="AD88" s="102">
        <v>0</v>
      </c>
      <c r="AI88" s="104">
        <f t="shared" si="43"/>
        <v>60</v>
      </c>
      <c r="AL88" s="103">
        <v>1</v>
      </c>
      <c r="AN88" s="102">
        <v>400</v>
      </c>
      <c r="AO88" s="102">
        <v>20</v>
      </c>
      <c r="AP88" s="172">
        <v>0</v>
      </c>
      <c r="AR88" s="104">
        <f ca="1">IFERROR(OFFSET(ITEM_RES!$A$5,MATCH(AS88,ITEM_RES!$M$5:$M$84,0)-1,0),0)</f>
        <v>0</v>
      </c>
    </row>
    <row r="89" spans="1:62" x14ac:dyDescent="0.3">
      <c r="A89" s="107">
        <f t="shared" si="38"/>
        <v>312040005</v>
      </c>
      <c r="B89" s="106">
        <v>31</v>
      </c>
      <c r="C89" s="105">
        <f t="shared" si="39"/>
        <v>2</v>
      </c>
      <c r="D89" s="106">
        <v>4</v>
      </c>
      <c r="E89" s="106">
        <v>0</v>
      </c>
      <c r="F89" s="105">
        <f t="shared" si="44"/>
        <v>5</v>
      </c>
      <c r="H89" s="103">
        <v>2</v>
      </c>
      <c r="I89" s="105">
        <f t="shared" si="45"/>
        <v>204</v>
      </c>
      <c r="J89" s="172">
        <v>5</v>
      </c>
      <c r="L89" s="172" t="s">
        <v>1115</v>
      </c>
      <c r="M89" s="172" t="s">
        <v>1122</v>
      </c>
      <c r="N89" s="103" t="s">
        <v>1070</v>
      </c>
      <c r="O89" s="172">
        <v>0</v>
      </c>
      <c r="P89" s="172">
        <v>4</v>
      </c>
      <c r="Q89" s="103" t="s">
        <v>1033</v>
      </c>
      <c r="R89" s="103">
        <v>312040001</v>
      </c>
      <c r="S89" s="104" t="str">
        <f t="shared" si="40"/>
        <v>UITexture/TechBldg/312040001.png</v>
      </c>
      <c r="T89" s="172" t="s">
        <v>1158</v>
      </c>
      <c r="U89" s="104">
        <f t="shared" si="41"/>
        <v>0</v>
      </c>
      <c r="Y89" s="172">
        <f t="shared" si="42"/>
        <v>15</v>
      </c>
      <c r="Z89" s="172">
        <v>13</v>
      </c>
      <c r="AA89" s="172">
        <v>3</v>
      </c>
      <c r="AC89" s="102">
        <v>12</v>
      </c>
      <c r="AD89" s="102">
        <v>0</v>
      </c>
      <c r="AI89" s="104">
        <f t="shared" si="43"/>
        <v>60</v>
      </c>
      <c r="AL89" s="103">
        <v>1</v>
      </c>
      <c r="AN89" s="102">
        <v>500</v>
      </c>
      <c r="AO89" s="102">
        <v>25</v>
      </c>
      <c r="AP89" s="172">
        <v>0</v>
      </c>
      <c r="AR89" s="104">
        <f ca="1">IFERROR(OFFSET(ITEM_RES!$A$5,MATCH(AS89,ITEM_RES!$M$5:$M$84,0)-1,0),0)</f>
        <v>0</v>
      </c>
    </row>
    <row r="90" spans="1:62" x14ac:dyDescent="0.3">
      <c r="A90" s="107">
        <f t="shared" ref="A90:A94" si="54">B90*10000000+C90*1000000+D90*10000+E90*100+F90</f>
        <v>312040006</v>
      </c>
      <c r="B90" s="106">
        <v>31</v>
      </c>
      <c r="C90" s="105">
        <f t="shared" ref="C90:C94" si="55">H90</f>
        <v>2</v>
      </c>
      <c r="D90" s="106">
        <v>4</v>
      </c>
      <c r="E90" s="106">
        <v>0</v>
      </c>
      <c r="F90" s="105">
        <f t="shared" si="44"/>
        <v>6</v>
      </c>
      <c r="H90" s="103">
        <v>2</v>
      </c>
      <c r="I90" s="105">
        <f t="shared" si="45"/>
        <v>204</v>
      </c>
      <c r="J90" s="172">
        <v>6</v>
      </c>
      <c r="L90" s="172" t="s">
        <v>1115</v>
      </c>
      <c r="M90" s="172" t="s">
        <v>1122</v>
      </c>
      <c r="N90" s="103" t="s">
        <v>1070</v>
      </c>
      <c r="O90" s="172">
        <v>0</v>
      </c>
      <c r="P90" s="172">
        <v>4</v>
      </c>
      <c r="Q90" s="103" t="s">
        <v>1033</v>
      </c>
      <c r="R90" s="103">
        <v>312040001</v>
      </c>
      <c r="S90" s="104" t="str">
        <f t="shared" si="40"/>
        <v>UITexture/TechBldg/312040001.png</v>
      </c>
      <c r="T90" s="172" t="s">
        <v>1158</v>
      </c>
      <c r="U90" s="104">
        <f t="shared" ref="U90:U94" si="56">V90*1000+W90</f>
        <v>0</v>
      </c>
      <c r="Y90" s="172">
        <f t="shared" si="42"/>
        <v>18</v>
      </c>
      <c r="Z90" s="172">
        <v>16</v>
      </c>
      <c r="AA90" s="172">
        <v>3</v>
      </c>
      <c r="AC90" s="102">
        <v>14</v>
      </c>
      <c r="AD90" s="102">
        <v>0</v>
      </c>
      <c r="AI90" s="104">
        <f t="shared" ref="AI90:AI94" si="57">((AJ90*24+AK90)*60+AL90)*60+AM90</f>
        <v>60</v>
      </c>
      <c r="AL90" s="103">
        <v>1</v>
      </c>
      <c r="AN90" s="102">
        <v>600</v>
      </c>
      <c r="AO90" s="102">
        <v>30</v>
      </c>
      <c r="AP90" s="172">
        <v>0</v>
      </c>
      <c r="AR90" s="104">
        <f ca="1">IFERROR(OFFSET(ITEM_RES!$A$5,MATCH(AS90,ITEM_RES!$M$5:$M$84,0)-1,0),0)</f>
        <v>0</v>
      </c>
    </row>
    <row r="91" spans="1:62" x14ac:dyDescent="0.3">
      <c r="A91" s="107">
        <f t="shared" si="54"/>
        <v>312040007</v>
      </c>
      <c r="B91" s="106">
        <v>31</v>
      </c>
      <c r="C91" s="105">
        <f t="shared" si="55"/>
        <v>2</v>
      </c>
      <c r="D91" s="106">
        <v>4</v>
      </c>
      <c r="E91" s="106">
        <v>0</v>
      </c>
      <c r="F91" s="105">
        <f t="shared" si="44"/>
        <v>7</v>
      </c>
      <c r="H91" s="103">
        <v>2</v>
      </c>
      <c r="I91" s="105">
        <f t="shared" si="45"/>
        <v>204</v>
      </c>
      <c r="J91" s="172">
        <v>7</v>
      </c>
      <c r="L91" s="172" t="s">
        <v>1115</v>
      </c>
      <c r="M91" s="172" t="s">
        <v>1122</v>
      </c>
      <c r="N91" s="103" t="s">
        <v>1070</v>
      </c>
      <c r="O91" s="172">
        <v>0</v>
      </c>
      <c r="P91" s="172">
        <v>4</v>
      </c>
      <c r="Q91" s="103" t="s">
        <v>1033</v>
      </c>
      <c r="R91" s="103">
        <v>312040001</v>
      </c>
      <c r="S91" s="104" t="str">
        <f t="shared" si="40"/>
        <v>UITexture/TechBldg/312040001.png</v>
      </c>
      <c r="T91" s="172" t="s">
        <v>1158</v>
      </c>
      <c r="U91" s="104">
        <f t="shared" si="56"/>
        <v>0</v>
      </c>
      <c r="Y91" s="172">
        <f t="shared" si="42"/>
        <v>21</v>
      </c>
      <c r="Z91" s="172">
        <v>19</v>
      </c>
      <c r="AA91" s="172">
        <v>4</v>
      </c>
      <c r="AC91" s="102">
        <v>17</v>
      </c>
      <c r="AD91" s="102">
        <v>0</v>
      </c>
      <c r="AI91" s="104">
        <f t="shared" si="57"/>
        <v>60</v>
      </c>
      <c r="AL91" s="103">
        <v>1</v>
      </c>
      <c r="AN91" s="102">
        <v>700</v>
      </c>
      <c r="AO91" s="102">
        <v>35</v>
      </c>
      <c r="AP91" s="172">
        <v>0</v>
      </c>
      <c r="AR91" s="104">
        <f ca="1">IFERROR(OFFSET(ITEM_RES!$A$5,MATCH(AS91,ITEM_RES!$M$5:$M$84,0)-1,0),0)</f>
        <v>0</v>
      </c>
    </row>
    <row r="92" spans="1:62" x14ac:dyDescent="0.3">
      <c r="A92" s="107">
        <f t="shared" si="54"/>
        <v>312040008</v>
      </c>
      <c r="B92" s="106">
        <v>31</v>
      </c>
      <c r="C92" s="105">
        <f t="shared" si="55"/>
        <v>2</v>
      </c>
      <c r="D92" s="106">
        <v>4</v>
      </c>
      <c r="E92" s="106">
        <v>0</v>
      </c>
      <c r="F92" s="105">
        <f t="shared" si="44"/>
        <v>8</v>
      </c>
      <c r="H92" s="103">
        <v>2</v>
      </c>
      <c r="I92" s="105">
        <f t="shared" si="45"/>
        <v>204</v>
      </c>
      <c r="J92" s="172">
        <v>8</v>
      </c>
      <c r="L92" s="172" t="s">
        <v>1115</v>
      </c>
      <c r="M92" s="172" t="s">
        <v>1122</v>
      </c>
      <c r="N92" s="103" t="s">
        <v>1070</v>
      </c>
      <c r="O92" s="172">
        <v>0</v>
      </c>
      <c r="P92" s="172">
        <v>4</v>
      </c>
      <c r="Q92" s="103" t="s">
        <v>1033</v>
      </c>
      <c r="R92" s="103">
        <v>312040001</v>
      </c>
      <c r="S92" s="104" t="str">
        <f t="shared" si="40"/>
        <v>UITexture/TechBldg/312040001.png</v>
      </c>
      <c r="T92" s="172" t="s">
        <v>1158</v>
      </c>
      <c r="U92" s="104">
        <f t="shared" si="56"/>
        <v>0</v>
      </c>
      <c r="Y92" s="172">
        <f t="shared" si="42"/>
        <v>24</v>
      </c>
      <c r="Z92" s="172">
        <v>22</v>
      </c>
      <c r="AA92" s="172">
        <v>4</v>
      </c>
      <c r="AC92" s="102">
        <v>19</v>
      </c>
      <c r="AD92" s="102">
        <v>0</v>
      </c>
      <c r="AI92" s="104">
        <f t="shared" si="57"/>
        <v>60</v>
      </c>
      <c r="AL92" s="103">
        <v>1</v>
      </c>
      <c r="AN92" s="102">
        <v>800</v>
      </c>
      <c r="AO92" s="102">
        <v>40</v>
      </c>
      <c r="AP92" s="172">
        <v>0</v>
      </c>
      <c r="AR92" s="104">
        <f ca="1">IFERROR(OFFSET(ITEM_RES!$A$5,MATCH(AS92,ITEM_RES!$M$5:$M$84,0)-1,0),0)</f>
        <v>0</v>
      </c>
    </row>
    <row r="93" spans="1:62" x14ac:dyDescent="0.3">
      <c r="A93" s="107">
        <f t="shared" si="54"/>
        <v>312040009</v>
      </c>
      <c r="B93" s="106">
        <v>31</v>
      </c>
      <c r="C93" s="105">
        <f t="shared" si="55"/>
        <v>2</v>
      </c>
      <c r="D93" s="106">
        <v>4</v>
      </c>
      <c r="E93" s="106">
        <v>0</v>
      </c>
      <c r="F93" s="105">
        <f t="shared" si="44"/>
        <v>9</v>
      </c>
      <c r="H93" s="103">
        <v>2</v>
      </c>
      <c r="I93" s="105">
        <f t="shared" si="45"/>
        <v>204</v>
      </c>
      <c r="J93" s="172">
        <v>9</v>
      </c>
      <c r="L93" s="172" t="s">
        <v>1115</v>
      </c>
      <c r="M93" s="172" t="s">
        <v>1122</v>
      </c>
      <c r="N93" s="103" t="s">
        <v>1070</v>
      </c>
      <c r="O93" s="172">
        <v>0</v>
      </c>
      <c r="P93" s="172">
        <v>4</v>
      </c>
      <c r="Q93" s="103" t="s">
        <v>1033</v>
      </c>
      <c r="R93" s="103">
        <v>312040001</v>
      </c>
      <c r="S93" s="104" t="str">
        <f t="shared" si="40"/>
        <v>UITexture/TechBldg/312040001.png</v>
      </c>
      <c r="T93" s="172" t="s">
        <v>1158</v>
      </c>
      <c r="U93" s="104">
        <f t="shared" si="56"/>
        <v>0</v>
      </c>
      <c r="Y93" s="172">
        <f t="shared" si="42"/>
        <v>27</v>
      </c>
      <c r="Z93" s="172">
        <v>25</v>
      </c>
      <c r="AA93" s="172">
        <v>5</v>
      </c>
      <c r="AC93" s="102">
        <v>22</v>
      </c>
      <c r="AD93" s="102">
        <v>0</v>
      </c>
      <c r="AI93" s="104">
        <f t="shared" si="57"/>
        <v>60</v>
      </c>
      <c r="AL93" s="103">
        <v>1</v>
      </c>
      <c r="AN93" s="102">
        <v>900</v>
      </c>
      <c r="AO93" s="102">
        <v>45</v>
      </c>
      <c r="AP93" s="172">
        <v>0</v>
      </c>
      <c r="AR93" s="104">
        <f ca="1">IFERROR(OFFSET(ITEM_RES!$A$5,MATCH(AS93,ITEM_RES!$M$5:$M$84,0)-1,0),0)</f>
        <v>0</v>
      </c>
    </row>
    <row r="94" spans="1:62" ht="17.25" thickBot="1" x14ac:dyDescent="0.35">
      <c r="A94" s="107">
        <f t="shared" si="54"/>
        <v>312040010</v>
      </c>
      <c r="B94" s="106">
        <v>31</v>
      </c>
      <c r="C94" s="105">
        <f t="shared" si="55"/>
        <v>2</v>
      </c>
      <c r="D94" s="106">
        <v>4</v>
      </c>
      <c r="E94" s="106">
        <v>0</v>
      </c>
      <c r="F94" s="105">
        <f t="shared" si="44"/>
        <v>10</v>
      </c>
      <c r="H94" s="103">
        <v>2</v>
      </c>
      <c r="I94" s="105">
        <f t="shared" si="45"/>
        <v>204</v>
      </c>
      <c r="J94" s="172">
        <v>10</v>
      </c>
      <c r="L94" s="172" t="s">
        <v>1115</v>
      </c>
      <c r="M94" s="172" t="s">
        <v>1122</v>
      </c>
      <c r="N94" s="103" t="s">
        <v>1070</v>
      </c>
      <c r="O94" s="172">
        <v>0</v>
      </c>
      <c r="P94" s="172">
        <v>4</v>
      </c>
      <c r="Q94" s="103" t="s">
        <v>1033</v>
      </c>
      <c r="R94" s="103">
        <v>312040001</v>
      </c>
      <c r="S94" s="104" t="str">
        <f t="shared" si="40"/>
        <v>UITexture/TechBldg/312040001.png</v>
      </c>
      <c r="T94" s="172" t="s">
        <v>1158</v>
      </c>
      <c r="U94" s="104">
        <f t="shared" si="56"/>
        <v>0</v>
      </c>
      <c r="Y94" s="172">
        <v>30</v>
      </c>
      <c r="Z94" s="172">
        <v>28</v>
      </c>
      <c r="AA94" s="172">
        <v>5</v>
      </c>
      <c r="AC94" s="102">
        <v>24</v>
      </c>
      <c r="AD94" s="102">
        <v>0</v>
      </c>
      <c r="AI94" s="104">
        <f t="shared" si="57"/>
        <v>60</v>
      </c>
      <c r="AL94" s="103">
        <v>1</v>
      </c>
      <c r="AN94" s="102">
        <v>1000</v>
      </c>
      <c r="AO94" s="102">
        <v>50</v>
      </c>
      <c r="AP94" s="172">
        <v>0</v>
      </c>
      <c r="AR94" s="104">
        <f ca="1">IFERROR(OFFSET(ITEM_RES!$A$5,MATCH(AS94,ITEM_RES!$M$5:$M$84,0)-1,0),0)</f>
        <v>0</v>
      </c>
    </row>
    <row r="95" spans="1:62" s="115" customFormat="1" x14ac:dyDescent="0.3">
      <c r="A95" s="121">
        <f t="shared" si="16"/>
        <v>313010001</v>
      </c>
      <c r="B95" s="120">
        <v>31</v>
      </c>
      <c r="C95" s="119">
        <f t="shared" si="17"/>
        <v>3</v>
      </c>
      <c r="D95" s="120">
        <v>1</v>
      </c>
      <c r="E95" s="120">
        <v>0</v>
      </c>
      <c r="F95" s="119">
        <f t="shared" si="44"/>
        <v>1</v>
      </c>
      <c r="G95" s="258"/>
      <c r="H95" s="117">
        <v>3</v>
      </c>
      <c r="I95" s="119">
        <f t="shared" si="45"/>
        <v>301</v>
      </c>
      <c r="J95" s="174">
        <v>1</v>
      </c>
      <c r="K95" s="258"/>
      <c r="L95" s="174" t="s">
        <v>1115</v>
      </c>
      <c r="M95" s="174" t="s">
        <v>745</v>
      </c>
      <c r="N95" s="117" t="s">
        <v>1071</v>
      </c>
      <c r="O95" s="174">
        <v>0</v>
      </c>
      <c r="P95" s="174">
        <v>4</v>
      </c>
      <c r="Q95" s="117" t="s">
        <v>1033</v>
      </c>
      <c r="R95" s="117">
        <v>313010001</v>
      </c>
      <c r="S95" s="118" t="str">
        <f t="shared" si="40"/>
        <v>UITexture/TechBldg/313010001.png</v>
      </c>
      <c r="T95" s="174"/>
      <c r="U95" s="118">
        <f t="shared" si="18"/>
        <v>0</v>
      </c>
      <c r="V95" s="117"/>
      <c r="W95" s="117"/>
      <c r="X95" s="258"/>
      <c r="Y95" s="174">
        <f t="shared" si="42"/>
        <v>1</v>
      </c>
      <c r="Z95" s="174">
        <v>1</v>
      </c>
      <c r="AA95" s="174">
        <v>1</v>
      </c>
      <c r="AB95" s="258"/>
      <c r="AC95" s="116">
        <v>0</v>
      </c>
      <c r="AD95" s="116">
        <v>0</v>
      </c>
      <c r="AE95" s="116"/>
      <c r="AF95" s="116"/>
      <c r="AG95" s="116"/>
      <c r="AH95" s="258"/>
      <c r="AI95" s="118">
        <f t="shared" si="19"/>
        <v>3</v>
      </c>
      <c r="AJ95" s="117"/>
      <c r="AK95" s="117"/>
      <c r="AL95" s="117"/>
      <c r="AM95" s="117">
        <v>3</v>
      </c>
      <c r="AN95" s="116">
        <v>100</v>
      </c>
      <c r="AO95" s="116">
        <v>1</v>
      </c>
      <c r="AP95" s="174">
        <v>0</v>
      </c>
      <c r="AQ95" s="118"/>
      <c r="AR95" s="118">
        <f ca="1">IFERROR(OFFSET(ITEM_RES!$A$5,MATCH(AS95,ITEM_RES!$M$5:$M$84,0)-1,0),0)</f>
        <v>0</v>
      </c>
      <c r="AS95" s="117"/>
      <c r="AT95" s="116"/>
      <c r="AU95" s="118"/>
      <c r="AV95" s="118"/>
      <c r="AW95" s="117"/>
      <c r="AX95" s="116"/>
      <c r="AY95" s="118"/>
      <c r="AZ95" s="118"/>
      <c r="BA95" s="117"/>
      <c r="BB95" s="116"/>
      <c r="BC95" s="118"/>
      <c r="BD95" s="118"/>
      <c r="BE95" s="117"/>
      <c r="BF95" s="116"/>
      <c r="BG95" s="118"/>
      <c r="BH95" s="118"/>
      <c r="BI95" s="117"/>
      <c r="BJ95" s="116"/>
    </row>
    <row r="96" spans="1:62" x14ac:dyDescent="0.3">
      <c r="A96" s="107">
        <f t="shared" si="16"/>
        <v>313010002</v>
      </c>
      <c r="B96" s="106">
        <v>31</v>
      </c>
      <c r="C96" s="105">
        <f t="shared" si="17"/>
        <v>3</v>
      </c>
      <c r="D96" s="106">
        <v>1</v>
      </c>
      <c r="E96" s="106">
        <v>0</v>
      </c>
      <c r="F96" s="105">
        <f t="shared" si="44"/>
        <v>2</v>
      </c>
      <c r="H96" s="103">
        <v>3</v>
      </c>
      <c r="I96" s="105">
        <f t="shared" si="45"/>
        <v>301</v>
      </c>
      <c r="J96" s="172">
        <v>2</v>
      </c>
      <c r="L96" s="172" t="s">
        <v>1115</v>
      </c>
      <c r="M96" s="172" t="s">
        <v>745</v>
      </c>
      <c r="N96" s="103" t="s">
        <v>1071</v>
      </c>
      <c r="O96" s="172">
        <v>0</v>
      </c>
      <c r="P96" s="172">
        <v>4</v>
      </c>
      <c r="Q96" s="103" t="s">
        <v>1033</v>
      </c>
      <c r="R96" s="103">
        <v>313010002</v>
      </c>
      <c r="S96" s="104" t="str">
        <f t="shared" si="40"/>
        <v>UITexture/TechBldg/313010002.png</v>
      </c>
      <c r="U96" s="104">
        <f t="shared" si="18"/>
        <v>0</v>
      </c>
      <c r="Y96" s="172">
        <f t="shared" si="42"/>
        <v>2</v>
      </c>
      <c r="Z96" s="172">
        <v>2</v>
      </c>
      <c r="AA96" s="172">
        <v>2</v>
      </c>
      <c r="AC96" s="102">
        <v>0</v>
      </c>
      <c r="AD96" s="102">
        <v>0</v>
      </c>
      <c r="AI96" s="104">
        <f t="shared" si="19"/>
        <v>3</v>
      </c>
      <c r="AM96" s="103">
        <v>3</v>
      </c>
      <c r="AN96" s="102">
        <v>100</v>
      </c>
      <c r="AO96" s="102">
        <v>1</v>
      </c>
      <c r="AP96" s="172">
        <v>0</v>
      </c>
      <c r="AR96" s="104">
        <f ca="1">IFERROR(OFFSET(ITEM_RES!$A$5,MATCH(AS96,ITEM_RES!$M$5:$M$84,0)-1,0),0)</f>
        <v>0</v>
      </c>
    </row>
    <row r="97" spans="1:62" x14ac:dyDescent="0.3">
      <c r="A97" s="107">
        <f t="shared" si="16"/>
        <v>313010003</v>
      </c>
      <c r="B97" s="106">
        <v>31</v>
      </c>
      <c r="C97" s="105">
        <f t="shared" si="17"/>
        <v>3</v>
      </c>
      <c r="D97" s="106">
        <v>1</v>
      </c>
      <c r="E97" s="106">
        <v>0</v>
      </c>
      <c r="F97" s="105">
        <f t="shared" si="44"/>
        <v>3</v>
      </c>
      <c r="H97" s="103">
        <v>3</v>
      </c>
      <c r="I97" s="105">
        <f t="shared" si="45"/>
        <v>301</v>
      </c>
      <c r="J97" s="172">
        <v>3</v>
      </c>
      <c r="L97" s="172" t="s">
        <v>1115</v>
      </c>
      <c r="M97" s="172" t="s">
        <v>745</v>
      </c>
      <c r="N97" s="103" t="s">
        <v>1071</v>
      </c>
      <c r="O97" s="172">
        <v>0</v>
      </c>
      <c r="P97" s="172">
        <v>4</v>
      </c>
      <c r="Q97" s="103" t="s">
        <v>1033</v>
      </c>
      <c r="R97" s="103">
        <v>313010003</v>
      </c>
      <c r="S97" s="104" t="str">
        <f t="shared" si="40"/>
        <v>UITexture/TechBldg/313010003.png</v>
      </c>
      <c r="U97" s="104">
        <f t="shared" si="18"/>
        <v>0</v>
      </c>
      <c r="Y97" s="172">
        <f t="shared" si="42"/>
        <v>3</v>
      </c>
      <c r="Z97" s="172">
        <v>3</v>
      </c>
      <c r="AA97" s="172">
        <v>3</v>
      </c>
      <c r="AC97" s="102">
        <v>0</v>
      </c>
      <c r="AD97" s="102">
        <v>0</v>
      </c>
      <c r="AI97" s="104">
        <f t="shared" si="19"/>
        <v>3</v>
      </c>
      <c r="AM97" s="103">
        <v>3</v>
      </c>
      <c r="AN97" s="102">
        <v>100</v>
      </c>
      <c r="AO97" s="102">
        <v>1</v>
      </c>
      <c r="AP97" s="172">
        <v>0</v>
      </c>
      <c r="AR97" s="104">
        <f ca="1">IFERROR(OFFSET(ITEM_RES!$A$5,MATCH(AS97,ITEM_RES!$M$5:$M$84,0)-1,0),0)</f>
        <v>0</v>
      </c>
    </row>
    <row r="98" spans="1:62" x14ac:dyDescent="0.3">
      <c r="A98" s="107">
        <f t="shared" si="16"/>
        <v>313010004</v>
      </c>
      <c r="B98" s="106">
        <v>31</v>
      </c>
      <c r="C98" s="105">
        <f t="shared" si="17"/>
        <v>3</v>
      </c>
      <c r="D98" s="106">
        <v>1</v>
      </c>
      <c r="E98" s="106">
        <v>0</v>
      </c>
      <c r="F98" s="105">
        <f t="shared" si="44"/>
        <v>4</v>
      </c>
      <c r="H98" s="103">
        <v>3</v>
      </c>
      <c r="I98" s="105">
        <f t="shared" si="45"/>
        <v>301</v>
      </c>
      <c r="J98" s="172">
        <v>4</v>
      </c>
      <c r="L98" s="172" t="s">
        <v>1115</v>
      </c>
      <c r="M98" s="172" t="s">
        <v>745</v>
      </c>
      <c r="N98" s="103" t="s">
        <v>1071</v>
      </c>
      <c r="O98" s="172">
        <v>0</v>
      </c>
      <c r="P98" s="172">
        <v>4</v>
      </c>
      <c r="Q98" s="103" t="s">
        <v>1033</v>
      </c>
      <c r="R98" s="103">
        <v>313010004</v>
      </c>
      <c r="S98" s="104" t="str">
        <f t="shared" si="40"/>
        <v>UITexture/TechBldg/313010004.png</v>
      </c>
      <c r="U98" s="104">
        <f t="shared" si="18"/>
        <v>0</v>
      </c>
      <c r="Y98" s="172">
        <f t="shared" si="42"/>
        <v>4</v>
      </c>
      <c r="Z98" s="172">
        <v>4</v>
      </c>
      <c r="AA98" s="172">
        <v>4</v>
      </c>
      <c r="AC98" s="102">
        <v>0</v>
      </c>
      <c r="AD98" s="102">
        <v>0</v>
      </c>
      <c r="AI98" s="104">
        <f t="shared" si="19"/>
        <v>3</v>
      </c>
      <c r="AM98" s="103">
        <v>3</v>
      </c>
      <c r="AN98" s="102">
        <v>100</v>
      </c>
      <c r="AO98" s="102">
        <v>1</v>
      </c>
      <c r="AP98" s="172">
        <v>0</v>
      </c>
      <c r="AR98" s="104">
        <f ca="1">IFERROR(OFFSET(ITEM_RES!$A$5,MATCH(AS98,ITEM_RES!$M$5:$M$84,0)-1,0),0)</f>
        <v>0</v>
      </c>
    </row>
    <row r="99" spans="1:62" s="108" customFormat="1" ht="17.25" thickBot="1" x14ac:dyDescent="0.35">
      <c r="A99" s="114">
        <f t="shared" si="16"/>
        <v>313010005</v>
      </c>
      <c r="B99" s="113">
        <v>31</v>
      </c>
      <c r="C99" s="112">
        <f t="shared" si="17"/>
        <v>3</v>
      </c>
      <c r="D99" s="113">
        <v>1</v>
      </c>
      <c r="E99" s="113">
        <v>0</v>
      </c>
      <c r="F99" s="112">
        <f t="shared" si="44"/>
        <v>5</v>
      </c>
      <c r="G99" s="259"/>
      <c r="H99" s="110">
        <v>3</v>
      </c>
      <c r="I99" s="112">
        <f t="shared" si="45"/>
        <v>301</v>
      </c>
      <c r="J99" s="175">
        <v>5</v>
      </c>
      <c r="K99" s="259"/>
      <c r="L99" s="175" t="s">
        <v>1115</v>
      </c>
      <c r="M99" s="175" t="s">
        <v>745</v>
      </c>
      <c r="N99" s="110" t="s">
        <v>1071</v>
      </c>
      <c r="O99" s="175">
        <v>0</v>
      </c>
      <c r="P99" s="175">
        <v>4</v>
      </c>
      <c r="Q99" s="110" t="s">
        <v>1033</v>
      </c>
      <c r="R99" s="110">
        <v>313010005</v>
      </c>
      <c r="S99" s="111" t="str">
        <f t="shared" si="40"/>
        <v>UITexture/TechBldg/313010005.png</v>
      </c>
      <c r="T99" s="175"/>
      <c r="U99" s="111">
        <f t="shared" si="18"/>
        <v>0</v>
      </c>
      <c r="V99" s="110"/>
      <c r="W99" s="110"/>
      <c r="X99" s="259"/>
      <c r="Y99" s="175">
        <v>5</v>
      </c>
      <c r="Z99" s="175">
        <v>5</v>
      </c>
      <c r="AA99" s="175">
        <v>5</v>
      </c>
      <c r="AB99" s="259"/>
      <c r="AC99" s="109">
        <v>0</v>
      </c>
      <c r="AD99" s="109">
        <v>0</v>
      </c>
      <c r="AE99" s="109"/>
      <c r="AF99" s="109"/>
      <c r="AG99" s="109"/>
      <c r="AH99" s="259"/>
      <c r="AI99" s="111">
        <f t="shared" si="19"/>
        <v>3</v>
      </c>
      <c r="AJ99" s="110"/>
      <c r="AK99" s="110"/>
      <c r="AL99" s="110"/>
      <c r="AM99" s="110">
        <v>3</v>
      </c>
      <c r="AN99" s="109">
        <v>100</v>
      </c>
      <c r="AO99" s="109">
        <v>1</v>
      </c>
      <c r="AP99" s="175">
        <v>0</v>
      </c>
      <c r="AQ99" s="111"/>
      <c r="AR99" s="111">
        <f ca="1">IFERROR(OFFSET(ITEM_RES!$A$5,MATCH(AS99,ITEM_RES!$M$5:$M$84,0)-1,0),0)</f>
        <v>0</v>
      </c>
      <c r="AS99" s="110"/>
      <c r="AT99" s="109"/>
      <c r="AU99" s="111"/>
      <c r="AV99" s="111"/>
      <c r="AW99" s="110"/>
      <c r="AX99" s="109"/>
      <c r="AY99" s="111"/>
      <c r="AZ99" s="111"/>
      <c r="BA99" s="110"/>
      <c r="BB99" s="109"/>
      <c r="BC99" s="111"/>
      <c r="BD99" s="111"/>
      <c r="BE99" s="110"/>
      <c r="BF99" s="109"/>
      <c r="BG99" s="111"/>
      <c r="BH99" s="111"/>
      <c r="BI99" s="110"/>
      <c r="BJ99" s="109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79998168889431442"/>
  </sheetPr>
  <dimension ref="A1:BU429"/>
  <sheetViews>
    <sheetView zoomScaleNormal="100" workbookViewId="0">
      <selection activeCell="AX380" sqref="AX380"/>
    </sheetView>
  </sheetViews>
  <sheetFormatPr defaultColWidth="20.75" defaultRowHeight="16.5" x14ac:dyDescent="0.3"/>
  <cols>
    <col min="1" max="1" width="12.875" style="107" bestFit="1" customWidth="1"/>
    <col min="2" max="2" width="14.25" style="106" bestFit="1" customWidth="1"/>
    <col min="3" max="3" width="9.875" style="105" bestFit="1" customWidth="1"/>
    <col min="4" max="5" width="2.625" style="106" bestFit="1" customWidth="1"/>
    <col min="6" max="6" width="9.875" style="105" bestFit="1" customWidth="1"/>
    <col min="7" max="7" width="5.625" style="257" bestFit="1" customWidth="1"/>
    <col min="8" max="8" width="19.875" style="103" bestFit="1" customWidth="1"/>
    <col min="9" max="9" width="31.125" style="105" bestFit="1" customWidth="1"/>
    <col min="10" max="10" width="15.125" style="172" bestFit="1" customWidth="1"/>
    <col min="11" max="11" width="5.625" style="257" customWidth="1"/>
    <col min="12" max="12" width="20.25" style="172" bestFit="1" customWidth="1"/>
    <col min="13" max="13" width="19.25" style="172" bestFit="1" customWidth="1"/>
    <col min="14" max="14" width="9.875" style="103" bestFit="1" customWidth="1"/>
    <col min="15" max="15" width="23.125" style="103" bestFit="1" customWidth="1"/>
    <col min="16" max="16" width="10" style="172" bestFit="1" customWidth="1"/>
    <col min="17" max="17" width="14.625" style="172" bestFit="1" customWidth="1"/>
    <col min="18" max="18" width="23.625" style="103" bestFit="1" customWidth="1"/>
    <col min="19" max="19" width="14.25" style="103" bestFit="1" customWidth="1"/>
    <col min="20" max="20" width="40.375" style="104" bestFit="1" customWidth="1"/>
    <col min="21" max="21" width="22.375" style="172" bestFit="1" customWidth="1"/>
    <col min="22" max="22" width="13.125" style="104" bestFit="1" customWidth="1"/>
    <col min="23" max="23" width="9.125" style="103" bestFit="1" customWidth="1"/>
    <col min="24" max="24" width="9" style="103" bestFit="1" customWidth="1"/>
    <col min="25" max="25" width="5.625" style="257" bestFit="1" customWidth="1"/>
    <col min="26" max="26" width="19.875" style="172" bestFit="1" customWidth="1"/>
    <col min="27" max="27" width="19.875" style="104" bestFit="1" customWidth="1"/>
    <col min="28" max="28" width="16.375" style="102" bestFit="1" customWidth="1"/>
    <col min="29" max="29" width="18.75" style="103" bestFit="1" customWidth="1"/>
    <col min="30" max="30" width="20" style="102" bestFit="1" customWidth="1"/>
    <col min="31" max="31" width="19.875" style="104" bestFit="1" customWidth="1"/>
    <col min="32" max="32" width="16.375" style="102" bestFit="1" customWidth="1"/>
    <col min="33" max="33" width="9.875" style="103" bestFit="1" customWidth="1"/>
    <col min="34" max="34" width="20" style="102" bestFit="1" customWidth="1"/>
    <col min="35" max="35" width="19.875" style="104" bestFit="1" customWidth="1"/>
    <col min="36" max="36" width="16.375" style="102" bestFit="1" customWidth="1"/>
    <col min="37" max="37" width="9.875" style="103" bestFit="1" customWidth="1"/>
    <col min="38" max="38" width="20" style="102" bestFit="1" customWidth="1"/>
    <col min="39" max="39" width="5.625" style="257" bestFit="1" customWidth="1"/>
    <col min="40" max="40" width="13.75" style="102" bestFit="1" customWidth="1"/>
    <col min="41" max="41" width="13.625" style="102" bestFit="1" customWidth="1"/>
    <col min="42" max="44" width="20.125" style="102" bestFit="1" customWidth="1"/>
    <col min="45" max="45" width="5.625" style="257" bestFit="1" customWidth="1"/>
    <col min="46" max="46" width="11.375" style="104" bestFit="1" customWidth="1"/>
    <col min="47" max="48" width="3.375" style="103" bestFit="1" customWidth="1"/>
    <col min="49" max="49" width="3.875" style="103" bestFit="1" customWidth="1"/>
    <col min="50" max="50" width="3.375" style="103" bestFit="1" customWidth="1"/>
    <col min="51" max="51" width="12" style="102" bestFit="1" customWidth="1"/>
    <col min="52" max="52" width="14.25" style="102" bestFit="1" customWidth="1"/>
    <col min="53" max="53" width="12" style="172" bestFit="1" customWidth="1"/>
    <col min="54" max="54" width="17.125" style="104" bestFit="1" customWidth="1"/>
    <col min="55" max="55" width="10" style="104" bestFit="1" customWidth="1"/>
    <col min="56" max="56" width="9.875" style="103" bestFit="1" customWidth="1"/>
    <col min="57" max="57" width="10.125" style="102" bestFit="1" customWidth="1"/>
    <col min="58" max="58" width="17.125" style="104" bestFit="1" customWidth="1"/>
    <col min="59" max="59" width="10" style="104" bestFit="1" customWidth="1"/>
    <col min="60" max="60" width="9.875" style="103" bestFit="1" customWidth="1"/>
    <col min="61" max="61" width="10.125" style="102" bestFit="1" customWidth="1"/>
    <col min="62" max="62" width="17.125" style="104" bestFit="1" customWidth="1"/>
    <col min="63" max="63" width="10" style="104" bestFit="1" customWidth="1"/>
    <col min="64" max="64" width="9.875" style="103" bestFit="1" customWidth="1"/>
    <col min="65" max="65" width="10.125" style="102" bestFit="1" customWidth="1"/>
    <col min="66" max="66" width="17.125" style="104" bestFit="1" customWidth="1"/>
    <col min="67" max="67" width="10" style="104" bestFit="1" customWidth="1"/>
    <col min="68" max="68" width="9.875" style="103" bestFit="1" customWidth="1"/>
    <col min="69" max="69" width="10.125" style="102" bestFit="1" customWidth="1"/>
    <col min="70" max="70" width="17.125" style="104" bestFit="1" customWidth="1"/>
    <col min="71" max="71" width="10" style="104" bestFit="1" customWidth="1"/>
    <col min="72" max="72" width="9.875" style="103" bestFit="1" customWidth="1"/>
    <col min="73" max="73" width="10.125" style="102" bestFit="1" customWidth="1"/>
    <col min="74" max="16384" width="20.75" style="101"/>
  </cols>
  <sheetData>
    <row r="1" spans="1:73" x14ac:dyDescent="0.3">
      <c r="A1" s="107" t="s">
        <v>59</v>
      </c>
      <c r="J1" s="172" t="s">
        <v>60</v>
      </c>
      <c r="L1" s="172" t="s">
        <v>60</v>
      </c>
      <c r="M1" s="172" t="s">
        <v>60</v>
      </c>
      <c r="P1" s="35" t="s">
        <v>60</v>
      </c>
      <c r="Q1" s="172" t="s">
        <v>60</v>
      </c>
      <c r="R1" s="84"/>
      <c r="S1" s="84"/>
      <c r="T1" s="104" t="s">
        <v>60</v>
      </c>
      <c r="U1" s="172" t="s">
        <v>60</v>
      </c>
      <c r="V1" s="104" t="s">
        <v>60</v>
      </c>
      <c r="Z1" s="183" t="s">
        <v>112</v>
      </c>
      <c r="AA1" s="136" t="s">
        <v>404</v>
      </c>
      <c r="AB1" s="134" t="s">
        <v>60</v>
      </c>
      <c r="AC1" s="135"/>
      <c r="AD1" s="134" t="s">
        <v>60</v>
      </c>
      <c r="AE1" s="136" t="s">
        <v>404</v>
      </c>
      <c r="AF1" s="134" t="s">
        <v>60</v>
      </c>
      <c r="AG1" s="135"/>
      <c r="AH1" s="134" t="s">
        <v>60</v>
      </c>
      <c r="AI1" s="136" t="s">
        <v>404</v>
      </c>
      <c r="AJ1" s="134" t="s">
        <v>60</v>
      </c>
      <c r="AK1" s="135"/>
      <c r="AL1" s="134" t="s">
        <v>60</v>
      </c>
      <c r="AN1" s="102" t="s">
        <v>60</v>
      </c>
      <c r="AO1" s="102" t="s">
        <v>112</v>
      </c>
      <c r="AP1" s="102" t="s">
        <v>60</v>
      </c>
      <c r="AQ1" s="102" t="s">
        <v>60</v>
      </c>
      <c r="AR1" s="102" t="s">
        <v>60</v>
      </c>
      <c r="AT1" s="136" t="s">
        <v>60</v>
      </c>
      <c r="AU1" s="135"/>
      <c r="AV1" s="135"/>
      <c r="AW1" s="135"/>
      <c r="AX1" s="135"/>
      <c r="AY1" s="102" t="s">
        <v>60</v>
      </c>
      <c r="AZ1" s="102" t="s">
        <v>60</v>
      </c>
      <c r="BA1" s="183" t="s">
        <v>112</v>
      </c>
      <c r="BB1" s="136" t="s">
        <v>404</v>
      </c>
      <c r="BC1" s="136" t="s">
        <v>60</v>
      </c>
      <c r="BD1" s="135"/>
      <c r="BE1" s="134" t="s">
        <v>60</v>
      </c>
      <c r="BF1" s="136" t="s">
        <v>404</v>
      </c>
      <c r="BG1" s="136" t="s">
        <v>60</v>
      </c>
      <c r="BH1" s="135"/>
      <c r="BI1" s="134" t="s">
        <v>60</v>
      </c>
      <c r="BJ1" s="136" t="s">
        <v>404</v>
      </c>
      <c r="BK1" s="136" t="s">
        <v>60</v>
      </c>
      <c r="BL1" s="135"/>
      <c r="BM1" s="134" t="s">
        <v>60</v>
      </c>
      <c r="BN1" s="136" t="s">
        <v>404</v>
      </c>
      <c r="BO1" s="136" t="s">
        <v>60</v>
      </c>
      <c r="BP1" s="135"/>
      <c r="BQ1" s="134" t="s">
        <v>60</v>
      </c>
      <c r="BR1" s="136" t="s">
        <v>404</v>
      </c>
      <c r="BS1" s="136" t="s">
        <v>60</v>
      </c>
      <c r="BT1" s="135"/>
      <c r="BU1" s="134" t="s">
        <v>60</v>
      </c>
    </row>
    <row r="2" spans="1:73" x14ac:dyDescent="0.3">
      <c r="A2" s="107" t="s">
        <v>61</v>
      </c>
      <c r="J2" s="172" t="s">
        <v>61</v>
      </c>
      <c r="L2" s="172" t="s">
        <v>62</v>
      </c>
      <c r="M2" s="172" t="s">
        <v>62</v>
      </c>
      <c r="P2" s="35" t="s">
        <v>61</v>
      </c>
      <c r="Q2" s="172" t="s">
        <v>61</v>
      </c>
      <c r="R2" s="84"/>
      <c r="S2" s="84"/>
      <c r="T2" s="104" t="s">
        <v>62</v>
      </c>
      <c r="U2" s="172" t="s">
        <v>62</v>
      </c>
      <c r="V2" s="104" t="s">
        <v>61</v>
      </c>
      <c r="Z2" s="184">
        <v>3</v>
      </c>
      <c r="AA2" s="133">
        <v>3</v>
      </c>
      <c r="AB2" s="131" t="s">
        <v>61</v>
      </c>
      <c r="AC2" s="132"/>
      <c r="AD2" s="131" t="s">
        <v>61</v>
      </c>
      <c r="AE2" s="133">
        <v>3</v>
      </c>
      <c r="AF2" s="131" t="s">
        <v>61</v>
      </c>
      <c r="AG2" s="132"/>
      <c r="AH2" s="131" t="s">
        <v>61</v>
      </c>
      <c r="AI2" s="133">
        <v>3</v>
      </c>
      <c r="AJ2" s="131" t="s">
        <v>61</v>
      </c>
      <c r="AK2" s="132"/>
      <c r="AL2" s="131" t="s">
        <v>61</v>
      </c>
      <c r="AN2" s="102" t="s">
        <v>61</v>
      </c>
      <c r="AO2" s="102">
        <v>3</v>
      </c>
      <c r="AP2" s="102" t="s">
        <v>61</v>
      </c>
      <c r="AQ2" s="102" t="s">
        <v>61</v>
      </c>
      <c r="AR2" s="102" t="s">
        <v>61</v>
      </c>
      <c r="AT2" s="133" t="s">
        <v>61</v>
      </c>
      <c r="AU2" s="132"/>
      <c r="AV2" s="132"/>
      <c r="AW2" s="132"/>
      <c r="AX2" s="132"/>
      <c r="AY2" s="102" t="s">
        <v>61</v>
      </c>
      <c r="AZ2" s="102" t="s">
        <v>61</v>
      </c>
      <c r="BA2" s="184">
        <v>5</v>
      </c>
      <c r="BB2" s="133">
        <v>3</v>
      </c>
      <c r="BC2" s="133" t="s">
        <v>61</v>
      </c>
      <c r="BD2" s="132"/>
      <c r="BE2" s="131" t="s">
        <v>61</v>
      </c>
      <c r="BF2" s="133">
        <v>3</v>
      </c>
      <c r="BG2" s="133" t="s">
        <v>61</v>
      </c>
      <c r="BH2" s="132"/>
      <c r="BI2" s="131" t="s">
        <v>61</v>
      </c>
      <c r="BJ2" s="133">
        <v>3</v>
      </c>
      <c r="BK2" s="133" t="s">
        <v>61</v>
      </c>
      <c r="BL2" s="132"/>
      <c r="BM2" s="131" t="s">
        <v>61</v>
      </c>
      <c r="BN2" s="133">
        <v>3</v>
      </c>
      <c r="BO2" s="133" t="s">
        <v>61</v>
      </c>
      <c r="BP2" s="132"/>
      <c r="BQ2" s="131" t="s">
        <v>61</v>
      </c>
      <c r="BR2" s="133">
        <v>3</v>
      </c>
      <c r="BS2" s="133" t="s">
        <v>61</v>
      </c>
      <c r="BT2" s="132"/>
      <c r="BU2" s="131" t="s">
        <v>61</v>
      </c>
    </row>
    <row r="3" spans="1:73" x14ac:dyDescent="0.3">
      <c r="A3" s="107" t="s">
        <v>360</v>
      </c>
      <c r="J3" s="172" t="s">
        <v>451</v>
      </c>
      <c r="L3" s="172" t="s">
        <v>976</v>
      </c>
      <c r="M3" s="172" t="s">
        <v>556</v>
      </c>
      <c r="P3" s="35" t="s">
        <v>552</v>
      </c>
      <c r="Q3" s="172" t="s">
        <v>764</v>
      </c>
      <c r="R3" s="84"/>
      <c r="S3" s="84"/>
      <c r="T3" s="104" t="s">
        <v>512</v>
      </c>
      <c r="U3" s="172" t="s">
        <v>567</v>
      </c>
      <c r="V3" s="104" t="s">
        <v>558</v>
      </c>
      <c r="Z3" s="184" t="s">
        <v>674</v>
      </c>
      <c r="AA3" s="133" t="s">
        <v>673</v>
      </c>
      <c r="AB3" s="131" t="s">
        <v>671</v>
      </c>
      <c r="AC3" s="132"/>
      <c r="AD3" s="131" t="s">
        <v>672</v>
      </c>
      <c r="AE3" s="133" t="s">
        <v>673</v>
      </c>
      <c r="AF3" s="131" t="s">
        <v>671</v>
      </c>
      <c r="AG3" s="132"/>
      <c r="AH3" s="131" t="s">
        <v>672</v>
      </c>
      <c r="AI3" s="133" t="s">
        <v>673</v>
      </c>
      <c r="AJ3" s="131" t="s">
        <v>671</v>
      </c>
      <c r="AK3" s="132"/>
      <c r="AL3" s="131" t="s">
        <v>672</v>
      </c>
      <c r="AN3" s="102" t="s">
        <v>661</v>
      </c>
      <c r="AO3" s="102" t="s">
        <v>560</v>
      </c>
      <c r="AP3" s="102" t="s">
        <v>560</v>
      </c>
      <c r="AQ3" s="102" t="s">
        <v>560</v>
      </c>
      <c r="AR3" s="102" t="s">
        <v>560</v>
      </c>
      <c r="AT3" s="133" t="s">
        <v>398</v>
      </c>
      <c r="AU3" s="132"/>
      <c r="AV3" s="132"/>
      <c r="AW3" s="132"/>
      <c r="AX3" s="132"/>
      <c r="AY3" s="102" t="s">
        <v>561</v>
      </c>
      <c r="AZ3" s="102" t="s">
        <v>729</v>
      </c>
      <c r="BA3" s="184" t="s">
        <v>409</v>
      </c>
      <c r="BB3" s="133" t="s">
        <v>410</v>
      </c>
      <c r="BC3" s="133" t="s">
        <v>397</v>
      </c>
      <c r="BD3" s="132"/>
      <c r="BE3" s="131" t="s">
        <v>396</v>
      </c>
      <c r="BF3" s="133" t="s">
        <v>410</v>
      </c>
      <c r="BG3" s="133" t="s">
        <v>397</v>
      </c>
      <c r="BH3" s="132"/>
      <c r="BI3" s="131" t="s">
        <v>396</v>
      </c>
      <c r="BJ3" s="133" t="s">
        <v>410</v>
      </c>
      <c r="BK3" s="133" t="s">
        <v>397</v>
      </c>
      <c r="BL3" s="132"/>
      <c r="BM3" s="131" t="s">
        <v>396</v>
      </c>
      <c r="BN3" s="133" t="s">
        <v>410</v>
      </c>
      <c r="BO3" s="133" t="s">
        <v>397</v>
      </c>
      <c r="BP3" s="132"/>
      <c r="BQ3" s="131" t="s">
        <v>396</v>
      </c>
      <c r="BR3" s="133" t="s">
        <v>410</v>
      </c>
      <c r="BS3" s="133" t="s">
        <v>397</v>
      </c>
      <c r="BT3" s="132"/>
      <c r="BU3" s="131" t="s">
        <v>396</v>
      </c>
    </row>
    <row r="4" spans="1:73" s="122" customFormat="1" ht="198.75" thickBot="1" x14ac:dyDescent="0.2">
      <c r="A4" s="122" t="s">
        <v>663</v>
      </c>
      <c r="B4" s="129" t="s">
        <v>664</v>
      </c>
      <c r="C4" s="130" t="s">
        <v>393</v>
      </c>
      <c r="D4" s="129"/>
      <c r="E4" s="129"/>
      <c r="F4" s="130" t="s">
        <v>452</v>
      </c>
      <c r="G4" s="254" t="s">
        <v>1015</v>
      </c>
      <c r="H4" s="187" t="s">
        <v>736</v>
      </c>
      <c r="I4" s="130" t="s">
        <v>762</v>
      </c>
      <c r="J4" s="173" t="s">
        <v>452</v>
      </c>
      <c r="K4" s="254" t="s">
        <v>1014</v>
      </c>
      <c r="L4" s="173" t="s">
        <v>975</v>
      </c>
      <c r="M4" s="173" t="s">
        <v>557</v>
      </c>
      <c r="N4" s="187" t="s">
        <v>392</v>
      </c>
      <c r="O4" s="187" t="s">
        <v>392</v>
      </c>
      <c r="P4" s="39" t="s">
        <v>553</v>
      </c>
      <c r="Q4" s="173" t="s">
        <v>765</v>
      </c>
      <c r="R4" s="216" t="s">
        <v>1011</v>
      </c>
      <c r="S4" s="216" t="s">
        <v>1010</v>
      </c>
      <c r="T4" s="176" t="s">
        <v>513</v>
      </c>
      <c r="U4" s="173" t="s">
        <v>568</v>
      </c>
      <c r="V4" s="176" t="s">
        <v>559</v>
      </c>
      <c r="W4" s="187" t="s">
        <v>569</v>
      </c>
      <c r="X4" s="187" t="s">
        <v>570</v>
      </c>
      <c r="Y4" s="254" t="s">
        <v>143</v>
      </c>
      <c r="Z4" s="185"/>
      <c r="AA4" s="125" t="s">
        <v>674</v>
      </c>
      <c r="AB4" s="123" t="s">
        <v>669</v>
      </c>
      <c r="AC4" s="124" t="s">
        <v>668</v>
      </c>
      <c r="AD4" s="123" t="s">
        <v>670</v>
      </c>
      <c r="AE4" s="125" t="s">
        <v>674</v>
      </c>
      <c r="AF4" s="123" t="s">
        <v>669</v>
      </c>
      <c r="AG4" s="124" t="s">
        <v>668</v>
      </c>
      <c r="AH4" s="123" t="s">
        <v>670</v>
      </c>
      <c r="AI4" s="125" t="s">
        <v>674</v>
      </c>
      <c r="AJ4" s="123" t="s">
        <v>669</v>
      </c>
      <c r="AK4" s="124" t="s">
        <v>668</v>
      </c>
      <c r="AL4" s="123" t="s">
        <v>670</v>
      </c>
      <c r="AM4" s="254" t="s">
        <v>682</v>
      </c>
      <c r="AN4" s="128" t="s">
        <v>662</v>
      </c>
      <c r="AO4" s="128"/>
      <c r="AP4" s="128" t="s">
        <v>475</v>
      </c>
      <c r="AQ4" s="128" t="s">
        <v>475</v>
      </c>
      <c r="AR4" s="128" t="s">
        <v>475</v>
      </c>
      <c r="AS4" s="254" t="s">
        <v>281</v>
      </c>
      <c r="AT4" s="126" t="s">
        <v>389</v>
      </c>
      <c r="AU4" s="127" t="s">
        <v>388</v>
      </c>
      <c r="AV4" s="127" t="s">
        <v>387</v>
      </c>
      <c r="AW4" s="127" t="s">
        <v>386</v>
      </c>
      <c r="AX4" s="127" t="s">
        <v>385</v>
      </c>
      <c r="AY4" s="128" t="s">
        <v>562</v>
      </c>
      <c r="AZ4" s="128" t="s">
        <v>730</v>
      </c>
      <c r="BA4" s="185"/>
      <c r="BB4" s="125" t="s">
        <v>409</v>
      </c>
      <c r="BC4" s="125" t="s">
        <v>384</v>
      </c>
      <c r="BD4" s="124" t="s">
        <v>383</v>
      </c>
      <c r="BE4" s="123" t="s">
        <v>382</v>
      </c>
      <c r="BF4" s="125" t="s">
        <v>409</v>
      </c>
      <c r="BG4" s="125" t="s">
        <v>384</v>
      </c>
      <c r="BH4" s="124" t="s">
        <v>383</v>
      </c>
      <c r="BI4" s="123" t="s">
        <v>382</v>
      </c>
      <c r="BJ4" s="125" t="s">
        <v>409</v>
      </c>
      <c r="BK4" s="125" t="s">
        <v>384</v>
      </c>
      <c r="BL4" s="124" t="s">
        <v>383</v>
      </c>
      <c r="BM4" s="123" t="s">
        <v>382</v>
      </c>
      <c r="BN4" s="125" t="s">
        <v>409</v>
      </c>
      <c r="BO4" s="125" t="s">
        <v>384</v>
      </c>
      <c r="BP4" s="124" t="s">
        <v>383</v>
      </c>
      <c r="BQ4" s="123" t="s">
        <v>382</v>
      </c>
      <c r="BR4" s="125" t="s">
        <v>409</v>
      </c>
      <c r="BS4" s="125" t="s">
        <v>384</v>
      </c>
      <c r="BT4" s="124" t="s">
        <v>383</v>
      </c>
      <c r="BU4" s="123" t="s">
        <v>382</v>
      </c>
    </row>
    <row r="5" spans="1:73" s="115" customFormat="1" x14ac:dyDescent="0.3">
      <c r="A5" s="121">
        <f t="shared" ref="A5:A136" si="0">B5*10000000+C5*1000000+D5*10000+E5*100+F5</f>
        <v>321010101</v>
      </c>
      <c r="B5" s="120">
        <v>32</v>
      </c>
      <c r="C5" s="119">
        <f t="shared" ref="C5:C14" si="1">H5</f>
        <v>1</v>
      </c>
      <c r="D5" s="120">
        <v>1</v>
      </c>
      <c r="E5" s="120">
        <v>1</v>
      </c>
      <c r="F5" s="119">
        <f t="shared" ref="F5:F68" si="2">J5</f>
        <v>1</v>
      </c>
      <c r="G5" s="258"/>
      <c r="H5" s="117">
        <v>1</v>
      </c>
      <c r="I5" s="119">
        <f>C5*100+D5</f>
        <v>101</v>
      </c>
      <c r="J5" s="174">
        <v>1</v>
      </c>
      <c r="K5" s="258"/>
      <c r="L5" s="174"/>
      <c r="M5" s="174"/>
      <c r="N5" s="117" t="s">
        <v>378</v>
      </c>
      <c r="O5" s="117" t="s">
        <v>378</v>
      </c>
      <c r="P5" s="174">
        <v>0</v>
      </c>
      <c r="Q5" s="174"/>
      <c r="R5" s="117" t="s">
        <v>1031</v>
      </c>
      <c r="S5" s="117">
        <v>321010101</v>
      </c>
      <c r="T5" s="118" t="str">
        <f>CONCATENATE(R5,S5,".png")</f>
        <v>UITexture/TechProd/321010101.png</v>
      </c>
      <c r="U5" s="174"/>
      <c r="V5" s="118">
        <f t="shared" ref="V5:V14" si="3">W5*1000+X5</f>
        <v>0</v>
      </c>
      <c r="W5" s="117"/>
      <c r="X5" s="117"/>
      <c r="Y5" s="258"/>
      <c r="Z5" s="174">
        <v>0</v>
      </c>
      <c r="AA5" s="118"/>
      <c r="AB5" s="116">
        <f ca="1">IFERROR(OFFSET(BLDG_FUNC_PARAM!$A$5,MATCH(AC5,BLDG_FUNC_PARAM!$J$5:$J$68,0)-1,0),0)</f>
        <v>0</v>
      </c>
      <c r="AC5" s="117"/>
      <c r="AD5" s="116"/>
      <c r="AE5" s="118"/>
      <c r="AF5" s="116"/>
      <c r="AG5" s="117"/>
      <c r="AH5" s="116"/>
      <c r="AI5" s="118"/>
      <c r="AJ5" s="116"/>
      <c r="AK5" s="117"/>
      <c r="AL5" s="116"/>
      <c r="AM5" s="258"/>
      <c r="AN5" s="116">
        <v>0</v>
      </c>
      <c r="AO5" s="116">
        <v>0</v>
      </c>
      <c r="AP5" s="116"/>
      <c r="AQ5" s="116"/>
      <c r="AR5" s="116"/>
      <c r="AS5" s="258"/>
      <c r="AT5" s="118">
        <f t="shared" ref="AT5:AT14" si="4">((AU5*24+AV5)*60+AW5)*60+AX5</f>
        <v>3</v>
      </c>
      <c r="AU5" s="117"/>
      <c r="AV5" s="117"/>
      <c r="AW5" s="117"/>
      <c r="AX5" s="117">
        <v>3</v>
      </c>
      <c r="AY5" s="116">
        <v>100</v>
      </c>
      <c r="AZ5" s="116">
        <v>1</v>
      </c>
      <c r="BA5" s="174">
        <v>0</v>
      </c>
      <c r="BB5" s="118"/>
      <c r="BC5" s="118">
        <f ca="1">IFERROR(OFFSET(ITEM_RES!$A$5,MATCH(BD5,ITEM_RES!$M$5:$M$84,0)-1,0),0)</f>
        <v>0</v>
      </c>
      <c r="BD5" s="117"/>
      <c r="BE5" s="116"/>
      <c r="BF5" s="118"/>
      <c r="BG5" s="118"/>
      <c r="BH5" s="117"/>
      <c r="BI5" s="116"/>
      <c r="BJ5" s="118"/>
      <c r="BK5" s="118"/>
      <c r="BL5" s="117"/>
      <c r="BM5" s="116"/>
      <c r="BN5" s="118"/>
      <c r="BO5" s="118"/>
      <c r="BP5" s="117"/>
      <c r="BQ5" s="116"/>
      <c r="BR5" s="118"/>
      <c r="BS5" s="118"/>
      <c r="BT5" s="117"/>
      <c r="BU5" s="116"/>
    </row>
    <row r="6" spans="1:73" x14ac:dyDescent="0.3">
      <c r="A6" s="107">
        <f t="shared" si="0"/>
        <v>321010102</v>
      </c>
      <c r="B6" s="106">
        <v>32</v>
      </c>
      <c r="C6" s="105">
        <f t="shared" si="1"/>
        <v>1</v>
      </c>
      <c r="D6" s="106">
        <v>1</v>
      </c>
      <c r="E6" s="106">
        <v>1</v>
      </c>
      <c r="F6" s="105">
        <f t="shared" si="2"/>
        <v>2</v>
      </c>
      <c r="H6" s="103">
        <v>1</v>
      </c>
      <c r="I6" s="105">
        <f t="shared" ref="I6:I429" si="5">C6*100+D6</f>
        <v>101</v>
      </c>
      <c r="J6" s="172">
        <v>2</v>
      </c>
      <c r="N6" s="103" t="s">
        <v>378</v>
      </c>
      <c r="O6" s="103" t="s">
        <v>378</v>
      </c>
      <c r="P6" s="172">
        <v>0</v>
      </c>
      <c r="R6" s="103" t="s">
        <v>1031</v>
      </c>
      <c r="S6" s="103">
        <v>321010102</v>
      </c>
      <c r="T6" s="104" t="str">
        <f t="shared" ref="T6:T69" si="6">CONCATENATE(R6,S6,".png")</f>
        <v>UITexture/TechProd/321010102.png</v>
      </c>
      <c r="V6" s="104">
        <f t="shared" si="3"/>
        <v>0</v>
      </c>
      <c r="Z6" s="172">
        <v>0</v>
      </c>
      <c r="AB6" s="102">
        <f ca="1">IFERROR(OFFSET(BLDG_FUNC_PARAM!$A$5,MATCH(AC6,BLDG_FUNC_PARAM!$J$5:$J$68,0)-1,0),0)</f>
        <v>0</v>
      </c>
      <c r="AN6" s="102">
        <v>0</v>
      </c>
      <c r="AO6" s="102">
        <v>0</v>
      </c>
      <c r="AT6" s="104">
        <f t="shared" si="4"/>
        <v>3</v>
      </c>
      <c r="AX6" s="103">
        <v>3</v>
      </c>
      <c r="AY6" s="102">
        <v>100</v>
      </c>
      <c r="AZ6" s="102">
        <v>1</v>
      </c>
      <c r="BA6" s="172">
        <v>0</v>
      </c>
      <c r="BC6" s="104">
        <f ca="1">IFERROR(OFFSET(ITEM_RES!$A$5,MATCH(BD6,ITEM_RES!$M$5:$M$84,0)-1,0),0)</f>
        <v>0</v>
      </c>
    </row>
    <row r="7" spans="1:73" x14ac:dyDescent="0.3">
      <c r="A7" s="107">
        <f t="shared" si="0"/>
        <v>321010103</v>
      </c>
      <c r="B7" s="106">
        <v>32</v>
      </c>
      <c r="C7" s="105">
        <f t="shared" si="1"/>
        <v>1</v>
      </c>
      <c r="D7" s="106">
        <v>1</v>
      </c>
      <c r="E7" s="106">
        <v>1</v>
      </c>
      <c r="F7" s="105">
        <f t="shared" si="2"/>
        <v>3</v>
      </c>
      <c r="H7" s="103">
        <v>1</v>
      </c>
      <c r="I7" s="105">
        <f t="shared" si="5"/>
        <v>101</v>
      </c>
      <c r="J7" s="172">
        <v>3</v>
      </c>
      <c r="N7" s="103" t="s">
        <v>378</v>
      </c>
      <c r="O7" s="103" t="s">
        <v>378</v>
      </c>
      <c r="P7" s="172">
        <v>0</v>
      </c>
      <c r="R7" s="103" t="s">
        <v>1031</v>
      </c>
      <c r="S7" s="103">
        <v>321010103</v>
      </c>
      <c r="T7" s="104" t="str">
        <f t="shared" si="6"/>
        <v>UITexture/TechProd/321010103.png</v>
      </c>
      <c r="V7" s="104">
        <f t="shared" si="3"/>
        <v>0</v>
      </c>
      <c r="Z7" s="172">
        <v>0</v>
      </c>
      <c r="AB7" s="102">
        <f ca="1">IFERROR(OFFSET(BLDG_FUNC_PARAM!$A$5,MATCH(AC7,BLDG_FUNC_PARAM!$J$5:$J$68,0)-1,0),0)</f>
        <v>0</v>
      </c>
      <c r="AN7" s="102">
        <v>0</v>
      </c>
      <c r="AO7" s="102">
        <v>0</v>
      </c>
      <c r="AT7" s="104">
        <f t="shared" si="4"/>
        <v>3</v>
      </c>
      <c r="AX7" s="103">
        <v>3</v>
      </c>
      <c r="AY7" s="102">
        <v>100</v>
      </c>
      <c r="AZ7" s="102">
        <v>1</v>
      </c>
      <c r="BA7" s="172">
        <v>0</v>
      </c>
      <c r="BC7" s="104">
        <f ca="1">IFERROR(OFFSET(ITEM_RES!$A$5,MATCH(BD7,ITEM_RES!$M$5:$M$84,0)-1,0),0)</f>
        <v>0</v>
      </c>
    </row>
    <row r="8" spans="1:73" x14ac:dyDescent="0.3">
      <c r="A8" s="107">
        <f t="shared" si="0"/>
        <v>321010104</v>
      </c>
      <c r="B8" s="106">
        <v>32</v>
      </c>
      <c r="C8" s="105">
        <f t="shared" si="1"/>
        <v>1</v>
      </c>
      <c r="D8" s="106">
        <v>1</v>
      </c>
      <c r="E8" s="106">
        <v>1</v>
      </c>
      <c r="F8" s="105">
        <f t="shared" si="2"/>
        <v>4</v>
      </c>
      <c r="H8" s="103">
        <v>1</v>
      </c>
      <c r="I8" s="105">
        <f t="shared" si="5"/>
        <v>101</v>
      </c>
      <c r="J8" s="172">
        <v>4</v>
      </c>
      <c r="N8" s="103" t="s">
        <v>378</v>
      </c>
      <c r="O8" s="103" t="s">
        <v>378</v>
      </c>
      <c r="P8" s="172">
        <v>0</v>
      </c>
      <c r="R8" s="103" t="s">
        <v>1031</v>
      </c>
      <c r="S8" s="103">
        <v>321010104</v>
      </c>
      <c r="T8" s="104" t="str">
        <f t="shared" si="6"/>
        <v>UITexture/TechProd/321010104.png</v>
      </c>
      <c r="V8" s="104">
        <f t="shared" si="3"/>
        <v>0</v>
      </c>
      <c r="Z8" s="172">
        <v>0</v>
      </c>
      <c r="AB8" s="102">
        <f ca="1">IFERROR(OFFSET(BLDG_FUNC_PARAM!$A$5,MATCH(AC8,BLDG_FUNC_PARAM!$J$5:$J$68,0)-1,0),0)</f>
        <v>0</v>
      </c>
      <c r="AN8" s="102">
        <v>0</v>
      </c>
      <c r="AO8" s="102">
        <v>0</v>
      </c>
      <c r="AT8" s="104">
        <f t="shared" si="4"/>
        <v>3</v>
      </c>
      <c r="AX8" s="103">
        <v>3</v>
      </c>
      <c r="AY8" s="102">
        <v>100</v>
      </c>
      <c r="AZ8" s="102">
        <v>1</v>
      </c>
      <c r="BA8" s="172">
        <v>0</v>
      </c>
      <c r="BC8" s="104">
        <f ca="1">IFERROR(OFFSET(ITEM_RES!$A$5,MATCH(BD8,ITEM_RES!$M$5:$M$84,0)-1,0),0)</f>
        <v>0</v>
      </c>
    </row>
    <row r="9" spans="1:73" ht="17.25" thickBot="1" x14ac:dyDescent="0.35">
      <c r="A9" s="107">
        <f t="shared" si="0"/>
        <v>321010105</v>
      </c>
      <c r="B9" s="106">
        <v>32</v>
      </c>
      <c r="C9" s="105">
        <f t="shared" si="1"/>
        <v>1</v>
      </c>
      <c r="D9" s="106">
        <v>1</v>
      </c>
      <c r="E9" s="106">
        <v>1</v>
      </c>
      <c r="F9" s="105">
        <f t="shared" si="2"/>
        <v>5</v>
      </c>
      <c r="H9" s="103">
        <v>1</v>
      </c>
      <c r="I9" s="105">
        <f t="shared" si="5"/>
        <v>101</v>
      </c>
      <c r="J9" s="172">
        <v>5</v>
      </c>
      <c r="N9" s="103" t="s">
        <v>378</v>
      </c>
      <c r="O9" s="103" t="s">
        <v>378</v>
      </c>
      <c r="P9" s="172">
        <v>0</v>
      </c>
      <c r="R9" s="103" t="s">
        <v>1031</v>
      </c>
      <c r="S9" s="103">
        <v>321010105</v>
      </c>
      <c r="T9" s="104" t="str">
        <f t="shared" si="6"/>
        <v>UITexture/TechProd/321010105.png</v>
      </c>
      <c r="V9" s="104">
        <f t="shared" si="3"/>
        <v>0</v>
      </c>
      <c r="Z9" s="172">
        <v>0</v>
      </c>
      <c r="AB9" s="102">
        <f ca="1">IFERROR(OFFSET(BLDG_FUNC_PARAM!$A$5,MATCH(AC9,BLDG_FUNC_PARAM!$J$5:$J$68,0)-1,0),0)</f>
        <v>0</v>
      </c>
      <c r="AN9" s="102">
        <v>0</v>
      </c>
      <c r="AO9" s="102">
        <v>0</v>
      </c>
      <c r="AT9" s="104">
        <f t="shared" si="4"/>
        <v>3</v>
      </c>
      <c r="AX9" s="103">
        <v>3</v>
      </c>
      <c r="AY9" s="102">
        <v>100</v>
      </c>
      <c r="AZ9" s="102">
        <v>1</v>
      </c>
      <c r="BA9" s="172">
        <v>0</v>
      </c>
      <c r="BC9" s="104">
        <f ca="1">IFERROR(OFFSET(ITEM_RES!$A$5,MATCH(BD9,ITEM_RES!$M$5:$M$84,0)-1,0),0)</f>
        <v>0</v>
      </c>
    </row>
    <row r="10" spans="1:73" s="115" customFormat="1" x14ac:dyDescent="0.3">
      <c r="A10" s="121">
        <f t="shared" si="0"/>
        <v>321020101</v>
      </c>
      <c r="B10" s="120">
        <v>32</v>
      </c>
      <c r="C10" s="119">
        <f t="shared" si="1"/>
        <v>1</v>
      </c>
      <c r="D10" s="120">
        <v>2</v>
      </c>
      <c r="E10" s="120">
        <v>1</v>
      </c>
      <c r="F10" s="119">
        <f t="shared" si="2"/>
        <v>1</v>
      </c>
      <c r="G10" s="258"/>
      <c r="H10" s="117">
        <v>1</v>
      </c>
      <c r="I10" s="119">
        <f t="shared" si="5"/>
        <v>102</v>
      </c>
      <c r="J10" s="174">
        <v>1</v>
      </c>
      <c r="K10" s="258"/>
      <c r="L10" s="174" t="s">
        <v>1115</v>
      </c>
      <c r="M10" s="174" t="s">
        <v>1123</v>
      </c>
      <c r="N10" s="117" t="s">
        <v>2</v>
      </c>
      <c r="O10" s="117" t="s">
        <v>1073</v>
      </c>
      <c r="P10" s="174">
        <v>1</v>
      </c>
      <c r="Q10" s="174">
        <v>12</v>
      </c>
      <c r="R10" s="117" t="s">
        <v>1031</v>
      </c>
      <c r="S10" s="117">
        <v>321020101</v>
      </c>
      <c r="T10" s="118" t="str">
        <f t="shared" si="6"/>
        <v>UITexture/TechProd/321020101.png</v>
      </c>
      <c r="U10" s="174" t="s">
        <v>1138</v>
      </c>
      <c r="V10" s="118">
        <f t="shared" si="3"/>
        <v>2004</v>
      </c>
      <c r="W10" s="117">
        <v>2</v>
      </c>
      <c r="X10" s="117">
        <v>4</v>
      </c>
      <c r="Y10" s="258"/>
      <c r="Z10" s="174">
        <v>1</v>
      </c>
      <c r="AA10" s="118"/>
      <c r="AB10" s="116">
        <f ca="1">IFERROR(OFFSET(BLDG_FUNC_PARAM!$A$5,MATCH(AC10,BLDG_FUNC_PARAM!$J$5:$J$68,0)-1,0),0)</f>
        <v>121020001</v>
      </c>
      <c r="AC10" s="117" t="s">
        <v>957</v>
      </c>
      <c r="AD10" s="116">
        <v>5</v>
      </c>
      <c r="AE10" s="118"/>
      <c r="AF10" s="116"/>
      <c r="AG10" s="117"/>
      <c r="AH10" s="116"/>
      <c r="AI10" s="118"/>
      <c r="AJ10" s="116"/>
      <c r="AK10" s="117"/>
      <c r="AL10" s="116"/>
      <c r="AM10" s="258"/>
      <c r="AN10" s="116">
        <v>3</v>
      </c>
      <c r="AO10" s="116">
        <v>0</v>
      </c>
      <c r="AP10" s="116"/>
      <c r="AQ10" s="116"/>
      <c r="AR10" s="116"/>
      <c r="AS10" s="258"/>
      <c r="AT10" s="118">
        <f t="shared" si="4"/>
        <v>60</v>
      </c>
      <c r="AU10" s="117"/>
      <c r="AV10" s="117"/>
      <c r="AW10" s="117">
        <v>1</v>
      </c>
      <c r="AX10" s="117"/>
      <c r="AY10" s="116">
        <v>100</v>
      </c>
      <c r="AZ10" s="116">
        <v>10</v>
      </c>
      <c r="BA10" s="174">
        <v>0</v>
      </c>
      <c r="BB10" s="118"/>
      <c r="BC10" s="118">
        <f ca="1">IFERROR(OFFSET(ITEM_RES!$A$5,MATCH(BD10,ITEM_RES!$M$5:$M$84,0)-1,0),0)</f>
        <v>0</v>
      </c>
      <c r="BD10" s="117"/>
      <c r="BE10" s="116"/>
      <c r="BF10" s="118"/>
      <c r="BG10" s="118"/>
      <c r="BH10" s="117"/>
      <c r="BI10" s="116"/>
      <c r="BJ10" s="118"/>
      <c r="BK10" s="118"/>
      <c r="BL10" s="117"/>
      <c r="BM10" s="116"/>
      <c r="BN10" s="118"/>
      <c r="BO10" s="118"/>
      <c r="BP10" s="117"/>
      <c r="BQ10" s="116"/>
      <c r="BR10" s="118"/>
      <c r="BS10" s="118"/>
      <c r="BT10" s="117"/>
      <c r="BU10" s="116"/>
    </row>
    <row r="11" spans="1:73" x14ac:dyDescent="0.3">
      <c r="A11" s="107">
        <f t="shared" si="0"/>
        <v>321020102</v>
      </c>
      <c r="B11" s="106">
        <v>32</v>
      </c>
      <c r="C11" s="105">
        <f t="shared" si="1"/>
        <v>1</v>
      </c>
      <c r="D11" s="106">
        <v>2</v>
      </c>
      <c r="E11" s="106">
        <v>1</v>
      </c>
      <c r="F11" s="105">
        <f t="shared" si="2"/>
        <v>2</v>
      </c>
      <c r="H11" s="103">
        <v>1</v>
      </c>
      <c r="I11" s="105">
        <f t="shared" si="5"/>
        <v>102</v>
      </c>
      <c r="J11" s="172">
        <v>2</v>
      </c>
      <c r="L11" s="172" t="s">
        <v>1115</v>
      </c>
      <c r="M11" s="172" t="s">
        <v>1123</v>
      </c>
      <c r="N11" s="103" t="s">
        <v>2</v>
      </c>
      <c r="O11" s="103" t="s">
        <v>1073</v>
      </c>
      <c r="P11" s="172">
        <v>1</v>
      </c>
      <c r="Q11" s="172">
        <v>12</v>
      </c>
      <c r="R11" s="103" t="s">
        <v>1031</v>
      </c>
      <c r="S11" s="103">
        <v>321020101</v>
      </c>
      <c r="T11" s="104" t="str">
        <f t="shared" si="6"/>
        <v>UITexture/TechProd/321020101.png</v>
      </c>
      <c r="U11" s="172" t="s">
        <v>1138</v>
      </c>
      <c r="V11" s="104">
        <f t="shared" si="3"/>
        <v>0</v>
      </c>
      <c r="Z11" s="172">
        <v>1</v>
      </c>
      <c r="AB11" s="102">
        <f ca="1">IFERROR(OFFSET(BLDG_FUNC_PARAM!$A$5,MATCH(AC11,BLDG_FUNC_PARAM!$J$5:$J$68,0)-1,0),0)</f>
        <v>121020001</v>
      </c>
      <c r="AC11" s="103" t="s">
        <v>957</v>
      </c>
      <c r="AD11" s="102">
        <v>10</v>
      </c>
      <c r="AN11" s="102">
        <v>0</v>
      </c>
      <c r="AO11" s="102">
        <v>0</v>
      </c>
      <c r="AT11" s="104">
        <f t="shared" si="4"/>
        <v>120</v>
      </c>
      <c r="AW11" s="103">
        <v>2</v>
      </c>
      <c r="AY11" s="102">
        <v>200</v>
      </c>
      <c r="AZ11" s="102">
        <v>20</v>
      </c>
      <c r="BA11" s="172">
        <v>0</v>
      </c>
      <c r="BC11" s="104">
        <f ca="1">IFERROR(OFFSET(ITEM_RES!$A$5,MATCH(BD11,ITEM_RES!$M$5:$M$84,0)-1,0),0)</f>
        <v>0</v>
      </c>
    </row>
    <row r="12" spans="1:73" x14ac:dyDescent="0.3">
      <c r="A12" s="107">
        <f t="shared" si="0"/>
        <v>321020103</v>
      </c>
      <c r="B12" s="106">
        <v>32</v>
      </c>
      <c r="C12" s="105">
        <f t="shared" si="1"/>
        <v>1</v>
      </c>
      <c r="D12" s="106">
        <v>2</v>
      </c>
      <c r="E12" s="106">
        <v>1</v>
      </c>
      <c r="F12" s="105">
        <f t="shared" si="2"/>
        <v>3</v>
      </c>
      <c r="H12" s="103">
        <v>1</v>
      </c>
      <c r="I12" s="105">
        <f t="shared" si="5"/>
        <v>102</v>
      </c>
      <c r="J12" s="172">
        <v>3</v>
      </c>
      <c r="L12" s="172" t="s">
        <v>1115</v>
      </c>
      <c r="M12" s="172" t="s">
        <v>1123</v>
      </c>
      <c r="N12" s="103" t="s">
        <v>2</v>
      </c>
      <c r="O12" s="103" t="s">
        <v>1073</v>
      </c>
      <c r="P12" s="172">
        <v>1</v>
      </c>
      <c r="Q12" s="172">
        <v>12</v>
      </c>
      <c r="R12" s="103" t="s">
        <v>1031</v>
      </c>
      <c r="S12" s="103">
        <v>321020101</v>
      </c>
      <c r="T12" s="104" t="str">
        <f t="shared" si="6"/>
        <v>UITexture/TechProd/321020101.png</v>
      </c>
      <c r="U12" s="172" t="s">
        <v>1138</v>
      </c>
      <c r="V12" s="104">
        <f t="shared" si="3"/>
        <v>0</v>
      </c>
      <c r="Z12" s="172">
        <v>1</v>
      </c>
      <c r="AB12" s="102">
        <f ca="1">IFERROR(OFFSET(BLDG_FUNC_PARAM!$A$5,MATCH(AC12,BLDG_FUNC_PARAM!$J$5:$J$68,0)-1,0),0)</f>
        <v>121020001</v>
      </c>
      <c r="AC12" s="103" t="s">
        <v>957</v>
      </c>
      <c r="AD12" s="102">
        <v>15</v>
      </c>
      <c r="AN12" s="102">
        <v>0</v>
      </c>
      <c r="AO12" s="102">
        <v>0</v>
      </c>
      <c r="AT12" s="104">
        <f t="shared" si="4"/>
        <v>180</v>
      </c>
      <c r="AW12" s="103">
        <v>3</v>
      </c>
      <c r="AY12" s="102">
        <v>300</v>
      </c>
      <c r="AZ12" s="102">
        <v>30</v>
      </c>
      <c r="BA12" s="172">
        <v>0</v>
      </c>
      <c r="BC12" s="104">
        <f ca="1">IFERROR(OFFSET(ITEM_RES!$A$5,MATCH(BD12,ITEM_RES!$M$5:$M$84,0)-1,0),0)</f>
        <v>0</v>
      </c>
    </row>
    <row r="13" spans="1:73" x14ac:dyDescent="0.3">
      <c r="A13" s="107">
        <f t="shared" si="0"/>
        <v>321020104</v>
      </c>
      <c r="B13" s="106">
        <v>32</v>
      </c>
      <c r="C13" s="105">
        <f t="shared" si="1"/>
        <v>1</v>
      </c>
      <c r="D13" s="106">
        <v>2</v>
      </c>
      <c r="E13" s="106">
        <v>1</v>
      </c>
      <c r="F13" s="105">
        <f t="shared" si="2"/>
        <v>4</v>
      </c>
      <c r="H13" s="103">
        <v>1</v>
      </c>
      <c r="I13" s="105">
        <f t="shared" si="5"/>
        <v>102</v>
      </c>
      <c r="J13" s="172">
        <v>4</v>
      </c>
      <c r="L13" s="172" t="s">
        <v>1115</v>
      </c>
      <c r="M13" s="172" t="s">
        <v>1123</v>
      </c>
      <c r="N13" s="103" t="s">
        <v>2</v>
      </c>
      <c r="O13" s="103" t="s">
        <v>1073</v>
      </c>
      <c r="P13" s="172">
        <v>1</v>
      </c>
      <c r="Q13" s="172">
        <v>12</v>
      </c>
      <c r="R13" s="103" t="s">
        <v>1031</v>
      </c>
      <c r="S13" s="103">
        <v>321020101</v>
      </c>
      <c r="T13" s="104" t="str">
        <f t="shared" si="6"/>
        <v>UITexture/TechProd/321020101.png</v>
      </c>
      <c r="U13" s="172" t="s">
        <v>1138</v>
      </c>
      <c r="V13" s="104">
        <f t="shared" si="3"/>
        <v>0</v>
      </c>
      <c r="Z13" s="172">
        <v>1</v>
      </c>
      <c r="AB13" s="102">
        <f ca="1">IFERROR(OFFSET(BLDG_FUNC_PARAM!$A$5,MATCH(AC13,BLDG_FUNC_PARAM!$J$5:$J$68,0)-1,0),0)</f>
        <v>121020001</v>
      </c>
      <c r="AC13" s="103" t="s">
        <v>957</v>
      </c>
      <c r="AD13" s="102">
        <v>20</v>
      </c>
      <c r="AN13" s="102">
        <v>0</v>
      </c>
      <c r="AO13" s="102">
        <v>0</v>
      </c>
      <c r="AT13" s="104">
        <f t="shared" si="4"/>
        <v>240</v>
      </c>
      <c r="AW13" s="103">
        <v>4</v>
      </c>
      <c r="AY13" s="102">
        <v>400</v>
      </c>
      <c r="AZ13" s="102">
        <v>40</v>
      </c>
      <c r="BA13" s="172">
        <v>0</v>
      </c>
      <c r="BC13" s="104">
        <f ca="1">IFERROR(OFFSET(ITEM_RES!$A$5,MATCH(BD13,ITEM_RES!$M$5:$M$84,0)-1,0),0)</f>
        <v>0</v>
      </c>
    </row>
    <row r="14" spans="1:73" x14ac:dyDescent="0.3">
      <c r="A14" s="107">
        <f t="shared" si="0"/>
        <v>321020105</v>
      </c>
      <c r="B14" s="106">
        <v>32</v>
      </c>
      <c r="C14" s="105">
        <f t="shared" si="1"/>
        <v>1</v>
      </c>
      <c r="D14" s="106">
        <v>2</v>
      </c>
      <c r="E14" s="106">
        <v>1</v>
      </c>
      <c r="F14" s="105">
        <f t="shared" si="2"/>
        <v>5</v>
      </c>
      <c r="H14" s="103">
        <v>1</v>
      </c>
      <c r="I14" s="105">
        <f t="shared" si="5"/>
        <v>102</v>
      </c>
      <c r="J14" s="172">
        <v>5</v>
      </c>
      <c r="L14" s="172" t="s">
        <v>1115</v>
      </c>
      <c r="M14" s="172" t="s">
        <v>1123</v>
      </c>
      <c r="N14" s="103" t="s">
        <v>2</v>
      </c>
      <c r="O14" s="103" t="s">
        <v>1073</v>
      </c>
      <c r="P14" s="172">
        <v>1</v>
      </c>
      <c r="Q14" s="172">
        <v>12</v>
      </c>
      <c r="R14" s="103" t="s">
        <v>1031</v>
      </c>
      <c r="S14" s="103">
        <v>321020101</v>
      </c>
      <c r="T14" s="104" t="str">
        <f t="shared" si="6"/>
        <v>UITexture/TechProd/321020101.png</v>
      </c>
      <c r="U14" s="172" t="s">
        <v>1138</v>
      </c>
      <c r="V14" s="104">
        <f t="shared" si="3"/>
        <v>0</v>
      </c>
      <c r="Z14" s="172">
        <v>1</v>
      </c>
      <c r="AB14" s="102">
        <f ca="1">IFERROR(OFFSET(BLDG_FUNC_PARAM!$A$5,MATCH(AC14,BLDG_FUNC_PARAM!$J$5:$J$68,0)-1,0),0)</f>
        <v>121020001</v>
      </c>
      <c r="AC14" s="103" t="s">
        <v>957</v>
      </c>
      <c r="AD14" s="102">
        <v>50</v>
      </c>
      <c r="AN14" s="102">
        <v>8</v>
      </c>
      <c r="AO14" s="102">
        <v>0</v>
      </c>
      <c r="AT14" s="104">
        <f t="shared" si="4"/>
        <v>300</v>
      </c>
      <c r="AW14" s="103">
        <v>5</v>
      </c>
      <c r="AY14" s="102">
        <v>500</v>
      </c>
      <c r="AZ14" s="102">
        <v>50</v>
      </c>
      <c r="BA14" s="172">
        <v>0</v>
      </c>
      <c r="BC14" s="104">
        <f ca="1">IFERROR(OFFSET(ITEM_RES!$A$5,MATCH(BD14,ITEM_RES!$M$5:$M$84,0)-1,0),0)</f>
        <v>0</v>
      </c>
    </row>
    <row r="15" spans="1:73" x14ac:dyDescent="0.3">
      <c r="A15" s="107">
        <f t="shared" ref="A15:A24" si="7">B15*10000000+C15*1000000+D15*10000+E15*100+F15</f>
        <v>321020106</v>
      </c>
      <c r="B15" s="106">
        <v>32</v>
      </c>
      <c r="C15" s="105">
        <f t="shared" ref="C15:C24" si="8">H15</f>
        <v>1</v>
      </c>
      <c r="D15" s="106">
        <v>2</v>
      </c>
      <c r="E15" s="106">
        <v>1</v>
      </c>
      <c r="F15" s="105">
        <f t="shared" si="2"/>
        <v>6</v>
      </c>
      <c r="H15" s="103">
        <v>1</v>
      </c>
      <c r="I15" s="105">
        <f t="shared" ref="I15:I24" si="9">C15*100+D15</f>
        <v>102</v>
      </c>
      <c r="J15" s="172">
        <v>6</v>
      </c>
      <c r="L15" s="172" t="s">
        <v>1115</v>
      </c>
      <c r="M15" s="172" t="s">
        <v>1123</v>
      </c>
      <c r="N15" s="103" t="s">
        <v>2</v>
      </c>
      <c r="O15" s="103" t="s">
        <v>1073</v>
      </c>
      <c r="P15" s="172">
        <v>1</v>
      </c>
      <c r="Q15" s="172">
        <v>12</v>
      </c>
      <c r="R15" s="103" t="s">
        <v>1031</v>
      </c>
      <c r="S15" s="103">
        <v>321020101</v>
      </c>
      <c r="T15" s="104" t="str">
        <f t="shared" si="6"/>
        <v>UITexture/TechProd/321020101.png</v>
      </c>
      <c r="U15" s="172" t="s">
        <v>1138</v>
      </c>
      <c r="V15" s="104">
        <f t="shared" ref="V15:V24" si="10">W15*1000+X15</f>
        <v>0</v>
      </c>
      <c r="Z15" s="172">
        <v>1</v>
      </c>
      <c r="AB15" s="102">
        <f ca="1">IFERROR(OFFSET(BLDG_FUNC_PARAM!$A$5,MATCH(AC15,BLDG_FUNC_PARAM!$J$5:$J$68,0)-1,0),0)</f>
        <v>121020001</v>
      </c>
      <c r="AC15" s="103" t="s">
        <v>957</v>
      </c>
      <c r="AD15" s="102">
        <v>55</v>
      </c>
      <c r="AN15" s="102">
        <v>0</v>
      </c>
      <c r="AO15" s="102">
        <v>0</v>
      </c>
      <c r="AT15" s="104">
        <f t="shared" ref="AT15:AT24" si="11">((AU15*24+AV15)*60+AW15)*60+AX15</f>
        <v>360</v>
      </c>
      <c r="AW15" s="103">
        <v>6</v>
      </c>
      <c r="AY15" s="102">
        <v>600</v>
      </c>
      <c r="AZ15" s="102">
        <v>60</v>
      </c>
      <c r="BA15" s="172">
        <v>0</v>
      </c>
      <c r="BC15" s="104">
        <f ca="1">IFERROR(OFFSET(ITEM_RES!$A$5,MATCH(BD15,ITEM_RES!$M$5:$M$84,0)-1,0),0)</f>
        <v>0</v>
      </c>
    </row>
    <row r="16" spans="1:73" x14ac:dyDescent="0.3">
      <c r="A16" s="107">
        <f t="shared" si="7"/>
        <v>321020107</v>
      </c>
      <c r="B16" s="106">
        <v>32</v>
      </c>
      <c r="C16" s="105">
        <f t="shared" si="8"/>
        <v>1</v>
      </c>
      <c r="D16" s="106">
        <v>2</v>
      </c>
      <c r="E16" s="106">
        <v>1</v>
      </c>
      <c r="F16" s="105">
        <f t="shared" si="2"/>
        <v>7</v>
      </c>
      <c r="H16" s="103">
        <v>1</v>
      </c>
      <c r="I16" s="105">
        <f t="shared" si="9"/>
        <v>102</v>
      </c>
      <c r="J16" s="172">
        <v>7</v>
      </c>
      <c r="L16" s="172" t="s">
        <v>1115</v>
      </c>
      <c r="M16" s="172" t="s">
        <v>1123</v>
      </c>
      <c r="N16" s="103" t="s">
        <v>2</v>
      </c>
      <c r="O16" s="103" t="s">
        <v>1073</v>
      </c>
      <c r="P16" s="172">
        <v>1</v>
      </c>
      <c r="Q16" s="172">
        <v>12</v>
      </c>
      <c r="R16" s="103" t="s">
        <v>1031</v>
      </c>
      <c r="S16" s="103">
        <v>321020101</v>
      </c>
      <c r="T16" s="104" t="str">
        <f t="shared" si="6"/>
        <v>UITexture/TechProd/321020101.png</v>
      </c>
      <c r="U16" s="172" t="s">
        <v>1138</v>
      </c>
      <c r="V16" s="104">
        <f t="shared" si="10"/>
        <v>0</v>
      </c>
      <c r="Z16" s="172">
        <v>1</v>
      </c>
      <c r="AB16" s="102">
        <f ca="1">IFERROR(OFFSET(BLDG_FUNC_PARAM!$A$5,MATCH(AC16,BLDG_FUNC_PARAM!$J$5:$J$68,0)-1,0),0)</f>
        <v>121020001</v>
      </c>
      <c r="AC16" s="103" t="s">
        <v>957</v>
      </c>
      <c r="AD16" s="102">
        <v>60</v>
      </c>
      <c r="AN16" s="102">
        <v>0</v>
      </c>
      <c r="AO16" s="102">
        <v>0</v>
      </c>
      <c r="AT16" s="104">
        <f t="shared" si="11"/>
        <v>420</v>
      </c>
      <c r="AW16" s="103">
        <v>7</v>
      </c>
      <c r="AY16" s="102">
        <v>700</v>
      </c>
      <c r="AZ16" s="102">
        <v>70</v>
      </c>
      <c r="BA16" s="172">
        <v>0</v>
      </c>
      <c r="BC16" s="104">
        <f ca="1">IFERROR(OFFSET(ITEM_RES!$A$5,MATCH(BD16,ITEM_RES!$M$5:$M$84,0)-1,0),0)</f>
        <v>0</v>
      </c>
    </row>
    <row r="17" spans="1:55" x14ac:dyDescent="0.3">
      <c r="A17" s="107">
        <f t="shared" si="7"/>
        <v>321020108</v>
      </c>
      <c r="B17" s="106">
        <v>32</v>
      </c>
      <c r="C17" s="105">
        <f t="shared" si="8"/>
        <v>1</v>
      </c>
      <c r="D17" s="106">
        <v>2</v>
      </c>
      <c r="E17" s="106">
        <v>1</v>
      </c>
      <c r="F17" s="105">
        <f t="shared" si="2"/>
        <v>8</v>
      </c>
      <c r="H17" s="103">
        <v>1</v>
      </c>
      <c r="I17" s="105">
        <f t="shared" si="9"/>
        <v>102</v>
      </c>
      <c r="J17" s="172">
        <v>8</v>
      </c>
      <c r="L17" s="172" t="s">
        <v>1115</v>
      </c>
      <c r="M17" s="172" t="s">
        <v>1123</v>
      </c>
      <c r="N17" s="103" t="s">
        <v>2</v>
      </c>
      <c r="O17" s="103" t="s">
        <v>1073</v>
      </c>
      <c r="P17" s="172">
        <v>1</v>
      </c>
      <c r="Q17" s="172">
        <v>12</v>
      </c>
      <c r="R17" s="103" t="s">
        <v>1031</v>
      </c>
      <c r="S17" s="103">
        <v>321020101</v>
      </c>
      <c r="T17" s="104" t="str">
        <f t="shared" si="6"/>
        <v>UITexture/TechProd/321020101.png</v>
      </c>
      <c r="U17" s="172" t="s">
        <v>1138</v>
      </c>
      <c r="V17" s="104">
        <f t="shared" si="10"/>
        <v>0</v>
      </c>
      <c r="Z17" s="172">
        <v>1</v>
      </c>
      <c r="AB17" s="102">
        <f ca="1">IFERROR(OFFSET(BLDG_FUNC_PARAM!$A$5,MATCH(AC17,BLDG_FUNC_PARAM!$J$5:$J$68,0)-1,0),0)</f>
        <v>121020001</v>
      </c>
      <c r="AC17" s="103" t="s">
        <v>957</v>
      </c>
      <c r="AD17" s="102">
        <v>65</v>
      </c>
      <c r="AN17" s="102">
        <v>0</v>
      </c>
      <c r="AO17" s="102">
        <v>0</v>
      </c>
      <c r="AT17" s="104">
        <f t="shared" si="11"/>
        <v>480</v>
      </c>
      <c r="AW17" s="103">
        <v>8</v>
      </c>
      <c r="AY17" s="102">
        <v>800</v>
      </c>
      <c r="AZ17" s="102">
        <v>80</v>
      </c>
      <c r="BA17" s="172">
        <v>0</v>
      </c>
      <c r="BC17" s="104">
        <f ca="1">IFERROR(OFFSET(ITEM_RES!$A$5,MATCH(BD17,ITEM_RES!$M$5:$M$84,0)-1,0),0)</f>
        <v>0</v>
      </c>
    </row>
    <row r="18" spans="1:55" x14ac:dyDescent="0.3">
      <c r="A18" s="107">
        <f t="shared" si="7"/>
        <v>321020109</v>
      </c>
      <c r="B18" s="106">
        <v>32</v>
      </c>
      <c r="C18" s="105">
        <f t="shared" si="8"/>
        <v>1</v>
      </c>
      <c r="D18" s="106">
        <v>2</v>
      </c>
      <c r="E18" s="106">
        <v>1</v>
      </c>
      <c r="F18" s="105">
        <f t="shared" si="2"/>
        <v>9</v>
      </c>
      <c r="H18" s="103">
        <v>1</v>
      </c>
      <c r="I18" s="105">
        <f t="shared" si="9"/>
        <v>102</v>
      </c>
      <c r="J18" s="172">
        <v>9</v>
      </c>
      <c r="L18" s="172" t="s">
        <v>1115</v>
      </c>
      <c r="M18" s="172" t="s">
        <v>1123</v>
      </c>
      <c r="N18" s="103" t="s">
        <v>2</v>
      </c>
      <c r="O18" s="103" t="s">
        <v>1073</v>
      </c>
      <c r="P18" s="172">
        <v>1</v>
      </c>
      <c r="Q18" s="172">
        <v>12</v>
      </c>
      <c r="R18" s="103" t="s">
        <v>1031</v>
      </c>
      <c r="S18" s="103">
        <v>321020101</v>
      </c>
      <c r="T18" s="104" t="str">
        <f t="shared" si="6"/>
        <v>UITexture/TechProd/321020101.png</v>
      </c>
      <c r="U18" s="172" t="s">
        <v>1138</v>
      </c>
      <c r="V18" s="104">
        <f t="shared" si="10"/>
        <v>0</v>
      </c>
      <c r="Z18" s="172">
        <v>1</v>
      </c>
      <c r="AB18" s="102">
        <f ca="1">IFERROR(OFFSET(BLDG_FUNC_PARAM!$A$5,MATCH(AC18,BLDG_FUNC_PARAM!$J$5:$J$68,0)-1,0),0)</f>
        <v>121020001</v>
      </c>
      <c r="AC18" s="103" t="s">
        <v>957</v>
      </c>
      <c r="AD18" s="102">
        <v>70.000000000000014</v>
      </c>
      <c r="AN18" s="102">
        <v>0</v>
      </c>
      <c r="AO18" s="102">
        <v>0</v>
      </c>
      <c r="AT18" s="104">
        <f t="shared" si="11"/>
        <v>540</v>
      </c>
      <c r="AW18" s="103">
        <v>9</v>
      </c>
      <c r="AY18" s="102">
        <v>900</v>
      </c>
      <c r="AZ18" s="102">
        <v>90</v>
      </c>
      <c r="BA18" s="172">
        <v>0</v>
      </c>
      <c r="BC18" s="104">
        <f ca="1">IFERROR(OFFSET(ITEM_RES!$A$5,MATCH(BD18,ITEM_RES!$M$5:$M$84,0)-1,0),0)</f>
        <v>0</v>
      </c>
    </row>
    <row r="19" spans="1:55" x14ac:dyDescent="0.3">
      <c r="A19" s="107">
        <f t="shared" si="7"/>
        <v>321020110</v>
      </c>
      <c r="B19" s="106">
        <v>32</v>
      </c>
      <c r="C19" s="105">
        <f t="shared" si="8"/>
        <v>1</v>
      </c>
      <c r="D19" s="106">
        <v>2</v>
      </c>
      <c r="E19" s="106">
        <v>1</v>
      </c>
      <c r="F19" s="105">
        <f t="shared" si="2"/>
        <v>10</v>
      </c>
      <c r="H19" s="103">
        <v>1</v>
      </c>
      <c r="I19" s="105">
        <f t="shared" si="9"/>
        <v>102</v>
      </c>
      <c r="J19" s="172">
        <v>10</v>
      </c>
      <c r="L19" s="172" t="s">
        <v>1115</v>
      </c>
      <c r="M19" s="172" t="s">
        <v>1123</v>
      </c>
      <c r="N19" s="103" t="s">
        <v>2</v>
      </c>
      <c r="O19" s="103" t="s">
        <v>1073</v>
      </c>
      <c r="P19" s="172">
        <v>1</v>
      </c>
      <c r="Q19" s="172">
        <v>12</v>
      </c>
      <c r="R19" s="103" t="s">
        <v>1031</v>
      </c>
      <c r="S19" s="103">
        <v>321020101</v>
      </c>
      <c r="T19" s="104" t="str">
        <f t="shared" si="6"/>
        <v>UITexture/TechProd/321020101.png</v>
      </c>
      <c r="U19" s="172" t="s">
        <v>1138</v>
      </c>
      <c r="V19" s="104">
        <f t="shared" si="10"/>
        <v>0</v>
      </c>
      <c r="Z19" s="172">
        <v>1</v>
      </c>
      <c r="AB19" s="102">
        <f ca="1">IFERROR(OFFSET(BLDG_FUNC_PARAM!$A$5,MATCH(AC19,BLDG_FUNC_PARAM!$J$5:$J$68,0)-1,0),0)</f>
        <v>121020001</v>
      </c>
      <c r="AC19" s="103" t="s">
        <v>957</v>
      </c>
      <c r="AD19" s="102">
        <v>100</v>
      </c>
      <c r="AN19" s="102">
        <v>12</v>
      </c>
      <c r="AO19" s="102">
        <v>0</v>
      </c>
      <c r="AT19" s="104">
        <f t="shared" si="11"/>
        <v>600</v>
      </c>
      <c r="AW19" s="103">
        <v>10</v>
      </c>
      <c r="AY19" s="102">
        <v>1000</v>
      </c>
      <c r="AZ19" s="102">
        <v>100</v>
      </c>
      <c r="BA19" s="172">
        <v>0</v>
      </c>
      <c r="BC19" s="104">
        <f ca="1">IFERROR(OFFSET(ITEM_RES!$A$5,MATCH(BD19,ITEM_RES!$M$5:$M$84,0)-1,0),0)</f>
        <v>0</v>
      </c>
    </row>
    <row r="20" spans="1:55" x14ac:dyDescent="0.3">
      <c r="A20" s="107">
        <f t="shared" si="7"/>
        <v>321020111</v>
      </c>
      <c r="B20" s="106">
        <v>32</v>
      </c>
      <c r="C20" s="105">
        <f t="shared" si="8"/>
        <v>1</v>
      </c>
      <c r="D20" s="106">
        <v>2</v>
      </c>
      <c r="E20" s="106">
        <v>1</v>
      </c>
      <c r="F20" s="105">
        <f t="shared" si="2"/>
        <v>11</v>
      </c>
      <c r="H20" s="103">
        <v>1</v>
      </c>
      <c r="I20" s="105">
        <f t="shared" si="9"/>
        <v>102</v>
      </c>
      <c r="J20" s="172">
        <v>11</v>
      </c>
      <c r="L20" s="172" t="s">
        <v>1115</v>
      </c>
      <c r="M20" s="172" t="s">
        <v>1123</v>
      </c>
      <c r="N20" s="103" t="s">
        <v>2</v>
      </c>
      <c r="O20" s="103" t="s">
        <v>1073</v>
      </c>
      <c r="P20" s="172">
        <v>1</v>
      </c>
      <c r="Q20" s="172">
        <v>12</v>
      </c>
      <c r="R20" s="103" t="s">
        <v>1031</v>
      </c>
      <c r="S20" s="103">
        <v>321020101</v>
      </c>
      <c r="T20" s="104" t="str">
        <f t="shared" si="6"/>
        <v>UITexture/TechProd/321020101.png</v>
      </c>
      <c r="U20" s="172" t="s">
        <v>1138</v>
      </c>
      <c r="V20" s="104">
        <f t="shared" si="10"/>
        <v>0</v>
      </c>
      <c r="Z20" s="172">
        <v>1</v>
      </c>
      <c r="AB20" s="102">
        <f ca="1">IFERROR(OFFSET(BLDG_FUNC_PARAM!$A$5,MATCH(AC20,BLDG_FUNC_PARAM!$J$5:$J$68,0)-1,0),0)</f>
        <v>121020001</v>
      </c>
      <c r="AC20" s="103" t="s">
        <v>957</v>
      </c>
      <c r="AD20" s="102">
        <v>105</v>
      </c>
      <c r="AN20" s="102">
        <v>0</v>
      </c>
      <c r="AO20" s="102">
        <v>0</v>
      </c>
      <c r="AT20" s="104">
        <f t="shared" si="11"/>
        <v>660</v>
      </c>
      <c r="AW20" s="103">
        <v>11</v>
      </c>
      <c r="AY20" s="102">
        <v>1100</v>
      </c>
      <c r="AZ20" s="102">
        <v>110</v>
      </c>
      <c r="BA20" s="172">
        <v>0</v>
      </c>
      <c r="BC20" s="104">
        <f ca="1">IFERROR(OFFSET(ITEM_RES!$A$5,MATCH(BD20,ITEM_RES!$M$5:$M$84,0)-1,0),0)</f>
        <v>0</v>
      </c>
    </row>
    <row r="21" spans="1:55" x14ac:dyDescent="0.3">
      <c r="A21" s="107">
        <f t="shared" si="7"/>
        <v>321020112</v>
      </c>
      <c r="B21" s="106">
        <v>32</v>
      </c>
      <c r="C21" s="105">
        <f t="shared" si="8"/>
        <v>1</v>
      </c>
      <c r="D21" s="106">
        <v>2</v>
      </c>
      <c r="E21" s="106">
        <v>1</v>
      </c>
      <c r="F21" s="105">
        <f t="shared" si="2"/>
        <v>12</v>
      </c>
      <c r="H21" s="103">
        <v>1</v>
      </c>
      <c r="I21" s="105">
        <f t="shared" si="9"/>
        <v>102</v>
      </c>
      <c r="J21" s="172">
        <v>12</v>
      </c>
      <c r="L21" s="172" t="s">
        <v>1115</v>
      </c>
      <c r="M21" s="172" t="s">
        <v>1123</v>
      </c>
      <c r="N21" s="103" t="s">
        <v>2</v>
      </c>
      <c r="O21" s="103" t="s">
        <v>1073</v>
      </c>
      <c r="P21" s="172">
        <v>1</v>
      </c>
      <c r="Q21" s="172">
        <v>12</v>
      </c>
      <c r="R21" s="103" t="s">
        <v>1031</v>
      </c>
      <c r="S21" s="103">
        <v>321020101</v>
      </c>
      <c r="T21" s="104" t="str">
        <f t="shared" si="6"/>
        <v>UITexture/TechProd/321020101.png</v>
      </c>
      <c r="U21" s="172" t="s">
        <v>1138</v>
      </c>
      <c r="V21" s="104">
        <f t="shared" si="10"/>
        <v>0</v>
      </c>
      <c r="Z21" s="172">
        <v>1</v>
      </c>
      <c r="AB21" s="102">
        <f ca="1">IFERROR(OFFSET(BLDG_FUNC_PARAM!$A$5,MATCH(AC21,BLDG_FUNC_PARAM!$J$5:$J$68,0)-1,0),0)</f>
        <v>121020001</v>
      </c>
      <c r="AC21" s="103" t="s">
        <v>957</v>
      </c>
      <c r="AD21" s="102">
        <v>110</v>
      </c>
      <c r="AN21" s="102">
        <v>0</v>
      </c>
      <c r="AO21" s="102">
        <v>0</v>
      </c>
      <c r="AT21" s="104">
        <f t="shared" si="11"/>
        <v>720</v>
      </c>
      <c r="AW21" s="103">
        <v>12</v>
      </c>
      <c r="AY21" s="102">
        <v>1200</v>
      </c>
      <c r="AZ21" s="102">
        <v>120</v>
      </c>
      <c r="BA21" s="172">
        <v>0</v>
      </c>
      <c r="BC21" s="104">
        <f ca="1">IFERROR(OFFSET(ITEM_RES!$A$5,MATCH(BD21,ITEM_RES!$M$5:$M$84,0)-1,0),0)</f>
        <v>0</v>
      </c>
    </row>
    <row r="22" spans="1:55" x14ac:dyDescent="0.3">
      <c r="A22" s="107">
        <f t="shared" si="7"/>
        <v>321020113</v>
      </c>
      <c r="B22" s="106">
        <v>32</v>
      </c>
      <c r="C22" s="105">
        <f t="shared" si="8"/>
        <v>1</v>
      </c>
      <c r="D22" s="106">
        <v>2</v>
      </c>
      <c r="E22" s="106">
        <v>1</v>
      </c>
      <c r="F22" s="105">
        <f t="shared" si="2"/>
        <v>13</v>
      </c>
      <c r="H22" s="103">
        <v>1</v>
      </c>
      <c r="I22" s="105">
        <f t="shared" si="9"/>
        <v>102</v>
      </c>
      <c r="J22" s="172">
        <v>13</v>
      </c>
      <c r="L22" s="172" t="s">
        <v>1115</v>
      </c>
      <c r="M22" s="172" t="s">
        <v>1123</v>
      </c>
      <c r="N22" s="103" t="s">
        <v>2</v>
      </c>
      <c r="O22" s="103" t="s">
        <v>1073</v>
      </c>
      <c r="P22" s="172">
        <v>0</v>
      </c>
      <c r="Q22" s="172">
        <v>12</v>
      </c>
      <c r="R22" s="103" t="s">
        <v>1031</v>
      </c>
      <c r="S22" s="103">
        <v>321020101</v>
      </c>
      <c r="T22" s="104" t="str">
        <f t="shared" si="6"/>
        <v>UITexture/TechProd/321020101.png</v>
      </c>
      <c r="U22" s="172" t="s">
        <v>1138</v>
      </c>
      <c r="V22" s="104">
        <f t="shared" si="10"/>
        <v>0</v>
      </c>
      <c r="Z22" s="172">
        <v>1</v>
      </c>
      <c r="AB22" s="102">
        <f ca="1">IFERROR(OFFSET(BLDG_FUNC_PARAM!$A$5,MATCH(AC22,BLDG_FUNC_PARAM!$J$5:$J$68,0)-1,0),0)</f>
        <v>121020001</v>
      </c>
      <c r="AC22" s="103" t="s">
        <v>957</v>
      </c>
      <c r="AD22" s="102">
        <v>115</v>
      </c>
      <c r="AN22" s="102">
        <v>0</v>
      </c>
      <c r="AO22" s="102">
        <v>0</v>
      </c>
      <c r="AT22" s="104">
        <f t="shared" si="11"/>
        <v>780</v>
      </c>
      <c r="AW22" s="103">
        <v>13</v>
      </c>
      <c r="AY22" s="102">
        <v>1300</v>
      </c>
      <c r="AZ22" s="102">
        <v>130</v>
      </c>
      <c r="BA22" s="172">
        <v>0</v>
      </c>
      <c r="BC22" s="104">
        <f ca="1">IFERROR(OFFSET(ITEM_RES!$A$5,MATCH(BD22,ITEM_RES!$M$5:$M$84,0)-1,0),0)</f>
        <v>0</v>
      </c>
    </row>
    <row r="23" spans="1:55" x14ac:dyDescent="0.3">
      <c r="A23" s="107">
        <f t="shared" si="7"/>
        <v>321020114</v>
      </c>
      <c r="B23" s="106">
        <v>32</v>
      </c>
      <c r="C23" s="105">
        <f t="shared" si="8"/>
        <v>1</v>
      </c>
      <c r="D23" s="106">
        <v>2</v>
      </c>
      <c r="E23" s="106">
        <v>1</v>
      </c>
      <c r="F23" s="105">
        <f t="shared" si="2"/>
        <v>14</v>
      </c>
      <c r="H23" s="103">
        <v>1</v>
      </c>
      <c r="I23" s="105">
        <f t="shared" si="9"/>
        <v>102</v>
      </c>
      <c r="J23" s="172">
        <v>14</v>
      </c>
      <c r="L23" s="172" t="s">
        <v>1115</v>
      </c>
      <c r="M23" s="172" t="s">
        <v>1123</v>
      </c>
      <c r="N23" s="103" t="s">
        <v>2</v>
      </c>
      <c r="O23" s="103" t="s">
        <v>1073</v>
      </c>
      <c r="P23" s="172">
        <v>0</v>
      </c>
      <c r="Q23" s="172">
        <v>12</v>
      </c>
      <c r="R23" s="103" t="s">
        <v>1031</v>
      </c>
      <c r="S23" s="103">
        <v>321020101</v>
      </c>
      <c r="T23" s="104" t="str">
        <f t="shared" si="6"/>
        <v>UITexture/TechProd/321020101.png</v>
      </c>
      <c r="U23" s="172" t="s">
        <v>1138</v>
      </c>
      <c r="V23" s="104">
        <f t="shared" si="10"/>
        <v>0</v>
      </c>
      <c r="Z23" s="172">
        <v>1</v>
      </c>
      <c r="AB23" s="102">
        <f ca="1">IFERROR(OFFSET(BLDG_FUNC_PARAM!$A$5,MATCH(AC23,BLDG_FUNC_PARAM!$J$5:$J$68,0)-1,0),0)</f>
        <v>121020001</v>
      </c>
      <c r="AC23" s="103" t="s">
        <v>957</v>
      </c>
      <c r="AD23" s="102">
        <v>120</v>
      </c>
      <c r="AN23" s="102">
        <v>0</v>
      </c>
      <c r="AO23" s="102">
        <v>0</v>
      </c>
      <c r="AT23" s="104">
        <f t="shared" si="11"/>
        <v>840</v>
      </c>
      <c r="AW23" s="103">
        <v>14</v>
      </c>
      <c r="AY23" s="102">
        <v>1400</v>
      </c>
      <c r="AZ23" s="102">
        <v>140</v>
      </c>
      <c r="BA23" s="172">
        <v>0</v>
      </c>
      <c r="BC23" s="104">
        <f ca="1">IFERROR(OFFSET(ITEM_RES!$A$5,MATCH(BD23,ITEM_RES!$M$5:$M$84,0)-1,0),0)</f>
        <v>0</v>
      </c>
    </row>
    <row r="24" spans="1:55" x14ac:dyDescent="0.3">
      <c r="A24" s="107">
        <f t="shared" si="7"/>
        <v>321020115</v>
      </c>
      <c r="B24" s="106">
        <v>32</v>
      </c>
      <c r="C24" s="105">
        <f t="shared" si="8"/>
        <v>1</v>
      </c>
      <c r="D24" s="106">
        <v>2</v>
      </c>
      <c r="E24" s="106">
        <v>1</v>
      </c>
      <c r="F24" s="105">
        <f t="shared" si="2"/>
        <v>15</v>
      </c>
      <c r="H24" s="103">
        <v>1</v>
      </c>
      <c r="I24" s="105">
        <f t="shared" si="9"/>
        <v>102</v>
      </c>
      <c r="J24" s="172">
        <v>15</v>
      </c>
      <c r="L24" s="172" t="s">
        <v>1115</v>
      </c>
      <c r="M24" s="172" t="s">
        <v>1123</v>
      </c>
      <c r="N24" s="103" t="s">
        <v>2</v>
      </c>
      <c r="O24" s="103" t="s">
        <v>1073</v>
      </c>
      <c r="P24" s="172">
        <v>0</v>
      </c>
      <c r="Q24" s="172">
        <v>12</v>
      </c>
      <c r="R24" s="103" t="s">
        <v>1031</v>
      </c>
      <c r="S24" s="103">
        <v>321020101</v>
      </c>
      <c r="T24" s="104" t="str">
        <f t="shared" si="6"/>
        <v>UITexture/TechProd/321020101.png</v>
      </c>
      <c r="U24" s="172" t="s">
        <v>1138</v>
      </c>
      <c r="V24" s="104">
        <f t="shared" si="10"/>
        <v>0</v>
      </c>
      <c r="Z24" s="172">
        <v>1</v>
      </c>
      <c r="AB24" s="102">
        <f ca="1">IFERROR(OFFSET(BLDG_FUNC_PARAM!$A$5,MATCH(AC24,BLDG_FUNC_PARAM!$J$5:$J$68,0)-1,0),0)</f>
        <v>121020001</v>
      </c>
      <c r="AC24" s="103" t="s">
        <v>957</v>
      </c>
      <c r="AD24" s="102">
        <v>150</v>
      </c>
      <c r="AN24" s="102">
        <v>17</v>
      </c>
      <c r="AO24" s="102">
        <v>0</v>
      </c>
      <c r="AT24" s="104">
        <f t="shared" si="11"/>
        <v>900</v>
      </c>
      <c r="AW24" s="103">
        <v>15</v>
      </c>
      <c r="AY24" s="102">
        <v>1500</v>
      </c>
      <c r="AZ24" s="102">
        <v>150</v>
      </c>
      <c r="BA24" s="172">
        <v>0</v>
      </c>
      <c r="BC24" s="104">
        <f ca="1">IFERROR(OFFSET(ITEM_RES!$A$5,MATCH(BD24,ITEM_RES!$M$5:$M$84,0)-1,0),0)</f>
        <v>0</v>
      </c>
    </row>
    <row r="25" spans="1:55" x14ac:dyDescent="0.3">
      <c r="A25" s="107">
        <f t="shared" ref="A25:A34" si="12">B25*10000000+C25*1000000+D25*10000+E25*100+F25</f>
        <v>321020116</v>
      </c>
      <c r="B25" s="106">
        <v>32</v>
      </c>
      <c r="C25" s="105">
        <f t="shared" ref="C25:C34" si="13">H25</f>
        <v>1</v>
      </c>
      <c r="D25" s="106">
        <v>2</v>
      </c>
      <c r="E25" s="106">
        <v>1</v>
      </c>
      <c r="F25" s="105">
        <f t="shared" si="2"/>
        <v>16</v>
      </c>
      <c r="H25" s="103">
        <v>1</v>
      </c>
      <c r="I25" s="105">
        <f t="shared" ref="I25:I34" si="14">C25*100+D25</f>
        <v>102</v>
      </c>
      <c r="J25" s="172">
        <v>16</v>
      </c>
      <c r="L25" s="172" t="s">
        <v>1115</v>
      </c>
      <c r="M25" s="172" t="s">
        <v>1123</v>
      </c>
      <c r="N25" s="103" t="s">
        <v>2</v>
      </c>
      <c r="O25" s="103" t="s">
        <v>1073</v>
      </c>
      <c r="P25" s="172">
        <v>0</v>
      </c>
      <c r="Q25" s="172">
        <v>12</v>
      </c>
      <c r="R25" s="103" t="s">
        <v>1031</v>
      </c>
      <c r="S25" s="103">
        <v>321020101</v>
      </c>
      <c r="T25" s="104" t="str">
        <f t="shared" si="6"/>
        <v>UITexture/TechProd/321020101.png</v>
      </c>
      <c r="U25" s="172" t="s">
        <v>1138</v>
      </c>
      <c r="V25" s="104">
        <f t="shared" ref="V25:V34" si="15">W25*1000+X25</f>
        <v>0</v>
      </c>
      <c r="Z25" s="172">
        <v>1</v>
      </c>
      <c r="AB25" s="102">
        <f ca="1">IFERROR(OFFSET(BLDG_FUNC_PARAM!$A$5,MATCH(AC25,BLDG_FUNC_PARAM!$J$5:$J$68,0)-1,0),0)</f>
        <v>121020001</v>
      </c>
      <c r="AC25" s="103" t="s">
        <v>957</v>
      </c>
      <c r="AD25" s="102">
        <v>155</v>
      </c>
      <c r="AN25" s="102">
        <v>0</v>
      </c>
      <c r="AO25" s="102">
        <v>0</v>
      </c>
      <c r="AT25" s="104">
        <f t="shared" ref="AT25:AT34" si="16">((AU25*24+AV25)*60+AW25)*60+AX25</f>
        <v>960</v>
      </c>
      <c r="AW25" s="103">
        <v>16</v>
      </c>
      <c r="AY25" s="102">
        <v>1600</v>
      </c>
      <c r="AZ25" s="102">
        <v>160</v>
      </c>
      <c r="BA25" s="172">
        <v>0</v>
      </c>
      <c r="BC25" s="104">
        <f ca="1">IFERROR(OFFSET(ITEM_RES!$A$5,MATCH(BD25,ITEM_RES!$M$5:$M$84,0)-1,0),0)</f>
        <v>0</v>
      </c>
    </row>
    <row r="26" spans="1:55" x14ac:dyDescent="0.3">
      <c r="A26" s="107">
        <f t="shared" si="12"/>
        <v>321020117</v>
      </c>
      <c r="B26" s="106">
        <v>32</v>
      </c>
      <c r="C26" s="105">
        <f t="shared" si="13"/>
        <v>1</v>
      </c>
      <c r="D26" s="106">
        <v>2</v>
      </c>
      <c r="E26" s="106">
        <v>1</v>
      </c>
      <c r="F26" s="105">
        <f t="shared" si="2"/>
        <v>17</v>
      </c>
      <c r="H26" s="103">
        <v>1</v>
      </c>
      <c r="I26" s="105">
        <f t="shared" si="14"/>
        <v>102</v>
      </c>
      <c r="J26" s="172">
        <v>17</v>
      </c>
      <c r="L26" s="172" t="s">
        <v>1115</v>
      </c>
      <c r="M26" s="172" t="s">
        <v>1123</v>
      </c>
      <c r="N26" s="103" t="s">
        <v>2</v>
      </c>
      <c r="O26" s="103" t="s">
        <v>1073</v>
      </c>
      <c r="P26" s="172">
        <v>0</v>
      </c>
      <c r="Q26" s="172">
        <v>12</v>
      </c>
      <c r="R26" s="103" t="s">
        <v>1031</v>
      </c>
      <c r="S26" s="103">
        <v>321020101</v>
      </c>
      <c r="T26" s="104" t="str">
        <f t="shared" si="6"/>
        <v>UITexture/TechProd/321020101.png</v>
      </c>
      <c r="U26" s="172" t="s">
        <v>1138</v>
      </c>
      <c r="V26" s="104">
        <f t="shared" si="15"/>
        <v>0</v>
      </c>
      <c r="Z26" s="172">
        <v>1</v>
      </c>
      <c r="AB26" s="102">
        <f ca="1">IFERROR(OFFSET(BLDG_FUNC_PARAM!$A$5,MATCH(AC26,BLDG_FUNC_PARAM!$J$5:$J$68,0)-1,0),0)</f>
        <v>121020001</v>
      </c>
      <c r="AC26" s="103" t="s">
        <v>957</v>
      </c>
      <c r="AD26" s="102">
        <v>160</v>
      </c>
      <c r="AN26" s="102">
        <v>0</v>
      </c>
      <c r="AO26" s="102">
        <v>0</v>
      </c>
      <c r="AT26" s="104">
        <f t="shared" si="16"/>
        <v>1020</v>
      </c>
      <c r="AW26" s="103">
        <v>17</v>
      </c>
      <c r="AY26" s="102">
        <v>1700</v>
      </c>
      <c r="AZ26" s="102">
        <v>170</v>
      </c>
      <c r="BA26" s="172">
        <v>0</v>
      </c>
      <c r="BC26" s="104">
        <f ca="1">IFERROR(OFFSET(ITEM_RES!$A$5,MATCH(BD26,ITEM_RES!$M$5:$M$84,0)-1,0),0)</f>
        <v>0</v>
      </c>
    </row>
    <row r="27" spans="1:55" x14ac:dyDescent="0.3">
      <c r="A27" s="107">
        <f t="shared" si="12"/>
        <v>321020118</v>
      </c>
      <c r="B27" s="106">
        <v>32</v>
      </c>
      <c r="C27" s="105">
        <f t="shared" si="13"/>
        <v>1</v>
      </c>
      <c r="D27" s="106">
        <v>2</v>
      </c>
      <c r="E27" s="106">
        <v>1</v>
      </c>
      <c r="F27" s="105">
        <f t="shared" si="2"/>
        <v>18</v>
      </c>
      <c r="H27" s="103">
        <v>1</v>
      </c>
      <c r="I27" s="105">
        <f t="shared" si="14"/>
        <v>102</v>
      </c>
      <c r="J27" s="172">
        <v>18</v>
      </c>
      <c r="L27" s="172" t="s">
        <v>1115</v>
      </c>
      <c r="M27" s="172" t="s">
        <v>1123</v>
      </c>
      <c r="N27" s="103" t="s">
        <v>2</v>
      </c>
      <c r="O27" s="103" t="s">
        <v>1073</v>
      </c>
      <c r="P27" s="172">
        <v>0</v>
      </c>
      <c r="Q27" s="172">
        <v>12</v>
      </c>
      <c r="R27" s="103" t="s">
        <v>1031</v>
      </c>
      <c r="S27" s="103">
        <v>321020101</v>
      </c>
      <c r="T27" s="104" t="str">
        <f t="shared" si="6"/>
        <v>UITexture/TechProd/321020101.png</v>
      </c>
      <c r="U27" s="172" t="s">
        <v>1138</v>
      </c>
      <c r="V27" s="104">
        <f t="shared" si="15"/>
        <v>0</v>
      </c>
      <c r="Z27" s="172">
        <v>1</v>
      </c>
      <c r="AB27" s="102">
        <f ca="1">IFERROR(OFFSET(BLDG_FUNC_PARAM!$A$5,MATCH(AC27,BLDG_FUNC_PARAM!$J$5:$J$68,0)-1,0),0)</f>
        <v>121020001</v>
      </c>
      <c r="AC27" s="103" t="s">
        <v>957</v>
      </c>
      <c r="AD27" s="102">
        <v>165</v>
      </c>
      <c r="AN27" s="102">
        <v>0</v>
      </c>
      <c r="AO27" s="102">
        <v>0</v>
      </c>
      <c r="AT27" s="104">
        <f t="shared" si="16"/>
        <v>1080</v>
      </c>
      <c r="AW27" s="103">
        <v>18</v>
      </c>
      <c r="AY27" s="102">
        <v>1800</v>
      </c>
      <c r="AZ27" s="102">
        <v>180</v>
      </c>
      <c r="BA27" s="172">
        <v>0</v>
      </c>
      <c r="BC27" s="104">
        <f ca="1">IFERROR(OFFSET(ITEM_RES!$A$5,MATCH(BD27,ITEM_RES!$M$5:$M$84,0)-1,0),0)</f>
        <v>0</v>
      </c>
    </row>
    <row r="28" spans="1:55" x14ac:dyDescent="0.3">
      <c r="A28" s="107">
        <f t="shared" si="12"/>
        <v>321020119</v>
      </c>
      <c r="B28" s="106">
        <v>32</v>
      </c>
      <c r="C28" s="105">
        <f t="shared" si="13"/>
        <v>1</v>
      </c>
      <c r="D28" s="106">
        <v>2</v>
      </c>
      <c r="E28" s="106">
        <v>1</v>
      </c>
      <c r="F28" s="105">
        <f t="shared" si="2"/>
        <v>19</v>
      </c>
      <c r="H28" s="103">
        <v>1</v>
      </c>
      <c r="I28" s="105">
        <f t="shared" si="14"/>
        <v>102</v>
      </c>
      <c r="J28" s="172">
        <v>19</v>
      </c>
      <c r="L28" s="172" t="s">
        <v>1115</v>
      </c>
      <c r="M28" s="172" t="s">
        <v>1123</v>
      </c>
      <c r="N28" s="103" t="s">
        <v>2</v>
      </c>
      <c r="O28" s="103" t="s">
        <v>1073</v>
      </c>
      <c r="P28" s="172">
        <v>0</v>
      </c>
      <c r="Q28" s="172">
        <v>12</v>
      </c>
      <c r="R28" s="103" t="s">
        <v>1031</v>
      </c>
      <c r="S28" s="103">
        <v>321020101</v>
      </c>
      <c r="T28" s="104" t="str">
        <f t="shared" si="6"/>
        <v>UITexture/TechProd/321020101.png</v>
      </c>
      <c r="U28" s="172" t="s">
        <v>1138</v>
      </c>
      <c r="V28" s="104">
        <f t="shared" si="15"/>
        <v>0</v>
      </c>
      <c r="Z28" s="172">
        <v>1</v>
      </c>
      <c r="AB28" s="102">
        <f ca="1">IFERROR(OFFSET(BLDG_FUNC_PARAM!$A$5,MATCH(AC28,BLDG_FUNC_PARAM!$J$5:$J$68,0)-1,0),0)</f>
        <v>121020001</v>
      </c>
      <c r="AC28" s="103" t="s">
        <v>957</v>
      </c>
      <c r="AD28" s="102">
        <v>170</v>
      </c>
      <c r="AN28" s="102">
        <v>0</v>
      </c>
      <c r="AO28" s="102">
        <v>0</v>
      </c>
      <c r="AT28" s="104">
        <f t="shared" si="16"/>
        <v>1140</v>
      </c>
      <c r="AW28" s="103">
        <v>19</v>
      </c>
      <c r="AY28" s="102">
        <v>1900</v>
      </c>
      <c r="AZ28" s="102">
        <v>190</v>
      </c>
      <c r="BA28" s="172">
        <v>0</v>
      </c>
      <c r="BC28" s="104">
        <f ca="1">IFERROR(OFFSET(ITEM_RES!$A$5,MATCH(BD28,ITEM_RES!$M$5:$M$84,0)-1,0),0)</f>
        <v>0</v>
      </c>
    </row>
    <row r="29" spans="1:55" x14ac:dyDescent="0.3">
      <c r="A29" s="107">
        <f t="shared" si="12"/>
        <v>321020120</v>
      </c>
      <c r="B29" s="106">
        <v>32</v>
      </c>
      <c r="C29" s="105">
        <f t="shared" si="13"/>
        <v>1</v>
      </c>
      <c r="D29" s="106">
        <v>2</v>
      </c>
      <c r="E29" s="106">
        <v>1</v>
      </c>
      <c r="F29" s="105">
        <f t="shared" si="2"/>
        <v>20</v>
      </c>
      <c r="H29" s="103">
        <v>1</v>
      </c>
      <c r="I29" s="105">
        <f t="shared" si="14"/>
        <v>102</v>
      </c>
      <c r="J29" s="172">
        <v>20</v>
      </c>
      <c r="L29" s="172" t="s">
        <v>1115</v>
      </c>
      <c r="M29" s="172" t="s">
        <v>1123</v>
      </c>
      <c r="N29" s="103" t="s">
        <v>2</v>
      </c>
      <c r="O29" s="103" t="s">
        <v>1073</v>
      </c>
      <c r="P29" s="172">
        <v>0</v>
      </c>
      <c r="Q29" s="172">
        <v>12</v>
      </c>
      <c r="R29" s="103" t="s">
        <v>1031</v>
      </c>
      <c r="S29" s="103">
        <v>321020101</v>
      </c>
      <c r="T29" s="104" t="str">
        <f t="shared" si="6"/>
        <v>UITexture/TechProd/321020101.png</v>
      </c>
      <c r="U29" s="172" t="s">
        <v>1138</v>
      </c>
      <c r="V29" s="104">
        <f t="shared" si="15"/>
        <v>0</v>
      </c>
      <c r="Z29" s="172">
        <v>1</v>
      </c>
      <c r="AB29" s="102">
        <f ca="1">IFERROR(OFFSET(BLDG_FUNC_PARAM!$A$5,MATCH(AC29,BLDG_FUNC_PARAM!$J$5:$J$68,0)-1,0),0)</f>
        <v>121020001</v>
      </c>
      <c r="AC29" s="103" t="s">
        <v>957</v>
      </c>
      <c r="AD29" s="102">
        <v>200</v>
      </c>
      <c r="AN29" s="102">
        <v>21</v>
      </c>
      <c r="AO29" s="102">
        <v>0</v>
      </c>
      <c r="AT29" s="104">
        <f t="shared" si="16"/>
        <v>1200</v>
      </c>
      <c r="AW29" s="103">
        <v>20</v>
      </c>
      <c r="AY29" s="102">
        <v>2000</v>
      </c>
      <c r="AZ29" s="102">
        <v>200</v>
      </c>
      <c r="BA29" s="172">
        <v>0</v>
      </c>
      <c r="BC29" s="104">
        <f ca="1">IFERROR(OFFSET(ITEM_RES!$A$5,MATCH(BD29,ITEM_RES!$M$5:$M$84,0)-1,0),0)</f>
        <v>0</v>
      </c>
    </row>
    <row r="30" spans="1:55" x14ac:dyDescent="0.3">
      <c r="A30" s="107">
        <f t="shared" si="12"/>
        <v>321020121</v>
      </c>
      <c r="B30" s="106">
        <v>32</v>
      </c>
      <c r="C30" s="105">
        <f t="shared" si="13"/>
        <v>1</v>
      </c>
      <c r="D30" s="106">
        <v>2</v>
      </c>
      <c r="E30" s="106">
        <v>1</v>
      </c>
      <c r="F30" s="105">
        <f t="shared" si="2"/>
        <v>21</v>
      </c>
      <c r="H30" s="103">
        <v>1</v>
      </c>
      <c r="I30" s="105">
        <f t="shared" si="14"/>
        <v>102</v>
      </c>
      <c r="J30" s="172">
        <v>21</v>
      </c>
      <c r="L30" s="172" t="s">
        <v>1115</v>
      </c>
      <c r="M30" s="172" t="s">
        <v>1123</v>
      </c>
      <c r="N30" s="103" t="s">
        <v>2</v>
      </c>
      <c r="O30" s="103" t="s">
        <v>1073</v>
      </c>
      <c r="P30" s="172">
        <v>0</v>
      </c>
      <c r="Q30" s="172">
        <v>12</v>
      </c>
      <c r="R30" s="103" t="s">
        <v>1031</v>
      </c>
      <c r="S30" s="103">
        <v>321020101</v>
      </c>
      <c r="T30" s="104" t="str">
        <f t="shared" si="6"/>
        <v>UITexture/TechProd/321020101.png</v>
      </c>
      <c r="U30" s="172" t="s">
        <v>1138</v>
      </c>
      <c r="V30" s="104">
        <f t="shared" si="15"/>
        <v>0</v>
      </c>
      <c r="Z30" s="172">
        <v>1</v>
      </c>
      <c r="AB30" s="102">
        <f ca="1">IFERROR(OFFSET(BLDG_FUNC_PARAM!$A$5,MATCH(AC30,BLDG_FUNC_PARAM!$J$5:$J$68,0)-1,0),0)</f>
        <v>121020001</v>
      </c>
      <c r="AC30" s="103" t="s">
        <v>957</v>
      </c>
      <c r="AD30" s="102">
        <v>205</v>
      </c>
      <c r="AN30" s="102">
        <v>0</v>
      </c>
      <c r="AO30" s="102">
        <v>0</v>
      </c>
      <c r="AT30" s="104">
        <f t="shared" si="16"/>
        <v>1260</v>
      </c>
      <c r="AW30" s="103">
        <v>21</v>
      </c>
      <c r="AY30" s="102">
        <v>2100</v>
      </c>
      <c r="AZ30" s="102">
        <v>210</v>
      </c>
      <c r="BA30" s="172">
        <v>0</v>
      </c>
      <c r="BC30" s="104">
        <f ca="1">IFERROR(OFFSET(ITEM_RES!$A$5,MATCH(BD30,ITEM_RES!$M$5:$M$84,0)-1,0),0)</f>
        <v>0</v>
      </c>
    </row>
    <row r="31" spans="1:55" x14ac:dyDescent="0.3">
      <c r="A31" s="107">
        <f t="shared" si="12"/>
        <v>321020122</v>
      </c>
      <c r="B31" s="106">
        <v>32</v>
      </c>
      <c r="C31" s="105">
        <f t="shared" si="13"/>
        <v>1</v>
      </c>
      <c r="D31" s="106">
        <v>2</v>
      </c>
      <c r="E31" s="106">
        <v>1</v>
      </c>
      <c r="F31" s="105">
        <f t="shared" si="2"/>
        <v>22</v>
      </c>
      <c r="H31" s="103">
        <v>1</v>
      </c>
      <c r="I31" s="105">
        <f t="shared" si="14"/>
        <v>102</v>
      </c>
      <c r="J31" s="172">
        <v>22</v>
      </c>
      <c r="L31" s="172" t="s">
        <v>1115</v>
      </c>
      <c r="M31" s="172" t="s">
        <v>1123</v>
      </c>
      <c r="N31" s="103" t="s">
        <v>2</v>
      </c>
      <c r="O31" s="103" t="s">
        <v>1073</v>
      </c>
      <c r="P31" s="172">
        <v>0</v>
      </c>
      <c r="Q31" s="172">
        <v>12</v>
      </c>
      <c r="R31" s="103" t="s">
        <v>1031</v>
      </c>
      <c r="S31" s="103">
        <v>321020101</v>
      </c>
      <c r="T31" s="104" t="str">
        <f t="shared" si="6"/>
        <v>UITexture/TechProd/321020101.png</v>
      </c>
      <c r="U31" s="172" t="s">
        <v>1138</v>
      </c>
      <c r="V31" s="104">
        <f t="shared" si="15"/>
        <v>0</v>
      </c>
      <c r="Z31" s="172">
        <v>1</v>
      </c>
      <c r="AB31" s="102">
        <f ca="1">IFERROR(OFFSET(BLDG_FUNC_PARAM!$A$5,MATCH(AC31,BLDG_FUNC_PARAM!$J$5:$J$68,0)-1,0),0)</f>
        <v>121020001</v>
      </c>
      <c r="AC31" s="103" t="s">
        <v>957</v>
      </c>
      <c r="AD31" s="102">
        <v>210</v>
      </c>
      <c r="AN31" s="102">
        <v>0</v>
      </c>
      <c r="AO31" s="102">
        <v>0</v>
      </c>
      <c r="AT31" s="104">
        <f t="shared" si="16"/>
        <v>1320</v>
      </c>
      <c r="AW31" s="103">
        <v>22</v>
      </c>
      <c r="AY31" s="102">
        <v>2200</v>
      </c>
      <c r="AZ31" s="102">
        <v>220</v>
      </c>
      <c r="BA31" s="172">
        <v>0</v>
      </c>
      <c r="BC31" s="104">
        <f ca="1">IFERROR(OFFSET(ITEM_RES!$A$5,MATCH(BD31,ITEM_RES!$M$5:$M$84,0)-1,0),0)</f>
        <v>0</v>
      </c>
    </row>
    <row r="32" spans="1:55" x14ac:dyDescent="0.3">
      <c r="A32" s="107">
        <f t="shared" si="12"/>
        <v>321020123</v>
      </c>
      <c r="B32" s="106">
        <v>32</v>
      </c>
      <c r="C32" s="105">
        <f t="shared" si="13"/>
        <v>1</v>
      </c>
      <c r="D32" s="106">
        <v>2</v>
      </c>
      <c r="E32" s="106">
        <v>1</v>
      </c>
      <c r="F32" s="105">
        <f t="shared" si="2"/>
        <v>23</v>
      </c>
      <c r="H32" s="103">
        <v>1</v>
      </c>
      <c r="I32" s="105">
        <f t="shared" si="14"/>
        <v>102</v>
      </c>
      <c r="J32" s="172">
        <v>23</v>
      </c>
      <c r="L32" s="172" t="s">
        <v>1115</v>
      </c>
      <c r="M32" s="172" t="s">
        <v>1123</v>
      </c>
      <c r="N32" s="103" t="s">
        <v>2</v>
      </c>
      <c r="O32" s="103" t="s">
        <v>1073</v>
      </c>
      <c r="P32" s="172">
        <v>0</v>
      </c>
      <c r="Q32" s="172">
        <v>12</v>
      </c>
      <c r="R32" s="103" t="s">
        <v>1031</v>
      </c>
      <c r="S32" s="103">
        <v>321020101</v>
      </c>
      <c r="T32" s="104" t="str">
        <f t="shared" si="6"/>
        <v>UITexture/TechProd/321020101.png</v>
      </c>
      <c r="U32" s="172" t="s">
        <v>1138</v>
      </c>
      <c r="V32" s="104">
        <f t="shared" si="15"/>
        <v>0</v>
      </c>
      <c r="Z32" s="172">
        <v>1</v>
      </c>
      <c r="AB32" s="102">
        <f ca="1">IFERROR(OFFSET(BLDG_FUNC_PARAM!$A$5,MATCH(AC32,BLDG_FUNC_PARAM!$J$5:$J$68,0)-1,0),0)</f>
        <v>121020001</v>
      </c>
      <c r="AC32" s="103" t="s">
        <v>957</v>
      </c>
      <c r="AD32" s="102">
        <v>215</v>
      </c>
      <c r="AN32" s="102">
        <v>0</v>
      </c>
      <c r="AO32" s="102">
        <v>0</v>
      </c>
      <c r="AT32" s="104">
        <f t="shared" si="16"/>
        <v>1380</v>
      </c>
      <c r="AW32" s="103">
        <v>23</v>
      </c>
      <c r="AY32" s="102">
        <v>2300</v>
      </c>
      <c r="AZ32" s="102">
        <v>230</v>
      </c>
      <c r="BA32" s="172">
        <v>0</v>
      </c>
      <c r="BC32" s="104">
        <f ca="1">IFERROR(OFFSET(ITEM_RES!$A$5,MATCH(BD32,ITEM_RES!$M$5:$M$84,0)-1,0),0)</f>
        <v>0</v>
      </c>
    </row>
    <row r="33" spans="1:55" x14ac:dyDescent="0.3">
      <c r="A33" s="107">
        <f t="shared" si="12"/>
        <v>321020124</v>
      </c>
      <c r="B33" s="106">
        <v>32</v>
      </c>
      <c r="C33" s="105">
        <f t="shared" si="13"/>
        <v>1</v>
      </c>
      <c r="D33" s="106">
        <v>2</v>
      </c>
      <c r="E33" s="106">
        <v>1</v>
      </c>
      <c r="F33" s="105">
        <f t="shared" si="2"/>
        <v>24</v>
      </c>
      <c r="H33" s="103">
        <v>1</v>
      </c>
      <c r="I33" s="105">
        <f t="shared" si="14"/>
        <v>102</v>
      </c>
      <c r="J33" s="172">
        <v>24</v>
      </c>
      <c r="L33" s="172" t="s">
        <v>1115</v>
      </c>
      <c r="M33" s="172" t="s">
        <v>1123</v>
      </c>
      <c r="N33" s="103" t="s">
        <v>2</v>
      </c>
      <c r="O33" s="103" t="s">
        <v>1073</v>
      </c>
      <c r="P33" s="172">
        <v>0</v>
      </c>
      <c r="Q33" s="172">
        <v>12</v>
      </c>
      <c r="R33" s="103" t="s">
        <v>1031</v>
      </c>
      <c r="S33" s="103">
        <v>321020101</v>
      </c>
      <c r="T33" s="104" t="str">
        <f t="shared" si="6"/>
        <v>UITexture/TechProd/321020101.png</v>
      </c>
      <c r="U33" s="172" t="s">
        <v>1138</v>
      </c>
      <c r="V33" s="104">
        <f t="shared" si="15"/>
        <v>0</v>
      </c>
      <c r="Z33" s="172">
        <v>1</v>
      </c>
      <c r="AB33" s="102">
        <f ca="1">IFERROR(OFFSET(BLDG_FUNC_PARAM!$A$5,MATCH(AC33,BLDG_FUNC_PARAM!$J$5:$J$68,0)-1,0),0)</f>
        <v>121020001</v>
      </c>
      <c r="AC33" s="103" t="s">
        <v>957</v>
      </c>
      <c r="AD33" s="102">
        <v>220</v>
      </c>
      <c r="AN33" s="102">
        <v>0</v>
      </c>
      <c r="AO33" s="102">
        <v>0</v>
      </c>
      <c r="AT33" s="104">
        <f t="shared" si="16"/>
        <v>1440</v>
      </c>
      <c r="AW33" s="103">
        <v>24</v>
      </c>
      <c r="AY33" s="102">
        <v>2400</v>
      </c>
      <c r="AZ33" s="102">
        <v>240</v>
      </c>
      <c r="BA33" s="172">
        <v>0</v>
      </c>
      <c r="BC33" s="104">
        <f ca="1">IFERROR(OFFSET(ITEM_RES!$A$5,MATCH(BD33,ITEM_RES!$M$5:$M$84,0)-1,0),0)</f>
        <v>0</v>
      </c>
    </row>
    <row r="34" spans="1:55" x14ac:dyDescent="0.3">
      <c r="A34" s="107">
        <f t="shared" si="12"/>
        <v>321020125</v>
      </c>
      <c r="B34" s="106">
        <v>32</v>
      </c>
      <c r="C34" s="105">
        <f t="shared" si="13"/>
        <v>1</v>
      </c>
      <c r="D34" s="106">
        <v>2</v>
      </c>
      <c r="E34" s="106">
        <v>1</v>
      </c>
      <c r="F34" s="105">
        <f t="shared" si="2"/>
        <v>25</v>
      </c>
      <c r="H34" s="103">
        <v>1</v>
      </c>
      <c r="I34" s="105">
        <f t="shared" si="14"/>
        <v>102</v>
      </c>
      <c r="J34" s="172">
        <v>25</v>
      </c>
      <c r="L34" s="172" t="s">
        <v>1115</v>
      </c>
      <c r="M34" s="172" t="s">
        <v>1123</v>
      </c>
      <c r="N34" s="103" t="s">
        <v>2</v>
      </c>
      <c r="O34" s="103" t="s">
        <v>1073</v>
      </c>
      <c r="P34" s="172">
        <v>0</v>
      </c>
      <c r="Q34" s="172">
        <v>12</v>
      </c>
      <c r="R34" s="103" t="s">
        <v>1031</v>
      </c>
      <c r="S34" s="103">
        <v>321020101</v>
      </c>
      <c r="T34" s="104" t="str">
        <f t="shared" si="6"/>
        <v>UITexture/TechProd/321020101.png</v>
      </c>
      <c r="U34" s="172" t="s">
        <v>1138</v>
      </c>
      <c r="V34" s="104">
        <f t="shared" si="15"/>
        <v>0</v>
      </c>
      <c r="Z34" s="172">
        <v>1</v>
      </c>
      <c r="AB34" s="102">
        <f ca="1">IFERROR(OFFSET(BLDG_FUNC_PARAM!$A$5,MATCH(AC34,BLDG_FUNC_PARAM!$J$5:$J$68,0)-1,0),0)</f>
        <v>121020001</v>
      </c>
      <c r="AC34" s="103" t="s">
        <v>957</v>
      </c>
      <c r="AD34" s="102">
        <v>250</v>
      </c>
      <c r="AN34" s="102">
        <v>26</v>
      </c>
      <c r="AO34" s="102">
        <v>0</v>
      </c>
      <c r="AT34" s="104">
        <f t="shared" si="16"/>
        <v>1500</v>
      </c>
      <c r="AW34" s="103">
        <v>25</v>
      </c>
      <c r="AY34" s="102">
        <v>2500</v>
      </c>
      <c r="AZ34" s="102">
        <v>250</v>
      </c>
      <c r="BA34" s="172">
        <v>0</v>
      </c>
      <c r="BC34" s="104">
        <f ca="1">IFERROR(OFFSET(ITEM_RES!$A$5,MATCH(BD34,ITEM_RES!$M$5:$M$84,0)-1,0),0)</f>
        <v>0</v>
      </c>
    </row>
    <row r="35" spans="1:55" x14ac:dyDescent="0.3">
      <c r="A35" s="107">
        <f t="shared" ref="A35:A39" si="17">B35*10000000+C35*1000000+D35*10000+E35*100+F35</f>
        <v>321020126</v>
      </c>
      <c r="B35" s="106">
        <v>32</v>
      </c>
      <c r="C35" s="105">
        <f t="shared" ref="C35:C39" si="18">H35</f>
        <v>1</v>
      </c>
      <c r="D35" s="106">
        <v>2</v>
      </c>
      <c r="E35" s="106">
        <v>1</v>
      </c>
      <c r="F35" s="105">
        <f t="shared" si="2"/>
        <v>26</v>
      </c>
      <c r="H35" s="103">
        <v>1</v>
      </c>
      <c r="I35" s="105">
        <f t="shared" ref="I35:I39" si="19">C35*100+D35</f>
        <v>102</v>
      </c>
      <c r="J35" s="172">
        <v>26</v>
      </c>
      <c r="L35" s="172" t="s">
        <v>1115</v>
      </c>
      <c r="M35" s="172" t="s">
        <v>1123</v>
      </c>
      <c r="N35" s="103" t="s">
        <v>2</v>
      </c>
      <c r="O35" s="103" t="s">
        <v>1073</v>
      </c>
      <c r="P35" s="172">
        <v>0</v>
      </c>
      <c r="Q35" s="172">
        <v>12</v>
      </c>
      <c r="R35" s="103" t="s">
        <v>1031</v>
      </c>
      <c r="S35" s="103">
        <v>321020101</v>
      </c>
      <c r="T35" s="104" t="str">
        <f t="shared" si="6"/>
        <v>UITexture/TechProd/321020101.png</v>
      </c>
      <c r="U35" s="172" t="s">
        <v>1138</v>
      </c>
      <c r="V35" s="104">
        <f t="shared" ref="V35:V39" si="20">W35*1000+X35</f>
        <v>0</v>
      </c>
      <c r="Z35" s="172">
        <v>1</v>
      </c>
      <c r="AB35" s="102">
        <f ca="1">IFERROR(OFFSET(BLDG_FUNC_PARAM!$A$5,MATCH(AC35,BLDG_FUNC_PARAM!$J$5:$J$68,0)-1,0),0)</f>
        <v>121020001</v>
      </c>
      <c r="AC35" s="103" t="s">
        <v>957</v>
      </c>
      <c r="AD35" s="102">
        <v>255</v>
      </c>
      <c r="AN35" s="102">
        <v>0</v>
      </c>
      <c r="AO35" s="102">
        <v>0</v>
      </c>
      <c r="AT35" s="104">
        <f t="shared" ref="AT35:AT39" si="21">((AU35*24+AV35)*60+AW35)*60+AX35</f>
        <v>1560</v>
      </c>
      <c r="AW35" s="103">
        <v>26</v>
      </c>
      <c r="AY35" s="102">
        <v>2600</v>
      </c>
      <c r="AZ35" s="102">
        <v>260</v>
      </c>
      <c r="BA35" s="172">
        <v>0</v>
      </c>
      <c r="BC35" s="104">
        <f ca="1">IFERROR(OFFSET(ITEM_RES!$A$5,MATCH(BD35,ITEM_RES!$M$5:$M$84,0)-1,0),0)</f>
        <v>0</v>
      </c>
    </row>
    <row r="36" spans="1:55" x14ac:dyDescent="0.3">
      <c r="A36" s="107">
        <f t="shared" si="17"/>
        <v>321020127</v>
      </c>
      <c r="B36" s="106">
        <v>32</v>
      </c>
      <c r="C36" s="105">
        <f t="shared" si="18"/>
        <v>1</v>
      </c>
      <c r="D36" s="106">
        <v>2</v>
      </c>
      <c r="E36" s="106">
        <v>1</v>
      </c>
      <c r="F36" s="105">
        <f t="shared" si="2"/>
        <v>27</v>
      </c>
      <c r="H36" s="103">
        <v>1</v>
      </c>
      <c r="I36" s="105">
        <f t="shared" si="19"/>
        <v>102</v>
      </c>
      <c r="J36" s="172">
        <v>27</v>
      </c>
      <c r="L36" s="172" t="s">
        <v>1115</v>
      </c>
      <c r="M36" s="172" t="s">
        <v>1123</v>
      </c>
      <c r="N36" s="103" t="s">
        <v>2</v>
      </c>
      <c r="O36" s="103" t="s">
        <v>1073</v>
      </c>
      <c r="P36" s="172">
        <v>0</v>
      </c>
      <c r="Q36" s="172">
        <v>12</v>
      </c>
      <c r="R36" s="103" t="s">
        <v>1031</v>
      </c>
      <c r="S36" s="103">
        <v>321020101</v>
      </c>
      <c r="T36" s="104" t="str">
        <f t="shared" si="6"/>
        <v>UITexture/TechProd/321020101.png</v>
      </c>
      <c r="U36" s="172" t="s">
        <v>1138</v>
      </c>
      <c r="V36" s="104">
        <f t="shared" si="20"/>
        <v>0</v>
      </c>
      <c r="Z36" s="172">
        <v>1</v>
      </c>
      <c r="AB36" s="102">
        <f ca="1">IFERROR(OFFSET(BLDG_FUNC_PARAM!$A$5,MATCH(AC36,BLDG_FUNC_PARAM!$J$5:$J$68,0)-1,0),0)</f>
        <v>121020001</v>
      </c>
      <c r="AC36" s="103" t="s">
        <v>957</v>
      </c>
      <c r="AD36" s="102">
        <v>260</v>
      </c>
      <c r="AN36" s="102">
        <v>0</v>
      </c>
      <c r="AO36" s="102">
        <v>0</v>
      </c>
      <c r="AT36" s="104">
        <f t="shared" si="21"/>
        <v>1620</v>
      </c>
      <c r="AW36" s="103">
        <v>27</v>
      </c>
      <c r="AY36" s="102">
        <v>2700</v>
      </c>
      <c r="AZ36" s="102">
        <v>270</v>
      </c>
      <c r="BA36" s="172">
        <v>0</v>
      </c>
      <c r="BC36" s="104">
        <f ca="1">IFERROR(OFFSET(ITEM_RES!$A$5,MATCH(BD36,ITEM_RES!$M$5:$M$84,0)-1,0),0)</f>
        <v>0</v>
      </c>
    </row>
    <row r="37" spans="1:55" x14ac:dyDescent="0.3">
      <c r="A37" s="107">
        <f t="shared" si="17"/>
        <v>321020128</v>
      </c>
      <c r="B37" s="106">
        <v>32</v>
      </c>
      <c r="C37" s="105">
        <f t="shared" si="18"/>
        <v>1</v>
      </c>
      <c r="D37" s="106">
        <v>2</v>
      </c>
      <c r="E37" s="106">
        <v>1</v>
      </c>
      <c r="F37" s="105">
        <f t="shared" si="2"/>
        <v>28</v>
      </c>
      <c r="H37" s="103">
        <v>1</v>
      </c>
      <c r="I37" s="105">
        <f t="shared" si="19"/>
        <v>102</v>
      </c>
      <c r="J37" s="172">
        <v>28</v>
      </c>
      <c r="L37" s="172" t="s">
        <v>1115</v>
      </c>
      <c r="M37" s="172" t="s">
        <v>1123</v>
      </c>
      <c r="N37" s="103" t="s">
        <v>2</v>
      </c>
      <c r="O37" s="103" t="s">
        <v>1073</v>
      </c>
      <c r="P37" s="172">
        <v>0</v>
      </c>
      <c r="Q37" s="172">
        <v>12</v>
      </c>
      <c r="R37" s="103" t="s">
        <v>1031</v>
      </c>
      <c r="S37" s="103">
        <v>321020101</v>
      </c>
      <c r="T37" s="104" t="str">
        <f t="shared" si="6"/>
        <v>UITexture/TechProd/321020101.png</v>
      </c>
      <c r="U37" s="172" t="s">
        <v>1138</v>
      </c>
      <c r="V37" s="104">
        <f t="shared" si="20"/>
        <v>0</v>
      </c>
      <c r="Z37" s="172">
        <v>1</v>
      </c>
      <c r="AB37" s="102">
        <f ca="1">IFERROR(OFFSET(BLDG_FUNC_PARAM!$A$5,MATCH(AC37,BLDG_FUNC_PARAM!$J$5:$J$68,0)-1,0),0)</f>
        <v>121020001</v>
      </c>
      <c r="AC37" s="103" t="s">
        <v>957</v>
      </c>
      <c r="AD37" s="102">
        <v>265</v>
      </c>
      <c r="AN37" s="102">
        <v>0</v>
      </c>
      <c r="AO37" s="102">
        <v>0</v>
      </c>
      <c r="AT37" s="104">
        <f t="shared" si="21"/>
        <v>1680</v>
      </c>
      <c r="AW37" s="103">
        <v>28</v>
      </c>
      <c r="AY37" s="102">
        <v>2800</v>
      </c>
      <c r="AZ37" s="102">
        <v>280</v>
      </c>
      <c r="BA37" s="172">
        <v>0</v>
      </c>
      <c r="BC37" s="104">
        <f ca="1">IFERROR(OFFSET(ITEM_RES!$A$5,MATCH(BD37,ITEM_RES!$M$5:$M$84,0)-1,0),0)</f>
        <v>0</v>
      </c>
    </row>
    <row r="38" spans="1:55" x14ac:dyDescent="0.3">
      <c r="A38" s="107">
        <f t="shared" si="17"/>
        <v>321020129</v>
      </c>
      <c r="B38" s="106">
        <v>32</v>
      </c>
      <c r="C38" s="105">
        <f t="shared" si="18"/>
        <v>1</v>
      </c>
      <c r="D38" s="106">
        <v>2</v>
      </c>
      <c r="E38" s="106">
        <v>1</v>
      </c>
      <c r="F38" s="105">
        <f t="shared" si="2"/>
        <v>29</v>
      </c>
      <c r="H38" s="103">
        <v>1</v>
      </c>
      <c r="I38" s="105">
        <f t="shared" si="19"/>
        <v>102</v>
      </c>
      <c r="J38" s="172">
        <v>29</v>
      </c>
      <c r="L38" s="172" t="s">
        <v>1115</v>
      </c>
      <c r="M38" s="172" t="s">
        <v>1123</v>
      </c>
      <c r="N38" s="103" t="s">
        <v>2</v>
      </c>
      <c r="O38" s="103" t="s">
        <v>1073</v>
      </c>
      <c r="P38" s="172">
        <v>0</v>
      </c>
      <c r="Q38" s="172">
        <v>12</v>
      </c>
      <c r="R38" s="103" t="s">
        <v>1031</v>
      </c>
      <c r="S38" s="103">
        <v>321020101</v>
      </c>
      <c r="T38" s="104" t="str">
        <f t="shared" si="6"/>
        <v>UITexture/TechProd/321020101.png</v>
      </c>
      <c r="U38" s="172" t="s">
        <v>1138</v>
      </c>
      <c r="V38" s="104">
        <f t="shared" si="20"/>
        <v>0</v>
      </c>
      <c r="Z38" s="172">
        <v>1</v>
      </c>
      <c r="AB38" s="102">
        <f ca="1">IFERROR(OFFSET(BLDG_FUNC_PARAM!$A$5,MATCH(AC38,BLDG_FUNC_PARAM!$J$5:$J$68,0)-1,0),0)</f>
        <v>121020001</v>
      </c>
      <c r="AC38" s="103" t="s">
        <v>957</v>
      </c>
      <c r="AD38" s="102">
        <v>270</v>
      </c>
      <c r="AN38" s="102">
        <v>0</v>
      </c>
      <c r="AO38" s="102">
        <v>0</v>
      </c>
      <c r="AT38" s="104">
        <f t="shared" si="21"/>
        <v>1740</v>
      </c>
      <c r="AW38" s="103">
        <v>29</v>
      </c>
      <c r="AY38" s="102">
        <v>2900</v>
      </c>
      <c r="AZ38" s="102">
        <v>290</v>
      </c>
      <c r="BA38" s="172">
        <v>0</v>
      </c>
      <c r="BC38" s="104">
        <f ca="1">IFERROR(OFFSET(ITEM_RES!$A$5,MATCH(BD38,ITEM_RES!$M$5:$M$84,0)-1,0),0)</f>
        <v>0</v>
      </c>
    </row>
    <row r="39" spans="1:55" x14ac:dyDescent="0.3">
      <c r="A39" s="107">
        <f t="shared" si="17"/>
        <v>321020130</v>
      </c>
      <c r="B39" s="106">
        <v>32</v>
      </c>
      <c r="C39" s="105">
        <f t="shared" si="18"/>
        <v>1</v>
      </c>
      <c r="D39" s="106">
        <v>2</v>
      </c>
      <c r="E39" s="106">
        <v>1</v>
      </c>
      <c r="F39" s="105">
        <f t="shared" si="2"/>
        <v>30</v>
      </c>
      <c r="H39" s="103">
        <v>1</v>
      </c>
      <c r="I39" s="105">
        <f t="shared" si="19"/>
        <v>102</v>
      </c>
      <c r="J39" s="172">
        <v>30</v>
      </c>
      <c r="L39" s="172" t="s">
        <v>1115</v>
      </c>
      <c r="M39" s="172" t="s">
        <v>1123</v>
      </c>
      <c r="N39" s="103" t="s">
        <v>2</v>
      </c>
      <c r="O39" s="103" t="s">
        <v>1073</v>
      </c>
      <c r="P39" s="172">
        <v>0</v>
      </c>
      <c r="Q39" s="172">
        <v>12</v>
      </c>
      <c r="R39" s="103" t="s">
        <v>1031</v>
      </c>
      <c r="S39" s="103">
        <v>321020101</v>
      </c>
      <c r="T39" s="104" t="str">
        <f t="shared" si="6"/>
        <v>UITexture/TechProd/321020101.png</v>
      </c>
      <c r="U39" s="172" t="s">
        <v>1138</v>
      </c>
      <c r="V39" s="104">
        <f t="shared" si="20"/>
        <v>0</v>
      </c>
      <c r="Z39" s="172">
        <v>1</v>
      </c>
      <c r="AB39" s="102">
        <f ca="1">IFERROR(OFFSET(BLDG_FUNC_PARAM!$A$5,MATCH(AC39,BLDG_FUNC_PARAM!$J$5:$J$68,0)-1,0),0)</f>
        <v>121020001</v>
      </c>
      <c r="AC39" s="103" t="s">
        <v>957</v>
      </c>
      <c r="AD39" s="102">
        <v>300</v>
      </c>
      <c r="AN39" s="102">
        <v>30</v>
      </c>
      <c r="AO39" s="102">
        <v>0</v>
      </c>
      <c r="AT39" s="104">
        <f t="shared" si="21"/>
        <v>1800</v>
      </c>
      <c r="AW39" s="103">
        <v>30</v>
      </c>
      <c r="AY39" s="102">
        <v>3000</v>
      </c>
      <c r="AZ39" s="102">
        <v>300</v>
      </c>
      <c r="BA39" s="172">
        <v>0</v>
      </c>
      <c r="BC39" s="104">
        <f ca="1">IFERROR(OFFSET(ITEM_RES!$A$5,MATCH(BD39,ITEM_RES!$M$5:$M$84,0)-1,0),0)</f>
        <v>0</v>
      </c>
    </row>
    <row r="40" spans="1:55" x14ac:dyDescent="0.3">
      <c r="A40" s="107">
        <f t="shared" si="0"/>
        <v>321020201</v>
      </c>
      <c r="B40" s="106">
        <v>32</v>
      </c>
      <c r="C40" s="105">
        <f t="shared" ref="C40:C44" si="22">H40</f>
        <v>1</v>
      </c>
      <c r="D40" s="106">
        <v>2</v>
      </c>
      <c r="E40" s="106">
        <v>2</v>
      </c>
      <c r="F40" s="105">
        <f t="shared" si="2"/>
        <v>1</v>
      </c>
      <c r="H40" s="103">
        <v>1</v>
      </c>
      <c r="I40" s="105">
        <f t="shared" ref="I40:I44" si="23">C40*100+D40</f>
        <v>102</v>
      </c>
      <c r="J40" s="172">
        <v>1</v>
      </c>
      <c r="L40" s="172" t="s">
        <v>1115</v>
      </c>
      <c r="M40" s="172" t="s">
        <v>1124</v>
      </c>
      <c r="N40" s="103" t="s">
        <v>2</v>
      </c>
      <c r="O40" s="103" t="s">
        <v>1074</v>
      </c>
      <c r="P40" s="172">
        <v>1</v>
      </c>
      <c r="Q40" s="172">
        <v>12</v>
      </c>
      <c r="R40" s="103" t="s">
        <v>1031</v>
      </c>
      <c r="S40" s="103">
        <v>321020201</v>
      </c>
      <c r="T40" s="104" t="str">
        <f t="shared" si="6"/>
        <v>UITexture/TechProd/321020201.png</v>
      </c>
      <c r="U40" s="172" t="s">
        <v>1139</v>
      </c>
      <c r="V40" s="104">
        <f t="shared" ref="V40:V44" si="24">W40*1000+X40</f>
        <v>4004</v>
      </c>
      <c r="W40" s="103">
        <v>4</v>
      </c>
      <c r="X40" s="103">
        <v>4</v>
      </c>
      <c r="Z40" s="172">
        <v>1</v>
      </c>
      <c r="AB40" s="102">
        <f ca="1">IFERROR(OFFSET(BLDG_FUNC_PARAM!$A$5,MATCH(AC40,BLDG_FUNC_PARAM!$J$5:$J$68,0)-1,0),0)</f>
        <v>121020002</v>
      </c>
      <c r="AC40" s="103" t="s">
        <v>958</v>
      </c>
      <c r="AD40" s="102">
        <v>5</v>
      </c>
      <c r="AN40" s="102">
        <v>3</v>
      </c>
      <c r="AO40" s="102">
        <v>0</v>
      </c>
      <c r="AT40" s="104">
        <f t="shared" ref="AT40:AT44" si="25">((AU40*24+AV40)*60+AW40)*60+AX40</f>
        <v>60</v>
      </c>
      <c r="AW40" s="103">
        <v>1</v>
      </c>
      <c r="AY40" s="102">
        <v>100</v>
      </c>
      <c r="AZ40" s="102">
        <v>10</v>
      </c>
      <c r="BA40" s="172">
        <v>0</v>
      </c>
      <c r="BC40" s="104">
        <f ca="1">IFERROR(OFFSET(ITEM_RES!$A$5,MATCH(BD40,ITEM_RES!$M$5:$M$84,0)-1,0),0)</f>
        <v>0</v>
      </c>
    </row>
    <row r="41" spans="1:55" x14ac:dyDescent="0.3">
      <c r="A41" s="107">
        <f t="shared" si="0"/>
        <v>321020202</v>
      </c>
      <c r="B41" s="106">
        <v>32</v>
      </c>
      <c r="C41" s="105">
        <f t="shared" si="22"/>
        <v>1</v>
      </c>
      <c r="D41" s="106">
        <v>2</v>
      </c>
      <c r="E41" s="106">
        <v>2</v>
      </c>
      <c r="F41" s="105">
        <f t="shared" si="2"/>
        <v>2</v>
      </c>
      <c r="H41" s="103">
        <v>1</v>
      </c>
      <c r="I41" s="105">
        <f t="shared" si="23"/>
        <v>102</v>
      </c>
      <c r="J41" s="172">
        <v>2</v>
      </c>
      <c r="L41" s="172" t="s">
        <v>1115</v>
      </c>
      <c r="M41" s="172" t="s">
        <v>1124</v>
      </c>
      <c r="N41" s="103" t="s">
        <v>2</v>
      </c>
      <c r="O41" s="103" t="s">
        <v>1074</v>
      </c>
      <c r="P41" s="172">
        <v>1</v>
      </c>
      <c r="Q41" s="172">
        <v>12</v>
      </c>
      <c r="R41" s="103" t="s">
        <v>1031</v>
      </c>
      <c r="S41" s="103">
        <v>321020201</v>
      </c>
      <c r="T41" s="104" t="str">
        <f t="shared" si="6"/>
        <v>UITexture/TechProd/321020201.png</v>
      </c>
      <c r="U41" s="172" t="s">
        <v>1139</v>
      </c>
      <c r="V41" s="104">
        <f t="shared" si="24"/>
        <v>0</v>
      </c>
      <c r="Z41" s="172">
        <v>1</v>
      </c>
      <c r="AB41" s="102">
        <f ca="1">IFERROR(OFFSET(BLDG_FUNC_PARAM!$A$5,MATCH(AC41,BLDG_FUNC_PARAM!$J$5:$J$68,0)-1,0),0)</f>
        <v>121020002</v>
      </c>
      <c r="AC41" s="103" t="s">
        <v>958</v>
      </c>
      <c r="AD41" s="102">
        <v>10</v>
      </c>
      <c r="AN41" s="102">
        <v>0</v>
      </c>
      <c r="AO41" s="102">
        <v>0</v>
      </c>
      <c r="AT41" s="104">
        <f t="shared" si="25"/>
        <v>120</v>
      </c>
      <c r="AW41" s="103">
        <v>2</v>
      </c>
      <c r="AY41" s="102">
        <v>200</v>
      </c>
      <c r="AZ41" s="102">
        <v>20</v>
      </c>
      <c r="BA41" s="172">
        <v>0</v>
      </c>
      <c r="BC41" s="104">
        <f ca="1">IFERROR(OFFSET(ITEM_RES!$A$5,MATCH(BD41,ITEM_RES!$M$5:$M$84,0)-1,0),0)</f>
        <v>0</v>
      </c>
    </row>
    <row r="42" spans="1:55" x14ac:dyDescent="0.3">
      <c r="A42" s="107">
        <f t="shared" si="0"/>
        <v>321020203</v>
      </c>
      <c r="B42" s="106">
        <v>32</v>
      </c>
      <c r="C42" s="105">
        <f t="shared" si="22"/>
        <v>1</v>
      </c>
      <c r="D42" s="106">
        <v>2</v>
      </c>
      <c r="E42" s="106">
        <v>2</v>
      </c>
      <c r="F42" s="105">
        <f t="shared" si="2"/>
        <v>3</v>
      </c>
      <c r="H42" s="103">
        <v>1</v>
      </c>
      <c r="I42" s="105">
        <f t="shared" si="23"/>
        <v>102</v>
      </c>
      <c r="J42" s="172">
        <v>3</v>
      </c>
      <c r="L42" s="172" t="s">
        <v>1115</v>
      </c>
      <c r="M42" s="172" t="s">
        <v>1124</v>
      </c>
      <c r="N42" s="103" t="s">
        <v>2</v>
      </c>
      <c r="O42" s="103" t="s">
        <v>1074</v>
      </c>
      <c r="P42" s="172">
        <v>1</v>
      </c>
      <c r="Q42" s="172">
        <v>12</v>
      </c>
      <c r="R42" s="103" t="s">
        <v>1031</v>
      </c>
      <c r="S42" s="103">
        <v>321020201</v>
      </c>
      <c r="T42" s="104" t="str">
        <f t="shared" si="6"/>
        <v>UITexture/TechProd/321020201.png</v>
      </c>
      <c r="U42" s="172" t="s">
        <v>1139</v>
      </c>
      <c r="V42" s="104">
        <f t="shared" si="24"/>
        <v>0</v>
      </c>
      <c r="Z42" s="172">
        <v>1</v>
      </c>
      <c r="AB42" s="102">
        <f ca="1">IFERROR(OFFSET(BLDG_FUNC_PARAM!$A$5,MATCH(AC42,BLDG_FUNC_PARAM!$J$5:$J$68,0)-1,0),0)</f>
        <v>121020002</v>
      </c>
      <c r="AC42" s="103" t="s">
        <v>958</v>
      </c>
      <c r="AD42" s="102">
        <v>15</v>
      </c>
      <c r="AN42" s="102">
        <v>0</v>
      </c>
      <c r="AO42" s="102">
        <v>0</v>
      </c>
      <c r="AT42" s="104">
        <f t="shared" si="25"/>
        <v>180</v>
      </c>
      <c r="AW42" s="103">
        <v>3</v>
      </c>
      <c r="AY42" s="102">
        <v>300</v>
      </c>
      <c r="AZ42" s="102">
        <v>30</v>
      </c>
      <c r="BA42" s="172">
        <v>0</v>
      </c>
      <c r="BC42" s="104">
        <f ca="1">IFERROR(OFFSET(ITEM_RES!$A$5,MATCH(BD42,ITEM_RES!$M$5:$M$84,0)-1,0),0)</f>
        <v>0</v>
      </c>
    </row>
    <row r="43" spans="1:55" x14ac:dyDescent="0.3">
      <c r="A43" s="107">
        <f t="shared" si="0"/>
        <v>321020204</v>
      </c>
      <c r="B43" s="106">
        <v>32</v>
      </c>
      <c r="C43" s="105">
        <f t="shared" si="22"/>
        <v>1</v>
      </c>
      <c r="D43" s="106">
        <v>2</v>
      </c>
      <c r="E43" s="106">
        <v>2</v>
      </c>
      <c r="F43" s="105">
        <f t="shared" si="2"/>
        <v>4</v>
      </c>
      <c r="H43" s="103">
        <v>1</v>
      </c>
      <c r="I43" s="105">
        <f t="shared" si="23"/>
        <v>102</v>
      </c>
      <c r="J43" s="172">
        <v>4</v>
      </c>
      <c r="L43" s="172" t="s">
        <v>1115</v>
      </c>
      <c r="M43" s="172" t="s">
        <v>1124</v>
      </c>
      <c r="N43" s="103" t="s">
        <v>2</v>
      </c>
      <c r="O43" s="103" t="s">
        <v>1074</v>
      </c>
      <c r="P43" s="172">
        <v>1</v>
      </c>
      <c r="Q43" s="172">
        <v>12</v>
      </c>
      <c r="R43" s="103" t="s">
        <v>1031</v>
      </c>
      <c r="S43" s="103">
        <v>321020201</v>
      </c>
      <c r="T43" s="104" t="str">
        <f t="shared" si="6"/>
        <v>UITexture/TechProd/321020201.png</v>
      </c>
      <c r="U43" s="172" t="s">
        <v>1139</v>
      </c>
      <c r="V43" s="104">
        <f t="shared" si="24"/>
        <v>0</v>
      </c>
      <c r="Z43" s="172">
        <v>1</v>
      </c>
      <c r="AB43" s="102">
        <f ca="1">IFERROR(OFFSET(BLDG_FUNC_PARAM!$A$5,MATCH(AC43,BLDG_FUNC_PARAM!$J$5:$J$68,0)-1,0),0)</f>
        <v>121020002</v>
      </c>
      <c r="AC43" s="103" t="s">
        <v>958</v>
      </c>
      <c r="AD43" s="102">
        <v>20</v>
      </c>
      <c r="AN43" s="102">
        <v>0</v>
      </c>
      <c r="AO43" s="102">
        <v>0</v>
      </c>
      <c r="AT43" s="104">
        <f t="shared" si="25"/>
        <v>240</v>
      </c>
      <c r="AW43" s="103">
        <v>4</v>
      </c>
      <c r="AY43" s="102">
        <v>400</v>
      </c>
      <c r="AZ43" s="102">
        <v>40</v>
      </c>
      <c r="BA43" s="172">
        <v>0</v>
      </c>
      <c r="BC43" s="104">
        <f ca="1">IFERROR(OFFSET(ITEM_RES!$A$5,MATCH(BD43,ITEM_RES!$M$5:$M$84,0)-1,0),0)</f>
        <v>0</v>
      </c>
    </row>
    <row r="44" spans="1:55" x14ac:dyDescent="0.3">
      <c r="A44" s="107">
        <f t="shared" si="0"/>
        <v>321020205</v>
      </c>
      <c r="B44" s="106">
        <v>32</v>
      </c>
      <c r="C44" s="105">
        <f t="shared" si="22"/>
        <v>1</v>
      </c>
      <c r="D44" s="106">
        <v>2</v>
      </c>
      <c r="E44" s="106">
        <v>2</v>
      </c>
      <c r="F44" s="105">
        <f t="shared" si="2"/>
        <v>5</v>
      </c>
      <c r="H44" s="103">
        <v>1</v>
      </c>
      <c r="I44" s="105">
        <f t="shared" si="23"/>
        <v>102</v>
      </c>
      <c r="J44" s="172">
        <v>5</v>
      </c>
      <c r="L44" s="172" t="s">
        <v>1115</v>
      </c>
      <c r="M44" s="172" t="s">
        <v>1124</v>
      </c>
      <c r="N44" s="103" t="s">
        <v>2</v>
      </c>
      <c r="O44" s="103" t="s">
        <v>1074</v>
      </c>
      <c r="P44" s="172">
        <v>1</v>
      </c>
      <c r="Q44" s="172">
        <v>12</v>
      </c>
      <c r="R44" s="103" t="s">
        <v>1031</v>
      </c>
      <c r="S44" s="103">
        <v>321020201</v>
      </c>
      <c r="T44" s="104" t="str">
        <f t="shared" si="6"/>
        <v>UITexture/TechProd/321020201.png</v>
      </c>
      <c r="U44" s="172" t="s">
        <v>1139</v>
      </c>
      <c r="V44" s="104">
        <f t="shared" si="24"/>
        <v>0</v>
      </c>
      <c r="Z44" s="172">
        <v>1</v>
      </c>
      <c r="AB44" s="102">
        <f ca="1">IFERROR(OFFSET(BLDG_FUNC_PARAM!$A$5,MATCH(AC44,BLDG_FUNC_PARAM!$J$5:$J$68,0)-1,0),0)</f>
        <v>121020002</v>
      </c>
      <c r="AC44" s="103" t="s">
        <v>958</v>
      </c>
      <c r="AD44" s="102">
        <v>50</v>
      </c>
      <c r="AN44" s="102">
        <v>8</v>
      </c>
      <c r="AO44" s="102">
        <v>0</v>
      </c>
      <c r="AT44" s="104">
        <f t="shared" si="25"/>
        <v>300</v>
      </c>
      <c r="AW44" s="103">
        <v>5</v>
      </c>
      <c r="AY44" s="102">
        <v>500</v>
      </c>
      <c r="AZ44" s="102">
        <v>50</v>
      </c>
      <c r="BA44" s="172">
        <v>0</v>
      </c>
      <c r="BC44" s="104">
        <f ca="1">IFERROR(OFFSET(ITEM_RES!$A$5,MATCH(BD44,ITEM_RES!$M$5:$M$84,0)-1,0),0)</f>
        <v>0</v>
      </c>
    </row>
    <row r="45" spans="1:55" x14ac:dyDescent="0.3">
      <c r="A45" s="107">
        <f t="shared" ref="A45:A54" si="26">B45*10000000+C45*1000000+D45*10000+E45*100+F45</f>
        <v>321020206</v>
      </c>
      <c r="B45" s="106">
        <v>32</v>
      </c>
      <c r="C45" s="105">
        <f t="shared" ref="C45:C54" si="27">H45</f>
        <v>1</v>
      </c>
      <c r="D45" s="106">
        <v>2</v>
      </c>
      <c r="E45" s="106">
        <v>2</v>
      </c>
      <c r="F45" s="105">
        <f t="shared" si="2"/>
        <v>6</v>
      </c>
      <c r="H45" s="103">
        <v>1</v>
      </c>
      <c r="I45" s="105">
        <f t="shared" ref="I45:I54" si="28">C45*100+D45</f>
        <v>102</v>
      </c>
      <c r="J45" s="172">
        <v>6</v>
      </c>
      <c r="L45" s="172" t="s">
        <v>1115</v>
      </c>
      <c r="M45" s="172" t="s">
        <v>1124</v>
      </c>
      <c r="N45" s="103" t="s">
        <v>2</v>
      </c>
      <c r="O45" s="103" t="s">
        <v>1074</v>
      </c>
      <c r="P45" s="172">
        <v>1</v>
      </c>
      <c r="Q45" s="172">
        <v>12</v>
      </c>
      <c r="R45" s="103" t="s">
        <v>1031</v>
      </c>
      <c r="S45" s="103">
        <v>321020201</v>
      </c>
      <c r="T45" s="104" t="str">
        <f t="shared" si="6"/>
        <v>UITexture/TechProd/321020201.png</v>
      </c>
      <c r="U45" s="172" t="s">
        <v>1139</v>
      </c>
      <c r="V45" s="104">
        <f t="shared" ref="V45:V54" si="29">W45*1000+X45</f>
        <v>0</v>
      </c>
      <c r="Z45" s="172">
        <v>1</v>
      </c>
      <c r="AB45" s="102">
        <f ca="1">IFERROR(OFFSET(BLDG_FUNC_PARAM!$A$5,MATCH(AC45,BLDG_FUNC_PARAM!$J$5:$J$68,0)-1,0),0)</f>
        <v>121020002</v>
      </c>
      <c r="AC45" s="103" t="s">
        <v>958</v>
      </c>
      <c r="AD45" s="102">
        <v>55</v>
      </c>
      <c r="AN45" s="102">
        <v>0</v>
      </c>
      <c r="AO45" s="102">
        <v>0</v>
      </c>
      <c r="AT45" s="104">
        <f t="shared" ref="AT45:AT54" si="30">((AU45*24+AV45)*60+AW45)*60+AX45</f>
        <v>360</v>
      </c>
      <c r="AW45" s="103">
        <v>6</v>
      </c>
      <c r="AY45" s="102">
        <v>600</v>
      </c>
      <c r="AZ45" s="102">
        <v>60</v>
      </c>
      <c r="BA45" s="172">
        <v>0</v>
      </c>
      <c r="BC45" s="104">
        <f ca="1">IFERROR(OFFSET(ITEM_RES!$A$5,MATCH(BD45,ITEM_RES!$M$5:$M$84,0)-1,0),0)</f>
        <v>0</v>
      </c>
    </row>
    <row r="46" spans="1:55" x14ac:dyDescent="0.3">
      <c r="A46" s="107">
        <f t="shared" si="26"/>
        <v>321020207</v>
      </c>
      <c r="B46" s="106">
        <v>32</v>
      </c>
      <c r="C46" s="105">
        <f t="shared" si="27"/>
        <v>1</v>
      </c>
      <c r="D46" s="106">
        <v>2</v>
      </c>
      <c r="E46" s="106">
        <v>2</v>
      </c>
      <c r="F46" s="105">
        <f t="shared" si="2"/>
        <v>7</v>
      </c>
      <c r="H46" s="103">
        <v>1</v>
      </c>
      <c r="I46" s="105">
        <f t="shared" si="28"/>
        <v>102</v>
      </c>
      <c r="J46" s="172">
        <v>7</v>
      </c>
      <c r="L46" s="172" t="s">
        <v>1115</v>
      </c>
      <c r="M46" s="172" t="s">
        <v>1124</v>
      </c>
      <c r="N46" s="103" t="s">
        <v>2</v>
      </c>
      <c r="O46" s="103" t="s">
        <v>1074</v>
      </c>
      <c r="P46" s="172">
        <v>1</v>
      </c>
      <c r="Q46" s="172">
        <v>12</v>
      </c>
      <c r="R46" s="103" t="s">
        <v>1031</v>
      </c>
      <c r="S46" s="103">
        <v>321020201</v>
      </c>
      <c r="T46" s="104" t="str">
        <f t="shared" si="6"/>
        <v>UITexture/TechProd/321020201.png</v>
      </c>
      <c r="U46" s="172" t="s">
        <v>1139</v>
      </c>
      <c r="V46" s="104">
        <f t="shared" si="29"/>
        <v>0</v>
      </c>
      <c r="Z46" s="172">
        <v>1</v>
      </c>
      <c r="AB46" s="102">
        <f ca="1">IFERROR(OFFSET(BLDG_FUNC_PARAM!$A$5,MATCH(AC46,BLDG_FUNC_PARAM!$J$5:$J$68,0)-1,0),0)</f>
        <v>121020002</v>
      </c>
      <c r="AC46" s="103" t="s">
        <v>958</v>
      </c>
      <c r="AD46" s="102">
        <v>60</v>
      </c>
      <c r="AN46" s="102">
        <v>0</v>
      </c>
      <c r="AO46" s="102">
        <v>0</v>
      </c>
      <c r="AT46" s="104">
        <f t="shared" si="30"/>
        <v>420</v>
      </c>
      <c r="AW46" s="103">
        <v>7</v>
      </c>
      <c r="AY46" s="102">
        <v>700</v>
      </c>
      <c r="AZ46" s="102">
        <v>70</v>
      </c>
      <c r="BA46" s="172">
        <v>0</v>
      </c>
      <c r="BC46" s="104">
        <f ca="1">IFERROR(OFFSET(ITEM_RES!$A$5,MATCH(BD46,ITEM_RES!$M$5:$M$84,0)-1,0),0)</f>
        <v>0</v>
      </c>
    </row>
    <row r="47" spans="1:55" x14ac:dyDescent="0.3">
      <c r="A47" s="107">
        <f t="shared" si="26"/>
        <v>321020208</v>
      </c>
      <c r="B47" s="106">
        <v>32</v>
      </c>
      <c r="C47" s="105">
        <f t="shared" si="27"/>
        <v>1</v>
      </c>
      <c r="D47" s="106">
        <v>2</v>
      </c>
      <c r="E47" s="106">
        <v>2</v>
      </c>
      <c r="F47" s="105">
        <f t="shared" si="2"/>
        <v>8</v>
      </c>
      <c r="H47" s="103">
        <v>1</v>
      </c>
      <c r="I47" s="105">
        <f t="shared" si="28"/>
        <v>102</v>
      </c>
      <c r="J47" s="172">
        <v>8</v>
      </c>
      <c r="L47" s="172" t="s">
        <v>1115</v>
      </c>
      <c r="M47" s="172" t="s">
        <v>1124</v>
      </c>
      <c r="N47" s="103" t="s">
        <v>2</v>
      </c>
      <c r="O47" s="103" t="s">
        <v>1074</v>
      </c>
      <c r="P47" s="172">
        <v>1</v>
      </c>
      <c r="Q47" s="172">
        <v>12</v>
      </c>
      <c r="R47" s="103" t="s">
        <v>1031</v>
      </c>
      <c r="S47" s="103">
        <v>321020201</v>
      </c>
      <c r="T47" s="104" t="str">
        <f t="shared" si="6"/>
        <v>UITexture/TechProd/321020201.png</v>
      </c>
      <c r="U47" s="172" t="s">
        <v>1139</v>
      </c>
      <c r="V47" s="104">
        <f t="shared" si="29"/>
        <v>0</v>
      </c>
      <c r="Z47" s="172">
        <v>1</v>
      </c>
      <c r="AB47" s="102">
        <f ca="1">IFERROR(OFFSET(BLDG_FUNC_PARAM!$A$5,MATCH(AC47,BLDG_FUNC_PARAM!$J$5:$J$68,0)-1,0),0)</f>
        <v>121020002</v>
      </c>
      <c r="AC47" s="103" t="s">
        <v>958</v>
      </c>
      <c r="AD47" s="102">
        <v>65</v>
      </c>
      <c r="AN47" s="102">
        <v>0</v>
      </c>
      <c r="AO47" s="102">
        <v>0</v>
      </c>
      <c r="AT47" s="104">
        <f t="shared" si="30"/>
        <v>480</v>
      </c>
      <c r="AW47" s="103">
        <v>8</v>
      </c>
      <c r="AY47" s="102">
        <v>800</v>
      </c>
      <c r="AZ47" s="102">
        <v>80</v>
      </c>
      <c r="BA47" s="172">
        <v>0</v>
      </c>
      <c r="BC47" s="104">
        <f ca="1">IFERROR(OFFSET(ITEM_RES!$A$5,MATCH(BD47,ITEM_RES!$M$5:$M$84,0)-1,0),0)</f>
        <v>0</v>
      </c>
    </row>
    <row r="48" spans="1:55" x14ac:dyDescent="0.3">
      <c r="A48" s="107">
        <f t="shared" si="26"/>
        <v>321020209</v>
      </c>
      <c r="B48" s="106">
        <v>32</v>
      </c>
      <c r="C48" s="105">
        <f t="shared" si="27"/>
        <v>1</v>
      </c>
      <c r="D48" s="106">
        <v>2</v>
      </c>
      <c r="E48" s="106">
        <v>2</v>
      </c>
      <c r="F48" s="105">
        <f t="shared" si="2"/>
        <v>9</v>
      </c>
      <c r="H48" s="103">
        <v>1</v>
      </c>
      <c r="I48" s="105">
        <f t="shared" si="28"/>
        <v>102</v>
      </c>
      <c r="J48" s="172">
        <v>9</v>
      </c>
      <c r="L48" s="172" t="s">
        <v>1115</v>
      </c>
      <c r="M48" s="172" t="s">
        <v>1124</v>
      </c>
      <c r="N48" s="103" t="s">
        <v>2</v>
      </c>
      <c r="O48" s="103" t="s">
        <v>1074</v>
      </c>
      <c r="P48" s="172">
        <v>1</v>
      </c>
      <c r="Q48" s="172">
        <v>12</v>
      </c>
      <c r="R48" s="103" t="s">
        <v>1031</v>
      </c>
      <c r="S48" s="103">
        <v>321020201</v>
      </c>
      <c r="T48" s="104" t="str">
        <f t="shared" si="6"/>
        <v>UITexture/TechProd/321020201.png</v>
      </c>
      <c r="U48" s="172" t="s">
        <v>1139</v>
      </c>
      <c r="V48" s="104">
        <f t="shared" si="29"/>
        <v>0</v>
      </c>
      <c r="Z48" s="172">
        <v>1</v>
      </c>
      <c r="AB48" s="102">
        <f ca="1">IFERROR(OFFSET(BLDG_FUNC_PARAM!$A$5,MATCH(AC48,BLDG_FUNC_PARAM!$J$5:$J$68,0)-1,0),0)</f>
        <v>121020002</v>
      </c>
      <c r="AC48" s="103" t="s">
        <v>958</v>
      </c>
      <c r="AD48" s="102">
        <v>70.000000000000014</v>
      </c>
      <c r="AN48" s="102">
        <v>0</v>
      </c>
      <c r="AO48" s="102">
        <v>0</v>
      </c>
      <c r="AT48" s="104">
        <f t="shared" si="30"/>
        <v>540</v>
      </c>
      <c r="AW48" s="103">
        <v>9</v>
      </c>
      <c r="AY48" s="102">
        <v>900</v>
      </c>
      <c r="AZ48" s="102">
        <v>90</v>
      </c>
      <c r="BA48" s="172">
        <v>0</v>
      </c>
      <c r="BC48" s="104">
        <f ca="1">IFERROR(OFFSET(ITEM_RES!$A$5,MATCH(BD48,ITEM_RES!$M$5:$M$84,0)-1,0),0)</f>
        <v>0</v>
      </c>
    </row>
    <row r="49" spans="1:55" x14ac:dyDescent="0.3">
      <c r="A49" s="107">
        <f t="shared" si="26"/>
        <v>321020210</v>
      </c>
      <c r="B49" s="106">
        <v>32</v>
      </c>
      <c r="C49" s="105">
        <f t="shared" si="27"/>
        <v>1</v>
      </c>
      <c r="D49" s="106">
        <v>2</v>
      </c>
      <c r="E49" s="106">
        <v>2</v>
      </c>
      <c r="F49" s="105">
        <f t="shared" si="2"/>
        <v>10</v>
      </c>
      <c r="H49" s="103">
        <v>1</v>
      </c>
      <c r="I49" s="105">
        <f t="shared" si="28"/>
        <v>102</v>
      </c>
      <c r="J49" s="172">
        <v>10</v>
      </c>
      <c r="L49" s="172" t="s">
        <v>1115</v>
      </c>
      <c r="M49" s="172" t="s">
        <v>1124</v>
      </c>
      <c r="N49" s="103" t="s">
        <v>2</v>
      </c>
      <c r="O49" s="103" t="s">
        <v>1074</v>
      </c>
      <c r="P49" s="172">
        <v>1</v>
      </c>
      <c r="Q49" s="172">
        <v>12</v>
      </c>
      <c r="R49" s="103" t="s">
        <v>1031</v>
      </c>
      <c r="S49" s="103">
        <v>321020201</v>
      </c>
      <c r="T49" s="104" t="str">
        <f t="shared" si="6"/>
        <v>UITexture/TechProd/321020201.png</v>
      </c>
      <c r="U49" s="172" t="s">
        <v>1139</v>
      </c>
      <c r="V49" s="104">
        <f t="shared" si="29"/>
        <v>0</v>
      </c>
      <c r="Z49" s="172">
        <v>1</v>
      </c>
      <c r="AB49" s="102">
        <f ca="1">IFERROR(OFFSET(BLDG_FUNC_PARAM!$A$5,MATCH(AC49,BLDG_FUNC_PARAM!$J$5:$J$68,0)-1,0),0)</f>
        <v>121020002</v>
      </c>
      <c r="AC49" s="103" t="s">
        <v>958</v>
      </c>
      <c r="AD49" s="102">
        <v>100</v>
      </c>
      <c r="AN49" s="102">
        <v>12</v>
      </c>
      <c r="AO49" s="102">
        <v>0</v>
      </c>
      <c r="AT49" s="104">
        <f t="shared" si="30"/>
        <v>600</v>
      </c>
      <c r="AW49" s="103">
        <v>10</v>
      </c>
      <c r="AY49" s="102">
        <v>1000</v>
      </c>
      <c r="AZ49" s="102">
        <v>100</v>
      </c>
      <c r="BA49" s="172">
        <v>0</v>
      </c>
      <c r="BC49" s="104">
        <f ca="1">IFERROR(OFFSET(ITEM_RES!$A$5,MATCH(BD49,ITEM_RES!$M$5:$M$84,0)-1,0),0)</f>
        <v>0</v>
      </c>
    </row>
    <row r="50" spans="1:55" x14ac:dyDescent="0.3">
      <c r="A50" s="107">
        <f t="shared" si="26"/>
        <v>321020211</v>
      </c>
      <c r="B50" s="106">
        <v>32</v>
      </c>
      <c r="C50" s="105">
        <f t="shared" si="27"/>
        <v>1</v>
      </c>
      <c r="D50" s="106">
        <v>2</v>
      </c>
      <c r="E50" s="106">
        <v>2</v>
      </c>
      <c r="F50" s="105">
        <f t="shared" si="2"/>
        <v>11</v>
      </c>
      <c r="H50" s="103">
        <v>1</v>
      </c>
      <c r="I50" s="105">
        <f t="shared" si="28"/>
        <v>102</v>
      </c>
      <c r="J50" s="172">
        <v>11</v>
      </c>
      <c r="L50" s="172" t="s">
        <v>1115</v>
      </c>
      <c r="M50" s="172" t="s">
        <v>1124</v>
      </c>
      <c r="N50" s="103" t="s">
        <v>2</v>
      </c>
      <c r="O50" s="103" t="s">
        <v>1074</v>
      </c>
      <c r="P50" s="172">
        <v>1</v>
      </c>
      <c r="Q50" s="172">
        <v>12</v>
      </c>
      <c r="R50" s="103" t="s">
        <v>1031</v>
      </c>
      <c r="S50" s="103">
        <v>321020201</v>
      </c>
      <c r="T50" s="104" t="str">
        <f t="shared" si="6"/>
        <v>UITexture/TechProd/321020201.png</v>
      </c>
      <c r="U50" s="172" t="s">
        <v>1139</v>
      </c>
      <c r="V50" s="104">
        <f t="shared" si="29"/>
        <v>0</v>
      </c>
      <c r="Z50" s="172">
        <v>1</v>
      </c>
      <c r="AB50" s="102">
        <f ca="1">IFERROR(OFFSET(BLDG_FUNC_PARAM!$A$5,MATCH(AC50,BLDG_FUNC_PARAM!$J$5:$J$68,0)-1,0),0)</f>
        <v>121020002</v>
      </c>
      <c r="AC50" s="103" t="s">
        <v>958</v>
      </c>
      <c r="AD50" s="102">
        <v>105</v>
      </c>
      <c r="AN50" s="102">
        <v>0</v>
      </c>
      <c r="AO50" s="102">
        <v>0</v>
      </c>
      <c r="AT50" s="104">
        <f t="shared" si="30"/>
        <v>660</v>
      </c>
      <c r="AW50" s="103">
        <v>11</v>
      </c>
      <c r="AY50" s="102">
        <v>1100</v>
      </c>
      <c r="AZ50" s="102">
        <v>110</v>
      </c>
      <c r="BA50" s="172">
        <v>0</v>
      </c>
      <c r="BC50" s="104">
        <f ca="1">IFERROR(OFFSET(ITEM_RES!$A$5,MATCH(BD50,ITEM_RES!$M$5:$M$84,0)-1,0),0)</f>
        <v>0</v>
      </c>
    </row>
    <row r="51" spans="1:55" x14ac:dyDescent="0.3">
      <c r="A51" s="107">
        <f t="shared" si="26"/>
        <v>321020212</v>
      </c>
      <c r="B51" s="106">
        <v>32</v>
      </c>
      <c r="C51" s="105">
        <f t="shared" si="27"/>
        <v>1</v>
      </c>
      <c r="D51" s="106">
        <v>2</v>
      </c>
      <c r="E51" s="106">
        <v>2</v>
      </c>
      <c r="F51" s="105">
        <f t="shared" si="2"/>
        <v>12</v>
      </c>
      <c r="H51" s="103">
        <v>1</v>
      </c>
      <c r="I51" s="105">
        <f t="shared" si="28"/>
        <v>102</v>
      </c>
      <c r="J51" s="172">
        <v>12</v>
      </c>
      <c r="L51" s="172" t="s">
        <v>1115</v>
      </c>
      <c r="M51" s="172" t="s">
        <v>1124</v>
      </c>
      <c r="N51" s="103" t="s">
        <v>2</v>
      </c>
      <c r="O51" s="103" t="s">
        <v>1074</v>
      </c>
      <c r="P51" s="172">
        <v>1</v>
      </c>
      <c r="Q51" s="172">
        <v>12</v>
      </c>
      <c r="R51" s="103" t="s">
        <v>1031</v>
      </c>
      <c r="S51" s="103">
        <v>321020201</v>
      </c>
      <c r="T51" s="104" t="str">
        <f t="shared" si="6"/>
        <v>UITexture/TechProd/321020201.png</v>
      </c>
      <c r="U51" s="172" t="s">
        <v>1139</v>
      </c>
      <c r="V51" s="104">
        <f t="shared" si="29"/>
        <v>0</v>
      </c>
      <c r="Z51" s="172">
        <v>1</v>
      </c>
      <c r="AB51" s="102">
        <f ca="1">IFERROR(OFFSET(BLDG_FUNC_PARAM!$A$5,MATCH(AC51,BLDG_FUNC_PARAM!$J$5:$J$68,0)-1,0),0)</f>
        <v>121020002</v>
      </c>
      <c r="AC51" s="103" t="s">
        <v>958</v>
      </c>
      <c r="AD51" s="102">
        <v>110</v>
      </c>
      <c r="AN51" s="102">
        <v>0</v>
      </c>
      <c r="AO51" s="102">
        <v>0</v>
      </c>
      <c r="AT51" s="104">
        <f t="shared" si="30"/>
        <v>720</v>
      </c>
      <c r="AW51" s="103">
        <v>12</v>
      </c>
      <c r="AY51" s="102">
        <v>1200</v>
      </c>
      <c r="AZ51" s="102">
        <v>120</v>
      </c>
      <c r="BA51" s="172">
        <v>0</v>
      </c>
      <c r="BC51" s="104">
        <f ca="1">IFERROR(OFFSET(ITEM_RES!$A$5,MATCH(BD51,ITEM_RES!$M$5:$M$84,0)-1,0),0)</f>
        <v>0</v>
      </c>
    </row>
    <row r="52" spans="1:55" x14ac:dyDescent="0.3">
      <c r="A52" s="107">
        <f t="shared" si="26"/>
        <v>321020213</v>
      </c>
      <c r="B52" s="106">
        <v>32</v>
      </c>
      <c r="C52" s="105">
        <f t="shared" si="27"/>
        <v>1</v>
      </c>
      <c r="D52" s="106">
        <v>2</v>
      </c>
      <c r="E52" s="106">
        <v>2</v>
      </c>
      <c r="F52" s="105">
        <f t="shared" si="2"/>
        <v>13</v>
      </c>
      <c r="H52" s="103">
        <v>1</v>
      </c>
      <c r="I52" s="105">
        <f t="shared" si="28"/>
        <v>102</v>
      </c>
      <c r="J52" s="172">
        <v>13</v>
      </c>
      <c r="L52" s="172" t="s">
        <v>1115</v>
      </c>
      <c r="M52" s="172" t="s">
        <v>1124</v>
      </c>
      <c r="N52" s="103" t="s">
        <v>2</v>
      </c>
      <c r="O52" s="103" t="s">
        <v>1074</v>
      </c>
      <c r="P52" s="172">
        <v>0</v>
      </c>
      <c r="Q52" s="172">
        <v>12</v>
      </c>
      <c r="R52" s="103" t="s">
        <v>1031</v>
      </c>
      <c r="S52" s="103">
        <v>321020201</v>
      </c>
      <c r="T52" s="104" t="str">
        <f t="shared" si="6"/>
        <v>UITexture/TechProd/321020201.png</v>
      </c>
      <c r="U52" s="172" t="s">
        <v>1139</v>
      </c>
      <c r="V52" s="104">
        <f t="shared" si="29"/>
        <v>0</v>
      </c>
      <c r="Z52" s="172">
        <v>1</v>
      </c>
      <c r="AB52" s="102">
        <f ca="1">IFERROR(OFFSET(BLDG_FUNC_PARAM!$A$5,MATCH(AC52,BLDG_FUNC_PARAM!$J$5:$J$68,0)-1,0),0)</f>
        <v>121020002</v>
      </c>
      <c r="AC52" s="103" t="s">
        <v>958</v>
      </c>
      <c r="AD52" s="102">
        <v>115</v>
      </c>
      <c r="AN52" s="102">
        <v>0</v>
      </c>
      <c r="AO52" s="102">
        <v>0</v>
      </c>
      <c r="AT52" s="104">
        <f t="shared" si="30"/>
        <v>780</v>
      </c>
      <c r="AW52" s="103">
        <v>13</v>
      </c>
      <c r="AY52" s="102">
        <v>1300</v>
      </c>
      <c r="AZ52" s="102">
        <v>130</v>
      </c>
      <c r="BA52" s="172">
        <v>0</v>
      </c>
      <c r="BC52" s="104">
        <f ca="1">IFERROR(OFFSET(ITEM_RES!$A$5,MATCH(BD52,ITEM_RES!$M$5:$M$84,0)-1,0),0)</f>
        <v>0</v>
      </c>
    </row>
    <row r="53" spans="1:55" x14ac:dyDescent="0.3">
      <c r="A53" s="107">
        <f t="shared" si="26"/>
        <v>321020214</v>
      </c>
      <c r="B53" s="106">
        <v>32</v>
      </c>
      <c r="C53" s="105">
        <f t="shared" si="27"/>
        <v>1</v>
      </c>
      <c r="D53" s="106">
        <v>2</v>
      </c>
      <c r="E53" s="106">
        <v>2</v>
      </c>
      <c r="F53" s="105">
        <f t="shared" si="2"/>
        <v>14</v>
      </c>
      <c r="H53" s="103">
        <v>1</v>
      </c>
      <c r="I53" s="105">
        <f t="shared" si="28"/>
        <v>102</v>
      </c>
      <c r="J53" s="172">
        <v>14</v>
      </c>
      <c r="L53" s="172" t="s">
        <v>1115</v>
      </c>
      <c r="M53" s="172" t="s">
        <v>1124</v>
      </c>
      <c r="N53" s="103" t="s">
        <v>2</v>
      </c>
      <c r="O53" s="103" t="s">
        <v>1074</v>
      </c>
      <c r="P53" s="172">
        <v>0</v>
      </c>
      <c r="Q53" s="172">
        <v>12</v>
      </c>
      <c r="R53" s="103" t="s">
        <v>1031</v>
      </c>
      <c r="S53" s="103">
        <v>321020201</v>
      </c>
      <c r="T53" s="104" t="str">
        <f t="shared" si="6"/>
        <v>UITexture/TechProd/321020201.png</v>
      </c>
      <c r="U53" s="172" t="s">
        <v>1139</v>
      </c>
      <c r="V53" s="104">
        <f t="shared" si="29"/>
        <v>0</v>
      </c>
      <c r="Z53" s="172">
        <v>1</v>
      </c>
      <c r="AB53" s="102">
        <f ca="1">IFERROR(OFFSET(BLDG_FUNC_PARAM!$A$5,MATCH(AC53,BLDG_FUNC_PARAM!$J$5:$J$68,0)-1,0),0)</f>
        <v>121020002</v>
      </c>
      <c r="AC53" s="103" t="s">
        <v>958</v>
      </c>
      <c r="AD53" s="102">
        <v>120</v>
      </c>
      <c r="AN53" s="102">
        <v>0</v>
      </c>
      <c r="AO53" s="102">
        <v>0</v>
      </c>
      <c r="AT53" s="104">
        <f t="shared" si="30"/>
        <v>840</v>
      </c>
      <c r="AW53" s="103">
        <v>14</v>
      </c>
      <c r="AY53" s="102">
        <v>1400</v>
      </c>
      <c r="AZ53" s="102">
        <v>140</v>
      </c>
      <c r="BA53" s="172">
        <v>0</v>
      </c>
      <c r="BC53" s="104">
        <f ca="1">IFERROR(OFFSET(ITEM_RES!$A$5,MATCH(BD53,ITEM_RES!$M$5:$M$84,0)-1,0),0)</f>
        <v>0</v>
      </c>
    </row>
    <row r="54" spans="1:55" x14ac:dyDescent="0.3">
      <c r="A54" s="107">
        <f t="shared" si="26"/>
        <v>321020215</v>
      </c>
      <c r="B54" s="106">
        <v>32</v>
      </c>
      <c r="C54" s="105">
        <f t="shared" si="27"/>
        <v>1</v>
      </c>
      <c r="D54" s="106">
        <v>2</v>
      </c>
      <c r="E54" s="106">
        <v>2</v>
      </c>
      <c r="F54" s="105">
        <f t="shared" si="2"/>
        <v>15</v>
      </c>
      <c r="H54" s="103">
        <v>1</v>
      </c>
      <c r="I54" s="105">
        <f t="shared" si="28"/>
        <v>102</v>
      </c>
      <c r="J54" s="172">
        <v>15</v>
      </c>
      <c r="L54" s="172" t="s">
        <v>1115</v>
      </c>
      <c r="M54" s="172" t="s">
        <v>1124</v>
      </c>
      <c r="N54" s="103" t="s">
        <v>2</v>
      </c>
      <c r="O54" s="103" t="s">
        <v>1074</v>
      </c>
      <c r="P54" s="172">
        <v>0</v>
      </c>
      <c r="Q54" s="172">
        <v>12</v>
      </c>
      <c r="R54" s="103" t="s">
        <v>1031</v>
      </c>
      <c r="S54" s="103">
        <v>321020201</v>
      </c>
      <c r="T54" s="104" t="str">
        <f t="shared" si="6"/>
        <v>UITexture/TechProd/321020201.png</v>
      </c>
      <c r="U54" s="172" t="s">
        <v>1139</v>
      </c>
      <c r="V54" s="104">
        <f t="shared" si="29"/>
        <v>0</v>
      </c>
      <c r="Z54" s="172">
        <v>1</v>
      </c>
      <c r="AB54" s="102">
        <f ca="1">IFERROR(OFFSET(BLDG_FUNC_PARAM!$A$5,MATCH(AC54,BLDG_FUNC_PARAM!$J$5:$J$68,0)-1,0),0)</f>
        <v>121020002</v>
      </c>
      <c r="AC54" s="103" t="s">
        <v>958</v>
      </c>
      <c r="AD54" s="102">
        <v>150</v>
      </c>
      <c r="AN54" s="102">
        <v>17</v>
      </c>
      <c r="AO54" s="102">
        <v>0</v>
      </c>
      <c r="AT54" s="104">
        <f t="shared" si="30"/>
        <v>900</v>
      </c>
      <c r="AW54" s="103">
        <v>15</v>
      </c>
      <c r="AY54" s="102">
        <v>1500</v>
      </c>
      <c r="AZ54" s="102">
        <v>150</v>
      </c>
      <c r="BA54" s="172">
        <v>0</v>
      </c>
      <c r="BC54" s="104">
        <f ca="1">IFERROR(OFFSET(ITEM_RES!$A$5,MATCH(BD54,ITEM_RES!$M$5:$M$84,0)-1,0),0)</f>
        <v>0</v>
      </c>
    </row>
    <row r="55" spans="1:55" x14ac:dyDescent="0.3">
      <c r="A55" s="107">
        <f t="shared" ref="A55:A64" si="31">B55*10000000+C55*1000000+D55*10000+E55*100+F55</f>
        <v>321020216</v>
      </c>
      <c r="B55" s="106">
        <v>32</v>
      </c>
      <c r="C55" s="105">
        <f t="shared" ref="C55:C64" si="32">H55</f>
        <v>1</v>
      </c>
      <c r="D55" s="106">
        <v>2</v>
      </c>
      <c r="E55" s="106">
        <v>2</v>
      </c>
      <c r="F55" s="105">
        <f t="shared" si="2"/>
        <v>16</v>
      </c>
      <c r="H55" s="103">
        <v>1</v>
      </c>
      <c r="I55" s="105">
        <f t="shared" ref="I55:I64" si="33">C55*100+D55</f>
        <v>102</v>
      </c>
      <c r="J55" s="172">
        <v>16</v>
      </c>
      <c r="L55" s="172" t="s">
        <v>1115</v>
      </c>
      <c r="M55" s="172" t="s">
        <v>1124</v>
      </c>
      <c r="N55" s="103" t="s">
        <v>2</v>
      </c>
      <c r="O55" s="103" t="s">
        <v>1074</v>
      </c>
      <c r="P55" s="172">
        <v>0</v>
      </c>
      <c r="Q55" s="172">
        <v>12</v>
      </c>
      <c r="R55" s="103" t="s">
        <v>1031</v>
      </c>
      <c r="S55" s="103">
        <v>321020201</v>
      </c>
      <c r="T55" s="104" t="str">
        <f t="shared" si="6"/>
        <v>UITexture/TechProd/321020201.png</v>
      </c>
      <c r="U55" s="172" t="s">
        <v>1139</v>
      </c>
      <c r="V55" s="104">
        <f t="shared" ref="V55:V64" si="34">W55*1000+X55</f>
        <v>0</v>
      </c>
      <c r="Z55" s="172">
        <v>1</v>
      </c>
      <c r="AB55" s="102">
        <f ca="1">IFERROR(OFFSET(BLDG_FUNC_PARAM!$A$5,MATCH(AC55,BLDG_FUNC_PARAM!$J$5:$J$68,0)-1,0),0)</f>
        <v>121020002</v>
      </c>
      <c r="AC55" s="103" t="s">
        <v>958</v>
      </c>
      <c r="AD55" s="102">
        <v>155</v>
      </c>
      <c r="AN55" s="102">
        <v>0</v>
      </c>
      <c r="AO55" s="102">
        <v>0</v>
      </c>
      <c r="AT55" s="104">
        <f t="shared" ref="AT55:AT64" si="35">((AU55*24+AV55)*60+AW55)*60+AX55</f>
        <v>960</v>
      </c>
      <c r="AW55" s="103">
        <v>16</v>
      </c>
      <c r="AY55" s="102">
        <v>1600</v>
      </c>
      <c r="AZ55" s="102">
        <v>160</v>
      </c>
      <c r="BA55" s="172">
        <v>0</v>
      </c>
      <c r="BC55" s="104">
        <f ca="1">IFERROR(OFFSET(ITEM_RES!$A$5,MATCH(BD55,ITEM_RES!$M$5:$M$84,0)-1,0),0)</f>
        <v>0</v>
      </c>
    </row>
    <row r="56" spans="1:55" x14ac:dyDescent="0.3">
      <c r="A56" s="107">
        <f t="shared" si="31"/>
        <v>321020217</v>
      </c>
      <c r="B56" s="106">
        <v>32</v>
      </c>
      <c r="C56" s="105">
        <f t="shared" si="32"/>
        <v>1</v>
      </c>
      <c r="D56" s="106">
        <v>2</v>
      </c>
      <c r="E56" s="106">
        <v>2</v>
      </c>
      <c r="F56" s="105">
        <f t="shared" si="2"/>
        <v>17</v>
      </c>
      <c r="H56" s="103">
        <v>1</v>
      </c>
      <c r="I56" s="105">
        <f t="shared" si="33"/>
        <v>102</v>
      </c>
      <c r="J56" s="172">
        <v>17</v>
      </c>
      <c r="L56" s="172" t="s">
        <v>1115</v>
      </c>
      <c r="M56" s="172" t="s">
        <v>1124</v>
      </c>
      <c r="N56" s="103" t="s">
        <v>2</v>
      </c>
      <c r="O56" s="103" t="s">
        <v>1074</v>
      </c>
      <c r="P56" s="172">
        <v>0</v>
      </c>
      <c r="Q56" s="172">
        <v>12</v>
      </c>
      <c r="R56" s="103" t="s">
        <v>1031</v>
      </c>
      <c r="S56" s="103">
        <v>321020201</v>
      </c>
      <c r="T56" s="104" t="str">
        <f t="shared" si="6"/>
        <v>UITexture/TechProd/321020201.png</v>
      </c>
      <c r="U56" s="172" t="s">
        <v>1139</v>
      </c>
      <c r="V56" s="104">
        <f t="shared" si="34"/>
        <v>0</v>
      </c>
      <c r="Z56" s="172">
        <v>1</v>
      </c>
      <c r="AB56" s="102">
        <f ca="1">IFERROR(OFFSET(BLDG_FUNC_PARAM!$A$5,MATCH(AC56,BLDG_FUNC_PARAM!$J$5:$J$68,0)-1,0),0)</f>
        <v>121020002</v>
      </c>
      <c r="AC56" s="103" t="s">
        <v>958</v>
      </c>
      <c r="AD56" s="102">
        <v>160</v>
      </c>
      <c r="AN56" s="102">
        <v>0</v>
      </c>
      <c r="AO56" s="102">
        <v>0</v>
      </c>
      <c r="AT56" s="104">
        <f t="shared" si="35"/>
        <v>1020</v>
      </c>
      <c r="AW56" s="103">
        <v>17</v>
      </c>
      <c r="AY56" s="102">
        <v>1700</v>
      </c>
      <c r="AZ56" s="102">
        <v>170</v>
      </c>
      <c r="BA56" s="172">
        <v>0</v>
      </c>
      <c r="BC56" s="104">
        <f ca="1">IFERROR(OFFSET(ITEM_RES!$A$5,MATCH(BD56,ITEM_RES!$M$5:$M$84,0)-1,0),0)</f>
        <v>0</v>
      </c>
    </row>
    <row r="57" spans="1:55" x14ac:dyDescent="0.3">
      <c r="A57" s="107">
        <f t="shared" si="31"/>
        <v>321020218</v>
      </c>
      <c r="B57" s="106">
        <v>32</v>
      </c>
      <c r="C57" s="105">
        <f t="shared" si="32"/>
        <v>1</v>
      </c>
      <c r="D57" s="106">
        <v>2</v>
      </c>
      <c r="E57" s="106">
        <v>2</v>
      </c>
      <c r="F57" s="105">
        <f t="shared" si="2"/>
        <v>18</v>
      </c>
      <c r="H57" s="103">
        <v>1</v>
      </c>
      <c r="I57" s="105">
        <f t="shared" si="33"/>
        <v>102</v>
      </c>
      <c r="J57" s="172">
        <v>18</v>
      </c>
      <c r="L57" s="172" t="s">
        <v>1115</v>
      </c>
      <c r="M57" s="172" t="s">
        <v>1124</v>
      </c>
      <c r="N57" s="103" t="s">
        <v>2</v>
      </c>
      <c r="O57" s="103" t="s">
        <v>1074</v>
      </c>
      <c r="P57" s="172">
        <v>0</v>
      </c>
      <c r="Q57" s="172">
        <v>12</v>
      </c>
      <c r="R57" s="103" t="s">
        <v>1031</v>
      </c>
      <c r="S57" s="103">
        <v>321020201</v>
      </c>
      <c r="T57" s="104" t="str">
        <f t="shared" si="6"/>
        <v>UITexture/TechProd/321020201.png</v>
      </c>
      <c r="U57" s="172" t="s">
        <v>1139</v>
      </c>
      <c r="V57" s="104">
        <f t="shared" si="34"/>
        <v>0</v>
      </c>
      <c r="Z57" s="172">
        <v>1</v>
      </c>
      <c r="AB57" s="102">
        <f ca="1">IFERROR(OFFSET(BLDG_FUNC_PARAM!$A$5,MATCH(AC57,BLDG_FUNC_PARAM!$J$5:$J$68,0)-1,0),0)</f>
        <v>121020002</v>
      </c>
      <c r="AC57" s="103" t="s">
        <v>958</v>
      </c>
      <c r="AD57" s="102">
        <v>165</v>
      </c>
      <c r="AN57" s="102">
        <v>0</v>
      </c>
      <c r="AO57" s="102">
        <v>0</v>
      </c>
      <c r="AT57" s="104">
        <f t="shared" si="35"/>
        <v>1080</v>
      </c>
      <c r="AW57" s="103">
        <v>18</v>
      </c>
      <c r="AY57" s="102">
        <v>1800</v>
      </c>
      <c r="AZ57" s="102">
        <v>180</v>
      </c>
      <c r="BA57" s="172">
        <v>0</v>
      </c>
      <c r="BC57" s="104">
        <f ca="1">IFERROR(OFFSET(ITEM_RES!$A$5,MATCH(BD57,ITEM_RES!$M$5:$M$84,0)-1,0),0)</f>
        <v>0</v>
      </c>
    </row>
    <row r="58" spans="1:55" x14ac:dyDescent="0.3">
      <c r="A58" s="107">
        <f t="shared" si="31"/>
        <v>321020219</v>
      </c>
      <c r="B58" s="106">
        <v>32</v>
      </c>
      <c r="C58" s="105">
        <f t="shared" si="32"/>
        <v>1</v>
      </c>
      <c r="D58" s="106">
        <v>2</v>
      </c>
      <c r="E58" s="106">
        <v>2</v>
      </c>
      <c r="F58" s="105">
        <f t="shared" si="2"/>
        <v>19</v>
      </c>
      <c r="H58" s="103">
        <v>1</v>
      </c>
      <c r="I58" s="105">
        <f t="shared" si="33"/>
        <v>102</v>
      </c>
      <c r="J58" s="172">
        <v>19</v>
      </c>
      <c r="L58" s="172" t="s">
        <v>1115</v>
      </c>
      <c r="M58" s="172" t="s">
        <v>1124</v>
      </c>
      <c r="N58" s="103" t="s">
        <v>2</v>
      </c>
      <c r="O58" s="103" t="s">
        <v>1074</v>
      </c>
      <c r="P58" s="172">
        <v>0</v>
      </c>
      <c r="Q58" s="172">
        <v>12</v>
      </c>
      <c r="R58" s="103" t="s">
        <v>1031</v>
      </c>
      <c r="S58" s="103">
        <v>321020201</v>
      </c>
      <c r="T58" s="104" t="str">
        <f t="shared" si="6"/>
        <v>UITexture/TechProd/321020201.png</v>
      </c>
      <c r="U58" s="172" t="s">
        <v>1139</v>
      </c>
      <c r="V58" s="104">
        <f t="shared" si="34"/>
        <v>0</v>
      </c>
      <c r="Z58" s="172">
        <v>1</v>
      </c>
      <c r="AB58" s="102">
        <f ca="1">IFERROR(OFFSET(BLDG_FUNC_PARAM!$A$5,MATCH(AC58,BLDG_FUNC_PARAM!$J$5:$J$68,0)-1,0),0)</f>
        <v>121020002</v>
      </c>
      <c r="AC58" s="103" t="s">
        <v>958</v>
      </c>
      <c r="AD58" s="102">
        <v>170</v>
      </c>
      <c r="AN58" s="102">
        <v>0</v>
      </c>
      <c r="AO58" s="102">
        <v>0</v>
      </c>
      <c r="AT58" s="104">
        <f t="shared" si="35"/>
        <v>1140</v>
      </c>
      <c r="AW58" s="103">
        <v>19</v>
      </c>
      <c r="AY58" s="102">
        <v>1900</v>
      </c>
      <c r="AZ58" s="102">
        <v>190</v>
      </c>
      <c r="BA58" s="172">
        <v>0</v>
      </c>
      <c r="BC58" s="104">
        <f ca="1">IFERROR(OFFSET(ITEM_RES!$A$5,MATCH(BD58,ITEM_RES!$M$5:$M$84,0)-1,0),0)</f>
        <v>0</v>
      </c>
    </row>
    <row r="59" spans="1:55" x14ac:dyDescent="0.3">
      <c r="A59" s="107">
        <f t="shared" si="31"/>
        <v>321020220</v>
      </c>
      <c r="B59" s="106">
        <v>32</v>
      </c>
      <c r="C59" s="105">
        <f t="shared" si="32"/>
        <v>1</v>
      </c>
      <c r="D59" s="106">
        <v>2</v>
      </c>
      <c r="E59" s="106">
        <v>2</v>
      </c>
      <c r="F59" s="105">
        <f t="shared" si="2"/>
        <v>20</v>
      </c>
      <c r="H59" s="103">
        <v>1</v>
      </c>
      <c r="I59" s="105">
        <f t="shared" si="33"/>
        <v>102</v>
      </c>
      <c r="J59" s="172">
        <v>20</v>
      </c>
      <c r="L59" s="172" t="s">
        <v>1115</v>
      </c>
      <c r="M59" s="172" t="s">
        <v>1124</v>
      </c>
      <c r="N59" s="103" t="s">
        <v>2</v>
      </c>
      <c r="O59" s="103" t="s">
        <v>1074</v>
      </c>
      <c r="P59" s="172">
        <v>0</v>
      </c>
      <c r="Q59" s="172">
        <v>12</v>
      </c>
      <c r="R59" s="103" t="s">
        <v>1031</v>
      </c>
      <c r="S59" s="103">
        <v>321020201</v>
      </c>
      <c r="T59" s="104" t="str">
        <f t="shared" si="6"/>
        <v>UITexture/TechProd/321020201.png</v>
      </c>
      <c r="U59" s="172" t="s">
        <v>1139</v>
      </c>
      <c r="V59" s="104">
        <f t="shared" si="34"/>
        <v>0</v>
      </c>
      <c r="Z59" s="172">
        <v>1</v>
      </c>
      <c r="AB59" s="102">
        <f ca="1">IFERROR(OFFSET(BLDG_FUNC_PARAM!$A$5,MATCH(AC59,BLDG_FUNC_PARAM!$J$5:$J$68,0)-1,0),0)</f>
        <v>121020002</v>
      </c>
      <c r="AC59" s="103" t="s">
        <v>958</v>
      </c>
      <c r="AD59" s="102">
        <v>200</v>
      </c>
      <c r="AN59" s="102">
        <v>21</v>
      </c>
      <c r="AO59" s="102">
        <v>0</v>
      </c>
      <c r="AT59" s="104">
        <f t="shared" si="35"/>
        <v>1200</v>
      </c>
      <c r="AW59" s="103">
        <v>20</v>
      </c>
      <c r="AY59" s="102">
        <v>2000</v>
      </c>
      <c r="AZ59" s="102">
        <v>200</v>
      </c>
      <c r="BA59" s="172">
        <v>0</v>
      </c>
      <c r="BC59" s="104">
        <f ca="1">IFERROR(OFFSET(ITEM_RES!$A$5,MATCH(BD59,ITEM_RES!$M$5:$M$84,0)-1,0),0)</f>
        <v>0</v>
      </c>
    </row>
    <row r="60" spans="1:55" x14ac:dyDescent="0.3">
      <c r="A60" s="107">
        <f t="shared" si="31"/>
        <v>321020221</v>
      </c>
      <c r="B60" s="106">
        <v>32</v>
      </c>
      <c r="C60" s="105">
        <f t="shared" si="32"/>
        <v>1</v>
      </c>
      <c r="D60" s="106">
        <v>2</v>
      </c>
      <c r="E60" s="106">
        <v>2</v>
      </c>
      <c r="F60" s="105">
        <f t="shared" si="2"/>
        <v>21</v>
      </c>
      <c r="H60" s="103">
        <v>1</v>
      </c>
      <c r="I60" s="105">
        <f t="shared" si="33"/>
        <v>102</v>
      </c>
      <c r="J60" s="172">
        <v>21</v>
      </c>
      <c r="L60" s="172" t="s">
        <v>1115</v>
      </c>
      <c r="M60" s="172" t="s">
        <v>1124</v>
      </c>
      <c r="N60" s="103" t="s">
        <v>2</v>
      </c>
      <c r="O60" s="103" t="s">
        <v>1074</v>
      </c>
      <c r="P60" s="172">
        <v>0</v>
      </c>
      <c r="Q60" s="172">
        <v>12</v>
      </c>
      <c r="R60" s="103" t="s">
        <v>1031</v>
      </c>
      <c r="S60" s="103">
        <v>321020201</v>
      </c>
      <c r="T60" s="104" t="str">
        <f t="shared" si="6"/>
        <v>UITexture/TechProd/321020201.png</v>
      </c>
      <c r="U60" s="172" t="s">
        <v>1139</v>
      </c>
      <c r="V60" s="104">
        <f t="shared" si="34"/>
        <v>0</v>
      </c>
      <c r="Z60" s="172">
        <v>1</v>
      </c>
      <c r="AB60" s="102">
        <f ca="1">IFERROR(OFFSET(BLDG_FUNC_PARAM!$A$5,MATCH(AC60,BLDG_FUNC_PARAM!$J$5:$J$68,0)-1,0),0)</f>
        <v>121020002</v>
      </c>
      <c r="AC60" s="103" t="s">
        <v>958</v>
      </c>
      <c r="AD60" s="102">
        <v>205</v>
      </c>
      <c r="AN60" s="102">
        <v>0</v>
      </c>
      <c r="AO60" s="102">
        <v>0</v>
      </c>
      <c r="AT60" s="104">
        <f t="shared" si="35"/>
        <v>1260</v>
      </c>
      <c r="AW60" s="103">
        <v>21</v>
      </c>
      <c r="AY60" s="102">
        <v>2100</v>
      </c>
      <c r="AZ60" s="102">
        <v>210</v>
      </c>
      <c r="BA60" s="172">
        <v>0</v>
      </c>
      <c r="BC60" s="104">
        <f ca="1">IFERROR(OFFSET(ITEM_RES!$A$5,MATCH(BD60,ITEM_RES!$M$5:$M$84,0)-1,0),0)</f>
        <v>0</v>
      </c>
    </row>
    <row r="61" spans="1:55" x14ac:dyDescent="0.3">
      <c r="A61" s="107">
        <f t="shared" si="31"/>
        <v>321020222</v>
      </c>
      <c r="B61" s="106">
        <v>32</v>
      </c>
      <c r="C61" s="105">
        <f t="shared" si="32"/>
        <v>1</v>
      </c>
      <c r="D61" s="106">
        <v>2</v>
      </c>
      <c r="E61" s="106">
        <v>2</v>
      </c>
      <c r="F61" s="105">
        <f t="shared" si="2"/>
        <v>22</v>
      </c>
      <c r="H61" s="103">
        <v>1</v>
      </c>
      <c r="I61" s="105">
        <f t="shared" si="33"/>
        <v>102</v>
      </c>
      <c r="J61" s="172">
        <v>22</v>
      </c>
      <c r="L61" s="172" t="s">
        <v>1115</v>
      </c>
      <c r="M61" s="172" t="s">
        <v>1124</v>
      </c>
      <c r="N61" s="103" t="s">
        <v>2</v>
      </c>
      <c r="O61" s="103" t="s">
        <v>1074</v>
      </c>
      <c r="P61" s="172">
        <v>0</v>
      </c>
      <c r="Q61" s="172">
        <v>12</v>
      </c>
      <c r="R61" s="103" t="s">
        <v>1031</v>
      </c>
      <c r="S61" s="103">
        <v>321020201</v>
      </c>
      <c r="T61" s="104" t="str">
        <f t="shared" si="6"/>
        <v>UITexture/TechProd/321020201.png</v>
      </c>
      <c r="U61" s="172" t="s">
        <v>1139</v>
      </c>
      <c r="V61" s="104">
        <f t="shared" si="34"/>
        <v>0</v>
      </c>
      <c r="Z61" s="172">
        <v>1</v>
      </c>
      <c r="AB61" s="102">
        <f ca="1">IFERROR(OFFSET(BLDG_FUNC_PARAM!$A$5,MATCH(AC61,BLDG_FUNC_PARAM!$J$5:$J$68,0)-1,0),0)</f>
        <v>121020002</v>
      </c>
      <c r="AC61" s="103" t="s">
        <v>958</v>
      </c>
      <c r="AD61" s="102">
        <v>210</v>
      </c>
      <c r="AN61" s="102">
        <v>0</v>
      </c>
      <c r="AO61" s="102">
        <v>0</v>
      </c>
      <c r="AT61" s="104">
        <f t="shared" si="35"/>
        <v>1320</v>
      </c>
      <c r="AW61" s="103">
        <v>22</v>
      </c>
      <c r="AY61" s="102">
        <v>2200</v>
      </c>
      <c r="AZ61" s="102">
        <v>220</v>
      </c>
      <c r="BA61" s="172">
        <v>0</v>
      </c>
      <c r="BC61" s="104">
        <f ca="1">IFERROR(OFFSET(ITEM_RES!$A$5,MATCH(BD61,ITEM_RES!$M$5:$M$84,0)-1,0),0)</f>
        <v>0</v>
      </c>
    </row>
    <row r="62" spans="1:55" x14ac:dyDescent="0.3">
      <c r="A62" s="107">
        <f t="shared" si="31"/>
        <v>321020223</v>
      </c>
      <c r="B62" s="106">
        <v>32</v>
      </c>
      <c r="C62" s="105">
        <f t="shared" si="32"/>
        <v>1</v>
      </c>
      <c r="D62" s="106">
        <v>2</v>
      </c>
      <c r="E62" s="106">
        <v>2</v>
      </c>
      <c r="F62" s="105">
        <f t="shared" si="2"/>
        <v>23</v>
      </c>
      <c r="H62" s="103">
        <v>1</v>
      </c>
      <c r="I62" s="105">
        <f t="shared" si="33"/>
        <v>102</v>
      </c>
      <c r="J62" s="172">
        <v>23</v>
      </c>
      <c r="L62" s="172" t="s">
        <v>1115</v>
      </c>
      <c r="M62" s="172" t="s">
        <v>1124</v>
      </c>
      <c r="N62" s="103" t="s">
        <v>2</v>
      </c>
      <c r="O62" s="103" t="s">
        <v>1074</v>
      </c>
      <c r="P62" s="172">
        <v>0</v>
      </c>
      <c r="Q62" s="172">
        <v>12</v>
      </c>
      <c r="R62" s="103" t="s">
        <v>1031</v>
      </c>
      <c r="S62" s="103">
        <v>321020201</v>
      </c>
      <c r="T62" s="104" t="str">
        <f t="shared" si="6"/>
        <v>UITexture/TechProd/321020201.png</v>
      </c>
      <c r="U62" s="172" t="s">
        <v>1139</v>
      </c>
      <c r="V62" s="104">
        <f t="shared" si="34"/>
        <v>0</v>
      </c>
      <c r="Z62" s="172">
        <v>1</v>
      </c>
      <c r="AB62" s="102">
        <f ca="1">IFERROR(OFFSET(BLDG_FUNC_PARAM!$A$5,MATCH(AC62,BLDG_FUNC_PARAM!$J$5:$J$68,0)-1,0),0)</f>
        <v>121020002</v>
      </c>
      <c r="AC62" s="103" t="s">
        <v>958</v>
      </c>
      <c r="AD62" s="102">
        <v>215</v>
      </c>
      <c r="AN62" s="102">
        <v>0</v>
      </c>
      <c r="AO62" s="102">
        <v>0</v>
      </c>
      <c r="AT62" s="104">
        <f t="shared" si="35"/>
        <v>1380</v>
      </c>
      <c r="AW62" s="103">
        <v>23</v>
      </c>
      <c r="AY62" s="102">
        <v>2300</v>
      </c>
      <c r="AZ62" s="102">
        <v>230</v>
      </c>
      <c r="BA62" s="172">
        <v>0</v>
      </c>
      <c r="BC62" s="104">
        <f ca="1">IFERROR(OFFSET(ITEM_RES!$A$5,MATCH(BD62,ITEM_RES!$M$5:$M$84,0)-1,0),0)</f>
        <v>0</v>
      </c>
    </row>
    <row r="63" spans="1:55" x14ac:dyDescent="0.3">
      <c r="A63" s="107">
        <f t="shared" si="31"/>
        <v>321020224</v>
      </c>
      <c r="B63" s="106">
        <v>32</v>
      </c>
      <c r="C63" s="105">
        <f t="shared" si="32"/>
        <v>1</v>
      </c>
      <c r="D63" s="106">
        <v>2</v>
      </c>
      <c r="E63" s="106">
        <v>2</v>
      </c>
      <c r="F63" s="105">
        <f t="shared" si="2"/>
        <v>24</v>
      </c>
      <c r="H63" s="103">
        <v>1</v>
      </c>
      <c r="I63" s="105">
        <f t="shared" si="33"/>
        <v>102</v>
      </c>
      <c r="J63" s="172">
        <v>24</v>
      </c>
      <c r="L63" s="172" t="s">
        <v>1115</v>
      </c>
      <c r="M63" s="172" t="s">
        <v>1124</v>
      </c>
      <c r="N63" s="103" t="s">
        <v>2</v>
      </c>
      <c r="O63" s="103" t="s">
        <v>1074</v>
      </c>
      <c r="P63" s="172">
        <v>0</v>
      </c>
      <c r="Q63" s="172">
        <v>12</v>
      </c>
      <c r="R63" s="103" t="s">
        <v>1031</v>
      </c>
      <c r="S63" s="103">
        <v>321020201</v>
      </c>
      <c r="T63" s="104" t="str">
        <f t="shared" si="6"/>
        <v>UITexture/TechProd/321020201.png</v>
      </c>
      <c r="U63" s="172" t="s">
        <v>1139</v>
      </c>
      <c r="V63" s="104">
        <f t="shared" si="34"/>
        <v>0</v>
      </c>
      <c r="Z63" s="172">
        <v>1</v>
      </c>
      <c r="AB63" s="102">
        <f ca="1">IFERROR(OFFSET(BLDG_FUNC_PARAM!$A$5,MATCH(AC63,BLDG_FUNC_PARAM!$J$5:$J$68,0)-1,0),0)</f>
        <v>121020002</v>
      </c>
      <c r="AC63" s="103" t="s">
        <v>958</v>
      </c>
      <c r="AD63" s="102">
        <v>220</v>
      </c>
      <c r="AN63" s="102">
        <v>0</v>
      </c>
      <c r="AO63" s="102">
        <v>0</v>
      </c>
      <c r="AT63" s="104">
        <f t="shared" si="35"/>
        <v>1440</v>
      </c>
      <c r="AW63" s="103">
        <v>24</v>
      </c>
      <c r="AY63" s="102">
        <v>2400</v>
      </c>
      <c r="AZ63" s="102">
        <v>240</v>
      </c>
      <c r="BA63" s="172">
        <v>0</v>
      </c>
      <c r="BC63" s="104">
        <f ca="1">IFERROR(OFFSET(ITEM_RES!$A$5,MATCH(BD63,ITEM_RES!$M$5:$M$84,0)-1,0),0)</f>
        <v>0</v>
      </c>
    </row>
    <row r="64" spans="1:55" x14ac:dyDescent="0.3">
      <c r="A64" s="107">
        <f t="shared" si="31"/>
        <v>321020225</v>
      </c>
      <c r="B64" s="106">
        <v>32</v>
      </c>
      <c r="C64" s="105">
        <f t="shared" si="32"/>
        <v>1</v>
      </c>
      <c r="D64" s="106">
        <v>2</v>
      </c>
      <c r="E64" s="106">
        <v>2</v>
      </c>
      <c r="F64" s="105">
        <f t="shared" si="2"/>
        <v>25</v>
      </c>
      <c r="H64" s="103">
        <v>1</v>
      </c>
      <c r="I64" s="105">
        <f t="shared" si="33"/>
        <v>102</v>
      </c>
      <c r="J64" s="172">
        <v>25</v>
      </c>
      <c r="L64" s="172" t="s">
        <v>1115</v>
      </c>
      <c r="M64" s="172" t="s">
        <v>1124</v>
      </c>
      <c r="N64" s="103" t="s">
        <v>2</v>
      </c>
      <c r="O64" s="103" t="s">
        <v>1074</v>
      </c>
      <c r="P64" s="172">
        <v>0</v>
      </c>
      <c r="Q64" s="172">
        <v>12</v>
      </c>
      <c r="R64" s="103" t="s">
        <v>1031</v>
      </c>
      <c r="S64" s="103">
        <v>321020201</v>
      </c>
      <c r="T64" s="104" t="str">
        <f t="shared" si="6"/>
        <v>UITexture/TechProd/321020201.png</v>
      </c>
      <c r="U64" s="172" t="s">
        <v>1139</v>
      </c>
      <c r="V64" s="104">
        <f t="shared" si="34"/>
        <v>0</v>
      </c>
      <c r="Z64" s="172">
        <v>1</v>
      </c>
      <c r="AB64" s="102">
        <f ca="1">IFERROR(OFFSET(BLDG_FUNC_PARAM!$A$5,MATCH(AC64,BLDG_FUNC_PARAM!$J$5:$J$68,0)-1,0),0)</f>
        <v>121020002</v>
      </c>
      <c r="AC64" s="103" t="s">
        <v>958</v>
      </c>
      <c r="AD64" s="102">
        <v>250</v>
      </c>
      <c r="AN64" s="102">
        <v>26</v>
      </c>
      <c r="AO64" s="102">
        <v>0</v>
      </c>
      <c r="AT64" s="104">
        <f t="shared" si="35"/>
        <v>1500</v>
      </c>
      <c r="AW64" s="103">
        <v>25</v>
      </c>
      <c r="AY64" s="102">
        <v>2500</v>
      </c>
      <c r="AZ64" s="102">
        <v>250</v>
      </c>
      <c r="BA64" s="172">
        <v>0</v>
      </c>
      <c r="BC64" s="104">
        <f ca="1">IFERROR(OFFSET(ITEM_RES!$A$5,MATCH(BD64,ITEM_RES!$M$5:$M$84,0)-1,0),0)</f>
        <v>0</v>
      </c>
    </row>
    <row r="65" spans="1:73" x14ac:dyDescent="0.3">
      <c r="A65" s="107">
        <f t="shared" ref="A65:A69" si="36">B65*10000000+C65*1000000+D65*10000+E65*100+F65</f>
        <v>321020226</v>
      </c>
      <c r="B65" s="106">
        <v>32</v>
      </c>
      <c r="C65" s="105">
        <f t="shared" ref="C65:C69" si="37">H65</f>
        <v>1</v>
      </c>
      <c r="D65" s="106">
        <v>2</v>
      </c>
      <c r="E65" s="106">
        <v>2</v>
      </c>
      <c r="F65" s="105">
        <f t="shared" si="2"/>
        <v>26</v>
      </c>
      <c r="H65" s="103">
        <v>1</v>
      </c>
      <c r="I65" s="105">
        <f t="shared" ref="I65:I69" si="38">C65*100+D65</f>
        <v>102</v>
      </c>
      <c r="J65" s="172">
        <v>26</v>
      </c>
      <c r="L65" s="172" t="s">
        <v>1115</v>
      </c>
      <c r="M65" s="172" t="s">
        <v>1124</v>
      </c>
      <c r="N65" s="103" t="s">
        <v>2</v>
      </c>
      <c r="O65" s="103" t="s">
        <v>1074</v>
      </c>
      <c r="P65" s="172">
        <v>0</v>
      </c>
      <c r="Q65" s="172">
        <v>12</v>
      </c>
      <c r="R65" s="103" t="s">
        <v>1031</v>
      </c>
      <c r="S65" s="103">
        <v>321020201</v>
      </c>
      <c r="T65" s="104" t="str">
        <f t="shared" si="6"/>
        <v>UITexture/TechProd/321020201.png</v>
      </c>
      <c r="U65" s="172" t="s">
        <v>1139</v>
      </c>
      <c r="V65" s="104">
        <f t="shared" ref="V65:V69" si="39">W65*1000+X65</f>
        <v>0</v>
      </c>
      <c r="Z65" s="172">
        <v>1</v>
      </c>
      <c r="AB65" s="102">
        <f ca="1">IFERROR(OFFSET(BLDG_FUNC_PARAM!$A$5,MATCH(AC65,BLDG_FUNC_PARAM!$J$5:$J$68,0)-1,0),0)</f>
        <v>121020002</v>
      </c>
      <c r="AC65" s="103" t="s">
        <v>958</v>
      </c>
      <c r="AD65" s="102">
        <v>255</v>
      </c>
      <c r="AN65" s="102">
        <v>0</v>
      </c>
      <c r="AO65" s="102">
        <v>0</v>
      </c>
      <c r="AT65" s="104">
        <f t="shared" ref="AT65:AT69" si="40">((AU65*24+AV65)*60+AW65)*60+AX65</f>
        <v>1560</v>
      </c>
      <c r="AW65" s="103">
        <v>26</v>
      </c>
      <c r="AY65" s="102">
        <v>2600</v>
      </c>
      <c r="AZ65" s="102">
        <v>260</v>
      </c>
      <c r="BA65" s="172">
        <v>0</v>
      </c>
      <c r="BC65" s="104">
        <f ca="1">IFERROR(OFFSET(ITEM_RES!$A$5,MATCH(BD65,ITEM_RES!$M$5:$M$84,0)-1,0),0)</f>
        <v>0</v>
      </c>
    </row>
    <row r="66" spans="1:73" x14ac:dyDescent="0.3">
      <c r="A66" s="107">
        <f t="shared" si="36"/>
        <v>321020227</v>
      </c>
      <c r="B66" s="106">
        <v>32</v>
      </c>
      <c r="C66" s="105">
        <f t="shared" si="37"/>
        <v>1</v>
      </c>
      <c r="D66" s="106">
        <v>2</v>
      </c>
      <c r="E66" s="106">
        <v>2</v>
      </c>
      <c r="F66" s="105">
        <f t="shared" si="2"/>
        <v>27</v>
      </c>
      <c r="H66" s="103">
        <v>1</v>
      </c>
      <c r="I66" s="105">
        <f t="shared" si="38"/>
        <v>102</v>
      </c>
      <c r="J66" s="172">
        <v>27</v>
      </c>
      <c r="L66" s="172" t="s">
        <v>1115</v>
      </c>
      <c r="M66" s="172" t="s">
        <v>1124</v>
      </c>
      <c r="N66" s="103" t="s">
        <v>2</v>
      </c>
      <c r="O66" s="103" t="s">
        <v>1074</v>
      </c>
      <c r="P66" s="172">
        <v>0</v>
      </c>
      <c r="Q66" s="172">
        <v>12</v>
      </c>
      <c r="R66" s="103" t="s">
        <v>1031</v>
      </c>
      <c r="S66" s="103">
        <v>321020201</v>
      </c>
      <c r="T66" s="104" t="str">
        <f t="shared" si="6"/>
        <v>UITexture/TechProd/321020201.png</v>
      </c>
      <c r="U66" s="172" t="s">
        <v>1139</v>
      </c>
      <c r="V66" s="104">
        <f t="shared" si="39"/>
        <v>0</v>
      </c>
      <c r="Z66" s="172">
        <v>1</v>
      </c>
      <c r="AB66" s="102">
        <f ca="1">IFERROR(OFFSET(BLDG_FUNC_PARAM!$A$5,MATCH(AC66,BLDG_FUNC_PARAM!$J$5:$J$68,0)-1,0),0)</f>
        <v>121020002</v>
      </c>
      <c r="AC66" s="103" t="s">
        <v>958</v>
      </c>
      <c r="AD66" s="102">
        <v>260</v>
      </c>
      <c r="AN66" s="102">
        <v>0</v>
      </c>
      <c r="AO66" s="102">
        <v>0</v>
      </c>
      <c r="AT66" s="104">
        <f t="shared" si="40"/>
        <v>1620</v>
      </c>
      <c r="AW66" s="103">
        <v>27</v>
      </c>
      <c r="AY66" s="102">
        <v>2700</v>
      </c>
      <c r="AZ66" s="102">
        <v>270</v>
      </c>
      <c r="BA66" s="172">
        <v>0</v>
      </c>
      <c r="BC66" s="104">
        <f ca="1">IFERROR(OFFSET(ITEM_RES!$A$5,MATCH(BD66,ITEM_RES!$M$5:$M$84,0)-1,0),0)</f>
        <v>0</v>
      </c>
    </row>
    <row r="67" spans="1:73" x14ac:dyDescent="0.3">
      <c r="A67" s="107">
        <f t="shared" si="36"/>
        <v>321020228</v>
      </c>
      <c r="B67" s="106">
        <v>32</v>
      </c>
      <c r="C67" s="105">
        <f t="shared" si="37"/>
        <v>1</v>
      </c>
      <c r="D67" s="106">
        <v>2</v>
      </c>
      <c r="E67" s="106">
        <v>2</v>
      </c>
      <c r="F67" s="105">
        <f t="shared" si="2"/>
        <v>28</v>
      </c>
      <c r="H67" s="103">
        <v>1</v>
      </c>
      <c r="I67" s="105">
        <f t="shared" si="38"/>
        <v>102</v>
      </c>
      <c r="J67" s="172">
        <v>28</v>
      </c>
      <c r="L67" s="172" t="s">
        <v>1115</v>
      </c>
      <c r="M67" s="172" t="s">
        <v>1124</v>
      </c>
      <c r="N67" s="103" t="s">
        <v>2</v>
      </c>
      <c r="O67" s="103" t="s">
        <v>1074</v>
      </c>
      <c r="P67" s="172">
        <v>0</v>
      </c>
      <c r="Q67" s="172">
        <v>12</v>
      </c>
      <c r="R67" s="103" t="s">
        <v>1031</v>
      </c>
      <c r="S67" s="103">
        <v>321020201</v>
      </c>
      <c r="T67" s="104" t="str">
        <f t="shared" si="6"/>
        <v>UITexture/TechProd/321020201.png</v>
      </c>
      <c r="U67" s="172" t="s">
        <v>1139</v>
      </c>
      <c r="V67" s="104">
        <f t="shared" si="39"/>
        <v>0</v>
      </c>
      <c r="Z67" s="172">
        <v>1</v>
      </c>
      <c r="AB67" s="102">
        <f ca="1">IFERROR(OFFSET(BLDG_FUNC_PARAM!$A$5,MATCH(AC67,BLDG_FUNC_PARAM!$J$5:$J$68,0)-1,0),0)</f>
        <v>121020002</v>
      </c>
      <c r="AC67" s="103" t="s">
        <v>958</v>
      </c>
      <c r="AD67" s="102">
        <v>265</v>
      </c>
      <c r="AN67" s="102">
        <v>0</v>
      </c>
      <c r="AO67" s="102">
        <v>0</v>
      </c>
      <c r="AT67" s="104">
        <f t="shared" si="40"/>
        <v>1680</v>
      </c>
      <c r="AW67" s="103">
        <v>28</v>
      </c>
      <c r="AY67" s="102">
        <v>2800</v>
      </c>
      <c r="AZ67" s="102">
        <v>280</v>
      </c>
      <c r="BA67" s="172">
        <v>0</v>
      </c>
      <c r="BC67" s="104">
        <f ca="1">IFERROR(OFFSET(ITEM_RES!$A$5,MATCH(BD67,ITEM_RES!$M$5:$M$84,0)-1,0),0)</f>
        <v>0</v>
      </c>
    </row>
    <row r="68" spans="1:73" x14ac:dyDescent="0.3">
      <c r="A68" s="107">
        <f t="shared" si="36"/>
        <v>321020229</v>
      </c>
      <c r="B68" s="106">
        <v>32</v>
      </c>
      <c r="C68" s="105">
        <f t="shared" si="37"/>
        <v>1</v>
      </c>
      <c r="D68" s="106">
        <v>2</v>
      </c>
      <c r="E68" s="106">
        <v>2</v>
      </c>
      <c r="F68" s="105">
        <f t="shared" si="2"/>
        <v>29</v>
      </c>
      <c r="H68" s="103">
        <v>1</v>
      </c>
      <c r="I68" s="105">
        <f t="shared" si="38"/>
        <v>102</v>
      </c>
      <c r="J68" s="172">
        <v>29</v>
      </c>
      <c r="L68" s="172" t="s">
        <v>1115</v>
      </c>
      <c r="M68" s="172" t="s">
        <v>1124</v>
      </c>
      <c r="N68" s="103" t="s">
        <v>2</v>
      </c>
      <c r="O68" s="103" t="s">
        <v>1074</v>
      </c>
      <c r="P68" s="172">
        <v>0</v>
      </c>
      <c r="Q68" s="172">
        <v>12</v>
      </c>
      <c r="R68" s="103" t="s">
        <v>1031</v>
      </c>
      <c r="S68" s="103">
        <v>321020201</v>
      </c>
      <c r="T68" s="104" t="str">
        <f t="shared" si="6"/>
        <v>UITexture/TechProd/321020201.png</v>
      </c>
      <c r="U68" s="172" t="s">
        <v>1139</v>
      </c>
      <c r="V68" s="104">
        <f t="shared" si="39"/>
        <v>0</v>
      </c>
      <c r="Z68" s="172">
        <v>1</v>
      </c>
      <c r="AB68" s="102">
        <f ca="1">IFERROR(OFFSET(BLDG_FUNC_PARAM!$A$5,MATCH(AC68,BLDG_FUNC_PARAM!$J$5:$J$68,0)-1,0),0)</f>
        <v>121020002</v>
      </c>
      <c r="AC68" s="103" t="s">
        <v>958</v>
      </c>
      <c r="AD68" s="102">
        <v>270</v>
      </c>
      <c r="AN68" s="102">
        <v>0</v>
      </c>
      <c r="AO68" s="102">
        <v>0</v>
      </c>
      <c r="AT68" s="104">
        <f t="shared" si="40"/>
        <v>1740</v>
      </c>
      <c r="AW68" s="103">
        <v>29</v>
      </c>
      <c r="AY68" s="102">
        <v>2900</v>
      </c>
      <c r="AZ68" s="102">
        <v>290</v>
      </c>
      <c r="BA68" s="172">
        <v>0</v>
      </c>
      <c r="BC68" s="104">
        <f ca="1">IFERROR(OFFSET(ITEM_RES!$A$5,MATCH(BD68,ITEM_RES!$M$5:$M$84,0)-1,0),0)</f>
        <v>0</v>
      </c>
    </row>
    <row r="69" spans="1:73" ht="17.25" thickBot="1" x14ac:dyDescent="0.35">
      <c r="A69" s="107">
        <f t="shared" si="36"/>
        <v>321020230</v>
      </c>
      <c r="B69" s="106">
        <v>32</v>
      </c>
      <c r="C69" s="105">
        <f t="shared" si="37"/>
        <v>1</v>
      </c>
      <c r="D69" s="106">
        <v>2</v>
      </c>
      <c r="E69" s="106">
        <v>2</v>
      </c>
      <c r="F69" s="105">
        <f t="shared" ref="F69:F132" si="41">J69</f>
        <v>30</v>
      </c>
      <c r="H69" s="103">
        <v>1</v>
      </c>
      <c r="I69" s="105">
        <f t="shared" si="38"/>
        <v>102</v>
      </c>
      <c r="J69" s="172">
        <v>30</v>
      </c>
      <c r="L69" s="172" t="s">
        <v>1115</v>
      </c>
      <c r="M69" s="172" t="s">
        <v>1124</v>
      </c>
      <c r="N69" s="103" t="s">
        <v>2</v>
      </c>
      <c r="O69" s="103" t="s">
        <v>1074</v>
      </c>
      <c r="P69" s="172">
        <v>0</v>
      </c>
      <c r="Q69" s="172">
        <v>12</v>
      </c>
      <c r="R69" s="103" t="s">
        <v>1031</v>
      </c>
      <c r="S69" s="103">
        <v>321020201</v>
      </c>
      <c r="T69" s="104" t="str">
        <f t="shared" si="6"/>
        <v>UITexture/TechProd/321020201.png</v>
      </c>
      <c r="U69" s="172" t="s">
        <v>1139</v>
      </c>
      <c r="V69" s="104">
        <f t="shared" si="39"/>
        <v>0</v>
      </c>
      <c r="Z69" s="172">
        <v>1</v>
      </c>
      <c r="AB69" s="102">
        <f ca="1">IFERROR(OFFSET(BLDG_FUNC_PARAM!$A$5,MATCH(AC69,BLDG_FUNC_PARAM!$J$5:$J$68,0)-1,0),0)</f>
        <v>121020002</v>
      </c>
      <c r="AC69" s="103" t="s">
        <v>958</v>
      </c>
      <c r="AD69" s="102">
        <v>300</v>
      </c>
      <c r="AN69" s="102">
        <v>30</v>
      </c>
      <c r="AO69" s="102">
        <v>0</v>
      </c>
      <c r="AT69" s="104">
        <f t="shared" si="40"/>
        <v>1800</v>
      </c>
      <c r="AW69" s="103">
        <v>30</v>
      </c>
      <c r="AY69" s="102">
        <v>3000</v>
      </c>
      <c r="AZ69" s="102">
        <v>300</v>
      </c>
      <c r="BA69" s="172">
        <v>0</v>
      </c>
      <c r="BC69" s="104">
        <f ca="1">IFERROR(OFFSET(ITEM_RES!$A$5,MATCH(BD69,ITEM_RES!$M$5:$M$84,0)-1,0),0)</f>
        <v>0</v>
      </c>
    </row>
    <row r="70" spans="1:73" s="115" customFormat="1" x14ac:dyDescent="0.3">
      <c r="A70" s="121">
        <f t="shared" si="0"/>
        <v>321030101</v>
      </c>
      <c r="B70" s="120">
        <v>32</v>
      </c>
      <c r="C70" s="119">
        <f t="shared" ref="C70:C429" si="42">H70</f>
        <v>1</v>
      </c>
      <c r="D70" s="120">
        <v>3</v>
      </c>
      <c r="E70" s="120">
        <v>1</v>
      </c>
      <c r="F70" s="119">
        <f t="shared" si="41"/>
        <v>1</v>
      </c>
      <c r="G70" s="258"/>
      <c r="H70" s="117">
        <v>1</v>
      </c>
      <c r="I70" s="119">
        <f t="shared" si="5"/>
        <v>103</v>
      </c>
      <c r="J70" s="174">
        <v>1</v>
      </c>
      <c r="K70" s="258"/>
      <c r="L70" s="174" t="s">
        <v>1115</v>
      </c>
      <c r="M70" s="174" t="s">
        <v>1125</v>
      </c>
      <c r="N70" s="117" t="s">
        <v>738</v>
      </c>
      <c r="O70" s="117" t="s">
        <v>1075</v>
      </c>
      <c r="P70" s="174">
        <v>1</v>
      </c>
      <c r="Q70" s="174">
        <v>12</v>
      </c>
      <c r="R70" s="117" t="s">
        <v>1031</v>
      </c>
      <c r="S70" s="117">
        <v>321030101</v>
      </c>
      <c r="T70" s="118" t="str">
        <f t="shared" ref="T70:T133" si="43">CONCATENATE(R70,S70,".png")</f>
        <v>UITexture/TechProd/321030101.png</v>
      </c>
      <c r="U70" s="174" t="s">
        <v>1140</v>
      </c>
      <c r="V70" s="118">
        <f t="shared" ref="V70:V429" si="44">W70*1000+X70</f>
        <v>3003</v>
      </c>
      <c r="W70" s="117">
        <v>3</v>
      </c>
      <c r="X70" s="117">
        <v>3</v>
      </c>
      <c r="Y70" s="258"/>
      <c r="Z70" s="174">
        <v>1</v>
      </c>
      <c r="AA70" s="118"/>
      <c r="AB70" s="116">
        <f ca="1">IFERROR(OFFSET(BLDG_FUNC_PARAM!$A$5,MATCH(AC70,BLDG_FUNC_PARAM!$J$5:$J$68,0)-1,0),0)</f>
        <v>121030001</v>
      </c>
      <c r="AC70" s="117" t="s">
        <v>959</v>
      </c>
      <c r="AD70" s="116">
        <v>10</v>
      </c>
      <c r="AE70" s="118"/>
      <c r="AF70" s="116"/>
      <c r="AG70" s="117"/>
      <c r="AH70" s="116"/>
      <c r="AI70" s="118"/>
      <c r="AJ70" s="116"/>
      <c r="AK70" s="117"/>
      <c r="AL70" s="116"/>
      <c r="AM70" s="258"/>
      <c r="AN70" s="116">
        <v>2</v>
      </c>
      <c r="AO70" s="116">
        <v>0</v>
      </c>
      <c r="AP70" s="116"/>
      <c r="AQ70" s="116"/>
      <c r="AR70" s="116"/>
      <c r="AS70" s="258"/>
      <c r="AT70" s="118">
        <f t="shared" ref="AT70:AT429" si="45">((AU70*24+AV70)*60+AW70)*60+AX70</f>
        <v>60</v>
      </c>
      <c r="AU70" s="117"/>
      <c r="AV70" s="117"/>
      <c r="AW70" s="117">
        <v>1</v>
      </c>
      <c r="AX70" s="117"/>
      <c r="AY70" s="116">
        <v>100</v>
      </c>
      <c r="AZ70" s="116">
        <v>10</v>
      </c>
      <c r="BA70" s="174">
        <v>0</v>
      </c>
      <c r="BB70" s="118"/>
      <c r="BC70" s="118">
        <f ca="1">IFERROR(OFFSET(ITEM_RES!$A$5,MATCH(BD70,ITEM_RES!$M$5:$M$84,0)-1,0),0)</f>
        <v>0</v>
      </c>
      <c r="BD70" s="117"/>
      <c r="BE70" s="116"/>
      <c r="BF70" s="118"/>
      <c r="BG70" s="118"/>
      <c r="BH70" s="117"/>
      <c r="BI70" s="116"/>
      <c r="BJ70" s="118"/>
      <c r="BK70" s="118"/>
      <c r="BL70" s="117"/>
      <c r="BM70" s="116"/>
      <c r="BN70" s="118"/>
      <c r="BO70" s="118"/>
      <c r="BP70" s="117"/>
      <c r="BQ70" s="116"/>
      <c r="BR70" s="118"/>
      <c r="BS70" s="118"/>
      <c r="BT70" s="117"/>
      <c r="BU70" s="116"/>
    </row>
    <row r="71" spans="1:73" x14ac:dyDescent="0.3">
      <c r="A71" s="107">
        <f t="shared" si="0"/>
        <v>321030102</v>
      </c>
      <c r="B71" s="106">
        <v>32</v>
      </c>
      <c r="C71" s="105">
        <f t="shared" si="42"/>
        <v>1</v>
      </c>
      <c r="D71" s="106">
        <v>3</v>
      </c>
      <c r="E71" s="106">
        <v>1</v>
      </c>
      <c r="F71" s="105">
        <f t="shared" si="41"/>
        <v>2</v>
      </c>
      <c r="H71" s="103">
        <v>1</v>
      </c>
      <c r="I71" s="105">
        <f t="shared" si="5"/>
        <v>103</v>
      </c>
      <c r="J71" s="172">
        <v>2</v>
      </c>
      <c r="L71" s="172" t="s">
        <v>1115</v>
      </c>
      <c r="M71" s="172" t="s">
        <v>1125</v>
      </c>
      <c r="N71" s="103" t="s">
        <v>738</v>
      </c>
      <c r="O71" s="103" t="s">
        <v>1075</v>
      </c>
      <c r="P71" s="172">
        <v>1</v>
      </c>
      <c r="Q71" s="172">
        <v>12</v>
      </c>
      <c r="R71" s="103" t="s">
        <v>1031</v>
      </c>
      <c r="S71" s="103">
        <v>321030101</v>
      </c>
      <c r="T71" s="104" t="str">
        <f t="shared" si="43"/>
        <v>UITexture/TechProd/321030101.png</v>
      </c>
      <c r="U71" s="172" t="s">
        <v>1140</v>
      </c>
      <c r="V71" s="104">
        <f t="shared" si="44"/>
        <v>0</v>
      </c>
      <c r="Z71" s="172">
        <v>1</v>
      </c>
      <c r="AB71" s="102">
        <f ca="1">IFERROR(OFFSET(BLDG_FUNC_PARAM!$A$5,MATCH(AC71,BLDG_FUNC_PARAM!$J$5:$J$68,0)-1,0),0)</f>
        <v>121030001</v>
      </c>
      <c r="AC71" s="103" t="s">
        <v>959</v>
      </c>
      <c r="AD71" s="102">
        <v>20</v>
      </c>
      <c r="AN71" s="102">
        <v>0</v>
      </c>
      <c r="AO71" s="102">
        <v>0</v>
      </c>
      <c r="AT71" s="104">
        <f t="shared" si="45"/>
        <v>120</v>
      </c>
      <c r="AW71" s="103">
        <v>2</v>
      </c>
      <c r="AY71" s="102">
        <v>200</v>
      </c>
      <c r="AZ71" s="102">
        <v>20</v>
      </c>
      <c r="BA71" s="172">
        <v>0</v>
      </c>
      <c r="BC71" s="104">
        <f ca="1">IFERROR(OFFSET(ITEM_RES!$A$5,MATCH(BD71,ITEM_RES!$M$5:$M$84,0)-1,0),0)</f>
        <v>0</v>
      </c>
    </row>
    <row r="72" spans="1:73" x14ac:dyDescent="0.3">
      <c r="A72" s="107">
        <f t="shared" si="0"/>
        <v>321030103</v>
      </c>
      <c r="B72" s="106">
        <v>32</v>
      </c>
      <c r="C72" s="105">
        <f t="shared" si="42"/>
        <v>1</v>
      </c>
      <c r="D72" s="106">
        <v>3</v>
      </c>
      <c r="E72" s="106">
        <v>1</v>
      </c>
      <c r="F72" s="105">
        <f t="shared" si="41"/>
        <v>3</v>
      </c>
      <c r="H72" s="103">
        <v>1</v>
      </c>
      <c r="I72" s="105">
        <f t="shared" si="5"/>
        <v>103</v>
      </c>
      <c r="J72" s="172">
        <v>3</v>
      </c>
      <c r="L72" s="172" t="s">
        <v>1115</v>
      </c>
      <c r="M72" s="172" t="s">
        <v>1125</v>
      </c>
      <c r="N72" s="103" t="s">
        <v>738</v>
      </c>
      <c r="O72" s="103" t="s">
        <v>1075</v>
      </c>
      <c r="P72" s="172">
        <v>1</v>
      </c>
      <c r="Q72" s="172">
        <v>12</v>
      </c>
      <c r="R72" s="103" t="s">
        <v>1031</v>
      </c>
      <c r="S72" s="103">
        <v>321030101</v>
      </c>
      <c r="T72" s="104" t="str">
        <f t="shared" si="43"/>
        <v>UITexture/TechProd/321030101.png</v>
      </c>
      <c r="U72" s="172" t="s">
        <v>1140</v>
      </c>
      <c r="V72" s="104">
        <f t="shared" si="44"/>
        <v>0</v>
      </c>
      <c r="Z72" s="172">
        <v>1</v>
      </c>
      <c r="AB72" s="102">
        <f ca="1">IFERROR(OFFSET(BLDG_FUNC_PARAM!$A$5,MATCH(AC72,BLDG_FUNC_PARAM!$J$5:$J$68,0)-1,0),0)</f>
        <v>121030001</v>
      </c>
      <c r="AC72" s="103" t="s">
        <v>959</v>
      </c>
      <c r="AD72" s="102">
        <v>30</v>
      </c>
      <c r="AN72" s="102">
        <v>0</v>
      </c>
      <c r="AO72" s="102">
        <v>0</v>
      </c>
      <c r="AT72" s="104">
        <f t="shared" si="45"/>
        <v>180</v>
      </c>
      <c r="AW72" s="103">
        <v>3</v>
      </c>
      <c r="AY72" s="102">
        <v>300</v>
      </c>
      <c r="AZ72" s="102">
        <v>30</v>
      </c>
      <c r="BA72" s="172">
        <v>0</v>
      </c>
      <c r="BC72" s="104">
        <f ca="1">IFERROR(OFFSET(ITEM_RES!$A$5,MATCH(BD72,ITEM_RES!$M$5:$M$84,0)-1,0),0)</f>
        <v>0</v>
      </c>
    </row>
    <row r="73" spans="1:73" x14ac:dyDescent="0.3">
      <c r="A73" s="107">
        <f t="shared" si="0"/>
        <v>321030104</v>
      </c>
      <c r="B73" s="106">
        <v>32</v>
      </c>
      <c r="C73" s="105">
        <f t="shared" si="42"/>
        <v>1</v>
      </c>
      <c r="D73" s="106">
        <v>3</v>
      </c>
      <c r="E73" s="106">
        <v>1</v>
      </c>
      <c r="F73" s="105">
        <f t="shared" si="41"/>
        <v>4</v>
      </c>
      <c r="H73" s="103">
        <v>1</v>
      </c>
      <c r="I73" s="105">
        <f t="shared" si="5"/>
        <v>103</v>
      </c>
      <c r="J73" s="172">
        <v>4</v>
      </c>
      <c r="L73" s="172" t="s">
        <v>1115</v>
      </c>
      <c r="M73" s="172" t="s">
        <v>1125</v>
      </c>
      <c r="N73" s="103" t="s">
        <v>738</v>
      </c>
      <c r="O73" s="103" t="s">
        <v>1075</v>
      </c>
      <c r="P73" s="172">
        <v>1</v>
      </c>
      <c r="Q73" s="172">
        <v>12</v>
      </c>
      <c r="R73" s="103" t="s">
        <v>1031</v>
      </c>
      <c r="S73" s="103">
        <v>321030101</v>
      </c>
      <c r="T73" s="104" t="str">
        <f t="shared" si="43"/>
        <v>UITexture/TechProd/321030101.png</v>
      </c>
      <c r="U73" s="172" t="s">
        <v>1140</v>
      </c>
      <c r="V73" s="104">
        <f t="shared" si="44"/>
        <v>0</v>
      </c>
      <c r="Z73" s="172">
        <v>1</v>
      </c>
      <c r="AB73" s="102">
        <f ca="1">IFERROR(OFFSET(BLDG_FUNC_PARAM!$A$5,MATCH(AC73,BLDG_FUNC_PARAM!$J$5:$J$68,0)-1,0),0)</f>
        <v>121030001</v>
      </c>
      <c r="AC73" s="103" t="s">
        <v>959</v>
      </c>
      <c r="AD73" s="102">
        <v>40</v>
      </c>
      <c r="AN73" s="102">
        <v>0</v>
      </c>
      <c r="AO73" s="102">
        <v>0</v>
      </c>
      <c r="AT73" s="104">
        <f t="shared" si="45"/>
        <v>240</v>
      </c>
      <c r="AW73" s="103">
        <v>4</v>
      </c>
      <c r="AY73" s="102">
        <v>400</v>
      </c>
      <c r="AZ73" s="102">
        <v>40</v>
      </c>
      <c r="BA73" s="172">
        <v>0</v>
      </c>
      <c r="BC73" s="104">
        <f ca="1">IFERROR(OFFSET(ITEM_RES!$A$5,MATCH(BD73,ITEM_RES!$M$5:$M$84,0)-1,0),0)</f>
        <v>0</v>
      </c>
    </row>
    <row r="74" spans="1:73" x14ac:dyDescent="0.3">
      <c r="A74" s="107">
        <f t="shared" si="0"/>
        <v>321030105</v>
      </c>
      <c r="B74" s="106">
        <v>32</v>
      </c>
      <c r="C74" s="105">
        <f t="shared" si="42"/>
        <v>1</v>
      </c>
      <c r="D74" s="106">
        <v>3</v>
      </c>
      <c r="E74" s="106">
        <v>1</v>
      </c>
      <c r="F74" s="105">
        <f t="shared" si="41"/>
        <v>5</v>
      </c>
      <c r="H74" s="103">
        <v>1</v>
      </c>
      <c r="I74" s="105">
        <f t="shared" si="5"/>
        <v>103</v>
      </c>
      <c r="J74" s="172">
        <v>5</v>
      </c>
      <c r="L74" s="172" t="s">
        <v>1115</v>
      </c>
      <c r="M74" s="172" t="s">
        <v>1125</v>
      </c>
      <c r="N74" s="103" t="s">
        <v>738</v>
      </c>
      <c r="O74" s="103" t="s">
        <v>1075</v>
      </c>
      <c r="P74" s="172">
        <v>1</v>
      </c>
      <c r="Q74" s="172">
        <v>12</v>
      </c>
      <c r="R74" s="103" t="s">
        <v>1031</v>
      </c>
      <c r="S74" s="103">
        <v>321030101</v>
      </c>
      <c r="T74" s="104" t="str">
        <f t="shared" si="43"/>
        <v>UITexture/TechProd/321030101.png</v>
      </c>
      <c r="U74" s="172" t="s">
        <v>1140</v>
      </c>
      <c r="V74" s="104">
        <f t="shared" si="44"/>
        <v>0</v>
      </c>
      <c r="Z74" s="172">
        <v>1</v>
      </c>
      <c r="AB74" s="102">
        <f ca="1">IFERROR(OFFSET(BLDG_FUNC_PARAM!$A$5,MATCH(AC74,BLDG_FUNC_PARAM!$J$5:$J$68,0)-1,0),0)</f>
        <v>121030001</v>
      </c>
      <c r="AC74" s="103" t="s">
        <v>959</v>
      </c>
      <c r="AD74" s="102">
        <v>100</v>
      </c>
      <c r="AN74" s="102">
        <v>6</v>
      </c>
      <c r="AO74" s="102">
        <v>0</v>
      </c>
      <c r="AT74" s="104">
        <f t="shared" si="45"/>
        <v>300</v>
      </c>
      <c r="AW74" s="103">
        <v>5</v>
      </c>
      <c r="AY74" s="102">
        <v>500</v>
      </c>
      <c r="AZ74" s="102">
        <v>50</v>
      </c>
      <c r="BA74" s="172">
        <v>0</v>
      </c>
      <c r="BC74" s="104">
        <f ca="1">IFERROR(OFFSET(ITEM_RES!$A$5,MATCH(BD74,ITEM_RES!$M$5:$M$84,0)-1,0),0)</f>
        <v>0</v>
      </c>
    </row>
    <row r="75" spans="1:73" x14ac:dyDescent="0.3">
      <c r="A75" s="107">
        <f t="shared" ref="A75:A84" si="46">B75*10000000+C75*1000000+D75*10000+E75*100+F75</f>
        <v>321030106</v>
      </c>
      <c r="B75" s="106">
        <v>32</v>
      </c>
      <c r="C75" s="105">
        <f t="shared" ref="C75:C84" si="47">H75</f>
        <v>1</v>
      </c>
      <c r="D75" s="106">
        <v>3</v>
      </c>
      <c r="E75" s="106">
        <v>1</v>
      </c>
      <c r="F75" s="105">
        <f t="shared" si="41"/>
        <v>6</v>
      </c>
      <c r="H75" s="103">
        <v>1</v>
      </c>
      <c r="I75" s="105">
        <f t="shared" ref="I75:I84" si="48">C75*100+D75</f>
        <v>103</v>
      </c>
      <c r="J75" s="172">
        <v>6</v>
      </c>
      <c r="L75" s="172" t="s">
        <v>1115</v>
      </c>
      <c r="M75" s="172" t="s">
        <v>1125</v>
      </c>
      <c r="N75" s="103" t="s">
        <v>738</v>
      </c>
      <c r="O75" s="103" t="s">
        <v>1075</v>
      </c>
      <c r="P75" s="172">
        <v>1</v>
      </c>
      <c r="Q75" s="172">
        <v>12</v>
      </c>
      <c r="R75" s="103" t="s">
        <v>1031</v>
      </c>
      <c r="S75" s="103">
        <v>321030101</v>
      </c>
      <c r="T75" s="104" t="str">
        <f t="shared" si="43"/>
        <v>UITexture/TechProd/321030101.png</v>
      </c>
      <c r="U75" s="172" t="s">
        <v>1140</v>
      </c>
      <c r="V75" s="104">
        <f t="shared" ref="V75:V84" si="49">W75*1000+X75</f>
        <v>0</v>
      </c>
      <c r="Z75" s="172">
        <v>1</v>
      </c>
      <c r="AB75" s="102">
        <f ca="1">IFERROR(OFFSET(BLDG_FUNC_PARAM!$A$5,MATCH(AC75,BLDG_FUNC_PARAM!$J$5:$J$68,0)-1,0),0)</f>
        <v>121030001</v>
      </c>
      <c r="AC75" s="103" t="s">
        <v>959</v>
      </c>
      <c r="AD75" s="102">
        <v>110</v>
      </c>
      <c r="AN75" s="102">
        <v>0</v>
      </c>
      <c r="AO75" s="102">
        <v>0</v>
      </c>
      <c r="AT75" s="104">
        <f t="shared" ref="AT75:AT84" si="50">((AU75*24+AV75)*60+AW75)*60+AX75</f>
        <v>360</v>
      </c>
      <c r="AW75" s="103">
        <v>6</v>
      </c>
      <c r="AY75" s="102">
        <v>600</v>
      </c>
      <c r="AZ75" s="102">
        <v>60</v>
      </c>
      <c r="BA75" s="172">
        <v>0</v>
      </c>
      <c r="BC75" s="104">
        <f ca="1">IFERROR(OFFSET(ITEM_RES!$A$5,MATCH(BD75,ITEM_RES!$M$5:$M$84,0)-1,0),0)</f>
        <v>0</v>
      </c>
    </row>
    <row r="76" spans="1:73" x14ac:dyDescent="0.3">
      <c r="A76" s="107">
        <f t="shared" si="46"/>
        <v>321030107</v>
      </c>
      <c r="B76" s="106">
        <v>32</v>
      </c>
      <c r="C76" s="105">
        <f t="shared" si="47"/>
        <v>1</v>
      </c>
      <c r="D76" s="106">
        <v>3</v>
      </c>
      <c r="E76" s="106">
        <v>1</v>
      </c>
      <c r="F76" s="105">
        <f t="shared" si="41"/>
        <v>7</v>
      </c>
      <c r="H76" s="103">
        <v>1</v>
      </c>
      <c r="I76" s="105">
        <f t="shared" si="48"/>
        <v>103</v>
      </c>
      <c r="J76" s="172">
        <v>7</v>
      </c>
      <c r="L76" s="172" t="s">
        <v>1115</v>
      </c>
      <c r="M76" s="172" t="s">
        <v>1125</v>
      </c>
      <c r="N76" s="103" t="s">
        <v>738</v>
      </c>
      <c r="O76" s="103" t="s">
        <v>1075</v>
      </c>
      <c r="P76" s="172">
        <v>1</v>
      </c>
      <c r="Q76" s="172">
        <v>12</v>
      </c>
      <c r="R76" s="103" t="s">
        <v>1031</v>
      </c>
      <c r="S76" s="103">
        <v>321030101</v>
      </c>
      <c r="T76" s="104" t="str">
        <f t="shared" si="43"/>
        <v>UITexture/TechProd/321030101.png</v>
      </c>
      <c r="U76" s="172" t="s">
        <v>1140</v>
      </c>
      <c r="V76" s="104">
        <f t="shared" si="49"/>
        <v>0</v>
      </c>
      <c r="Z76" s="172">
        <v>1</v>
      </c>
      <c r="AB76" s="102">
        <f ca="1">IFERROR(OFFSET(BLDG_FUNC_PARAM!$A$5,MATCH(AC76,BLDG_FUNC_PARAM!$J$5:$J$68,0)-1,0),0)</f>
        <v>121030001</v>
      </c>
      <c r="AC76" s="103" t="s">
        <v>959</v>
      </c>
      <c r="AD76" s="102">
        <v>120</v>
      </c>
      <c r="AN76" s="102">
        <v>0</v>
      </c>
      <c r="AO76" s="102">
        <v>0</v>
      </c>
      <c r="AT76" s="104">
        <f t="shared" si="50"/>
        <v>420</v>
      </c>
      <c r="AW76" s="103">
        <v>7</v>
      </c>
      <c r="AY76" s="102">
        <v>700</v>
      </c>
      <c r="AZ76" s="102">
        <v>70</v>
      </c>
      <c r="BA76" s="172">
        <v>0</v>
      </c>
      <c r="BC76" s="104">
        <f ca="1">IFERROR(OFFSET(ITEM_RES!$A$5,MATCH(BD76,ITEM_RES!$M$5:$M$84,0)-1,0),0)</f>
        <v>0</v>
      </c>
    </row>
    <row r="77" spans="1:73" x14ac:dyDescent="0.3">
      <c r="A77" s="107">
        <f t="shared" si="46"/>
        <v>321030108</v>
      </c>
      <c r="B77" s="106">
        <v>32</v>
      </c>
      <c r="C77" s="105">
        <f t="shared" si="47"/>
        <v>1</v>
      </c>
      <c r="D77" s="106">
        <v>3</v>
      </c>
      <c r="E77" s="106">
        <v>1</v>
      </c>
      <c r="F77" s="105">
        <f t="shared" si="41"/>
        <v>8</v>
      </c>
      <c r="H77" s="103">
        <v>1</v>
      </c>
      <c r="I77" s="105">
        <f t="shared" si="48"/>
        <v>103</v>
      </c>
      <c r="J77" s="172">
        <v>8</v>
      </c>
      <c r="L77" s="172" t="s">
        <v>1115</v>
      </c>
      <c r="M77" s="172" t="s">
        <v>1125</v>
      </c>
      <c r="N77" s="103" t="s">
        <v>738</v>
      </c>
      <c r="O77" s="103" t="s">
        <v>1075</v>
      </c>
      <c r="P77" s="172">
        <v>1</v>
      </c>
      <c r="Q77" s="172">
        <v>12</v>
      </c>
      <c r="R77" s="103" t="s">
        <v>1031</v>
      </c>
      <c r="S77" s="103">
        <v>321030101</v>
      </c>
      <c r="T77" s="104" t="str">
        <f t="shared" si="43"/>
        <v>UITexture/TechProd/321030101.png</v>
      </c>
      <c r="U77" s="172" t="s">
        <v>1140</v>
      </c>
      <c r="V77" s="104">
        <f t="shared" si="49"/>
        <v>0</v>
      </c>
      <c r="Z77" s="172">
        <v>1</v>
      </c>
      <c r="AB77" s="102">
        <f ca="1">IFERROR(OFFSET(BLDG_FUNC_PARAM!$A$5,MATCH(AC77,BLDG_FUNC_PARAM!$J$5:$J$68,0)-1,0),0)</f>
        <v>121030001</v>
      </c>
      <c r="AC77" s="103" t="s">
        <v>959</v>
      </c>
      <c r="AD77" s="102">
        <v>130</v>
      </c>
      <c r="AN77" s="102">
        <v>0</v>
      </c>
      <c r="AO77" s="102">
        <v>0</v>
      </c>
      <c r="AT77" s="104">
        <f t="shared" si="50"/>
        <v>480</v>
      </c>
      <c r="AW77" s="103">
        <v>8</v>
      </c>
      <c r="AY77" s="102">
        <v>800</v>
      </c>
      <c r="AZ77" s="102">
        <v>80</v>
      </c>
      <c r="BA77" s="172">
        <v>0</v>
      </c>
      <c r="BC77" s="104">
        <f ca="1">IFERROR(OFFSET(ITEM_RES!$A$5,MATCH(BD77,ITEM_RES!$M$5:$M$84,0)-1,0),0)</f>
        <v>0</v>
      </c>
    </row>
    <row r="78" spans="1:73" x14ac:dyDescent="0.3">
      <c r="A78" s="107">
        <f t="shared" si="46"/>
        <v>321030109</v>
      </c>
      <c r="B78" s="106">
        <v>32</v>
      </c>
      <c r="C78" s="105">
        <f t="shared" si="47"/>
        <v>1</v>
      </c>
      <c r="D78" s="106">
        <v>3</v>
      </c>
      <c r="E78" s="106">
        <v>1</v>
      </c>
      <c r="F78" s="105">
        <f t="shared" si="41"/>
        <v>9</v>
      </c>
      <c r="H78" s="103">
        <v>1</v>
      </c>
      <c r="I78" s="105">
        <f t="shared" si="48"/>
        <v>103</v>
      </c>
      <c r="J78" s="172">
        <v>9</v>
      </c>
      <c r="L78" s="172" t="s">
        <v>1115</v>
      </c>
      <c r="M78" s="172" t="s">
        <v>1125</v>
      </c>
      <c r="N78" s="103" t="s">
        <v>738</v>
      </c>
      <c r="O78" s="103" t="s">
        <v>1075</v>
      </c>
      <c r="P78" s="172">
        <v>1</v>
      </c>
      <c r="Q78" s="172">
        <v>12</v>
      </c>
      <c r="R78" s="103" t="s">
        <v>1031</v>
      </c>
      <c r="S78" s="103">
        <v>321030101</v>
      </c>
      <c r="T78" s="104" t="str">
        <f t="shared" si="43"/>
        <v>UITexture/TechProd/321030101.png</v>
      </c>
      <c r="U78" s="172" t="s">
        <v>1140</v>
      </c>
      <c r="V78" s="104">
        <f t="shared" si="49"/>
        <v>0</v>
      </c>
      <c r="Z78" s="172">
        <v>1</v>
      </c>
      <c r="AB78" s="102">
        <f ca="1">IFERROR(OFFSET(BLDG_FUNC_PARAM!$A$5,MATCH(AC78,BLDG_FUNC_PARAM!$J$5:$J$68,0)-1,0),0)</f>
        <v>121030001</v>
      </c>
      <c r="AC78" s="103" t="s">
        <v>959</v>
      </c>
      <c r="AD78" s="102">
        <v>140.00000000000003</v>
      </c>
      <c r="AN78" s="102">
        <v>0</v>
      </c>
      <c r="AO78" s="102">
        <v>0</v>
      </c>
      <c r="AT78" s="104">
        <f t="shared" si="50"/>
        <v>540</v>
      </c>
      <c r="AW78" s="103">
        <v>9</v>
      </c>
      <c r="AY78" s="102">
        <v>900</v>
      </c>
      <c r="AZ78" s="102">
        <v>90</v>
      </c>
      <c r="BA78" s="172">
        <v>0</v>
      </c>
      <c r="BC78" s="104">
        <f ca="1">IFERROR(OFFSET(ITEM_RES!$A$5,MATCH(BD78,ITEM_RES!$M$5:$M$84,0)-1,0),0)</f>
        <v>0</v>
      </c>
    </row>
    <row r="79" spans="1:73" x14ac:dyDescent="0.3">
      <c r="A79" s="107">
        <f t="shared" si="46"/>
        <v>321030110</v>
      </c>
      <c r="B79" s="106">
        <v>32</v>
      </c>
      <c r="C79" s="105">
        <f t="shared" si="47"/>
        <v>1</v>
      </c>
      <c r="D79" s="106">
        <v>3</v>
      </c>
      <c r="E79" s="106">
        <v>1</v>
      </c>
      <c r="F79" s="105">
        <f t="shared" si="41"/>
        <v>10</v>
      </c>
      <c r="H79" s="103">
        <v>1</v>
      </c>
      <c r="I79" s="105">
        <f t="shared" si="48"/>
        <v>103</v>
      </c>
      <c r="J79" s="172">
        <v>10</v>
      </c>
      <c r="L79" s="172" t="s">
        <v>1115</v>
      </c>
      <c r="M79" s="172" t="s">
        <v>1125</v>
      </c>
      <c r="N79" s="103" t="s">
        <v>738</v>
      </c>
      <c r="O79" s="103" t="s">
        <v>1075</v>
      </c>
      <c r="P79" s="172">
        <v>1</v>
      </c>
      <c r="Q79" s="172">
        <v>12</v>
      </c>
      <c r="R79" s="103" t="s">
        <v>1031</v>
      </c>
      <c r="S79" s="103">
        <v>321030101</v>
      </c>
      <c r="T79" s="104" t="str">
        <f t="shared" si="43"/>
        <v>UITexture/TechProd/321030101.png</v>
      </c>
      <c r="U79" s="172" t="s">
        <v>1140</v>
      </c>
      <c r="V79" s="104">
        <f t="shared" si="49"/>
        <v>0</v>
      </c>
      <c r="Z79" s="172">
        <v>1</v>
      </c>
      <c r="AB79" s="102">
        <f ca="1">IFERROR(OFFSET(BLDG_FUNC_PARAM!$A$5,MATCH(AC79,BLDG_FUNC_PARAM!$J$5:$J$68,0)-1,0),0)</f>
        <v>121030001</v>
      </c>
      <c r="AC79" s="103" t="s">
        <v>959</v>
      </c>
      <c r="AD79" s="102">
        <v>200</v>
      </c>
      <c r="AN79" s="102">
        <v>11</v>
      </c>
      <c r="AO79" s="102">
        <v>0</v>
      </c>
      <c r="AT79" s="104">
        <f t="shared" si="50"/>
        <v>600</v>
      </c>
      <c r="AW79" s="103">
        <v>10</v>
      </c>
      <c r="AY79" s="102">
        <v>1000</v>
      </c>
      <c r="AZ79" s="102">
        <v>100</v>
      </c>
      <c r="BA79" s="172">
        <v>0</v>
      </c>
      <c r="BC79" s="104">
        <f ca="1">IFERROR(OFFSET(ITEM_RES!$A$5,MATCH(BD79,ITEM_RES!$M$5:$M$84,0)-1,0),0)</f>
        <v>0</v>
      </c>
    </row>
    <row r="80" spans="1:73" x14ac:dyDescent="0.3">
      <c r="A80" s="107">
        <f t="shared" si="46"/>
        <v>321030111</v>
      </c>
      <c r="B80" s="106">
        <v>32</v>
      </c>
      <c r="C80" s="105">
        <f t="shared" si="47"/>
        <v>1</v>
      </c>
      <c r="D80" s="106">
        <v>3</v>
      </c>
      <c r="E80" s="106">
        <v>1</v>
      </c>
      <c r="F80" s="105">
        <f t="shared" si="41"/>
        <v>11</v>
      </c>
      <c r="H80" s="103">
        <v>1</v>
      </c>
      <c r="I80" s="105">
        <f t="shared" si="48"/>
        <v>103</v>
      </c>
      <c r="J80" s="172">
        <v>11</v>
      </c>
      <c r="L80" s="172" t="s">
        <v>1115</v>
      </c>
      <c r="M80" s="172" t="s">
        <v>1125</v>
      </c>
      <c r="N80" s="103" t="s">
        <v>738</v>
      </c>
      <c r="O80" s="103" t="s">
        <v>1075</v>
      </c>
      <c r="P80" s="172">
        <v>1</v>
      </c>
      <c r="Q80" s="172">
        <v>12</v>
      </c>
      <c r="R80" s="103" t="s">
        <v>1031</v>
      </c>
      <c r="S80" s="103">
        <v>321030101</v>
      </c>
      <c r="T80" s="104" t="str">
        <f t="shared" si="43"/>
        <v>UITexture/TechProd/321030101.png</v>
      </c>
      <c r="U80" s="172" t="s">
        <v>1140</v>
      </c>
      <c r="V80" s="104">
        <f t="shared" si="49"/>
        <v>0</v>
      </c>
      <c r="Z80" s="172">
        <v>1</v>
      </c>
      <c r="AB80" s="102">
        <f ca="1">IFERROR(OFFSET(BLDG_FUNC_PARAM!$A$5,MATCH(AC80,BLDG_FUNC_PARAM!$J$5:$J$68,0)-1,0),0)</f>
        <v>121030001</v>
      </c>
      <c r="AC80" s="103" t="s">
        <v>959</v>
      </c>
      <c r="AD80" s="102">
        <v>210</v>
      </c>
      <c r="AN80" s="102">
        <v>0</v>
      </c>
      <c r="AO80" s="102">
        <v>0</v>
      </c>
      <c r="AT80" s="104">
        <f t="shared" si="50"/>
        <v>660</v>
      </c>
      <c r="AW80" s="103">
        <v>11</v>
      </c>
      <c r="AY80" s="102">
        <v>1100</v>
      </c>
      <c r="AZ80" s="102">
        <v>110</v>
      </c>
      <c r="BA80" s="172">
        <v>0</v>
      </c>
      <c r="BC80" s="104">
        <f ca="1">IFERROR(OFFSET(ITEM_RES!$A$5,MATCH(BD80,ITEM_RES!$M$5:$M$84,0)-1,0),0)</f>
        <v>0</v>
      </c>
    </row>
    <row r="81" spans="1:55" x14ac:dyDescent="0.3">
      <c r="A81" s="107">
        <f t="shared" si="46"/>
        <v>321030112</v>
      </c>
      <c r="B81" s="106">
        <v>32</v>
      </c>
      <c r="C81" s="105">
        <f t="shared" si="47"/>
        <v>1</v>
      </c>
      <c r="D81" s="106">
        <v>3</v>
      </c>
      <c r="E81" s="106">
        <v>1</v>
      </c>
      <c r="F81" s="105">
        <f t="shared" si="41"/>
        <v>12</v>
      </c>
      <c r="H81" s="103">
        <v>1</v>
      </c>
      <c r="I81" s="105">
        <f t="shared" si="48"/>
        <v>103</v>
      </c>
      <c r="J81" s="172">
        <v>12</v>
      </c>
      <c r="L81" s="172" t="s">
        <v>1115</v>
      </c>
      <c r="M81" s="172" t="s">
        <v>1125</v>
      </c>
      <c r="N81" s="103" t="s">
        <v>738</v>
      </c>
      <c r="O81" s="103" t="s">
        <v>1075</v>
      </c>
      <c r="P81" s="172">
        <v>1</v>
      </c>
      <c r="Q81" s="172">
        <v>12</v>
      </c>
      <c r="R81" s="103" t="s">
        <v>1031</v>
      </c>
      <c r="S81" s="103">
        <v>321030101</v>
      </c>
      <c r="T81" s="104" t="str">
        <f t="shared" si="43"/>
        <v>UITexture/TechProd/321030101.png</v>
      </c>
      <c r="U81" s="172" t="s">
        <v>1140</v>
      </c>
      <c r="V81" s="104">
        <f t="shared" si="49"/>
        <v>0</v>
      </c>
      <c r="Z81" s="172">
        <v>1</v>
      </c>
      <c r="AB81" s="102">
        <f ca="1">IFERROR(OFFSET(BLDG_FUNC_PARAM!$A$5,MATCH(AC81,BLDG_FUNC_PARAM!$J$5:$J$68,0)-1,0),0)</f>
        <v>121030001</v>
      </c>
      <c r="AC81" s="103" t="s">
        <v>959</v>
      </c>
      <c r="AD81" s="102">
        <v>220</v>
      </c>
      <c r="AN81" s="102">
        <v>0</v>
      </c>
      <c r="AO81" s="102">
        <v>0</v>
      </c>
      <c r="AT81" s="104">
        <f t="shared" si="50"/>
        <v>720</v>
      </c>
      <c r="AW81" s="103">
        <v>12</v>
      </c>
      <c r="AY81" s="102">
        <v>1200</v>
      </c>
      <c r="AZ81" s="102">
        <v>120</v>
      </c>
      <c r="BA81" s="172">
        <v>0</v>
      </c>
      <c r="BC81" s="104">
        <f ca="1">IFERROR(OFFSET(ITEM_RES!$A$5,MATCH(BD81,ITEM_RES!$M$5:$M$84,0)-1,0),0)</f>
        <v>0</v>
      </c>
    </row>
    <row r="82" spans="1:55" x14ac:dyDescent="0.3">
      <c r="A82" s="107">
        <f t="shared" si="46"/>
        <v>321030113</v>
      </c>
      <c r="B82" s="106">
        <v>32</v>
      </c>
      <c r="C82" s="105">
        <f t="shared" si="47"/>
        <v>1</v>
      </c>
      <c r="D82" s="106">
        <v>3</v>
      </c>
      <c r="E82" s="106">
        <v>1</v>
      </c>
      <c r="F82" s="105">
        <f t="shared" si="41"/>
        <v>13</v>
      </c>
      <c r="H82" s="103">
        <v>1</v>
      </c>
      <c r="I82" s="105">
        <f t="shared" si="48"/>
        <v>103</v>
      </c>
      <c r="J82" s="172">
        <v>13</v>
      </c>
      <c r="L82" s="172" t="s">
        <v>1115</v>
      </c>
      <c r="M82" s="172" t="s">
        <v>1125</v>
      </c>
      <c r="N82" s="103" t="s">
        <v>738</v>
      </c>
      <c r="O82" s="103" t="s">
        <v>1075</v>
      </c>
      <c r="P82" s="172">
        <v>0</v>
      </c>
      <c r="Q82" s="172">
        <v>12</v>
      </c>
      <c r="R82" s="103" t="s">
        <v>1031</v>
      </c>
      <c r="S82" s="103">
        <v>321030101</v>
      </c>
      <c r="T82" s="104" t="str">
        <f t="shared" si="43"/>
        <v>UITexture/TechProd/321030101.png</v>
      </c>
      <c r="U82" s="172" t="s">
        <v>1140</v>
      </c>
      <c r="V82" s="104">
        <f t="shared" si="49"/>
        <v>0</v>
      </c>
      <c r="Z82" s="172">
        <v>1</v>
      </c>
      <c r="AB82" s="102">
        <f ca="1">IFERROR(OFFSET(BLDG_FUNC_PARAM!$A$5,MATCH(AC82,BLDG_FUNC_PARAM!$J$5:$J$68,0)-1,0),0)</f>
        <v>121030001</v>
      </c>
      <c r="AC82" s="103" t="s">
        <v>959</v>
      </c>
      <c r="AD82" s="102">
        <v>230</v>
      </c>
      <c r="AN82" s="102">
        <v>0</v>
      </c>
      <c r="AO82" s="102">
        <v>0</v>
      </c>
      <c r="AT82" s="104">
        <f t="shared" si="50"/>
        <v>780</v>
      </c>
      <c r="AW82" s="103">
        <v>13</v>
      </c>
      <c r="AY82" s="102">
        <v>1300</v>
      </c>
      <c r="AZ82" s="102">
        <v>130</v>
      </c>
      <c r="BA82" s="172">
        <v>0</v>
      </c>
      <c r="BC82" s="104">
        <f ca="1">IFERROR(OFFSET(ITEM_RES!$A$5,MATCH(BD82,ITEM_RES!$M$5:$M$84,0)-1,0),0)</f>
        <v>0</v>
      </c>
    </row>
    <row r="83" spans="1:55" x14ac:dyDescent="0.3">
      <c r="A83" s="107">
        <f t="shared" si="46"/>
        <v>321030114</v>
      </c>
      <c r="B83" s="106">
        <v>32</v>
      </c>
      <c r="C83" s="105">
        <f t="shared" si="47"/>
        <v>1</v>
      </c>
      <c r="D83" s="106">
        <v>3</v>
      </c>
      <c r="E83" s="106">
        <v>1</v>
      </c>
      <c r="F83" s="105">
        <f t="shared" si="41"/>
        <v>14</v>
      </c>
      <c r="H83" s="103">
        <v>1</v>
      </c>
      <c r="I83" s="105">
        <f t="shared" si="48"/>
        <v>103</v>
      </c>
      <c r="J83" s="172">
        <v>14</v>
      </c>
      <c r="L83" s="172" t="s">
        <v>1115</v>
      </c>
      <c r="M83" s="172" t="s">
        <v>1125</v>
      </c>
      <c r="N83" s="103" t="s">
        <v>738</v>
      </c>
      <c r="O83" s="103" t="s">
        <v>1075</v>
      </c>
      <c r="P83" s="172">
        <v>0</v>
      </c>
      <c r="Q83" s="172">
        <v>12</v>
      </c>
      <c r="R83" s="103" t="s">
        <v>1031</v>
      </c>
      <c r="S83" s="103">
        <v>321030101</v>
      </c>
      <c r="T83" s="104" t="str">
        <f t="shared" si="43"/>
        <v>UITexture/TechProd/321030101.png</v>
      </c>
      <c r="U83" s="172" t="s">
        <v>1140</v>
      </c>
      <c r="V83" s="104">
        <f t="shared" si="49"/>
        <v>0</v>
      </c>
      <c r="Z83" s="172">
        <v>1</v>
      </c>
      <c r="AB83" s="102">
        <f ca="1">IFERROR(OFFSET(BLDG_FUNC_PARAM!$A$5,MATCH(AC83,BLDG_FUNC_PARAM!$J$5:$J$68,0)-1,0),0)</f>
        <v>121030001</v>
      </c>
      <c r="AC83" s="103" t="s">
        <v>959</v>
      </c>
      <c r="AD83" s="102">
        <v>240</v>
      </c>
      <c r="AN83" s="102">
        <v>0</v>
      </c>
      <c r="AO83" s="102">
        <v>0</v>
      </c>
      <c r="AT83" s="104">
        <f t="shared" si="50"/>
        <v>840</v>
      </c>
      <c r="AW83" s="103">
        <v>14</v>
      </c>
      <c r="AY83" s="102">
        <v>1400</v>
      </c>
      <c r="AZ83" s="102">
        <v>140</v>
      </c>
      <c r="BA83" s="172">
        <v>0</v>
      </c>
      <c r="BC83" s="104">
        <f ca="1">IFERROR(OFFSET(ITEM_RES!$A$5,MATCH(BD83,ITEM_RES!$M$5:$M$84,0)-1,0),0)</f>
        <v>0</v>
      </c>
    </row>
    <row r="84" spans="1:55" x14ac:dyDescent="0.3">
      <c r="A84" s="107">
        <f t="shared" si="46"/>
        <v>321030115</v>
      </c>
      <c r="B84" s="106">
        <v>32</v>
      </c>
      <c r="C84" s="105">
        <f t="shared" si="47"/>
        <v>1</v>
      </c>
      <c r="D84" s="106">
        <v>3</v>
      </c>
      <c r="E84" s="106">
        <v>1</v>
      </c>
      <c r="F84" s="105">
        <f t="shared" si="41"/>
        <v>15</v>
      </c>
      <c r="H84" s="103">
        <v>1</v>
      </c>
      <c r="I84" s="105">
        <f t="shared" si="48"/>
        <v>103</v>
      </c>
      <c r="J84" s="172">
        <v>15</v>
      </c>
      <c r="L84" s="172" t="s">
        <v>1115</v>
      </c>
      <c r="M84" s="172" t="s">
        <v>1125</v>
      </c>
      <c r="N84" s="103" t="s">
        <v>738</v>
      </c>
      <c r="O84" s="103" t="s">
        <v>1075</v>
      </c>
      <c r="P84" s="172">
        <v>0</v>
      </c>
      <c r="Q84" s="172">
        <v>12</v>
      </c>
      <c r="R84" s="103" t="s">
        <v>1031</v>
      </c>
      <c r="S84" s="103">
        <v>321030101</v>
      </c>
      <c r="T84" s="104" t="str">
        <f t="shared" si="43"/>
        <v>UITexture/TechProd/321030101.png</v>
      </c>
      <c r="U84" s="172" t="s">
        <v>1140</v>
      </c>
      <c r="V84" s="104">
        <f t="shared" si="49"/>
        <v>0</v>
      </c>
      <c r="Z84" s="172">
        <v>1</v>
      </c>
      <c r="AB84" s="102">
        <f ca="1">IFERROR(OFFSET(BLDG_FUNC_PARAM!$A$5,MATCH(AC84,BLDG_FUNC_PARAM!$J$5:$J$68,0)-1,0),0)</f>
        <v>121030001</v>
      </c>
      <c r="AC84" s="103" t="s">
        <v>959</v>
      </c>
      <c r="AD84" s="102">
        <v>300</v>
      </c>
      <c r="AN84" s="102">
        <v>15</v>
      </c>
      <c r="AO84" s="102">
        <v>0</v>
      </c>
      <c r="AT84" s="104">
        <f t="shared" si="50"/>
        <v>900</v>
      </c>
      <c r="AW84" s="103">
        <v>15</v>
      </c>
      <c r="AY84" s="102">
        <v>1500</v>
      </c>
      <c r="AZ84" s="102">
        <v>150</v>
      </c>
      <c r="BA84" s="172">
        <v>0</v>
      </c>
      <c r="BC84" s="104">
        <f ca="1">IFERROR(OFFSET(ITEM_RES!$A$5,MATCH(BD84,ITEM_RES!$M$5:$M$84,0)-1,0),0)</f>
        <v>0</v>
      </c>
    </row>
    <row r="85" spans="1:55" x14ac:dyDescent="0.3">
      <c r="A85" s="107">
        <f t="shared" ref="A85:A94" si="51">B85*10000000+C85*1000000+D85*10000+E85*100+F85</f>
        <v>321030116</v>
      </c>
      <c r="B85" s="106">
        <v>32</v>
      </c>
      <c r="C85" s="105">
        <f t="shared" ref="C85:C94" si="52">H85</f>
        <v>1</v>
      </c>
      <c r="D85" s="106">
        <v>3</v>
      </c>
      <c r="E85" s="106">
        <v>1</v>
      </c>
      <c r="F85" s="105">
        <f t="shared" si="41"/>
        <v>16</v>
      </c>
      <c r="H85" s="103">
        <v>1</v>
      </c>
      <c r="I85" s="105">
        <f t="shared" ref="I85:I94" si="53">C85*100+D85</f>
        <v>103</v>
      </c>
      <c r="J85" s="172">
        <v>16</v>
      </c>
      <c r="L85" s="172" t="s">
        <v>1115</v>
      </c>
      <c r="M85" s="172" t="s">
        <v>1125</v>
      </c>
      <c r="N85" s="103" t="s">
        <v>738</v>
      </c>
      <c r="O85" s="103" t="s">
        <v>1075</v>
      </c>
      <c r="P85" s="172">
        <v>0</v>
      </c>
      <c r="Q85" s="172">
        <v>12</v>
      </c>
      <c r="R85" s="103" t="s">
        <v>1031</v>
      </c>
      <c r="S85" s="103">
        <v>321030101</v>
      </c>
      <c r="T85" s="104" t="str">
        <f t="shared" si="43"/>
        <v>UITexture/TechProd/321030101.png</v>
      </c>
      <c r="U85" s="172" t="s">
        <v>1140</v>
      </c>
      <c r="V85" s="104">
        <f t="shared" ref="V85:V94" si="54">W85*1000+X85</f>
        <v>0</v>
      </c>
      <c r="Z85" s="172">
        <v>1</v>
      </c>
      <c r="AB85" s="102">
        <f ca="1">IFERROR(OFFSET(BLDG_FUNC_PARAM!$A$5,MATCH(AC85,BLDG_FUNC_PARAM!$J$5:$J$68,0)-1,0),0)</f>
        <v>121030001</v>
      </c>
      <c r="AC85" s="103" t="s">
        <v>959</v>
      </c>
      <c r="AD85" s="102">
        <v>310</v>
      </c>
      <c r="AN85" s="102">
        <v>0</v>
      </c>
      <c r="AO85" s="102">
        <v>0</v>
      </c>
      <c r="AT85" s="104">
        <f t="shared" ref="AT85:AT94" si="55">((AU85*24+AV85)*60+AW85)*60+AX85</f>
        <v>960</v>
      </c>
      <c r="AW85" s="103">
        <v>16</v>
      </c>
      <c r="AY85" s="102">
        <v>1600</v>
      </c>
      <c r="AZ85" s="102">
        <v>160</v>
      </c>
      <c r="BA85" s="172">
        <v>0</v>
      </c>
      <c r="BC85" s="104">
        <f ca="1">IFERROR(OFFSET(ITEM_RES!$A$5,MATCH(BD85,ITEM_RES!$M$5:$M$84,0)-1,0),0)</f>
        <v>0</v>
      </c>
    </row>
    <row r="86" spans="1:55" x14ac:dyDescent="0.3">
      <c r="A86" s="107">
        <f t="shared" si="51"/>
        <v>321030117</v>
      </c>
      <c r="B86" s="106">
        <v>32</v>
      </c>
      <c r="C86" s="105">
        <f t="shared" si="52"/>
        <v>1</v>
      </c>
      <c r="D86" s="106">
        <v>3</v>
      </c>
      <c r="E86" s="106">
        <v>1</v>
      </c>
      <c r="F86" s="105">
        <f t="shared" si="41"/>
        <v>17</v>
      </c>
      <c r="H86" s="103">
        <v>1</v>
      </c>
      <c r="I86" s="105">
        <f t="shared" si="53"/>
        <v>103</v>
      </c>
      <c r="J86" s="172">
        <v>17</v>
      </c>
      <c r="L86" s="172" t="s">
        <v>1115</v>
      </c>
      <c r="M86" s="172" t="s">
        <v>1125</v>
      </c>
      <c r="N86" s="103" t="s">
        <v>738</v>
      </c>
      <c r="O86" s="103" t="s">
        <v>1075</v>
      </c>
      <c r="P86" s="172">
        <v>0</v>
      </c>
      <c r="Q86" s="172">
        <v>12</v>
      </c>
      <c r="R86" s="103" t="s">
        <v>1031</v>
      </c>
      <c r="S86" s="103">
        <v>321030101</v>
      </c>
      <c r="T86" s="104" t="str">
        <f t="shared" si="43"/>
        <v>UITexture/TechProd/321030101.png</v>
      </c>
      <c r="U86" s="172" t="s">
        <v>1140</v>
      </c>
      <c r="V86" s="104">
        <f t="shared" si="54"/>
        <v>0</v>
      </c>
      <c r="Z86" s="172">
        <v>1</v>
      </c>
      <c r="AB86" s="102">
        <f ca="1">IFERROR(OFFSET(BLDG_FUNC_PARAM!$A$5,MATCH(AC86,BLDG_FUNC_PARAM!$J$5:$J$68,0)-1,0),0)</f>
        <v>121030001</v>
      </c>
      <c r="AC86" s="103" t="s">
        <v>959</v>
      </c>
      <c r="AD86" s="102">
        <v>320</v>
      </c>
      <c r="AN86" s="102">
        <v>0</v>
      </c>
      <c r="AO86" s="102">
        <v>0</v>
      </c>
      <c r="AT86" s="104">
        <f t="shared" si="55"/>
        <v>1020</v>
      </c>
      <c r="AW86" s="103">
        <v>17</v>
      </c>
      <c r="AY86" s="102">
        <v>1700</v>
      </c>
      <c r="AZ86" s="102">
        <v>170</v>
      </c>
      <c r="BA86" s="172">
        <v>0</v>
      </c>
      <c r="BC86" s="104">
        <f ca="1">IFERROR(OFFSET(ITEM_RES!$A$5,MATCH(BD86,ITEM_RES!$M$5:$M$84,0)-1,0),0)</f>
        <v>0</v>
      </c>
    </row>
    <row r="87" spans="1:55" x14ac:dyDescent="0.3">
      <c r="A87" s="107">
        <f t="shared" si="51"/>
        <v>321030118</v>
      </c>
      <c r="B87" s="106">
        <v>32</v>
      </c>
      <c r="C87" s="105">
        <f t="shared" si="52"/>
        <v>1</v>
      </c>
      <c r="D87" s="106">
        <v>3</v>
      </c>
      <c r="E87" s="106">
        <v>1</v>
      </c>
      <c r="F87" s="105">
        <f t="shared" si="41"/>
        <v>18</v>
      </c>
      <c r="H87" s="103">
        <v>1</v>
      </c>
      <c r="I87" s="105">
        <f t="shared" si="53"/>
        <v>103</v>
      </c>
      <c r="J87" s="172">
        <v>18</v>
      </c>
      <c r="L87" s="172" t="s">
        <v>1115</v>
      </c>
      <c r="M87" s="172" t="s">
        <v>1125</v>
      </c>
      <c r="N87" s="103" t="s">
        <v>738</v>
      </c>
      <c r="O87" s="103" t="s">
        <v>1075</v>
      </c>
      <c r="P87" s="172">
        <v>0</v>
      </c>
      <c r="Q87" s="172">
        <v>12</v>
      </c>
      <c r="R87" s="103" t="s">
        <v>1031</v>
      </c>
      <c r="S87" s="103">
        <v>321030101</v>
      </c>
      <c r="T87" s="104" t="str">
        <f t="shared" si="43"/>
        <v>UITexture/TechProd/321030101.png</v>
      </c>
      <c r="U87" s="172" t="s">
        <v>1140</v>
      </c>
      <c r="V87" s="104">
        <f t="shared" si="54"/>
        <v>0</v>
      </c>
      <c r="Z87" s="172">
        <v>1</v>
      </c>
      <c r="AB87" s="102">
        <f ca="1">IFERROR(OFFSET(BLDG_FUNC_PARAM!$A$5,MATCH(AC87,BLDG_FUNC_PARAM!$J$5:$J$68,0)-1,0),0)</f>
        <v>121030001</v>
      </c>
      <c r="AC87" s="103" t="s">
        <v>959</v>
      </c>
      <c r="AD87" s="102">
        <v>330</v>
      </c>
      <c r="AN87" s="102">
        <v>0</v>
      </c>
      <c r="AO87" s="102">
        <v>0</v>
      </c>
      <c r="AT87" s="104">
        <f t="shared" si="55"/>
        <v>1080</v>
      </c>
      <c r="AW87" s="103">
        <v>18</v>
      </c>
      <c r="AY87" s="102">
        <v>1800</v>
      </c>
      <c r="AZ87" s="102">
        <v>180</v>
      </c>
      <c r="BA87" s="172">
        <v>0</v>
      </c>
      <c r="BC87" s="104">
        <f ca="1">IFERROR(OFFSET(ITEM_RES!$A$5,MATCH(BD87,ITEM_RES!$M$5:$M$84,0)-1,0),0)</f>
        <v>0</v>
      </c>
    </row>
    <row r="88" spans="1:55" x14ac:dyDescent="0.3">
      <c r="A88" s="107">
        <f t="shared" si="51"/>
        <v>321030119</v>
      </c>
      <c r="B88" s="106">
        <v>32</v>
      </c>
      <c r="C88" s="105">
        <f t="shared" si="52"/>
        <v>1</v>
      </c>
      <c r="D88" s="106">
        <v>3</v>
      </c>
      <c r="E88" s="106">
        <v>1</v>
      </c>
      <c r="F88" s="105">
        <f t="shared" si="41"/>
        <v>19</v>
      </c>
      <c r="H88" s="103">
        <v>1</v>
      </c>
      <c r="I88" s="105">
        <f t="shared" si="53"/>
        <v>103</v>
      </c>
      <c r="J88" s="172">
        <v>19</v>
      </c>
      <c r="L88" s="172" t="s">
        <v>1115</v>
      </c>
      <c r="M88" s="172" t="s">
        <v>1125</v>
      </c>
      <c r="N88" s="103" t="s">
        <v>738</v>
      </c>
      <c r="O88" s="103" t="s">
        <v>1075</v>
      </c>
      <c r="P88" s="172">
        <v>0</v>
      </c>
      <c r="Q88" s="172">
        <v>12</v>
      </c>
      <c r="R88" s="103" t="s">
        <v>1031</v>
      </c>
      <c r="S88" s="103">
        <v>321030101</v>
      </c>
      <c r="T88" s="104" t="str">
        <f t="shared" si="43"/>
        <v>UITexture/TechProd/321030101.png</v>
      </c>
      <c r="U88" s="172" t="s">
        <v>1140</v>
      </c>
      <c r="V88" s="104">
        <f t="shared" si="54"/>
        <v>0</v>
      </c>
      <c r="Z88" s="172">
        <v>1</v>
      </c>
      <c r="AB88" s="102">
        <f ca="1">IFERROR(OFFSET(BLDG_FUNC_PARAM!$A$5,MATCH(AC88,BLDG_FUNC_PARAM!$J$5:$J$68,0)-1,0),0)</f>
        <v>121030001</v>
      </c>
      <c r="AC88" s="103" t="s">
        <v>959</v>
      </c>
      <c r="AD88" s="102">
        <v>340</v>
      </c>
      <c r="AN88" s="102">
        <v>0</v>
      </c>
      <c r="AO88" s="102">
        <v>0</v>
      </c>
      <c r="AT88" s="104">
        <f t="shared" si="55"/>
        <v>1140</v>
      </c>
      <c r="AW88" s="103">
        <v>19</v>
      </c>
      <c r="AY88" s="102">
        <v>1900</v>
      </c>
      <c r="AZ88" s="102">
        <v>190</v>
      </c>
      <c r="BA88" s="172">
        <v>0</v>
      </c>
      <c r="BC88" s="104">
        <f ca="1">IFERROR(OFFSET(ITEM_RES!$A$5,MATCH(BD88,ITEM_RES!$M$5:$M$84,0)-1,0),0)</f>
        <v>0</v>
      </c>
    </row>
    <row r="89" spans="1:55" x14ac:dyDescent="0.3">
      <c r="A89" s="107">
        <f t="shared" si="51"/>
        <v>321030120</v>
      </c>
      <c r="B89" s="106">
        <v>32</v>
      </c>
      <c r="C89" s="105">
        <f t="shared" si="52"/>
        <v>1</v>
      </c>
      <c r="D89" s="106">
        <v>3</v>
      </c>
      <c r="E89" s="106">
        <v>1</v>
      </c>
      <c r="F89" s="105">
        <f t="shared" si="41"/>
        <v>20</v>
      </c>
      <c r="H89" s="103">
        <v>1</v>
      </c>
      <c r="I89" s="105">
        <f t="shared" si="53"/>
        <v>103</v>
      </c>
      <c r="J89" s="172">
        <v>20</v>
      </c>
      <c r="L89" s="172" t="s">
        <v>1115</v>
      </c>
      <c r="M89" s="172" t="s">
        <v>1125</v>
      </c>
      <c r="N89" s="103" t="s">
        <v>738</v>
      </c>
      <c r="O89" s="103" t="s">
        <v>1075</v>
      </c>
      <c r="P89" s="172">
        <v>0</v>
      </c>
      <c r="Q89" s="172">
        <v>12</v>
      </c>
      <c r="R89" s="103" t="s">
        <v>1031</v>
      </c>
      <c r="S89" s="103">
        <v>321030101</v>
      </c>
      <c r="T89" s="104" t="str">
        <f t="shared" si="43"/>
        <v>UITexture/TechProd/321030101.png</v>
      </c>
      <c r="U89" s="172" t="s">
        <v>1140</v>
      </c>
      <c r="V89" s="104">
        <f t="shared" si="54"/>
        <v>0</v>
      </c>
      <c r="Z89" s="172">
        <v>1</v>
      </c>
      <c r="AB89" s="102">
        <f ca="1">IFERROR(OFFSET(BLDG_FUNC_PARAM!$A$5,MATCH(AC89,BLDG_FUNC_PARAM!$J$5:$J$68,0)-1,0),0)</f>
        <v>121030001</v>
      </c>
      <c r="AC89" s="103" t="s">
        <v>959</v>
      </c>
      <c r="AD89" s="102">
        <v>400</v>
      </c>
      <c r="AN89" s="102">
        <v>20</v>
      </c>
      <c r="AO89" s="102">
        <v>0</v>
      </c>
      <c r="AT89" s="104">
        <f t="shared" si="55"/>
        <v>1200</v>
      </c>
      <c r="AW89" s="103">
        <v>20</v>
      </c>
      <c r="AY89" s="102">
        <v>2000</v>
      </c>
      <c r="AZ89" s="102">
        <v>200</v>
      </c>
      <c r="BA89" s="172">
        <v>0</v>
      </c>
      <c r="BC89" s="104">
        <f ca="1">IFERROR(OFFSET(ITEM_RES!$A$5,MATCH(BD89,ITEM_RES!$M$5:$M$84,0)-1,0),0)</f>
        <v>0</v>
      </c>
    </row>
    <row r="90" spans="1:55" x14ac:dyDescent="0.3">
      <c r="A90" s="107">
        <f t="shared" si="51"/>
        <v>321030121</v>
      </c>
      <c r="B90" s="106">
        <v>32</v>
      </c>
      <c r="C90" s="105">
        <f t="shared" si="52"/>
        <v>1</v>
      </c>
      <c r="D90" s="106">
        <v>3</v>
      </c>
      <c r="E90" s="106">
        <v>1</v>
      </c>
      <c r="F90" s="105">
        <f t="shared" si="41"/>
        <v>21</v>
      </c>
      <c r="H90" s="103">
        <v>1</v>
      </c>
      <c r="I90" s="105">
        <f t="shared" si="53"/>
        <v>103</v>
      </c>
      <c r="J90" s="172">
        <v>21</v>
      </c>
      <c r="L90" s="172" t="s">
        <v>1115</v>
      </c>
      <c r="M90" s="172" t="s">
        <v>1125</v>
      </c>
      <c r="N90" s="103" t="s">
        <v>738</v>
      </c>
      <c r="O90" s="103" t="s">
        <v>1075</v>
      </c>
      <c r="P90" s="172">
        <v>0</v>
      </c>
      <c r="Q90" s="172">
        <v>12</v>
      </c>
      <c r="R90" s="103" t="s">
        <v>1031</v>
      </c>
      <c r="S90" s="103">
        <v>321030101</v>
      </c>
      <c r="T90" s="104" t="str">
        <f t="shared" si="43"/>
        <v>UITexture/TechProd/321030101.png</v>
      </c>
      <c r="U90" s="172" t="s">
        <v>1140</v>
      </c>
      <c r="V90" s="104">
        <f t="shared" si="54"/>
        <v>0</v>
      </c>
      <c r="Z90" s="172">
        <v>1</v>
      </c>
      <c r="AB90" s="102">
        <f ca="1">IFERROR(OFFSET(BLDG_FUNC_PARAM!$A$5,MATCH(AC90,BLDG_FUNC_PARAM!$J$5:$J$68,0)-1,0),0)</f>
        <v>121030001</v>
      </c>
      <c r="AC90" s="103" t="s">
        <v>959</v>
      </c>
      <c r="AD90" s="102">
        <v>410</v>
      </c>
      <c r="AN90" s="102">
        <v>0</v>
      </c>
      <c r="AO90" s="102">
        <v>0</v>
      </c>
      <c r="AT90" s="104">
        <f t="shared" si="55"/>
        <v>1260</v>
      </c>
      <c r="AW90" s="103">
        <v>21</v>
      </c>
      <c r="AY90" s="102">
        <v>2100</v>
      </c>
      <c r="AZ90" s="102">
        <v>210</v>
      </c>
      <c r="BA90" s="172">
        <v>0</v>
      </c>
      <c r="BC90" s="104">
        <f ca="1">IFERROR(OFFSET(ITEM_RES!$A$5,MATCH(BD90,ITEM_RES!$M$5:$M$84,0)-1,0),0)</f>
        <v>0</v>
      </c>
    </row>
    <row r="91" spans="1:55" x14ac:dyDescent="0.3">
      <c r="A91" s="107">
        <f t="shared" si="51"/>
        <v>321030122</v>
      </c>
      <c r="B91" s="106">
        <v>32</v>
      </c>
      <c r="C91" s="105">
        <f t="shared" si="52"/>
        <v>1</v>
      </c>
      <c r="D91" s="106">
        <v>3</v>
      </c>
      <c r="E91" s="106">
        <v>1</v>
      </c>
      <c r="F91" s="105">
        <f t="shared" si="41"/>
        <v>22</v>
      </c>
      <c r="H91" s="103">
        <v>1</v>
      </c>
      <c r="I91" s="105">
        <f t="shared" si="53"/>
        <v>103</v>
      </c>
      <c r="J91" s="172">
        <v>22</v>
      </c>
      <c r="L91" s="172" t="s">
        <v>1115</v>
      </c>
      <c r="M91" s="172" t="s">
        <v>1125</v>
      </c>
      <c r="N91" s="103" t="s">
        <v>738</v>
      </c>
      <c r="O91" s="103" t="s">
        <v>1075</v>
      </c>
      <c r="P91" s="172">
        <v>0</v>
      </c>
      <c r="Q91" s="172">
        <v>12</v>
      </c>
      <c r="R91" s="103" t="s">
        <v>1031</v>
      </c>
      <c r="S91" s="103">
        <v>321030101</v>
      </c>
      <c r="T91" s="104" t="str">
        <f t="shared" si="43"/>
        <v>UITexture/TechProd/321030101.png</v>
      </c>
      <c r="U91" s="172" t="s">
        <v>1140</v>
      </c>
      <c r="V91" s="104">
        <f t="shared" si="54"/>
        <v>0</v>
      </c>
      <c r="Z91" s="172">
        <v>1</v>
      </c>
      <c r="AB91" s="102">
        <f ca="1">IFERROR(OFFSET(BLDG_FUNC_PARAM!$A$5,MATCH(AC91,BLDG_FUNC_PARAM!$J$5:$J$68,0)-1,0),0)</f>
        <v>121030001</v>
      </c>
      <c r="AC91" s="103" t="s">
        <v>959</v>
      </c>
      <c r="AD91" s="102">
        <v>420</v>
      </c>
      <c r="AN91" s="102">
        <v>0</v>
      </c>
      <c r="AO91" s="102">
        <v>0</v>
      </c>
      <c r="AT91" s="104">
        <f t="shared" si="55"/>
        <v>1320</v>
      </c>
      <c r="AW91" s="103">
        <v>22</v>
      </c>
      <c r="AY91" s="102">
        <v>2200</v>
      </c>
      <c r="AZ91" s="102">
        <v>220</v>
      </c>
      <c r="BA91" s="172">
        <v>0</v>
      </c>
      <c r="BC91" s="104">
        <f ca="1">IFERROR(OFFSET(ITEM_RES!$A$5,MATCH(BD91,ITEM_RES!$M$5:$M$84,0)-1,0),0)</f>
        <v>0</v>
      </c>
    </row>
    <row r="92" spans="1:55" x14ac:dyDescent="0.3">
      <c r="A92" s="107">
        <f t="shared" si="51"/>
        <v>321030123</v>
      </c>
      <c r="B92" s="106">
        <v>32</v>
      </c>
      <c r="C92" s="105">
        <f t="shared" si="52"/>
        <v>1</v>
      </c>
      <c r="D92" s="106">
        <v>3</v>
      </c>
      <c r="E92" s="106">
        <v>1</v>
      </c>
      <c r="F92" s="105">
        <f t="shared" si="41"/>
        <v>23</v>
      </c>
      <c r="H92" s="103">
        <v>1</v>
      </c>
      <c r="I92" s="105">
        <f t="shared" si="53"/>
        <v>103</v>
      </c>
      <c r="J92" s="172">
        <v>23</v>
      </c>
      <c r="L92" s="172" t="s">
        <v>1115</v>
      </c>
      <c r="M92" s="172" t="s">
        <v>1125</v>
      </c>
      <c r="N92" s="103" t="s">
        <v>738</v>
      </c>
      <c r="O92" s="103" t="s">
        <v>1075</v>
      </c>
      <c r="P92" s="172">
        <v>0</v>
      </c>
      <c r="Q92" s="172">
        <v>12</v>
      </c>
      <c r="R92" s="103" t="s">
        <v>1031</v>
      </c>
      <c r="S92" s="103">
        <v>321030101</v>
      </c>
      <c r="T92" s="104" t="str">
        <f t="shared" si="43"/>
        <v>UITexture/TechProd/321030101.png</v>
      </c>
      <c r="U92" s="172" t="s">
        <v>1140</v>
      </c>
      <c r="V92" s="104">
        <f t="shared" si="54"/>
        <v>0</v>
      </c>
      <c r="Z92" s="172">
        <v>1</v>
      </c>
      <c r="AB92" s="102">
        <f ca="1">IFERROR(OFFSET(BLDG_FUNC_PARAM!$A$5,MATCH(AC92,BLDG_FUNC_PARAM!$J$5:$J$68,0)-1,0),0)</f>
        <v>121030001</v>
      </c>
      <c r="AC92" s="103" t="s">
        <v>959</v>
      </c>
      <c r="AD92" s="102">
        <v>430</v>
      </c>
      <c r="AN92" s="102">
        <v>0</v>
      </c>
      <c r="AO92" s="102">
        <v>0</v>
      </c>
      <c r="AT92" s="104">
        <f t="shared" si="55"/>
        <v>1380</v>
      </c>
      <c r="AW92" s="103">
        <v>23</v>
      </c>
      <c r="AY92" s="102">
        <v>2300</v>
      </c>
      <c r="AZ92" s="102">
        <v>230</v>
      </c>
      <c r="BA92" s="172">
        <v>0</v>
      </c>
      <c r="BC92" s="104">
        <f ca="1">IFERROR(OFFSET(ITEM_RES!$A$5,MATCH(BD92,ITEM_RES!$M$5:$M$84,0)-1,0),0)</f>
        <v>0</v>
      </c>
    </row>
    <row r="93" spans="1:55" x14ac:dyDescent="0.3">
      <c r="A93" s="107">
        <f t="shared" si="51"/>
        <v>321030124</v>
      </c>
      <c r="B93" s="106">
        <v>32</v>
      </c>
      <c r="C93" s="105">
        <f t="shared" si="52"/>
        <v>1</v>
      </c>
      <c r="D93" s="106">
        <v>3</v>
      </c>
      <c r="E93" s="106">
        <v>1</v>
      </c>
      <c r="F93" s="105">
        <f t="shared" si="41"/>
        <v>24</v>
      </c>
      <c r="H93" s="103">
        <v>1</v>
      </c>
      <c r="I93" s="105">
        <f t="shared" si="53"/>
        <v>103</v>
      </c>
      <c r="J93" s="172">
        <v>24</v>
      </c>
      <c r="L93" s="172" t="s">
        <v>1115</v>
      </c>
      <c r="M93" s="172" t="s">
        <v>1125</v>
      </c>
      <c r="N93" s="103" t="s">
        <v>738</v>
      </c>
      <c r="O93" s="103" t="s">
        <v>1075</v>
      </c>
      <c r="P93" s="172">
        <v>0</v>
      </c>
      <c r="Q93" s="172">
        <v>12</v>
      </c>
      <c r="R93" s="103" t="s">
        <v>1031</v>
      </c>
      <c r="S93" s="103">
        <v>321030101</v>
      </c>
      <c r="T93" s="104" t="str">
        <f t="shared" si="43"/>
        <v>UITexture/TechProd/321030101.png</v>
      </c>
      <c r="U93" s="172" t="s">
        <v>1140</v>
      </c>
      <c r="V93" s="104">
        <f t="shared" si="54"/>
        <v>0</v>
      </c>
      <c r="Z93" s="172">
        <v>1</v>
      </c>
      <c r="AB93" s="102">
        <f ca="1">IFERROR(OFFSET(BLDG_FUNC_PARAM!$A$5,MATCH(AC93,BLDG_FUNC_PARAM!$J$5:$J$68,0)-1,0),0)</f>
        <v>121030001</v>
      </c>
      <c r="AC93" s="103" t="s">
        <v>959</v>
      </c>
      <c r="AD93" s="102">
        <v>440</v>
      </c>
      <c r="AN93" s="102">
        <v>0</v>
      </c>
      <c r="AO93" s="102">
        <v>0</v>
      </c>
      <c r="AT93" s="104">
        <f t="shared" si="55"/>
        <v>1440</v>
      </c>
      <c r="AW93" s="103">
        <v>24</v>
      </c>
      <c r="AY93" s="102">
        <v>2400</v>
      </c>
      <c r="AZ93" s="102">
        <v>240</v>
      </c>
      <c r="BA93" s="172">
        <v>0</v>
      </c>
      <c r="BC93" s="104">
        <f ca="1">IFERROR(OFFSET(ITEM_RES!$A$5,MATCH(BD93,ITEM_RES!$M$5:$M$84,0)-1,0),0)</f>
        <v>0</v>
      </c>
    </row>
    <row r="94" spans="1:55" x14ac:dyDescent="0.3">
      <c r="A94" s="107">
        <f t="shared" si="51"/>
        <v>321030125</v>
      </c>
      <c r="B94" s="106">
        <v>32</v>
      </c>
      <c r="C94" s="105">
        <f t="shared" si="52"/>
        <v>1</v>
      </c>
      <c r="D94" s="106">
        <v>3</v>
      </c>
      <c r="E94" s="106">
        <v>1</v>
      </c>
      <c r="F94" s="105">
        <f t="shared" si="41"/>
        <v>25</v>
      </c>
      <c r="H94" s="103">
        <v>1</v>
      </c>
      <c r="I94" s="105">
        <f t="shared" si="53"/>
        <v>103</v>
      </c>
      <c r="J94" s="172">
        <v>25</v>
      </c>
      <c r="L94" s="172" t="s">
        <v>1115</v>
      </c>
      <c r="M94" s="172" t="s">
        <v>1125</v>
      </c>
      <c r="N94" s="103" t="s">
        <v>738</v>
      </c>
      <c r="O94" s="103" t="s">
        <v>1075</v>
      </c>
      <c r="P94" s="172">
        <v>0</v>
      </c>
      <c r="Q94" s="172">
        <v>12</v>
      </c>
      <c r="R94" s="103" t="s">
        <v>1031</v>
      </c>
      <c r="S94" s="103">
        <v>321030101</v>
      </c>
      <c r="T94" s="104" t="str">
        <f t="shared" si="43"/>
        <v>UITexture/TechProd/321030101.png</v>
      </c>
      <c r="U94" s="172" t="s">
        <v>1140</v>
      </c>
      <c r="V94" s="104">
        <f t="shared" si="54"/>
        <v>0</v>
      </c>
      <c r="Z94" s="172">
        <v>1</v>
      </c>
      <c r="AB94" s="102">
        <f ca="1">IFERROR(OFFSET(BLDG_FUNC_PARAM!$A$5,MATCH(AC94,BLDG_FUNC_PARAM!$J$5:$J$68,0)-1,0),0)</f>
        <v>121030001</v>
      </c>
      <c r="AC94" s="103" t="s">
        <v>959</v>
      </c>
      <c r="AD94" s="102">
        <v>500</v>
      </c>
      <c r="AN94" s="102">
        <v>24</v>
      </c>
      <c r="AO94" s="102">
        <v>0</v>
      </c>
      <c r="AT94" s="104">
        <f t="shared" si="55"/>
        <v>1500</v>
      </c>
      <c r="AW94" s="103">
        <v>25</v>
      </c>
      <c r="AY94" s="102">
        <v>2500</v>
      </c>
      <c r="AZ94" s="102">
        <v>250</v>
      </c>
      <c r="BA94" s="172">
        <v>0</v>
      </c>
      <c r="BC94" s="104">
        <f ca="1">IFERROR(OFFSET(ITEM_RES!$A$5,MATCH(BD94,ITEM_RES!$M$5:$M$84,0)-1,0),0)</f>
        <v>0</v>
      </c>
    </row>
    <row r="95" spans="1:55" x14ac:dyDescent="0.3">
      <c r="A95" s="107">
        <f t="shared" ref="A95:A99" si="56">B95*10000000+C95*1000000+D95*10000+E95*100+F95</f>
        <v>321030126</v>
      </c>
      <c r="B95" s="106">
        <v>32</v>
      </c>
      <c r="C95" s="105">
        <f t="shared" ref="C95:C99" si="57">H95</f>
        <v>1</v>
      </c>
      <c r="D95" s="106">
        <v>3</v>
      </c>
      <c r="E95" s="106">
        <v>1</v>
      </c>
      <c r="F95" s="105">
        <f t="shared" si="41"/>
        <v>26</v>
      </c>
      <c r="H95" s="103">
        <v>1</v>
      </c>
      <c r="I95" s="105">
        <f t="shared" ref="I95:I99" si="58">C95*100+D95</f>
        <v>103</v>
      </c>
      <c r="J95" s="172">
        <v>26</v>
      </c>
      <c r="L95" s="172" t="s">
        <v>1115</v>
      </c>
      <c r="M95" s="172" t="s">
        <v>1125</v>
      </c>
      <c r="N95" s="103" t="s">
        <v>738</v>
      </c>
      <c r="O95" s="103" t="s">
        <v>1075</v>
      </c>
      <c r="P95" s="172">
        <v>0</v>
      </c>
      <c r="Q95" s="172">
        <v>12</v>
      </c>
      <c r="R95" s="103" t="s">
        <v>1031</v>
      </c>
      <c r="S95" s="103">
        <v>321030101</v>
      </c>
      <c r="T95" s="104" t="str">
        <f t="shared" si="43"/>
        <v>UITexture/TechProd/321030101.png</v>
      </c>
      <c r="U95" s="172" t="s">
        <v>1140</v>
      </c>
      <c r="V95" s="104">
        <f t="shared" ref="V95:V99" si="59">W95*1000+X95</f>
        <v>0</v>
      </c>
      <c r="Z95" s="172">
        <v>1</v>
      </c>
      <c r="AB95" s="102">
        <f ca="1">IFERROR(OFFSET(BLDG_FUNC_PARAM!$A$5,MATCH(AC95,BLDG_FUNC_PARAM!$J$5:$J$68,0)-1,0),0)</f>
        <v>121030001</v>
      </c>
      <c r="AC95" s="103" t="s">
        <v>959</v>
      </c>
      <c r="AD95" s="102">
        <v>510</v>
      </c>
      <c r="AN95" s="102">
        <v>0</v>
      </c>
      <c r="AO95" s="102">
        <v>0</v>
      </c>
      <c r="AT95" s="104">
        <f t="shared" ref="AT95:AT99" si="60">((AU95*24+AV95)*60+AW95)*60+AX95</f>
        <v>1560</v>
      </c>
      <c r="AW95" s="103">
        <v>26</v>
      </c>
      <c r="AY95" s="102">
        <v>2600</v>
      </c>
      <c r="AZ95" s="102">
        <v>260</v>
      </c>
      <c r="BA95" s="172">
        <v>0</v>
      </c>
      <c r="BC95" s="104">
        <f ca="1">IFERROR(OFFSET(ITEM_RES!$A$5,MATCH(BD95,ITEM_RES!$M$5:$M$84,0)-1,0),0)</f>
        <v>0</v>
      </c>
    </row>
    <row r="96" spans="1:55" x14ac:dyDescent="0.3">
      <c r="A96" s="107">
        <f t="shared" si="56"/>
        <v>321030127</v>
      </c>
      <c r="B96" s="106">
        <v>32</v>
      </c>
      <c r="C96" s="105">
        <f t="shared" si="57"/>
        <v>1</v>
      </c>
      <c r="D96" s="106">
        <v>3</v>
      </c>
      <c r="E96" s="106">
        <v>1</v>
      </c>
      <c r="F96" s="105">
        <f t="shared" si="41"/>
        <v>27</v>
      </c>
      <c r="H96" s="103">
        <v>1</v>
      </c>
      <c r="I96" s="105">
        <f t="shared" si="58"/>
        <v>103</v>
      </c>
      <c r="J96" s="172">
        <v>27</v>
      </c>
      <c r="L96" s="172" t="s">
        <v>1115</v>
      </c>
      <c r="M96" s="172" t="s">
        <v>1125</v>
      </c>
      <c r="N96" s="103" t="s">
        <v>738</v>
      </c>
      <c r="O96" s="103" t="s">
        <v>1075</v>
      </c>
      <c r="P96" s="172">
        <v>0</v>
      </c>
      <c r="Q96" s="172">
        <v>12</v>
      </c>
      <c r="R96" s="103" t="s">
        <v>1031</v>
      </c>
      <c r="S96" s="103">
        <v>321030101</v>
      </c>
      <c r="T96" s="104" t="str">
        <f t="shared" si="43"/>
        <v>UITexture/TechProd/321030101.png</v>
      </c>
      <c r="U96" s="172" t="s">
        <v>1140</v>
      </c>
      <c r="V96" s="104">
        <f t="shared" si="59"/>
        <v>0</v>
      </c>
      <c r="Z96" s="172">
        <v>1</v>
      </c>
      <c r="AB96" s="102">
        <f ca="1">IFERROR(OFFSET(BLDG_FUNC_PARAM!$A$5,MATCH(AC96,BLDG_FUNC_PARAM!$J$5:$J$68,0)-1,0),0)</f>
        <v>121030001</v>
      </c>
      <c r="AC96" s="103" t="s">
        <v>959</v>
      </c>
      <c r="AD96" s="102">
        <v>520</v>
      </c>
      <c r="AN96" s="102">
        <v>0</v>
      </c>
      <c r="AO96" s="102">
        <v>0</v>
      </c>
      <c r="AT96" s="104">
        <f t="shared" si="60"/>
        <v>1620</v>
      </c>
      <c r="AW96" s="103">
        <v>27</v>
      </c>
      <c r="AY96" s="102">
        <v>2700</v>
      </c>
      <c r="AZ96" s="102">
        <v>270</v>
      </c>
      <c r="BA96" s="172">
        <v>0</v>
      </c>
      <c r="BC96" s="104">
        <f ca="1">IFERROR(OFFSET(ITEM_RES!$A$5,MATCH(BD96,ITEM_RES!$M$5:$M$84,0)-1,0),0)</f>
        <v>0</v>
      </c>
    </row>
    <row r="97" spans="1:55" x14ac:dyDescent="0.3">
      <c r="A97" s="107">
        <f t="shared" si="56"/>
        <v>321030128</v>
      </c>
      <c r="B97" s="106">
        <v>32</v>
      </c>
      <c r="C97" s="105">
        <f t="shared" si="57"/>
        <v>1</v>
      </c>
      <c r="D97" s="106">
        <v>3</v>
      </c>
      <c r="E97" s="106">
        <v>1</v>
      </c>
      <c r="F97" s="105">
        <f t="shared" si="41"/>
        <v>28</v>
      </c>
      <c r="H97" s="103">
        <v>1</v>
      </c>
      <c r="I97" s="105">
        <f t="shared" si="58"/>
        <v>103</v>
      </c>
      <c r="J97" s="172">
        <v>28</v>
      </c>
      <c r="L97" s="172" t="s">
        <v>1115</v>
      </c>
      <c r="M97" s="172" t="s">
        <v>1125</v>
      </c>
      <c r="N97" s="103" t="s">
        <v>738</v>
      </c>
      <c r="O97" s="103" t="s">
        <v>1075</v>
      </c>
      <c r="P97" s="172">
        <v>0</v>
      </c>
      <c r="Q97" s="172">
        <v>12</v>
      </c>
      <c r="R97" s="103" t="s">
        <v>1031</v>
      </c>
      <c r="S97" s="103">
        <v>321030101</v>
      </c>
      <c r="T97" s="104" t="str">
        <f t="shared" si="43"/>
        <v>UITexture/TechProd/321030101.png</v>
      </c>
      <c r="U97" s="172" t="s">
        <v>1140</v>
      </c>
      <c r="V97" s="104">
        <f t="shared" si="59"/>
        <v>0</v>
      </c>
      <c r="Z97" s="172">
        <v>1</v>
      </c>
      <c r="AB97" s="102">
        <f ca="1">IFERROR(OFFSET(BLDG_FUNC_PARAM!$A$5,MATCH(AC97,BLDG_FUNC_PARAM!$J$5:$J$68,0)-1,0),0)</f>
        <v>121030001</v>
      </c>
      <c r="AC97" s="103" t="s">
        <v>959</v>
      </c>
      <c r="AD97" s="102">
        <v>530</v>
      </c>
      <c r="AN97" s="102">
        <v>0</v>
      </c>
      <c r="AO97" s="102">
        <v>0</v>
      </c>
      <c r="AT97" s="104">
        <f t="shared" si="60"/>
        <v>1680</v>
      </c>
      <c r="AW97" s="103">
        <v>28</v>
      </c>
      <c r="AY97" s="102">
        <v>2800</v>
      </c>
      <c r="AZ97" s="102">
        <v>280</v>
      </c>
      <c r="BA97" s="172">
        <v>0</v>
      </c>
      <c r="BC97" s="104">
        <f ca="1">IFERROR(OFFSET(ITEM_RES!$A$5,MATCH(BD97,ITEM_RES!$M$5:$M$84,0)-1,0),0)</f>
        <v>0</v>
      </c>
    </row>
    <row r="98" spans="1:55" x14ac:dyDescent="0.3">
      <c r="A98" s="107">
        <f t="shared" si="56"/>
        <v>321030129</v>
      </c>
      <c r="B98" s="106">
        <v>32</v>
      </c>
      <c r="C98" s="105">
        <f t="shared" si="57"/>
        <v>1</v>
      </c>
      <c r="D98" s="106">
        <v>3</v>
      </c>
      <c r="E98" s="106">
        <v>1</v>
      </c>
      <c r="F98" s="105">
        <f t="shared" si="41"/>
        <v>29</v>
      </c>
      <c r="H98" s="103">
        <v>1</v>
      </c>
      <c r="I98" s="105">
        <f t="shared" si="58"/>
        <v>103</v>
      </c>
      <c r="J98" s="172">
        <v>29</v>
      </c>
      <c r="L98" s="172" t="s">
        <v>1115</v>
      </c>
      <c r="M98" s="172" t="s">
        <v>1125</v>
      </c>
      <c r="N98" s="103" t="s">
        <v>738</v>
      </c>
      <c r="O98" s="103" t="s">
        <v>1075</v>
      </c>
      <c r="P98" s="172">
        <v>0</v>
      </c>
      <c r="Q98" s="172">
        <v>12</v>
      </c>
      <c r="R98" s="103" t="s">
        <v>1031</v>
      </c>
      <c r="S98" s="103">
        <v>321030101</v>
      </c>
      <c r="T98" s="104" t="str">
        <f t="shared" si="43"/>
        <v>UITexture/TechProd/321030101.png</v>
      </c>
      <c r="U98" s="172" t="s">
        <v>1140</v>
      </c>
      <c r="V98" s="104">
        <f t="shared" si="59"/>
        <v>0</v>
      </c>
      <c r="Z98" s="172">
        <v>1</v>
      </c>
      <c r="AB98" s="102">
        <f ca="1">IFERROR(OFFSET(BLDG_FUNC_PARAM!$A$5,MATCH(AC98,BLDG_FUNC_PARAM!$J$5:$J$68,0)-1,0),0)</f>
        <v>121030001</v>
      </c>
      <c r="AC98" s="103" t="s">
        <v>959</v>
      </c>
      <c r="AD98" s="102">
        <v>540</v>
      </c>
      <c r="AN98" s="102">
        <v>0</v>
      </c>
      <c r="AO98" s="102">
        <v>0</v>
      </c>
      <c r="AT98" s="104">
        <f t="shared" si="60"/>
        <v>1740</v>
      </c>
      <c r="AW98" s="103">
        <v>29</v>
      </c>
      <c r="AY98" s="102">
        <v>2900</v>
      </c>
      <c r="AZ98" s="102">
        <v>290</v>
      </c>
      <c r="BA98" s="172">
        <v>0</v>
      </c>
      <c r="BC98" s="104">
        <f ca="1">IFERROR(OFFSET(ITEM_RES!$A$5,MATCH(BD98,ITEM_RES!$M$5:$M$84,0)-1,0),0)</f>
        <v>0</v>
      </c>
    </row>
    <row r="99" spans="1:55" x14ac:dyDescent="0.3">
      <c r="A99" s="107">
        <f t="shared" si="56"/>
        <v>321030130</v>
      </c>
      <c r="B99" s="106">
        <v>32</v>
      </c>
      <c r="C99" s="105">
        <f t="shared" si="57"/>
        <v>1</v>
      </c>
      <c r="D99" s="106">
        <v>3</v>
      </c>
      <c r="E99" s="106">
        <v>1</v>
      </c>
      <c r="F99" s="105">
        <f t="shared" si="41"/>
        <v>30</v>
      </c>
      <c r="H99" s="103">
        <v>1</v>
      </c>
      <c r="I99" s="105">
        <f t="shared" si="58"/>
        <v>103</v>
      </c>
      <c r="J99" s="172">
        <v>30</v>
      </c>
      <c r="L99" s="172" t="s">
        <v>1115</v>
      </c>
      <c r="M99" s="172" t="s">
        <v>1125</v>
      </c>
      <c r="N99" s="103" t="s">
        <v>738</v>
      </c>
      <c r="O99" s="103" t="s">
        <v>1075</v>
      </c>
      <c r="P99" s="172">
        <v>0</v>
      </c>
      <c r="Q99" s="172">
        <v>12</v>
      </c>
      <c r="R99" s="103" t="s">
        <v>1031</v>
      </c>
      <c r="S99" s="103">
        <v>321030101</v>
      </c>
      <c r="T99" s="104" t="str">
        <f t="shared" si="43"/>
        <v>UITexture/TechProd/321030101.png</v>
      </c>
      <c r="U99" s="172" t="s">
        <v>1140</v>
      </c>
      <c r="V99" s="104">
        <f t="shared" si="59"/>
        <v>0</v>
      </c>
      <c r="Z99" s="172">
        <v>1</v>
      </c>
      <c r="AB99" s="102">
        <f ca="1">IFERROR(OFFSET(BLDG_FUNC_PARAM!$A$5,MATCH(AC99,BLDG_FUNC_PARAM!$J$5:$J$68,0)-1,0),0)</f>
        <v>121030001</v>
      </c>
      <c r="AC99" s="103" t="s">
        <v>959</v>
      </c>
      <c r="AD99" s="102">
        <v>600</v>
      </c>
      <c r="AN99" s="102">
        <v>29</v>
      </c>
      <c r="AO99" s="102">
        <v>0</v>
      </c>
      <c r="AT99" s="104">
        <f t="shared" si="60"/>
        <v>1800</v>
      </c>
      <c r="AW99" s="103">
        <v>30</v>
      </c>
      <c r="AY99" s="102">
        <v>3000</v>
      </c>
      <c r="AZ99" s="102">
        <v>300</v>
      </c>
      <c r="BA99" s="172">
        <v>0</v>
      </c>
      <c r="BC99" s="104">
        <f ca="1">IFERROR(OFFSET(ITEM_RES!$A$5,MATCH(BD99,ITEM_RES!$M$5:$M$84,0)-1,0),0)</f>
        <v>0</v>
      </c>
    </row>
    <row r="100" spans="1:55" x14ac:dyDescent="0.3">
      <c r="A100" s="107">
        <f t="shared" si="0"/>
        <v>321030201</v>
      </c>
      <c r="B100" s="106">
        <v>32</v>
      </c>
      <c r="C100" s="105">
        <f t="shared" ref="C100:C104" si="61">H100</f>
        <v>1</v>
      </c>
      <c r="D100" s="106">
        <v>3</v>
      </c>
      <c r="E100" s="106">
        <v>2</v>
      </c>
      <c r="F100" s="105">
        <f t="shared" si="41"/>
        <v>1</v>
      </c>
      <c r="H100" s="103">
        <v>1</v>
      </c>
      <c r="I100" s="105">
        <f t="shared" ref="I100:I104" si="62">C100*100+D100</f>
        <v>103</v>
      </c>
      <c r="J100" s="172">
        <v>1</v>
      </c>
      <c r="L100" s="172" t="s">
        <v>1115</v>
      </c>
      <c r="M100" s="172" t="s">
        <v>1126</v>
      </c>
      <c r="N100" s="103" t="s">
        <v>738</v>
      </c>
      <c r="O100" s="103" t="s">
        <v>1076</v>
      </c>
      <c r="P100" s="172">
        <v>1</v>
      </c>
      <c r="Q100" s="172">
        <v>12</v>
      </c>
      <c r="R100" s="103" t="s">
        <v>1031</v>
      </c>
      <c r="S100" s="103">
        <v>321030201</v>
      </c>
      <c r="T100" s="104" t="str">
        <f t="shared" si="43"/>
        <v>UITexture/TechProd/321030201.png</v>
      </c>
      <c r="U100" s="172" t="s">
        <v>1141</v>
      </c>
      <c r="V100" s="104">
        <f t="shared" ref="V100:V104" si="63">W100*1000+X100</f>
        <v>0</v>
      </c>
      <c r="Z100" s="172">
        <v>1</v>
      </c>
      <c r="AB100" s="102">
        <f ca="1">IFERROR(OFFSET(BLDG_FUNC_PARAM!$A$5,MATCH(AC100,BLDG_FUNC_PARAM!$J$5:$J$68,0)-1,0),0)</f>
        <v>121030002</v>
      </c>
      <c r="AC100" s="103" t="s">
        <v>960</v>
      </c>
      <c r="AD100" s="102">
        <v>1</v>
      </c>
      <c r="AN100" s="102">
        <v>2</v>
      </c>
      <c r="AO100" s="102">
        <v>0</v>
      </c>
      <c r="AT100" s="104">
        <f t="shared" ref="AT100:AT104" si="64">((AU100*24+AV100)*60+AW100)*60+AX100</f>
        <v>60</v>
      </c>
      <c r="AW100" s="103">
        <v>1</v>
      </c>
      <c r="AY100" s="102">
        <v>100</v>
      </c>
      <c r="AZ100" s="102">
        <v>10</v>
      </c>
      <c r="BA100" s="172">
        <v>0</v>
      </c>
      <c r="BC100" s="104">
        <f ca="1">IFERROR(OFFSET(ITEM_RES!$A$5,MATCH(BD100,ITEM_RES!$M$5:$M$84,0)-1,0),0)</f>
        <v>0</v>
      </c>
    </row>
    <row r="101" spans="1:55" x14ac:dyDescent="0.3">
      <c r="A101" s="107">
        <f t="shared" si="0"/>
        <v>321030202</v>
      </c>
      <c r="B101" s="106">
        <v>32</v>
      </c>
      <c r="C101" s="105">
        <f t="shared" si="61"/>
        <v>1</v>
      </c>
      <c r="D101" s="106">
        <v>3</v>
      </c>
      <c r="E101" s="106">
        <v>2</v>
      </c>
      <c r="F101" s="105">
        <f t="shared" si="41"/>
        <v>2</v>
      </c>
      <c r="H101" s="103">
        <v>1</v>
      </c>
      <c r="I101" s="105">
        <f t="shared" si="62"/>
        <v>103</v>
      </c>
      <c r="J101" s="172">
        <v>2</v>
      </c>
      <c r="L101" s="172" t="s">
        <v>1115</v>
      </c>
      <c r="M101" s="172" t="s">
        <v>1126</v>
      </c>
      <c r="N101" s="103" t="s">
        <v>738</v>
      </c>
      <c r="O101" s="103" t="s">
        <v>1076</v>
      </c>
      <c r="P101" s="172">
        <v>1</v>
      </c>
      <c r="Q101" s="172">
        <v>12</v>
      </c>
      <c r="R101" s="103" t="s">
        <v>1031</v>
      </c>
      <c r="S101" s="103">
        <v>321030201</v>
      </c>
      <c r="T101" s="104" t="str">
        <f t="shared" si="43"/>
        <v>UITexture/TechProd/321030201.png</v>
      </c>
      <c r="U101" s="172" t="s">
        <v>1141</v>
      </c>
      <c r="V101" s="104">
        <f t="shared" si="63"/>
        <v>0</v>
      </c>
      <c r="Z101" s="172">
        <v>1</v>
      </c>
      <c r="AB101" s="102">
        <f ca="1">IFERROR(OFFSET(BLDG_FUNC_PARAM!$A$5,MATCH(AC101,BLDG_FUNC_PARAM!$J$5:$J$68,0)-1,0),0)</f>
        <v>121030002</v>
      </c>
      <c r="AC101" s="103" t="s">
        <v>960</v>
      </c>
      <c r="AD101" s="102">
        <v>2</v>
      </c>
      <c r="AN101" s="102">
        <v>0</v>
      </c>
      <c r="AO101" s="102">
        <v>0</v>
      </c>
      <c r="AT101" s="104">
        <f t="shared" si="64"/>
        <v>120</v>
      </c>
      <c r="AW101" s="103">
        <v>2</v>
      </c>
      <c r="AY101" s="102">
        <v>200</v>
      </c>
      <c r="AZ101" s="102">
        <v>20</v>
      </c>
      <c r="BA101" s="172">
        <v>0</v>
      </c>
      <c r="BC101" s="104">
        <f ca="1">IFERROR(OFFSET(ITEM_RES!$A$5,MATCH(BD101,ITEM_RES!$M$5:$M$84,0)-1,0),0)</f>
        <v>0</v>
      </c>
    </row>
    <row r="102" spans="1:55" x14ac:dyDescent="0.3">
      <c r="A102" s="107">
        <f t="shared" si="0"/>
        <v>321030203</v>
      </c>
      <c r="B102" s="106">
        <v>32</v>
      </c>
      <c r="C102" s="105">
        <f t="shared" si="61"/>
        <v>1</v>
      </c>
      <c r="D102" s="106">
        <v>3</v>
      </c>
      <c r="E102" s="106">
        <v>2</v>
      </c>
      <c r="F102" s="105">
        <f t="shared" si="41"/>
        <v>3</v>
      </c>
      <c r="H102" s="103">
        <v>1</v>
      </c>
      <c r="I102" s="105">
        <f t="shared" si="62"/>
        <v>103</v>
      </c>
      <c r="J102" s="172">
        <v>3</v>
      </c>
      <c r="L102" s="172" t="s">
        <v>1115</v>
      </c>
      <c r="M102" s="172" t="s">
        <v>1126</v>
      </c>
      <c r="N102" s="103" t="s">
        <v>738</v>
      </c>
      <c r="O102" s="103" t="s">
        <v>1076</v>
      </c>
      <c r="P102" s="172">
        <v>1</v>
      </c>
      <c r="Q102" s="172">
        <v>12</v>
      </c>
      <c r="R102" s="103" t="s">
        <v>1031</v>
      </c>
      <c r="S102" s="103">
        <v>321030201</v>
      </c>
      <c r="T102" s="104" t="str">
        <f t="shared" si="43"/>
        <v>UITexture/TechProd/321030201.png</v>
      </c>
      <c r="U102" s="172" t="s">
        <v>1141</v>
      </c>
      <c r="V102" s="104">
        <f t="shared" si="63"/>
        <v>0</v>
      </c>
      <c r="Z102" s="172">
        <v>1</v>
      </c>
      <c r="AB102" s="102">
        <f ca="1">IFERROR(OFFSET(BLDG_FUNC_PARAM!$A$5,MATCH(AC102,BLDG_FUNC_PARAM!$J$5:$J$68,0)-1,0),0)</f>
        <v>121030002</v>
      </c>
      <c r="AC102" s="103" t="s">
        <v>960</v>
      </c>
      <c r="AD102" s="102">
        <v>3</v>
      </c>
      <c r="AN102" s="102">
        <v>0</v>
      </c>
      <c r="AO102" s="102">
        <v>0</v>
      </c>
      <c r="AT102" s="104">
        <f t="shared" si="64"/>
        <v>180</v>
      </c>
      <c r="AW102" s="103">
        <v>3</v>
      </c>
      <c r="AY102" s="102">
        <v>300</v>
      </c>
      <c r="AZ102" s="102">
        <v>30</v>
      </c>
      <c r="BA102" s="172">
        <v>0</v>
      </c>
      <c r="BC102" s="104">
        <f ca="1">IFERROR(OFFSET(ITEM_RES!$A$5,MATCH(BD102,ITEM_RES!$M$5:$M$84,0)-1,0),0)</f>
        <v>0</v>
      </c>
    </row>
    <row r="103" spans="1:55" x14ac:dyDescent="0.3">
      <c r="A103" s="107">
        <f t="shared" si="0"/>
        <v>321030204</v>
      </c>
      <c r="B103" s="106">
        <v>32</v>
      </c>
      <c r="C103" s="105">
        <f t="shared" si="61"/>
        <v>1</v>
      </c>
      <c r="D103" s="106">
        <v>3</v>
      </c>
      <c r="E103" s="106">
        <v>2</v>
      </c>
      <c r="F103" s="105">
        <f t="shared" si="41"/>
        <v>4</v>
      </c>
      <c r="H103" s="103">
        <v>1</v>
      </c>
      <c r="I103" s="105">
        <f t="shared" si="62"/>
        <v>103</v>
      </c>
      <c r="J103" s="172">
        <v>4</v>
      </c>
      <c r="L103" s="172" t="s">
        <v>1115</v>
      </c>
      <c r="M103" s="172" t="s">
        <v>1126</v>
      </c>
      <c r="N103" s="103" t="s">
        <v>738</v>
      </c>
      <c r="O103" s="103" t="s">
        <v>1076</v>
      </c>
      <c r="P103" s="172">
        <v>1</v>
      </c>
      <c r="Q103" s="172">
        <v>12</v>
      </c>
      <c r="R103" s="103" t="s">
        <v>1031</v>
      </c>
      <c r="S103" s="103">
        <v>321030201</v>
      </c>
      <c r="T103" s="104" t="str">
        <f t="shared" si="43"/>
        <v>UITexture/TechProd/321030201.png</v>
      </c>
      <c r="U103" s="172" t="s">
        <v>1141</v>
      </c>
      <c r="V103" s="104">
        <f t="shared" si="63"/>
        <v>0</v>
      </c>
      <c r="Z103" s="172">
        <v>1</v>
      </c>
      <c r="AB103" s="102">
        <f ca="1">IFERROR(OFFSET(BLDG_FUNC_PARAM!$A$5,MATCH(AC103,BLDG_FUNC_PARAM!$J$5:$J$68,0)-1,0),0)</f>
        <v>121030002</v>
      </c>
      <c r="AC103" s="103" t="s">
        <v>960</v>
      </c>
      <c r="AD103" s="102">
        <v>4</v>
      </c>
      <c r="AN103" s="102">
        <v>0</v>
      </c>
      <c r="AO103" s="102">
        <v>0</v>
      </c>
      <c r="AT103" s="104">
        <f t="shared" si="64"/>
        <v>240</v>
      </c>
      <c r="AW103" s="103">
        <v>4</v>
      </c>
      <c r="AY103" s="102">
        <v>400</v>
      </c>
      <c r="AZ103" s="102">
        <v>40</v>
      </c>
      <c r="BA103" s="172">
        <v>0</v>
      </c>
      <c r="BC103" s="104">
        <f ca="1">IFERROR(OFFSET(ITEM_RES!$A$5,MATCH(BD103,ITEM_RES!$M$5:$M$84,0)-1,0),0)</f>
        <v>0</v>
      </c>
    </row>
    <row r="104" spans="1:55" x14ac:dyDescent="0.3">
      <c r="A104" s="107">
        <f t="shared" si="0"/>
        <v>321030205</v>
      </c>
      <c r="B104" s="106">
        <v>32</v>
      </c>
      <c r="C104" s="105">
        <f t="shared" si="61"/>
        <v>1</v>
      </c>
      <c r="D104" s="106">
        <v>3</v>
      </c>
      <c r="E104" s="106">
        <v>2</v>
      </c>
      <c r="F104" s="105">
        <f t="shared" si="41"/>
        <v>5</v>
      </c>
      <c r="H104" s="103">
        <v>1</v>
      </c>
      <c r="I104" s="105">
        <f t="shared" si="62"/>
        <v>103</v>
      </c>
      <c r="J104" s="172">
        <v>5</v>
      </c>
      <c r="L104" s="172" t="s">
        <v>1115</v>
      </c>
      <c r="M104" s="172" t="s">
        <v>1126</v>
      </c>
      <c r="N104" s="103" t="s">
        <v>738</v>
      </c>
      <c r="O104" s="103" t="s">
        <v>1076</v>
      </c>
      <c r="P104" s="172">
        <v>1</v>
      </c>
      <c r="Q104" s="172">
        <v>12</v>
      </c>
      <c r="R104" s="103" t="s">
        <v>1031</v>
      </c>
      <c r="S104" s="103">
        <v>321030201</v>
      </c>
      <c r="T104" s="104" t="str">
        <f t="shared" si="43"/>
        <v>UITexture/TechProd/321030201.png</v>
      </c>
      <c r="U104" s="172" t="s">
        <v>1141</v>
      </c>
      <c r="V104" s="104">
        <f t="shared" si="63"/>
        <v>0</v>
      </c>
      <c r="Z104" s="172">
        <v>1</v>
      </c>
      <c r="AB104" s="102">
        <f ca="1">IFERROR(OFFSET(BLDG_FUNC_PARAM!$A$5,MATCH(AC104,BLDG_FUNC_PARAM!$J$5:$J$68,0)-1,0),0)</f>
        <v>121030002</v>
      </c>
      <c r="AC104" s="103" t="s">
        <v>960</v>
      </c>
      <c r="AD104" s="102">
        <v>5</v>
      </c>
      <c r="AN104" s="102">
        <v>6</v>
      </c>
      <c r="AO104" s="102">
        <v>0</v>
      </c>
      <c r="AT104" s="104">
        <f t="shared" si="64"/>
        <v>300</v>
      </c>
      <c r="AW104" s="103">
        <v>5</v>
      </c>
      <c r="AY104" s="102">
        <v>500</v>
      </c>
      <c r="AZ104" s="102">
        <v>50</v>
      </c>
      <c r="BA104" s="172">
        <v>0</v>
      </c>
      <c r="BC104" s="104">
        <f ca="1">IFERROR(OFFSET(ITEM_RES!$A$5,MATCH(BD104,ITEM_RES!$M$5:$M$84,0)-1,0),0)</f>
        <v>0</v>
      </c>
    </row>
    <row r="105" spans="1:55" x14ac:dyDescent="0.3">
      <c r="A105" s="107">
        <f t="shared" ref="A105:A114" si="65">B105*10000000+C105*1000000+D105*10000+E105*100+F105</f>
        <v>321030206</v>
      </c>
      <c r="B105" s="106">
        <v>32</v>
      </c>
      <c r="C105" s="105">
        <f t="shared" ref="C105:C114" si="66">H105</f>
        <v>1</v>
      </c>
      <c r="D105" s="106">
        <v>3</v>
      </c>
      <c r="E105" s="106">
        <v>2</v>
      </c>
      <c r="F105" s="105">
        <f t="shared" si="41"/>
        <v>6</v>
      </c>
      <c r="H105" s="103">
        <v>1</v>
      </c>
      <c r="I105" s="105">
        <f t="shared" ref="I105:I114" si="67">C105*100+D105</f>
        <v>103</v>
      </c>
      <c r="J105" s="172">
        <v>6</v>
      </c>
      <c r="L105" s="172" t="s">
        <v>1115</v>
      </c>
      <c r="M105" s="172" t="s">
        <v>1126</v>
      </c>
      <c r="N105" s="103" t="s">
        <v>738</v>
      </c>
      <c r="O105" s="103" t="s">
        <v>1076</v>
      </c>
      <c r="P105" s="172">
        <v>1</v>
      </c>
      <c r="Q105" s="172">
        <v>12</v>
      </c>
      <c r="R105" s="103" t="s">
        <v>1031</v>
      </c>
      <c r="S105" s="103">
        <v>321030201</v>
      </c>
      <c r="T105" s="104" t="str">
        <f t="shared" si="43"/>
        <v>UITexture/TechProd/321030201.png</v>
      </c>
      <c r="U105" s="172" t="s">
        <v>1141</v>
      </c>
      <c r="V105" s="104">
        <f t="shared" ref="V105:V114" si="68">W105*1000+X105</f>
        <v>0</v>
      </c>
      <c r="Z105" s="172">
        <v>1</v>
      </c>
      <c r="AB105" s="102">
        <f ca="1">IFERROR(OFFSET(BLDG_FUNC_PARAM!$A$5,MATCH(AC105,BLDG_FUNC_PARAM!$J$5:$J$68,0)-1,0),0)</f>
        <v>121030002</v>
      </c>
      <c r="AC105" s="103" t="s">
        <v>960</v>
      </c>
      <c r="AD105" s="102">
        <v>6</v>
      </c>
      <c r="AN105" s="102">
        <v>0</v>
      </c>
      <c r="AO105" s="102">
        <v>0</v>
      </c>
      <c r="AT105" s="104">
        <f t="shared" ref="AT105:AT114" si="69">((AU105*24+AV105)*60+AW105)*60+AX105</f>
        <v>360</v>
      </c>
      <c r="AW105" s="103">
        <v>6</v>
      </c>
      <c r="AY105" s="102">
        <v>600</v>
      </c>
      <c r="AZ105" s="102">
        <v>60</v>
      </c>
      <c r="BA105" s="172">
        <v>0</v>
      </c>
      <c r="BC105" s="104">
        <f ca="1">IFERROR(OFFSET(ITEM_RES!$A$5,MATCH(BD105,ITEM_RES!$M$5:$M$84,0)-1,0),0)</f>
        <v>0</v>
      </c>
    </row>
    <row r="106" spans="1:55" x14ac:dyDescent="0.3">
      <c r="A106" s="107">
        <f t="shared" si="65"/>
        <v>321030207</v>
      </c>
      <c r="B106" s="106">
        <v>32</v>
      </c>
      <c r="C106" s="105">
        <f t="shared" si="66"/>
        <v>1</v>
      </c>
      <c r="D106" s="106">
        <v>3</v>
      </c>
      <c r="E106" s="106">
        <v>2</v>
      </c>
      <c r="F106" s="105">
        <f t="shared" si="41"/>
        <v>7</v>
      </c>
      <c r="H106" s="103">
        <v>1</v>
      </c>
      <c r="I106" s="105">
        <f t="shared" si="67"/>
        <v>103</v>
      </c>
      <c r="J106" s="172">
        <v>7</v>
      </c>
      <c r="L106" s="172" t="s">
        <v>1115</v>
      </c>
      <c r="M106" s="172" t="s">
        <v>1126</v>
      </c>
      <c r="N106" s="103" t="s">
        <v>738</v>
      </c>
      <c r="O106" s="103" t="s">
        <v>1076</v>
      </c>
      <c r="P106" s="172">
        <v>1</v>
      </c>
      <c r="Q106" s="172">
        <v>12</v>
      </c>
      <c r="R106" s="103" t="s">
        <v>1031</v>
      </c>
      <c r="S106" s="103">
        <v>321030201</v>
      </c>
      <c r="T106" s="104" t="str">
        <f t="shared" si="43"/>
        <v>UITexture/TechProd/321030201.png</v>
      </c>
      <c r="U106" s="172" t="s">
        <v>1141</v>
      </c>
      <c r="V106" s="104">
        <f t="shared" si="68"/>
        <v>0</v>
      </c>
      <c r="Z106" s="172">
        <v>1</v>
      </c>
      <c r="AB106" s="102">
        <f ca="1">IFERROR(OFFSET(BLDG_FUNC_PARAM!$A$5,MATCH(AC106,BLDG_FUNC_PARAM!$J$5:$J$68,0)-1,0),0)</f>
        <v>121030002</v>
      </c>
      <c r="AC106" s="103" t="s">
        <v>960</v>
      </c>
      <c r="AD106" s="102">
        <v>7</v>
      </c>
      <c r="AN106" s="102">
        <v>0</v>
      </c>
      <c r="AO106" s="102">
        <v>0</v>
      </c>
      <c r="AT106" s="104">
        <f t="shared" si="69"/>
        <v>420</v>
      </c>
      <c r="AW106" s="103">
        <v>7</v>
      </c>
      <c r="AY106" s="102">
        <v>700</v>
      </c>
      <c r="AZ106" s="102">
        <v>70</v>
      </c>
      <c r="BA106" s="172">
        <v>0</v>
      </c>
      <c r="BC106" s="104">
        <f ca="1">IFERROR(OFFSET(ITEM_RES!$A$5,MATCH(BD106,ITEM_RES!$M$5:$M$84,0)-1,0),0)</f>
        <v>0</v>
      </c>
    </row>
    <row r="107" spans="1:55" x14ac:dyDescent="0.3">
      <c r="A107" s="107">
        <f t="shared" si="65"/>
        <v>321030208</v>
      </c>
      <c r="B107" s="106">
        <v>32</v>
      </c>
      <c r="C107" s="105">
        <f t="shared" si="66"/>
        <v>1</v>
      </c>
      <c r="D107" s="106">
        <v>3</v>
      </c>
      <c r="E107" s="106">
        <v>2</v>
      </c>
      <c r="F107" s="105">
        <f t="shared" si="41"/>
        <v>8</v>
      </c>
      <c r="H107" s="103">
        <v>1</v>
      </c>
      <c r="I107" s="105">
        <f t="shared" si="67"/>
        <v>103</v>
      </c>
      <c r="J107" s="172">
        <v>8</v>
      </c>
      <c r="L107" s="172" t="s">
        <v>1115</v>
      </c>
      <c r="M107" s="172" t="s">
        <v>1126</v>
      </c>
      <c r="N107" s="103" t="s">
        <v>738</v>
      </c>
      <c r="O107" s="103" t="s">
        <v>1076</v>
      </c>
      <c r="P107" s="172">
        <v>1</v>
      </c>
      <c r="Q107" s="172">
        <v>12</v>
      </c>
      <c r="R107" s="103" t="s">
        <v>1031</v>
      </c>
      <c r="S107" s="103">
        <v>321030201</v>
      </c>
      <c r="T107" s="104" t="str">
        <f t="shared" si="43"/>
        <v>UITexture/TechProd/321030201.png</v>
      </c>
      <c r="U107" s="172" t="s">
        <v>1141</v>
      </c>
      <c r="V107" s="104">
        <f t="shared" si="68"/>
        <v>0</v>
      </c>
      <c r="Z107" s="172">
        <v>1</v>
      </c>
      <c r="AB107" s="102">
        <f ca="1">IFERROR(OFFSET(BLDG_FUNC_PARAM!$A$5,MATCH(AC107,BLDG_FUNC_PARAM!$J$5:$J$68,0)-1,0),0)</f>
        <v>121030002</v>
      </c>
      <c r="AC107" s="103" t="s">
        <v>960</v>
      </c>
      <c r="AD107" s="102">
        <v>8</v>
      </c>
      <c r="AN107" s="102">
        <v>0</v>
      </c>
      <c r="AO107" s="102">
        <v>0</v>
      </c>
      <c r="AT107" s="104">
        <f t="shared" si="69"/>
        <v>480</v>
      </c>
      <c r="AW107" s="103">
        <v>8</v>
      </c>
      <c r="AY107" s="102">
        <v>800</v>
      </c>
      <c r="AZ107" s="102">
        <v>80</v>
      </c>
      <c r="BA107" s="172">
        <v>0</v>
      </c>
      <c r="BC107" s="104">
        <f ca="1">IFERROR(OFFSET(ITEM_RES!$A$5,MATCH(BD107,ITEM_RES!$M$5:$M$84,0)-1,0),0)</f>
        <v>0</v>
      </c>
    </row>
    <row r="108" spans="1:55" x14ac:dyDescent="0.3">
      <c r="A108" s="107">
        <f t="shared" si="65"/>
        <v>321030209</v>
      </c>
      <c r="B108" s="106">
        <v>32</v>
      </c>
      <c r="C108" s="105">
        <f t="shared" si="66"/>
        <v>1</v>
      </c>
      <c r="D108" s="106">
        <v>3</v>
      </c>
      <c r="E108" s="106">
        <v>2</v>
      </c>
      <c r="F108" s="105">
        <f t="shared" si="41"/>
        <v>9</v>
      </c>
      <c r="H108" s="103">
        <v>1</v>
      </c>
      <c r="I108" s="105">
        <f t="shared" si="67"/>
        <v>103</v>
      </c>
      <c r="J108" s="172">
        <v>9</v>
      </c>
      <c r="L108" s="172" t="s">
        <v>1115</v>
      </c>
      <c r="M108" s="172" t="s">
        <v>1126</v>
      </c>
      <c r="N108" s="103" t="s">
        <v>738</v>
      </c>
      <c r="O108" s="103" t="s">
        <v>1076</v>
      </c>
      <c r="P108" s="172">
        <v>1</v>
      </c>
      <c r="Q108" s="172">
        <v>12</v>
      </c>
      <c r="R108" s="103" t="s">
        <v>1031</v>
      </c>
      <c r="S108" s="103">
        <v>321030201</v>
      </c>
      <c r="T108" s="104" t="str">
        <f t="shared" si="43"/>
        <v>UITexture/TechProd/321030201.png</v>
      </c>
      <c r="U108" s="172" t="s">
        <v>1141</v>
      </c>
      <c r="V108" s="104">
        <f t="shared" si="68"/>
        <v>0</v>
      </c>
      <c r="Z108" s="172">
        <v>1</v>
      </c>
      <c r="AB108" s="102">
        <f ca="1">IFERROR(OFFSET(BLDG_FUNC_PARAM!$A$5,MATCH(AC108,BLDG_FUNC_PARAM!$J$5:$J$68,0)-1,0),0)</f>
        <v>121030002</v>
      </c>
      <c r="AC108" s="103" t="s">
        <v>960</v>
      </c>
      <c r="AD108" s="102">
        <v>9</v>
      </c>
      <c r="AN108" s="102">
        <v>0</v>
      </c>
      <c r="AO108" s="102">
        <v>0</v>
      </c>
      <c r="AT108" s="104">
        <f t="shared" si="69"/>
        <v>540</v>
      </c>
      <c r="AW108" s="103">
        <v>9</v>
      </c>
      <c r="AY108" s="102">
        <v>900</v>
      </c>
      <c r="AZ108" s="102">
        <v>90</v>
      </c>
      <c r="BA108" s="172">
        <v>0</v>
      </c>
      <c r="BC108" s="104">
        <f ca="1">IFERROR(OFFSET(ITEM_RES!$A$5,MATCH(BD108,ITEM_RES!$M$5:$M$84,0)-1,0),0)</f>
        <v>0</v>
      </c>
    </row>
    <row r="109" spans="1:55" x14ac:dyDescent="0.3">
      <c r="A109" s="107">
        <f t="shared" si="65"/>
        <v>321030210</v>
      </c>
      <c r="B109" s="106">
        <v>32</v>
      </c>
      <c r="C109" s="105">
        <f t="shared" si="66"/>
        <v>1</v>
      </c>
      <c r="D109" s="106">
        <v>3</v>
      </c>
      <c r="E109" s="106">
        <v>2</v>
      </c>
      <c r="F109" s="105">
        <f t="shared" si="41"/>
        <v>10</v>
      </c>
      <c r="H109" s="103">
        <v>1</v>
      </c>
      <c r="I109" s="105">
        <f t="shared" si="67"/>
        <v>103</v>
      </c>
      <c r="J109" s="172">
        <v>10</v>
      </c>
      <c r="L109" s="172" t="s">
        <v>1115</v>
      </c>
      <c r="M109" s="172" t="s">
        <v>1126</v>
      </c>
      <c r="N109" s="103" t="s">
        <v>738</v>
      </c>
      <c r="O109" s="103" t="s">
        <v>1076</v>
      </c>
      <c r="P109" s="172">
        <v>1</v>
      </c>
      <c r="Q109" s="172">
        <v>12</v>
      </c>
      <c r="R109" s="103" t="s">
        <v>1031</v>
      </c>
      <c r="S109" s="103">
        <v>321030201</v>
      </c>
      <c r="T109" s="104" t="str">
        <f t="shared" si="43"/>
        <v>UITexture/TechProd/321030201.png</v>
      </c>
      <c r="U109" s="172" t="s">
        <v>1141</v>
      </c>
      <c r="V109" s="104">
        <f t="shared" si="68"/>
        <v>0</v>
      </c>
      <c r="Z109" s="172">
        <v>1</v>
      </c>
      <c r="AB109" s="102">
        <f ca="1">IFERROR(OFFSET(BLDG_FUNC_PARAM!$A$5,MATCH(AC109,BLDG_FUNC_PARAM!$J$5:$J$68,0)-1,0),0)</f>
        <v>121030002</v>
      </c>
      <c r="AC109" s="103" t="s">
        <v>960</v>
      </c>
      <c r="AD109" s="102">
        <v>10</v>
      </c>
      <c r="AN109" s="102">
        <v>11</v>
      </c>
      <c r="AO109" s="102">
        <v>0</v>
      </c>
      <c r="AT109" s="104">
        <f t="shared" si="69"/>
        <v>600</v>
      </c>
      <c r="AW109" s="103">
        <v>10</v>
      </c>
      <c r="AY109" s="102">
        <v>1000</v>
      </c>
      <c r="AZ109" s="102">
        <v>100</v>
      </c>
      <c r="BA109" s="172">
        <v>0</v>
      </c>
      <c r="BC109" s="104">
        <f ca="1">IFERROR(OFFSET(ITEM_RES!$A$5,MATCH(BD109,ITEM_RES!$M$5:$M$84,0)-1,0),0)</f>
        <v>0</v>
      </c>
    </row>
    <row r="110" spans="1:55" x14ac:dyDescent="0.3">
      <c r="A110" s="107">
        <f t="shared" si="65"/>
        <v>321030211</v>
      </c>
      <c r="B110" s="106">
        <v>32</v>
      </c>
      <c r="C110" s="105">
        <f t="shared" si="66"/>
        <v>1</v>
      </c>
      <c r="D110" s="106">
        <v>3</v>
      </c>
      <c r="E110" s="106">
        <v>2</v>
      </c>
      <c r="F110" s="105">
        <f t="shared" si="41"/>
        <v>11</v>
      </c>
      <c r="H110" s="103">
        <v>1</v>
      </c>
      <c r="I110" s="105">
        <f t="shared" si="67"/>
        <v>103</v>
      </c>
      <c r="J110" s="172">
        <v>11</v>
      </c>
      <c r="L110" s="172" t="s">
        <v>1115</v>
      </c>
      <c r="M110" s="172" t="s">
        <v>1126</v>
      </c>
      <c r="N110" s="103" t="s">
        <v>738</v>
      </c>
      <c r="O110" s="103" t="s">
        <v>1076</v>
      </c>
      <c r="P110" s="172">
        <v>1</v>
      </c>
      <c r="Q110" s="172">
        <v>12</v>
      </c>
      <c r="R110" s="103" t="s">
        <v>1031</v>
      </c>
      <c r="S110" s="103">
        <v>321030201</v>
      </c>
      <c r="T110" s="104" t="str">
        <f t="shared" si="43"/>
        <v>UITexture/TechProd/321030201.png</v>
      </c>
      <c r="U110" s="172" t="s">
        <v>1141</v>
      </c>
      <c r="V110" s="104">
        <f t="shared" si="68"/>
        <v>0</v>
      </c>
      <c r="Z110" s="172">
        <v>1</v>
      </c>
      <c r="AB110" s="102">
        <f ca="1">IFERROR(OFFSET(BLDG_FUNC_PARAM!$A$5,MATCH(AC110,BLDG_FUNC_PARAM!$J$5:$J$68,0)-1,0),0)</f>
        <v>121030002</v>
      </c>
      <c r="AC110" s="103" t="s">
        <v>960</v>
      </c>
      <c r="AD110" s="102">
        <v>11</v>
      </c>
      <c r="AN110" s="102">
        <v>0</v>
      </c>
      <c r="AO110" s="102">
        <v>0</v>
      </c>
      <c r="AT110" s="104">
        <f t="shared" si="69"/>
        <v>660</v>
      </c>
      <c r="AW110" s="103">
        <v>11</v>
      </c>
      <c r="AY110" s="102">
        <v>1100</v>
      </c>
      <c r="AZ110" s="102">
        <v>110</v>
      </c>
      <c r="BA110" s="172">
        <v>0</v>
      </c>
      <c r="BC110" s="104">
        <f ca="1">IFERROR(OFFSET(ITEM_RES!$A$5,MATCH(BD110,ITEM_RES!$M$5:$M$84,0)-1,0),0)</f>
        <v>0</v>
      </c>
    </row>
    <row r="111" spans="1:55" x14ac:dyDescent="0.3">
      <c r="A111" s="107">
        <f t="shared" si="65"/>
        <v>321030212</v>
      </c>
      <c r="B111" s="106">
        <v>32</v>
      </c>
      <c r="C111" s="105">
        <f t="shared" si="66"/>
        <v>1</v>
      </c>
      <c r="D111" s="106">
        <v>3</v>
      </c>
      <c r="E111" s="106">
        <v>2</v>
      </c>
      <c r="F111" s="105">
        <f t="shared" si="41"/>
        <v>12</v>
      </c>
      <c r="H111" s="103">
        <v>1</v>
      </c>
      <c r="I111" s="105">
        <f t="shared" si="67"/>
        <v>103</v>
      </c>
      <c r="J111" s="172">
        <v>12</v>
      </c>
      <c r="L111" s="172" t="s">
        <v>1115</v>
      </c>
      <c r="M111" s="172" t="s">
        <v>1126</v>
      </c>
      <c r="N111" s="103" t="s">
        <v>738</v>
      </c>
      <c r="O111" s="103" t="s">
        <v>1076</v>
      </c>
      <c r="P111" s="172">
        <v>1</v>
      </c>
      <c r="Q111" s="172">
        <v>12</v>
      </c>
      <c r="R111" s="103" t="s">
        <v>1031</v>
      </c>
      <c r="S111" s="103">
        <v>321030201</v>
      </c>
      <c r="T111" s="104" t="str">
        <f t="shared" si="43"/>
        <v>UITexture/TechProd/321030201.png</v>
      </c>
      <c r="U111" s="172" t="s">
        <v>1141</v>
      </c>
      <c r="V111" s="104">
        <f t="shared" si="68"/>
        <v>0</v>
      </c>
      <c r="Z111" s="172">
        <v>1</v>
      </c>
      <c r="AB111" s="102">
        <f ca="1">IFERROR(OFFSET(BLDG_FUNC_PARAM!$A$5,MATCH(AC111,BLDG_FUNC_PARAM!$J$5:$J$68,0)-1,0),0)</f>
        <v>121030002</v>
      </c>
      <c r="AC111" s="103" t="s">
        <v>960</v>
      </c>
      <c r="AD111" s="102">
        <v>12</v>
      </c>
      <c r="AN111" s="102">
        <v>0</v>
      </c>
      <c r="AO111" s="102">
        <v>0</v>
      </c>
      <c r="AT111" s="104">
        <f t="shared" si="69"/>
        <v>720</v>
      </c>
      <c r="AW111" s="103">
        <v>12</v>
      </c>
      <c r="AY111" s="102">
        <v>1200</v>
      </c>
      <c r="AZ111" s="102">
        <v>120</v>
      </c>
      <c r="BA111" s="172">
        <v>0</v>
      </c>
      <c r="BC111" s="104">
        <f ca="1">IFERROR(OFFSET(ITEM_RES!$A$5,MATCH(BD111,ITEM_RES!$M$5:$M$84,0)-1,0),0)</f>
        <v>0</v>
      </c>
    </row>
    <row r="112" spans="1:55" x14ac:dyDescent="0.3">
      <c r="A112" s="107">
        <f t="shared" si="65"/>
        <v>321030213</v>
      </c>
      <c r="B112" s="106">
        <v>32</v>
      </c>
      <c r="C112" s="105">
        <f t="shared" si="66"/>
        <v>1</v>
      </c>
      <c r="D112" s="106">
        <v>3</v>
      </c>
      <c r="E112" s="106">
        <v>2</v>
      </c>
      <c r="F112" s="105">
        <f t="shared" si="41"/>
        <v>13</v>
      </c>
      <c r="H112" s="103">
        <v>1</v>
      </c>
      <c r="I112" s="105">
        <f t="shared" si="67"/>
        <v>103</v>
      </c>
      <c r="J112" s="172">
        <v>13</v>
      </c>
      <c r="L112" s="172" t="s">
        <v>1115</v>
      </c>
      <c r="M112" s="172" t="s">
        <v>1126</v>
      </c>
      <c r="N112" s="103" t="s">
        <v>738</v>
      </c>
      <c r="O112" s="103" t="s">
        <v>1076</v>
      </c>
      <c r="P112" s="172">
        <v>0</v>
      </c>
      <c r="Q112" s="172">
        <v>12</v>
      </c>
      <c r="R112" s="103" t="s">
        <v>1031</v>
      </c>
      <c r="S112" s="103">
        <v>321030201</v>
      </c>
      <c r="T112" s="104" t="str">
        <f t="shared" si="43"/>
        <v>UITexture/TechProd/321030201.png</v>
      </c>
      <c r="U112" s="172" t="s">
        <v>1141</v>
      </c>
      <c r="V112" s="104">
        <f t="shared" si="68"/>
        <v>0</v>
      </c>
      <c r="Z112" s="172">
        <v>1</v>
      </c>
      <c r="AB112" s="102">
        <f ca="1">IFERROR(OFFSET(BLDG_FUNC_PARAM!$A$5,MATCH(AC112,BLDG_FUNC_PARAM!$J$5:$J$68,0)-1,0),0)</f>
        <v>121030002</v>
      </c>
      <c r="AC112" s="103" t="s">
        <v>960</v>
      </c>
      <c r="AD112" s="102">
        <v>13</v>
      </c>
      <c r="AN112" s="102">
        <v>0</v>
      </c>
      <c r="AO112" s="102">
        <v>0</v>
      </c>
      <c r="AT112" s="104">
        <f t="shared" si="69"/>
        <v>780</v>
      </c>
      <c r="AW112" s="103">
        <v>13</v>
      </c>
      <c r="AY112" s="102">
        <v>1300</v>
      </c>
      <c r="AZ112" s="102">
        <v>130</v>
      </c>
      <c r="BA112" s="172">
        <v>0</v>
      </c>
      <c r="BC112" s="104">
        <f ca="1">IFERROR(OFFSET(ITEM_RES!$A$5,MATCH(BD112,ITEM_RES!$M$5:$M$84,0)-1,0),0)</f>
        <v>0</v>
      </c>
    </row>
    <row r="113" spans="1:55" x14ac:dyDescent="0.3">
      <c r="A113" s="107">
        <f t="shared" si="65"/>
        <v>321030214</v>
      </c>
      <c r="B113" s="106">
        <v>32</v>
      </c>
      <c r="C113" s="105">
        <f t="shared" si="66"/>
        <v>1</v>
      </c>
      <c r="D113" s="106">
        <v>3</v>
      </c>
      <c r="E113" s="106">
        <v>2</v>
      </c>
      <c r="F113" s="105">
        <f t="shared" si="41"/>
        <v>14</v>
      </c>
      <c r="H113" s="103">
        <v>1</v>
      </c>
      <c r="I113" s="105">
        <f t="shared" si="67"/>
        <v>103</v>
      </c>
      <c r="J113" s="172">
        <v>14</v>
      </c>
      <c r="L113" s="172" t="s">
        <v>1115</v>
      </c>
      <c r="M113" s="172" t="s">
        <v>1126</v>
      </c>
      <c r="N113" s="103" t="s">
        <v>738</v>
      </c>
      <c r="O113" s="103" t="s">
        <v>1076</v>
      </c>
      <c r="P113" s="172">
        <v>0</v>
      </c>
      <c r="Q113" s="172">
        <v>12</v>
      </c>
      <c r="R113" s="103" t="s">
        <v>1031</v>
      </c>
      <c r="S113" s="103">
        <v>321030201</v>
      </c>
      <c r="T113" s="104" t="str">
        <f t="shared" si="43"/>
        <v>UITexture/TechProd/321030201.png</v>
      </c>
      <c r="U113" s="172" t="s">
        <v>1141</v>
      </c>
      <c r="V113" s="104">
        <f t="shared" si="68"/>
        <v>0</v>
      </c>
      <c r="Z113" s="172">
        <v>1</v>
      </c>
      <c r="AB113" s="102">
        <f ca="1">IFERROR(OFFSET(BLDG_FUNC_PARAM!$A$5,MATCH(AC113,BLDG_FUNC_PARAM!$J$5:$J$68,0)-1,0),0)</f>
        <v>121030002</v>
      </c>
      <c r="AC113" s="103" t="s">
        <v>960</v>
      </c>
      <c r="AD113" s="102">
        <v>14</v>
      </c>
      <c r="AN113" s="102">
        <v>0</v>
      </c>
      <c r="AO113" s="102">
        <v>0</v>
      </c>
      <c r="AT113" s="104">
        <f t="shared" si="69"/>
        <v>840</v>
      </c>
      <c r="AW113" s="103">
        <v>14</v>
      </c>
      <c r="AY113" s="102">
        <v>1400</v>
      </c>
      <c r="AZ113" s="102">
        <v>140</v>
      </c>
      <c r="BA113" s="172">
        <v>0</v>
      </c>
      <c r="BC113" s="104">
        <f ca="1">IFERROR(OFFSET(ITEM_RES!$A$5,MATCH(BD113,ITEM_RES!$M$5:$M$84,0)-1,0),0)</f>
        <v>0</v>
      </c>
    </row>
    <row r="114" spans="1:55" x14ac:dyDescent="0.3">
      <c r="A114" s="107">
        <f t="shared" si="65"/>
        <v>321030215</v>
      </c>
      <c r="B114" s="106">
        <v>32</v>
      </c>
      <c r="C114" s="105">
        <f t="shared" si="66"/>
        <v>1</v>
      </c>
      <c r="D114" s="106">
        <v>3</v>
      </c>
      <c r="E114" s="106">
        <v>2</v>
      </c>
      <c r="F114" s="105">
        <f t="shared" si="41"/>
        <v>15</v>
      </c>
      <c r="H114" s="103">
        <v>1</v>
      </c>
      <c r="I114" s="105">
        <f t="shared" si="67"/>
        <v>103</v>
      </c>
      <c r="J114" s="172">
        <v>15</v>
      </c>
      <c r="L114" s="172" t="s">
        <v>1115</v>
      </c>
      <c r="M114" s="172" t="s">
        <v>1126</v>
      </c>
      <c r="N114" s="103" t="s">
        <v>738</v>
      </c>
      <c r="O114" s="103" t="s">
        <v>1076</v>
      </c>
      <c r="P114" s="172">
        <v>0</v>
      </c>
      <c r="Q114" s="172">
        <v>12</v>
      </c>
      <c r="R114" s="103" t="s">
        <v>1031</v>
      </c>
      <c r="S114" s="103">
        <v>321030201</v>
      </c>
      <c r="T114" s="104" t="str">
        <f t="shared" si="43"/>
        <v>UITexture/TechProd/321030201.png</v>
      </c>
      <c r="U114" s="172" t="s">
        <v>1141</v>
      </c>
      <c r="V114" s="104">
        <f t="shared" si="68"/>
        <v>0</v>
      </c>
      <c r="Z114" s="172">
        <v>1</v>
      </c>
      <c r="AB114" s="102">
        <f ca="1">IFERROR(OFFSET(BLDG_FUNC_PARAM!$A$5,MATCH(AC114,BLDG_FUNC_PARAM!$J$5:$J$68,0)-1,0),0)</f>
        <v>121030002</v>
      </c>
      <c r="AC114" s="103" t="s">
        <v>960</v>
      </c>
      <c r="AD114" s="102">
        <v>15</v>
      </c>
      <c r="AN114" s="102">
        <v>15</v>
      </c>
      <c r="AO114" s="102">
        <v>0</v>
      </c>
      <c r="AT114" s="104">
        <f t="shared" si="69"/>
        <v>900</v>
      </c>
      <c r="AW114" s="103">
        <v>15</v>
      </c>
      <c r="AY114" s="102">
        <v>1500</v>
      </c>
      <c r="AZ114" s="102">
        <v>150</v>
      </c>
      <c r="BA114" s="172">
        <v>0</v>
      </c>
      <c r="BC114" s="104">
        <f ca="1">IFERROR(OFFSET(ITEM_RES!$A$5,MATCH(BD114,ITEM_RES!$M$5:$M$84,0)-1,0),0)</f>
        <v>0</v>
      </c>
    </row>
    <row r="115" spans="1:55" x14ac:dyDescent="0.3">
      <c r="A115" s="107">
        <f t="shared" ref="A115:A124" si="70">B115*10000000+C115*1000000+D115*10000+E115*100+F115</f>
        <v>321030216</v>
      </c>
      <c r="B115" s="106">
        <v>32</v>
      </c>
      <c r="C115" s="105">
        <f t="shared" ref="C115:C124" si="71">H115</f>
        <v>1</v>
      </c>
      <c r="D115" s="106">
        <v>3</v>
      </c>
      <c r="E115" s="106">
        <v>2</v>
      </c>
      <c r="F115" s="105">
        <f t="shared" si="41"/>
        <v>16</v>
      </c>
      <c r="H115" s="103">
        <v>1</v>
      </c>
      <c r="I115" s="105">
        <f t="shared" ref="I115:I124" si="72">C115*100+D115</f>
        <v>103</v>
      </c>
      <c r="J115" s="172">
        <v>16</v>
      </c>
      <c r="L115" s="172" t="s">
        <v>1115</v>
      </c>
      <c r="M115" s="172" t="s">
        <v>1126</v>
      </c>
      <c r="N115" s="103" t="s">
        <v>738</v>
      </c>
      <c r="O115" s="103" t="s">
        <v>1076</v>
      </c>
      <c r="P115" s="172">
        <v>0</v>
      </c>
      <c r="Q115" s="172">
        <v>12</v>
      </c>
      <c r="R115" s="103" t="s">
        <v>1031</v>
      </c>
      <c r="S115" s="103">
        <v>321030201</v>
      </c>
      <c r="T115" s="104" t="str">
        <f t="shared" si="43"/>
        <v>UITexture/TechProd/321030201.png</v>
      </c>
      <c r="U115" s="172" t="s">
        <v>1141</v>
      </c>
      <c r="V115" s="104">
        <f t="shared" ref="V115:V124" si="73">W115*1000+X115</f>
        <v>0</v>
      </c>
      <c r="Z115" s="172">
        <v>1</v>
      </c>
      <c r="AB115" s="102">
        <f ca="1">IFERROR(OFFSET(BLDG_FUNC_PARAM!$A$5,MATCH(AC115,BLDG_FUNC_PARAM!$J$5:$J$68,0)-1,0),0)</f>
        <v>121030002</v>
      </c>
      <c r="AC115" s="103" t="s">
        <v>960</v>
      </c>
      <c r="AD115" s="102">
        <v>16</v>
      </c>
      <c r="AN115" s="102">
        <v>0</v>
      </c>
      <c r="AO115" s="102">
        <v>0</v>
      </c>
      <c r="AT115" s="104">
        <f t="shared" ref="AT115:AT124" si="74">((AU115*24+AV115)*60+AW115)*60+AX115</f>
        <v>960</v>
      </c>
      <c r="AW115" s="103">
        <v>16</v>
      </c>
      <c r="AY115" s="102">
        <v>1600</v>
      </c>
      <c r="AZ115" s="102">
        <v>160</v>
      </c>
      <c r="BA115" s="172">
        <v>0</v>
      </c>
      <c r="BC115" s="104">
        <f ca="1">IFERROR(OFFSET(ITEM_RES!$A$5,MATCH(BD115,ITEM_RES!$M$5:$M$84,0)-1,0),0)</f>
        <v>0</v>
      </c>
    </row>
    <row r="116" spans="1:55" x14ac:dyDescent="0.3">
      <c r="A116" s="107">
        <f t="shared" si="70"/>
        <v>321030217</v>
      </c>
      <c r="B116" s="106">
        <v>32</v>
      </c>
      <c r="C116" s="105">
        <f t="shared" si="71"/>
        <v>1</v>
      </c>
      <c r="D116" s="106">
        <v>3</v>
      </c>
      <c r="E116" s="106">
        <v>2</v>
      </c>
      <c r="F116" s="105">
        <f t="shared" si="41"/>
        <v>17</v>
      </c>
      <c r="H116" s="103">
        <v>1</v>
      </c>
      <c r="I116" s="105">
        <f t="shared" si="72"/>
        <v>103</v>
      </c>
      <c r="J116" s="172">
        <v>17</v>
      </c>
      <c r="L116" s="172" t="s">
        <v>1115</v>
      </c>
      <c r="M116" s="172" t="s">
        <v>1126</v>
      </c>
      <c r="N116" s="103" t="s">
        <v>738</v>
      </c>
      <c r="O116" s="103" t="s">
        <v>1076</v>
      </c>
      <c r="P116" s="172">
        <v>0</v>
      </c>
      <c r="Q116" s="172">
        <v>12</v>
      </c>
      <c r="R116" s="103" t="s">
        <v>1031</v>
      </c>
      <c r="S116" s="103">
        <v>321030201</v>
      </c>
      <c r="T116" s="104" t="str">
        <f t="shared" si="43"/>
        <v>UITexture/TechProd/321030201.png</v>
      </c>
      <c r="U116" s="172" t="s">
        <v>1141</v>
      </c>
      <c r="V116" s="104">
        <f t="shared" si="73"/>
        <v>0</v>
      </c>
      <c r="Z116" s="172">
        <v>1</v>
      </c>
      <c r="AB116" s="102">
        <f ca="1">IFERROR(OFFSET(BLDG_FUNC_PARAM!$A$5,MATCH(AC116,BLDG_FUNC_PARAM!$J$5:$J$68,0)-1,0),0)</f>
        <v>121030002</v>
      </c>
      <c r="AC116" s="103" t="s">
        <v>960</v>
      </c>
      <c r="AD116" s="102">
        <v>17</v>
      </c>
      <c r="AN116" s="102">
        <v>0</v>
      </c>
      <c r="AO116" s="102">
        <v>0</v>
      </c>
      <c r="AT116" s="104">
        <f t="shared" si="74"/>
        <v>1020</v>
      </c>
      <c r="AW116" s="103">
        <v>17</v>
      </c>
      <c r="AY116" s="102">
        <v>1700</v>
      </c>
      <c r="AZ116" s="102">
        <v>170</v>
      </c>
      <c r="BA116" s="172">
        <v>0</v>
      </c>
      <c r="BC116" s="104">
        <f ca="1">IFERROR(OFFSET(ITEM_RES!$A$5,MATCH(BD116,ITEM_RES!$M$5:$M$84,0)-1,0),0)</f>
        <v>0</v>
      </c>
    </row>
    <row r="117" spans="1:55" x14ac:dyDescent="0.3">
      <c r="A117" s="107">
        <f t="shared" si="70"/>
        <v>321030218</v>
      </c>
      <c r="B117" s="106">
        <v>32</v>
      </c>
      <c r="C117" s="105">
        <f t="shared" si="71"/>
        <v>1</v>
      </c>
      <c r="D117" s="106">
        <v>3</v>
      </c>
      <c r="E117" s="106">
        <v>2</v>
      </c>
      <c r="F117" s="105">
        <f t="shared" si="41"/>
        <v>18</v>
      </c>
      <c r="H117" s="103">
        <v>1</v>
      </c>
      <c r="I117" s="105">
        <f t="shared" si="72"/>
        <v>103</v>
      </c>
      <c r="J117" s="172">
        <v>18</v>
      </c>
      <c r="L117" s="172" t="s">
        <v>1115</v>
      </c>
      <c r="M117" s="172" t="s">
        <v>1126</v>
      </c>
      <c r="N117" s="103" t="s">
        <v>738</v>
      </c>
      <c r="O117" s="103" t="s">
        <v>1076</v>
      </c>
      <c r="P117" s="172">
        <v>0</v>
      </c>
      <c r="Q117" s="172">
        <v>12</v>
      </c>
      <c r="R117" s="103" t="s">
        <v>1031</v>
      </c>
      <c r="S117" s="103">
        <v>321030201</v>
      </c>
      <c r="T117" s="104" t="str">
        <f t="shared" si="43"/>
        <v>UITexture/TechProd/321030201.png</v>
      </c>
      <c r="U117" s="172" t="s">
        <v>1141</v>
      </c>
      <c r="V117" s="104">
        <f t="shared" si="73"/>
        <v>0</v>
      </c>
      <c r="Z117" s="172">
        <v>1</v>
      </c>
      <c r="AB117" s="102">
        <f ca="1">IFERROR(OFFSET(BLDG_FUNC_PARAM!$A$5,MATCH(AC117,BLDG_FUNC_PARAM!$J$5:$J$68,0)-1,0),0)</f>
        <v>121030002</v>
      </c>
      <c r="AC117" s="103" t="s">
        <v>960</v>
      </c>
      <c r="AD117" s="102">
        <v>18</v>
      </c>
      <c r="AN117" s="102">
        <v>0</v>
      </c>
      <c r="AO117" s="102">
        <v>0</v>
      </c>
      <c r="AT117" s="104">
        <f t="shared" si="74"/>
        <v>1080</v>
      </c>
      <c r="AW117" s="103">
        <v>18</v>
      </c>
      <c r="AY117" s="102">
        <v>1800</v>
      </c>
      <c r="AZ117" s="102">
        <v>180</v>
      </c>
      <c r="BA117" s="172">
        <v>0</v>
      </c>
      <c r="BC117" s="104">
        <f ca="1">IFERROR(OFFSET(ITEM_RES!$A$5,MATCH(BD117,ITEM_RES!$M$5:$M$84,0)-1,0),0)</f>
        <v>0</v>
      </c>
    </row>
    <row r="118" spans="1:55" x14ac:dyDescent="0.3">
      <c r="A118" s="107">
        <f t="shared" si="70"/>
        <v>321030219</v>
      </c>
      <c r="B118" s="106">
        <v>32</v>
      </c>
      <c r="C118" s="105">
        <f t="shared" si="71"/>
        <v>1</v>
      </c>
      <c r="D118" s="106">
        <v>3</v>
      </c>
      <c r="E118" s="106">
        <v>2</v>
      </c>
      <c r="F118" s="105">
        <f t="shared" si="41"/>
        <v>19</v>
      </c>
      <c r="H118" s="103">
        <v>1</v>
      </c>
      <c r="I118" s="105">
        <f t="shared" si="72"/>
        <v>103</v>
      </c>
      <c r="J118" s="172">
        <v>19</v>
      </c>
      <c r="L118" s="172" t="s">
        <v>1115</v>
      </c>
      <c r="M118" s="172" t="s">
        <v>1126</v>
      </c>
      <c r="N118" s="103" t="s">
        <v>738</v>
      </c>
      <c r="O118" s="103" t="s">
        <v>1076</v>
      </c>
      <c r="P118" s="172">
        <v>0</v>
      </c>
      <c r="Q118" s="172">
        <v>12</v>
      </c>
      <c r="R118" s="103" t="s">
        <v>1031</v>
      </c>
      <c r="S118" s="103">
        <v>321030201</v>
      </c>
      <c r="T118" s="104" t="str">
        <f t="shared" si="43"/>
        <v>UITexture/TechProd/321030201.png</v>
      </c>
      <c r="U118" s="172" t="s">
        <v>1141</v>
      </c>
      <c r="V118" s="104">
        <f t="shared" si="73"/>
        <v>0</v>
      </c>
      <c r="Z118" s="172">
        <v>1</v>
      </c>
      <c r="AB118" s="102">
        <f ca="1">IFERROR(OFFSET(BLDG_FUNC_PARAM!$A$5,MATCH(AC118,BLDG_FUNC_PARAM!$J$5:$J$68,0)-1,0),0)</f>
        <v>121030002</v>
      </c>
      <c r="AC118" s="103" t="s">
        <v>960</v>
      </c>
      <c r="AD118" s="102">
        <v>19</v>
      </c>
      <c r="AN118" s="102">
        <v>0</v>
      </c>
      <c r="AO118" s="102">
        <v>0</v>
      </c>
      <c r="AT118" s="104">
        <f t="shared" si="74"/>
        <v>1140</v>
      </c>
      <c r="AW118" s="103">
        <v>19</v>
      </c>
      <c r="AY118" s="102">
        <v>1900</v>
      </c>
      <c r="AZ118" s="102">
        <v>190</v>
      </c>
      <c r="BA118" s="172">
        <v>0</v>
      </c>
      <c r="BC118" s="104">
        <f ca="1">IFERROR(OFFSET(ITEM_RES!$A$5,MATCH(BD118,ITEM_RES!$M$5:$M$84,0)-1,0),0)</f>
        <v>0</v>
      </c>
    </row>
    <row r="119" spans="1:55" x14ac:dyDescent="0.3">
      <c r="A119" s="107">
        <f t="shared" si="70"/>
        <v>321030220</v>
      </c>
      <c r="B119" s="106">
        <v>32</v>
      </c>
      <c r="C119" s="105">
        <f t="shared" si="71"/>
        <v>1</v>
      </c>
      <c r="D119" s="106">
        <v>3</v>
      </c>
      <c r="E119" s="106">
        <v>2</v>
      </c>
      <c r="F119" s="105">
        <f t="shared" si="41"/>
        <v>20</v>
      </c>
      <c r="H119" s="103">
        <v>1</v>
      </c>
      <c r="I119" s="105">
        <f t="shared" si="72"/>
        <v>103</v>
      </c>
      <c r="J119" s="172">
        <v>20</v>
      </c>
      <c r="L119" s="172" t="s">
        <v>1115</v>
      </c>
      <c r="M119" s="172" t="s">
        <v>1126</v>
      </c>
      <c r="N119" s="103" t="s">
        <v>738</v>
      </c>
      <c r="O119" s="103" t="s">
        <v>1076</v>
      </c>
      <c r="P119" s="172">
        <v>0</v>
      </c>
      <c r="Q119" s="172">
        <v>12</v>
      </c>
      <c r="R119" s="103" t="s">
        <v>1031</v>
      </c>
      <c r="S119" s="103">
        <v>321030201</v>
      </c>
      <c r="T119" s="104" t="str">
        <f t="shared" si="43"/>
        <v>UITexture/TechProd/321030201.png</v>
      </c>
      <c r="U119" s="172" t="s">
        <v>1141</v>
      </c>
      <c r="V119" s="104">
        <f t="shared" si="73"/>
        <v>0</v>
      </c>
      <c r="Z119" s="172">
        <v>1</v>
      </c>
      <c r="AB119" s="102">
        <f ca="1">IFERROR(OFFSET(BLDG_FUNC_PARAM!$A$5,MATCH(AC119,BLDG_FUNC_PARAM!$J$5:$J$68,0)-1,0),0)</f>
        <v>121030002</v>
      </c>
      <c r="AC119" s="103" t="s">
        <v>960</v>
      </c>
      <c r="AD119" s="102">
        <v>20</v>
      </c>
      <c r="AN119" s="102">
        <v>20</v>
      </c>
      <c r="AO119" s="102">
        <v>0</v>
      </c>
      <c r="AT119" s="104">
        <f t="shared" si="74"/>
        <v>1200</v>
      </c>
      <c r="AW119" s="103">
        <v>20</v>
      </c>
      <c r="AY119" s="102">
        <v>2000</v>
      </c>
      <c r="AZ119" s="102">
        <v>200</v>
      </c>
      <c r="BA119" s="172">
        <v>0</v>
      </c>
      <c r="BC119" s="104">
        <f ca="1">IFERROR(OFFSET(ITEM_RES!$A$5,MATCH(BD119,ITEM_RES!$M$5:$M$84,0)-1,0),0)</f>
        <v>0</v>
      </c>
    </row>
    <row r="120" spans="1:55" x14ac:dyDescent="0.3">
      <c r="A120" s="107">
        <f t="shared" si="70"/>
        <v>321030221</v>
      </c>
      <c r="B120" s="106">
        <v>32</v>
      </c>
      <c r="C120" s="105">
        <f t="shared" si="71"/>
        <v>1</v>
      </c>
      <c r="D120" s="106">
        <v>3</v>
      </c>
      <c r="E120" s="106">
        <v>2</v>
      </c>
      <c r="F120" s="105">
        <f t="shared" si="41"/>
        <v>21</v>
      </c>
      <c r="H120" s="103">
        <v>1</v>
      </c>
      <c r="I120" s="105">
        <f t="shared" si="72"/>
        <v>103</v>
      </c>
      <c r="J120" s="172">
        <v>21</v>
      </c>
      <c r="L120" s="172" t="s">
        <v>1115</v>
      </c>
      <c r="M120" s="172" t="s">
        <v>1126</v>
      </c>
      <c r="N120" s="103" t="s">
        <v>738</v>
      </c>
      <c r="O120" s="103" t="s">
        <v>1076</v>
      </c>
      <c r="P120" s="172">
        <v>0</v>
      </c>
      <c r="Q120" s="172">
        <v>12</v>
      </c>
      <c r="R120" s="103" t="s">
        <v>1031</v>
      </c>
      <c r="S120" s="103">
        <v>321030201</v>
      </c>
      <c r="T120" s="104" t="str">
        <f t="shared" si="43"/>
        <v>UITexture/TechProd/321030201.png</v>
      </c>
      <c r="U120" s="172" t="s">
        <v>1141</v>
      </c>
      <c r="V120" s="104">
        <f t="shared" si="73"/>
        <v>0</v>
      </c>
      <c r="Z120" s="172">
        <v>1</v>
      </c>
      <c r="AB120" s="102">
        <f ca="1">IFERROR(OFFSET(BLDG_FUNC_PARAM!$A$5,MATCH(AC120,BLDG_FUNC_PARAM!$J$5:$J$68,0)-1,0),0)</f>
        <v>121030002</v>
      </c>
      <c r="AC120" s="103" t="s">
        <v>960</v>
      </c>
      <c r="AD120" s="102">
        <v>21</v>
      </c>
      <c r="AN120" s="102">
        <v>0</v>
      </c>
      <c r="AO120" s="102">
        <v>0</v>
      </c>
      <c r="AT120" s="104">
        <f t="shared" si="74"/>
        <v>1260</v>
      </c>
      <c r="AW120" s="103">
        <v>21</v>
      </c>
      <c r="AY120" s="102">
        <v>2100</v>
      </c>
      <c r="AZ120" s="102">
        <v>210</v>
      </c>
      <c r="BA120" s="172">
        <v>0</v>
      </c>
      <c r="BC120" s="104">
        <f ca="1">IFERROR(OFFSET(ITEM_RES!$A$5,MATCH(BD120,ITEM_RES!$M$5:$M$84,0)-1,0),0)</f>
        <v>0</v>
      </c>
    </row>
    <row r="121" spans="1:55" x14ac:dyDescent="0.3">
      <c r="A121" s="107">
        <f t="shared" si="70"/>
        <v>321030222</v>
      </c>
      <c r="B121" s="106">
        <v>32</v>
      </c>
      <c r="C121" s="105">
        <f t="shared" si="71"/>
        <v>1</v>
      </c>
      <c r="D121" s="106">
        <v>3</v>
      </c>
      <c r="E121" s="106">
        <v>2</v>
      </c>
      <c r="F121" s="105">
        <f t="shared" si="41"/>
        <v>22</v>
      </c>
      <c r="H121" s="103">
        <v>1</v>
      </c>
      <c r="I121" s="105">
        <f t="shared" si="72"/>
        <v>103</v>
      </c>
      <c r="J121" s="172">
        <v>22</v>
      </c>
      <c r="L121" s="172" t="s">
        <v>1115</v>
      </c>
      <c r="M121" s="172" t="s">
        <v>1126</v>
      </c>
      <c r="N121" s="103" t="s">
        <v>738</v>
      </c>
      <c r="O121" s="103" t="s">
        <v>1076</v>
      </c>
      <c r="P121" s="172">
        <v>0</v>
      </c>
      <c r="Q121" s="172">
        <v>12</v>
      </c>
      <c r="R121" s="103" t="s">
        <v>1031</v>
      </c>
      <c r="S121" s="103">
        <v>321030201</v>
      </c>
      <c r="T121" s="104" t="str">
        <f t="shared" si="43"/>
        <v>UITexture/TechProd/321030201.png</v>
      </c>
      <c r="U121" s="172" t="s">
        <v>1141</v>
      </c>
      <c r="V121" s="104">
        <f t="shared" si="73"/>
        <v>0</v>
      </c>
      <c r="Z121" s="172">
        <v>1</v>
      </c>
      <c r="AB121" s="102">
        <f ca="1">IFERROR(OFFSET(BLDG_FUNC_PARAM!$A$5,MATCH(AC121,BLDG_FUNC_PARAM!$J$5:$J$68,0)-1,0),0)</f>
        <v>121030002</v>
      </c>
      <c r="AC121" s="103" t="s">
        <v>960</v>
      </c>
      <c r="AD121" s="102">
        <v>22</v>
      </c>
      <c r="AN121" s="102">
        <v>0</v>
      </c>
      <c r="AO121" s="102">
        <v>0</v>
      </c>
      <c r="AT121" s="104">
        <f t="shared" si="74"/>
        <v>1320</v>
      </c>
      <c r="AW121" s="103">
        <v>22</v>
      </c>
      <c r="AY121" s="102">
        <v>2200</v>
      </c>
      <c r="AZ121" s="102">
        <v>220</v>
      </c>
      <c r="BA121" s="172">
        <v>0</v>
      </c>
      <c r="BC121" s="104">
        <f ca="1">IFERROR(OFFSET(ITEM_RES!$A$5,MATCH(BD121,ITEM_RES!$M$5:$M$84,0)-1,0),0)</f>
        <v>0</v>
      </c>
    </row>
    <row r="122" spans="1:55" x14ac:dyDescent="0.3">
      <c r="A122" s="107">
        <f t="shared" si="70"/>
        <v>321030223</v>
      </c>
      <c r="B122" s="106">
        <v>32</v>
      </c>
      <c r="C122" s="105">
        <f t="shared" si="71"/>
        <v>1</v>
      </c>
      <c r="D122" s="106">
        <v>3</v>
      </c>
      <c r="E122" s="106">
        <v>2</v>
      </c>
      <c r="F122" s="105">
        <f t="shared" si="41"/>
        <v>23</v>
      </c>
      <c r="H122" s="103">
        <v>1</v>
      </c>
      <c r="I122" s="105">
        <f t="shared" si="72"/>
        <v>103</v>
      </c>
      <c r="J122" s="172">
        <v>23</v>
      </c>
      <c r="L122" s="172" t="s">
        <v>1115</v>
      </c>
      <c r="M122" s="172" t="s">
        <v>1126</v>
      </c>
      <c r="N122" s="103" t="s">
        <v>738</v>
      </c>
      <c r="O122" s="103" t="s">
        <v>1076</v>
      </c>
      <c r="P122" s="172">
        <v>0</v>
      </c>
      <c r="Q122" s="172">
        <v>12</v>
      </c>
      <c r="R122" s="103" t="s">
        <v>1031</v>
      </c>
      <c r="S122" s="103">
        <v>321030201</v>
      </c>
      <c r="T122" s="104" t="str">
        <f t="shared" si="43"/>
        <v>UITexture/TechProd/321030201.png</v>
      </c>
      <c r="U122" s="172" t="s">
        <v>1141</v>
      </c>
      <c r="V122" s="104">
        <f t="shared" si="73"/>
        <v>0</v>
      </c>
      <c r="Z122" s="172">
        <v>1</v>
      </c>
      <c r="AB122" s="102">
        <f ca="1">IFERROR(OFFSET(BLDG_FUNC_PARAM!$A$5,MATCH(AC122,BLDG_FUNC_PARAM!$J$5:$J$68,0)-1,0),0)</f>
        <v>121030002</v>
      </c>
      <c r="AC122" s="103" t="s">
        <v>960</v>
      </c>
      <c r="AD122" s="102">
        <v>23</v>
      </c>
      <c r="AN122" s="102">
        <v>0</v>
      </c>
      <c r="AO122" s="102">
        <v>0</v>
      </c>
      <c r="AT122" s="104">
        <f t="shared" si="74"/>
        <v>1380</v>
      </c>
      <c r="AW122" s="103">
        <v>23</v>
      </c>
      <c r="AY122" s="102">
        <v>2300</v>
      </c>
      <c r="AZ122" s="102">
        <v>230</v>
      </c>
      <c r="BA122" s="172">
        <v>0</v>
      </c>
      <c r="BC122" s="104">
        <f ca="1">IFERROR(OFFSET(ITEM_RES!$A$5,MATCH(BD122,ITEM_RES!$M$5:$M$84,0)-1,0),0)</f>
        <v>0</v>
      </c>
    </row>
    <row r="123" spans="1:55" x14ac:dyDescent="0.3">
      <c r="A123" s="107">
        <f t="shared" si="70"/>
        <v>321030224</v>
      </c>
      <c r="B123" s="106">
        <v>32</v>
      </c>
      <c r="C123" s="105">
        <f t="shared" si="71"/>
        <v>1</v>
      </c>
      <c r="D123" s="106">
        <v>3</v>
      </c>
      <c r="E123" s="106">
        <v>2</v>
      </c>
      <c r="F123" s="105">
        <f t="shared" si="41"/>
        <v>24</v>
      </c>
      <c r="H123" s="103">
        <v>1</v>
      </c>
      <c r="I123" s="105">
        <f t="shared" si="72"/>
        <v>103</v>
      </c>
      <c r="J123" s="172">
        <v>24</v>
      </c>
      <c r="L123" s="172" t="s">
        <v>1115</v>
      </c>
      <c r="M123" s="172" t="s">
        <v>1126</v>
      </c>
      <c r="N123" s="103" t="s">
        <v>738</v>
      </c>
      <c r="O123" s="103" t="s">
        <v>1076</v>
      </c>
      <c r="P123" s="172">
        <v>0</v>
      </c>
      <c r="Q123" s="172">
        <v>12</v>
      </c>
      <c r="R123" s="103" t="s">
        <v>1031</v>
      </c>
      <c r="S123" s="103">
        <v>321030201</v>
      </c>
      <c r="T123" s="104" t="str">
        <f t="shared" si="43"/>
        <v>UITexture/TechProd/321030201.png</v>
      </c>
      <c r="U123" s="172" t="s">
        <v>1141</v>
      </c>
      <c r="V123" s="104">
        <f t="shared" si="73"/>
        <v>0</v>
      </c>
      <c r="Z123" s="172">
        <v>1</v>
      </c>
      <c r="AB123" s="102">
        <f ca="1">IFERROR(OFFSET(BLDG_FUNC_PARAM!$A$5,MATCH(AC123,BLDG_FUNC_PARAM!$J$5:$J$68,0)-1,0),0)</f>
        <v>121030002</v>
      </c>
      <c r="AC123" s="103" t="s">
        <v>960</v>
      </c>
      <c r="AD123" s="102">
        <v>24</v>
      </c>
      <c r="AN123" s="102">
        <v>0</v>
      </c>
      <c r="AO123" s="102">
        <v>0</v>
      </c>
      <c r="AT123" s="104">
        <f t="shared" si="74"/>
        <v>1440</v>
      </c>
      <c r="AW123" s="103">
        <v>24</v>
      </c>
      <c r="AY123" s="102">
        <v>2400</v>
      </c>
      <c r="AZ123" s="102">
        <v>240</v>
      </c>
      <c r="BA123" s="172">
        <v>0</v>
      </c>
      <c r="BC123" s="104">
        <f ca="1">IFERROR(OFFSET(ITEM_RES!$A$5,MATCH(BD123,ITEM_RES!$M$5:$M$84,0)-1,0),0)</f>
        <v>0</v>
      </c>
    </row>
    <row r="124" spans="1:55" x14ac:dyDescent="0.3">
      <c r="A124" s="107">
        <f t="shared" si="70"/>
        <v>321030225</v>
      </c>
      <c r="B124" s="106">
        <v>32</v>
      </c>
      <c r="C124" s="105">
        <f t="shared" si="71"/>
        <v>1</v>
      </c>
      <c r="D124" s="106">
        <v>3</v>
      </c>
      <c r="E124" s="106">
        <v>2</v>
      </c>
      <c r="F124" s="105">
        <f t="shared" si="41"/>
        <v>25</v>
      </c>
      <c r="H124" s="103">
        <v>1</v>
      </c>
      <c r="I124" s="105">
        <f t="shared" si="72"/>
        <v>103</v>
      </c>
      <c r="J124" s="172">
        <v>25</v>
      </c>
      <c r="L124" s="172" t="s">
        <v>1115</v>
      </c>
      <c r="M124" s="172" t="s">
        <v>1126</v>
      </c>
      <c r="N124" s="103" t="s">
        <v>738</v>
      </c>
      <c r="O124" s="103" t="s">
        <v>1076</v>
      </c>
      <c r="P124" s="172">
        <v>0</v>
      </c>
      <c r="Q124" s="172">
        <v>12</v>
      </c>
      <c r="R124" s="103" t="s">
        <v>1031</v>
      </c>
      <c r="S124" s="103">
        <v>321030201</v>
      </c>
      <c r="T124" s="104" t="str">
        <f t="shared" si="43"/>
        <v>UITexture/TechProd/321030201.png</v>
      </c>
      <c r="U124" s="172" t="s">
        <v>1141</v>
      </c>
      <c r="V124" s="104">
        <f t="shared" si="73"/>
        <v>0</v>
      </c>
      <c r="Z124" s="172">
        <v>1</v>
      </c>
      <c r="AB124" s="102">
        <f ca="1">IFERROR(OFFSET(BLDG_FUNC_PARAM!$A$5,MATCH(AC124,BLDG_FUNC_PARAM!$J$5:$J$68,0)-1,0),0)</f>
        <v>121030002</v>
      </c>
      <c r="AC124" s="103" t="s">
        <v>960</v>
      </c>
      <c r="AD124" s="102">
        <v>25</v>
      </c>
      <c r="AN124" s="102">
        <v>24</v>
      </c>
      <c r="AO124" s="102">
        <v>0</v>
      </c>
      <c r="AT124" s="104">
        <f t="shared" si="74"/>
        <v>1500</v>
      </c>
      <c r="AW124" s="103">
        <v>25</v>
      </c>
      <c r="AY124" s="102">
        <v>2500</v>
      </c>
      <c r="AZ124" s="102">
        <v>250</v>
      </c>
      <c r="BA124" s="172">
        <v>0</v>
      </c>
      <c r="BC124" s="104">
        <f ca="1">IFERROR(OFFSET(ITEM_RES!$A$5,MATCH(BD124,ITEM_RES!$M$5:$M$84,0)-1,0),0)</f>
        <v>0</v>
      </c>
    </row>
    <row r="125" spans="1:55" x14ac:dyDescent="0.3">
      <c r="A125" s="107">
        <f t="shared" ref="A125:A129" si="75">B125*10000000+C125*1000000+D125*10000+E125*100+F125</f>
        <v>321030226</v>
      </c>
      <c r="B125" s="106">
        <v>32</v>
      </c>
      <c r="C125" s="105">
        <f t="shared" ref="C125:C129" si="76">H125</f>
        <v>1</v>
      </c>
      <c r="D125" s="106">
        <v>3</v>
      </c>
      <c r="E125" s="106">
        <v>2</v>
      </c>
      <c r="F125" s="105">
        <f t="shared" si="41"/>
        <v>26</v>
      </c>
      <c r="H125" s="103">
        <v>1</v>
      </c>
      <c r="I125" s="105">
        <f t="shared" ref="I125:I129" si="77">C125*100+D125</f>
        <v>103</v>
      </c>
      <c r="J125" s="172">
        <v>26</v>
      </c>
      <c r="L125" s="172" t="s">
        <v>1115</v>
      </c>
      <c r="M125" s="172" t="s">
        <v>1126</v>
      </c>
      <c r="N125" s="103" t="s">
        <v>738</v>
      </c>
      <c r="O125" s="103" t="s">
        <v>1076</v>
      </c>
      <c r="P125" s="172">
        <v>0</v>
      </c>
      <c r="Q125" s="172">
        <v>12</v>
      </c>
      <c r="R125" s="103" t="s">
        <v>1031</v>
      </c>
      <c r="S125" s="103">
        <v>321030201</v>
      </c>
      <c r="T125" s="104" t="str">
        <f t="shared" si="43"/>
        <v>UITexture/TechProd/321030201.png</v>
      </c>
      <c r="U125" s="172" t="s">
        <v>1141</v>
      </c>
      <c r="V125" s="104">
        <f t="shared" ref="V125:V129" si="78">W125*1000+X125</f>
        <v>0</v>
      </c>
      <c r="Z125" s="172">
        <v>1</v>
      </c>
      <c r="AB125" s="102">
        <f ca="1">IFERROR(OFFSET(BLDG_FUNC_PARAM!$A$5,MATCH(AC125,BLDG_FUNC_PARAM!$J$5:$J$68,0)-1,0),0)</f>
        <v>121030002</v>
      </c>
      <c r="AC125" s="103" t="s">
        <v>960</v>
      </c>
      <c r="AD125" s="102">
        <v>26</v>
      </c>
      <c r="AN125" s="102">
        <v>0</v>
      </c>
      <c r="AO125" s="102">
        <v>0</v>
      </c>
      <c r="AT125" s="104">
        <f t="shared" ref="AT125:AT129" si="79">((AU125*24+AV125)*60+AW125)*60+AX125</f>
        <v>1560</v>
      </c>
      <c r="AW125" s="103">
        <v>26</v>
      </c>
      <c r="AY125" s="102">
        <v>2600</v>
      </c>
      <c r="AZ125" s="102">
        <v>260</v>
      </c>
      <c r="BA125" s="172">
        <v>0</v>
      </c>
      <c r="BC125" s="104">
        <f ca="1">IFERROR(OFFSET(ITEM_RES!$A$5,MATCH(BD125,ITEM_RES!$M$5:$M$84,0)-1,0),0)</f>
        <v>0</v>
      </c>
    </row>
    <row r="126" spans="1:55" x14ac:dyDescent="0.3">
      <c r="A126" s="107">
        <f t="shared" si="75"/>
        <v>321030227</v>
      </c>
      <c r="B126" s="106">
        <v>32</v>
      </c>
      <c r="C126" s="105">
        <f t="shared" si="76"/>
        <v>1</v>
      </c>
      <c r="D126" s="106">
        <v>3</v>
      </c>
      <c r="E126" s="106">
        <v>2</v>
      </c>
      <c r="F126" s="105">
        <f t="shared" si="41"/>
        <v>27</v>
      </c>
      <c r="H126" s="103">
        <v>1</v>
      </c>
      <c r="I126" s="105">
        <f t="shared" si="77"/>
        <v>103</v>
      </c>
      <c r="J126" s="172">
        <v>27</v>
      </c>
      <c r="L126" s="172" t="s">
        <v>1115</v>
      </c>
      <c r="M126" s="172" t="s">
        <v>1126</v>
      </c>
      <c r="N126" s="103" t="s">
        <v>738</v>
      </c>
      <c r="O126" s="103" t="s">
        <v>1076</v>
      </c>
      <c r="P126" s="172">
        <v>0</v>
      </c>
      <c r="Q126" s="172">
        <v>12</v>
      </c>
      <c r="R126" s="103" t="s">
        <v>1031</v>
      </c>
      <c r="S126" s="103">
        <v>321030201</v>
      </c>
      <c r="T126" s="104" t="str">
        <f t="shared" si="43"/>
        <v>UITexture/TechProd/321030201.png</v>
      </c>
      <c r="U126" s="172" t="s">
        <v>1141</v>
      </c>
      <c r="V126" s="104">
        <f t="shared" si="78"/>
        <v>0</v>
      </c>
      <c r="Z126" s="172">
        <v>1</v>
      </c>
      <c r="AB126" s="102">
        <f ca="1">IFERROR(OFFSET(BLDG_FUNC_PARAM!$A$5,MATCH(AC126,BLDG_FUNC_PARAM!$J$5:$J$68,0)-1,0),0)</f>
        <v>121030002</v>
      </c>
      <c r="AC126" s="103" t="s">
        <v>960</v>
      </c>
      <c r="AD126" s="102">
        <v>27</v>
      </c>
      <c r="AN126" s="102">
        <v>0</v>
      </c>
      <c r="AO126" s="102">
        <v>0</v>
      </c>
      <c r="AT126" s="104">
        <f t="shared" si="79"/>
        <v>1620</v>
      </c>
      <c r="AW126" s="103">
        <v>27</v>
      </c>
      <c r="AY126" s="102">
        <v>2700</v>
      </c>
      <c r="AZ126" s="102">
        <v>270</v>
      </c>
      <c r="BA126" s="172">
        <v>0</v>
      </c>
      <c r="BC126" s="104">
        <f ca="1">IFERROR(OFFSET(ITEM_RES!$A$5,MATCH(BD126,ITEM_RES!$M$5:$M$84,0)-1,0),0)</f>
        <v>0</v>
      </c>
    </row>
    <row r="127" spans="1:55" x14ac:dyDescent="0.3">
      <c r="A127" s="107">
        <f t="shared" si="75"/>
        <v>321030228</v>
      </c>
      <c r="B127" s="106">
        <v>32</v>
      </c>
      <c r="C127" s="105">
        <f t="shared" si="76"/>
        <v>1</v>
      </c>
      <c r="D127" s="106">
        <v>3</v>
      </c>
      <c r="E127" s="106">
        <v>2</v>
      </c>
      <c r="F127" s="105">
        <f t="shared" si="41"/>
        <v>28</v>
      </c>
      <c r="H127" s="103">
        <v>1</v>
      </c>
      <c r="I127" s="105">
        <f t="shared" si="77"/>
        <v>103</v>
      </c>
      <c r="J127" s="172">
        <v>28</v>
      </c>
      <c r="L127" s="172" t="s">
        <v>1115</v>
      </c>
      <c r="M127" s="172" t="s">
        <v>1126</v>
      </c>
      <c r="N127" s="103" t="s">
        <v>738</v>
      </c>
      <c r="O127" s="103" t="s">
        <v>1076</v>
      </c>
      <c r="P127" s="172">
        <v>0</v>
      </c>
      <c r="Q127" s="172">
        <v>12</v>
      </c>
      <c r="R127" s="103" t="s">
        <v>1031</v>
      </c>
      <c r="S127" s="103">
        <v>321030201</v>
      </c>
      <c r="T127" s="104" t="str">
        <f t="shared" si="43"/>
        <v>UITexture/TechProd/321030201.png</v>
      </c>
      <c r="U127" s="172" t="s">
        <v>1141</v>
      </c>
      <c r="V127" s="104">
        <f t="shared" si="78"/>
        <v>0</v>
      </c>
      <c r="Z127" s="172">
        <v>1</v>
      </c>
      <c r="AB127" s="102">
        <f ca="1">IFERROR(OFFSET(BLDG_FUNC_PARAM!$A$5,MATCH(AC127,BLDG_FUNC_PARAM!$J$5:$J$68,0)-1,0),0)</f>
        <v>121030002</v>
      </c>
      <c r="AC127" s="103" t="s">
        <v>960</v>
      </c>
      <c r="AD127" s="102">
        <v>28</v>
      </c>
      <c r="AN127" s="102">
        <v>0</v>
      </c>
      <c r="AO127" s="102">
        <v>0</v>
      </c>
      <c r="AT127" s="104">
        <f t="shared" si="79"/>
        <v>1680</v>
      </c>
      <c r="AW127" s="103">
        <v>28</v>
      </c>
      <c r="AY127" s="102">
        <v>2800</v>
      </c>
      <c r="AZ127" s="102">
        <v>280</v>
      </c>
      <c r="BA127" s="172">
        <v>0</v>
      </c>
      <c r="BC127" s="104">
        <f ca="1">IFERROR(OFFSET(ITEM_RES!$A$5,MATCH(BD127,ITEM_RES!$M$5:$M$84,0)-1,0),0)</f>
        <v>0</v>
      </c>
    </row>
    <row r="128" spans="1:55" x14ac:dyDescent="0.3">
      <c r="A128" s="107">
        <f t="shared" si="75"/>
        <v>321030229</v>
      </c>
      <c r="B128" s="106">
        <v>32</v>
      </c>
      <c r="C128" s="105">
        <f t="shared" si="76"/>
        <v>1</v>
      </c>
      <c r="D128" s="106">
        <v>3</v>
      </c>
      <c r="E128" s="106">
        <v>2</v>
      </c>
      <c r="F128" s="105">
        <f t="shared" si="41"/>
        <v>29</v>
      </c>
      <c r="H128" s="103">
        <v>1</v>
      </c>
      <c r="I128" s="105">
        <f t="shared" si="77"/>
        <v>103</v>
      </c>
      <c r="J128" s="172">
        <v>29</v>
      </c>
      <c r="L128" s="172" t="s">
        <v>1115</v>
      </c>
      <c r="M128" s="172" t="s">
        <v>1126</v>
      </c>
      <c r="N128" s="103" t="s">
        <v>738</v>
      </c>
      <c r="O128" s="103" t="s">
        <v>1076</v>
      </c>
      <c r="P128" s="172">
        <v>0</v>
      </c>
      <c r="Q128" s="172">
        <v>12</v>
      </c>
      <c r="R128" s="103" t="s">
        <v>1031</v>
      </c>
      <c r="S128" s="103">
        <v>321030201</v>
      </c>
      <c r="T128" s="104" t="str">
        <f t="shared" si="43"/>
        <v>UITexture/TechProd/321030201.png</v>
      </c>
      <c r="U128" s="172" t="s">
        <v>1141</v>
      </c>
      <c r="V128" s="104">
        <f t="shared" si="78"/>
        <v>0</v>
      </c>
      <c r="Z128" s="172">
        <v>1</v>
      </c>
      <c r="AB128" s="102">
        <f ca="1">IFERROR(OFFSET(BLDG_FUNC_PARAM!$A$5,MATCH(AC128,BLDG_FUNC_PARAM!$J$5:$J$68,0)-1,0),0)</f>
        <v>121030002</v>
      </c>
      <c r="AC128" s="103" t="s">
        <v>960</v>
      </c>
      <c r="AD128" s="102">
        <v>29</v>
      </c>
      <c r="AN128" s="102">
        <v>0</v>
      </c>
      <c r="AO128" s="102">
        <v>0</v>
      </c>
      <c r="AT128" s="104">
        <f t="shared" si="79"/>
        <v>1740</v>
      </c>
      <c r="AW128" s="103">
        <v>29</v>
      </c>
      <c r="AY128" s="102">
        <v>2900</v>
      </c>
      <c r="AZ128" s="102">
        <v>290</v>
      </c>
      <c r="BA128" s="172">
        <v>0</v>
      </c>
      <c r="BC128" s="104">
        <f ca="1">IFERROR(OFFSET(ITEM_RES!$A$5,MATCH(BD128,ITEM_RES!$M$5:$M$84,0)-1,0),0)</f>
        <v>0</v>
      </c>
    </row>
    <row r="129" spans="1:73" s="108" customFormat="1" ht="17.25" thickBot="1" x14ac:dyDescent="0.35">
      <c r="A129" s="114">
        <f t="shared" si="75"/>
        <v>321030230</v>
      </c>
      <c r="B129" s="113">
        <v>32</v>
      </c>
      <c r="C129" s="112">
        <f t="shared" si="76"/>
        <v>1</v>
      </c>
      <c r="D129" s="113">
        <v>3</v>
      </c>
      <c r="E129" s="113">
        <v>2</v>
      </c>
      <c r="F129" s="112">
        <f t="shared" si="41"/>
        <v>30</v>
      </c>
      <c r="G129" s="259"/>
      <c r="H129" s="110">
        <v>1</v>
      </c>
      <c r="I129" s="112">
        <f t="shared" si="77"/>
        <v>103</v>
      </c>
      <c r="J129" s="175">
        <v>30</v>
      </c>
      <c r="K129" s="259"/>
      <c r="L129" s="175" t="s">
        <v>1115</v>
      </c>
      <c r="M129" s="175" t="s">
        <v>1126</v>
      </c>
      <c r="N129" s="110" t="s">
        <v>738</v>
      </c>
      <c r="O129" s="110" t="s">
        <v>1076</v>
      </c>
      <c r="P129" s="175">
        <v>0</v>
      </c>
      <c r="Q129" s="175">
        <v>12</v>
      </c>
      <c r="R129" s="110" t="s">
        <v>1031</v>
      </c>
      <c r="S129" s="110">
        <v>321030201</v>
      </c>
      <c r="T129" s="111" t="str">
        <f t="shared" si="43"/>
        <v>UITexture/TechProd/321030201.png</v>
      </c>
      <c r="U129" s="175" t="s">
        <v>1141</v>
      </c>
      <c r="V129" s="111">
        <f t="shared" si="78"/>
        <v>0</v>
      </c>
      <c r="W129" s="110"/>
      <c r="X129" s="110"/>
      <c r="Y129" s="259"/>
      <c r="Z129" s="175">
        <v>1</v>
      </c>
      <c r="AA129" s="111"/>
      <c r="AB129" s="109">
        <f ca="1">IFERROR(OFFSET(BLDG_FUNC_PARAM!$A$5,MATCH(AC129,BLDG_FUNC_PARAM!$J$5:$J$68,0)-1,0),0)</f>
        <v>121030002</v>
      </c>
      <c r="AC129" s="110" t="s">
        <v>960</v>
      </c>
      <c r="AD129" s="109">
        <v>30</v>
      </c>
      <c r="AE129" s="111"/>
      <c r="AF129" s="109"/>
      <c r="AG129" s="110"/>
      <c r="AH129" s="109"/>
      <c r="AI129" s="111"/>
      <c r="AJ129" s="109"/>
      <c r="AK129" s="110"/>
      <c r="AL129" s="109"/>
      <c r="AM129" s="259"/>
      <c r="AN129" s="109">
        <v>29</v>
      </c>
      <c r="AO129" s="109">
        <v>0</v>
      </c>
      <c r="AP129" s="109"/>
      <c r="AQ129" s="109"/>
      <c r="AR129" s="109"/>
      <c r="AS129" s="259"/>
      <c r="AT129" s="111">
        <f t="shared" si="79"/>
        <v>1800</v>
      </c>
      <c r="AU129" s="110"/>
      <c r="AV129" s="110"/>
      <c r="AW129" s="110">
        <v>30</v>
      </c>
      <c r="AX129" s="110"/>
      <c r="AY129" s="109">
        <v>3000</v>
      </c>
      <c r="AZ129" s="109">
        <v>300</v>
      </c>
      <c r="BA129" s="175">
        <v>0</v>
      </c>
      <c r="BB129" s="111"/>
      <c r="BC129" s="111">
        <f ca="1">IFERROR(OFFSET(ITEM_RES!$A$5,MATCH(BD129,ITEM_RES!$M$5:$M$84,0)-1,0),0)</f>
        <v>0</v>
      </c>
      <c r="BD129" s="110"/>
      <c r="BE129" s="109"/>
      <c r="BF129" s="111"/>
      <c r="BG129" s="111"/>
      <c r="BH129" s="110"/>
      <c r="BI129" s="109"/>
      <c r="BJ129" s="111"/>
      <c r="BK129" s="111"/>
      <c r="BL129" s="110"/>
      <c r="BM129" s="109"/>
      <c r="BN129" s="111"/>
      <c r="BO129" s="111"/>
      <c r="BP129" s="110"/>
      <c r="BQ129" s="109"/>
      <c r="BR129" s="111"/>
      <c r="BS129" s="111"/>
      <c r="BT129" s="110"/>
      <c r="BU129" s="109"/>
    </row>
    <row r="130" spans="1:73" x14ac:dyDescent="0.3">
      <c r="A130" s="107">
        <f t="shared" si="0"/>
        <v>321040101</v>
      </c>
      <c r="B130" s="106">
        <v>32</v>
      </c>
      <c r="C130" s="105">
        <f t="shared" si="42"/>
        <v>1</v>
      </c>
      <c r="D130" s="106">
        <v>4</v>
      </c>
      <c r="E130" s="106">
        <v>1</v>
      </c>
      <c r="F130" s="105">
        <f t="shared" si="41"/>
        <v>1</v>
      </c>
      <c r="H130" s="103">
        <v>1</v>
      </c>
      <c r="I130" s="105">
        <f t="shared" si="5"/>
        <v>104</v>
      </c>
      <c r="J130" s="172">
        <v>1</v>
      </c>
      <c r="N130" s="103" t="s">
        <v>379</v>
      </c>
      <c r="O130" s="103" t="s">
        <v>741</v>
      </c>
      <c r="P130" s="172">
        <v>0</v>
      </c>
      <c r="Q130" s="172">
        <v>12</v>
      </c>
      <c r="R130" s="103" t="s">
        <v>1031</v>
      </c>
      <c r="S130" s="103">
        <v>321040101</v>
      </c>
      <c r="T130" s="104" t="str">
        <f t="shared" si="43"/>
        <v>UITexture/TechProd/321040101.png</v>
      </c>
      <c r="V130" s="104">
        <f t="shared" si="44"/>
        <v>0</v>
      </c>
      <c r="Z130" s="172">
        <v>0</v>
      </c>
      <c r="AB130" s="102">
        <f ca="1">IFERROR(OFFSET(BLDG_FUNC_PARAM!$A$5,MATCH(AC130,BLDG_FUNC_PARAM!$J$5:$J$68,0)-1,0),0)</f>
        <v>0</v>
      </c>
      <c r="AN130" s="102">
        <v>0</v>
      </c>
      <c r="AO130" s="102">
        <v>0</v>
      </c>
      <c r="AT130" s="104">
        <f t="shared" si="45"/>
        <v>3</v>
      </c>
      <c r="AX130" s="103">
        <v>3</v>
      </c>
      <c r="AY130" s="102">
        <v>100</v>
      </c>
      <c r="AZ130" s="102">
        <v>1</v>
      </c>
      <c r="BA130" s="172">
        <v>0</v>
      </c>
      <c r="BC130" s="104">
        <f ca="1">IFERROR(OFFSET(ITEM_RES!$A$5,MATCH(BD130,ITEM_RES!$M$5:$M$84,0)-1,0),0)</f>
        <v>0</v>
      </c>
    </row>
    <row r="131" spans="1:73" x14ac:dyDescent="0.3">
      <c r="A131" s="107">
        <f t="shared" si="0"/>
        <v>321040102</v>
      </c>
      <c r="B131" s="106">
        <v>32</v>
      </c>
      <c r="C131" s="105">
        <f t="shared" si="42"/>
        <v>1</v>
      </c>
      <c r="D131" s="106">
        <v>4</v>
      </c>
      <c r="E131" s="106">
        <v>1</v>
      </c>
      <c r="F131" s="105">
        <f t="shared" si="41"/>
        <v>2</v>
      </c>
      <c r="H131" s="103">
        <v>1</v>
      </c>
      <c r="I131" s="105">
        <f t="shared" si="5"/>
        <v>104</v>
      </c>
      <c r="J131" s="172">
        <v>2</v>
      </c>
      <c r="N131" s="103" t="s">
        <v>379</v>
      </c>
      <c r="O131" s="103" t="s">
        <v>741</v>
      </c>
      <c r="P131" s="172">
        <v>0</v>
      </c>
      <c r="Q131" s="172">
        <v>12</v>
      </c>
      <c r="R131" s="103" t="s">
        <v>1031</v>
      </c>
      <c r="S131" s="103">
        <v>321040102</v>
      </c>
      <c r="T131" s="104" t="str">
        <f t="shared" si="43"/>
        <v>UITexture/TechProd/321040102.png</v>
      </c>
      <c r="V131" s="104">
        <f t="shared" si="44"/>
        <v>0</v>
      </c>
      <c r="Z131" s="172">
        <v>0</v>
      </c>
      <c r="AB131" s="102">
        <f ca="1">IFERROR(OFFSET(BLDG_FUNC_PARAM!$A$5,MATCH(AC131,BLDG_FUNC_PARAM!$J$5:$J$68,0)-1,0),0)</f>
        <v>0</v>
      </c>
      <c r="AN131" s="102">
        <v>0</v>
      </c>
      <c r="AO131" s="102">
        <v>0</v>
      </c>
      <c r="AT131" s="104">
        <f t="shared" si="45"/>
        <v>3</v>
      </c>
      <c r="AX131" s="103">
        <v>3</v>
      </c>
      <c r="AY131" s="102">
        <v>100</v>
      </c>
      <c r="AZ131" s="102">
        <v>1</v>
      </c>
      <c r="BA131" s="172">
        <v>0</v>
      </c>
      <c r="BC131" s="104">
        <f ca="1">IFERROR(OFFSET(ITEM_RES!$A$5,MATCH(BD131,ITEM_RES!$M$5:$M$84,0)-1,0),0)</f>
        <v>0</v>
      </c>
    </row>
    <row r="132" spans="1:73" x14ac:dyDescent="0.3">
      <c r="A132" s="107">
        <f t="shared" si="0"/>
        <v>321040103</v>
      </c>
      <c r="B132" s="106">
        <v>32</v>
      </c>
      <c r="C132" s="105">
        <f t="shared" si="42"/>
        <v>1</v>
      </c>
      <c r="D132" s="106">
        <v>4</v>
      </c>
      <c r="E132" s="106">
        <v>1</v>
      </c>
      <c r="F132" s="105">
        <f t="shared" si="41"/>
        <v>3</v>
      </c>
      <c r="H132" s="103">
        <v>1</v>
      </c>
      <c r="I132" s="105">
        <f t="shared" si="5"/>
        <v>104</v>
      </c>
      <c r="J132" s="172">
        <v>3</v>
      </c>
      <c r="N132" s="103" t="s">
        <v>379</v>
      </c>
      <c r="O132" s="103" t="s">
        <v>741</v>
      </c>
      <c r="P132" s="172">
        <v>0</v>
      </c>
      <c r="Q132" s="172">
        <v>12</v>
      </c>
      <c r="R132" s="103" t="s">
        <v>1031</v>
      </c>
      <c r="S132" s="103">
        <v>321040103</v>
      </c>
      <c r="T132" s="104" t="str">
        <f t="shared" si="43"/>
        <v>UITexture/TechProd/321040103.png</v>
      </c>
      <c r="V132" s="104">
        <f t="shared" si="44"/>
        <v>0</v>
      </c>
      <c r="Z132" s="172">
        <v>0</v>
      </c>
      <c r="AB132" s="102">
        <f ca="1">IFERROR(OFFSET(BLDG_FUNC_PARAM!$A$5,MATCH(AC132,BLDG_FUNC_PARAM!$J$5:$J$68,0)-1,0),0)</f>
        <v>0</v>
      </c>
      <c r="AN132" s="102">
        <v>0</v>
      </c>
      <c r="AO132" s="102">
        <v>0</v>
      </c>
      <c r="AT132" s="104">
        <f t="shared" si="45"/>
        <v>3</v>
      </c>
      <c r="AX132" s="103">
        <v>3</v>
      </c>
      <c r="AY132" s="102">
        <v>100</v>
      </c>
      <c r="AZ132" s="102">
        <v>1</v>
      </c>
      <c r="BA132" s="172">
        <v>0</v>
      </c>
      <c r="BC132" s="104">
        <f ca="1">IFERROR(OFFSET(ITEM_RES!$A$5,MATCH(BD132,ITEM_RES!$M$5:$M$84,0)-1,0),0)</f>
        <v>0</v>
      </c>
    </row>
    <row r="133" spans="1:73" x14ac:dyDescent="0.3">
      <c r="A133" s="107">
        <f t="shared" si="0"/>
        <v>321040104</v>
      </c>
      <c r="B133" s="106">
        <v>32</v>
      </c>
      <c r="C133" s="105">
        <f t="shared" si="42"/>
        <v>1</v>
      </c>
      <c r="D133" s="106">
        <v>4</v>
      </c>
      <c r="E133" s="106">
        <v>1</v>
      </c>
      <c r="F133" s="105">
        <f t="shared" ref="F133:F196" si="80">J133</f>
        <v>4</v>
      </c>
      <c r="H133" s="103">
        <v>1</v>
      </c>
      <c r="I133" s="105">
        <f t="shared" si="5"/>
        <v>104</v>
      </c>
      <c r="J133" s="172">
        <v>4</v>
      </c>
      <c r="N133" s="103" t="s">
        <v>379</v>
      </c>
      <c r="O133" s="103" t="s">
        <v>741</v>
      </c>
      <c r="P133" s="172">
        <v>0</v>
      </c>
      <c r="Q133" s="172">
        <v>12</v>
      </c>
      <c r="R133" s="103" t="s">
        <v>1031</v>
      </c>
      <c r="S133" s="103">
        <v>321040104</v>
      </c>
      <c r="T133" s="104" t="str">
        <f t="shared" si="43"/>
        <v>UITexture/TechProd/321040104.png</v>
      </c>
      <c r="V133" s="104">
        <f t="shared" si="44"/>
        <v>0</v>
      </c>
      <c r="Z133" s="172">
        <v>0</v>
      </c>
      <c r="AB133" s="102">
        <f ca="1">IFERROR(OFFSET(BLDG_FUNC_PARAM!$A$5,MATCH(AC133,BLDG_FUNC_PARAM!$J$5:$J$68,0)-1,0),0)</f>
        <v>0</v>
      </c>
      <c r="AN133" s="102">
        <v>0</v>
      </c>
      <c r="AO133" s="102">
        <v>0</v>
      </c>
      <c r="AT133" s="104">
        <f t="shared" si="45"/>
        <v>3</v>
      </c>
      <c r="AX133" s="103">
        <v>3</v>
      </c>
      <c r="AY133" s="102">
        <v>100</v>
      </c>
      <c r="AZ133" s="102">
        <v>1</v>
      </c>
      <c r="BA133" s="172">
        <v>0</v>
      </c>
      <c r="BC133" s="104">
        <f ca="1">IFERROR(OFFSET(ITEM_RES!$A$5,MATCH(BD133,ITEM_RES!$M$5:$M$84,0)-1,0),0)</f>
        <v>0</v>
      </c>
    </row>
    <row r="134" spans="1:73" ht="17.25" thickBot="1" x14ac:dyDescent="0.35">
      <c r="A134" s="107">
        <f t="shared" si="0"/>
        <v>321040105</v>
      </c>
      <c r="B134" s="106">
        <v>32</v>
      </c>
      <c r="C134" s="105">
        <f t="shared" si="42"/>
        <v>1</v>
      </c>
      <c r="D134" s="106">
        <v>4</v>
      </c>
      <c r="E134" s="106">
        <v>1</v>
      </c>
      <c r="F134" s="105">
        <f t="shared" si="80"/>
        <v>5</v>
      </c>
      <c r="H134" s="103">
        <v>1</v>
      </c>
      <c r="I134" s="105">
        <f t="shared" si="5"/>
        <v>104</v>
      </c>
      <c r="J134" s="172">
        <v>5</v>
      </c>
      <c r="N134" s="103" t="s">
        <v>379</v>
      </c>
      <c r="O134" s="103" t="s">
        <v>741</v>
      </c>
      <c r="P134" s="172">
        <v>0</v>
      </c>
      <c r="Q134" s="172">
        <v>12</v>
      </c>
      <c r="R134" s="103" t="s">
        <v>1031</v>
      </c>
      <c r="S134" s="103">
        <v>321040105</v>
      </c>
      <c r="T134" s="104" t="str">
        <f t="shared" ref="T134:T197" si="81">CONCATENATE(R134,S134,".png")</f>
        <v>UITexture/TechProd/321040105.png</v>
      </c>
      <c r="V134" s="104">
        <f t="shared" si="44"/>
        <v>0</v>
      </c>
      <c r="Z134" s="172">
        <v>0</v>
      </c>
      <c r="AB134" s="102">
        <f ca="1">IFERROR(OFFSET(BLDG_FUNC_PARAM!$A$5,MATCH(AC134,BLDG_FUNC_PARAM!$J$5:$J$68,0)-1,0),0)</f>
        <v>0</v>
      </c>
      <c r="AN134" s="102">
        <v>0</v>
      </c>
      <c r="AO134" s="102">
        <v>0</v>
      </c>
      <c r="AT134" s="104">
        <f t="shared" si="45"/>
        <v>3</v>
      </c>
      <c r="AX134" s="103">
        <v>3</v>
      </c>
      <c r="AY134" s="102">
        <v>100</v>
      </c>
      <c r="AZ134" s="102">
        <v>1</v>
      </c>
      <c r="BA134" s="172">
        <v>0</v>
      </c>
      <c r="BC134" s="104">
        <f ca="1">IFERROR(OFFSET(ITEM_RES!$A$5,MATCH(BD134,ITEM_RES!$M$5:$M$84,0)-1,0),0)</f>
        <v>0</v>
      </c>
    </row>
    <row r="135" spans="1:73" s="115" customFormat="1" x14ac:dyDescent="0.3">
      <c r="A135" s="121">
        <f t="shared" si="0"/>
        <v>321050101</v>
      </c>
      <c r="B135" s="120">
        <v>32</v>
      </c>
      <c r="C135" s="119">
        <f t="shared" ref="C135:C169" si="82">H135</f>
        <v>1</v>
      </c>
      <c r="D135" s="120">
        <v>5</v>
      </c>
      <c r="E135" s="120">
        <v>1</v>
      </c>
      <c r="F135" s="119">
        <f t="shared" si="80"/>
        <v>1</v>
      </c>
      <c r="G135" s="258"/>
      <c r="H135" s="117">
        <v>1</v>
      </c>
      <c r="I135" s="119">
        <f t="shared" si="5"/>
        <v>105</v>
      </c>
      <c r="J135" s="174">
        <v>1</v>
      </c>
      <c r="K135" s="258"/>
      <c r="L135" s="174" t="s">
        <v>1115</v>
      </c>
      <c r="M135" s="174" t="s">
        <v>1127</v>
      </c>
      <c r="N135" s="117" t="s">
        <v>380</v>
      </c>
      <c r="O135" s="117" t="s">
        <v>1077</v>
      </c>
      <c r="P135" s="174">
        <v>1</v>
      </c>
      <c r="Q135" s="174">
        <v>12</v>
      </c>
      <c r="R135" s="117" t="s">
        <v>1031</v>
      </c>
      <c r="S135" s="117">
        <v>321050101</v>
      </c>
      <c r="T135" s="118" t="str">
        <f t="shared" si="81"/>
        <v>UITexture/TechProd/321050101.png</v>
      </c>
      <c r="U135" s="174" t="s">
        <v>1142</v>
      </c>
      <c r="V135" s="118">
        <f t="shared" ref="V135:V169" si="83">W135*1000+X135</f>
        <v>2006</v>
      </c>
      <c r="W135" s="117">
        <v>2</v>
      </c>
      <c r="X135" s="117">
        <v>6</v>
      </c>
      <c r="Y135" s="258"/>
      <c r="Z135" s="174">
        <v>1</v>
      </c>
      <c r="AA135" s="118"/>
      <c r="AB135" s="116">
        <f ca="1">IFERROR(OFFSET(BLDG_FUNC_PARAM!$A$5,MATCH(AC135,BLDG_FUNC_PARAM!$J$5:$J$68,0)-1,0),0)</f>
        <v>121050001</v>
      </c>
      <c r="AC135" s="117" t="s">
        <v>961</v>
      </c>
      <c r="AD135" s="116">
        <v>10</v>
      </c>
      <c r="AE135" s="118"/>
      <c r="AF135" s="116"/>
      <c r="AG135" s="117"/>
      <c r="AH135" s="116"/>
      <c r="AI135" s="118"/>
      <c r="AJ135" s="116"/>
      <c r="AK135" s="117"/>
      <c r="AL135" s="116"/>
      <c r="AM135" s="258"/>
      <c r="AN135" s="116">
        <v>3</v>
      </c>
      <c r="AO135" s="116">
        <v>0</v>
      </c>
      <c r="AP135" s="116"/>
      <c r="AQ135" s="116"/>
      <c r="AR135" s="116"/>
      <c r="AS135" s="258"/>
      <c r="AT135" s="118">
        <f t="shared" ref="AT135:AT169" si="84">((AU135*24+AV135)*60+AW135)*60+AX135</f>
        <v>60</v>
      </c>
      <c r="AU135" s="117"/>
      <c r="AV135" s="117"/>
      <c r="AW135" s="117">
        <v>1</v>
      </c>
      <c r="AX135" s="117"/>
      <c r="AY135" s="116">
        <v>100</v>
      </c>
      <c r="AZ135" s="116">
        <v>10</v>
      </c>
      <c r="BA135" s="174">
        <v>0</v>
      </c>
      <c r="BB135" s="118"/>
      <c r="BC135" s="118">
        <f ca="1">IFERROR(OFFSET(ITEM_RES!$A$5,MATCH(BD135,ITEM_RES!$M$5:$M$84,0)-1,0),0)</f>
        <v>0</v>
      </c>
      <c r="BD135" s="117"/>
      <c r="BE135" s="116"/>
      <c r="BF135" s="118"/>
      <c r="BG135" s="118"/>
      <c r="BH135" s="117"/>
      <c r="BI135" s="116"/>
      <c r="BJ135" s="118"/>
      <c r="BK135" s="118"/>
      <c r="BL135" s="117"/>
      <c r="BM135" s="116"/>
      <c r="BN135" s="118"/>
      <c r="BO135" s="118"/>
      <c r="BP135" s="117"/>
      <c r="BQ135" s="116"/>
      <c r="BR135" s="118"/>
      <c r="BS135" s="118"/>
      <c r="BT135" s="117"/>
      <c r="BU135" s="116"/>
    </row>
    <row r="136" spans="1:73" x14ac:dyDescent="0.3">
      <c r="A136" s="107">
        <f t="shared" si="0"/>
        <v>321050102</v>
      </c>
      <c r="B136" s="106">
        <v>32</v>
      </c>
      <c r="C136" s="105">
        <f t="shared" si="82"/>
        <v>1</v>
      </c>
      <c r="D136" s="106">
        <v>5</v>
      </c>
      <c r="E136" s="106">
        <v>1</v>
      </c>
      <c r="F136" s="105">
        <f t="shared" si="80"/>
        <v>2</v>
      </c>
      <c r="H136" s="103">
        <v>1</v>
      </c>
      <c r="I136" s="105">
        <f t="shared" si="5"/>
        <v>105</v>
      </c>
      <c r="J136" s="172">
        <v>2</v>
      </c>
      <c r="L136" s="172" t="s">
        <v>1115</v>
      </c>
      <c r="M136" s="172" t="s">
        <v>1127</v>
      </c>
      <c r="N136" s="103" t="s">
        <v>380</v>
      </c>
      <c r="O136" s="103" t="s">
        <v>1077</v>
      </c>
      <c r="P136" s="172">
        <v>1</v>
      </c>
      <c r="Q136" s="172">
        <v>12</v>
      </c>
      <c r="R136" s="103" t="s">
        <v>1031</v>
      </c>
      <c r="S136" s="103">
        <v>321050101</v>
      </c>
      <c r="T136" s="104" t="str">
        <f t="shared" si="81"/>
        <v>UITexture/TechProd/321050101.png</v>
      </c>
      <c r="U136" s="172" t="s">
        <v>1142</v>
      </c>
      <c r="V136" s="104">
        <f t="shared" si="83"/>
        <v>0</v>
      </c>
      <c r="Z136" s="172">
        <v>1</v>
      </c>
      <c r="AB136" s="102">
        <f ca="1">IFERROR(OFFSET(BLDG_FUNC_PARAM!$A$5,MATCH(AC136,BLDG_FUNC_PARAM!$J$5:$J$68,0)-1,0),0)</f>
        <v>121050001</v>
      </c>
      <c r="AC136" s="103" t="s">
        <v>961</v>
      </c>
      <c r="AD136" s="102">
        <v>20</v>
      </c>
      <c r="AN136" s="102">
        <v>0</v>
      </c>
      <c r="AO136" s="102">
        <v>0</v>
      </c>
      <c r="AT136" s="104">
        <f t="shared" si="84"/>
        <v>120</v>
      </c>
      <c r="AW136" s="103">
        <v>2</v>
      </c>
      <c r="AY136" s="102">
        <v>200</v>
      </c>
      <c r="AZ136" s="102">
        <v>20</v>
      </c>
      <c r="BA136" s="172">
        <v>0</v>
      </c>
      <c r="BC136" s="104">
        <f ca="1">IFERROR(OFFSET(ITEM_RES!$A$5,MATCH(BD136,ITEM_RES!$M$5:$M$84,0)-1,0),0)</f>
        <v>0</v>
      </c>
    </row>
    <row r="137" spans="1:73" x14ac:dyDescent="0.3">
      <c r="A137" s="107">
        <f t="shared" ref="A137:A293" si="85">B137*10000000+C137*1000000+D137*10000+E137*100+F137</f>
        <v>321050103</v>
      </c>
      <c r="B137" s="106">
        <v>32</v>
      </c>
      <c r="C137" s="105">
        <f t="shared" si="82"/>
        <v>1</v>
      </c>
      <c r="D137" s="106">
        <v>5</v>
      </c>
      <c r="E137" s="106">
        <v>1</v>
      </c>
      <c r="F137" s="105">
        <f t="shared" si="80"/>
        <v>3</v>
      </c>
      <c r="H137" s="103">
        <v>1</v>
      </c>
      <c r="I137" s="105">
        <f t="shared" si="5"/>
        <v>105</v>
      </c>
      <c r="J137" s="172">
        <v>3</v>
      </c>
      <c r="L137" s="172" t="s">
        <v>1115</v>
      </c>
      <c r="M137" s="172" t="s">
        <v>1127</v>
      </c>
      <c r="N137" s="103" t="s">
        <v>380</v>
      </c>
      <c r="O137" s="103" t="s">
        <v>1077</v>
      </c>
      <c r="P137" s="172">
        <v>1</v>
      </c>
      <c r="Q137" s="172">
        <v>12</v>
      </c>
      <c r="R137" s="103" t="s">
        <v>1031</v>
      </c>
      <c r="S137" s="103">
        <v>321050101</v>
      </c>
      <c r="T137" s="104" t="str">
        <f t="shared" si="81"/>
        <v>UITexture/TechProd/321050101.png</v>
      </c>
      <c r="U137" s="172" t="s">
        <v>1142</v>
      </c>
      <c r="V137" s="104">
        <f t="shared" si="83"/>
        <v>0</v>
      </c>
      <c r="Z137" s="172">
        <v>1</v>
      </c>
      <c r="AB137" s="102">
        <f ca="1">IFERROR(OFFSET(BLDG_FUNC_PARAM!$A$5,MATCH(AC137,BLDG_FUNC_PARAM!$J$5:$J$68,0)-1,0),0)</f>
        <v>121050001</v>
      </c>
      <c r="AC137" s="103" t="s">
        <v>961</v>
      </c>
      <c r="AD137" s="102">
        <v>30</v>
      </c>
      <c r="AN137" s="102">
        <v>0</v>
      </c>
      <c r="AO137" s="102">
        <v>0</v>
      </c>
      <c r="AT137" s="104">
        <f t="shared" si="84"/>
        <v>180</v>
      </c>
      <c r="AW137" s="103">
        <v>3</v>
      </c>
      <c r="AY137" s="102">
        <v>300</v>
      </c>
      <c r="AZ137" s="102">
        <v>30</v>
      </c>
      <c r="BA137" s="172">
        <v>0</v>
      </c>
      <c r="BC137" s="104">
        <f ca="1">IFERROR(OFFSET(ITEM_RES!$A$5,MATCH(BD137,ITEM_RES!$M$5:$M$84,0)-1,0),0)</f>
        <v>0</v>
      </c>
    </row>
    <row r="138" spans="1:73" x14ac:dyDescent="0.3">
      <c r="A138" s="107">
        <f t="shared" si="85"/>
        <v>321050104</v>
      </c>
      <c r="B138" s="106">
        <v>32</v>
      </c>
      <c r="C138" s="105">
        <f t="shared" si="82"/>
        <v>1</v>
      </c>
      <c r="D138" s="106">
        <v>5</v>
      </c>
      <c r="E138" s="106">
        <v>1</v>
      </c>
      <c r="F138" s="105">
        <f t="shared" si="80"/>
        <v>4</v>
      </c>
      <c r="H138" s="103">
        <v>1</v>
      </c>
      <c r="I138" s="105">
        <f t="shared" si="5"/>
        <v>105</v>
      </c>
      <c r="J138" s="172">
        <v>4</v>
      </c>
      <c r="L138" s="172" t="s">
        <v>1115</v>
      </c>
      <c r="M138" s="172" t="s">
        <v>1127</v>
      </c>
      <c r="N138" s="103" t="s">
        <v>380</v>
      </c>
      <c r="O138" s="103" t="s">
        <v>1077</v>
      </c>
      <c r="P138" s="172">
        <v>1</v>
      </c>
      <c r="Q138" s="172">
        <v>12</v>
      </c>
      <c r="R138" s="103" t="s">
        <v>1031</v>
      </c>
      <c r="S138" s="103">
        <v>321050101</v>
      </c>
      <c r="T138" s="104" t="str">
        <f t="shared" si="81"/>
        <v>UITexture/TechProd/321050101.png</v>
      </c>
      <c r="U138" s="172" t="s">
        <v>1142</v>
      </c>
      <c r="V138" s="104">
        <f t="shared" si="83"/>
        <v>0</v>
      </c>
      <c r="Z138" s="172">
        <v>1</v>
      </c>
      <c r="AB138" s="102">
        <f ca="1">IFERROR(OFFSET(BLDG_FUNC_PARAM!$A$5,MATCH(AC138,BLDG_FUNC_PARAM!$J$5:$J$68,0)-1,0),0)</f>
        <v>121050001</v>
      </c>
      <c r="AC138" s="103" t="s">
        <v>961</v>
      </c>
      <c r="AD138" s="102">
        <v>40</v>
      </c>
      <c r="AN138" s="102">
        <v>0</v>
      </c>
      <c r="AO138" s="102">
        <v>0</v>
      </c>
      <c r="AT138" s="104">
        <f t="shared" si="84"/>
        <v>240</v>
      </c>
      <c r="AW138" s="103">
        <v>4</v>
      </c>
      <c r="AY138" s="102">
        <v>400</v>
      </c>
      <c r="AZ138" s="102">
        <v>40</v>
      </c>
      <c r="BA138" s="172">
        <v>0</v>
      </c>
      <c r="BC138" s="104">
        <f ca="1">IFERROR(OFFSET(ITEM_RES!$A$5,MATCH(BD138,ITEM_RES!$M$5:$M$84,0)-1,0),0)</f>
        <v>0</v>
      </c>
    </row>
    <row r="139" spans="1:73" x14ac:dyDescent="0.3">
      <c r="A139" s="107">
        <f t="shared" si="85"/>
        <v>321050105</v>
      </c>
      <c r="B139" s="106">
        <v>32</v>
      </c>
      <c r="C139" s="105">
        <f t="shared" si="82"/>
        <v>1</v>
      </c>
      <c r="D139" s="106">
        <v>5</v>
      </c>
      <c r="E139" s="106">
        <v>1</v>
      </c>
      <c r="F139" s="105">
        <f t="shared" si="80"/>
        <v>5</v>
      </c>
      <c r="H139" s="103">
        <v>1</v>
      </c>
      <c r="I139" s="105">
        <f t="shared" si="5"/>
        <v>105</v>
      </c>
      <c r="J139" s="172">
        <v>5</v>
      </c>
      <c r="L139" s="172" t="s">
        <v>1115</v>
      </c>
      <c r="M139" s="172" t="s">
        <v>1127</v>
      </c>
      <c r="N139" s="103" t="s">
        <v>380</v>
      </c>
      <c r="O139" s="103" t="s">
        <v>1077</v>
      </c>
      <c r="P139" s="172">
        <v>1</v>
      </c>
      <c r="Q139" s="172">
        <v>12</v>
      </c>
      <c r="R139" s="103" t="s">
        <v>1031</v>
      </c>
      <c r="S139" s="103">
        <v>321050101</v>
      </c>
      <c r="T139" s="104" t="str">
        <f t="shared" si="81"/>
        <v>UITexture/TechProd/321050101.png</v>
      </c>
      <c r="U139" s="172" t="s">
        <v>1142</v>
      </c>
      <c r="V139" s="104">
        <f t="shared" si="83"/>
        <v>0</v>
      </c>
      <c r="Z139" s="172">
        <v>1</v>
      </c>
      <c r="AB139" s="102">
        <f ca="1">IFERROR(OFFSET(BLDG_FUNC_PARAM!$A$5,MATCH(AC139,BLDG_FUNC_PARAM!$J$5:$J$68,0)-1,0),0)</f>
        <v>121050001</v>
      </c>
      <c r="AC139" s="103" t="s">
        <v>961</v>
      </c>
      <c r="AD139" s="102">
        <v>100</v>
      </c>
      <c r="AN139" s="102">
        <v>8</v>
      </c>
      <c r="AO139" s="102">
        <v>0</v>
      </c>
      <c r="AT139" s="104">
        <f t="shared" si="84"/>
        <v>300</v>
      </c>
      <c r="AW139" s="103">
        <v>5</v>
      </c>
      <c r="AY139" s="102">
        <v>500</v>
      </c>
      <c r="AZ139" s="102">
        <v>50</v>
      </c>
      <c r="BA139" s="172">
        <v>0</v>
      </c>
      <c r="BC139" s="104">
        <f ca="1">IFERROR(OFFSET(ITEM_RES!$A$5,MATCH(BD139,ITEM_RES!$M$5:$M$84,0)-1,0),0)</f>
        <v>0</v>
      </c>
    </row>
    <row r="140" spans="1:73" x14ac:dyDescent="0.3">
      <c r="A140" s="107">
        <f t="shared" si="85"/>
        <v>321050106</v>
      </c>
      <c r="B140" s="106">
        <v>32</v>
      </c>
      <c r="C140" s="105">
        <f t="shared" ref="C140:C149" si="86">H140</f>
        <v>1</v>
      </c>
      <c r="D140" s="106">
        <v>5</v>
      </c>
      <c r="E140" s="106">
        <v>1</v>
      </c>
      <c r="F140" s="105">
        <f t="shared" si="80"/>
        <v>6</v>
      </c>
      <c r="H140" s="103">
        <v>1</v>
      </c>
      <c r="I140" s="105">
        <f t="shared" ref="I140:I149" si="87">C140*100+D140</f>
        <v>105</v>
      </c>
      <c r="J140" s="172">
        <v>6</v>
      </c>
      <c r="L140" s="172" t="s">
        <v>1115</v>
      </c>
      <c r="M140" s="172" t="s">
        <v>1127</v>
      </c>
      <c r="N140" s="103" t="s">
        <v>380</v>
      </c>
      <c r="O140" s="103" t="s">
        <v>1077</v>
      </c>
      <c r="P140" s="172">
        <v>1</v>
      </c>
      <c r="Q140" s="172">
        <v>12</v>
      </c>
      <c r="R140" s="103" t="s">
        <v>1031</v>
      </c>
      <c r="S140" s="103">
        <v>321050101</v>
      </c>
      <c r="T140" s="104" t="str">
        <f t="shared" si="81"/>
        <v>UITexture/TechProd/321050101.png</v>
      </c>
      <c r="U140" s="172" t="s">
        <v>1142</v>
      </c>
      <c r="V140" s="104">
        <f t="shared" ref="V140:V149" si="88">W140*1000+X140</f>
        <v>0</v>
      </c>
      <c r="Z140" s="172">
        <v>1</v>
      </c>
      <c r="AB140" s="102">
        <f ca="1">IFERROR(OFFSET(BLDG_FUNC_PARAM!$A$5,MATCH(AC140,BLDG_FUNC_PARAM!$J$5:$J$68,0)-1,0),0)</f>
        <v>121050001</v>
      </c>
      <c r="AC140" s="103" t="s">
        <v>961</v>
      </c>
      <c r="AD140" s="102">
        <v>110</v>
      </c>
      <c r="AN140" s="102">
        <v>0</v>
      </c>
      <c r="AO140" s="102">
        <v>0</v>
      </c>
      <c r="AT140" s="104">
        <f t="shared" ref="AT140:AT149" si="89">((AU140*24+AV140)*60+AW140)*60+AX140</f>
        <v>360</v>
      </c>
      <c r="AW140" s="103">
        <v>6</v>
      </c>
      <c r="AY140" s="102">
        <v>600</v>
      </c>
      <c r="AZ140" s="102">
        <v>60</v>
      </c>
      <c r="BA140" s="172">
        <v>0</v>
      </c>
      <c r="BC140" s="104">
        <f ca="1">IFERROR(OFFSET(ITEM_RES!$A$5,MATCH(BD140,ITEM_RES!$M$5:$M$84,0)-1,0),0)</f>
        <v>0</v>
      </c>
    </row>
    <row r="141" spans="1:73" x14ac:dyDescent="0.3">
      <c r="A141" s="107">
        <f t="shared" si="85"/>
        <v>321050107</v>
      </c>
      <c r="B141" s="106">
        <v>32</v>
      </c>
      <c r="C141" s="105">
        <f t="shared" si="86"/>
        <v>1</v>
      </c>
      <c r="D141" s="106">
        <v>5</v>
      </c>
      <c r="E141" s="106">
        <v>1</v>
      </c>
      <c r="F141" s="105">
        <f t="shared" si="80"/>
        <v>7</v>
      </c>
      <c r="H141" s="103">
        <v>1</v>
      </c>
      <c r="I141" s="105">
        <f t="shared" si="87"/>
        <v>105</v>
      </c>
      <c r="J141" s="172">
        <v>7</v>
      </c>
      <c r="L141" s="172" t="s">
        <v>1115</v>
      </c>
      <c r="M141" s="172" t="s">
        <v>1127</v>
      </c>
      <c r="N141" s="103" t="s">
        <v>380</v>
      </c>
      <c r="O141" s="103" t="s">
        <v>1077</v>
      </c>
      <c r="P141" s="172">
        <v>1</v>
      </c>
      <c r="Q141" s="172">
        <v>12</v>
      </c>
      <c r="R141" s="103" t="s">
        <v>1031</v>
      </c>
      <c r="S141" s="103">
        <v>321050101</v>
      </c>
      <c r="T141" s="104" t="str">
        <f t="shared" si="81"/>
        <v>UITexture/TechProd/321050101.png</v>
      </c>
      <c r="U141" s="172" t="s">
        <v>1142</v>
      </c>
      <c r="V141" s="104">
        <f t="shared" si="88"/>
        <v>0</v>
      </c>
      <c r="Z141" s="172">
        <v>1</v>
      </c>
      <c r="AB141" s="102">
        <f ca="1">IFERROR(OFFSET(BLDG_FUNC_PARAM!$A$5,MATCH(AC141,BLDG_FUNC_PARAM!$J$5:$J$68,0)-1,0),0)</f>
        <v>121050001</v>
      </c>
      <c r="AC141" s="103" t="s">
        <v>961</v>
      </c>
      <c r="AD141" s="102">
        <v>120</v>
      </c>
      <c r="AN141" s="102">
        <v>0</v>
      </c>
      <c r="AO141" s="102">
        <v>0</v>
      </c>
      <c r="AT141" s="104">
        <f t="shared" si="89"/>
        <v>420</v>
      </c>
      <c r="AW141" s="103">
        <v>7</v>
      </c>
      <c r="AY141" s="102">
        <v>700</v>
      </c>
      <c r="AZ141" s="102">
        <v>70</v>
      </c>
      <c r="BA141" s="172">
        <v>0</v>
      </c>
      <c r="BC141" s="104">
        <f ca="1">IFERROR(OFFSET(ITEM_RES!$A$5,MATCH(BD141,ITEM_RES!$M$5:$M$84,0)-1,0),0)</f>
        <v>0</v>
      </c>
    </row>
    <row r="142" spans="1:73" x14ac:dyDescent="0.3">
      <c r="A142" s="107">
        <f t="shared" ref="A142:A151" si="90">B142*10000000+C142*1000000+D142*10000+E142*100+F142</f>
        <v>321050108</v>
      </c>
      <c r="B142" s="106">
        <v>32</v>
      </c>
      <c r="C142" s="105">
        <f t="shared" si="86"/>
        <v>1</v>
      </c>
      <c r="D142" s="106">
        <v>5</v>
      </c>
      <c r="E142" s="106">
        <v>1</v>
      </c>
      <c r="F142" s="105">
        <f t="shared" si="80"/>
        <v>8</v>
      </c>
      <c r="H142" s="103">
        <v>1</v>
      </c>
      <c r="I142" s="105">
        <f t="shared" si="87"/>
        <v>105</v>
      </c>
      <c r="J142" s="172">
        <v>8</v>
      </c>
      <c r="L142" s="172" t="s">
        <v>1115</v>
      </c>
      <c r="M142" s="172" t="s">
        <v>1127</v>
      </c>
      <c r="N142" s="103" t="s">
        <v>380</v>
      </c>
      <c r="O142" s="103" t="s">
        <v>1077</v>
      </c>
      <c r="P142" s="172">
        <v>1</v>
      </c>
      <c r="Q142" s="172">
        <v>12</v>
      </c>
      <c r="R142" s="103" t="s">
        <v>1031</v>
      </c>
      <c r="S142" s="103">
        <v>321050101</v>
      </c>
      <c r="T142" s="104" t="str">
        <f t="shared" si="81"/>
        <v>UITexture/TechProd/321050101.png</v>
      </c>
      <c r="U142" s="172" t="s">
        <v>1142</v>
      </c>
      <c r="V142" s="104">
        <f t="shared" si="88"/>
        <v>0</v>
      </c>
      <c r="Z142" s="172">
        <v>1</v>
      </c>
      <c r="AB142" s="102">
        <f ca="1">IFERROR(OFFSET(BLDG_FUNC_PARAM!$A$5,MATCH(AC142,BLDG_FUNC_PARAM!$J$5:$J$68,0)-1,0),0)</f>
        <v>121050001</v>
      </c>
      <c r="AC142" s="103" t="s">
        <v>961</v>
      </c>
      <c r="AD142" s="102">
        <v>130</v>
      </c>
      <c r="AN142" s="102">
        <v>0</v>
      </c>
      <c r="AO142" s="102">
        <v>0</v>
      </c>
      <c r="AT142" s="104">
        <f t="shared" si="89"/>
        <v>480</v>
      </c>
      <c r="AW142" s="103">
        <v>8</v>
      </c>
      <c r="AY142" s="102">
        <v>800</v>
      </c>
      <c r="AZ142" s="102">
        <v>80</v>
      </c>
      <c r="BA142" s="172">
        <v>0</v>
      </c>
      <c r="BC142" s="104">
        <f ca="1">IFERROR(OFFSET(ITEM_RES!$A$5,MATCH(BD142,ITEM_RES!$M$5:$M$84,0)-1,0),0)</f>
        <v>0</v>
      </c>
    </row>
    <row r="143" spans="1:73" x14ac:dyDescent="0.3">
      <c r="A143" s="107">
        <f t="shared" si="90"/>
        <v>321050109</v>
      </c>
      <c r="B143" s="106">
        <v>32</v>
      </c>
      <c r="C143" s="105">
        <f t="shared" si="86"/>
        <v>1</v>
      </c>
      <c r="D143" s="106">
        <v>5</v>
      </c>
      <c r="E143" s="106">
        <v>1</v>
      </c>
      <c r="F143" s="105">
        <f t="shared" si="80"/>
        <v>9</v>
      </c>
      <c r="H143" s="103">
        <v>1</v>
      </c>
      <c r="I143" s="105">
        <f t="shared" si="87"/>
        <v>105</v>
      </c>
      <c r="J143" s="172">
        <v>9</v>
      </c>
      <c r="L143" s="172" t="s">
        <v>1115</v>
      </c>
      <c r="M143" s="172" t="s">
        <v>1127</v>
      </c>
      <c r="N143" s="103" t="s">
        <v>380</v>
      </c>
      <c r="O143" s="103" t="s">
        <v>1077</v>
      </c>
      <c r="P143" s="172">
        <v>1</v>
      </c>
      <c r="Q143" s="172">
        <v>12</v>
      </c>
      <c r="R143" s="103" t="s">
        <v>1031</v>
      </c>
      <c r="S143" s="103">
        <v>321050101</v>
      </c>
      <c r="T143" s="104" t="str">
        <f t="shared" si="81"/>
        <v>UITexture/TechProd/321050101.png</v>
      </c>
      <c r="U143" s="172" t="s">
        <v>1142</v>
      </c>
      <c r="V143" s="104">
        <f t="shared" si="88"/>
        <v>0</v>
      </c>
      <c r="Z143" s="172">
        <v>1</v>
      </c>
      <c r="AB143" s="102">
        <f ca="1">IFERROR(OFFSET(BLDG_FUNC_PARAM!$A$5,MATCH(AC143,BLDG_FUNC_PARAM!$J$5:$J$68,0)-1,0),0)</f>
        <v>121050001</v>
      </c>
      <c r="AC143" s="103" t="s">
        <v>961</v>
      </c>
      <c r="AD143" s="102">
        <v>140.00000000000003</v>
      </c>
      <c r="AN143" s="102">
        <v>0</v>
      </c>
      <c r="AO143" s="102">
        <v>0</v>
      </c>
      <c r="AT143" s="104">
        <f t="shared" si="89"/>
        <v>540</v>
      </c>
      <c r="AW143" s="103">
        <v>9</v>
      </c>
      <c r="AY143" s="102">
        <v>900</v>
      </c>
      <c r="AZ143" s="102">
        <v>90</v>
      </c>
      <c r="BA143" s="172">
        <v>0</v>
      </c>
      <c r="BC143" s="104">
        <f ca="1">IFERROR(OFFSET(ITEM_RES!$A$5,MATCH(BD143,ITEM_RES!$M$5:$M$84,0)-1,0),0)</f>
        <v>0</v>
      </c>
    </row>
    <row r="144" spans="1:73" x14ac:dyDescent="0.3">
      <c r="A144" s="107">
        <f t="shared" si="90"/>
        <v>321050110</v>
      </c>
      <c r="B144" s="106">
        <v>32</v>
      </c>
      <c r="C144" s="105">
        <f t="shared" si="86"/>
        <v>1</v>
      </c>
      <c r="D144" s="106">
        <v>5</v>
      </c>
      <c r="E144" s="106">
        <v>1</v>
      </c>
      <c r="F144" s="105">
        <f t="shared" si="80"/>
        <v>10</v>
      </c>
      <c r="H144" s="103">
        <v>1</v>
      </c>
      <c r="I144" s="105">
        <f t="shared" si="87"/>
        <v>105</v>
      </c>
      <c r="J144" s="172">
        <v>10</v>
      </c>
      <c r="L144" s="172" t="s">
        <v>1115</v>
      </c>
      <c r="M144" s="172" t="s">
        <v>1127</v>
      </c>
      <c r="N144" s="103" t="s">
        <v>380</v>
      </c>
      <c r="O144" s="103" t="s">
        <v>1077</v>
      </c>
      <c r="P144" s="172">
        <v>1</v>
      </c>
      <c r="Q144" s="172">
        <v>12</v>
      </c>
      <c r="R144" s="103" t="s">
        <v>1031</v>
      </c>
      <c r="S144" s="103">
        <v>321050101</v>
      </c>
      <c r="T144" s="104" t="str">
        <f t="shared" si="81"/>
        <v>UITexture/TechProd/321050101.png</v>
      </c>
      <c r="U144" s="172" t="s">
        <v>1142</v>
      </c>
      <c r="V144" s="104">
        <f t="shared" si="88"/>
        <v>0</v>
      </c>
      <c r="Z144" s="172">
        <v>1</v>
      </c>
      <c r="AB144" s="102">
        <f ca="1">IFERROR(OFFSET(BLDG_FUNC_PARAM!$A$5,MATCH(AC144,BLDG_FUNC_PARAM!$J$5:$J$68,0)-1,0),0)</f>
        <v>121050001</v>
      </c>
      <c r="AC144" s="103" t="s">
        <v>961</v>
      </c>
      <c r="AD144" s="102">
        <v>200</v>
      </c>
      <c r="AN144" s="102">
        <v>12</v>
      </c>
      <c r="AO144" s="102">
        <v>0</v>
      </c>
      <c r="AT144" s="104">
        <f t="shared" si="89"/>
        <v>600</v>
      </c>
      <c r="AW144" s="103">
        <v>10</v>
      </c>
      <c r="AY144" s="102">
        <v>1000</v>
      </c>
      <c r="AZ144" s="102">
        <v>100</v>
      </c>
      <c r="BA144" s="172">
        <v>0</v>
      </c>
      <c r="BC144" s="104">
        <f ca="1">IFERROR(OFFSET(ITEM_RES!$A$5,MATCH(BD144,ITEM_RES!$M$5:$M$84,0)-1,0),0)</f>
        <v>0</v>
      </c>
    </row>
    <row r="145" spans="1:55" x14ac:dyDescent="0.3">
      <c r="A145" s="107">
        <f t="shared" si="90"/>
        <v>321050111</v>
      </c>
      <c r="B145" s="106">
        <v>32</v>
      </c>
      <c r="C145" s="105">
        <f t="shared" si="86"/>
        <v>1</v>
      </c>
      <c r="D145" s="106">
        <v>5</v>
      </c>
      <c r="E145" s="106">
        <v>1</v>
      </c>
      <c r="F145" s="105">
        <f t="shared" si="80"/>
        <v>11</v>
      </c>
      <c r="H145" s="103">
        <v>1</v>
      </c>
      <c r="I145" s="105">
        <f t="shared" si="87"/>
        <v>105</v>
      </c>
      <c r="J145" s="172">
        <v>11</v>
      </c>
      <c r="L145" s="172" t="s">
        <v>1115</v>
      </c>
      <c r="M145" s="172" t="s">
        <v>1127</v>
      </c>
      <c r="N145" s="103" t="s">
        <v>380</v>
      </c>
      <c r="O145" s="103" t="s">
        <v>1077</v>
      </c>
      <c r="P145" s="172">
        <v>1</v>
      </c>
      <c r="Q145" s="172">
        <v>12</v>
      </c>
      <c r="R145" s="103" t="s">
        <v>1031</v>
      </c>
      <c r="S145" s="103">
        <v>321050101</v>
      </c>
      <c r="T145" s="104" t="str">
        <f t="shared" si="81"/>
        <v>UITexture/TechProd/321050101.png</v>
      </c>
      <c r="U145" s="172" t="s">
        <v>1142</v>
      </c>
      <c r="V145" s="104">
        <f t="shared" si="88"/>
        <v>0</v>
      </c>
      <c r="Z145" s="172">
        <v>1</v>
      </c>
      <c r="AB145" s="102">
        <f ca="1">IFERROR(OFFSET(BLDG_FUNC_PARAM!$A$5,MATCH(AC145,BLDG_FUNC_PARAM!$J$5:$J$68,0)-1,0),0)</f>
        <v>121050001</v>
      </c>
      <c r="AC145" s="103" t="s">
        <v>961</v>
      </c>
      <c r="AD145" s="102">
        <v>210</v>
      </c>
      <c r="AN145" s="102">
        <v>0</v>
      </c>
      <c r="AO145" s="102">
        <v>0</v>
      </c>
      <c r="AT145" s="104">
        <f t="shared" si="89"/>
        <v>660</v>
      </c>
      <c r="AW145" s="103">
        <v>11</v>
      </c>
      <c r="AY145" s="102">
        <v>1100</v>
      </c>
      <c r="AZ145" s="102">
        <v>110</v>
      </c>
      <c r="BA145" s="172">
        <v>0</v>
      </c>
      <c r="BC145" s="104">
        <f ca="1">IFERROR(OFFSET(ITEM_RES!$A$5,MATCH(BD145,ITEM_RES!$M$5:$M$84,0)-1,0),0)</f>
        <v>0</v>
      </c>
    </row>
    <row r="146" spans="1:55" x14ac:dyDescent="0.3">
      <c r="A146" s="107">
        <f t="shared" si="90"/>
        <v>321050112</v>
      </c>
      <c r="B146" s="106">
        <v>32</v>
      </c>
      <c r="C146" s="105">
        <f t="shared" si="86"/>
        <v>1</v>
      </c>
      <c r="D146" s="106">
        <v>5</v>
      </c>
      <c r="E146" s="106">
        <v>1</v>
      </c>
      <c r="F146" s="105">
        <f t="shared" si="80"/>
        <v>12</v>
      </c>
      <c r="H146" s="103">
        <v>1</v>
      </c>
      <c r="I146" s="105">
        <f t="shared" si="87"/>
        <v>105</v>
      </c>
      <c r="J146" s="172">
        <v>12</v>
      </c>
      <c r="L146" s="172" t="s">
        <v>1115</v>
      </c>
      <c r="M146" s="172" t="s">
        <v>1127</v>
      </c>
      <c r="N146" s="103" t="s">
        <v>380</v>
      </c>
      <c r="O146" s="103" t="s">
        <v>1077</v>
      </c>
      <c r="P146" s="172">
        <v>1</v>
      </c>
      <c r="Q146" s="172">
        <v>12</v>
      </c>
      <c r="R146" s="103" t="s">
        <v>1031</v>
      </c>
      <c r="S146" s="103">
        <v>321050101</v>
      </c>
      <c r="T146" s="104" t="str">
        <f t="shared" si="81"/>
        <v>UITexture/TechProd/321050101.png</v>
      </c>
      <c r="U146" s="172" t="s">
        <v>1142</v>
      </c>
      <c r="V146" s="104">
        <f t="shared" si="88"/>
        <v>0</v>
      </c>
      <c r="Z146" s="172">
        <v>1</v>
      </c>
      <c r="AB146" s="102">
        <f ca="1">IFERROR(OFFSET(BLDG_FUNC_PARAM!$A$5,MATCH(AC146,BLDG_FUNC_PARAM!$J$5:$J$68,0)-1,0),0)</f>
        <v>121050001</v>
      </c>
      <c r="AC146" s="103" t="s">
        <v>961</v>
      </c>
      <c r="AD146" s="102">
        <v>220</v>
      </c>
      <c r="AN146" s="102">
        <v>0</v>
      </c>
      <c r="AO146" s="102">
        <v>0</v>
      </c>
      <c r="AT146" s="104">
        <f t="shared" si="89"/>
        <v>720</v>
      </c>
      <c r="AW146" s="103">
        <v>12</v>
      </c>
      <c r="AY146" s="102">
        <v>1200</v>
      </c>
      <c r="AZ146" s="102">
        <v>120</v>
      </c>
      <c r="BA146" s="172">
        <v>0</v>
      </c>
      <c r="BC146" s="104">
        <f ca="1">IFERROR(OFFSET(ITEM_RES!$A$5,MATCH(BD146,ITEM_RES!$M$5:$M$84,0)-1,0),0)</f>
        <v>0</v>
      </c>
    </row>
    <row r="147" spans="1:55" x14ac:dyDescent="0.3">
      <c r="A147" s="107">
        <f t="shared" si="90"/>
        <v>321050113</v>
      </c>
      <c r="B147" s="106">
        <v>32</v>
      </c>
      <c r="C147" s="105">
        <f t="shared" si="86"/>
        <v>1</v>
      </c>
      <c r="D147" s="106">
        <v>5</v>
      </c>
      <c r="E147" s="106">
        <v>1</v>
      </c>
      <c r="F147" s="105">
        <f t="shared" si="80"/>
        <v>13</v>
      </c>
      <c r="H147" s="103">
        <v>1</v>
      </c>
      <c r="I147" s="105">
        <f t="shared" si="87"/>
        <v>105</v>
      </c>
      <c r="J147" s="172">
        <v>13</v>
      </c>
      <c r="L147" s="172" t="s">
        <v>1115</v>
      </c>
      <c r="M147" s="172" t="s">
        <v>1127</v>
      </c>
      <c r="N147" s="103" t="s">
        <v>380</v>
      </c>
      <c r="O147" s="103" t="s">
        <v>1077</v>
      </c>
      <c r="P147" s="172">
        <v>0</v>
      </c>
      <c r="Q147" s="172">
        <v>12</v>
      </c>
      <c r="R147" s="103" t="s">
        <v>1031</v>
      </c>
      <c r="S147" s="103">
        <v>321050101</v>
      </c>
      <c r="T147" s="104" t="str">
        <f t="shared" si="81"/>
        <v>UITexture/TechProd/321050101.png</v>
      </c>
      <c r="U147" s="172" t="s">
        <v>1142</v>
      </c>
      <c r="V147" s="104">
        <f t="shared" si="88"/>
        <v>0</v>
      </c>
      <c r="Z147" s="172">
        <v>1</v>
      </c>
      <c r="AB147" s="102">
        <f ca="1">IFERROR(OFFSET(BLDG_FUNC_PARAM!$A$5,MATCH(AC147,BLDG_FUNC_PARAM!$J$5:$J$68,0)-1,0),0)</f>
        <v>121050001</v>
      </c>
      <c r="AC147" s="103" t="s">
        <v>961</v>
      </c>
      <c r="AD147" s="102">
        <v>230</v>
      </c>
      <c r="AN147" s="102">
        <v>0</v>
      </c>
      <c r="AO147" s="102">
        <v>0</v>
      </c>
      <c r="AT147" s="104">
        <f t="shared" si="89"/>
        <v>780</v>
      </c>
      <c r="AW147" s="103">
        <v>13</v>
      </c>
      <c r="AY147" s="102">
        <v>1300</v>
      </c>
      <c r="AZ147" s="102">
        <v>130</v>
      </c>
      <c r="BA147" s="172">
        <v>0</v>
      </c>
      <c r="BC147" s="104">
        <f ca="1">IFERROR(OFFSET(ITEM_RES!$A$5,MATCH(BD147,ITEM_RES!$M$5:$M$84,0)-1,0),0)</f>
        <v>0</v>
      </c>
    </row>
    <row r="148" spans="1:55" x14ac:dyDescent="0.3">
      <c r="A148" s="107">
        <f t="shared" si="90"/>
        <v>321050114</v>
      </c>
      <c r="B148" s="106">
        <v>32</v>
      </c>
      <c r="C148" s="105">
        <f t="shared" si="86"/>
        <v>1</v>
      </c>
      <c r="D148" s="106">
        <v>5</v>
      </c>
      <c r="E148" s="106">
        <v>1</v>
      </c>
      <c r="F148" s="105">
        <f t="shared" si="80"/>
        <v>14</v>
      </c>
      <c r="H148" s="103">
        <v>1</v>
      </c>
      <c r="I148" s="105">
        <f t="shared" si="87"/>
        <v>105</v>
      </c>
      <c r="J148" s="172">
        <v>14</v>
      </c>
      <c r="L148" s="172" t="s">
        <v>1115</v>
      </c>
      <c r="M148" s="172" t="s">
        <v>1127</v>
      </c>
      <c r="N148" s="103" t="s">
        <v>380</v>
      </c>
      <c r="O148" s="103" t="s">
        <v>1077</v>
      </c>
      <c r="P148" s="172">
        <v>0</v>
      </c>
      <c r="Q148" s="172">
        <v>12</v>
      </c>
      <c r="R148" s="103" t="s">
        <v>1031</v>
      </c>
      <c r="S148" s="103">
        <v>321050101</v>
      </c>
      <c r="T148" s="104" t="str">
        <f t="shared" si="81"/>
        <v>UITexture/TechProd/321050101.png</v>
      </c>
      <c r="U148" s="172" t="s">
        <v>1142</v>
      </c>
      <c r="V148" s="104">
        <f t="shared" si="88"/>
        <v>0</v>
      </c>
      <c r="Z148" s="172">
        <v>1</v>
      </c>
      <c r="AB148" s="102">
        <f ca="1">IFERROR(OFFSET(BLDG_FUNC_PARAM!$A$5,MATCH(AC148,BLDG_FUNC_PARAM!$J$5:$J$68,0)-1,0),0)</f>
        <v>121050001</v>
      </c>
      <c r="AC148" s="103" t="s">
        <v>961</v>
      </c>
      <c r="AD148" s="102">
        <v>240</v>
      </c>
      <c r="AN148" s="102">
        <v>0</v>
      </c>
      <c r="AO148" s="102">
        <v>0</v>
      </c>
      <c r="AT148" s="104">
        <f t="shared" si="89"/>
        <v>840</v>
      </c>
      <c r="AW148" s="103">
        <v>14</v>
      </c>
      <c r="AY148" s="102">
        <v>1400</v>
      </c>
      <c r="AZ148" s="102">
        <v>140</v>
      </c>
      <c r="BA148" s="172">
        <v>0</v>
      </c>
      <c r="BC148" s="104">
        <f ca="1">IFERROR(OFFSET(ITEM_RES!$A$5,MATCH(BD148,ITEM_RES!$M$5:$M$84,0)-1,0),0)</f>
        <v>0</v>
      </c>
    </row>
    <row r="149" spans="1:55" x14ac:dyDescent="0.3">
      <c r="A149" s="107">
        <f t="shared" si="90"/>
        <v>321050115</v>
      </c>
      <c r="B149" s="106">
        <v>32</v>
      </c>
      <c r="C149" s="105">
        <f t="shared" si="86"/>
        <v>1</v>
      </c>
      <c r="D149" s="106">
        <v>5</v>
      </c>
      <c r="E149" s="106">
        <v>1</v>
      </c>
      <c r="F149" s="105">
        <f t="shared" si="80"/>
        <v>15</v>
      </c>
      <c r="H149" s="103">
        <v>1</v>
      </c>
      <c r="I149" s="105">
        <f t="shared" si="87"/>
        <v>105</v>
      </c>
      <c r="J149" s="172">
        <v>15</v>
      </c>
      <c r="L149" s="172" t="s">
        <v>1115</v>
      </c>
      <c r="M149" s="172" t="s">
        <v>1127</v>
      </c>
      <c r="N149" s="103" t="s">
        <v>380</v>
      </c>
      <c r="O149" s="103" t="s">
        <v>1077</v>
      </c>
      <c r="P149" s="172">
        <v>0</v>
      </c>
      <c r="Q149" s="172">
        <v>12</v>
      </c>
      <c r="R149" s="103" t="s">
        <v>1031</v>
      </c>
      <c r="S149" s="103">
        <v>321050101</v>
      </c>
      <c r="T149" s="104" t="str">
        <f t="shared" si="81"/>
        <v>UITexture/TechProd/321050101.png</v>
      </c>
      <c r="U149" s="172" t="s">
        <v>1142</v>
      </c>
      <c r="V149" s="104">
        <f t="shared" si="88"/>
        <v>0</v>
      </c>
      <c r="Z149" s="172">
        <v>1</v>
      </c>
      <c r="AB149" s="102">
        <f ca="1">IFERROR(OFFSET(BLDG_FUNC_PARAM!$A$5,MATCH(AC149,BLDG_FUNC_PARAM!$J$5:$J$68,0)-1,0),0)</f>
        <v>121050001</v>
      </c>
      <c r="AC149" s="103" t="s">
        <v>961</v>
      </c>
      <c r="AD149" s="102">
        <v>300</v>
      </c>
      <c r="AN149" s="102">
        <v>17</v>
      </c>
      <c r="AO149" s="102">
        <v>0</v>
      </c>
      <c r="AT149" s="104">
        <f t="shared" si="89"/>
        <v>900</v>
      </c>
      <c r="AW149" s="103">
        <v>15</v>
      </c>
      <c r="AY149" s="102">
        <v>1500</v>
      </c>
      <c r="AZ149" s="102">
        <v>150</v>
      </c>
      <c r="BA149" s="172">
        <v>0</v>
      </c>
      <c r="BC149" s="104">
        <f ca="1">IFERROR(OFFSET(ITEM_RES!$A$5,MATCH(BD149,ITEM_RES!$M$5:$M$84,0)-1,0),0)</f>
        <v>0</v>
      </c>
    </row>
    <row r="150" spans="1:55" x14ac:dyDescent="0.3">
      <c r="A150" s="107">
        <f t="shared" si="90"/>
        <v>321050116</v>
      </c>
      <c r="B150" s="106">
        <v>32</v>
      </c>
      <c r="C150" s="105">
        <f t="shared" ref="C150:C159" si="91">H150</f>
        <v>1</v>
      </c>
      <c r="D150" s="106">
        <v>5</v>
      </c>
      <c r="E150" s="106">
        <v>1</v>
      </c>
      <c r="F150" s="105">
        <f t="shared" si="80"/>
        <v>16</v>
      </c>
      <c r="H150" s="103">
        <v>1</v>
      </c>
      <c r="I150" s="105">
        <f t="shared" ref="I150:I159" si="92">C150*100+D150</f>
        <v>105</v>
      </c>
      <c r="J150" s="172">
        <v>16</v>
      </c>
      <c r="L150" s="172" t="s">
        <v>1115</v>
      </c>
      <c r="M150" s="172" t="s">
        <v>1127</v>
      </c>
      <c r="N150" s="103" t="s">
        <v>380</v>
      </c>
      <c r="O150" s="103" t="s">
        <v>1077</v>
      </c>
      <c r="P150" s="172">
        <v>0</v>
      </c>
      <c r="Q150" s="172">
        <v>12</v>
      </c>
      <c r="R150" s="103" t="s">
        <v>1031</v>
      </c>
      <c r="S150" s="103">
        <v>321050101</v>
      </c>
      <c r="T150" s="104" t="str">
        <f t="shared" si="81"/>
        <v>UITexture/TechProd/321050101.png</v>
      </c>
      <c r="U150" s="172" t="s">
        <v>1142</v>
      </c>
      <c r="V150" s="104">
        <f t="shared" ref="V150:V159" si="93">W150*1000+X150</f>
        <v>0</v>
      </c>
      <c r="Z150" s="172">
        <v>1</v>
      </c>
      <c r="AB150" s="102">
        <f ca="1">IFERROR(OFFSET(BLDG_FUNC_PARAM!$A$5,MATCH(AC150,BLDG_FUNC_PARAM!$J$5:$J$68,0)-1,0),0)</f>
        <v>121050001</v>
      </c>
      <c r="AC150" s="103" t="s">
        <v>961</v>
      </c>
      <c r="AD150" s="102">
        <v>310</v>
      </c>
      <c r="AN150" s="102">
        <v>0</v>
      </c>
      <c r="AO150" s="102">
        <v>0</v>
      </c>
      <c r="AT150" s="104">
        <f t="shared" ref="AT150:AT159" si="94">((AU150*24+AV150)*60+AW150)*60+AX150</f>
        <v>960</v>
      </c>
      <c r="AW150" s="103">
        <v>16</v>
      </c>
      <c r="AY150" s="102">
        <v>1600</v>
      </c>
      <c r="AZ150" s="102">
        <v>160</v>
      </c>
      <c r="BA150" s="172">
        <v>0</v>
      </c>
      <c r="BC150" s="104">
        <f ca="1">IFERROR(OFFSET(ITEM_RES!$A$5,MATCH(BD150,ITEM_RES!$M$5:$M$84,0)-1,0),0)</f>
        <v>0</v>
      </c>
    </row>
    <row r="151" spans="1:55" x14ac:dyDescent="0.3">
      <c r="A151" s="107">
        <f t="shared" si="90"/>
        <v>321050117</v>
      </c>
      <c r="B151" s="106">
        <v>32</v>
      </c>
      <c r="C151" s="105">
        <f t="shared" si="91"/>
        <v>1</v>
      </c>
      <c r="D151" s="106">
        <v>5</v>
      </c>
      <c r="E151" s="106">
        <v>1</v>
      </c>
      <c r="F151" s="105">
        <f t="shared" si="80"/>
        <v>17</v>
      </c>
      <c r="H151" s="103">
        <v>1</v>
      </c>
      <c r="I151" s="105">
        <f t="shared" si="92"/>
        <v>105</v>
      </c>
      <c r="J151" s="172">
        <v>17</v>
      </c>
      <c r="L151" s="172" t="s">
        <v>1115</v>
      </c>
      <c r="M151" s="172" t="s">
        <v>1127</v>
      </c>
      <c r="N151" s="103" t="s">
        <v>380</v>
      </c>
      <c r="O151" s="103" t="s">
        <v>1077</v>
      </c>
      <c r="P151" s="172">
        <v>0</v>
      </c>
      <c r="Q151" s="172">
        <v>12</v>
      </c>
      <c r="R151" s="103" t="s">
        <v>1031</v>
      </c>
      <c r="S151" s="103">
        <v>321050101</v>
      </c>
      <c r="T151" s="104" t="str">
        <f t="shared" si="81"/>
        <v>UITexture/TechProd/321050101.png</v>
      </c>
      <c r="U151" s="172" t="s">
        <v>1142</v>
      </c>
      <c r="V151" s="104">
        <f t="shared" si="93"/>
        <v>0</v>
      </c>
      <c r="Z151" s="172">
        <v>1</v>
      </c>
      <c r="AB151" s="102">
        <f ca="1">IFERROR(OFFSET(BLDG_FUNC_PARAM!$A$5,MATCH(AC151,BLDG_FUNC_PARAM!$J$5:$J$68,0)-1,0),0)</f>
        <v>121050001</v>
      </c>
      <c r="AC151" s="103" t="s">
        <v>961</v>
      </c>
      <c r="AD151" s="102">
        <v>320</v>
      </c>
      <c r="AN151" s="102">
        <v>0</v>
      </c>
      <c r="AO151" s="102">
        <v>0</v>
      </c>
      <c r="AT151" s="104">
        <f t="shared" si="94"/>
        <v>1020</v>
      </c>
      <c r="AW151" s="103">
        <v>17</v>
      </c>
      <c r="AY151" s="102">
        <v>1700</v>
      </c>
      <c r="AZ151" s="102">
        <v>170</v>
      </c>
      <c r="BA151" s="172">
        <v>0</v>
      </c>
      <c r="BC151" s="104">
        <f ca="1">IFERROR(OFFSET(ITEM_RES!$A$5,MATCH(BD151,ITEM_RES!$M$5:$M$84,0)-1,0),0)</f>
        <v>0</v>
      </c>
    </row>
    <row r="152" spans="1:55" x14ac:dyDescent="0.3">
      <c r="A152" s="107">
        <f t="shared" ref="A152:A161" si="95">B152*10000000+C152*1000000+D152*10000+E152*100+F152</f>
        <v>321050118</v>
      </c>
      <c r="B152" s="106">
        <v>32</v>
      </c>
      <c r="C152" s="105">
        <f t="shared" si="91"/>
        <v>1</v>
      </c>
      <c r="D152" s="106">
        <v>5</v>
      </c>
      <c r="E152" s="106">
        <v>1</v>
      </c>
      <c r="F152" s="105">
        <f t="shared" si="80"/>
        <v>18</v>
      </c>
      <c r="H152" s="103">
        <v>1</v>
      </c>
      <c r="I152" s="105">
        <f t="shared" si="92"/>
        <v>105</v>
      </c>
      <c r="J152" s="172">
        <v>18</v>
      </c>
      <c r="L152" s="172" t="s">
        <v>1115</v>
      </c>
      <c r="M152" s="172" t="s">
        <v>1127</v>
      </c>
      <c r="N152" s="103" t="s">
        <v>380</v>
      </c>
      <c r="O152" s="103" t="s">
        <v>1077</v>
      </c>
      <c r="P152" s="172">
        <v>0</v>
      </c>
      <c r="Q152" s="172">
        <v>12</v>
      </c>
      <c r="R152" s="103" t="s">
        <v>1031</v>
      </c>
      <c r="S152" s="103">
        <v>321050101</v>
      </c>
      <c r="T152" s="104" t="str">
        <f t="shared" si="81"/>
        <v>UITexture/TechProd/321050101.png</v>
      </c>
      <c r="U152" s="172" t="s">
        <v>1142</v>
      </c>
      <c r="V152" s="104">
        <f t="shared" si="93"/>
        <v>0</v>
      </c>
      <c r="Z152" s="172">
        <v>1</v>
      </c>
      <c r="AB152" s="102">
        <f ca="1">IFERROR(OFFSET(BLDG_FUNC_PARAM!$A$5,MATCH(AC152,BLDG_FUNC_PARAM!$J$5:$J$68,0)-1,0),0)</f>
        <v>121050001</v>
      </c>
      <c r="AC152" s="103" t="s">
        <v>961</v>
      </c>
      <c r="AD152" s="102">
        <v>330</v>
      </c>
      <c r="AN152" s="102">
        <v>0</v>
      </c>
      <c r="AO152" s="102">
        <v>0</v>
      </c>
      <c r="AT152" s="104">
        <f t="shared" si="94"/>
        <v>1080</v>
      </c>
      <c r="AW152" s="103">
        <v>18</v>
      </c>
      <c r="AY152" s="102">
        <v>1800</v>
      </c>
      <c r="AZ152" s="102">
        <v>180</v>
      </c>
      <c r="BA152" s="172">
        <v>0</v>
      </c>
      <c r="BC152" s="104">
        <f ca="1">IFERROR(OFFSET(ITEM_RES!$A$5,MATCH(BD152,ITEM_RES!$M$5:$M$84,0)-1,0),0)</f>
        <v>0</v>
      </c>
    </row>
    <row r="153" spans="1:55" x14ac:dyDescent="0.3">
      <c r="A153" s="107">
        <f t="shared" si="95"/>
        <v>321050119</v>
      </c>
      <c r="B153" s="106">
        <v>32</v>
      </c>
      <c r="C153" s="105">
        <f t="shared" si="91"/>
        <v>1</v>
      </c>
      <c r="D153" s="106">
        <v>5</v>
      </c>
      <c r="E153" s="106">
        <v>1</v>
      </c>
      <c r="F153" s="105">
        <f t="shared" si="80"/>
        <v>19</v>
      </c>
      <c r="H153" s="103">
        <v>1</v>
      </c>
      <c r="I153" s="105">
        <f t="shared" si="92"/>
        <v>105</v>
      </c>
      <c r="J153" s="172">
        <v>19</v>
      </c>
      <c r="L153" s="172" t="s">
        <v>1115</v>
      </c>
      <c r="M153" s="172" t="s">
        <v>1127</v>
      </c>
      <c r="N153" s="103" t="s">
        <v>380</v>
      </c>
      <c r="O153" s="103" t="s">
        <v>1077</v>
      </c>
      <c r="P153" s="172">
        <v>0</v>
      </c>
      <c r="Q153" s="172">
        <v>12</v>
      </c>
      <c r="R153" s="103" t="s">
        <v>1031</v>
      </c>
      <c r="S153" s="103">
        <v>321050101</v>
      </c>
      <c r="T153" s="104" t="str">
        <f t="shared" si="81"/>
        <v>UITexture/TechProd/321050101.png</v>
      </c>
      <c r="U153" s="172" t="s">
        <v>1142</v>
      </c>
      <c r="V153" s="104">
        <f t="shared" si="93"/>
        <v>0</v>
      </c>
      <c r="Z153" s="172">
        <v>1</v>
      </c>
      <c r="AB153" s="102">
        <f ca="1">IFERROR(OFFSET(BLDG_FUNC_PARAM!$A$5,MATCH(AC153,BLDG_FUNC_PARAM!$J$5:$J$68,0)-1,0),0)</f>
        <v>121050001</v>
      </c>
      <c r="AC153" s="103" t="s">
        <v>961</v>
      </c>
      <c r="AD153" s="102">
        <v>340</v>
      </c>
      <c r="AN153" s="102">
        <v>0</v>
      </c>
      <c r="AO153" s="102">
        <v>0</v>
      </c>
      <c r="AT153" s="104">
        <f t="shared" si="94"/>
        <v>1140</v>
      </c>
      <c r="AW153" s="103">
        <v>19</v>
      </c>
      <c r="AY153" s="102">
        <v>1900</v>
      </c>
      <c r="AZ153" s="102">
        <v>190</v>
      </c>
      <c r="BA153" s="172">
        <v>0</v>
      </c>
      <c r="BC153" s="104">
        <f ca="1">IFERROR(OFFSET(ITEM_RES!$A$5,MATCH(BD153,ITEM_RES!$M$5:$M$84,0)-1,0),0)</f>
        <v>0</v>
      </c>
    </row>
    <row r="154" spans="1:55" x14ac:dyDescent="0.3">
      <c r="A154" s="107">
        <f t="shared" si="95"/>
        <v>321050120</v>
      </c>
      <c r="B154" s="106">
        <v>32</v>
      </c>
      <c r="C154" s="105">
        <f t="shared" si="91"/>
        <v>1</v>
      </c>
      <c r="D154" s="106">
        <v>5</v>
      </c>
      <c r="E154" s="106">
        <v>1</v>
      </c>
      <c r="F154" s="105">
        <f t="shared" si="80"/>
        <v>20</v>
      </c>
      <c r="H154" s="103">
        <v>1</v>
      </c>
      <c r="I154" s="105">
        <f t="shared" si="92"/>
        <v>105</v>
      </c>
      <c r="J154" s="172">
        <v>20</v>
      </c>
      <c r="L154" s="172" t="s">
        <v>1115</v>
      </c>
      <c r="M154" s="172" t="s">
        <v>1127</v>
      </c>
      <c r="N154" s="103" t="s">
        <v>380</v>
      </c>
      <c r="O154" s="103" t="s">
        <v>1077</v>
      </c>
      <c r="P154" s="172">
        <v>0</v>
      </c>
      <c r="Q154" s="172">
        <v>12</v>
      </c>
      <c r="R154" s="103" t="s">
        <v>1031</v>
      </c>
      <c r="S154" s="103">
        <v>321050101</v>
      </c>
      <c r="T154" s="104" t="str">
        <f t="shared" si="81"/>
        <v>UITexture/TechProd/321050101.png</v>
      </c>
      <c r="U154" s="172" t="s">
        <v>1142</v>
      </c>
      <c r="V154" s="104">
        <f t="shared" si="93"/>
        <v>0</v>
      </c>
      <c r="Z154" s="172">
        <v>1</v>
      </c>
      <c r="AB154" s="102">
        <f ca="1">IFERROR(OFFSET(BLDG_FUNC_PARAM!$A$5,MATCH(AC154,BLDG_FUNC_PARAM!$J$5:$J$68,0)-1,0),0)</f>
        <v>121050001</v>
      </c>
      <c r="AC154" s="103" t="s">
        <v>961</v>
      </c>
      <c r="AD154" s="102">
        <v>400</v>
      </c>
      <c r="AN154" s="102">
        <v>21</v>
      </c>
      <c r="AO154" s="102">
        <v>0</v>
      </c>
      <c r="AT154" s="104">
        <f t="shared" si="94"/>
        <v>1200</v>
      </c>
      <c r="AW154" s="103">
        <v>20</v>
      </c>
      <c r="AY154" s="102">
        <v>2000</v>
      </c>
      <c r="AZ154" s="102">
        <v>200</v>
      </c>
      <c r="BA154" s="172">
        <v>0</v>
      </c>
      <c r="BC154" s="104">
        <f ca="1">IFERROR(OFFSET(ITEM_RES!$A$5,MATCH(BD154,ITEM_RES!$M$5:$M$84,0)-1,0),0)</f>
        <v>0</v>
      </c>
    </row>
    <row r="155" spans="1:55" x14ac:dyDescent="0.3">
      <c r="A155" s="107">
        <f t="shared" si="95"/>
        <v>321050121</v>
      </c>
      <c r="B155" s="106">
        <v>32</v>
      </c>
      <c r="C155" s="105">
        <f t="shared" si="91"/>
        <v>1</v>
      </c>
      <c r="D155" s="106">
        <v>5</v>
      </c>
      <c r="E155" s="106">
        <v>1</v>
      </c>
      <c r="F155" s="105">
        <f t="shared" si="80"/>
        <v>21</v>
      </c>
      <c r="H155" s="103">
        <v>1</v>
      </c>
      <c r="I155" s="105">
        <f t="shared" si="92"/>
        <v>105</v>
      </c>
      <c r="J155" s="172">
        <v>21</v>
      </c>
      <c r="L155" s="172" t="s">
        <v>1115</v>
      </c>
      <c r="M155" s="172" t="s">
        <v>1127</v>
      </c>
      <c r="N155" s="103" t="s">
        <v>380</v>
      </c>
      <c r="O155" s="103" t="s">
        <v>1077</v>
      </c>
      <c r="P155" s="172">
        <v>0</v>
      </c>
      <c r="Q155" s="172">
        <v>12</v>
      </c>
      <c r="R155" s="103" t="s">
        <v>1031</v>
      </c>
      <c r="S155" s="103">
        <v>321050101</v>
      </c>
      <c r="T155" s="104" t="str">
        <f t="shared" si="81"/>
        <v>UITexture/TechProd/321050101.png</v>
      </c>
      <c r="U155" s="172" t="s">
        <v>1142</v>
      </c>
      <c r="V155" s="104">
        <f t="shared" si="93"/>
        <v>0</v>
      </c>
      <c r="Z155" s="172">
        <v>1</v>
      </c>
      <c r="AB155" s="102">
        <f ca="1">IFERROR(OFFSET(BLDG_FUNC_PARAM!$A$5,MATCH(AC155,BLDG_FUNC_PARAM!$J$5:$J$68,0)-1,0),0)</f>
        <v>121050001</v>
      </c>
      <c r="AC155" s="103" t="s">
        <v>961</v>
      </c>
      <c r="AD155" s="102">
        <v>410</v>
      </c>
      <c r="AN155" s="102">
        <v>0</v>
      </c>
      <c r="AO155" s="102">
        <v>0</v>
      </c>
      <c r="AT155" s="104">
        <f t="shared" si="94"/>
        <v>1260</v>
      </c>
      <c r="AW155" s="103">
        <v>21</v>
      </c>
      <c r="AY155" s="102">
        <v>2100</v>
      </c>
      <c r="AZ155" s="102">
        <v>210</v>
      </c>
      <c r="BA155" s="172">
        <v>0</v>
      </c>
      <c r="BC155" s="104">
        <f ca="1">IFERROR(OFFSET(ITEM_RES!$A$5,MATCH(BD155,ITEM_RES!$M$5:$M$84,0)-1,0),0)</f>
        <v>0</v>
      </c>
    </row>
    <row r="156" spans="1:55" x14ac:dyDescent="0.3">
      <c r="A156" s="107">
        <f t="shared" si="95"/>
        <v>321050122</v>
      </c>
      <c r="B156" s="106">
        <v>32</v>
      </c>
      <c r="C156" s="105">
        <f t="shared" si="91"/>
        <v>1</v>
      </c>
      <c r="D156" s="106">
        <v>5</v>
      </c>
      <c r="E156" s="106">
        <v>1</v>
      </c>
      <c r="F156" s="105">
        <f t="shared" si="80"/>
        <v>22</v>
      </c>
      <c r="H156" s="103">
        <v>1</v>
      </c>
      <c r="I156" s="105">
        <f t="shared" si="92"/>
        <v>105</v>
      </c>
      <c r="J156" s="172">
        <v>22</v>
      </c>
      <c r="L156" s="172" t="s">
        <v>1115</v>
      </c>
      <c r="M156" s="172" t="s">
        <v>1127</v>
      </c>
      <c r="N156" s="103" t="s">
        <v>380</v>
      </c>
      <c r="O156" s="103" t="s">
        <v>1077</v>
      </c>
      <c r="P156" s="172">
        <v>0</v>
      </c>
      <c r="Q156" s="172">
        <v>12</v>
      </c>
      <c r="R156" s="103" t="s">
        <v>1031</v>
      </c>
      <c r="S156" s="103">
        <v>321050101</v>
      </c>
      <c r="T156" s="104" t="str">
        <f t="shared" si="81"/>
        <v>UITexture/TechProd/321050101.png</v>
      </c>
      <c r="U156" s="172" t="s">
        <v>1142</v>
      </c>
      <c r="V156" s="104">
        <f t="shared" si="93"/>
        <v>0</v>
      </c>
      <c r="Z156" s="172">
        <v>1</v>
      </c>
      <c r="AB156" s="102">
        <f ca="1">IFERROR(OFFSET(BLDG_FUNC_PARAM!$A$5,MATCH(AC156,BLDG_FUNC_PARAM!$J$5:$J$68,0)-1,0),0)</f>
        <v>121050001</v>
      </c>
      <c r="AC156" s="103" t="s">
        <v>961</v>
      </c>
      <c r="AD156" s="102">
        <v>420</v>
      </c>
      <c r="AN156" s="102">
        <v>0</v>
      </c>
      <c r="AO156" s="102">
        <v>0</v>
      </c>
      <c r="AT156" s="104">
        <f t="shared" si="94"/>
        <v>1320</v>
      </c>
      <c r="AW156" s="103">
        <v>22</v>
      </c>
      <c r="AY156" s="102">
        <v>2200</v>
      </c>
      <c r="AZ156" s="102">
        <v>220</v>
      </c>
      <c r="BA156" s="172">
        <v>0</v>
      </c>
      <c r="BC156" s="104">
        <f ca="1">IFERROR(OFFSET(ITEM_RES!$A$5,MATCH(BD156,ITEM_RES!$M$5:$M$84,0)-1,0),0)</f>
        <v>0</v>
      </c>
    </row>
    <row r="157" spans="1:55" x14ac:dyDescent="0.3">
      <c r="A157" s="107">
        <f t="shared" si="95"/>
        <v>321050123</v>
      </c>
      <c r="B157" s="106">
        <v>32</v>
      </c>
      <c r="C157" s="105">
        <f t="shared" si="91"/>
        <v>1</v>
      </c>
      <c r="D157" s="106">
        <v>5</v>
      </c>
      <c r="E157" s="106">
        <v>1</v>
      </c>
      <c r="F157" s="105">
        <f t="shared" si="80"/>
        <v>23</v>
      </c>
      <c r="H157" s="103">
        <v>1</v>
      </c>
      <c r="I157" s="105">
        <f t="shared" si="92"/>
        <v>105</v>
      </c>
      <c r="J157" s="172">
        <v>23</v>
      </c>
      <c r="L157" s="172" t="s">
        <v>1115</v>
      </c>
      <c r="M157" s="172" t="s">
        <v>1127</v>
      </c>
      <c r="N157" s="103" t="s">
        <v>380</v>
      </c>
      <c r="O157" s="103" t="s">
        <v>1077</v>
      </c>
      <c r="P157" s="172">
        <v>0</v>
      </c>
      <c r="Q157" s="172">
        <v>12</v>
      </c>
      <c r="R157" s="103" t="s">
        <v>1031</v>
      </c>
      <c r="S157" s="103">
        <v>321050101</v>
      </c>
      <c r="T157" s="104" t="str">
        <f t="shared" si="81"/>
        <v>UITexture/TechProd/321050101.png</v>
      </c>
      <c r="U157" s="172" t="s">
        <v>1142</v>
      </c>
      <c r="V157" s="104">
        <f t="shared" si="93"/>
        <v>0</v>
      </c>
      <c r="Z157" s="172">
        <v>1</v>
      </c>
      <c r="AB157" s="102">
        <f ca="1">IFERROR(OFFSET(BLDG_FUNC_PARAM!$A$5,MATCH(AC157,BLDG_FUNC_PARAM!$J$5:$J$68,0)-1,0),0)</f>
        <v>121050001</v>
      </c>
      <c r="AC157" s="103" t="s">
        <v>961</v>
      </c>
      <c r="AD157" s="102">
        <v>430</v>
      </c>
      <c r="AN157" s="102">
        <v>0</v>
      </c>
      <c r="AO157" s="102">
        <v>0</v>
      </c>
      <c r="AT157" s="104">
        <f t="shared" si="94"/>
        <v>1380</v>
      </c>
      <c r="AW157" s="103">
        <v>23</v>
      </c>
      <c r="AY157" s="102">
        <v>2300</v>
      </c>
      <c r="AZ157" s="102">
        <v>230</v>
      </c>
      <c r="BA157" s="172">
        <v>0</v>
      </c>
      <c r="BC157" s="104">
        <f ca="1">IFERROR(OFFSET(ITEM_RES!$A$5,MATCH(BD157,ITEM_RES!$M$5:$M$84,0)-1,0),0)</f>
        <v>0</v>
      </c>
    </row>
    <row r="158" spans="1:55" x14ac:dyDescent="0.3">
      <c r="A158" s="107">
        <f t="shared" si="95"/>
        <v>321050124</v>
      </c>
      <c r="B158" s="106">
        <v>32</v>
      </c>
      <c r="C158" s="105">
        <f t="shared" si="91"/>
        <v>1</v>
      </c>
      <c r="D158" s="106">
        <v>5</v>
      </c>
      <c r="E158" s="106">
        <v>1</v>
      </c>
      <c r="F158" s="105">
        <f t="shared" si="80"/>
        <v>24</v>
      </c>
      <c r="H158" s="103">
        <v>1</v>
      </c>
      <c r="I158" s="105">
        <f t="shared" si="92"/>
        <v>105</v>
      </c>
      <c r="J158" s="172">
        <v>24</v>
      </c>
      <c r="L158" s="172" t="s">
        <v>1115</v>
      </c>
      <c r="M158" s="172" t="s">
        <v>1127</v>
      </c>
      <c r="N158" s="103" t="s">
        <v>380</v>
      </c>
      <c r="O158" s="103" t="s">
        <v>1077</v>
      </c>
      <c r="P158" s="172">
        <v>0</v>
      </c>
      <c r="Q158" s="172">
        <v>12</v>
      </c>
      <c r="R158" s="103" t="s">
        <v>1031</v>
      </c>
      <c r="S158" s="103">
        <v>321050101</v>
      </c>
      <c r="T158" s="104" t="str">
        <f t="shared" si="81"/>
        <v>UITexture/TechProd/321050101.png</v>
      </c>
      <c r="U158" s="172" t="s">
        <v>1142</v>
      </c>
      <c r="V158" s="104">
        <f t="shared" si="93"/>
        <v>0</v>
      </c>
      <c r="Z158" s="172">
        <v>1</v>
      </c>
      <c r="AB158" s="102">
        <f ca="1">IFERROR(OFFSET(BLDG_FUNC_PARAM!$A$5,MATCH(AC158,BLDG_FUNC_PARAM!$J$5:$J$68,0)-1,0),0)</f>
        <v>121050001</v>
      </c>
      <c r="AC158" s="103" t="s">
        <v>961</v>
      </c>
      <c r="AD158" s="102">
        <v>440</v>
      </c>
      <c r="AN158" s="102">
        <v>0</v>
      </c>
      <c r="AO158" s="102">
        <v>0</v>
      </c>
      <c r="AT158" s="104">
        <f t="shared" si="94"/>
        <v>1440</v>
      </c>
      <c r="AW158" s="103">
        <v>24</v>
      </c>
      <c r="AY158" s="102">
        <v>2400</v>
      </c>
      <c r="AZ158" s="102">
        <v>240</v>
      </c>
      <c r="BA158" s="172">
        <v>0</v>
      </c>
      <c r="BC158" s="104">
        <f ca="1">IFERROR(OFFSET(ITEM_RES!$A$5,MATCH(BD158,ITEM_RES!$M$5:$M$84,0)-1,0),0)</f>
        <v>0</v>
      </c>
    </row>
    <row r="159" spans="1:55" x14ac:dyDescent="0.3">
      <c r="A159" s="107">
        <f t="shared" si="95"/>
        <v>321050125</v>
      </c>
      <c r="B159" s="106">
        <v>32</v>
      </c>
      <c r="C159" s="105">
        <f t="shared" si="91"/>
        <v>1</v>
      </c>
      <c r="D159" s="106">
        <v>5</v>
      </c>
      <c r="E159" s="106">
        <v>1</v>
      </c>
      <c r="F159" s="105">
        <f t="shared" si="80"/>
        <v>25</v>
      </c>
      <c r="H159" s="103">
        <v>1</v>
      </c>
      <c r="I159" s="105">
        <f t="shared" si="92"/>
        <v>105</v>
      </c>
      <c r="J159" s="172">
        <v>25</v>
      </c>
      <c r="L159" s="172" t="s">
        <v>1115</v>
      </c>
      <c r="M159" s="172" t="s">
        <v>1127</v>
      </c>
      <c r="N159" s="103" t="s">
        <v>380</v>
      </c>
      <c r="O159" s="103" t="s">
        <v>1077</v>
      </c>
      <c r="P159" s="172">
        <v>0</v>
      </c>
      <c r="Q159" s="172">
        <v>12</v>
      </c>
      <c r="R159" s="103" t="s">
        <v>1031</v>
      </c>
      <c r="S159" s="103">
        <v>321050101</v>
      </c>
      <c r="T159" s="104" t="str">
        <f t="shared" si="81"/>
        <v>UITexture/TechProd/321050101.png</v>
      </c>
      <c r="U159" s="172" t="s">
        <v>1142</v>
      </c>
      <c r="V159" s="104">
        <f t="shared" si="93"/>
        <v>0</v>
      </c>
      <c r="Z159" s="172">
        <v>1</v>
      </c>
      <c r="AB159" s="102">
        <f ca="1">IFERROR(OFFSET(BLDG_FUNC_PARAM!$A$5,MATCH(AC159,BLDG_FUNC_PARAM!$J$5:$J$68,0)-1,0),0)</f>
        <v>121050001</v>
      </c>
      <c r="AC159" s="103" t="s">
        <v>961</v>
      </c>
      <c r="AD159" s="102">
        <v>500</v>
      </c>
      <c r="AN159" s="102">
        <v>26</v>
      </c>
      <c r="AO159" s="102">
        <v>0</v>
      </c>
      <c r="AT159" s="104">
        <f t="shared" si="94"/>
        <v>1500</v>
      </c>
      <c r="AW159" s="103">
        <v>25</v>
      </c>
      <c r="AY159" s="102">
        <v>2500</v>
      </c>
      <c r="AZ159" s="102">
        <v>250</v>
      </c>
      <c r="BA159" s="172">
        <v>0</v>
      </c>
      <c r="BC159" s="104">
        <f ca="1">IFERROR(OFFSET(ITEM_RES!$A$5,MATCH(BD159,ITEM_RES!$M$5:$M$84,0)-1,0),0)</f>
        <v>0</v>
      </c>
    </row>
    <row r="160" spans="1:55" x14ac:dyDescent="0.3">
      <c r="A160" s="107">
        <f t="shared" si="95"/>
        <v>321050126</v>
      </c>
      <c r="B160" s="106">
        <v>32</v>
      </c>
      <c r="C160" s="105">
        <f t="shared" ref="C160:C164" si="96">H160</f>
        <v>1</v>
      </c>
      <c r="D160" s="106">
        <v>5</v>
      </c>
      <c r="E160" s="106">
        <v>1</v>
      </c>
      <c r="F160" s="105">
        <f t="shared" si="80"/>
        <v>26</v>
      </c>
      <c r="H160" s="103">
        <v>1</v>
      </c>
      <c r="I160" s="105">
        <f t="shared" ref="I160:I164" si="97">C160*100+D160</f>
        <v>105</v>
      </c>
      <c r="J160" s="172">
        <v>26</v>
      </c>
      <c r="L160" s="172" t="s">
        <v>1115</v>
      </c>
      <c r="M160" s="172" t="s">
        <v>1127</v>
      </c>
      <c r="N160" s="103" t="s">
        <v>380</v>
      </c>
      <c r="O160" s="103" t="s">
        <v>1077</v>
      </c>
      <c r="P160" s="172">
        <v>0</v>
      </c>
      <c r="Q160" s="172">
        <v>12</v>
      </c>
      <c r="R160" s="103" t="s">
        <v>1031</v>
      </c>
      <c r="S160" s="103">
        <v>321050101</v>
      </c>
      <c r="T160" s="104" t="str">
        <f t="shared" si="81"/>
        <v>UITexture/TechProd/321050101.png</v>
      </c>
      <c r="U160" s="172" t="s">
        <v>1142</v>
      </c>
      <c r="V160" s="104">
        <f t="shared" ref="V160:V164" si="98">W160*1000+X160</f>
        <v>0</v>
      </c>
      <c r="Z160" s="172">
        <v>1</v>
      </c>
      <c r="AB160" s="102">
        <f ca="1">IFERROR(OFFSET(BLDG_FUNC_PARAM!$A$5,MATCH(AC160,BLDG_FUNC_PARAM!$J$5:$J$68,0)-1,0),0)</f>
        <v>121050001</v>
      </c>
      <c r="AC160" s="103" t="s">
        <v>961</v>
      </c>
      <c r="AD160" s="102">
        <v>510</v>
      </c>
      <c r="AN160" s="102">
        <v>0</v>
      </c>
      <c r="AO160" s="102">
        <v>0</v>
      </c>
      <c r="AT160" s="104">
        <f t="shared" ref="AT160:AT164" si="99">((AU160*24+AV160)*60+AW160)*60+AX160</f>
        <v>1560</v>
      </c>
      <c r="AW160" s="103">
        <v>26</v>
      </c>
      <c r="AY160" s="102">
        <v>2600</v>
      </c>
      <c r="AZ160" s="102">
        <v>260</v>
      </c>
      <c r="BA160" s="172">
        <v>0</v>
      </c>
      <c r="BC160" s="104">
        <f ca="1">IFERROR(OFFSET(ITEM_RES!$A$5,MATCH(BD160,ITEM_RES!$M$5:$M$84,0)-1,0),0)</f>
        <v>0</v>
      </c>
    </row>
    <row r="161" spans="1:55" x14ac:dyDescent="0.3">
      <c r="A161" s="107">
        <f t="shared" si="95"/>
        <v>321050127</v>
      </c>
      <c r="B161" s="106">
        <v>32</v>
      </c>
      <c r="C161" s="105">
        <f t="shared" si="96"/>
        <v>1</v>
      </c>
      <c r="D161" s="106">
        <v>5</v>
      </c>
      <c r="E161" s="106">
        <v>1</v>
      </c>
      <c r="F161" s="105">
        <f t="shared" si="80"/>
        <v>27</v>
      </c>
      <c r="H161" s="103">
        <v>1</v>
      </c>
      <c r="I161" s="105">
        <f t="shared" si="97"/>
        <v>105</v>
      </c>
      <c r="J161" s="172">
        <v>27</v>
      </c>
      <c r="L161" s="172" t="s">
        <v>1115</v>
      </c>
      <c r="M161" s="172" t="s">
        <v>1127</v>
      </c>
      <c r="N161" s="103" t="s">
        <v>380</v>
      </c>
      <c r="O161" s="103" t="s">
        <v>1077</v>
      </c>
      <c r="P161" s="172">
        <v>0</v>
      </c>
      <c r="Q161" s="172">
        <v>12</v>
      </c>
      <c r="R161" s="103" t="s">
        <v>1031</v>
      </c>
      <c r="S161" s="103">
        <v>321050101</v>
      </c>
      <c r="T161" s="104" t="str">
        <f t="shared" si="81"/>
        <v>UITexture/TechProd/321050101.png</v>
      </c>
      <c r="U161" s="172" t="s">
        <v>1142</v>
      </c>
      <c r="V161" s="104">
        <f t="shared" si="98"/>
        <v>0</v>
      </c>
      <c r="Z161" s="172">
        <v>1</v>
      </c>
      <c r="AB161" s="102">
        <f ca="1">IFERROR(OFFSET(BLDG_FUNC_PARAM!$A$5,MATCH(AC161,BLDG_FUNC_PARAM!$J$5:$J$68,0)-1,0),0)</f>
        <v>121050001</v>
      </c>
      <c r="AC161" s="103" t="s">
        <v>961</v>
      </c>
      <c r="AD161" s="102">
        <v>520</v>
      </c>
      <c r="AN161" s="102">
        <v>0</v>
      </c>
      <c r="AO161" s="102">
        <v>0</v>
      </c>
      <c r="AT161" s="104">
        <f t="shared" si="99"/>
        <v>1620</v>
      </c>
      <c r="AW161" s="103">
        <v>27</v>
      </c>
      <c r="AY161" s="102">
        <v>2700</v>
      </c>
      <c r="AZ161" s="102">
        <v>270</v>
      </c>
      <c r="BA161" s="172">
        <v>0</v>
      </c>
      <c r="BC161" s="104">
        <f ca="1">IFERROR(OFFSET(ITEM_RES!$A$5,MATCH(BD161,ITEM_RES!$M$5:$M$84,0)-1,0),0)</f>
        <v>0</v>
      </c>
    </row>
    <row r="162" spans="1:55" x14ac:dyDescent="0.3">
      <c r="A162" s="107">
        <f t="shared" ref="A162:A164" si="100">B162*10000000+C162*1000000+D162*10000+E162*100+F162</f>
        <v>321050128</v>
      </c>
      <c r="B162" s="106">
        <v>32</v>
      </c>
      <c r="C162" s="105">
        <f t="shared" si="96"/>
        <v>1</v>
      </c>
      <c r="D162" s="106">
        <v>5</v>
      </c>
      <c r="E162" s="106">
        <v>1</v>
      </c>
      <c r="F162" s="105">
        <f t="shared" si="80"/>
        <v>28</v>
      </c>
      <c r="H162" s="103">
        <v>1</v>
      </c>
      <c r="I162" s="105">
        <f t="shared" si="97"/>
        <v>105</v>
      </c>
      <c r="J162" s="172">
        <v>28</v>
      </c>
      <c r="L162" s="172" t="s">
        <v>1115</v>
      </c>
      <c r="M162" s="172" t="s">
        <v>1127</v>
      </c>
      <c r="N162" s="103" t="s">
        <v>380</v>
      </c>
      <c r="O162" s="103" t="s">
        <v>1077</v>
      </c>
      <c r="P162" s="172">
        <v>0</v>
      </c>
      <c r="Q162" s="172">
        <v>12</v>
      </c>
      <c r="R162" s="103" t="s">
        <v>1031</v>
      </c>
      <c r="S162" s="103">
        <v>321050101</v>
      </c>
      <c r="T162" s="104" t="str">
        <f t="shared" si="81"/>
        <v>UITexture/TechProd/321050101.png</v>
      </c>
      <c r="U162" s="172" t="s">
        <v>1142</v>
      </c>
      <c r="V162" s="104">
        <f t="shared" si="98"/>
        <v>0</v>
      </c>
      <c r="Z162" s="172">
        <v>1</v>
      </c>
      <c r="AB162" s="102">
        <f ca="1">IFERROR(OFFSET(BLDG_FUNC_PARAM!$A$5,MATCH(AC162,BLDG_FUNC_PARAM!$J$5:$J$68,0)-1,0),0)</f>
        <v>121050001</v>
      </c>
      <c r="AC162" s="103" t="s">
        <v>961</v>
      </c>
      <c r="AD162" s="102">
        <v>530</v>
      </c>
      <c r="AN162" s="102">
        <v>0</v>
      </c>
      <c r="AO162" s="102">
        <v>0</v>
      </c>
      <c r="AT162" s="104">
        <f t="shared" si="99"/>
        <v>1680</v>
      </c>
      <c r="AW162" s="103">
        <v>28</v>
      </c>
      <c r="AY162" s="102">
        <v>2800</v>
      </c>
      <c r="AZ162" s="102">
        <v>280</v>
      </c>
      <c r="BA162" s="172">
        <v>0</v>
      </c>
      <c r="BC162" s="104">
        <f ca="1">IFERROR(OFFSET(ITEM_RES!$A$5,MATCH(BD162,ITEM_RES!$M$5:$M$84,0)-1,0),0)</f>
        <v>0</v>
      </c>
    </row>
    <row r="163" spans="1:55" x14ac:dyDescent="0.3">
      <c r="A163" s="107">
        <f t="shared" si="100"/>
        <v>321050129</v>
      </c>
      <c r="B163" s="106">
        <v>32</v>
      </c>
      <c r="C163" s="105">
        <f t="shared" si="96"/>
        <v>1</v>
      </c>
      <c r="D163" s="106">
        <v>5</v>
      </c>
      <c r="E163" s="106">
        <v>1</v>
      </c>
      <c r="F163" s="105">
        <f t="shared" si="80"/>
        <v>29</v>
      </c>
      <c r="H163" s="103">
        <v>1</v>
      </c>
      <c r="I163" s="105">
        <f t="shared" si="97"/>
        <v>105</v>
      </c>
      <c r="J163" s="172">
        <v>29</v>
      </c>
      <c r="L163" s="172" t="s">
        <v>1115</v>
      </c>
      <c r="M163" s="172" t="s">
        <v>1127</v>
      </c>
      <c r="N163" s="103" t="s">
        <v>380</v>
      </c>
      <c r="O163" s="103" t="s">
        <v>1077</v>
      </c>
      <c r="P163" s="172">
        <v>0</v>
      </c>
      <c r="Q163" s="172">
        <v>12</v>
      </c>
      <c r="R163" s="103" t="s">
        <v>1031</v>
      </c>
      <c r="S163" s="103">
        <v>321050101</v>
      </c>
      <c r="T163" s="104" t="str">
        <f t="shared" si="81"/>
        <v>UITexture/TechProd/321050101.png</v>
      </c>
      <c r="U163" s="172" t="s">
        <v>1142</v>
      </c>
      <c r="V163" s="104">
        <f t="shared" si="98"/>
        <v>0</v>
      </c>
      <c r="Z163" s="172">
        <v>1</v>
      </c>
      <c r="AB163" s="102">
        <f ca="1">IFERROR(OFFSET(BLDG_FUNC_PARAM!$A$5,MATCH(AC163,BLDG_FUNC_PARAM!$J$5:$J$68,0)-1,0),0)</f>
        <v>121050001</v>
      </c>
      <c r="AC163" s="103" t="s">
        <v>961</v>
      </c>
      <c r="AD163" s="102">
        <v>540</v>
      </c>
      <c r="AN163" s="102">
        <v>0</v>
      </c>
      <c r="AO163" s="102">
        <v>0</v>
      </c>
      <c r="AT163" s="104">
        <f t="shared" si="99"/>
        <v>1740</v>
      </c>
      <c r="AW163" s="103">
        <v>29</v>
      </c>
      <c r="AY163" s="102">
        <v>2900</v>
      </c>
      <c r="AZ163" s="102">
        <v>290</v>
      </c>
      <c r="BA163" s="172">
        <v>0</v>
      </c>
      <c r="BC163" s="104">
        <f ca="1">IFERROR(OFFSET(ITEM_RES!$A$5,MATCH(BD163,ITEM_RES!$M$5:$M$84,0)-1,0),0)</f>
        <v>0</v>
      </c>
    </row>
    <row r="164" spans="1:55" x14ac:dyDescent="0.3">
      <c r="A164" s="107">
        <f t="shared" si="100"/>
        <v>321050130</v>
      </c>
      <c r="B164" s="106">
        <v>32</v>
      </c>
      <c r="C164" s="105">
        <f t="shared" si="96"/>
        <v>1</v>
      </c>
      <c r="D164" s="106">
        <v>5</v>
      </c>
      <c r="E164" s="106">
        <v>1</v>
      </c>
      <c r="F164" s="105">
        <f t="shared" si="80"/>
        <v>30</v>
      </c>
      <c r="H164" s="103">
        <v>1</v>
      </c>
      <c r="I164" s="105">
        <f t="shared" si="97"/>
        <v>105</v>
      </c>
      <c r="J164" s="172">
        <v>30</v>
      </c>
      <c r="L164" s="172" t="s">
        <v>1115</v>
      </c>
      <c r="M164" s="172" t="s">
        <v>1127</v>
      </c>
      <c r="N164" s="103" t="s">
        <v>380</v>
      </c>
      <c r="O164" s="103" t="s">
        <v>1077</v>
      </c>
      <c r="P164" s="172">
        <v>0</v>
      </c>
      <c r="Q164" s="172">
        <v>12</v>
      </c>
      <c r="R164" s="103" t="s">
        <v>1031</v>
      </c>
      <c r="S164" s="103">
        <v>321050101</v>
      </c>
      <c r="T164" s="104" t="str">
        <f t="shared" si="81"/>
        <v>UITexture/TechProd/321050101.png</v>
      </c>
      <c r="U164" s="172" t="s">
        <v>1142</v>
      </c>
      <c r="V164" s="104">
        <f t="shared" si="98"/>
        <v>0</v>
      </c>
      <c r="Z164" s="172">
        <v>1</v>
      </c>
      <c r="AB164" s="102">
        <f ca="1">IFERROR(OFFSET(BLDG_FUNC_PARAM!$A$5,MATCH(AC164,BLDG_FUNC_PARAM!$J$5:$J$68,0)-1,0),0)</f>
        <v>121050001</v>
      </c>
      <c r="AC164" s="103" t="s">
        <v>961</v>
      </c>
      <c r="AD164" s="102">
        <v>600</v>
      </c>
      <c r="AN164" s="102">
        <v>30</v>
      </c>
      <c r="AO164" s="102">
        <v>0</v>
      </c>
      <c r="AT164" s="104">
        <f t="shared" si="99"/>
        <v>1800</v>
      </c>
      <c r="AW164" s="103">
        <v>30</v>
      </c>
      <c r="AY164" s="102">
        <v>3000</v>
      </c>
      <c r="AZ164" s="102">
        <v>300</v>
      </c>
      <c r="BA164" s="172">
        <v>0</v>
      </c>
      <c r="BC164" s="104">
        <f ca="1">IFERROR(OFFSET(ITEM_RES!$A$5,MATCH(BD164,ITEM_RES!$M$5:$M$84,0)-1,0),0)</f>
        <v>0</v>
      </c>
    </row>
    <row r="165" spans="1:55" x14ac:dyDescent="0.3">
      <c r="A165" s="107">
        <f t="shared" si="85"/>
        <v>321050201</v>
      </c>
      <c r="B165" s="106">
        <v>32</v>
      </c>
      <c r="C165" s="105">
        <f t="shared" si="82"/>
        <v>1</v>
      </c>
      <c r="D165" s="106">
        <v>5</v>
      </c>
      <c r="E165" s="106">
        <v>2</v>
      </c>
      <c r="F165" s="105">
        <f t="shared" si="80"/>
        <v>1</v>
      </c>
      <c r="H165" s="103">
        <v>1</v>
      </c>
      <c r="I165" s="105">
        <f t="shared" ref="I165:I169" si="101">C165*100+D165</f>
        <v>105</v>
      </c>
      <c r="J165" s="172">
        <v>1</v>
      </c>
      <c r="L165" s="172" t="s">
        <v>1115</v>
      </c>
      <c r="M165" s="172" t="s">
        <v>1128</v>
      </c>
      <c r="N165" s="103" t="s">
        <v>380</v>
      </c>
      <c r="O165" s="103" t="s">
        <v>1078</v>
      </c>
      <c r="P165" s="172">
        <v>1</v>
      </c>
      <c r="Q165" s="172">
        <v>12</v>
      </c>
      <c r="R165" s="103" t="s">
        <v>1031</v>
      </c>
      <c r="S165" s="103">
        <v>321050201</v>
      </c>
      <c r="T165" s="104" t="str">
        <f t="shared" si="81"/>
        <v>UITexture/TechProd/321050201.png</v>
      </c>
      <c r="U165" s="172" t="s">
        <v>1143</v>
      </c>
      <c r="V165" s="104">
        <f t="shared" si="83"/>
        <v>4006</v>
      </c>
      <c r="W165" s="103">
        <v>4</v>
      </c>
      <c r="X165" s="103">
        <v>6</v>
      </c>
      <c r="Z165" s="172">
        <v>1</v>
      </c>
      <c r="AB165" s="102">
        <f ca="1">IFERROR(OFFSET(BLDG_FUNC_PARAM!$A$5,MATCH(AC165,BLDG_FUNC_PARAM!$J$5:$J$68,0)-1,0),0)</f>
        <v>121050002</v>
      </c>
      <c r="AC165" s="103" t="s">
        <v>962</v>
      </c>
      <c r="AD165" s="102">
        <v>1</v>
      </c>
      <c r="AN165" s="102">
        <v>3</v>
      </c>
      <c r="AO165" s="102">
        <v>0</v>
      </c>
      <c r="AT165" s="104">
        <f t="shared" si="84"/>
        <v>60</v>
      </c>
      <c r="AW165" s="103">
        <v>1</v>
      </c>
      <c r="AY165" s="102">
        <v>100</v>
      </c>
      <c r="AZ165" s="102">
        <v>10</v>
      </c>
      <c r="BA165" s="172">
        <v>0</v>
      </c>
      <c r="BC165" s="104">
        <f ca="1">IFERROR(OFFSET(ITEM_RES!$A$5,MATCH(BD165,ITEM_RES!$M$5:$M$84,0)-1,0),0)</f>
        <v>0</v>
      </c>
    </row>
    <row r="166" spans="1:55" x14ac:dyDescent="0.3">
      <c r="A166" s="107">
        <f t="shared" si="85"/>
        <v>321050202</v>
      </c>
      <c r="B166" s="106">
        <v>32</v>
      </c>
      <c r="C166" s="105">
        <f t="shared" si="82"/>
        <v>1</v>
      </c>
      <c r="D166" s="106">
        <v>5</v>
      </c>
      <c r="E166" s="106">
        <v>2</v>
      </c>
      <c r="F166" s="105">
        <f t="shared" si="80"/>
        <v>2</v>
      </c>
      <c r="H166" s="103">
        <v>1</v>
      </c>
      <c r="I166" s="105">
        <f t="shared" si="101"/>
        <v>105</v>
      </c>
      <c r="J166" s="172">
        <v>2</v>
      </c>
      <c r="L166" s="172" t="s">
        <v>1115</v>
      </c>
      <c r="M166" s="172" t="s">
        <v>1128</v>
      </c>
      <c r="N166" s="103" t="s">
        <v>380</v>
      </c>
      <c r="O166" s="103" t="s">
        <v>1078</v>
      </c>
      <c r="P166" s="172">
        <v>1</v>
      </c>
      <c r="Q166" s="172">
        <v>12</v>
      </c>
      <c r="R166" s="103" t="s">
        <v>1031</v>
      </c>
      <c r="S166" s="103">
        <v>321050201</v>
      </c>
      <c r="T166" s="104" t="str">
        <f t="shared" si="81"/>
        <v>UITexture/TechProd/321050201.png</v>
      </c>
      <c r="U166" s="172" t="s">
        <v>1143</v>
      </c>
      <c r="V166" s="104">
        <f t="shared" si="83"/>
        <v>0</v>
      </c>
      <c r="Z166" s="172">
        <v>1</v>
      </c>
      <c r="AB166" s="102">
        <f ca="1">IFERROR(OFFSET(BLDG_FUNC_PARAM!$A$5,MATCH(AC166,BLDG_FUNC_PARAM!$J$5:$J$68,0)-1,0),0)</f>
        <v>121050002</v>
      </c>
      <c r="AC166" s="103" t="s">
        <v>962</v>
      </c>
      <c r="AD166" s="102">
        <v>2</v>
      </c>
      <c r="AN166" s="102">
        <v>0</v>
      </c>
      <c r="AO166" s="102">
        <v>0</v>
      </c>
      <c r="AT166" s="104">
        <f t="shared" si="84"/>
        <v>120</v>
      </c>
      <c r="AW166" s="103">
        <v>2</v>
      </c>
      <c r="AY166" s="102">
        <v>200</v>
      </c>
      <c r="AZ166" s="102">
        <v>20</v>
      </c>
      <c r="BA166" s="172">
        <v>0</v>
      </c>
      <c r="BC166" s="104">
        <f ca="1">IFERROR(OFFSET(ITEM_RES!$A$5,MATCH(BD166,ITEM_RES!$M$5:$M$84,0)-1,0),0)</f>
        <v>0</v>
      </c>
    </row>
    <row r="167" spans="1:55" x14ac:dyDescent="0.3">
      <c r="A167" s="107">
        <f t="shared" si="85"/>
        <v>321050203</v>
      </c>
      <c r="B167" s="106">
        <v>32</v>
      </c>
      <c r="C167" s="105">
        <f t="shared" si="82"/>
        <v>1</v>
      </c>
      <c r="D167" s="106">
        <v>5</v>
      </c>
      <c r="E167" s="106">
        <v>2</v>
      </c>
      <c r="F167" s="105">
        <f t="shared" si="80"/>
        <v>3</v>
      </c>
      <c r="H167" s="103">
        <v>1</v>
      </c>
      <c r="I167" s="105">
        <f t="shared" si="101"/>
        <v>105</v>
      </c>
      <c r="J167" s="172">
        <v>3</v>
      </c>
      <c r="L167" s="172" t="s">
        <v>1115</v>
      </c>
      <c r="M167" s="172" t="s">
        <v>1128</v>
      </c>
      <c r="N167" s="103" t="s">
        <v>380</v>
      </c>
      <c r="O167" s="103" t="s">
        <v>1078</v>
      </c>
      <c r="P167" s="172">
        <v>1</v>
      </c>
      <c r="Q167" s="172">
        <v>12</v>
      </c>
      <c r="R167" s="103" t="s">
        <v>1031</v>
      </c>
      <c r="S167" s="103">
        <v>321050201</v>
      </c>
      <c r="T167" s="104" t="str">
        <f t="shared" si="81"/>
        <v>UITexture/TechProd/321050201.png</v>
      </c>
      <c r="U167" s="172" t="s">
        <v>1143</v>
      </c>
      <c r="V167" s="104">
        <f t="shared" si="83"/>
        <v>0</v>
      </c>
      <c r="Z167" s="172">
        <v>1</v>
      </c>
      <c r="AB167" s="102">
        <f ca="1">IFERROR(OFFSET(BLDG_FUNC_PARAM!$A$5,MATCH(AC167,BLDG_FUNC_PARAM!$J$5:$J$68,0)-1,0),0)</f>
        <v>121050002</v>
      </c>
      <c r="AC167" s="103" t="s">
        <v>962</v>
      </c>
      <c r="AD167" s="102">
        <v>3</v>
      </c>
      <c r="AN167" s="102">
        <v>0</v>
      </c>
      <c r="AO167" s="102">
        <v>0</v>
      </c>
      <c r="AT167" s="104">
        <f t="shared" si="84"/>
        <v>180</v>
      </c>
      <c r="AW167" s="103">
        <v>3</v>
      </c>
      <c r="AY167" s="102">
        <v>300</v>
      </c>
      <c r="AZ167" s="102">
        <v>30</v>
      </c>
      <c r="BA167" s="172">
        <v>0</v>
      </c>
      <c r="BC167" s="104">
        <f ca="1">IFERROR(OFFSET(ITEM_RES!$A$5,MATCH(BD167,ITEM_RES!$M$5:$M$84,0)-1,0),0)</f>
        <v>0</v>
      </c>
    </row>
    <row r="168" spans="1:55" x14ac:dyDescent="0.3">
      <c r="A168" s="107">
        <f t="shared" si="85"/>
        <v>321050204</v>
      </c>
      <c r="B168" s="106">
        <v>32</v>
      </c>
      <c r="C168" s="105">
        <f t="shared" si="82"/>
        <v>1</v>
      </c>
      <c r="D168" s="106">
        <v>5</v>
      </c>
      <c r="E168" s="106">
        <v>2</v>
      </c>
      <c r="F168" s="105">
        <f t="shared" si="80"/>
        <v>4</v>
      </c>
      <c r="H168" s="103">
        <v>1</v>
      </c>
      <c r="I168" s="105">
        <f t="shared" si="101"/>
        <v>105</v>
      </c>
      <c r="J168" s="172">
        <v>4</v>
      </c>
      <c r="L168" s="172" t="s">
        <v>1115</v>
      </c>
      <c r="M168" s="172" t="s">
        <v>1128</v>
      </c>
      <c r="N168" s="103" t="s">
        <v>380</v>
      </c>
      <c r="O168" s="103" t="s">
        <v>1078</v>
      </c>
      <c r="P168" s="172">
        <v>1</v>
      </c>
      <c r="Q168" s="172">
        <v>12</v>
      </c>
      <c r="R168" s="103" t="s">
        <v>1031</v>
      </c>
      <c r="S168" s="103">
        <v>321050201</v>
      </c>
      <c r="T168" s="104" t="str">
        <f t="shared" si="81"/>
        <v>UITexture/TechProd/321050201.png</v>
      </c>
      <c r="U168" s="172" t="s">
        <v>1143</v>
      </c>
      <c r="V168" s="104">
        <f t="shared" si="83"/>
        <v>0</v>
      </c>
      <c r="Z168" s="172">
        <v>1</v>
      </c>
      <c r="AB168" s="102">
        <f ca="1">IFERROR(OFFSET(BLDG_FUNC_PARAM!$A$5,MATCH(AC168,BLDG_FUNC_PARAM!$J$5:$J$68,0)-1,0),0)</f>
        <v>121050002</v>
      </c>
      <c r="AC168" s="103" t="s">
        <v>962</v>
      </c>
      <c r="AD168" s="102">
        <v>4</v>
      </c>
      <c r="AN168" s="102">
        <v>0</v>
      </c>
      <c r="AO168" s="102">
        <v>0</v>
      </c>
      <c r="AT168" s="104">
        <f t="shared" si="84"/>
        <v>240</v>
      </c>
      <c r="AW168" s="103">
        <v>4</v>
      </c>
      <c r="AY168" s="102">
        <v>400</v>
      </c>
      <c r="AZ168" s="102">
        <v>40</v>
      </c>
      <c r="BA168" s="172">
        <v>0</v>
      </c>
      <c r="BC168" s="104">
        <f ca="1">IFERROR(OFFSET(ITEM_RES!$A$5,MATCH(BD168,ITEM_RES!$M$5:$M$84,0)-1,0),0)</f>
        <v>0</v>
      </c>
    </row>
    <row r="169" spans="1:55" x14ac:dyDescent="0.3">
      <c r="A169" s="107">
        <f t="shared" si="85"/>
        <v>321050205</v>
      </c>
      <c r="B169" s="106">
        <v>32</v>
      </c>
      <c r="C169" s="105">
        <f t="shared" si="82"/>
        <v>1</v>
      </c>
      <c r="D169" s="106">
        <v>5</v>
      </c>
      <c r="E169" s="106">
        <v>2</v>
      </c>
      <c r="F169" s="105">
        <f t="shared" si="80"/>
        <v>5</v>
      </c>
      <c r="H169" s="103">
        <v>1</v>
      </c>
      <c r="I169" s="105">
        <f t="shared" si="101"/>
        <v>105</v>
      </c>
      <c r="J169" s="172">
        <v>5</v>
      </c>
      <c r="L169" s="172" t="s">
        <v>1115</v>
      </c>
      <c r="M169" s="172" t="s">
        <v>1128</v>
      </c>
      <c r="N169" s="103" t="s">
        <v>380</v>
      </c>
      <c r="O169" s="103" t="s">
        <v>1078</v>
      </c>
      <c r="P169" s="172">
        <v>1</v>
      </c>
      <c r="Q169" s="172">
        <v>12</v>
      </c>
      <c r="R169" s="103" t="s">
        <v>1031</v>
      </c>
      <c r="S169" s="103">
        <v>321050201</v>
      </c>
      <c r="T169" s="104" t="str">
        <f t="shared" si="81"/>
        <v>UITexture/TechProd/321050201.png</v>
      </c>
      <c r="U169" s="172" t="s">
        <v>1143</v>
      </c>
      <c r="V169" s="104">
        <f t="shared" si="83"/>
        <v>0</v>
      </c>
      <c r="Z169" s="172">
        <v>1</v>
      </c>
      <c r="AB169" s="102">
        <f ca="1">IFERROR(OFFSET(BLDG_FUNC_PARAM!$A$5,MATCH(AC169,BLDG_FUNC_PARAM!$J$5:$J$68,0)-1,0),0)</f>
        <v>121050002</v>
      </c>
      <c r="AC169" s="103" t="s">
        <v>962</v>
      </c>
      <c r="AD169" s="102">
        <v>5</v>
      </c>
      <c r="AN169" s="102">
        <v>8</v>
      </c>
      <c r="AO169" s="102">
        <v>0</v>
      </c>
      <c r="AT169" s="104">
        <f t="shared" si="84"/>
        <v>300</v>
      </c>
      <c r="AW169" s="103">
        <v>5</v>
      </c>
      <c r="AY169" s="102">
        <v>500</v>
      </c>
      <c r="AZ169" s="102">
        <v>50</v>
      </c>
      <c r="BA169" s="172">
        <v>0</v>
      </c>
      <c r="BC169" s="104">
        <f ca="1">IFERROR(OFFSET(ITEM_RES!$A$5,MATCH(BD169,ITEM_RES!$M$5:$M$84,0)-1,0),0)</f>
        <v>0</v>
      </c>
    </row>
    <row r="170" spans="1:55" x14ac:dyDescent="0.3">
      <c r="A170" s="107">
        <f t="shared" ref="A170:A179" si="102">B170*10000000+C170*1000000+D170*10000+E170*100+F170</f>
        <v>321050206</v>
      </c>
      <c r="B170" s="106">
        <v>32</v>
      </c>
      <c r="C170" s="105">
        <f t="shared" ref="C170:C179" si="103">H170</f>
        <v>1</v>
      </c>
      <c r="D170" s="106">
        <v>5</v>
      </c>
      <c r="E170" s="106">
        <v>2</v>
      </c>
      <c r="F170" s="105">
        <f t="shared" si="80"/>
        <v>6</v>
      </c>
      <c r="H170" s="103">
        <v>1</v>
      </c>
      <c r="I170" s="105">
        <f t="shared" ref="I170:I179" si="104">C170*100+D170</f>
        <v>105</v>
      </c>
      <c r="J170" s="172">
        <v>6</v>
      </c>
      <c r="L170" s="172" t="s">
        <v>1115</v>
      </c>
      <c r="M170" s="172" t="s">
        <v>1128</v>
      </c>
      <c r="N170" s="103" t="s">
        <v>380</v>
      </c>
      <c r="O170" s="103" t="s">
        <v>1078</v>
      </c>
      <c r="P170" s="172">
        <v>1</v>
      </c>
      <c r="Q170" s="172">
        <v>12</v>
      </c>
      <c r="R170" s="103" t="s">
        <v>1031</v>
      </c>
      <c r="S170" s="103">
        <v>321050201</v>
      </c>
      <c r="T170" s="104" t="str">
        <f t="shared" si="81"/>
        <v>UITexture/TechProd/321050201.png</v>
      </c>
      <c r="U170" s="172" t="s">
        <v>1143</v>
      </c>
      <c r="V170" s="104">
        <f t="shared" ref="V170:V179" si="105">W170*1000+X170</f>
        <v>0</v>
      </c>
      <c r="Z170" s="172">
        <v>1</v>
      </c>
      <c r="AB170" s="102">
        <f ca="1">IFERROR(OFFSET(BLDG_FUNC_PARAM!$A$5,MATCH(AC170,BLDG_FUNC_PARAM!$J$5:$J$68,0)-1,0),0)</f>
        <v>121050002</v>
      </c>
      <c r="AC170" s="103" t="s">
        <v>962</v>
      </c>
      <c r="AD170" s="102">
        <v>6</v>
      </c>
      <c r="AN170" s="102">
        <v>0</v>
      </c>
      <c r="AO170" s="102">
        <v>0</v>
      </c>
      <c r="AT170" s="104">
        <f t="shared" ref="AT170:AT179" si="106">((AU170*24+AV170)*60+AW170)*60+AX170</f>
        <v>360</v>
      </c>
      <c r="AW170" s="103">
        <v>6</v>
      </c>
      <c r="AY170" s="102">
        <v>600</v>
      </c>
      <c r="AZ170" s="102">
        <v>60</v>
      </c>
      <c r="BA170" s="172">
        <v>0</v>
      </c>
      <c r="BC170" s="104">
        <f ca="1">IFERROR(OFFSET(ITEM_RES!$A$5,MATCH(BD170,ITEM_RES!$M$5:$M$84,0)-1,0),0)</f>
        <v>0</v>
      </c>
    </row>
    <row r="171" spans="1:55" x14ac:dyDescent="0.3">
      <c r="A171" s="107">
        <f t="shared" si="102"/>
        <v>321050207</v>
      </c>
      <c r="B171" s="106">
        <v>32</v>
      </c>
      <c r="C171" s="105">
        <f t="shared" si="103"/>
        <v>1</v>
      </c>
      <c r="D171" s="106">
        <v>5</v>
      </c>
      <c r="E171" s="106">
        <v>2</v>
      </c>
      <c r="F171" s="105">
        <f t="shared" si="80"/>
        <v>7</v>
      </c>
      <c r="H171" s="103">
        <v>1</v>
      </c>
      <c r="I171" s="105">
        <f t="shared" si="104"/>
        <v>105</v>
      </c>
      <c r="J171" s="172">
        <v>7</v>
      </c>
      <c r="L171" s="172" t="s">
        <v>1115</v>
      </c>
      <c r="M171" s="172" t="s">
        <v>1128</v>
      </c>
      <c r="N171" s="103" t="s">
        <v>380</v>
      </c>
      <c r="O171" s="103" t="s">
        <v>1078</v>
      </c>
      <c r="P171" s="172">
        <v>1</v>
      </c>
      <c r="Q171" s="172">
        <v>12</v>
      </c>
      <c r="R171" s="103" t="s">
        <v>1031</v>
      </c>
      <c r="S171" s="103">
        <v>321050201</v>
      </c>
      <c r="T171" s="104" t="str">
        <f t="shared" si="81"/>
        <v>UITexture/TechProd/321050201.png</v>
      </c>
      <c r="U171" s="172" t="s">
        <v>1143</v>
      </c>
      <c r="V171" s="104">
        <f t="shared" si="105"/>
        <v>0</v>
      </c>
      <c r="Z171" s="172">
        <v>1</v>
      </c>
      <c r="AB171" s="102">
        <f ca="1">IFERROR(OFFSET(BLDG_FUNC_PARAM!$A$5,MATCH(AC171,BLDG_FUNC_PARAM!$J$5:$J$68,0)-1,0),0)</f>
        <v>121050002</v>
      </c>
      <c r="AC171" s="103" t="s">
        <v>962</v>
      </c>
      <c r="AD171" s="102">
        <v>7</v>
      </c>
      <c r="AN171" s="102">
        <v>0</v>
      </c>
      <c r="AO171" s="102">
        <v>0</v>
      </c>
      <c r="AT171" s="104">
        <f t="shared" si="106"/>
        <v>420</v>
      </c>
      <c r="AW171" s="103">
        <v>7</v>
      </c>
      <c r="AY171" s="102">
        <v>700</v>
      </c>
      <c r="AZ171" s="102">
        <v>70</v>
      </c>
      <c r="BA171" s="172">
        <v>0</v>
      </c>
      <c r="BC171" s="104">
        <f ca="1">IFERROR(OFFSET(ITEM_RES!$A$5,MATCH(BD171,ITEM_RES!$M$5:$M$84,0)-1,0),0)</f>
        <v>0</v>
      </c>
    </row>
    <row r="172" spans="1:55" x14ac:dyDescent="0.3">
      <c r="A172" s="107">
        <f t="shared" si="102"/>
        <v>321050208</v>
      </c>
      <c r="B172" s="106">
        <v>32</v>
      </c>
      <c r="C172" s="105">
        <f t="shared" si="103"/>
        <v>1</v>
      </c>
      <c r="D172" s="106">
        <v>5</v>
      </c>
      <c r="E172" s="106">
        <v>2</v>
      </c>
      <c r="F172" s="105">
        <f t="shared" si="80"/>
        <v>8</v>
      </c>
      <c r="H172" s="103">
        <v>1</v>
      </c>
      <c r="I172" s="105">
        <f t="shared" si="104"/>
        <v>105</v>
      </c>
      <c r="J172" s="172">
        <v>8</v>
      </c>
      <c r="L172" s="172" t="s">
        <v>1115</v>
      </c>
      <c r="M172" s="172" t="s">
        <v>1128</v>
      </c>
      <c r="N172" s="103" t="s">
        <v>380</v>
      </c>
      <c r="O172" s="103" t="s">
        <v>1078</v>
      </c>
      <c r="P172" s="172">
        <v>1</v>
      </c>
      <c r="Q172" s="172">
        <v>12</v>
      </c>
      <c r="R172" s="103" t="s">
        <v>1031</v>
      </c>
      <c r="S172" s="103">
        <v>321050201</v>
      </c>
      <c r="T172" s="104" t="str">
        <f t="shared" si="81"/>
        <v>UITexture/TechProd/321050201.png</v>
      </c>
      <c r="U172" s="172" t="s">
        <v>1143</v>
      </c>
      <c r="V172" s="104">
        <f t="shared" si="105"/>
        <v>0</v>
      </c>
      <c r="Z172" s="172">
        <v>1</v>
      </c>
      <c r="AB172" s="102">
        <f ca="1">IFERROR(OFFSET(BLDG_FUNC_PARAM!$A$5,MATCH(AC172,BLDG_FUNC_PARAM!$J$5:$J$68,0)-1,0),0)</f>
        <v>121050002</v>
      </c>
      <c r="AC172" s="103" t="s">
        <v>962</v>
      </c>
      <c r="AD172" s="102">
        <v>8</v>
      </c>
      <c r="AN172" s="102">
        <v>0</v>
      </c>
      <c r="AO172" s="102">
        <v>0</v>
      </c>
      <c r="AT172" s="104">
        <f t="shared" si="106"/>
        <v>480</v>
      </c>
      <c r="AW172" s="103">
        <v>8</v>
      </c>
      <c r="AY172" s="102">
        <v>800</v>
      </c>
      <c r="AZ172" s="102">
        <v>80</v>
      </c>
      <c r="BA172" s="172">
        <v>0</v>
      </c>
      <c r="BC172" s="104">
        <f ca="1">IFERROR(OFFSET(ITEM_RES!$A$5,MATCH(BD172,ITEM_RES!$M$5:$M$84,0)-1,0),0)</f>
        <v>0</v>
      </c>
    </row>
    <row r="173" spans="1:55" x14ac:dyDescent="0.3">
      <c r="A173" s="107">
        <f t="shared" si="102"/>
        <v>321050209</v>
      </c>
      <c r="B173" s="106">
        <v>32</v>
      </c>
      <c r="C173" s="105">
        <f t="shared" si="103"/>
        <v>1</v>
      </c>
      <c r="D173" s="106">
        <v>5</v>
      </c>
      <c r="E173" s="106">
        <v>2</v>
      </c>
      <c r="F173" s="105">
        <f t="shared" si="80"/>
        <v>9</v>
      </c>
      <c r="H173" s="103">
        <v>1</v>
      </c>
      <c r="I173" s="105">
        <f t="shared" si="104"/>
        <v>105</v>
      </c>
      <c r="J173" s="172">
        <v>9</v>
      </c>
      <c r="L173" s="172" t="s">
        <v>1115</v>
      </c>
      <c r="M173" s="172" t="s">
        <v>1128</v>
      </c>
      <c r="N173" s="103" t="s">
        <v>380</v>
      </c>
      <c r="O173" s="103" t="s">
        <v>1078</v>
      </c>
      <c r="P173" s="172">
        <v>1</v>
      </c>
      <c r="Q173" s="172">
        <v>12</v>
      </c>
      <c r="R173" s="103" t="s">
        <v>1031</v>
      </c>
      <c r="S173" s="103">
        <v>321050201</v>
      </c>
      <c r="T173" s="104" t="str">
        <f t="shared" si="81"/>
        <v>UITexture/TechProd/321050201.png</v>
      </c>
      <c r="U173" s="172" t="s">
        <v>1143</v>
      </c>
      <c r="V173" s="104">
        <f t="shared" si="105"/>
        <v>0</v>
      </c>
      <c r="Z173" s="172">
        <v>1</v>
      </c>
      <c r="AB173" s="102">
        <f ca="1">IFERROR(OFFSET(BLDG_FUNC_PARAM!$A$5,MATCH(AC173,BLDG_FUNC_PARAM!$J$5:$J$68,0)-1,0),0)</f>
        <v>121050002</v>
      </c>
      <c r="AC173" s="103" t="s">
        <v>962</v>
      </c>
      <c r="AD173" s="102">
        <v>9</v>
      </c>
      <c r="AN173" s="102">
        <v>0</v>
      </c>
      <c r="AO173" s="102">
        <v>0</v>
      </c>
      <c r="AT173" s="104">
        <f t="shared" si="106"/>
        <v>540</v>
      </c>
      <c r="AW173" s="103">
        <v>9</v>
      </c>
      <c r="AY173" s="102">
        <v>900</v>
      </c>
      <c r="AZ173" s="102">
        <v>90</v>
      </c>
      <c r="BA173" s="172">
        <v>0</v>
      </c>
      <c r="BC173" s="104">
        <f ca="1">IFERROR(OFFSET(ITEM_RES!$A$5,MATCH(BD173,ITEM_RES!$M$5:$M$84,0)-1,0),0)</f>
        <v>0</v>
      </c>
    </row>
    <row r="174" spans="1:55" x14ac:dyDescent="0.3">
      <c r="A174" s="107">
        <f t="shared" si="102"/>
        <v>321050210</v>
      </c>
      <c r="B174" s="106">
        <v>32</v>
      </c>
      <c r="C174" s="105">
        <f t="shared" si="103"/>
        <v>1</v>
      </c>
      <c r="D174" s="106">
        <v>5</v>
      </c>
      <c r="E174" s="106">
        <v>2</v>
      </c>
      <c r="F174" s="105">
        <f t="shared" si="80"/>
        <v>10</v>
      </c>
      <c r="H174" s="103">
        <v>1</v>
      </c>
      <c r="I174" s="105">
        <f t="shared" si="104"/>
        <v>105</v>
      </c>
      <c r="J174" s="172">
        <v>10</v>
      </c>
      <c r="L174" s="172" t="s">
        <v>1115</v>
      </c>
      <c r="M174" s="172" t="s">
        <v>1128</v>
      </c>
      <c r="N174" s="103" t="s">
        <v>380</v>
      </c>
      <c r="O174" s="103" t="s">
        <v>1078</v>
      </c>
      <c r="P174" s="172">
        <v>1</v>
      </c>
      <c r="Q174" s="172">
        <v>12</v>
      </c>
      <c r="R174" s="103" t="s">
        <v>1031</v>
      </c>
      <c r="S174" s="103">
        <v>321050201</v>
      </c>
      <c r="T174" s="104" t="str">
        <f t="shared" si="81"/>
        <v>UITexture/TechProd/321050201.png</v>
      </c>
      <c r="U174" s="172" t="s">
        <v>1143</v>
      </c>
      <c r="V174" s="104">
        <f t="shared" si="105"/>
        <v>0</v>
      </c>
      <c r="Z174" s="172">
        <v>1</v>
      </c>
      <c r="AB174" s="102">
        <f ca="1">IFERROR(OFFSET(BLDG_FUNC_PARAM!$A$5,MATCH(AC174,BLDG_FUNC_PARAM!$J$5:$J$68,0)-1,0),0)</f>
        <v>121050002</v>
      </c>
      <c r="AC174" s="103" t="s">
        <v>962</v>
      </c>
      <c r="AD174" s="102">
        <v>10</v>
      </c>
      <c r="AN174" s="102">
        <v>12</v>
      </c>
      <c r="AO174" s="102">
        <v>0</v>
      </c>
      <c r="AT174" s="104">
        <f t="shared" si="106"/>
        <v>600</v>
      </c>
      <c r="AW174" s="103">
        <v>10</v>
      </c>
      <c r="AY174" s="102">
        <v>1000</v>
      </c>
      <c r="AZ174" s="102">
        <v>100</v>
      </c>
      <c r="BA174" s="172">
        <v>0</v>
      </c>
      <c r="BC174" s="104">
        <f ca="1">IFERROR(OFFSET(ITEM_RES!$A$5,MATCH(BD174,ITEM_RES!$M$5:$M$84,0)-1,0),0)</f>
        <v>0</v>
      </c>
    </row>
    <row r="175" spans="1:55" x14ac:dyDescent="0.3">
      <c r="A175" s="107">
        <f t="shared" si="102"/>
        <v>321050211</v>
      </c>
      <c r="B175" s="106">
        <v>32</v>
      </c>
      <c r="C175" s="105">
        <f t="shared" si="103"/>
        <v>1</v>
      </c>
      <c r="D175" s="106">
        <v>5</v>
      </c>
      <c r="E175" s="106">
        <v>2</v>
      </c>
      <c r="F175" s="105">
        <f t="shared" si="80"/>
        <v>11</v>
      </c>
      <c r="H175" s="103">
        <v>1</v>
      </c>
      <c r="I175" s="105">
        <f t="shared" si="104"/>
        <v>105</v>
      </c>
      <c r="J175" s="172">
        <v>11</v>
      </c>
      <c r="L175" s="172" t="s">
        <v>1115</v>
      </c>
      <c r="M175" s="172" t="s">
        <v>1128</v>
      </c>
      <c r="N175" s="103" t="s">
        <v>380</v>
      </c>
      <c r="O175" s="103" t="s">
        <v>1078</v>
      </c>
      <c r="P175" s="172">
        <v>1</v>
      </c>
      <c r="Q175" s="172">
        <v>12</v>
      </c>
      <c r="R175" s="103" t="s">
        <v>1031</v>
      </c>
      <c r="S175" s="103">
        <v>321050201</v>
      </c>
      <c r="T175" s="104" t="str">
        <f t="shared" si="81"/>
        <v>UITexture/TechProd/321050201.png</v>
      </c>
      <c r="U175" s="172" t="s">
        <v>1143</v>
      </c>
      <c r="V175" s="104">
        <f t="shared" si="105"/>
        <v>0</v>
      </c>
      <c r="Z175" s="172">
        <v>1</v>
      </c>
      <c r="AB175" s="102">
        <f ca="1">IFERROR(OFFSET(BLDG_FUNC_PARAM!$A$5,MATCH(AC175,BLDG_FUNC_PARAM!$J$5:$J$68,0)-1,0),0)</f>
        <v>121050002</v>
      </c>
      <c r="AC175" s="103" t="s">
        <v>962</v>
      </c>
      <c r="AD175" s="102">
        <v>11</v>
      </c>
      <c r="AN175" s="102">
        <v>0</v>
      </c>
      <c r="AO175" s="102">
        <v>0</v>
      </c>
      <c r="AT175" s="104">
        <f t="shared" si="106"/>
        <v>660</v>
      </c>
      <c r="AW175" s="103">
        <v>11</v>
      </c>
      <c r="AY175" s="102">
        <v>1100</v>
      </c>
      <c r="AZ175" s="102">
        <v>110</v>
      </c>
      <c r="BA175" s="172">
        <v>0</v>
      </c>
      <c r="BC175" s="104">
        <f ca="1">IFERROR(OFFSET(ITEM_RES!$A$5,MATCH(BD175,ITEM_RES!$M$5:$M$84,0)-1,0),0)</f>
        <v>0</v>
      </c>
    </row>
    <row r="176" spans="1:55" x14ac:dyDescent="0.3">
      <c r="A176" s="107">
        <f t="shared" si="102"/>
        <v>321050212</v>
      </c>
      <c r="B176" s="106">
        <v>32</v>
      </c>
      <c r="C176" s="105">
        <f t="shared" si="103"/>
        <v>1</v>
      </c>
      <c r="D176" s="106">
        <v>5</v>
      </c>
      <c r="E176" s="106">
        <v>2</v>
      </c>
      <c r="F176" s="105">
        <f t="shared" si="80"/>
        <v>12</v>
      </c>
      <c r="H176" s="103">
        <v>1</v>
      </c>
      <c r="I176" s="105">
        <f t="shared" si="104"/>
        <v>105</v>
      </c>
      <c r="J176" s="172">
        <v>12</v>
      </c>
      <c r="L176" s="172" t="s">
        <v>1115</v>
      </c>
      <c r="M176" s="172" t="s">
        <v>1128</v>
      </c>
      <c r="N176" s="103" t="s">
        <v>380</v>
      </c>
      <c r="O176" s="103" t="s">
        <v>1078</v>
      </c>
      <c r="P176" s="172">
        <v>1</v>
      </c>
      <c r="Q176" s="172">
        <v>12</v>
      </c>
      <c r="R176" s="103" t="s">
        <v>1031</v>
      </c>
      <c r="S176" s="103">
        <v>321050201</v>
      </c>
      <c r="T176" s="104" t="str">
        <f t="shared" si="81"/>
        <v>UITexture/TechProd/321050201.png</v>
      </c>
      <c r="U176" s="172" t="s">
        <v>1143</v>
      </c>
      <c r="V176" s="104">
        <f t="shared" si="105"/>
        <v>0</v>
      </c>
      <c r="Z176" s="172">
        <v>1</v>
      </c>
      <c r="AB176" s="102">
        <f ca="1">IFERROR(OFFSET(BLDG_FUNC_PARAM!$A$5,MATCH(AC176,BLDG_FUNC_PARAM!$J$5:$J$68,0)-1,0),0)</f>
        <v>121050002</v>
      </c>
      <c r="AC176" s="103" t="s">
        <v>962</v>
      </c>
      <c r="AD176" s="102">
        <v>12</v>
      </c>
      <c r="AN176" s="102">
        <v>0</v>
      </c>
      <c r="AO176" s="102">
        <v>0</v>
      </c>
      <c r="AT176" s="104">
        <f t="shared" si="106"/>
        <v>720</v>
      </c>
      <c r="AW176" s="103">
        <v>12</v>
      </c>
      <c r="AY176" s="102">
        <v>1200</v>
      </c>
      <c r="AZ176" s="102">
        <v>120</v>
      </c>
      <c r="BA176" s="172">
        <v>0</v>
      </c>
      <c r="BC176" s="104">
        <f ca="1">IFERROR(OFFSET(ITEM_RES!$A$5,MATCH(BD176,ITEM_RES!$M$5:$M$84,0)-1,0),0)</f>
        <v>0</v>
      </c>
    </row>
    <row r="177" spans="1:55" x14ac:dyDescent="0.3">
      <c r="A177" s="107">
        <f t="shared" si="102"/>
        <v>321050213</v>
      </c>
      <c r="B177" s="106">
        <v>32</v>
      </c>
      <c r="C177" s="105">
        <f t="shared" si="103"/>
        <v>1</v>
      </c>
      <c r="D177" s="106">
        <v>5</v>
      </c>
      <c r="E177" s="106">
        <v>2</v>
      </c>
      <c r="F177" s="105">
        <f t="shared" si="80"/>
        <v>13</v>
      </c>
      <c r="H177" s="103">
        <v>1</v>
      </c>
      <c r="I177" s="105">
        <f t="shared" si="104"/>
        <v>105</v>
      </c>
      <c r="J177" s="172">
        <v>13</v>
      </c>
      <c r="L177" s="172" t="s">
        <v>1115</v>
      </c>
      <c r="M177" s="172" t="s">
        <v>1128</v>
      </c>
      <c r="N177" s="103" t="s">
        <v>380</v>
      </c>
      <c r="O177" s="103" t="s">
        <v>1078</v>
      </c>
      <c r="P177" s="172">
        <v>0</v>
      </c>
      <c r="Q177" s="172">
        <v>12</v>
      </c>
      <c r="R177" s="103" t="s">
        <v>1031</v>
      </c>
      <c r="S177" s="103">
        <v>321050201</v>
      </c>
      <c r="T177" s="104" t="str">
        <f t="shared" si="81"/>
        <v>UITexture/TechProd/321050201.png</v>
      </c>
      <c r="U177" s="172" t="s">
        <v>1143</v>
      </c>
      <c r="V177" s="104">
        <f t="shared" si="105"/>
        <v>0</v>
      </c>
      <c r="Z177" s="172">
        <v>1</v>
      </c>
      <c r="AB177" s="102">
        <f ca="1">IFERROR(OFFSET(BLDG_FUNC_PARAM!$A$5,MATCH(AC177,BLDG_FUNC_PARAM!$J$5:$J$68,0)-1,0),0)</f>
        <v>121050002</v>
      </c>
      <c r="AC177" s="103" t="s">
        <v>962</v>
      </c>
      <c r="AD177" s="102">
        <v>13</v>
      </c>
      <c r="AN177" s="102">
        <v>0</v>
      </c>
      <c r="AO177" s="102">
        <v>0</v>
      </c>
      <c r="AT177" s="104">
        <f t="shared" si="106"/>
        <v>780</v>
      </c>
      <c r="AW177" s="103">
        <v>13</v>
      </c>
      <c r="AY177" s="102">
        <v>1300</v>
      </c>
      <c r="AZ177" s="102">
        <v>130</v>
      </c>
      <c r="BA177" s="172">
        <v>0</v>
      </c>
      <c r="BC177" s="104">
        <f ca="1">IFERROR(OFFSET(ITEM_RES!$A$5,MATCH(BD177,ITEM_RES!$M$5:$M$84,0)-1,0),0)</f>
        <v>0</v>
      </c>
    </row>
    <row r="178" spans="1:55" x14ac:dyDescent="0.3">
      <c r="A178" s="107">
        <f t="shared" si="102"/>
        <v>321050214</v>
      </c>
      <c r="B178" s="106">
        <v>32</v>
      </c>
      <c r="C178" s="105">
        <f t="shared" si="103"/>
        <v>1</v>
      </c>
      <c r="D178" s="106">
        <v>5</v>
      </c>
      <c r="E178" s="106">
        <v>2</v>
      </c>
      <c r="F178" s="105">
        <f t="shared" si="80"/>
        <v>14</v>
      </c>
      <c r="H178" s="103">
        <v>1</v>
      </c>
      <c r="I178" s="105">
        <f t="shared" si="104"/>
        <v>105</v>
      </c>
      <c r="J178" s="172">
        <v>14</v>
      </c>
      <c r="L178" s="172" t="s">
        <v>1115</v>
      </c>
      <c r="M178" s="172" t="s">
        <v>1128</v>
      </c>
      <c r="N178" s="103" t="s">
        <v>380</v>
      </c>
      <c r="O178" s="103" t="s">
        <v>1078</v>
      </c>
      <c r="P178" s="172">
        <v>0</v>
      </c>
      <c r="Q178" s="172">
        <v>12</v>
      </c>
      <c r="R178" s="103" t="s">
        <v>1031</v>
      </c>
      <c r="S178" s="103">
        <v>321050201</v>
      </c>
      <c r="T178" s="104" t="str">
        <f t="shared" si="81"/>
        <v>UITexture/TechProd/321050201.png</v>
      </c>
      <c r="U178" s="172" t="s">
        <v>1143</v>
      </c>
      <c r="V178" s="104">
        <f t="shared" si="105"/>
        <v>0</v>
      </c>
      <c r="Z178" s="172">
        <v>1</v>
      </c>
      <c r="AB178" s="102">
        <f ca="1">IFERROR(OFFSET(BLDG_FUNC_PARAM!$A$5,MATCH(AC178,BLDG_FUNC_PARAM!$J$5:$J$68,0)-1,0),0)</f>
        <v>121050002</v>
      </c>
      <c r="AC178" s="103" t="s">
        <v>962</v>
      </c>
      <c r="AD178" s="102">
        <v>14</v>
      </c>
      <c r="AN178" s="102">
        <v>0</v>
      </c>
      <c r="AO178" s="102">
        <v>0</v>
      </c>
      <c r="AT178" s="104">
        <f t="shared" si="106"/>
        <v>840</v>
      </c>
      <c r="AW178" s="103">
        <v>14</v>
      </c>
      <c r="AY178" s="102">
        <v>1400</v>
      </c>
      <c r="AZ178" s="102">
        <v>140</v>
      </c>
      <c r="BA178" s="172">
        <v>0</v>
      </c>
      <c r="BC178" s="104">
        <f ca="1">IFERROR(OFFSET(ITEM_RES!$A$5,MATCH(BD178,ITEM_RES!$M$5:$M$84,0)-1,0),0)</f>
        <v>0</v>
      </c>
    </row>
    <row r="179" spans="1:55" x14ac:dyDescent="0.3">
      <c r="A179" s="107">
        <f t="shared" si="102"/>
        <v>321050215</v>
      </c>
      <c r="B179" s="106">
        <v>32</v>
      </c>
      <c r="C179" s="105">
        <f t="shared" si="103"/>
        <v>1</v>
      </c>
      <c r="D179" s="106">
        <v>5</v>
      </c>
      <c r="E179" s="106">
        <v>2</v>
      </c>
      <c r="F179" s="105">
        <f t="shared" si="80"/>
        <v>15</v>
      </c>
      <c r="H179" s="103">
        <v>1</v>
      </c>
      <c r="I179" s="105">
        <f t="shared" si="104"/>
        <v>105</v>
      </c>
      <c r="J179" s="172">
        <v>15</v>
      </c>
      <c r="L179" s="172" t="s">
        <v>1115</v>
      </c>
      <c r="M179" s="172" t="s">
        <v>1128</v>
      </c>
      <c r="N179" s="103" t="s">
        <v>380</v>
      </c>
      <c r="O179" s="103" t="s">
        <v>1078</v>
      </c>
      <c r="P179" s="172">
        <v>0</v>
      </c>
      <c r="Q179" s="172">
        <v>12</v>
      </c>
      <c r="R179" s="103" t="s">
        <v>1031</v>
      </c>
      <c r="S179" s="103">
        <v>321050201</v>
      </c>
      <c r="T179" s="104" t="str">
        <f t="shared" si="81"/>
        <v>UITexture/TechProd/321050201.png</v>
      </c>
      <c r="U179" s="172" t="s">
        <v>1143</v>
      </c>
      <c r="V179" s="104">
        <f t="shared" si="105"/>
        <v>0</v>
      </c>
      <c r="Z179" s="172">
        <v>1</v>
      </c>
      <c r="AB179" s="102">
        <f ca="1">IFERROR(OFFSET(BLDG_FUNC_PARAM!$A$5,MATCH(AC179,BLDG_FUNC_PARAM!$J$5:$J$68,0)-1,0),0)</f>
        <v>121050002</v>
      </c>
      <c r="AC179" s="103" t="s">
        <v>962</v>
      </c>
      <c r="AD179" s="102">
        <v>15</v>
      </c>
      <c r="AN179" s="102">
        <v>17</v>
      </c>
      <c r="AO179" s="102">
        <v>0</v>
      </c>
      <c r="AT179" s="104">
        <f t="shared" si="106"/>
        <v>900</v>
      </c>
      <c r="AW179" s="103">
        <v>15</v>
      </c>
      <c r="AY179" s="102">
        <v>1500</v>
      </c>
      <c r="AZ179" s="102">
        <v>150</v>
      </c>
      <c r="BA179" s="172">
        <v>0</v>
      </c>
      <c r="BC179" s="104">
        <f ca="1">IFERROR(OFFSET(ITEM_RES!$A$5,MATCH(BD179,ITEM_RES!$M$5:$M$84,0)-1,0),0)</f>
        <v>0</v>
      </c>
    </row>
    <row r="180" spans="1:55" x14ac:dyDescent="0.3">
      <c r="A180" s="107">
        <f t="shared" ref="A180:A189" si="107">B180*10000000+C180*1000000+D180*10000+E180*100+F180</f>
        <v>321050216</v>
      </c>
      <c r="B180" s="106">
        <v>32</v>
      </c>
      <c r="C180" s="105">
        <f t="shared" ref="C180:C189" si="108">H180</f>
        <v>1</v>
      </c>
      <c r="D180" s="106">
        <v>5</v>
      </c>
      <c r="E180" s="106">
        <v>2</v>
      </c>
      <c r="F180" s="105">
        <f t="shared" si="80"/>
        <v>16</v>
      </c>
      <c r="H180" s="103">
        <v>1</v>
      </c>
      <c r="I180" s="105">
        <f t="shared" ref="I180:I189" si="109">C180*100+D180</f>
        <v>105</v>
      </c>
      <c r="J180" s="172">
        <v>16</v>
      </c>
      <c r="L180" s="172" t="s">
        <v>1115</v>
      </c>
      <c r="M180" s="172" t="s">
        <v>1128</v>
      </c>
      <c r="N180" s="103" t="s">
        <v>380</v>
      </c>
      <c r="O180" s="103" t="s">
        <v>1078</v>
      </c>
      <c r="P180" s="172">
        <v>0</v>
      </c>
      <c r="Q180" s="172">
        <v>12</v>
      </c>
      <c r="R180" s="103" t="s">
        <v>1031</v>
      </c>
      <c r="S180" s="103">
        <v>321050201</v>
      </c>
      <c r="T180" s="104" t="str">
        <f t="shared" si="81"/>
        <v>UITexture/TechProd/321050201.png</v>
      </c>
      <c r="U180" s="172" t="s">
        <v>1143</v>
      </c>
      <c r="V180" s="104">
        <f t="shared" ref="V180:V189" si="110">W180*1000+X180</f>
        <v>0</v>
      </c>
      <c r="Z180" s="172">
        <v>1</v>
      </c>
      <c r="AB180" s="102">
        <f ca="1">IFERROR(OFFSET(BLDG_FUNC_PARAM!$A$5,MATCH(AC180,BLDG_FUNC_PARAM!$J$5:$J$68,0)-1,0),0)</f>
        <v>121050002</v>
      </c>
      <c r="AC180" s="103" t="s">
        <v>962</v>
      </c>
      <c r="AD180" s="102">
        <v>16</v>
      </c>
      <c r="AN180" s="102">
        <v>0</v>
      </c>
      <c r="AO180" s="102">
        <v>0</v>
      </c>
      <c r="AT180" s="104">
        <f t="shared" ref="AT180:AT189" si="111">((AU180*24+AV180)*60+AW180)*60+AX180</f>
        <v>960</v>
      </c>
      <c r="AW180" s="103">
        <v>16</v>
      </c>
      <c r="AY180" s="102">
        <v>1600</v>
      </c>
      <c r="AZ180" s="102">
        <v>160</v>
      </c>
      <c r="BA180" s="172">
        <v>0</v>
      </c>
      <c r="BC180" s="104">
        <f ca="1">IFERROR(OFFSET(ITEM_RES!$A$5,MATCH(BD180,ITEM_RES!$M$5:$M$84,0)-1,0),0)</f>
        <v>0</v>
      </c>
    </row>
    <row r="181" spans="1:55" x14ac:dyDescent="0.3">
      <c r="A181" s="107">
        <f t="shared" si="107"/>
        <v>321050217</v>
      </c>
      <c r="B181" s="106">
        <v>32</v>
      </c>
      <c r="C181" s="105">
        <f t="shared" si="108"/>
        <v>1</v>
      </c>
      <c r="D181" s="106">
        <v>5</v>
      </c>
      <c r="E181" s="106">
        <v>2</v>
      </c>
      <c r="F181" s="105">
        <f t="shared" si="80"/>
        <v>17</v>
      </c>
      <c r="H181" s="103">
        <v>1</v>
      </c>
      <c r="I181" s="105">
        <f t="shared" si="109"/>
        <v>105</v>
      </c>
      <c r="J181" s="172">
        <v>17</v>
      </c>
      <c r="L181" s="172" t="s">
        <v>1115</v>
      </c>
      <c r="M181" s="172" t="s">
        <v>1128</v>
      </c>
      <c r="N181" s="103" t="s">
        <v>380</v>
      </c>
      <c r="O181" s="103" t="s">
        <v>1078</v>
      </c>
      <c r="P181" s="172">
        <v>0</v>
      </c>
      <c r="Q181" s="172">
        <v>12</v>
      </c>
      <c r="R181" s="103" t="s">
        <v>1031</v>
      </c>
      <c r="S181" s="103">
        <v>321050201</v>
      </c>
      <c r="T181" s="104" t="str">
        <f t="shared" si="81"/>
        <v>UITexture/TechProd/321050201.png</v>
      </c>
      <c r="U181" s="172" t="s">
        <v>1143</v>
      </c>
      <c r="V181" s="104">
        <f t="shared" si="110"/>
        <v>0</v>
      </c>
      <c r="Z181" s="172">
        <v>1</v>
      </c>
      <c r="AB181" s="102">
        <f ca="1">IFERROR(OFFSET(BLDG_FUNC_PARAM!$A$5,MATCH(AC181,BLDG_FUNC_PARAM!$J$5:$J$68,0)-1,0),0)</f>
        <v>121050002</v>
      </c>
      <c r="AC181" s="103" t="s">
        <v>962</v>
      </c>
      <c r="AD181" s="102">
        <v>17</v>
      </c>
      <c r="AN181" s="102">
        <v>0</v>
      </c>
      <c r="AO181" s="102">
        <v>0</v>
      </c>
      <c r="AT181" s="104">
        <f t="shared" si="111"/>
        <v>1020</v>
      </c>
      <c r="AW181" s="103">
        <v>17</v>
      </c>
      <c r="AY181" s="102">
        <v>1700</v>
      </c>
      <c r="AZ181" s="102">
        <v>170</v>
      </c>
      <c r="BA181" s="172">
        <v>0</v>
      </c>
      <c r="BC181" s="104">
        <f ca="1">IFERROR(OFFSET(ITEM_RES!$A$5,MATCH(BD181,ITEM_RES!$M$5:$M$84,0)-1,0),0)</f>
        <v>0</v>
      </c>
    </row>
    <row r="182" spans="1:55" x14ac:dyDescent="0.3">
      <c r="A182" s="107">
        <f t="shared" si="107"/>
        <v>321050218</v>
      </c>
      <c r="B182" s="106">
        <v>32</v>
      </c>
      <c r="C182" s="105">
        <f t="shared" si="108"/>
        <v>1</v>
      </c>
      <c r="D182" s="106">
        <v>5</v>
      </c>
      <c r="E182" s="106">
        <v>2</v>
      </c>
      <c r="F182" s="105">
        <f t="shared" si="80"/>
        <v>18</v>
      </c>
      <c r="H182" s="103">
        <v>1</v>
      </c>
      <c r="I182" s="105">
        <f t="shared" si="109"/>
        <v>105</v>
      </c>
      <c r="J182" s="172">
        <v>18</v>
      </c>
      <c r="L182" s="172" t="s">
        <v>1115</v>
      </c>
      <c r="M182" s="172" t="s">
        <v>1128</v>
      </c>
      <c r="N182" s="103" t="s">
        <v>380</v>
      </c>
      <c r="O182" s="103" t="s">
        <v>1078</v>
      </c>
      <c r="P182" s="172">
        <v>0</v>
      </c>
      <c r="Q182" s="172">
        <v>12</v>
      </c>
      <c r="R182" s="103" t="s">
        <v>1031</v>
      </c>
      <c r="S182" s="103">
        <v>321050201</v>
      </c>
      <c r="T182" s="104" t="str">
        <f t="shared" si="81"/>
        <v>UITexture/TechProd/321050201.png</v>
      </c>
      <c r="U182" s="172" t="s">
        <v>1143</v>
      </c>
      <c r="V182" s="104">
        <f t="shared" si="110"/>
        <v>0</v>
      </c>
      <c r="Z182" s="172">
        <v>1</v>
      </c>
      <c r="AB182" s="102">
        <f ca="1">IFERROR(OFFSET(BLDG_FUNC_PARAM!$A$5,MATCH(AC182,BLDG_FUNC_PARAM!$J$5:$J$68,0)-1,0),0)</f>
        <v>121050002</v>
      </c>
      <c r="AC182" s="103" t="s">
        <v>962</v>
      </c>
      <c r="AD182" s="102">
        <v>18</v>
      </c>
      <c r="AN182" s="102">
        <v>0</v>
      </c>
      <c r="AO182" s="102">
        <v>0</v>
      </c>
      <c r="AT182" s="104">
        <f t="shared" si="111"/>
        <v>1080</v>
      </c>
      <c r="AW182" s="103">
        <v>18</v>
      </c>
      <c r="AY182" s="102">
        <v>1800</v>
      </c>
      <c r="AZ182" s="102">
        <v>180</v>
      </c>
      <c r="BA182" s="172">
        <v>0</v>
      </c>
      <c r="BC182" s="104">
        <f ca="1">IFERROR(OFFSET(ITEM_RES!$A$5,MATCH(BD182,ITEM_RES!$M$5:$M$84,0)-1,0),0)</f>
        <v>0</v>
      </c>
    </row>
    <row r="183" spans="1:55" x14ac:dyDescent="0.3">
      <c r="A183" s="107">
        <f t="shared" si="107"/>
        <v>321050219</v>
      </c>
      <c r="B183" s="106">
        <v>32</v>
      </c>
      <c r="C183" s="105">
        <f t="shared" si="108"/>
        <v>1</v>
      </c>
      <c r="D183" s="106">
        <v>5</v>
      </c>
      <c r="E183" s="106">
        <v>2</v>
      </c>
      <c r="F183" s="105">
        <f t="shared" si="80"/>
        <v>19</v>
      </c>
      <c r="H183" s="103">
        <v>1</v>
      </c>
      <c r="I183" s="105">
        <f t="shared" si="109"/>
        <v>105</v>
      </c>
      <c r="J183" s="172">
        <v>19</v>
      </c>
      <c r="L183" s="172" t="s">
        <v>1115</v>
      </c>
      <c r="M183" s="172" t="s">
        <v>1128</v>
      </c>
      <c r="N183" s="103" t="s">
        <v>380</v>
      </c>
      <c r="O183" s="103" t="s">
        <v>1078</v>
      </c>
      <c r="P183" s="172">
        <v>0</v>
      </c>
      <c r="Q183" s="172">
        <v>12</v>
      </c>
      <c r="R183" s="103" t="s">
        <v>1031</v>
      </c>
      <c r="S183" s="103">
        <v>321050201</v>
      </c>
      <c r="T183" s="104" t="str">
        <f t="shared" si="81"/>
        <v>UITexture/TechProd/321050201.png</v>
      </c>
      <c r="U183" s="172" t="s">
        <v>1143</v>
      </c>
      <c r="V183" s="104">
        <f t="shared" si="110"/>
        <v>0</v>
      </c>
      <c r="Z183" s="172">
        <v>1</v>
      </c>
      <c r="AB183" s="102">
        <f ca="1">IFERROR(OFFSET(BLDG_FUNC_PARAM!$A$5,MATCH(AC183,BLDG_FUNC_PARAM!$J$5:$J$68,0)-1,0),0)</f>
        <v>121050002</v>
      </c>
      <c r="AC183" s="103" t="s">
        <v>962</v>
      </c>
      <c r="AD183" s="102">
        <v>19</v>
      </c>
      <c r="AN183" s="102">
        <v>0</v>
      </c>
      <c r="AO183" s="102">
        <v>0</v>
      </c>
      <c r="AT183" s="104">
        <f t="shared" si="111"/>
        <v>1140</v>
      </c>
      <c r="AW183" s="103">
        <v>19</v>
      </c>
      <c r="AY183" s="102">
        <v>1900</v>
      </c>
      <c r="AZ183" s="102">
        <v>190</v>
      </c>
      <c r="BA183" s="172">
        <v>0</v>
      </c>
      <c r="BC183" s="104">
        <f ca="1">IFERROR(OFFSET(ITEM_RES!$A$5,MATCH(BD183,ITEM_RES!$M$5:$M$84,0)-1,0),0)</f>
        <v>0</v>
      </c>
    </row>
    <row r="184" spans="1:55" x14ac:dyDescent="0.3">
      <c r="A184" s="107">
        <f t="shared" si="107"/>
        <v>321050220</v>
      </c>
      <c r="B184" s="106">
        <v>32</v>
      </c>
      <c r="C184" s="105">
        <f t="shared" si="108"/>
        <v>1</v>
      </c>
      <c r="D184" s="106">
        <v>5</v>
      </c>
      <c r="E184" s="106">
        <v>2</v>
      </c>
      <c r="F184" s="105">
        <f t="shared" si="80"/>
        <v>20</v>
      </c>
      <c r="H184" s="103">
        <v>1</v>
      </c>
      <c r="I184" s="105">
        <f t="shared" si="109"/>
        <v>105</v>
      </c>
      <c r="J184" s="172">
        <v>20</v>
      </c>
      <c r="L184" s="172" t="s">
        <v>1115</v>
      </c>
      <c r="M184" s="172" t="s">
        <v>1128</v>
      </c>
      <c r="N184" s="103" t="s">
        <v>380</v>
      </c>
      <c r="O184" s="103" t="s">
        <v>1078</v>
      </c>
      <c r="P184" s="172">
        <v>0</v>
      </c>
      <c r="Q184" s="172">
        <v>12</v>
      </c>
      <c r="R184" s="103" t="s">
        <v>1031</v>
      </c>
      <c r="S184" s="103">
        <v>321050201</v>
      </c>
      <c r="T184" s="104" t="str">
        <f t="shared" si="81"/>
        <v>UITexture/TechProd/321050201.png</v>
      </c>
      <c r="U184" s="172" t="s">
        <v>1143</v>
      </c>
      <c r="V184" s="104">
        <f t="shared" si="110"/>
        <v>0</v>
      </c>
      <c r="Z184" s="172">
        <v>1</v>
      </c>
      <c r="AB184" s="102">
        <f ca="1">IFERROR(OFFSET(BLDG_FUNC_PARAM!$A$5,MATCH(AC184,BLDG_FUNC_PARAM!$J$5:$J$68,0)-1,0),0)</f>
        <v>121050002</v>
      </c>
      <c r="AC184" s="103" t="s">
        <v>962</v>
      </c>
      <c r="AD184" s="102">
        <v>20</v>
      </c>
      <c r="AN184" s="102">
        <v>21</v>
      </c>
      <c r="AO184" s="102">
        <v>0</v>
      </c>
      <c r="AT184" s="104">
        <f t="shared" si="111"/>
        <v>1200</v>
      </c>
      <c r="AW184" s="103">
        <v>20</v>
      </c>
      <c r="AY184" s="102">
        <v>2000</v>
      </c>
      <c r="AZ184" s="102">
        <v>200</v>
      </c>
      <c r="BA184" s="172">
        <v>0</v>
      </c>
      <c r="BC184" s="104">
        <f ca="1">IFERROR(OFFSET(ITEM_RES!$A$5,MATCH(BD184,ITEM_RES!$M$5:$M$84,0)-1,0),0)</f>
        <v>0</v>
      </c>
    </row>
    <row r="185" spans="1:55" x14ac:dyDescent="0.3">
      <c r="A185" s="107">
        <f t="shared" si="107"/>
        <v>321050221</v>
      </c>
      <c r="B185" s="106">
        <v>32</v>
      </c>
      <c r="C185" s="105">
        <f t="shared" si="108"/>
        <v>1</v>
      </c>
      <c r="D185" s="106">
        <v>5</v>
      </c>
      <c r="E185" s="106">
        <v>2</v>
      </c>
      <c r="F185" s="105">
        <f t="shared" si="80"/>
        <v>21</v>
      </c>
      <c r="H185" s="103">
        <v>1</v>
      </c>
      <c r="I185" s="105">
        <f t="shared" si="109"/>
        <v>105</v>
      </c>
      <c r="J185" s="172">
        <v>21</v>
      </c>
      <c r="L185" s="172" t="s">
        <v>1115</v>
      </c>
      <c r="M185" s="172" t="s">
        <v>1128</v>
      </c>
      <c r="N185" s="103" t="s">
        <v>380</v>
      </c>
      <c r="O185" s="103" t="s">
        <v>1078</v>
      </c>
      <c r="P185" s="172">
        <v>0</v>
      </c>
      <c r="Q185" s="172">
        <v>12</v>
      </c>
      <c r="R185" s="103" t="s">
        <v>1031</v>
      </c>
      <c r="S185" s="103">
        <v>321050201</v>
      </c>
      <c r="T185" s="104" t="str">
        <f t="shared" si="81"/>
        <v>UITexture/TechProd/321050201.png</v>
      </c>
      <c r="U185" s="172" t="s">
        <v>1143</v>
      </c>
      <c r="V185" s="104">
        <f t="shared" si="110"/>
        <v>0</v>
      </c>
      <c r="Z185" s="172">
        <v>1</v>
      </c>
      <c r="AB185" s="102">
        <f ca="1">IFERROR(OFFSET(BLDG_FUNC_PARAM!$A$5,MATCH(AC185,BLDG_FUNC_PARAM!$J$5:$J$68,0)-1,0),0)</f>
        <v>121050002</v>
      </c>
      <c r="AC185" s="103" t="s">
        <v>962</v>
      </c>
      <c r="AD185" s="102">
        <v>21</v>
      </c>
      <c r="AN185" s="102">
        <v>0</v>
      </c>
      <c r="AO185" s="102">
        <v>0</v>
      </c>
      <c r="AT185" s="104">
        <f t="shared" si="111"/>
        <v>1260</v>
      </c>
      <c r="AW185" s="103">
        <v>21</v>
      </c>
      <c r="AY185" s="102">
        <v>2100</v>
      </c>
      <c r="AZ185" s="102">
        <v>210</v>
      </c>
      <c r="BA185" s="172">
        <v>0</v>
      </c>
      <c r="BC185" s="104">
        <f ca="1">IFERROR(OFFSET(ITEM_RES!$A$5,MATCH(BD185,ITEM_RES!$M$5:$M$84,0)-1,0),0)</f>
        <v>0</v>
      </c>
    </row>
    <row r="186" spans="1:55" x14ac:dyDescent="0.3">
      <c r="A186" s="107">
        <f t="shared" si="107"/>
        <v>321050222</v>
      </c>
      <c r="B186" s="106">
        <v>32</v>
      </c>
      <c r="C186" s="105">
        <f t="shared" si="108"/>
        <v>1</v>
      </c>
      <c r="D186" s="106">
        <v>5</v>
      </c>
      <c r="E186" s="106">
        <v>2</v>
      </c>
      <c r="F186" s="105">
        <f t="shared" si="80"/>
        <v>22</v>
      </c>
      <c r="H186" s="103">
        <v>1</v>
      </c>
      <c r="I186" s="105">
        <f t="shared" si="109"/>
        <v>105</v>
      </c>
      <c r="J186" s="172">
        <v>22</v>
      </c>
      <c r="L186" s="172" t="s">
        <v>1115</v>
      </c>
      <c r="M186" s="172" t="s">
        <v>1128</v>
      </c>
      <c r="N186" s="103" t="s">
        <v>380</v>
      </c>
      <c r="O186" s="103" t="s">
        <v>1078</v>
      </c>
      <c r="P186" s="172">
        <v>0</v>
      </c>
      <c r="Q186" s="172">
        <v>12</v>
      </c>
      <c r="R186" s="103" t="s">
        <v>1031</v>
      </c>
      <c r="S186" s="103">
        <v>321050201</v>
      </c>
      <c r="T186" s="104" t="str">
        <f t="shared" si="81"/>
        <v>UITexture/TechProd/321050201.png</v>
      </c>
      <c r="U186" s="172" t="s">
        <v>1143</v>
      </c>
      <c r="V186" s="104">
        <f t="shared" si="110"/>
        <v>0</v>
      </c>
      <c r="Z186" s="172">
        <v>1</v>
      </c>
      <c r="AB186" s="102">
        <f ca="1">IFERROR(OFFSET(BLDG_FUNC_PARAM!$A$5,MATCH(AC186,BLDG_FUNC_PARAM!$J$5:$J$68,0)-1,0),0)</f>
        <v>121050002</v>
      </c>
      <c r="AC186" s="103" t="s">
        <v>962</v>
      </c>
      <c r="AD186" s="102">
        <v>22</v>
      </c>
      <c r="AN186" s="102">
        <v>0</v>
      </c>
      <c r="AO186" s="102">
        <v>0</v>
      </c>
      <c r="AT186" s="104">
        <f t="shared" si="111"/>
        <v>1320</v>
      </c>
      <c r="AW186" s="103">
        <v>22</v>
      </c>
      <c r="AY186" s="102">
        <v>2200</v>
      </c>
      <c r="AZ186" s="102">
        <v>220</v>
      </c>
      <c r="BA186" s="172">
        <v>0</v>
      </c>
      <c r="BC186" s="104">
        <f ca="1">IFERROR(OFFSET(ITEM_RES!$A$5,MATCH(BD186,ITEM_RES!$M$5:$M$84,0)-1,0),0)</f>
        <v>0</v>
      </c>
    </row>
    <row r="187" spans="1:55" x14ac:dyDescent="0.3">
      <c r="A187" s="107">
        <f t="shared" si="107"/>
        <v>321050223</v>
      </c>
      <c r="B187" s="106">
        <v>32</v>
      </c>
      <c r="C187" s="105">
        <f t="shared" si="108"/>
        <v>1</v>
      </c>
      <c r="D187" s="106">
        <v>5</v>
      </c>
      <c r="E187" s="106">
        <v>2</v>
      </c>
      <c r="F187" s="105">
        <f t="shared" si="80"/>
        <v>23</v>
      </c>
      <c r="H187" s="103">
        <v>1</v>
      </c>
      <c r="I187" s="105">
        <f t="shared" si="109"/>
        <v>105</v>
      </c>
      <c r="J187" s="172">
        <v>23</v>
      </c>
      <c r="L187" s="172" t="s">
        <v>1115</v>
      </c>
      <c r="M187" s="172" t="s">
        <v>1128</v>
      </c>
      <c r="N187" s="103" t="s">
        <v>380</v>
      </c>
      <c r="O187" s="103" t="s">
        <v>1078</v>
      </c>
      <c r="P187" s="172">
        <v>0</v>
      </c>
      <c r="Q187" s="172">
        <v>12</v>
      </c>
      <c r="R187" s="103" t="s">
        <v>1031</v>
      </c>
      <c r="S187" s="103">
        <v>321050201</v>
      </c>
      <c r="T187" s="104" t="str">
        <f t="shared" si="81"/>
        <v>UITexture/TechProd/321050201.png</v>
      </c>
      <c r="U187" s="172" t="s">
        <v>1143</v>
      </c>
      <c r="V187" s="104">
        <f t="shared" si="110"/>
        <v>0</v>
      </c>
      <c r="Z187" s="172">
        <v>1</v>
      </c>
      <c r="AB187" s="102">
        <f ca="1">IFERROR(OFFSET(BLDG_FUNC_PARAM!$A$5,MATCH(AC187,BLDG_FUNC_PARAM!$J$5:$J$68,0)-1,0),0)</f>
        <v>121050002</v>
      </c>
      <c r="AC187" s="103" t="s">
        <v>962</v>
      </c>
      <c r="AD187" s="102">
        <v>23</v>
      </c>
      <c r="AN187" s="102">
        <v>0</v>
      </c>
      <c r="AO187" s="102">
        <v>0</v>
      </c>
      <c r="AT187" s="104">
        <f t="shared" si="111"/>
        <v>1380</v>
      </c>
      <c r="AW187" s="103">
        <v>23</v>
      </c>
      <c r="AY187" s="102">
        <v>2300</v>
      </c>
      <c r="AZ187" s="102">
        <v>230</v>
      </c>
      <c r="BA187" s="172">
        <v>0</v>
      </c>
      <c r="BC187" s="104">
        <f ca="1">IFERROR(OFFSET(ITEM_RES!$A$5,MATCH(BD187,ITEM_RES!$M$5:$M$84,0)-1,0),0)</f>
        <v>0</v>
      </c>
    </row>
    <row r="188" spans="1:55" x14ac:dyDescent="0.3">
      <c r="A188" s="107">
        <f t="shared" si="107"/>
        <v>321050224</v>
      </c>
      <c r="B188" s="106">
        <v>32</v>
      </c>
      <c r="C188" s="105">
        <f t="shared" si="108"/>
        <v>1</v>
      </c>
      <c r="D188" s="106">
        <v>5</v>
      </c>
      <c r="E188" s="106">
        <v>2</v>
      </c>
      <c r="F188" s="105">
        <f t="shared" si="80"/>
        <v>24</v>
      </c>
      <c r="H188" s="103">
        <v>1</v>
      </c>
      <c r="I188" s="105">
        <f t="shared" si="109"/>
        <v>105</v>
      </c>
      <c r="J188" s="172">
        <v>24</v>
      </c>
      <c r="L188" s="172" t="s">
        <v>1115</v>
      </c>
      <c r="M188" s="172" t="s">
        <v>1128</v>
      </c>
      <c r="N188" s="103" t="s">
        <v>380</v>
      </c>
      <c r="O188" s="103" t="s">
        <v>1078</v>
      </c>
      <c r="P188" s="172">
        <v>0</v>
      </c>
      <c r="Q188" s="172">
        <v>12</v>
      </c>
      <c r="R188" s="103" t="s">
        <v>1031</v>
      </c>
      <c r="S188" s="103">
        <v>321050201</v>
      </c>
      <c r="T188" s="104" t="str">
        <f t="shared" si="81"/>
        <v>UITexture/TechProd/321050201.png</v>
      </c>
      <c r="U188" s="172" t="s">
        <v>1143</v>
      </c>
      <c r="V188" s="104">
        <f t="shared" si="110"/>
        <v>0</v>
      </c>
      <c r="Z188" s="172">
        <v>1</v>
      </c>
      <c r="AB188" s="102">
        <f ca="1">IFERROR(OFFSET(BLDG_FUNC_PARAM!$A$5,MATCH(AC188,BLDG_FUNC_PARAM!$J$5:$J$68,0)-1,0),0)</f>
        <v>121050002</v>
      </c>
      <c r="AC188" s="103" t="s">
        <v>962</v>
      </c>
      <c r="AD188" s="102">
        <v>24</v>
      </c>
      <c r="AN188" s="102">
        <v>0</v>
      </c>
      <c r="AO188" s="102">
        <v>0</v>
      </c>
      <c r="AT188" s="104">
        <f t="shared" si="111"/>
        <v>1440</v>
      </c>
      <c r="AW188" s="103">
        <v>24</v>
      </c>
      <c r="AY188" s="102">
        <v>2400</v>
      </c>
      <c r="AZ188" s="102">
        <v>240</v>
      </c>
      <c r="BA188" s="172">
        <v>0</v>
      </c>
      <c r="BC188" s="104">
        <f ca="1">IFERROR(OFFSET(ITEM_RES!$A$5,MATCH(BD188,ITEM_RES!$M$5:$M$84,0)-1,0),0)</f>
        <v>0</v>
      </c>
    </row>
    <row r="189" spans="1:55" x14ac:dyDescent="0.3">
      <c r="A189" s="107">
        <f t="shared" si="107"/>
        <v>321050225</v>
      </c>
      <c r="B189" s="106">
        <v>32</v>
      </c>
      <c r="C189" s="105">
        <f t="shared" si="108"/>
        <v>1</v>
      </c>
      <c r="D189" s="106">
        <v>5</v>
      </c>
      <c r="E189" s="106">
        <v>2</v>
      </c>
      <c r="F189" s="105">
        <f t="shared" si="80"/>
        <v>25</v>
      </c>
      <c r="H189" s="103">
        <v>1</v>
      </c>
      <c r="I189" s="105">
        <f t="shared" si="109"/>
        <v>105</v>
      </c>
      <c r="J189" s="172">
        <v>25</v>
      </c>
      <c r="L189" s="172" t="s">
        <v>1115</v>
      </c>
      <c r="M189" s="172" t="s">
        <v>1128</v>
      </c>
      <c r="N189" s="103" t="s">
        <v>380</v>
      </c>
      <c r="O189" s="103" t="s">
        <v>1078</v>
      </c>
      <c r="P189" s="172">
        <v>0</v>
      </c>
      <c r="Q189" s="172">
        <v>12</v>
      </c>
      <c r="R189" s="103" t="s">
        <v>1031</v>
      </c>
      <c r="S189" s="103">
        <v>321050201</v>
      </c>
      <c r="T189" s="104" t="str">
        <f t="shared" si="81"/>
        <v>UITexture/TechProd/321050201.png</v>
      </c>
      <c r="U189" s="172" t="s">
        <v>1143</v>
      </c>
      <c r="V189" s="104">
        <f t="shared" si="110"/>
        <v>0</v>
      </c>
      <c r="Z189" s="172">
        <v>1</v>
      </c>
      <c r="AB189" s="102">
        <f ca="1">IFERROR(OFFSET(BLDG_FUNC_PARAM!$A$5,MATCH(AC189,BLDG_FUNC_PARAM!$J$5:$J$68,0)-1,0),0)</f>
        <v>121050002</v>
      </c>
      <c r="AC189" s="103" t="s">
        <v>962</v>
      </c>
      <c r="AD189" s="102">
        <v>25</v>
      </c>
      <c r="AN189" s="102">
        <v>26</v>
      </c>
      <c r="AO189" s="102">
        <v>0</v>
      </c>
      <c r="AT189" s="104">
        <f t="shared" si="111"/>
        <v>1500</v>
      </c>
      <c r="AW189" s="103">
        <v>25</v>
      </c>
      <c r="AY189" s="102">
        <v>2500</v>
      </c>
      <c r="AZ189" s="102">
        <v>250</v>
      </c>
      <c r="BA189" s="172">
        <v>0</v>
      </c>
      <c r="BC189" s="104">
        <f ca="1">IFERROR(OFFSET(ITEM_RES!$A$5,MATCH(BD189,ITEM_RES!$M$5:$M$84,0)-1,0),0)</f>
        <v>0</v>
      </c>
    </row>
    <row r="190" spans="1:55" x14ac:dyDescent="0.3">
      <c r="A190" s="107">
        <f t="shared" ref="A190:A194" si="112">B190*10000000+C190*1000000+D190*10000+E190*100+F190</f>
        <v>321050226</v>
      </c>
      <c r="B190" s="106">
        <v>32</v>
      </c>
      <c r="C190" s="105">
        <f t="shared" ref="C190:C194" si="113">H190</f>
        <v>1</v>
      </c>
      <c r="D190" s="106">
        <v>5</v>
      </c>
      <c r="E190" s="106">
        <v>2</v>
      </c>
      <c r="F190" s="105">
        <f t="shared" si="80"/>
        <v>26</v>
      </c>
      <c r="H190" s="103">
        <v>1</v>
      </c>
      <c r="I190" s="105">
        <f t="shared" ref="I190:I194" si="114">C190*100+D190</f>
        <v>105</v>
      </c>
      <c r="J190" s="172">
        <v>26</v>
      </c>
      <c r="L190" s="172" t="s">
        <v>1115</v>
      </c>
      <c r="M190" s="172" t="s">
        <v>1128</v>
      </c>
      <c r="N190" s="103" t="s">
        <v>380</v>
      </c>
      <c r="O190" s="103" t="s">
        <v>1078</v>
      </c>
      <c r="P190" s="172">
        <v>0</v>
      </c>
      <c r="Q190" s="172">
        <v>12</v>
      </c>
      <c r="R190" s="103" t="s">
        <v>1031</v>
      </c>
      <c r="S190" s="103">
        <v>321050201</v>
      </c>
      <c r="T190" s="104" t="str">
        <f t="shared" si="81"/>
        <v>UITexture/TechProd/321050201.png</v>
      </c>
      <c r="U190" s="172" t="s">
        <v>1143</v>
      </c>
      <c r="V190" s="104">
        <f t="shared" ref="V190:V194" si="115">W190*1000+X190</f>
        <v>0</v>
      </c>
      <c r="Z190" s="172">
        <v>1</v>
      </c>
      <c r="AB190" s="102">
        <f ca="1">IFERROR(OFFSET(BLDG_FUNC_PARAM!$A$5,MATCH(AC190,BLDG_FUNC_PARAM!$J$5:$J$68,0)-1,0),0)</f>
        <v>121050002</v>
      </c>
      <c r="AC190" s="103" t="s">
        <v>962</v>
      </c>
      <c r="AD190" s="102">
        <v>26</v>
      </c>
      <c r="AN190" s="102">
        <v>0</v>
      </c>
      <c r="AO190" s="102">
        <v>0</v>
      </c>
      <c r="AT190" s="104">
        <f t="shared" ref="AT190:AT194" si="116">((AU190*24+AV190)*60+AW190)*60+AX190</f>
        <v>1560</v>
      </c>
      <c r="AW190" s="103">
        <v>26</v>
      </c>
      <c r="AY190" s="102">
        <v>2600</v>
      </c>
      <c r="AZ190" s="102">
        <v>260</v>
      </c>
      <c r="BA190" s="172">
        <v>0</v>
      </c>
      <c r="BC190" s="104">
        <f ca="1">IFERROR(OFFSET(ITEM_RES!$A$5,MATCH(BD190,ITEM_RES!$M$5:$M$84,0)-1,0),0)</f>
        <v>0</v>
      </c>
    </row>
    <row r="191" spans="1:55" x14ac:dyDescent="0.3">
      <c r="A191" s="107">
        <f t="shared" si="112"/>
        <v>321050227</v>
      </c>
      <c r="B191" s="106">
        <v>32</v>
      </c>
      <c r="C191" s="105">
        <f t="shared" si="113"/>
        <v>1</v>
      </c>
      <c r="D191" s="106">
        <v>5</v>
      </c>
      <c r="E191" s="106">
        <v>2</v>
      </c>
      <c r="F191" s="105">
        <f t="shared" si="80"/>
        <v>27</v>
      </c>
      <c r="H191" s="103">
        <v>1</v>
      </c>
      <c r="I191" s="105">
        <f t="shared" si="114"/>
        <v>105</v>
      </c>
      <c r="J191" s="172">
        <v>27</v>
      </c>
      <c r="L191" s="172" t="s">
        <v>1115</v>
      </c>
      <c r="M191" s="172" t="s">
        <v>1128</v>
      </c>
      <c r="N191" s="103" t="s">
        <v>380</v>
      </c>
      <c r="O191" s="103" t="s">
        <v>1078</v>
      </c>
      <c r="P191" s="172">
        <v>0</v>
      </c>
      <c r="Q191" s="172">
        <v>12</v>
      </c>
      <c r="R191" s="103" t="s">
        <v>1031</v>
      </c>
      <c r="S191" s="103">
        <v>321050201</v>
      </c>
      <c r="T191" s="104" t="str">
        <f t="shared" si="81"/>
        <v>UITexture/TechProd/321050201.png</v>
      </c>
      <c r="U191" s="172" t="s">
        <v>1143</v>
      </c>
      <c r="V191" s="104">
        <f t="shared" si="115"/>
        <v>0</v>
      </c>
      <c r="Z191" s="172">
        <v>1</v>
      </c>
      <c r="AB191" s="102">
        <f ca="1">IFERROR(OFFSET(BLDG_FUNC_PARAM!$A$5,MATCH(AC191,BLDG_FUNC_PARAM!$J$5:$J$68,0)-1,0),0)</f>
        <v>121050002</v>
      </c>
      <c r="AC191" s="103" t="s">
        <v>962</v>
      </c>
      <c r="AD191" s="102">
        <v>27</v>
      </c>
      <c r="AN191" s="102">
        <v>0</v>
      </c>
      <c r="AO191" s="102">
        <v>0</v>
      </c>
      <c r="AT191" s="104">
        <f t="shared" si="116"/>
        <v>1620</v>
      </c>
      <c r="AW191" s="103">
        <v>27</v>
      </c>
      <c r="AY191" s="102">
        <v>2700</v>
      </c>
      <c r="AZ191" s="102">
        <v>270</v>
      </c>
      <c r="BA191" s="172">
        <v>0</v>
      </c>
      <c r="BC191" s="104">
        <f ca="1">IFERROR(OFFSET(ITEM_RES!$A$5,MATCH(BD191,ITEM_RES!$M$5:$M$84,0)-1,0),0)</f>
        <v>0</v>
      </c>
    </row>
    <row r="192" spans="1:55" x14ac:dyDescent="0.3">
      <c r="A192" s="107">
        <f t="shared" si="112"/>
        <v>321050228</v>
      </c>
      <c r="B192" s="106">
        <v>32</v>
      </c>
      <c r="C192" s="105">
        <f t="shared" si="113"/>
        <v>1</v>
      </c>
      <c r="D192" s="106">
        <v>5</v>
      </c>
      <c r="E192" s="106">
        <v>2</v>
      </c>
      <c r="F192" s="105">
        <f t="shared" si="80"/>
        <v>28</v>
      </c>
      <c r="H192" s="103">
        <v>1</v>
      </c>
      <c r="I192" s="105">
        <f t="shared" si="114"/>
        <v>105</v>
      </c>
      <c r="J192" s="172">
        <v>28</v>
      </c>
      <c r="L192" s="172" t="s">
        <v>1115</v>
      </c>
      <c r="M192" s="172" t="s">
        <v>1128</v>
      </c>
      <c r="N192" s="103" t="s">
        <v>380</v>
      </c>
      <c r="O192" s="103" t="s">
        <v>1078</v>
      </c>
      <c r="P192" s="172">
        <v>0</v>
      </c>
      <c r="Q192" s="172">
        <v>12</v>
      </c>
      <c r="R192" s="103" t="s">
        <v>1031</v>
      </c>
      <c r="S192" s="103">
        <v>321050201</v>
      </c>
      <c r="T192" s="104" t="str">
        <f t="shared" si="81"/>
        <v>UITexture/TechProd/321050201.png</v>
      </c>
      <c r="U192" s="172" t="s">
        <v>1143</v>
      </c>
      <c r="V192" s="104">
        <f t="shared" si="115"/>
        <v>0</v>
      </c>
      <c r="Z192" s="172">
        <v>1</v>
      </c>
      <c r="AB192" s="102">
        <f ca="1">IFERROR(OFFSET(BLDG_FUNC_PARAM!$A$5,MATCH(AC192,BLDG_FUNC_PARAM!$J$5:$J$68,0)-1,0),0)</f>
        <v>121050002</v>
      </c>
      <c r="AC192" s="103" t="s">
        <v>962</v>
      </c>
      <c r="AD192" s="102">
        <v>28</v>
      </c>
      <c r="AN192" s="102">
        <v>0</v>
      </c>
      <c r="AO192" s="102">
        <v>0</v>
      </c>
      <c r="AT192" s="104">
        <f t="shared" si="116"/>
        <v>1680</v>
      </c>
      <c r="AW192" s="103">
        <v>28</v>
      </c>
      <c r="AY192" s="102">
        <v>2800</v>
      </c>
      <c r="AZ192" s="102">
        <v>280</v>
      </c>
      <c r="BA192" s="172">
        <v>0</v>
      </c>
      <c r="BC192" s="104">
        <f ca="1">IFERROR(OFFSET(ITEM_RES!$A$5,MATCH(BD192,ITEM_RES!$M$5:$M$84,0)-1,0),0)</f>
        <v>0</v>
      </c>
    </row>
    <row r="193" spans="1:73" x14ac:dyDescent="0.3">
      <c r="A193" s="107">
        <f t="shared" si="112"/>
        <v>321050229</v>
      </c>
      <c r="B193" s="106">
        <v>32</v>
      </c>
      <c r="C193" s="105">
        <f t="shared" si="113"/>
        <v>1</v>
      </c>
      <c r="D193" s="106">
        <v>5</v>
      </c>
      <c r="E193" s="106">
        <v>2</v>
      </c>
      <c r="F193" s="105">
        <f t="shared" si="80"/>
        <v>29</v>
      </c>
      <c r="H193" s="103">
        <v>1</v>
      </c>
      <c r="I193" s="105">
        <f t="shared" si="114"/>
        <v>105</v>
      </c>
      <c r="J193" s="172">
        <v>29</v>
      </c>
      <c r="L193" s="172" t="s">
        <v>1115</v>
      </c>
      <c r="M193" s="172" t="s">
        <v>1128</v>
      </c>
      <c r="N193" s="103" t="s">
        <v>380</v>
      </c>
      <c r="O193" s="103" t="s">
        <v>1078</v>
      </c>
      <c r="P193" s="172">
        <v>0</v>
      </c>
      <c r="Q193" s="172">
        <v>12</v>
      </c>
      <c r="R193" s="103" t="s">
        <v>1031</v>
      </c>
      <c r="S193" s="103">
        <v>321050201</v>
      </c>
      <c r="T193" s="104" t="str">
        <f t="shared" si="81"/>
        <v>UITexture/TechProd/321050201.png</v>
      </c>
      <c r="U193" s="172" t="s">
        <v>1143</v>
      </c>
      <c r="V193" s="104">
        <f t="shared" si="115"/>
        <v>0</v>
      </c>
      <c r="Z193" s="172">
        <v>1</v>
      </c>
      <c r="AB193" s="102">
        <f ca="1">IFERROR(OFFSET(BLDG_FUNC_PARAM!$A$5,MATCH(AC193,BLDG_FUNC_PARAM!$J$5:$J$68,0)-1,0),0)</f>
        <v>121050002</v>
      </c>
      <c r="AC193" s="103" t="s">
        <v>962</v>
      </c>
      <c r="AD193" s="102">
        <v>29</v>
      </c>
      <c r="AN193" s="102">
        <v>0</v>
      </c>
      <c r="AO193" s="102">
        <v>0</v>
      </c>
      <c r="AT193" s="104">
        <f t="shared" si="116"/>
        <v>1740</v>
      </c>
      <c r="AW193" s="103">
        <v>29</v>
      </c>
      <c r="AY193" s="102">
        <v>2900</v>
      </c>
      <c r="AZ193" s="102">
        <v>290</v>
      </c>
      <c r="BA193" s="172">
        <v>0</v>
      </c>
      <c r="BC193" s="104">
        <f ca="1">IFERROR(OFFSET(ITEM_RES!$A$5,MATCH(BD193,ITEM_RES!$M$5:$M$84,0)-1,0),0)</f>
        <v>0</v>
      </c>
    </row>
    <row r="194" spans="1:73" s="108" customFormat="1" ht="17.25" thickBot="1" x14ac:dyDescent="0.35">
      <c r="A194" s="114">
        <f t="shared" si="112"/>
        <v>321050230</v>
      </c>
      <c r="B194" s="113">
        <v>32</v>
      </c>
      <c r="C194" s="112">
        <f t="shared" si="113"/>
        <v>1</v>
      </c>
      <c r="D194" s="113">
        <v>5</v>
      </c>
      <c r="E194" s="113">
        <v>2</v>
      </c>
      <c r="F194" s="112">
        <f t="shared" si="80"/>
        <v>30</v>
      </c>
      <c r="G194" s="259"/>
      <c r="H194" s="110">
        <v>1</v>
      </c>
      <c r="I194" s="112">
        <f t="shared" si="114"/>
        <v>105</v>
      </c>
      <c r="J194" s="175">
        <v>30</v>
      </c>
      <c r="K194" s="259"/>
      <c r="L194" s="175" t="s">
        <v>1115</v>
      </c>
      <c r="M194" s="175" t="s">
        <v>1128</v>
      </c>
      <c r="N194" s="110" t="s">
        <v>380</v>
      </c>
      <c r="O194" s="110" t="s">
        <v>1078</v>
      </c>
      <c r="P194" s="175">
        <v>0</v>
      </c>
      <c r="Q194" s="175">
        <v>12</v>
      </c>
      <c r="R194" s="110" t="s">
        <v>1031</v>
      </c>
      <c r="S194" s="110">
        <v>321050201</v>
      </c>
      <c r="T194" s="111" t="str">
        <f t="shared" si="81"/>
        <v>UITexture/TechProd/321050201.png</v>
      </c>
      <c r="U194" s="175" t="s">
        <v>1143</v>
      </c>
      <c r="V194" s="111">
        <f t="shared" si="115"/>
        <v>0</v>
      </c>
      <c r="W194" s="110"/>
      <c r="X194" s="110"/>
      <c r="Y194" s="259"/>
      <c r="Z194" s="175">
        <v>1</v>
      </c>
      <c r="AA194" s="111"/>
      <c r="AB194" s="109">
        <f ca="1">IFERROR(OFFSET(BLDG_FUNC_PARAM!$A$5,MATCH(AC194,BLDG_FUNC_PARAM!$J$5:$J$68,0)-1,0),0)</f>
        <v>121050002</v>
      </c>
      <c r="AC194" s="110" t="s">
        <v>962</v>
      </c>
      <c r="AD194" s="109">
        <v>30</v>
      </c>
      <c r="AE194" s="111"/>
      <c r="AF194" s="109"/>
      <c r="AG194" s="110"/>
      <c r="AH194" s="109"/>
      <c r="AI194" s="111"/>
      <c r="AJ194" s="109"/>
      <c r="AK194" s="110"/>
      <c r="AL194" s="109"/>
      <c r="AM194" s="259"/>
      <c r="AN194" s="109">
        <v>30</v>
      </c>
      <c r="AO194" s="109">
        <v>0</v>
      </c>
      <c r="AP194" s="109"/>
      <c r="AQ194" s="109"/>
      <c r="AR194" s="109"/>
      <c r="AS194" s="259"/>
      <c r="AT194" s="111">
        <f t="shared" si="116"/>
        <v>1800</v>
      </c>
      <c r="AU194" s="110"/>
      <c r="AV194" s="110"/>
      <c r="AW194" s="110">
        <v>30</v>
      </c>
      <c r="AX194" s="110"/>
      <c r="AY194" s="109">
        <v>3000</v>
      </c>
      <c r="AZ194" s="109">
        <v>300</v>
      </c>
      <c r="BA194" s="175">
        <v>0</v>
      </c>
      <c r="BB194" s="111"/>
      <c r="BC194" s="111">
        <f ca="1">IFERROR(OFFSET(ITEM_RES!$A$5,MATCH(BD194,ITEM_RES!$M$5:$M$84,0)-1,0),0)</f>
        <v>0</v>
      </c>
      <c r="BD194" s="110"/>
      <c r="BE194" s="109"/>
      <c r="BF194" s="111"/>
      <c r="BG194" s="111"/>
      <c r="BH194" s="110"/>
      <c r="BI194" s="109"/>
      <c r="BJ194" s="111"/>
      <c r="BK194" s="111"/>
      <c r="BL194" s="110"/>
      <c r="BM194" s="109"/>
      <c r="BN194" s="111"/>
      <c r="BO194" s="111"/>
      <c r="BP194" s="110"/>
      <c r="BQ194" s="109"/>
      <c r="BR194" s="111"/>
      <c r="BS194" s="111"/>
      <c r="BT194" s="110"/>
      <c r="BU194" s="109"/>
    </row>
    <row r="195" spans="1:73" x14ac:dyDescent="0.3">
      <c r="A195" s="107">
        <f t="shared" si="85"/>
        <v>321060101</v>
      </c>
      <c r="B195" s="106">
        <v>32</v>
      </c>
      <c r="C195" s="105">
        <f t="shared" si="42"/>
        <v>1</v>
      </c>
      <c r="D195" s="106">
        <v>6</v>
      </c>
      <c r="E195" s="106">
        <v>1</v>
      </c>
      <c r="F195" s="105">
        <f t="shared" si="80"/>
        <v>1</v>
      </c>
      <c r="H195" s="103">
        <v>1</v>
      </c>
      <c r="I195" s="105">
        <f t="shared" si="5"/>
        <v>106</v>
      </c>
      <c r="J195" s="172">
        <v>1</v>
      </c>
      <c r="P195" s="172">
        <v>0</v>
      </c>
      <c r="Q195" s="172">
        <v>12</v>
      </c>
      <c r="R195" s="103" t="s">
        <v>1031</v>
      </c>
      <c r="S195" s="103">
        <v>321060101</v>
      </c>
      <c r="T195" s="104" t="str">
        <f t="shared" si="81"/>
        <v>UITexture/TechProd/321060101.png</v>
      </c>
      <c r="V195" s="104">
        <f t="shared" si="44"/>
        <v>0</v>
      </c>
      <c r="Z195" s="172">
        <v>0</v>
      </c>
      <c r="AB195" s="102">
        <f ca="1">IFERROR(OFFSET(BLDG_FUNC_PARAM!$A$5,MATCH(AC195,BLDG_FUNC_PARAM!$J$5:$J$68,0)-1,0),0)</f>
        <v>0</v>
      </c>
      <c r="AN195" s="102">
        <v>0</v>
      </c>
      <c r="AO195" s="102">
        <v>0</v>
      </c>
      <c r="AT195" s="104">
        <f t="shared" si="45"/>
        <v>3</v>
      </c>
      <c r="AX195" s="103">
        <v>3</v>
      </c>
      <c r="BA195" s="172">
        <v>0</v>
      </c>
      <c r="BC195" s="104">
        <f ca="1">IFERROR(OFFSET(ITEM_RES!$A$5,MATCH(BD195,ITEM_RES!$M$5:$M$84,0)-1,0),0)</f>
        <v>0</v>
      </c>
    </row>
    <row r="196" spans="1:73" x14ac:dyDescent="0.3">
      <c r="A196" s="107">
        <f t="shared" si="85"/>
        <v>321060102</v>
      </c>
      <c r="B196" s="106">
        <v>32</v>
      </c>
      <c r="C196" s="105">
        <f t="shared" si="42"/>
        <v>1</v>
      </c>
      <c r="D196" s="106">
        <v>6</v>
      </c>
      <c r="E196" s="106">
        <v>1</v>
      </c>
      <c r="F196" s="105">
        <f t="shared" si="80"/>
        <v>2</v>
      </c>
      <c r="H196" s="103">
        <v>1</v>
      </c>
      <c r="I196" s="105">
        <f t="shared" si="5"/>
        <v>106</v>
      </c>
      <c r="J196" s="172">
        <v>2</v>
      </c>
      <c r="P196" s="172">
        <v>0</v>
      </c>
      <c r="Q196" s="172">
        <v>12</v>
      </c>
      <c r="R196" s="103" t="s">
        <v>1031</v>
      </c>
      <c r="S196" s="103">
        <v>321060102</v>
      </c>
      <c r="T196" s="104" t="str">
        <f t="shared" si="81"/>
        <v>UITexture/TechProd/321060102.png</v>
      </c>
      <c r="V196" s="104">
        <f t="shared" si="44"/>
        <v>0</v>
      </c>
      <c r="Z196" s="172">
        <v>0</v>
      </c>
      <c r="AB196" s="102">
        <f ca="1">IFERROR(OFFSET(BLDG_FUNC_PARAM!$A$5,MATCH(AC196,BLDG_FUNC_PARAM!$J$5:$J$68,0)-1,0),0)</f>
        <v>0</v>
      </c>
      <c r="AN196" s="102">
        <v>0</v>
      </c>
      <c r="AO196" s="102">
        <v>0</v>
      </c>
      <c r="AT196" s="104">
        <f t="shared" si="45"/>
        <v>3</v>
      </c>
      <c r="AX196" s="103">
        <v>3</v>
      </c>
      <c r="BA196" s="172">
        <v>0</v>
      </c>
      <c r="BC196" s="104">
        <f ca="1">IFERROR(OFFSET(ITEM_RES!$A$5,MATCH(BD196,ITEM_RES!$M$5:$M$84,0)-1,0),0)</f>
        <v>0</v>
      </c>
    </row>
    <row r="197" spans="1:73" x14ac:dyDescent="0.3">
      <c r="A197" s="107">
        <f t="shared" si="85"/>
        <v>321060103</v>
      </c>
      <c r="B197" s="106">
        <v>32</v>
      </c>
      <c r="C197" s="105">
        <f t="shared" si="42"/>
        <v>1</v>
      </c>
      <c r="D197" s="106">
        <v>6</v>
      </c>
      <c r="E197" s="106">
        <v>1</v>
      </c>
      <c r="F197" s="105">
        <f t="shared" ref="F197:F260" si="117">J197</f>
        <v>3</v>
      </c>
      <c r="H197" s="103">
        <v>1</v>
      </c>
      <c r="I197" s="105">
        <f t="shared" si="5"/>
        <v>106</v>
      </c>
      <c r="J197" s="172">
        <v>3</v>
      </c>
      <c r="P197" s="172">
        <v>0</v>
      </c>
      <c r="Q197" s="172">
        <v>12</v>
      </c>
      <c r="R197" s="103" t="s">
        <v>1031</v>
      </c>
      <c r="S197" s="103">
        <v>321060103</v>
      </c>
      <c r="T197" s="104" t="str">
        <f t="shared" si="81"/>
        <v>UITexture/TechProd/321060103.png</v>
      </c>
      <c r="V197" s="104">
        <f t="shared" si="44"/>
        <v>0</v>
      </c>
      <c r="Z197" s="172">
        <v>0</v>
      </c>
      <c r="AB197" s="102">
        <f ca="1">IFERROR(OFFSET(BLDG_FUNC_PARAM!$A$5,MATCH(AC197,BLDG_FUNC_PARAM!$J$5:$J$68,0)-1,0),0)</f>
        <v>0</v>
      </c>
      <c r="AN197" s="102">
        <v>0</v>
      </c>
      <c r="AO197" s="102">
        <v>0</v>
      </c>
      <c r="AT197" s="104">
        <f t="shared" si="45"/>
        <v>3</v>
      </c>
      <c r="AX197" s="103">
        <v>3</v>
      </c>
      <c r="BA197" s="172">
        <v>0</v>
      </c>
      <c r="BC197" s="104">
        <f ca="1">IFERROR(OFFSET(ITEM_RES!$A$5,MATCH(BD197,ITEM_RES!$M$5:$M$84,0)-1,0),0)</f>
        <v>0</v>
      </c>
    </row>
    <row r="198" spans="1:73" x14ac:dyDescent="0.3">
      <c r="A198" s="107">
        <f t="shared" si="85"/>
        <v>321060104</v>
      </c>
      <c r="B198" s="106">
        <v>32</v>
      </c>
      <c r="C198" s="105">
        <f t="shared" si="42"/>
        <v>1</v>
      </c>
      <c r="D198" s="106">
        <v>6</v>
      </c>
      <c r="E198" s="106">
        <v>1</v>
      </c>
      <c r="F198" s="105">
        <f t="shared" si="117"/>
        <v>4</v>
      </c>
      <c r="H198" s="103">
        <v>1</v>
      </c>
      <c r="I198" s="105">
        <f t="shared" si="5"/>
        <v>106</v>
      </c>
      <c r="J198" s="172">
        <v>4</v>
      </c>
      <c r="P198" s="172">
        <v>0</v>
      </c>
      <c r="Q198" s="172">
        <v>12</v>
      </c>
      <c r="R198" s="103" t="s">
        <v>1031</v>
      </c>
      <c r="S198" s="103">
        <v>321060104</v>
      </c>
      <c r="T198" s="104" t="str">
        <f t="shared" ref="T198:T261" si="118">CONCATENATE(R198,S198,".png")</f>
        <v>UITexture/TechProd/321060104.png</v>
      </c>
      <c r="V198" s="104">
        <f t="shared" si="44"/>
        <v>0</v>
      </c>
      <c r="Z198" s="172">
        <v>0</v>
      </c>
      <c r="AB198" s="102">
        <f ca="1">IFERROR(OFFSET(BLDG_FUNC_PARAM!$A$5,MATCH(AC198,BLDG_FUNC_PARAM!$J$5:$J$68,0)-1,0),0)</f>
        <v>0</v>
      </c>
      <c r="AN198" s="102">
        <v>0</v>
      </c>
      <c r="AO198" s="102">
        <v>0</v>
      </c>
      <c r="AT198" s="104">
        <f t="shared" si="45"/>
        <v>3</v>
      </c>
      <c r="AX198" s="103">
        <v>3</v>
      </c>
      <c r="BA198" s="172">
        <v>0</v>
      </c>
      <c r="BC198" s="104">
        <f ca="1">IFERROR(OFFSET(ITEM_RES!$A$5,MATCH(BD198,ITEM_RES!$M$5:$M$84,0)-1,0),0)</f>
        <v>0</v>
      </c>
    </row>
    <row r="199" spans="1:73" ht="17.25" thickBot="1" x14ac:dyDescent="0.35">
      <c r="A199" s="107">
        <f t="shared" si="85"/>
        <v>321060105</v>
      </c>
      <c r="B199" s="106">
        <v>32</v>
      </c>
      <c r="C199" s="105">
        <f t="shared" si="42"/>
        <v>1</v>
      </c>
      <c r="D199" s="106">
        <v>6</v>
      </c>
      <c r="E199" s="106">
        <v>1</v>
      </c>
      <c r="F199" s="105">
        <f t="shared" si="117"/>
        <v>5</v>
      </c>
      <c r="H199" s="103">
        <v>1</v>
      </c>
      <c r="I199" s="105">
        <f t="shared" si="5"/>
        <v>106</v>
      </c>
      <c r="J199" s="172">
        <v>5</v>
      </c>
      <c r="P199" s="172">
        <v>0</v>
      </c>
      <c r="Q199" s="172">
        <v>12</v>
      </c>
      <c r="R199" s="103" t="s">
        <v>1031</v>
      </c>
      <c r="S199" s="103">
        <v>321060105</v>
      </c>
      <c r="T199" s="104" t="str">
        <f t="shared" si="118"/>
        <v>UITexture/TechProd/321060105.png</v>
      </c>
      <c r="V199" s="104">
        <f t="shared" si="44"/>
        <v>0</v>
      </c>
      <c r="Z199" s="172">
        <v>0</v>
      </c>
      <c r="AB199" s="102">
        <f ca="1">IFERROR(OFFSET(BLDG_FUNC_PARAM!$A$5,MATCH(AC199,BLDG_FUNC_PARAM!$J$5:$J$68,0)-1,0),0)</f>
        <v>0</v>
      </c>
      <c r="AN199" s="102">
        <v>0</v>
      </c>
      <c r="AO199" s="102">
        <v>0</v>
      </c>
      <c r="AT199" s="104">
        <f t="shared" si="45"/>
        <v>3</v>
      </c>
      <c r="AX199" s="103">
        <v>3</v>
      </c>
      <c r="BA199" s="172">
        <v>0</v>
      </c>
      <c r="BC199" s="104">
        <f ca="1">IFERROR(OFFSET(ITEM_RES!$A$5,MATCH(BD199,ITEM_RES!$M$5:$M$84,0)-1,0),0)</f>
        <v>0</v>
      </c>
    </row>
    <row r="200" spans="1:73" s="115" customFormat="1" x14ac:dyDescent="0.3">
      <c r="A200" s="121">
        <f t="shared" si="85"/>
        <v>322010101</v>
      </c>
      <c r="B200" s="120">
        <v>32</v>
      </c>
      <c r="C200" s="119">
        <f t="shared" si="42"/>
        <v>2</v>
      </c>
      <c r="D200" s="120">
        <v>1</v>
      </c>
      <c r="E200" s="120">
        <v>1</v>
      </c>
      <c r="F200" s="119">
        <f t="shared" si="117"/>
        <v>1</v>
      </c>
      <c r="G200" s="258"/>
      <c r="H200" s="117">
        <v>2</v>
      </c>
      <c r="I200" s="119">
        <f t="shared" si="5"/>
        <v>201</v>
      </c>
      <c r="J200" s="174">
        <v>1</v>
      </c>
      <c r="K200" s="258"/>
      <c r="L200" s="174" t="s">
        <v>1115</v>
      </c>
      <c r="M200" s="174" t="s">
        <v>1129</v>
      </c>
      <c r="N200" s="117" t="s">
        <v>737</v>
      </c>
      <c r="O200" s="117" t="s">
        <v>1079</v>
      </c>
      <c r="P200" s="174">
        <v>1</v>
      </c>
      <c r="Q200" s="174">
        <v>12</v>
      </c>
      <c r="R200" s="117" t="s">
        <v>1031</v>
      </c>
      <c r="S200" s="117">
        <v>322010101</v>
      </c>
      <c r="T200" s="118" t="str">
        <f t="shared" si="118"/>
        <v>UITexture/TechProd/322010101.png</v>
      </c>
      <c r="U200" s="174" t="s">
        <v>1144</v>
      </c>
      <c r="V200" s="118">
        <f t="shared" si="44"/>
        <v>2001</v>
      </c>
      <c r="W200" s="117">
        <v>2</v>
      </c>
      <c r="X200" s="117">
        <v>1</v>
      </c>
      <c r="Y200" s="258"/>
      <c r="Z200" s="174">
        <v>1</v>
      </c>
      <c r="AA200" s="118"/>
      <c r="AB200" s="116">
        <f ca="1">IFERROR(OFFSET(BLDG_FUNC_PARAM!$A$5,MATCH(AC200,BLDG_FUNC_PARAM!$J$5:$J$68,0)-1,0),0)</f>
        <v>122010001</v>
      </c>
      <c r="AC200" s="117" t="s">
        <v>963</v>
      </c>
      <c r="AD200" s="116">
        <v>5</v>
      </c>
      <c r="AE200" s="118"/>
      <c r="AF200" s="116"/>
      <c r="AG200" s="117"/>
      <c r="AH200" s="116"/>
      <c r="AI200" s="118"/>
      <c r="AJ200" s="116"/>
      <c r="AK200" s="117"/>
      <c r="AL200" s="116"/>
      <c r="AM200" s="258"/>
      <c r="AN200" s="116">
        <v>1</v>
      </c>
      <c r="AO200" s="116">
        <v>0</v>
      </c>
      <c r="AP200" s="116"/>
      <c r="AQ200" s="116"/>
      <c r="AR200" s="116"/>
      <c r="AS200" s="258"/>
      <c r="AT200" s="118">
        <f t="shared" si="45"/>
        <v>60</v>
      </c>
      <c r="AU200" s="117"/>
      <c r="AV200" s="117"/>
      <c r="AW200" s="117">
        <v>1</v>
      </c>
      <c r="AX200" s="117"/>
      <c r="AY200" s="116">
        <v>100</v>
      </c>
      <c r="AZ200" s="116">
        <v>10</v>
      </c>
      <c r="BA200" s="174">
        <v>0</v>
      </c>
      <c r="BB200" s="118"/>
      <c r="BC200" s="118">
        <f ca="1">IFERROR(OFFSET(ITEM_RES!$A$5,MATCH(BD200,ITEM_RES!$M$5:$M$84,0)-1,0),0)</f>
        <v>0</v>
      </c>
      <c r="BD200" s="117"/>
      <c r="BE200" s="116"/>
      <c r="BF200" s="118"/>
      <c r="BG200" s="118"/>
      <c r="BH200" s="117"/>
      <c r="BI200" s="116"/>
      <c r="BJ200" s="118"/>
      <c r="BK200" s="118"/>
      <c r="BL200" s="117"/>
      <c r="BM200" s="116"/>
      <c r="BN200" s="118"/>
      <c r="BO200" s="118"/>
      <c r="BP200" s="117"/>
      <c r="BQ200" s="116"/>
      <c r="BR200" s="118"/>
      <c r="BS200" s="118"/>
      <c r="BT200" s="117"/>
      <c r="BU200" s="116"/>
    </row>
    <row r="201" spans="1:73" x14ac:dyDescent="0.3">
      <c r="A201" s="107">
        <f t="shared" si="85"/>
        <v>322010102</v>
      </c>
      <c r="B201" s="106">
        <v>32</v>
      </c>
      <c r="C201" s="105">
        <f t="shared" si="42"/>
        <v>2</v>
      </c>
      <c r="D201" s="106">
        <v>1</v>
      </c>
      <c r="E201" s="106">
        <v>1</v>
      </c>
      <c r="F201" s="105">
        <f t="shared" si="117"/>
        <v>2</v>
      </c>
      <c r="H201" s="103">
        <v>2</v>
      </c>
      <c r="I201" s="105">
        <f t="shared" si="5"/>
        <v>201</v>
      </c>
      <c r="J201" s="172">
        <v>2</v>
      </c>
      <c r="L201" s="172" t="s">
        <v>1115</v>
      </c>
      <c r="M201" s="172" t="s">
        <v>1129</v>
      </c>
      <c r="N201" s="103" t="s">
        <v>737</v>
      </c>
      <c r="O201" s="103" t="s">
        <v>1079</v>
      </c>
      <c r="P201" s="172">
        <v>1</v>
      </c>
      <c r="Q201" s="172">
        <v>12</v>
      </c>
      <c r="R201" s="103" t="s">
        <v>1031</v>
      </c>
      <c r="S201" s="103">
        <v>322010101</v>
      </c>
      <c r="T201" s="104" t="str">
        <f t="shared" si="118"/>
        <v>UITexture/TechProd/322010101.png</v>
      </c>
      <c r="U201" s="172" t="s">
        <v>1144</v>
      </c>
      <c r="V201" s="104">
        <f t="shared" si="44"/>
        <v>0</v>
      </c>
      <c r="Z201" s="172">
        <v>1</v>
      </c>
      <c r="AB201" s="102">
        <f ca="1">IFERROR(OFFSET(BLDG_FUNC_PARAM!$A$5,MATCH(AC201,BLDG_FUNC_PARAM!$J$5:$J$68,0)-1,0),0)</f>
        <v>122010001</v>
      </c>
      <c r="AC201" s="103" t="s">
        <v>963</v>
      </c>
      <c r="AD201" s="102">
        <v>10</v>
      </c>
      <c r="AN201" s="102">
        <v>0</v>
      </c>
      <c r="AO201" s="102">
        <v>0</v>
      </c>
      <c r="AT201" s="104">
        <f t="shared" si="45"/>
        <v>120</v>
      </c>
      <c r="AW201" s="103">
        <v>2</v>
      </c>
      <c r="AY201" s="102">
        <v>200</v>
      </c>
      <c r="AZ201" s="102">
        <v>20</v>
      </c>
      <c r="BA201" s="172">
        <v>0</v>
      </c>
      <c r="BC201" s="104">
        <f ca="1">IFERROR(OFFSET(ITEM_RES!$A$5,MATCH(BD201,ITEM_RES!$M$5:$M$84,0)-1,0),0)</f>
        <v>0</v>
      </c>
    </row>
    <row r="202" spans="1:73" x14ac:dyDescent="0.3">
      <c r="A202" s="107">
        <f t="shared" si="85"/>
        <v>322010103</v>
      </c>
      <c r="B202" s="106">
        <v>32</v>
      </c>
      <c r="C202" s="105">
        <f t="shared" si="42"/>
        <v>2</v>
      </c>
      <c r="D202" s="106">
        <v>1</v>
      </c>
      <c r="E202" s="106">
        <v>1</v>
      </c>
      <c r="F202" s="105">
        <f t="shared" si="117"/>
        <v>3</v>
      </c>
      <c r="H202" s="103">
        <v>2</v>
      </c>
      <c r="I202" s="105">
        <f t="shared" si="5"/>
        <v>201</v>
      </c>
      <c r="J202" s="172">
        <v>3</v>
      </c>
      <c r="L202" s="172" t="s">
        <v>1115</v>
      </c>
      <c r="M202" s="172" t="s">
        <v>1129</v>
      </c>
      <c r="N202" s="103" t="s">
        <v>737</v>
      </c>
      <c r="O202" s="103" t="s">
        <v>1079</v>
      </c>
      <c r="P202" s="172">
        <v>1</v>
      </c>
      <c r="Q202" s="172">
        <v>12</v>
      </c>
      <c r="R202" s="103" t="s">
        <v>1031</v>
      </c>
      <c r="S202" s="103">
        <v>322010101</v>
      </c>
      <c r="T202" s="104" t="str">
        <f t="shared" si="118"/>
        <v>UITexture/TechProd/322010101.png</v>
      </c>
      <c r="U202" s="172" t="s">
        <v>1144</v>
      </c>
      <c r="V202" s="104">
        <f t="shared" si="44"/>
        <v>0</v>
      </c>
      <c r="Z202" s="172">
        <v>1</v>
      </c>
      <c r="AB202" s="102">
        <f ca="1">IFERROR(OFFSET(BLDG_FUNC_PARAM!$A$5,MATCH(AC202,BLDG_FUNC_PARAM!$J$5:$J$68,0)-1,0),0)</f>
        <v>122010001</v>
      </c>
      <c r="AC202" s="103" t="s">
        <v>963</v>
      </c>
      <c r="AD202" s="102">
        <v>15</v>
      </c>
      <c r="AN202" s="102">
        <v>0</v>
      </c>
      <c r="AO202" s="102">
        <v>0</v>
      </c>
      <c r="AT202" s="104">
        <f t="shared" si="45"/>
        <v>180</v>
      </c>
      <c r="AW202" s="103">
        <v>3</v>
      </c>
      <c r="AY202" s="102">
        <v>300</v>
      </c>
      <c r="AZ202" s="102">
        <v>30</v>
      </c>
      <c r="BA202" s="172">
        <v>0</v>
      </c>
      <c r="BC202" s="104">
        <f ca="1">IFERROR(OFFSET(ITEM_RES!$A$5,MATCH(BD202,ITEM_RES!$M$5:$M$84,0)-1,0),0)</f>
        <v>0</v>
      </c>
    </row>
    <row r="203" spans="1:73" x14ac:dyDescent="0.3">
      <c r="A203" s="107">
        <f t="shared" si="85"/>
        <v>322010104</v>
      </c>
      <c r="B203" s="106">
        <v>32</v>
      </c>
      <c r="C203" s="105">
        <f t="shared" si="42"/>
        <v>2</v>
      </c>
      <c r="D203" s="106">
        <v>1</v>
      </c>
      <c r="E203" s="106">
        <v>1</v>
      </c>
      <c r="F203" s="105">
        <f t="shared" si="117"/>
        <v>4</v>
      </c>
      <c r="H203" s="103">
        <v>2</v>
      </c>
      <c r="I203" s="105">
        <f t="shared" si="5"/>
        <v>201</v>
      </c>
      <c r="J203" s="172">
        <v>4</v>
      </c>
      <c r="L203" s="172" t="s">
        <v>1115</v>
      </c>
      <c r="M203" s="172" t="s">
        <v>1129</v>
      </c>
      <c r="N203" s="103" t="s">
        <v>737</v>
      </c>
      <c r="O203" s="103" t="s">
        <v>1079</v>
      </c>
      <c r="P203" s="172">
        <v>1</v>
      </c>
      <c r="Q203" s="172">
        <v>12</v>
      </c>
      <c r="R203" s="103" t="s">
        <v>1031</v>
      </c>
      <c r="S203" s="103">
        <v>322010101</v>
      </c>
      <c r="T203" s="104" t="str">
        <f t="shared" si="118"/>
        <v>UITexture/TechProd/322010101.png</v>
      </c>
      <c r="U203" s="172" t="s">
        <v>1144</v>
      </c>
      <c r="V203" s="104">
        <f t="shared" si="44"/>
        <v>0</v>
      </c>
      <c r="Z203" s="172">
        <v>1</v>
      </c>
      <c r="AB203" s="102">
        <f ca="1">IFERROR(OFFSET(BLDG_FUNC_PARAM!$A$5,MATCH(AC203,BLDG_FUNC_PARAM!$J$5:$J$68,0)-1,0),0)</f>
        <v>122010001</v>
      </c>
      <c r="AC203" s="103" t="s">
        <v>963</v>
      </c>
      <c r="AD203" s="102">
        <v>20</v>
      </c>
      <c r="AN203" s="102">
        <v>0</v>
      </c>
      <c r="AO203" s="102">
        <v>0</v>
      </c>
      <c r="AT203" s="104">
        <f t="shared" si="45"/>
        <v>240</v>
      </c>
      <c r="AW203" s="103">
        <v>4</v>
      </c>
      <c r="AY203" s="102">
        <v>400</v>
      </c>
      <c r="AZ203" s="102">
        <v>40</v>
      </c>
      <c r="BA203" s="172">
        <v>0</v>
      </c>
      <c r="BC203" s="104">
        <f ca="1">IFERROR(OFFSET(ITEM_RES!$A$5,MATCH(BD203,ITEM_RES!$M$5:$M$84,0)-1,0),0)</f>
        <v>0</v>
      </c>
    </row>
    <row r="204" spans="1:73" x14ac:dyDescent="0.3">
      <c r="A204" s="107">
        <f t="shared" si="85"/>
        <v>322010105</v>
      </c>
      <c r="B204" s="106">
        <v>32</v>
      </c>
      <c r="C204" s="105">
        <f t="shared" si="42"/>
        <v>2</v>
      </c>
      <c r="D204" s="106">
        <v>1</v>
      </c>
      <c r="E204" s="106">
        <v>1</v>
      </c>
      <c r="F204" s="105">
        <f t="shared" si="117"/>
        <v>5</v>
      </c>
      <c r="H204" s="103">
        <v>2</v>
      </c>
      <c r="I204" s="105">
        <f t="shared" si="5"/>
        <v>201</v>
      </c>
      <c r="J204" s="172">
        <v>5</v>
      </c>
      <c r="L204" s="172" t="s">
        <v>1115</v>
      </c>
      <c r="M204" s="172" t="s">
        <v>1129</v>
      </c>
      <c r="N204" s="103" t="s">
        <v>737</v>
      </c>
      <c r="O204" s="103" t="s">
        <v>1079</v>
      </c>
      <c r="P204" s="172">
        <v>1</v>
      </c>
      <c r="Q204" s="172">
        <v>12</v>
      </c>
      <c r="R204" s="103" t="s">
        <v>1031</v>
      </c>
      <c r="S204" s="103">
        <v>322010101</v>
      </c>
      <c r="T204" s="104" t="str">
        <f t="shared" si="118"/>
        <v>UITexture/TechProd/322010101.png</v>
      </c>
      <c r="U204" s="172" t="s">
        <v>1144</v>
      </c>
      <c r="V204" s="104">
        <f t="shared" si="44"/>
        <v>0</v>
      </c>
      <c r="Z204" s="172">
        <v>1</v>
      </c>
      <c r="AB204" s="102">
        <f ca="1">IFERROR(OFFSET(BLDG_FUNC_PARAM!$A$5,MATCH(AC204,BLDG_FUNC_PARAM!$J$5:$J$68,0)-1,0),0)</f>
        <v>122010001</v>
      </c>
      <c r="AC204" s="103" t="s">
        <v>963</v>
      </c>
      <c r="AD204" s="102">
        <v>50</v>
      </c>
      <c r="AN204" s="102">
        <v>5</v>
      </c>
      <c r="AO204" s="102">
        <v>0</v>
      </c>
      <c r="AT204" s="104">
        <f t="shared" si="45"/>
        <v>300</v>
      </c>
      <c r="AW204" s="103">
        <v>5</v>
      </c>
      <c r="AY204" s="102">
        <v>500</v>
      </c>
      <c r="AZ204" s="102">
        <v>50</v>
      </c>
      <c r="BA204" s="172">
        <v>0</v>
      </c>
      <c r="BC204" s="104">
        <f ca="1">IFERROR(OFFSET(ITEM_RES!$A$5,MATCH(BD204,ITEM_RES!$M$5:$M$84,0)-1,0),0)</f>
        <v>0</v>
      </c>
    </row>
    <row r="205" spans="1:73" x14ac:dyDescent="0.3">
      <c r="A205" s="107">
        <f t="shared" ref="A205:A214" si="119">B205*10000000+C205*1000000+D205*10000+E205*100+F205</f>
        <v>322010106</v>
      </c>
      <c r="B205" s="106">
        <v>32</v>
      </c>
      <c r="C205" s="105">
        <f t="shared" ref="C205:C214" si="120">H205</f>
        <v>2</v>
      </c>
      <c r="D205" s="106">
        <v>1</v>
      </c>
      <c r="E205" s="106">
        <v>1</v>
      </c>
      <c r="F205" s="105">
        <f t="shared" si="117"/>
        <v>6</v>
      </c>
      <c r="H205" s="103">
        <v>2</v>
      </c>
      <c r="I205" s="105">
        <f t="shared" ref="I205:I214" si="121">C205*100+D205</f>
        <v>201</v>
      </c>
      <c r="J205" s="172">
        <v>6</v>
      </c>
      <c r="L205" s="172" t="s">
        <v>1115</v>
      </c>
      <c r="M205" s="172" t="s">
        <v>1129</v>
      </c>
      <c r="N205" s="103" t="s">
        <v>737</v>
      </c>
      <c r="O205" s="103" t="s">
        <v>1079</v>
      </c>
      <c r="P205" s="172">
        <v>1</v>
      </c>
      <c r="Q205" s="172">
        <v>12</v>
      </c>
      <c r="R205" s="103" t="s">
        <v>1031</v>
      </c>
      <c r="S205" s="103">
        <v>322010101</v>
      </c>
      <c r="T205" s="104" t="str">
        <f t="shared" si="118"/>
        <v>UITexture/TechProd/322010101.png</v>
      </c>
      <c r="U205" s="172" t="s">
        <v>1144</v>
      </c>
      <c r="V205" s="104">
        <f t="shared" ref="V205:V214" si="122">W205*1000+X205</f>
        <v>0</v>
      </c>
      <c r="Z205" s="172">
        <v>1</v>
      </c>
      <c r="AB205" s="102">
        <f ca="1">IFERROR(OFFSET(BLDG_FUNC_PARAM!$A$5,MATCH(AC205,BLDG_FUNC_PARAM!$J$5:$J$68,0)-1,0),0)</f>
        <v>122010001</v>
      </c>
      <c r="AC205" s="103" t="s">
        <v>963</v>
      </c>
      <c r="AD205" s="102">
        <v>55</v>
      </c>
      <c r="AN205" s="102">
        <v>0</v>
      </c>
      <c r="AO205" s="102">
        <v>0</v>
      </c>
      <c r="AT205" s="104">
        <f t="shared" ref="AT205:AT214" si="123">((AU205*24+AV205)*60+AW205)*60+AX205</f>
        <v>360</v>
      </c>
      <c r="AW205" s="103">
        <v>6</v>
      </c>
      <c r="AY205" s="102">
        <v>600</v>
      </c>
      <c r="AZ205" s="102">
        <v>60</v>
      </c>
      <c r="BA205" s="172">
        <v>0</v>
      </c>
      <c r="BC205" s="104">
        <f ca="1">IFERROR(OFFSET(ITEM_RES!$A$5,MATCH(BD205,ITEM_RES!$M$5:$M$84,0)-1,0),0)</f>
        <v>0</v>
      </c>
    </row>
    <row r="206" spans="1:73" x14ac:dyDescent="0.3">
      <c r="A206" s="107">
        <f t="shared" si="119"/>
        <v>322010107</v>
      </c>
      <c r="B206" s="106">
        <v>32</v>
      </c>
      <c r="C206" s="105">
        <f t="shared" si="120"/>
        <v>2</v>
      </c>
      <c r="D206" s="106">
        <v>1</v>
      </c>
      <c r="E206" s="106">
        <v>1</v>
      </c>
      <c r="F206" s="105">
        <f t="shared" si="117"/>
        <v>7</v>
      </c>
      <c r="H206" s="103">
        <v>2</v>
      </c>
      <c r="I206" s="105">
        <f t="shared" si="121"/>
        <v>201</v>
      </c>
      <c r="J206" s="172">
        <v>7</v>
      </c>
      <c r="L206" s="172" t="s">
        <v>1115</v>
      </c>
      <c r="M206" s="172" t="s">
        <v>1129</v>
      </c>
      <c r="N206" s="103" t="s">
        <v>737</v>
      </c>
      <c r="O206" s="103" t="s">
        <v>1079</v>
      </c>
      <c r="P206" s="172">
        <v>1</v>
      </c>
      <c r="Q206" s="172">
        <v>12</v>
      </c>
      <c r="R206" s="103" t="s">
        <v>1031</v>
      </c>
      <c r="S206" s="103">
        <v>322010101</v>
      </c>
      <c r="T206" s="104" t="str">
        <f t="shared" si="118"/>
        <v>UITexture/TechProd/322010101.png</v>
      </c>
      <c r="U206" s="172" t="s">
        <v>1144</v>
      </c>
      <c r="V206" s="104">
        <f t="shared" si="122"/>
        <v>0</v>
      </c>
      <c r="Z206" s="172">
        <v>1</v>
      </c>
      <c r="AB206" s="102">
        <f ca="1">IFERROR(OFFSET(BLDG_FUNC_PARAM!$A$5,MATCH(AC206,BLDG_FUNC_PARAM!$J$5:$J$68,0)-1,0),0)</f>
        <v>122010001</v>
      </c>
      <c r="AC206" s="103" t="s">
        <v>963</v>
      </c>
      <c r="AD206" s="102">
        <v>60</v>
      </c>
      <c r="AN206" s="102">
        <v>0</v>
      </c>
      <c r="AO206" s="102">
        <v>0</v>
      </c>
      <c r="AT206" s="104">
        <f t="shared" si="123"/>
        <v>420</v>
      </c>
      <c r="AW206" s="103">
        <v>7</v>
      </c>
      <c r="AY206" s="102">
        <v>700</v>
      </c>
      <c r="AZ206" s="102">
        <v>70</v>
      </c>
      <c r="BA206" s="172">
        <v>0</v>
      </c>
      <c r="BC206" s="104">
        <f ca="1">IFERROR(OFFSET(ITEM_RES!$A$5,MATCH(BD206,ITEM_RES!$M$5:$M$84,0)-1,0),0)</f>
        <v>0</v>
      </c>
    </row>
    <row r="207" spans="1:73" x14ac:dyDescent="0.3">
      <c r="A207" s="107">
        <f t="shared" si="119"/>
        <v>322010108</v>
      </c>
      <c r="B207" s="106">
        <v>32</v>
      </c>
      <c r="C207" s="105">
        <f t="shared" si="120"/>
        <v>2</v>
      </c>
      <c r="D207" s="106">
        <v>1</v>
      </c>
      <c r="E207" s="106">
        <v>1</v>
      </c>
      <c r="F207" s="105">
        <f t="shared" si="117"/>
        <v>8</v>
      </c>
      <c r="H207" s="103">
        <v>2</v>
      </c>
      <c r="I207" s="105">
        <f t="shared" si="121"/>
        <v>201</v>
      </c>
      <c r="J207" s="172">
        <v>8</v>
      </c>
      <c r="L207" s="172" t="s">
        <v>1115</v>
      </c>
      <c r="M207" s="172" t="s">
        <v>1129</v>
      </c>
      <c r="N207" s="103" t="s">
        <v>737</v>
      </c>
      <c r="O207" s="103" t="s">
        <v>1079</v>
      </c>
      <c r="P207" s="172">
        <v>1</v>
      </c>
      <c r="Q207" s="172">
        <v>12</v>
      </c>
      <c r="R207" s="103" t="s">
        <v>1031</v>
      </c>
      <c r="S207" s="103">
        <v>322010101</v>
      </c>
      <c r="T207" s="104" t="str">
        <f t="shared" si="118"/>
        <v>UITexture/TechProd/322010101.png</v>
      </c>
      <c r="U207" s="172" t="s">
        <v>1144</v>
      </c>
      <c r="V207" s="104">
        <f t="shared" si="122"/>
        <v>0</v>
      </c>
      <c r="Z207" s="172">
        <v>1</v>
      </c>
      <c r="AB207" s="102">
        <f ca="1">IFERROR(OFFSET(BLDG_FUNC_PARAM!$A$5,MATCH(AC207,BLDG_FUNC_PARAM!$J$5:$J$68,0)-1,0),0)</f>
        <v>122010001</v>
      </c>
      <c r="AC207" s="103" t="s">
        <v>963</v>
      </c>
      <c r="AD207" s="102">
        <v>65</v>
      </c>
      <c r="AN207" s="102">
        <v>0</v>
      </c>
      <c r="AO207" s="102">
        <v>0</v>
      </c>
      <c r="AT207" s="104">
        <f t="shared" si="123"/>
        <v>480</v>
      </c>
      <c r="AW207" s="103">
        <v>8</v>
      </c>
      <c r="AY207" s="102">
        <v>800</v>
      </c>
      <c r="AZ207" s="102">
        <v>80</v>
      </c>
      <c r="BA207" s="172">
        <v>0</v>
      </c>
      <c r="BC207" s="104">
        <f ca="1">IFERROR(OFFSET(ITEM_RES!$A$5,MATCH(BD207,ITEM_RES!$M$5:$M$84,0)-1,0),0)</f>
        <v>0</v>
      </c>
    </row>
    <row r="208" spans="1:73" x14ac:dyDescent="0.3">
      <c r="A208" s="107">
        <f t="shared" si="119"/>
        <v>322010109</v>
      </c>
      <c r="B208" s="106">
        <v>32</v>
      </c>
      <c r="C208" s="105">
        <f t="shared" si="120"/>
        <v>2</v>
      </c>
      <c r="D208" s="106">
        <v>1</v>
      </c>
      <c r="E208" s="106">
        <v>1</v>
      </c>
      <c r="F208" s="105">
        <f t="shared" si="117"/>
        <v>9</v>
      </c>
      <c r="H208" s="103">
        <v>2</v>
      </c>
      <c r="I208" s="105">
        <f t="shared" si="121"/>
        <v>201</v>
      </c>
      <c r="J208" s="172">
        <v>9</v>
      </c>
      <c r="L208" s="172" t="s">
        <v>1115</v>
      </c>
      <c r="M208" s="172" t="s">
        <v>1129</v>
      </c>
      <c r="N208" s="103" t="s">
        <v>737</v>
      </c>
      <c r="O208" s="103" t="s">
        <v>1079</v>
      </c>
      <c r="P208" s="172">
        <v>1</v>
      </c>
      <c r="Q208" s="172">
        <v>12</v>
      </c>
      <c r="R208" s="103" t="s">
        <v>1031</v>
      </c>
      <c r="S208" s="103">
        <v>322010101</v>
      </c>
      <c r="T208" s="104" t="str">
        <f t="shared" si="118"/>
        <v>UITexture/TechProd/322010101.png</v>
      </c>
      <c r="U208" s="172" t="s">
        <v>1144</v>
      </c>
      <c r="V208" s="104">
        <f t="shared" si="122"/>
        <v>0</v>
      </c>
      <c r="Z208" s="172">
        <v>1</v>
      </c>
      <c r="AB208" s="102">
        <f ca="1">IFERROR(OFFSET(BLDG_FUNC_PARAM!$A$5,MATCH(AC208,BLDG_FUNC_PARAM!$J$5:$J$68,0)-1,0),0)</f>
        <v>122010001</v>
      </c>
      <c r="AC208" s="103" t="s">
        <v>963</v>
      </c>
      <c r="AD208" s="102">
        <v>70.000000000000014</v>
      </c>
      <c r="AN208" s="102">
        <v>0</v>
      </c>
      <c r="AO208" s="102">
        <v>0</v>
      </c>
      <c r="AT208" s="104">
        <f t="shared" si="123"/>
        <v>540</v>
      </c>
      <c r="AW208" s="103">
        <v>9</v>
      </c>
      <c r="AY208" s="102">
        <v>900</v>
      </c>
      <c r="AZ208" s="102">
        <v>90</v>
      </c>
      <c r="BA208" s="172">
        <v>0</v>
      </c>
      <c r="BC208" s="104">
        <f ca="1">IFERROR(OFFSET(ITEM_RES!$A$5,MATCH(BD208,ITEM_RES!$M$5:$M$84,0)-1,0),0)</f>
        <v>0</v>
      </c>
    </row>
    <row r="209" spans="1:55" x14ac:dyDescent="0.3">
      <c r="A209" s="107">
        <f t="shared" si="119"/>
        <v>322010110</v>
      </c>
      <c r="B209" s="106">
        <v>32</v>
      </c>
      <c r="C209" s="105">
        <f t="shared" si="120"/>
        <v>2</v>
      </c>
      <c r="D209" s="106">
        <v>1</v>
      </c>
      <c r="E209" s="106">
        <v>1</v>
      </c>
      <c r="F209" s="105">
        <f t="shared" si="117"/>
        <v>10</v>
      </c>
      <c r="H209" s="103">
        <v>2</v>
      </c>
      <c r="I209" s="105">
        <f t="shared" si="121"/>
        <v>201</v>
      </c>
      <c r="J209" s="172">
        <v>10</v>
      </c>
      <c r="L209" s="172" t="s">
        <v>1115</v>
      </c>
      <c r="M209" s="172" t="s">
        <v>1129</v>
      </c>
      <c r="N209" s="103" t="s">
        <v>737</v>
      </c>
      <c r="O209" s="103" t="s">
        <v>1079</v>
      </c>
      <c r="P209" s="172">
        <v>1</v>
      </c>
      <c r="Q209" s="172">
        <v>12</v>
      </c>
      <c r="R209" s="103" t="s">
        <v>1031</v>
      </c>
      <c r="S209" s="103">
        <v>322010101</v>
      </c>
      <c r="T209" s="104" t="str">
        <f t="shared" si="118"/>
        <v>UITexture/TechProd/322010101.png</v>
      </c>
      <c r="U209" s="172" t="s">
        <v>1144</v>
      </c>
      <c r="V209" s="104">
        <f t="shared" si="122"/>
        <v>0</v>
      </c>
      <c r="Z209" s="172">
        <v>1</v>
      </c>
      <c r="AB209" s="102">
        <f ca="1">IFERROR(OFFSET(BLDG_FUNC_PARAM!$A$5,MATCH(AC209,BLDG_FUNC_PARAM!$J$5:$J$68,0)-1,0),0)</f>
        <v>122010001</v>
      </c>
      <c r="AC209" s="103" t="s">
        <v>963</v>
      </c>
      <c r="AD209" s="102">
        <v>100</v>
      </c>
      <c r="AN209" s="102">
        <v>10</v>
      </c>
      <c r="AO209" s="102">
        <v>0</v>
      </c>
      <c r="AT209" s="104">
        <f t="shared" si="123"/>
        <v>600</v>
      </c>
      <c r="AW209" s="103">
        <v>10</v>
      </c>
      <c r="AY209" s="102">
        <v>1000</v>
      </c>
      <c r="AZ209" s="102">
        <v>100</v>
      </c>
      <c r="BA209" s="172">
        <v>0</v>
      </c>
      <c r="BC209" s="104">
        <f ca="1">IFERROR(OFFSET(ITEM_RES!$A$5,MATCH(BD209,ITEM_RES!$M$5:$M$84,0)-1,0),0)</f>
        <v>0</v>
      </c>
    </row>
    <row r="210" spans="1:55" x14ac:dyDescent="0.3">
      <c r="A210" s="107">
        <f t="shared" si="119"/>
        <v>322010111</v>
      </c>
      <c r="B210" s="106">
        <v>32</v>
      </c>
      <c r="C210" s="105">
        <f t="shared" si="120"/>
        <v>2</v>
      </c>
      <c r="D210" s="106">
        <v>1</v>
      </c>
      <c r="E210" s="106">
        <v>1</v>
      </c>
      <c r="F210" s="105">
        <f t="shared" si="117"/>
        <v>11</v>
      </c>
      <c r="H210" s="103">
        <v>2</v>
      </c>
      <c r="I210" s="105">
        <f t="shared" si="121"/>
        <v>201</v>
      </c>
      <c r="J210" s="172">
        <v>11</v>
      </c>
      <c r="L210" s="172" t="s">
        <v>1115</v>
      </c>
      <c r="M210" s="172" t="s">
        <v>1129</v>
      </c>
      <c r="N210" s="103" t="s">
        <v>737</v>
      </c>
      <c r="O210" s="103" t="s">
        <v>1079</v>
      </c>
      <c r="P210" s="172">
        <v>1</v>
      </c>
      <c r="Q210" s="172">
        <v>12</v>
      </c>
      <c r="R210" s="103" t="s">
        <v>1031</v>
      </c>
      <c r="S210" s="103">
        <v>322010101</v>
      </c>
      <c r="T210" s="104" t="str">
        <f t="shared" si="118"/>
        <v>UITexture/TechProd/322010101.png</v>
      </c>
      <c r="U210" s="172" t="s">
        <v>1144</v>
      </c>
      <c r="V210" s="104">
        <f t="shared" si="122"/>
        <v>0</v>
      </c>
      <c r="Z210" s="172">
        <v>1</v>
      </c>
      <c r="AB210" s="102">
        <f ca="1">IFERROR(OFFSET(BLDG_FUNC_PARAM!$A$5,MATCH(AC210,BLDG_FUNC_PARAM!$J$5:$J$68,0)-1,0),0)</f>
        <v>122010001</v>
      </c>
      <c r="AC210" s="103" t="s">
        <v>963</v>
      </c>
      <c r="AD210" s="102">
        <v>105</v>
      </c>
      <c r="AN210" s="102">
        <v>0</v>
      </c>
      <c r="AO210" s="102">
        <v>0</v>
      </c>
      <c r="AT210" s="104">
        <f t="shared" si="123"/>
        <v>660</v>
      </c>
      <c r="AW210" s="103">
        <v>11</v>
      </c>
      <c r="AY210" s="102">
        <v>1100</v>
      </c>
      <c r="AZ210" s="102">
        <v>110</v>
      </c>
      <c r="BA210" s="172">
        <v>0</v>
      </c>
      <c r="BC210" s="104">
        <f ca="1">IFERROR(OFFSET(ITEM_RES!$A$5,MATCH(BD210,ITEM_RES!$M$5:$M$84,0)-1,0),0)</f>
        <v>0</v>
      </c>
    </row>
    <row r="211" spans="1:55" x14ac:dyDescent="0.3">
      <c r="A211" s="107">
        <f t="shared" si="119"/>
        <v>322010112</v>
      </c>
      <c r="B211" s="106">
        <v>32</v>
      </c>
      <c r="C211" s="105">
        <f t="shared" si="120"/>
        <v>2</v>
      </c>
      <c r="D211" s="106">
        <v>1</v>
      </c>
      <c r="E211" s="106">
        <v>1</v>
      </c>
      <c r="F211" s="105">
        <f t="shared" si="117"/>
        <v>12</v>
      </c>
      <c r="H211" s="103">
        <v>2</v>
      </c>
      <c r="I211" s="105">
        <f t="shared" si="121"/>
        <v>201</v>
      </c>
      <c r="J211" s="172">
        <v>12</v>
      </c>
      <c r="L211" s="172" t="s">
        <v>1115</v>
      </c>
      <c r="M211" s="172" t="s">
        <v>1129</v>
      </c>
      <c r="N211" s="103" t="s">
        <v>737</v>
      </c>
      <c r="O211" s="103" t="s">
        <v>1079</v>
      </c>
      <c r="P211" s="172">
        <v>1</v>
      </c>
      <c r="Q211" s="172">
        <v>12</v>
      </c>
      <c r="R211" s="103" t="s">
        <v>1031</v>
      </c>
      <c r="S211" s="103">
        <v>322010101</v>
      </c>
      <c r="T211" s="104" t="str">
        <f t="shared" si="118"/>
        <v>UITexture/TechProd/322010101.png</v>
      </c>
      <c r="U211" s="172" t="s">
        <v>1144</v>
      </c>
      <c r="V211" s="104">
        <f t="shared" si="122"/>
        <v>0</v>
      </c>
      <c r="Z211" s="172">
        <v>1</v>
      </c>
      <c r="AB211" s="102">
        <f ca="1">IFERROR(OFFSET(BLDG_FUNC_PARAM!$A$5,MATCH(AC211,BLDG_FUNC_PARAM!$J$5:$J$68,0)-1,0),0)</f>
        <v>122010001</v>
      </c>
      <c r="AC211" s="103" t="s">
        <v>963</v>
      </c>
      <c r="AD211" s="102">
        <v>110</v>
      </c>
      <c r="AN211" s="102">
        <v>0</v>
      </c>
      <c r="AO211" s="102">
        <v>0</v>
      </c>
      <c r="AT211" s="104">
        <f t="shared" si="123"/>
        <v>720</v>
      </c>
      <c r="AW211" s="103">
        <v>12</v>
      </c>
      <c r="AY211" s="102">
        <v>1200</v>
      </c>
      <c r="AZ211" s="102">
        <v>120</v>
      </c>
      <c r="BA211" s="172">
        <v>0</v>
      </c>
      <c r="BC211" s="104">
        <f ca="1">IFERROR(OFFSET(ITEM_RES!$A$5,MATCH(BD211,ITEM_RES!$M$5:$M$84,0)-1,0),0)</f>
        <v>0</v>
      </c>
    </row>
    <row r="212" spans="1:55" x14ac:dyDescent="0.3">
      <c r="A212" s="107">
        <f t="shared" si="119"/>
        <v>322010113</v>
      </c>
      <c r="B212" s="106">
        <v>32</v>
      </c>
      <c r="C212" s="105">
        <f t="shared" si="120"/>
        <v>2</v>
      </c>
      <c r="D212" s="106">
        <v>1</v>
      </c>
      <c r="E212" s="106">
        <v>1</v>
      </c>
      <c r="F212" s="105">
        <f t="shared" si="117"/>
        <v>13</v>
      </c>
      <c r="H212" s="103">
        <v>2</v>
      </c>
      <c r="I212" s="105">
        <f t="shared" si="121"/>
        <v>201</v>
      </c>
      <c r="J212" s="172">
        <v>13</v>
      </c>
      <c r="L212" s="172" t="s">
        <v>1115</v>
      </c>
      <c r="M212" s="172" t="s">
        <v>1129</v>
      </c>
      <c r="N212" s="103" t="s">
        <v>737</v>
      </c>
      <c r="O212" s="103" t="s">
        <v>1079</v>
      </c>
      <c r="P212" s="172">
        <v>0</v>
      </c>
      <c r="Q212" s="172">
        <v>12</v>
      </c>
      <c r="R212" s="103" t="s">
        <v>1031</v>
      </c>
      <c r="S212" s="103">
        <v>322010101</v>
      </c>
      <c r="T212" s="104" t="str">
        <f t="shared" si="118"/>
        <v>UITexture/TechProd/322010101.png</v>
      </c>
      <c r="U212" s="172" t="s">
        <v>1144</v>
      </c>
      <c r="V212" s="104">
        <f t="shared" si="122"/>
        <v>0</v>
      </c>
      <c r="Z212" s="172">
        <v>1</v>
      </c>
      <c r="AB212" s="102">
        <f ca="1">IFERROR(OFFSET(BLDG_FUNC_PARAM!$A$5,MATCH(AC212,BLDG_FUNC_PARAM!$J$5:$J$68,0)-1,0),0)</f>
        <v>122010001</v>
      </c>
      <c r="AC212" s="103" t="s">
        <v>963</v>
      </c>
      <c r="AD212" s="102">
        <v>115</v>
      </c>
      <c r="AN212" s="102">
        <v>0</v>
      </c>
      <c r="AO212" s="102">
        <v>0</v>
      </c>
      <c r="AT212" s="104">
        <f t="shared" si="123"/>
        <v>780</v>
      </c>
      <c r="AW212" s="103">
        <v>13</v>
      </c>
      <c r="AY212" s="102">
        <v>1300</v>
      </c>
      <c r="AZ212" s="102">
        <v>130</v>
      </c>
      <c r="BA212" s="172">
        <v>0</v>
      </c>
      <c r="BC212" s="104">
        <f ca="1">IFERROR(OFFSET(ITEM_RES!$A$5,MATCH(BD212,ITEM_RES!$M$5:$M$84,0)-1,0),0)</f>
        <v>0</v>
      </c>
    </row>
    <row r="213" spans="1:55" x14ac:dyDescent="0.3">
      <c r="A213" s="107">
        <f t="shared" si="119"/>
        <v>322010114</v>
      </c>
      <c r="B213" s="106">
        <v>32</v>
      </c>
      <c r="C213" s="105">
        <f t="shared" si="120"/>
        <v>2</v>
      </c>
      <c r="D213" s="106">
        <v>1</v>
      </c>
      <c r="E213" s="106">
        <v>1</v>
      </c>
      <c r="F213" s="105">
        <f t="shared" si="117"/>
        <v>14</v>
      </c>
      <c r="H213" s="103">
        <v>2</v>
      </c>
      <c r="I213" s="105">
        <f t="shared" si="121"/>
        <v>201</v>
      </c>
      <c r="J213" s="172">
        <v>14</v>
      </c>
      <c r="L213" s="172" t="s">
        <v>1115</v>
      </c>
      <c r="M213" s="172" t="s">
        <v>1129</v>
      </c>
      <c r="N213" s="103" t="s">
        <v>737</v>
      </c>
      <c r="O213" s="103" t="s">
        <v>1079</v>
      </c>
      <c r="P213" s="172">
        <v>0</v>
      </c>
      <c r="Q213" s="172">
        <v>12</v>
      </c>
      <c r="R213" s="103" t="s">
        <v>1031</v>
      </c>
      <c r="S213" s="103">
        <v>322010101</v>
      </c>
      <c r="T213" s="104" t="str">
        <f t="shared" si="118"/>
        <v>UITexture/TechProd/322010101.png</v>
      </c>
      <c r="U213" s="172" t="s">
        <v>1144</v>
      </c>
      <c r="V213" s="104">
        <f t="shared" si="122"/>
        <v>0</v>
      </c>
      <c r="Z213" s="172">
        <v>1</v>
      </c>
      <c r="AB213" s="102">
        <f ca="1">IFERROR(OFFSET(BLDG_FUNC_PARAM!$A$5,MATCH(AC213,BLDG_FUNC_PARAM!$J$5:$J$68,0)-1,0),0)</f>
        <v>122010001</v>
      </c>
      <c r="AC213" s="103" t="s">
        <v>963</v>
      </c>
      <c r="AD213" s="102">
        <v>120</v>
      </c>
      <c r="AN213" s="102">
        <v>0</v>
      </c>
      <c r="AO213" s="102">
        <v>0</v>
      </c>
      <c r="AT213" s="104">
        <f t="shared" si="123"/>
        <v>840</v>
      </c>
      <c r="AW213" s="103">
        <v>14</v>
      </c>
      <c r="AY213" s="102">
        <v>1400</v>
      </c>
      <c r="AZ213" s="102">
        <v>140</v>
      </c>
      <c r="BA213" s="172">
        <v>0</v>
      </c>
      <c r="BC213" s="104">
        <f ca="1">IFERROR(OFFSET(ITEM_RES!$A$5,MATCH(BD213,ITEM_RES!$M$5:$M$84,0)-1,0),0)</f>
        <v>0</v>
      </c>
    </row>
    <row r="214" spans="1:55" x14ac:dyDescent="0.3">
      <c r="A214" s="107">
        <f t="shared" si="119"/>
        <v>322010115</v>
      </c>
      <c r="B214" s="106">
        <v>32</v>
      </c>
      <c r="C214" s="105">
        <f t="shared" si="120"/>
        <v>2</v>
      </c>
      <c r="D214" s="106">
        <v>1</v>
      </c>
      <c r="E214" s="106">
        <v>1</v>
      </c>
      <c r="F214" s="105">
        <f t="shared" si="117"/>
        <v>15</v>
      </c>
      <c r="H214" s="103">
        <v>2</v>
      </c>
      <c r="I214" s="105">
        <f t="shared" si="121"/>
        <v>201</v>
      </c>
      <c r="J214" s="172">
        <v>15</v>
      </c>
      <c r="L214" s="172" t="s">
        <v>1115</v>
      </c>
      <c r="M214" s="172" t="s">
        <v>1129</v>
      </c>
      <c r="N214" s="103" t="s">
        <v>737</v>
      </c>
      <c r="O214" s="103" t="s">
        <v>1079</v>
      </c>
      <c r="P214" s="172">
        <v>0</v>
      </c>
      <c r="Q214" s="172">
        <v>12</v>
      </c>
      <c r="R214" s="103" t="s">
        <v>1031</v>
      </c>
      <c r="S214" s="103">
        <v>322010101</v>
      </c>
      <c r="T214" s="104" t="str">
        <f t="shared" si="118"/>
        <v>UITexture/TechProd/322010101.png</v>
      </c>
      <c r="U214" s="172" t="s">
        <v>1144</v>
      </c>
      <c r="V214" s="104">
        <f t="shared" si="122"/>
        <v>0</v>
      </c>
      <c r="Z214" s="172">
        <v>1</v>
      </c>
      <c r="AB214" s="102">
        <f ca="1">IFERROR(OFFSET(BLDG_FUNC_PARAM!$A$5,MATCH(AC214,BLDG_FUNC_PARAM!$J$5:$J$68,0)-1,0),0)</f>
        <v>122010001</v>
      </c>
      <c r="AC214" s="103" t="s">
        <v>963</v>
      </c>
      <c r="AD214" s="102">
        <v>150</v>
      </c>
      <c r="AN214" s="102">
        <v>14</v>
      </c>
      <c r="AO214" s="102">
        <v>0</v>
      </c>
      <c r="AT214" s="104">
        <f t="shared" si="123"/>
        <v>900</v>
      </c>
      <c r="AW214" s="103">
        <v>15</v>
      </c>
      <c r="AY214" s="102">
        <v>1500</v>
      </c>
      <c r="AZ214" s="102">
        <v>150</v>
      </c>
      <c r="BA214" s="172">
        <v>0</v>
      </c>
      <c r="BC214" s="104">
        <f ca="1">IFERROR(OFFSET(ITEM_RES!$A$5,MATCH(BD214,ITEM_RES!$M$5:$M$84,0)-1,0),0)</f>
        <v>0</v>
      </c>
    </row>
    <row r="215" spans="1:55" x14ac:dyDescent="0.3">
      <c r="A215" s="107">
        <f t="shared" ref="A215:A224" si="124">B215*10000000+C215*1000000+D215*10000+E215*100+F215</f>
        <v>322010116</v>
      </c>
      <c r="B215" s="106">
        <v>32</v>
      </c>
      <c r="C215" s="105">
        <f t="shared" ref="C215:C224" si="125">H215</f>
        <v>2</v>
      </c>
      <c r="D215" s="106">
        <v>1</v>
      </c>
      <c r="E215" s="106">
        <v>1</v>
      </c>
      <c r="F215" s="105">
        <f t="shared" si="117"/>
        <v>16</v>
      </c>
      <c r="H215" s="103">
        <v>2</v>
      </c>
      <c r="I215" s="105">
        <f t="shared" ref="I215:I224" si="126">C215*100+D215</f>
        <v>201</v>
      </c>
      <c r="J215" s="172">
        <v>16</v>
      </c>
      <c r="L215" s="172" t="s">
        <v>1115</v>
      </c>
      <c r="M215" s="172" t="s">
        <v>1129</v>
      </c>
      <c r="N215" s="103" t="s">
        <v>737</v>
      </c>
      <c r="O215" s="103" t="s">
        <v>1079</v>
      </c>
      <c r="P215" s="172">
        <v>0</v>
      </c>
      <c r="Q215" s="172">
        <v>12</v>
      </c>
      <c r="R215" s="103" t="s">
        <v>1031</v>
      </c>
      <c r="S215" s="103">
        <v>322010101</v>
      </c>
      <c r="T215" s="104" t="str">
        <f t="shared" si="118"/>
        <v>UITexture/TechProd/322010101.png</v>
      </c>
      <c r="U215" s="172" t="s">
        <v>1144</v>
      </c>
      <c r="V215" s="104">
        <f t="shared" ref="V215:V224" si="127">W215*1000+X215</f>
        <v>0</v>
      </c>
      <c r="Z215" s="172">
        <v>1</v>
      </c>
      <c r="AB215" s="102">
        <f ca="1">IFERROR(OFFSET(BLDG_FUNC_PARAM!$A$5,MATCH(AC215,BLDG_FUNC_PARAM!$J$5:$J$68,0)-1,0),0)</f>
        <v>122010001</v>
      </c>
      <c r="AC215" s="103" t="s">
        <v>963</v>
      </c>
      <c r="AD215" s="102">
        <v>155</v>
      </c>
      <c r="AN215" s="102">
        <v>0</v>
      </c>
      <c r="AO215" s="102">
        <v>0</v>
      </c>
      <c r="AT215" s="104">
        <f t="shared" ref="AT215:AT224" si="128">((AU215*24+AV215)*60+AW215)*60+AX215</f>
        <v>960</v>
      </c>
      <c r="AW215" s="103">
        <v>16</v>
      </c>
      <c r="AY215" s="102">
        <v>1600</v>
      </c>
      <c r="AZ215" s="102">
        <v>160</v>
      </c>
      <c r="BA215" s="172">
        <v>0</v>
      </c>
      <c r="BC215" s="104">
        <f ca="1">IFERROR(OFFSET(ITEM_RES!$A$5,MATCH(BD215,ITEM_RES!$M$5:$M$84,0)-1,0),0)</f>
        <v>0</v>
      </c>
    </row>
    <row r="216" spans="1:55" x14ac:dyDescent="0.3">
      <c r="A216" s="107">
        <f t="shared" si="124"/>
        <v>322010117</v>
      </c>
      <c r="B216" s="106">
        <v>32</v>
      </c>
      <c r="C216" s="105">
        <f t="shared" si="125"/>
        <v>2</v>
      </c>
      <c r="D216" s="106">
        <v>1</v>
      </c>
      <c r="E216" s="106">
        <v>1</v>
      </c>
      <c r="F216" s="105">
        <f t="shared" si="117"/>
        <v>17</v>
      </c>
      <c r="H216" s="103">
        <v>2</v>
      </c>
      <c r="I216" s="105">
        <f t="shared" si="126"/>
        <v>201</v>
      </c>
      <c r="J216" s="172">
        <v>17</v>
      </c>
      <c r="L216" s="172" t="s">
        <v>1115</v>
      </c>
      <c r="M216" s="172" t="s">
        <v>1129</v>
      </c>
      <c r="N216" s="103" t="s">
        <v>737</v>
      </c>
      <c r="O216" s="103" t="s">
        <v>1079</v>
      </c>
      <c r="P216" s="172">
        <v>0</v>
      </c>
      <c r="Q216" s="172">
        <v>12</v>
      </c>
      <c r="R216" s="103" t="s">
        <v>1031</v>
      </c>
      <c r="S216" s="103">
        <v>322010101</v>
      </c>
      <c r="T216" s="104" t="str">
        <f t="shared" si="118"/>
        <v>UITexture/TechProd/322010101.png</v>
      </c>
      <c r="U216" s="172" t="s">
        <v>1144</v>
      </c>
      <c r="V216" s="104">
        <f t="shared" si="127"/>
        <v>0</v>
      </c>
      <c r="Z216" s="172">
        <v>1</v>
      </c>
      <c r="AB216" s="102">
        <f ca="1">IFERROR(OFFSET(BLDG_FUNC_PARAM!$A$5,MATCH(AC216,BLDG_FUNC_PARAM!$J$5:$J$68,0)-1,0),0)</f>
        <v>122010001</v>
      </c>
      <c r="AC216" s="103" t="s">
        <v>963</v>
      </c>
      <c r="AD216" s="102">
        <v>160</v>
      </c>
      <c r="AN216" s="102">
        <v>0</v>
      </c>
      <c r="AO216" s="102">
        <v>0</v>
      </c>
      <c r="AT216" s="104">
        <f t="shared" si="128"/>
        <v>1020</v>
      </c>
      <c r="AW216" s="103">
        <v>17</v>
      </c>
      <c r="AY216" s="102">
        <v>1700</v>
      </c>
      <c r="AZ216" s="102">
        <v>170</v>
      </c>
      <c r="BA216" s="172">
        <v>0</v>
      </c>
      <c r="BC216" s="104">
        <f ca="1">IFERROR(OFFSET(ITEM_RES!$A$5,MATCH(BD216,ITEM_RES!$M$5:$M$84,0)-1,0),0)</f>
        <v>0</v>
      </c>
    </row>
    <row r="217" spans="1:55" x14ac:dyDescent="0.3">
      <c r="A217" s="107">
        <f t="shared" si="124"/>
        <v>322010118</v>
      </c>
      <c r="B217" s="106">
        <v>32</v>
      </c>
      <c r="C217" s="105">
        <f t="shared" si="125"/>
        <v>2</v>
      </c>
      <c r="D217" s="106">
        <v>1</v>
      </c>
      <c r="E217" s="106">
        <v>1</v>
      </c>
      <c r="F217" s="105">
        <f t="shared" si="117"/>
        <v>18</v>
      </c>
      <c r="H217" s="103">
        <v>2</v>
      </c>
      <c r="I217" s="105">
        <f t="shared" si="126"/>
        <v>201</v>
      </c>
      <c r="J217" s="172">
        <v>18</v>
      </c>
      <c r="L217" s="172" t="s">
        <v>1115</v>
      </c>
      <c r="M217" s="172" t="s">
        <v>1129</v>
      </c>
      <c r="N217" s="103" t="s">
        <v>737</v>
      </c>
      <c r="O217" s="103" t="s">
        <v>1079</v>
      </c>
      <c r="P217" s="172">
        <v>0</v>
      </c>
      <c r="Q217" s="172">
        <v>12</v>
      </c>
      <c r="R217" s="103" t="s">
        <v>1031</v>
      </c>
      <c r="S217" s="103">
        <v>322010101</v>
      </c>
      <c r="T217" s="104" t="str">
        <f t="shared" si="118"/>
        <v>UITexture/TechProd/322010101.png</v>
      </c>
      <c r="U217" s="172" t="s">
        <v>1144</v>
      </c>
      <c r="V217" s="104">
        <f t="shared" si="127"/>
        <v>0</v>
      </c>
      <c r="Z217" s="172">
        <v>1</v>
      </c>
      <c r="AB217" s="102">
        <f ca="1">IFERROR(OFFSET(BLDG_FUNC_PARAM!$A$5,MATCH(AC217,BLDG_FUNC_PARAM!$J$5:$J$68,0)-1,0),0)</f>
        <v>122010001</v>
      </c>
      <c r="AC217" s="103" t="s">
        <v>963</v>
      </c>
      <c r="AD217" s="102">
        <v>165</v>
      </c>
      <c r="AN217" s="102">
        <v>0</v>
      </c>
      <c r="AO217" s="102">
        <v>0</v>
      </c>
      <c r="AT217" s="104">
        <f t="shared" si="128"/>
        <v>1080</v>
      </c>
      <c r="AW217" s="103">
        <v>18</v>
      </c>
      <c r="AY217" s="102">
        <v>1800</v>
      </c>
      <c r="AZ217" s="102">
        <v>180</v>
      </c>
      <c r="BA217" s="172">
        <v>0</v>
      </c>
      <c r="BC217" s="104">
        <f ca="1">IFERROR(OFFSET(ITEM_RES!$A$5,MATCH(BD217,ITEM_RES!$M$5:$M$84,0)-1,0),0)</f>
        <v>0</v>
      </c>
    </row>
    <row r="218" spans="1:55" x14ac:dyDescent="0.3">
      <c r="A218" s="107">
        <f t="shared" si="124"/>
        <v>322010119</v>
      </c>
      <c r="B218" s="106">
        <v>32</v>
      </c>
      <c r="C218" s="105">
        <f t="shared" si="125"/>
        <v>2</v>
      </c>
      <c r="D218" s="106">
        <v>1</v>
      </c>
      <c r="E218" s="106">
        <v>1</v>
      </c>
      <c r="F218" s="105">
        <f t="shared" si="117"/>
        <v>19</v>
      </c>
      <c r="H218" s="103">
        <v>2</v>
      </c>
      <c r="I218" s="105">
        <f t="shared" si="126"/>
        <v>201</v>
      </c>
      <c r="J218" s="172">
        <v>19</v>
      </c>
      <c r="L218" s="172" t="s">
        <v>1115</v>
      </c>
      <c r="M218" s="172" t="s">
        <v>1129</v>
      </c>
      <c r="N218" s="103" t="s">
        <v>737</v>
      </c>
      <c r="O218" s="103" t="s">
        <v>1079</v>
      </c>
      <c r="P218" s="172">
        <v>0</v>
      </c>
      <c r="Q218" s="172">
        <v>12</v>
      </c>
      <c r="R218" s="103" t="s">
        <v>1031</v>
      </c>
      <c r="S218" s="103">
        <v>322010101</v>
      </c>
      <c r="T218" s="104" t="str">
        <f t="shared" si="118"/>
        <v>UITexture/TechProd/322010101.png</v>
      </c>
      <c r="U218" s="172" t="s">
        <v>1144</v>
      </c>
      <c r="V218" s="104">
        <f t="shared" si="127"/>
        <v>0</v>
      </c>
      <c r="Z218" s="172">
        <v>1</v>
      </c>
      <c r="AB218" s="102">
        <f ca="1">IFERROR(OFFSET(BLDG_FUNC_PARAM!$A$5,MATCH(AC218,BLDG_FUNC_PARAM!$J$5:$J$68,0)-1,0),0)</f>
        <v>122010001</v>
      </c>
      <c r="AC218" s="103" t="s">
        <v>963</v>
      </c>
      <c r="AD218" s="102">
        <v>170</v>
      </c>
      <c r="AN218" s="102">
        <v>0</v>
      </c>
      <c r="AO218" s="102">
        <v>0</v>
      </c>
      <c r="AT218" s="104">
        <f t="shared" si="128"/>
        <v>1140</v>
      </c>
      <c r="AW218" s="103">
        <v>19</v>
      </c>
      <c r="AY218" s="102">
        <v>1900</v>
      </c>
      <c r="AZ218" s="102">
        <v>190</v>
      </c>
      <c r="BA218" s="172">
        <v>0</v>
      </c>
      <c r="BC218" s="104">
        <f ca="1">IFERROR(OFFSET(ITEM_RES!$A$5,MATCH(BD218,ITEM_RES!$M$5:$M$84,0)-1,0),0)</f>
        <v>0</v>
      </c>
    </row>
    <row r="219" spans="1:55" x14ac:dyDescent="0.3">
      <c r="A219" s="107">
        <f t="shared" si="124"/>
        <v>322010120</v>
      </c>
      <c r="B219" s="106">
        <v>32</v>
      </c>
      <c r="C219" s="105">
        <f t="shared" si="125"/>
        <v>2</v>
      </c>
      <c r="D219" s="106">
        <v>1</v>
      </c>
      <c r="E219" s="106">
        <v>1</v>
      </c>
      <c r="F219" s="105">
        <f t="shared" si="117"/>
        <v>20</v>
      </c>
      <c r="H219" s="103">
        <v>2</v>
      </c>
      <c r="I219" s="105">
        <f t="shared" si="126"/>
        <v>201</v>
      </c>
      <c r="J219" s="172">
        <v>20</v>
      </c>
      <c r="L219" s="172" t="s">
        <v>1115</v>
      </c>
      <c r="M219" s="172" t="s">
        <v>1129</v>
      </c>
      <c r="N219" s="103" t="s">
        <v>737</v>
      </c>
      <c r="O219" s="103" t="s">
        <v>1079</v>
      </c>
      <c r="P219" s="172">
        <v>0</v>
      </c>
      <c r="Q219" s="172">
        <v>12</v>
      </c>
      <c r="R219" s="103" t="s">
        <v>1031</v>
      </c>
      <c r="S219" s="103">
        <v>322010101</v>
      </c>
      <c r="T219" s="104" t="str">
        <f t="shared" si="118"/>
        <v>UITexture/TechProd/322010101.png</v>
      </c>
      <c r="U219" s="172" t="s">
        <v>1144</v>
      </c>
      <c r="V219" s="104">
        <f t="shared" si="127"/>
        <v>0</v>
      </c>
      <c r="Z219" s="172">
        <v>1</v>
      </c>
      <c r="AB219" s="102">
        <f ca="1">IFERROR(OFFSET(BLDG_FUNC_PARAM!$A$5,MATCH(AC219,BLDG_FUNC_PARAM!$J$5:$J$68,0)-1,0),0)</f>
        <v>122010001</v>
      </c>
      <c r="AC219" s="103" t="s">
        <v>963</v>
      </c>
      <c r="AD219" s="102">
        <v>200</v>
      </c>
      <c r="AN219" s="102">
        <v>19</v>
      </c>
      <c r="AO219" s="102">
        <v>0</v>
      </c>
      <c r="AT219" s="104">
        <f t="shared" si="128"/>
        <v>1200</v>
      </c>
      <c r="AW219" s="103">
        <v>20</v>
      </c>
      <c r="AY219" s="102">
        <v>2000</v>
      </c>
      <c r="AZ219" s="102">
        <v>200</v>
      </c>
      <c r="BA219" s="172">
        <v>0</v>
      </c>
      <c r="BC219" s="104">
        <f ca="1">IFERROR(OFFSET(ITEM_RES!$A$5,MATCH(BD219,ITEM_RES!$M$5:$M$84,0)-1,0),0)</f>
        <v>0</v>
      </c>
    </row>
    <row r="220" spans="1:55" x14ac:dyDescent="0.3">
      <c r="A220" s="107">
        <f t="shared" si="124"/>
        <v>322010121</v>
      </c>
      <c r="B220" s="106">
        <v>32</v>
      </c>
      <c r="C220" s="105">
        <f t="shared" si="125"/>
        <v>2</v>
      </c>
      <c r="D220" s="106">
        <v>1</v>
      </c>
      <c r="E220" s="106">
        <v>1</v>
      </c>
      <c r="F220" s="105">
        <f t="shared" si="117"/>
        <v>21</v>
      </c>
      <c r="H220" s="103">
        <v>2</v>
      </c>
      <c r="I220" s="105">
        <f t="shared" si="126"/>
        <v>201</v>
      </c>
      <c r="J220" s="172">
        <v>21</v>
      </c>
      <c r="L220" s="172" t="s">
        <v>1115</v>
      </c>
      <c r="M220" s="172" t="s">
        <v>1129</v>
      </c>
      <c r="N220" s="103" t="s">
        <v>737</v>
      </c>
      <c r="O220" s="103" t="s">
        <v>1079</v>
      </c>
      <c r="P220" s="172">
        <v>0</v>
      </c>
      <c r="Q220" s="172">
        <v>12</v>
      </c>
      <c r="R220" s="103" t="s">
        <v>1031</v>
      </c>
      <c r="S220" s="103">
        <v>322010101</v>
      </c>
      <c r="T220" s="104" t="str">
        <f t="shared" si="118"/>
        <v>UITexture/TechProd/322010101.png</v>
      </c>
      <c r="U220" s="172" t="s">
        <v>1144</v>
      </c>
      <c r="V220" s="104">
        <f t="shared" si="127"/>
        <v>0</v>
      </c>
      <c r="Z220" s="172">
        <v>1</v>
      </c>
      <c r="AB220" s="102">
        <f ca="1">IFERROR(OFFSET(BLDG_FUNC_PARAM!$A$5,MATCH(AC220,BLDG_FUNC_PARAM!$J$5:$J$68,0)-1,0),0)</f>
        <v>122010001</v>
      </c>
      <c r="AC220" s="103" t="s">
        <v>963</v>
      </c>
      <c r="AD220" s="102">
        <v>205</v>
      </c>
      <c r="AN220" s="102">
        <v>0</v>
      </c>
      <c r="AO220" s="102">
        <v>0</v>
      </c>
      <c r="AT220" s="104">
        <f t="shared" si="128"/>
        <v>1260</v>
      </c>
      <c r="AW220" s="103">
        <v>21</v>
      </c>
      <c r="AY220" s="102">
        <v>2100</v>
      </c>
      <c r="AZ220" s="102">
        <v>210</v>
      </c>
      <c r="BA220" s="172">
        <v>0</v>
      </c>
      <c r="BC220" s="104">
        <f ca="1">IFERROR(OFFSET(ITEM_RES!$A$5,MATCH(BD220,ITEM_RES!$M$5:$M$84,0)-1,0),0)</f>
        <v>0</v>
      </c>
    </row>
    <row r="221" spans="1:55" x14ac:dyDescent="0.3">
      <c r="A221" s="107">
        <f t="shared" si="124"/>
        <v>322010122</v>
      </c>
      <c r="B221" s="106">
        <v>32</v>
      </c>
      <c r="C221" s="105">
        <f t="shared" si="125"/>
        <v>2</v>
      </c>
      <c r="D221" s="106">
        <v>1</v>
      </c>
      <c r="E221" s="106">
        <v>1</v>
      </c>
      <c r="F221" s="105">
        <f t="shared" si="117"/>
        <v>22</v>
      </c>
      <c r="H221" s="103">
        <v>2</v>
      </c>
      <c r="I221" s="105">
        <f t="shared" si="126"/>
        <v>201</v>
      </c>
      <c r="J221" s="172">
        <v>22</v>
      </c>
      <c r="L221" s="172" t="s">
        <v>1115</v>
      </c>
      <c r="M221" s="172" t="s">
        <v>1129</v>
      </c>
      <c r="N221" s="103" t="s">
        <v>737</v>
      </c>
      <c r="O221" s="103" t="s">
        <v>1079</v>
      </c>
      <c r="P221" s="172">
        <v>0</v>
      </c>
      <c r="Q221" s="172">
        <v>12</v>
      </c>
      <c r="R221" s="103" t="s">
        <v>1031</v>
      </c>
      <c r="S221" s="103">
        <v>322010101</v>
      </c>
      <c r="T221" s="104" t="str">
        <f t="shared" si="118"/>
        <v>UITexture/TechProd/322010101.png</v>
      </c>
      <c r="U221" s="172" t="s">
        <v>1144</v>
      </c>
      <c r="V221" s="104">
        <f t="shared" si="127"/>
        <v>0</v>
      </c>
      <c r="Z221" s="172">
        <v>1</v>
      </c>
      <c r="AB221" s="102">
        <f ca="1">IFERROR(OFFSET(BLDG_FUNC_PARAM!$A$5,MATCH(AC221,BLDG_FUNC_PARAM!$J$5:$J$68,0)-1,0),0)</f>
        <v>122010001</v>
      </c>
      <c r="AC221" s="103" t="s">
        <v>963</v>
      </c>
      <c r="AD221" s="102">
        <v>210</v>
      </c>
      <c r="AN221" s="102">
        <v>0</v>
      </c>
      <c r="AO221" s="102">
        <v>0</v>
      </c>
      <c r="AT221" s="104">
        <f t="shared" si="128"/>
        <v>1320</v>
      </c>
      <c r="AW221" s="103">
        <v>22</v>
      </c>
      <c r="AY221" s="102">
        <v>2200</v>
      </c>
      <c r="AZ221" s="102">
        <v>220</v>
      </c>
      <c r="BA221" s="172">
        <v>0</v>
      </c>
      <c r="BC221" s="104">
        <f ca="1">IFERROR(OFFSET(ITEM_RES!$A$5,MATCH(BD221,ITEM_RES!$M$5:$M$84,0)-1,0),0)</f>
        <v>0</v>
      </c>
    </row>
    <row r="222" spans="1:55" x14ac:dyDescent="0.3">
      <c r="A222" s="107">
        <f t="shared" si="124"/>
        <v>322010123</v>
      </c>
      <c r="B222" s="106">
        <v>32</v>
      </c>
      <c r="C222" s="105">
        <f t="shared" si="125"/>
        <v>2</v>
      </c>
      <c r="D222" s="106">
        <v>1</v>
      </c>
      <c r="E222" s="106">
        <v>1</v>
      </c>
      <c r="F222" s="105">
        <f t="shared" si="117"/>
        <v>23</v>
      </c>
      <c r="H222" s="103">
        <v>2</v>
      </c>
      <c r="I222" s="105">
        <f t="shared" si="126"/>
        <v>201</v>
      </c>
      <c r="J222" s="172">
        <v>23</v>
      </c>
      <c r="L222" s="172" t="s">
        <v>1115</v>
      </c>
      <c r="M222" s="172" t="s">
        <v>1129</v>
      </c>
      <c r="N222" s="103" t="s">
        <v>737</v>
      </c>
      <c r="O222" s="103" t="s">
        <v>1079</v>
      </c>
      <c r="P222" s="172">
        <v>0</v>
      </c>
      <c r="Q222" s="172">
        <v>12</v>
      </c>
      <c r="R222" s="103" t="s">
        <v>1031</v>
      </c>
      <c r="S222" s="103">
        <v>322010101</v>
      </c>
      <c r="T222" s="104" t="str">
        <f t="shared" si="118"/>
        <v>UITexture/TechProd/322010101.png</v>
      </c>
      <c r="U222" s="172" t="s">
        <v>1144</v>
      </c>
      <c r="V222" s="104">
        <f t="shared" si="127"/>
        <v>0</v>
      </c>
      <c r="Z222" s="172">
        <v>1</v>
      </c>
      <c r="AB222" s="102">
        <f ca="1">IFERROR(OFFSET(BLDG_FUNC_PARAM!$A$5,MATCH(AC222,BLDG_FUNC_PARAM!$J$5:$J$68,0)-1,0),0)</f>
        <v>122010001</v>
      </c>
      <c r="AC222" s="103" t="s">
        <v>963</v>
      </c>
      <c r="AD222" s="102">
        <v>215</v>
      </c>
      <c r="AN222" s="102">
        <v>0</v>
      </c>
      <c r="AO222" s="102">
        <v>0</v>
      </c>
      <c r="AT222" s="104">
        <f t="shared" si="128"/>
        <v>1380</v>
      </c>
      <c r="AW222" s="103">
        <v>23</v>
      </c>
      <c r="AY222" s="102">
        <v>2300</v>
      </c>
      <c r="AZ222" s="102">
        <v>230</v>
      </c>
      <c r="BA222" s="172">
        <v>0</v>
      </c>
      <c r="BC222" s="104">
        <f ca="1">IFERROR(OFFSET(ITEM_RES!$A$5,MATCH(BD222,ITEM_RES!$M$5:$M$84,0)-1,0),0)</f>
        <v>0</v>
      </c>
    </row>
    <row r="223" spans="1:55" x14ac:dyDescent="0.3">
      <c r="A223" s="107">
        <f t="shared" si="124"/>
        <v>322010124</v>
      </c>
      <c r="B223" s="106">
        <v>32</v>
      </c>
      <c r="C223" s="105">
        <f t="shared" si="125"/>
        <v>2</v>
      </c>
      <c r="D223" s="106">
        <v>1</v>
      </c>
      <c r="E223" s="106">
        <v>1</v>
      </c>
      <c r="F223" s="105">
        <f t="shared" si="117"/>
        <v>24</v>
      </c>
      <c r="H223" s="103">
        <v>2</v>
      </c>
      <c r="I223" s="105">
        <f t="shared" si="126"/>
        <v>201</v>
      </c>
      <c r="J223" s="172">
        <v>24</v>
      </c>
      <c r="L223" s="172" t="s">
        <v>1115</v>
      </c>
      <c r="M223" s="172" t="s">
        <v>1129</v>
      </c>
      <c r="N223" s="103" t="s">
        <v>737</v>
      </c>
      <c r="O223" s="103" t="s">
        <v>1079</v>
      </c>
      <c r="P223" s="172">
        <v>0</v>
      </c>
      <c r="Q223" s="172">
        <v>12</v>
      </c>
      <c r="R223" s="103" t="s">
        <v>1031</v>
      </c>
      <c r="S223" s="103">
        <v>322010101</v>
      </c>
      <c r="T223" s="104" t="str">
        <f t="shared" si="118"/>
        <v>UITexture/TechProd/322010101.png</v>
      </c>
      <c r="U223" s="172" t="s">
        <v>1144</v>
      </c>
      <c r="V223" s="104">
        <f t="shared" si="127"/>
        <v>0</v>
      </c>
      <c r="Z223" s="172">
        <v>1</v>
      </c>
      <c r="AB223" s="102">
        <f ca="1">IFERROR(OFFSET(BLDG_FUNC_PARAM!$A$5,MATCH(AC223,BLDG_FUNC_PARAM!$J$5:$J$68,0)-1,0),0)</f>
        <v>122010001</v>
      </c>
      <c r="AC223" s="103" t="s">
        <v>963</v>
      </c>
      <c r="AD223" s="102">
        <v>220</v>
      </c>
      <c r="AN223" s="102">
        <v>0</v>
      </c>
      <c r="AO223" s="102">
        <v>0</v>
      </c>
      <c r="AT223" s="104">
        <f t="shared" si="128"/>
        <v>1440</v>
      </c>
      <c r="AW223" s="103">
        <v>24</v>
      </c>
      <c r="AY223" s="102">
        <v>2400</v>
      </c>
      <c r="AZ223" s="102">
        <v>240</v>
      </c>
      <c r="BA223" s="172">
        <v>0</v>
      </c>
      <c r="BC223" s="104">
        <f ca="1">IFERROR(OFFSET(ITEM_RES!$A$5,MATCH(BD223,ITEM_RES!$M$5:$M$84,0)-1,0),0)</f>
        <v>0</v>
      </c>
    </row>
    <row r="224" spans="1:55" x14ac:dyDescent="0.3">
      <c r="A224" s="107">
        <f t="shared" si="124"/>
        <v>322010125</v>
      </c>
      <c r="B224" s="106">
        <v>32</v>
      </c>
      <c r="C224" s="105">
        <f t="shared" si="125"/>
        <v>2</v>
      </c>
      <c r="D224" s="106">
        <v>1</v>
      </c>
      <c r="E224" s="106">
        <v>1</v>
      </c>
      <c r="F224" s="105">
        <f t="shared" si="117"/>
        <v>25</v>
      </c>
      <c r="H224" s="103">
        <v>2</v>
      </c>
      <c r="I224" s="105">
        <f t="shared" si="126"/>
        <v>201</v>
      </c>
      <c r="J224" s="172">
        <v>25</v>
      </c>
      <c r="L224" s="172" t="s">
        <v>1115</v>
      </c>
      <c r="M224" s="172" t="s">
        <v>1129</v>
      </c>
      <c r="N224" s="103" t="s">
        <v>737</v>
      </c>
      <c r="O224" s="103" t="s">
        <v>1079</v>
      </c>
      <c r="P224" s="172">
        <v>0</v>
      </c>
      <c r="Q224" s="172">
        <v>12</v>
      </c>
      <c r="R224" s="103" t="s">
        <v>1031</v>
      </c>
      <c r="S224" s="103">
        <v>322010101</v>
      </c>
      <c r="T224" s="104" t="str">
        <f t="shared" si="118"/>
        <v>UITexture/TechProd/322010101.png</v>
      </c>
      <c r="U224" s="172" t="s">
        <v>1144</v>
      </c>
      <c r="V224" s="104">
        <f t="shared" si="127"/>
        <v>0</v>
      </c>
      <c r="Z224" s="172">
        <v>1</v>
      </c>
      <c r="AB224" s="102">
        <f ca="1">IFERROR(OFFSET(BLDG_FUNC_PARAM!$A$5,MATCH(AC224,BLDG_FUNC_PARAM!$J$5:$J$68,0)-1,0),0)</f>
        <v>122010001</v>
      </c>
      <c r="AC224" s="103" t="s">
        <v>963</v>
      </c>
      <c r="AD224" s="102">
        <v>250</v>
      </c>
      <c r="AN224" s="102">
        <v>23</v>
      </c>
      <c r="AO224" s="102">
        <v>0</v>
      </c>
      <c r="AT224" s="104">
        <f t="shared" si="128"/>
        <v>1500</v>
      </c>
      <c r="AW224" s="103">
        <v>25</v>
      </c>
      <c r="AY224" s="102">
        <v>2500</v>
      </c>
      <c r="AZ224" s="102">
        <v>250</v>
      </c>
      <c r="BA224" s="172">
        <v>0</v>
      </c>
      <c r="BC224" s="104">
        <f ca="1">IFERROR(OFFSET(ITEM_RES!$A$5,MATCH(BD224,ITEM_RES!$M$5:$M$84,0)-1,0),0)</f>
        <v>0</v>
      </c>
    </row>
    <row r="225" spans="1:55" x14ac:dyDescent="0.3">
      <c r="A225" s="107">
        <f t="shared" ref="A225:A229" si="129">B225*10000000+C225*1000000+D225*10000+E225*100+F225</f>
        <v>322010126</v>
      </c>
      <c r="B225" s="106">
        <v>32</v>
      </c>
      <c r="C225" s="105">
        <f t="shared" ref="C225:C229" si="130">H225</f>
        <v>2</v>
      </c>
      <c r="D225" s="106">
        <v>1</v>
      </c>
      <c r="E225" s="106">
        <v>1</v>
      </c>
      <c r="F225" s="105">
        <f t="shared" si="117"/>
        <v>26</v>
      </c>
      <c r="H225" s="103">
        <v>2</v>
      </c>
      <c r="I225" s="105">
        <f t="shared" ref="I225:I229" si="131">C225*100+D225</f>
        <v>201</v>
      </c>
      <c r="J225" s="172">
        <v>26</v>
      </c>
      <c r="L225" s="172" t="s">
        <v>1115</v>
      </c>
      <c r="M225" s="172" t="s">
        <v>1129</v>
      </c>
      <c r="N225" s="103" t="s">
        <v>737</v>
      </c>
      <c r="O225" s="103" t="s">
        <v>1079</v>
      </c>
      <c r="P225" s="172">
        <v>0</v>
      </c>
      <c r="Q225" s="172">
        <v>12</v>
      </c>
      <c r="R225" s="103" t="s">
        <v>1031</v>
      </c>
      <c r="S225" s="103">
        <v>322010101</v>
      </c>
      <c r="T225" s="104" t="str">
        <f t="shared" si="118"/>
        <v>UITexture/TechProd/322010101.png</v>
      </c>
      <c r="U225" s="172" t="s">
        <v>1144</v>
      </c>
      <c r="V225" s="104">
        <f t="shared" ref="V225:V229" si="132">W225*1000+X225</f>
        <v>0</v>
      </c>
      <c r="Z225" s="172">
        <v>1</v>
      </c>
      <c r="AB225" s="102">
        <f ca="1">IFERROR(OFFSET(BLDG_FUNC_PARAM!$A$5,MATCH(AC225,BLDG_FUNC_PARAM!$J$5:$J$68,0)-1,0),0)</f>
        <v>122010001</v>
      </c>
      <c r="AC225" s="103" t="s">
        <v>963</v>
      </c>
      <c r="AD225" s="102">
        <v>255</v>
      </c>
      <c r="AN225" s="102">
        <v>0</v>
      </c>
      <c r="AO225" s="102">
        <v>0</v>
      </c>
      <c r="AT225" s="104">
        <f t="shared" ref="AT225:AT229" si="133">((AU225*24+AV225)*60+AW225)*60+AX225</f>
        <v>1560</v>
      </c>
      <c r="AW225" s="103">
        <v>26</v>
      </c>
      <c r="AY225" s="102">
        <v>2600</v>
      </c>
      <c r="AZ225" s="102">
        <v>260</v>
      </c>
      <c r="BA225" s="172">
        <v>0</v>
      </c>
      <c r="BC225" s="104">
        <f ca="1">IFERROR(OFFSET(ITEM_RES!$A$5,MATCH(BD225,ITEM_RES!$M$5:$M$84,0)-1,0),0)</f>
        <v>0</v>
      </c>
    </row>
    <row r="226" spans="1:55" x14ac:dyDescent="0.3">
      <c r="A226" s="107">
        <f t="shared" si="129"/>
        <v>322010127</v>
      </c>
      <c r="B226" s="106">
        <v>32</v>
      </c>
      <c r="C226" s="105">
        <f t="shared" si="130"/>
        <v>2</v>
      </c>
      <c r="D226" s="106">
        <v>1</v>
      </c>
      <c r="E226" s="106">
        <v>1</v>
      </c>
      <c r="F226" s="105">
        <f t="shared" si="117"/>
        <v>27</v>
      </c>
      <c r="H226" s="103">
        <v>2</v>
      </c>
      <c r="I226" s="105">
        <f t="shared" si="131"/>
        <v>201</v>
      </c>
      <c r="J226" s="172">
        <v>27</v>
      </c>
      <c r="L226" s="172" t="s">
        <v>1115</v>
      </c>
      <c r="M226" s="172" t="s">
        <v>1129</v>
      </c>
      <c r="N226" s="103" t="s">
        <v>737</v>
      </c>
      <c r="O226" s="103" t="s">
        <v>1079</v>
      </c>
      <c r="P226" s="172">
        <v>0</v>
      </c>
      <c r="Q226" s="172">
        <v>12</v>
      </c>
      <c r="R226" s="103" t="s">
        <v>1031</v>
      </c>
      <c r="S226" s="103">
        <v>322010101</v>
      </c>
      <c r="T226" s="104" t="str">
        <f t="shared" si="118"/>
        <v>UITexture/TechProd/322010101.png</v>
      </c>
      <c r="U226" s="172" t="s">
        <v>1144</v>
      </c>
      <c r="V226" s="104">
        <f t="shared" si="132"/>
        <v>0</v>
      </c>
      <c r="Z226" s="172">
        <v>1</v>
      </c>
      <c r="AB226" s="102">
        <f ca="1">IFERROR(OFFSET(BLDG_FUNC_PARAM!$A$5,MATCH(AC226,BLDG_FUNC_PARAM!$J$5:$J$68,0)-1,0),0)</f>
        <v>122010001</v>
      </c>
      <c r="AC226" s="103" t="s">
        <v>963</v>
      </c>
      <c r="AD226" s="102">
        <v>260</v>
      </c>
      <c r="AN226" s="102">
        <v>0</v>
      </c>
      <c r="AO226" s="102">
        <v>0</v>
      </c>
      <c r="AT226" s="104">
        <f t="shared" si="133"/>
        <v>1620</v>
      </c>
      <c r="AW226" s="103">
        <v>27</v>
      </c>
      <c r="AY226" s="102">
        <v>2700</v>
      </c>
      <c r="AZ226" s="102">
        <v>270</v>
      </c>
      <c r="BA226" s="172">
        <v>0</v>
      </c>
      <c r="BC226" s="104">
        <f ca="1">IFERROR(OFFSET(ITEM_RES!$A$5,MATCH(BD226,ITEM_RES!$M$5:$M$84,0)-1,0),0)</f>
        <v>0</v>
      </c>
    </row>
    <row r="227" spans="1:55" x14ac:dyDescent="0.3">
      <c r="A227" s="107">
        <f t="shared" si="129"/>
        <v>322010128</v>
      </c>
      <c r="B227" s="106">
        <v>32</v>
      </c>
      <c r="C227" s="105">
        <f t="shared" si="130"/>
        <v>2</v>
      </c>
      <c r="D227" s="106">
        <v>1</v>
      </c>
      <c r="E227" s="106">
        <v>1</v>
      </c>
      <c r="F227" s="105">
        <f t="shared" si="117"/>
        <v>28</v>
      </c>
      <c r="H227" s="103">
        <v>2</v>
      </c>
      <c r="I227" s="105">
        <f t="shared" si="131"/>
        <v>201</v>
      </c>
      <c r="J227" s="172">
        <v>28</v>
      </c>
      <c r="L227" s="172" t="s">
        <v>1115</v>
      </c>
      <c r="M227" s="172" t="s">
        <v>1129</v>
      </c>
      <c r="N227" s="103" t="s">
        <v>737</v>
      </c>
      <c r="O227" s="103" t="s">
        <v>1079</v>
      </c>
      <c r="P227" s="172">
        <v>0</v>
      </c>
      <c r="Q227" s="172">
        <v>12</v>
      </c>
      <c r="R227" s="103" t="s">
        <v>1031</v>
      </c>
      <c r="S227" s="103">
        <v>322010101</v>
      </c>
      <c r="T227" s="104" t="str">
        <f t="shared" si="118"/>
        <v>UITexture/TechProd/322010101.png</v>
      </c>
      <c r="U227" s="172" t="s">
        <v>1144</v>
      </c>
      <c r="V227" s="104">
        <f t="shared" si="132"/>
        <v>0</v>
      </c>
      <c r="Z227" s="172">
        <v>1</v>
      </c>
      <c r="AB227" s="102">
        <f ca="1">IFERROR(OFFSET(BLDG_FUNC_PARAM!$A$5,MATCH(AC227,BLDG_FUNC_PARAM!$J$5:$J$68,0)-1,0),0)</f>
        <v>122010001</v>
      </c>
      <c r="AC227" s="103" t="s">
        <v>963</v>
      </c>
      <c r="AD227" s="102">
        <v>265</v>
      </c>
      <c r="AN227" s="102">
        <v>0</v>
      </c>
      <c r="AO227" s="102">
        <v>0</v>
      </c>
      <c r="AT227" s="104">
        <f t="shared" si="133"/>
        <v>1680</v>
      </c>
      <c r="AW227" s="103">
        <v>28</v>
      </c>
      <c r="AY227" s="102">
        <v>2800</v>
      </c>
      <c r="AZ227" s="102">
        <v>280</v>
      </c>
      <c r="BA227" s="172">
        <v>0</v>
      </c>
      <c r="BC227" s="104">
        <f ca="1">IFERROR(OFFSET(ITEM_RES!$A$5,MATCH(BD227,ITEM_RES!$M$5:$M$84,0)-1,0),0)</f>
        <v>0</v>
      </c>
    </row>
    <row r="228" spans="1:55" x14ac:dyDescent="0.3">
      <c r="A228" s="107">
        <f t="shared" si="129"/>
        <v>322010129</v>
      </c>
      <c r="B228" s="106">
        <v>32</v>
      </c>
      <c r="C228" s="105">
        <f t="shared" si="130"/>
        <v>2</v>
      </c>
      <c r="D228" s="106">
        <v>1</v>
      </c>
      <c r="E228" s="106">
        <v>1</v>
      </c>
      <c r="F228" s="105">
        <f t="shared" si="117"/>
        <v>29</v>
      </c>
      <c r="H228" s="103">
        <v>2</v>
      </c>
      <c r="I228" s="105">
        <f t="shared" si="131"/>
        <v>201</v>
      </c>
      <c r="J228" s="172">
        <v>29</v>
      </c>
      <c r="L228" s="172" t="s">
        <v>1115</v>
      </c>
      <c r="M228" s="172" t="s">
        <v>1129</v>
      </c>
      <c r="N228" s="103" t="s">
        <v>737</v>
      </c>
      <c r="O228" s="103" t="s">
        <v>1079</v>
      </c>
      <c r="P228" s="172">
        <v>0</v>
      </c>
      <c r="Q228" s="172">
        <v>12</v>
      </c>
      <c r="R228" s="103" t="s">
        <v>1031</v>
      </c>
      <c r="S228" s="103">
        <v>322010101</v>
      </c>
      <c r="T228" s="104" t="str">
        <f t="shared" si="118"/>
        <v>UITexture/TechProd/322010101.png</v>
      </c>
      <c r="U228" s="172" t="s">
        <v>1144</v>
      </c>
      <c r="V228" s="104">
        <f t="shared" si="132"/>
        <v>0</v>
      </c>
      <c r="Z228" s="172">
        <v>1</v>
      </c>
      <c r="AB228" s="102">
        <f ca="1">IFERROR(OFFSET(BLDG_FUNC_PARAM!$A$5,MATCH(AC228,BLDG_FUNC_PARAM!$J$5:$J$68,0)-1,0),0)</f>
        <v>122010001</v>
      </c>
      <c r="AC228" s="103" t="s">
        <v>963</v>
      </c>
      <c r="AD228" s="102">
        <v>270</v>
      </c>
      <c r="AN228" s="102">
        <v>0</v>
      </c>
      <c r="AO228" s="102">
        <v>0</v>
      </c>
      <c r="AT228" s="104">
        <f t="shared" si="133"/>
        <v>1740</v>
      </c>
      <c r="AW228" s="103">
        <v>29</v>
      </c>
      <c r="AY228" s="102">
        <v>2900</v>
      </c>
      <c r="AZ228" s="102">
        <v>290</v>
      </c>
      <c r="BA228" s="172">
        <v>0</v>
      </c>
      <c r="BC228" s="104">
        <f ca="1">IFERROR(OFFSET(ITEM_RES!$A$5,MATCH(BD228,ITEM_RES!$M$5:$M$84,0)-1,0),0)</f>
        <v>0</v>
      </c>
    </row>
    <row r="229" spans="1:55" x14ac:dyDescent="0.3">
      <c r="A229" s="107">
        <f t="shared" si="129"/>
        <v>322010130</v>
      </c>
      <c r="B229" s="106">
        <v>32</v>
      </c>
      <c r="C229" s="105">
        <f t="shared" si="130"/>
        <v>2</v>
      </c>
      <c r="D229" s="106">
        <v>1</v>
      </c>
      <c r="E229" s="106">
        <v>1</v>
      </c>
      <c r="F229" s="105">
        <f t="shared" si="117"/>
        <v>30</v>
      </c>
      <c r="H229" s="103">
        <v>2</v>
      </c>
      <c r="I229" s="105">
        <f t="shared" si="131"/>
        <v>201</v>
      </c>
      <c r="J229" s="172">
        <v>30</v>
      </c>
      <c r="L229" s="172" t="s">
        <v>1115</v>
      </c>
      <c r="M229" s="172" t="s">
        <v>1129</v>
      </c>
      <c r="N229" s="103" t="s">
        <v>737</v>
      </c>
      <c r="O229" s="103" t="s">
        <v>1079</v>
      </c>
      <c r="P229" s="172">
        <v>0</v>
      </c>
      <c r="Q229" s="172">
        <v>12</v>
      </c>
      <c r="R229" s="103" t="s">
        <v>1031</v>
      </c>
      <c r="S229" s="103">
        <v>322010101</v>
      </c>
      <c r="T229" s="104" t="str">
        <f t="shared" si="118"/>
        <v>UITexture/TechProd/322010101.png</v>
      </c>
      <c r="U229" s="172" t="s">
        <v>1144</v>
      </c>
      <c r="V229" s="104">
        <f t="shared" si="132"/>
        <v>0</v>
      </c>
      <c r="Z229" s="172">
        <v>1</v>
      </c>
      <c r="AB229" s="102">
        <f ca="1">IFERROR(OFFSET(BLDG_FUNC_PARAM!$A$5,MATCH(AC229,BLDG_FUNC_PARAM!$J$5:$J$68,0)-1,0),0)</f>
        <v>122010001</v>
      </c>
      <c r="AC229" s="103" t="s">
        <v>963</v>
      </c>
      <c r="AD229" s="102">
        <v>300</v>
      </c>
      <c r="AN229" s="102">
        <v>28</v>
      </c>
      <c r="AO229" s="102">
        <v>0</v>
      </c>
      <c r="AT229" s="104">
        <f t="shared" si="133"/>
        <v>1800</v>
      </c>
      <c r="AW229" s="103">
        <v>30</v>
      </c>
      <c r="AY229" s="102">
        <v>3000</v>
      </c>
      <c r="AZ229" s="102">
        <v>300</v>
      </c>
      <c r="BA229" s="172">
        <v>0</v>
      </c>
      <c r="BC229" s="104">
        <f ca="1">IFERROR(OFFSET(ITEM_RES!$A$5,MATCH(BD229,ITEM_RES!$M$5:$M$84,0)-1,0),0)</f>
        <v>0</v>
      </c>
    </row>
    <row r="230" spans="1:55" x14ac:dyDescent="0.3">
      <c r="A230" s="107">
        <f t="shared" si="85"/>
        <v>322010201</v>
      </c>
      <c r="B230" s="106">
        <v>32</v>
      </c>
      <c r="C230" s="105">
        <f t="shared" ref="C230:C234" si="134">H230</f>
        <v>2</v>
      </c>
      <c r="D230" s="106">
        <v>1</v>
      </c>
      <c r="E230" s="106">
        <v>2</v>
      </c>
      <c r="F230" s="105">
        <f t="shared" si="117"/>
        <v>1</v>
      </c>
      <c r="H230" s="103">
        <v>2</v>
      </c>
      <c r="I230" s="105">
        <f t="shared" ref="I230:I234" si="135">C230*100+D230</f>
        <v>201</v>
      </c>
      <c r="J230" s="172">
        <v>1</v>
      </c>
      <c r="L230" s="172" t="s">
        <v>1115</v>
      </c>
      <c r="M230" s="172" t="s">
        <v>1130</v>
      </c>
      <c r="N230" s="103" t="s">
        <v>737</v>
      </c>
      <c r="O230" s="103" t="s">
        <v>1080</v>
      </c>
      <c r="P230" s="172">
        <v>1</v>
      </c>
      <c r="Q230" s="172">
        <v>12</v>
      </c>
      <c r="R230" s="103" t="s">
        <v>1031</v>
      </c>
      <c r="S230" s="103">
        <v>322010201</v>
      </c>
      <c r="T230" s="104" t="str">
        <f t="shared" si="118"/>
        <v>UITexture/TechProd/322010201.png</v>
      </c>
      <c r="U230" s="172" t="s">
        <v>1145</v>
      </c>
      <c r="V230" s="104">
        <f t="shared" ref="V230:V234" si="136">W230*1000+X230</f>
        <v>4001</v>
      </c>
      <c r="W230" s="103">
        <v>4</v>
      </c>
      <c r="X230" s="103">
        <v>1</v>
      </c>
      <c r="Z230" s="172">
        <v>1</v>
      </c>
      <c r="AB230" s="102">
        <f ca="1">IFERROR(OFFSET(BLDG_FUNC_PARAM!$A$5,MATCH(AC230,BLDG_FUNC_PARAM!$J$5:$J$68,0)-1,0),0)</f>
        <v>122010002</v>
      </c>
      <c r="AC230" s="103" t="s">
        <v>964</v>
      </c>
      <c r="AD230" s="102">
        <v>4</v>
      </c>
      <c r="AN230" s="102">
        <v>1</v>
      </c>
      <c r="AO230" s="102">
        <v>0</v>
      </c>
      <c r="AT230" s="104">
        <f t="shared" ref="AT230:AT234" si="137">((AU230*24+AV230)*60+AW230)*60+AX230</f>
        <v>60</v>
      </c>
      <c r="AW230" s="103">
        <v>1</v>
      </c>
      <c r="AY230" s="102">
        <v>100</v>
      </c>
      <c r="AZ230" s="102">
        <v>10</v>
      </c>
      <c r="BA230" s="172">
        <v>0</v>
      </c>
      <c r="BC230" s="104">
        <f ca="1">IFERROR(OFFSET(ITEM_RES!$A$5,MATCH(BD230,ITEM_RES!$M$5:$M$84,0)-1,0),0)</f>
        <v>0</v>
      </c>
    </row>
    <row r="231" spans="1:55" x14ac:dyDescent="0.3">
      <c r="A231" s="107">
        <f t="shared" si="85"/>
        <v>322010202</v>
      </c>
      <c r="B231" s="106">
        <v>32</v>
      </c>
      <c r="C231" s="105">
        <f t="shared" si="134"/>
        <v>2</v>
      </c>
      <c r="D231" s="106">
        <v>1</v>
      </c>
      <c r="E231" s="106">
        <v>2</v>
      </c>
      <c r="F231" s="105">
        <f t="shared" si="117"/>
        <v>2</v>
      </c>
      <c r="H231" s="103">
        <v>2</v>
      </c>
      <c r="I231" s="105">
        <f t="shared" si="135"/>
        <v>201</v>
      </c>
      <c r="J231" s="172">
        <v>2</v>
      </c>
      <c r="L231" s="172" t="s">
        <v>1115</v>
      </c>
      <c r="M231" s="172" t="s">
        <v>1130</v>
      </c>
      <c r="N231" s="103" t="s">
        <v>737</v>
      </c>
      <c r="O231" s="103" t="s">
        <v>1080</v>
      </c>
      <c r="P231" s="172">
        <v>1</v>
      </c>
      <c r="Q231" s="172">
        <v>12</v>
      </c>
      <c r="R231" s="103" t="s">
        <v>1031</v>
      </c>
      <c r="S231" s="103">
        <v>322010201</v>
      </c>
      <c r="T231" s="104" t="str">
        <f t="shared" si="118"/>
        <v>UITexture/TechProd/322010201.png</v>
      </c>
      <c r="U231" s="172" t="s">
        <v>1145</v>
      </c>
      <c r="V231" s="104">
        <f t="shared" si="136"/>
        <v>0</v>
      </c>
      <c r="Z231" s="172">
        <v>1</v>
      </c>
      <c r="AB231" s="102">
        <f ca="1">IFERROR(OFFSET(BLDG_FUNC_PARAM!$A$5,MATCH(AC231,BLDG_FUNC_PARAM!$J$5:$J$68,0)-1,0),0)</f>
        <v>122010002</v>
      </c>
      <c r="AC231" s="103" t="s">
        <v>964</v>
      </c>
      <c r="AD231" s="102">
        <v>8</v>
      </c>
      <c r="AN231" s="102">
        <v>0</v>
      </c>
      <c r="AO231" s="102">
        <v>0</v>
      </c>
      <c r="AT231" s="104">
        <f t="shared" si="137"/>
        <v>120</v>
      </c>
      <c r="AW231" s="103">
        <v>2</v>
      </c>
      <c r="AY231" s="102">
        <v>200</v>
      </c>
      <c r="AZ231" s="102">
        <v>20</v>
      </c>
      <c r="BA231" s="172">
        <v>0</v>
      </c>
      <c r="BC231" s="104">
        <f ca="1">IFERROR(OFFSET(ITEM_RES!$A$5,MATCH(BD231,ITEM_RES!$M$5:$M$84,0)-1,0),0)</f>
        <v>0</v>
      </c>
    </row>
    <row r="232" spans="1:55" x14ac:dyDescent="0.3">
      <c r="A232" s="107">
        <f t="shared" si="85"/>
        <v>322010203</v>
      </c>
      <c r="B232" s="106">
        <v>32</v>
      </c>
      <c r="C232" s="105">
        <f t="shared" si="134"/>
        <v>2</v>
      </c>
      <c r="D232" s="106">
        <v>1</v>
      </c>
      <c r="E232" s="106">
        <v>2</v>
      </c>
      <c r="F232" s="105">
        <f t="shared" si="117"/>
        <v>3</v>
      </c>
      <c r="H232" s="103">
        <v>2</v>
      </c>
      <c r="I232" s="105">
        <f t="shared" si="135"/>
        <v>201</v>
      </c>
      <c r="J232" s="172">
        <v>3</v>
      </c>
      <c r="L232" s="172" t="s">
        <v>1115</v>
      </c>
      <c r="M232" s="172" t="s">
        <v>1130</v>
      </c>
      <c r="N232" s="103" t="s">
        <v>737</v>
      </c>
      <c r="O232" s="103" t="s">
        <v>1080</v>
      </c>
      <c r="P232" s="172">
        <v>1</v>
      </c>
      <c r="Q232" s="172">
        <v>12</v>
      </c>
      <c r="R232" s="103" t="s">
        <v>1031</v>
      </c>
      <c r="S232" s="103">
        <v>322010201</v>
      </c>
      <c r="T232" s="104" t="str">
        <f t="shared" si="118"/>
        <v>UITexture/TechProd/322010201.png</v>
      </c>
      <c r="U232" s="172" t="s">
        <v>1145</v>
      </c>
      <c r="V232" s="104">
        <f t="shared" si="136"/>
        <v>0</v>
      </c>
      <c r="Z232" s="172">
        <v>1</v>
      </c>
      <c r="AB232" s="102">
        <f ca="1">IFERROR(OFFSET(BLDG_FUNC_PARAM!$A$5,MATCH(AC232,BLDG_FUNC_PARAM!$J$5:$J$68,0)-1,0),0)</f>
        <v>122010002</v>
      </c>
      <c r="AC232" s="103" t="s">
        <v>964</v>
      </c>
      <c r="AD232" s="102">
        <v>12</v>
      </c>
      <c r="AN232" s="102">
        <v>0</v>
      </c>
      <c r="AO232" s="102">
        <v>0</v>
      </c>
      <c r="AT232" s="104">
        <f t="shared" si="137"/>
        <v>180</v>
      </c>
      <c r="AW232" s="103">
        <v>3</v>
      </c>
      <c r="AY232" s="102">
        <v>300</v>
      </c>
      <c r="AZ232" s="102">
        <v>30</v>
      </c>
      <c r="BA232" s="172">
        <v>0</v>
      </c>
      <c r="BC232" s="104">
        <f ca="1">IFERROR(OFFSET(ITEM_RES!$A$5,MATCH(BD232,ITEM_RES!$M$5:$M$84,0)-1,0),0)</f>
        <v>0</v>
      </c>
    </row>
    <row r="233" spans="1:55" x14ac:dyDescent="0.3">
      <c r="A233" s="107">
        <f t="shared" si="85"/>
        <v>322010204</v>
      </c>
      <c r="B233" s="106">
        <v>32</v>
      </c>
      <c r="C233" s="105">
        <f t="shared" si="134"/>
        <v>2</v>
      </c>
      <c r="D233" s="106">
        <v>1</v>
      </c>
      <c r="E233" s="106">
        <v>2</v>
      </c>
      <c r="F233" s="105">
        <f t="shared" si="117"/>
        <v>4</v>
      </c>
      <c r="H233" s="103">
        <v>2</v>
      </c>
      <c r="I233" s="105">
        <f t="shared" si="135"/>
        <v>201</v>
      </c>
      <c r="J233" s="172">
        <v>4</v>
      </c>
      <c r="L233" s="172" t="s">
        <v>1115</v>
      </c>
      <c r="M233" s="172" t="s">
        <v>1130</v>
      </c>
      <c r="N233" s="103" t="s">
        <v>737</v>
      </c>
      <c r="O233" s="103" t="s">
        <v>1080</v>
      </c>
      <c r="P233" s="172">
        <v>1</v>
      </c>
      <c r="Q233" s="172">
        <v>12</v>
      </c>
      <c r="R233" s="103" t="s">
        <v>1031</v>
      </c>
      <c r="S233" s="103">
        <v>322010201</v>
      </c>
      <c r="T233" s="104" t="str">
        <f t="shared" si="118"/>
        <v>UITexture/TechProd/322010201.png</v>
      </c>
      <c r="U233" s="172" t="s">
        <v>1145</v>
      </c>
      <c r="V233" s="104">
        <f t="shared" si="136"/>
        <v>0</v>
      </c>
      <c r="Z233" s="172">
        <v>1</v>
      </c>
      <c r="AB233" s="102">
        <f ca="1">IFERROR(OFFSET(BLDG_FUNC_PARAM!$A$5,MATCH(AC233,BLDG_FUNC_PARAM!$J$5:$J$68,0)-1,0),0)</f>
        <v>122010002</v>
      </c>
      <c r="AC233" s="103" t="s">
        <v>964</v>
      </c>
      <c r="AD233" s="102">
        <v>16</v>
      </c>
      <c r="AN233" s="102">
        <v>0</v>
      </c>
      <c r="AO233" s="102">
        <v>0</v>
      </c>
      <c r="AT233" s="104">
        <f t="shared" si="137"/>
        <v>240</v>
      </c>
      <c r="AW233" s="103">
        <v>4</v>
      </c>
      <c r="AY233" s="102">
        <v>400</v>
      </c>
      <c r="AZ233" s="102">
        <v>40</v>
      </c>
      <c r="BA233" s="172">
        <v>0</v>
      </c>
      <c r="BC233" s="104">
        <f ca="1">IFERROR(OFFSET(ITEM_RES!$A$5,MATCH(BD233,ITEM_RES!$M$5:$M$84,0)-1,0),0)</f>
        <v>0</v>
      </c>
    </row>
    <row r="234" spans="1:55" x14ac:dyDescent="0.3">
      <c r="A234" s="107">
        <f t="shared" si="85"/>
        <v>322010205</v>
      </c>
      <c r="B234" s="106">
        <v>32</v>
      </c>
      <c r="C234" s="105">
        <f t="shared" si="134"/>
        <v>2</v>
      </c>
      <c r="D234" s="106">
        <v>1</v>
      </c>
      <c r="E234" s="106">
        <v>2</v>
      </c>
      <c r="F234" s="105">
        <f t="shared" si="117"/>
        <v>5</v>
      </c>
      <c r="H234" s="103">
        <v>2</v>
      </c>
      <c r="I234" s="105">
        <f t="shared" si="135"/>
        <v>201</v>
      </c>
      <c r="J234" s="172">
        <v>5</v>
      </c>
      <c r="L234" s="172" t="s">
        <v>1115</v>
      </c>
      <c r="M234" s="172" t="s">
        <v>1130</v>
      </c>
      <c r="N234" s="103" t="s">
        <v>737</v>
      </c>
      <c r="O234" s="103" t="s">
        <v>1080</v>
      </c>
      <c r="P234" s="172">
        <v>1</v>
      </c>
      <c r="Q234" s="172">
        <v>12</v>
      </c>
      <c r="R234" s="103" t="s">
        <v>1031</v>
      </c>
      <c r="S234" s="103">
        <v>322010201</v>
      </c>
      <c r="T234" s="104" t="str">
        <f t="shared" si="118"/>
        <v>UITexture/TechProd/322010201.png</v>
      </c>
      <c r="U234" s="172" t="s">
        <v>1145</v>
      </c>
      <c r="V234" s="104">
        <f t="shared" si="136"/>
        <v>0</v>
      </c>
      <c r="Z234" s="172">
        <v>1</v>
      </c>
      <c r="AB234" s="102">
        <f ca="1">IFERROR(OFFSET(BLDG_FUNC_PARAM!$A$5,MATCH(AC234,BLDG_FUNC_PARAM!$J$5:$J$68,0)-1,0),0)</f>
        <v>122010002</v>
      </c>
      <c r="AC234" s="103" t="s">
        <v>964</v>
      </c>
      <c r="AD234" s="102">
        <v>40</v>
      </c>
      <c r="AN234" s="102">
        <v>5</v>
      </c>
      <c r="AO234" s="102">
        <v>0</v>
      </c>
      <c r="AT234" s="104">
        <f t="shared" si="137"/>
        <v>300</v>
      </c>
      <c r="AW234" s="103">
        <v>5</v>
      </c>
      <c r="AY234" s="102">
        <v>500</v>
      </c>
      <c r="AZ234" s="102">
        <v>50</v>
      </c>
      <c r="BA234" s="172">
        <v>0</v>
      </c>
      <c r="BC234" s="104">
        <f ca="1">IFERROR(OFFSET(ITEM_RES!$A$5,MATCH(BD234,ITEM_RES!$M$5:$M$84,0)-1,0),0)</f>
        <v>0</v>
      </c>
    </row>
    <row r="235" spans="1:55" x14ac:dyDescent="0.3">
      <c r="A235" s="107">
        <f t="shared" ref="A235:A244" si="138">B235*10000000+C235*1000000+D235*10000+E235*100+F235</f>
        <v>322010206</v>
      </c>
      <c r="B235" s="106">
        <v>32</v>
      </c>
      <c r="C235" s="105">
        <f t="shared" ref="C235:C244" si="139">H235</f>
        <v>2</v>
      </c>
      <c r="D235" s="106">
        <v>1</v>
      </c>
      <c r="E235" s="106">
        <v>2</v>
      </c>
      <c r="F235" s="105">
        <f t="shared" si="117"/>
        <v>6</v>
      </c>
      <c r="H235" s="103">
        <v>2</v>
      </c>
      <c r="I235" s="105">
        <f t="shared" ref="I235:I244" si="140">C235*100+D235</f>
        <v>201</v>
      </c>
      <c r="J235" s="172">
        <v>6</v>
      </c>
      <c r="L235" s="172" t="s">
        <v>1115</v>
      </c>
      <c r="M235" s="172" t="s">
        <v>1130</v>
      </c>
      <c r="N235" s="103" t="s">
        <v>737</v>
      </c>
      <c r="O235" s="103" t="s">
        <v>1080</v>
      </c>
      <c r="P235" s="172">
        <v>1</v>
      </c>
      <c r="Q235" s="172">
        <v>12</v>
      </c>
      <c r="R235" s="103" t="s">
        <v>1031</v>
      </c>
      <c r="S235" s="103">
        <v>322010201</v>
      </c>
      <c r="T235" s="104" t="str">
        <f t="shared" si="118"/>
        <v>UITexture/TechProd/322010201.png</v>
      </c>
      <c r="U235" s="172" t="s">
        <v>1145</v>
      </c>
      <c r="V235" s="104">
        <f t="shared" ref="V235:V244" si="141">W235*1000+X235</f>
        <v>0</v>
      </c>
      <c r="Z235" s="172">
        <v>1</v>
      </c>
      <c r="AB235" s="102">
        <f ca="1">IFERROR(OFFSET(BLDG_FUNC_PARAM!$A$5,MATCH(AC235,BLDG_FUNC_PARAM!$J$5:$J$68,0)-1,0),0)</f>
        <v>122010002</v>
      </c>
      <c r="AC235" s="103" t="s">
        <v>964</v>
      </c>
      <c r="AD235" s="102">
        <v>44</v>
      </c>
      <c r="AN235" s="102">
        <v>0</v>
      </c>
      <c r="AO235" s="102">
        <v>0</v>
      </c>
      <c r="AT235" s="104">
        <f t="shared" ref="AT235:AT244" si="142">((AU235*24+AV235)*60+AW235)*60+AX235</f>
        <v>360</v>
      </c>
      <c r="AW235" s="103">
        <v>6</v>
      </c>
      <c r="AY235" s="102">
        <v>600</v>
      </c>
      <c r="AZ235" s="102">
        <v>60</v>
      </c>
      <c r="BA235" s="172">
        <v>0</v>
      </c>
      <c r="BC235" s="104">
        <f ca="1">IFERROR(OFFSET(ITEM_RES!$A$5,MATCH(BD235,ITEM_RES!$M$5:$M$84,0)-1,0),0)</f>
        <v>0</v>
      </c>
    </row>
    <row r="236" spans="1:55" x14ac:dyDescent="0.3">
      <c r="A236" s="107">
        <f t="shared" si="138"/>
        <v>322010207</v>
      </c>
      <c r="B236" s="106">
        <v>32</v>
      </c>
      <c r="C236" s="105">
        <f t="shared" si="139"/>
        <v>2</v>
      </c>
      <c r="D236" s="106">
        <v>1</v>
      </c>
      <c r="E236" s="106">
        <v>2</v>
      </c>
      <c r="F236" s="105">
        <f t="shared" si="117"/>
        <v>7</v>
      </c>
      <c r="H236" s="103">
        <v>2</v>
      </c>
      <c r="I236" s="105">
        <f t="shared" si="140"/>
        <v>201</v>
      </c>
      <c r="J236" s="172">
        <v>7</v>
      </c>
      <c r="L236" s="172" t="s">
        <v>1115</v>
      </c>
      <c r="M236" s="172" t="s">
        <v>1130</v>
      </c>
      <c r="N236" s="103" t="s">
        <v>737</v>
      </c>
      <c r="O236" s="103" t="s">
        <v>1080</v>
      </c>
      <c r="P236" s="172">
        <v>1</v>
      </c>
      <c r="Q236" s="172">
        <v>12</v>
      </c>
      <c r="R236" s="103" t="s">
        <v>1031</v>
      </c>
      <c r="S236" s="103">
        <v>322010201</v>
      </c>
      <c r="T236" s="104" t="str">
        <f t="shared" si="118"/>
        <v>UITexture/TechProd/322010201.png</v>
      </c>
      <c r="U236" s="172" t="s">
        <v>1145</v>
      </c>
      <c r="V236" s="104">
        <f t="shared" si="141"/>
        <v>0</v>
      </c>
      <c r="Z236" s="172">
        <v>1</v>
      </c>
      <c r="AB236" s="102">
        <f ca="1">IFERROR(OFFSET(BLDG_FUNC_PARAM!$A$5,MATCH(AC236,BLDG_FUNC_PARAM!$J$5:$J$68,0)-1,0),0)</f>
        <v>122010002</v>
      </c>
      <c r="AC236" s="103" t="s">
        <v>964</v>
      </c>
      <c r="AD236" s="102">
        <v>48</v>
      </c>
      <c r="AN236" s="102">
        <v>0</v>
      </c>
      <c r="AO236" s="102">
        <v>0</v>
      </c>
      <c r="AT236" s="104">
        <f t="shared" si="142"/>
        <v>420</v>
      </c>
      <c r="AW236" s="103">
        <v>7</v>
      </c>
      <c r="AY236" s="102">
        <v>700</v>
      </c>
      <c r="AZ236" s="102">
        <v>70</v>
      </c>
      <c r="BA236" s="172">
        <v>0</v>
      </c>
      <c r="BC236" s="104">
        <f ca="1">IFERROR(OFFSET(ITEM_RES!$A$5,MATCH(BD236,ITEM_RES!$M$5:$M$84,0)-1,0),0)</f>
        <v>0</v>
      </c>
    </row>
    <row r="237" spans="1:55" x14ac:dyDescent="0.3">
      <c r="A237" s="107">
        <f t="shared" si="138"/>
        <v>322010208</v>
      </c>
      <c r="B237" s="106">
        <v>32</v>
      </c>
      <c r="C237" s="105">
        <f t="shared" si="139"/>
        <v>2</v>
      </c>
      <c r="D237" s="106">
        <v>1</v>
      </c>
      <c r="E237" s="106">
        <v>2</v>
      </c>
      <c r="F237" s="105">
        <f t="shared" si="117"/>
        <v>8</v>
      </c>
      <c r="H237" s="103">
        <v>2</v>
      </c>
      <c r="I237" s="105">
        <f t="shared" si="140"/>
        <v>201</v>
      </c>
      <c r="J237" s="172">
        <v>8</v>
      </c>
      <c r="L237" s="172" t="s">
        <v>1115</v>
      </c>
      <c r="M237" s="172" t="s">
        <v>1130</v>
      </c>
      <c r="N237" s="103" t="s">
        <v>737</v>
      </c>
      <c r="O237" s="103" t="s">
        <v>1080</v>
      </c>
      <c r="P237" s="172">
        <v>1</v>
      </c>
      <c r="Q237" s="172">
        <v>12</v>
      </c>
      <c r="R237" s="103" t="s">
        <v>1031</v>
      </c>
      <c r="S237" s="103">
        <v>322010201</v>
      </c>
      <c r="T237" s="104" t="str">
        <f t="shared" si="118"/>
        <v>UITexture/TechProd/322010201.png</v>
      </c>
      <c r="U237" s="172" t="s">
        <v>1145</v>
      </c>
      <c r="V237" s="104">
        <f t="shared" si="141"/>
        <v>0</v>
      </c>
      <c r="Z237" s="172">
        <v>1</v>
      </c>
      <c r="AB237" s="102">
        <f ca="1">IFERROR(OFFSET(BLDG_FUNC_PARAM!$A$5,MATCH(AC237,BLDG_FUNC_PARAM!$J$5:$J$68,0)-1,0),0)</f>
        <v>122010002</v>
      </c>
      <c r="AC237" s="103" t="s">
        <v>964</v>
      </c>
      <c r="AD237" s="102">
        <v>52</v>
      </c>
      <c r="AN237" s="102">
        <v>0</v>
      </c>
      <c r="AO237" s="102">
        <v>0</v>
      </c>
      <c r="AT237" s="104">
        <f t="shared" si="142"/>
        <v>480</v>
      </c>
      <c r="AW237" s="103">
        <v>8</v>
      </c>
      <c r="AY237" s="102">
        <v>800</v>
      </c>
      <c r="AZ237" s="102">
        <v>80</v>
      </c>
      <c r="BA237" s="172">
        <v>0</v>
      </c>
      <c r="BC237" s="104">
        <f ca="1">IFERROR(OFFSET(ITEM_RES!$A$5,MATCH(BD237,ITEM_RES!$M$5:$M$84,0)-1,0),0)</f>
        <v>0</v>
      </c>
    </row>
    <row r="238" spans="1:55" x14ac:dyDescent="0.3">
      <c r="A238" s="107">
        <f t="shared" si="138"/>
        <v>322010209</v>
      </c>
      <c r="B238" s="106">
        <v>32</v>
      </c>
      <c r="C238" s="105">
        <f t="shared" si="139"/>
        <v>2</v>
      </c>
      <c r="D238" s="106">
        <v>1</v>
      </c>
      <c r="E238" s="106">
        <v>2</v>
      </c>
      <c r="F238" s="105">
        <f t="shared" si="117"/>
        <v>9</v>
      </c>
      <c r="H238" s="103">
        <v>2</v>
      </c>
      <c r="I238" s="105">
        <f t="shared" si="140"/>
        <v>201</v>
      </c>
      <c r="J238" s="172">
        <v>9</v>
      </c>
      <c r="L238" s="172" t="s">
        <v>1115</v>
      </c>
      <c r="M238" s="172" t="s">
        <v>1130</v>
      </c>
      <c r="N238" s="103" t="s">
        <v>737</v>
      </c>
      <c r="O238" s="103" t="s">
        <v>1080</v>
      </c>
      <c r="P238" s="172">
        <v>1</v>
      </c>
      <c r="Q238" s="172">
        <v>12</v>
      </c>
      <c r="R238" s="103" t="s">
        <v>1031</v>
      </c>
      <c r="S238" s="103">
        <v>322010201</v>
      </c>
      <c r="T238" s="104" t="str">
        <f t="shared" si="118"/>
        <v>UITexture/TechProd/322010201.png</v>
      </c>
      <c r="U238" s="172" t="s">
        <v>1145</v>
      </c>
      <c r="V238" s="104">
        <f t="shared" si="141"/>
        <v>0</v>
      </c>
      <c r="Z238" s="172">
        <v>1</v>
      </c>
      <c r="AB238" s="102">
        <f ca="1">IFERROR(OFFSET(BLDG_FUNC_PARAM!$A$5,MATCH(AC238,BLDG_FUNC_PARAM!$J$5:$J$68,0)-1,0),0)</f>
        <v>122010002</v>
      </c>
      <c r="AC238" s="103" t="s">
        <v>964</v>
      </c>
      <c r="AD238" s="102">
        <v>56.000000000000007</v>
      </c>
      <c r="AN238" s="102">
        <v>0</v>
      </c>
      <c r="AO238" s="102">
        <v>0</v>
      </c>
      <c r="AT238" s="104">
        <f t="shared" si="142"/>
        <v>540</v>
      </c>
      <c r="AW238" s="103">
        <v>9</v>
      </c>
      <c r="AY238" s="102">
        <v>900</v>
      </c>
      <c r="AZ238" s="102">
        <v>90</v>
      </c>
      <c r="BA238" s="172">
        <v>0</v>
      </c>
      <c r="BC238" s="104">
        <f ca="1">IFERROR(OFFSET(ITEM_RES!$A$5,MATCH(BD238,ITEM_RES!$M$5:$M$84,0)-1,0),0)</f>
        <v>0</v>
      </c>
    </row>
    <row r="239" spans="1:55" x14ac:dyDescent="0.3">
      <c r="A239" s="107">
        <f t="shared" si="138"/>
        <v>322010210</v>
      </c>
      <c r="B239" s="106">
        <v>32</v>
      </c>
      <c r="C239" s="105">
        <f t="shared" si="139"/>
        <v>2</v>
      </c>
      <c r="D239" s="106">
        <v>1</v>
      </c>
      <c r="E239" s="106">
        <v>2</v>
      </c>
      <c r="F239" s="105">
        <f t="shared" si="117"/>
        <v>10</v>
      </c>
      <c r="H239" s="103">
        <v>2</v>
      </c>
      <c r="I239" s="105">
        <f t="shared" si="140"/>
        <v>201</v>
      </c>
      <c r="J239" s="172">
        <v>10</v>
      </c>
      <c r="L239" s="172" t="s">
        <v>1115</v>
      </c>
      <c r="M239" s="172" t="s">
        <v>1130</v>
      </c>
      <c r="N239" s="103" t="s">
        <v>737</v>
      </c>
      <c r="O239" s="103" t="s">
        <v>1080</v>
      </c>
      <c r="P239" s="172">
        <v>1</v>
      </c>
      <c r="Q239" s="172">
        <v>12</v>
      </c>
      <c r="R239" s="103" t="s">
        <v>1031</v>
      </c>
      <c r="S239" s="103">
        <v>322010201</v>
      </c>
      <c r="T239" s="104" t="str">
        <f t="shared" si="118"/>
        <v>UITexture/TechProd/322010201.png</v>
      </c>
      <c r="U239" s="172" t="s">
        <v>1145</v>
      </c>
      <c r="V239" s="104">
        <f t="shared" si="141"/>
        <v>0</v>
      </c>
      <c r="Z239" s="172">
        <v>1</v>
      </c>
      <c r="AB239" s="102">
        <f ca="1">IFERROR(OFFSET(BLDG_FUNC_PARAM!$A$5,MATCH(AC239,BLDG_FUNC_PARAM!$J$5:$J$68,0)-1,0),0)</f>
        <v>122010002</v>
      </c>
      <c r="AC239" s="103" t="s">
        <v>964</v>
      </c>
      <c r="AD239" s="102">
        <v>80</v>
      </c>
      <c r="AN239" s="102">
        <v>10</v>
      </c>
      <c r="AO239" s="102">
        <v>0</v>
      </c>
      <c r="AT239" s="104">
        <f t="shared" si="142"/>
        <v>600</v>
      </c>
      <c r="AW239" s="103">
        <v>10</v>
      </c>
      <c r="AY239" s="102">
        <v>1000</v>
      </c>
      <c r="AZ239" s="102">
        <v>100</v>
      </c>
      <c r="BA239" s="172">
        <v>0</v>
      </c>
      <c r="BC239" s="104">
        <f ca="1">IFERROR(OFFSET(ITEM_RES!$A$5,MATCH(BD239,ITEM_RES!$M$5:$M$84,0)-1,0),0)</f>
        <v>0</v>
      </c>
    </row>
    <row r="240" spans="1:55" x14ac:dyDescent="0.3">
      <c r="A240" s="107">
        <f t="shared" si="138"/>
        <v>322010211</v>
      </c>
      <c r="B240" s="106">
        <v>32</v>
      </c>
      <c r="C240" s="105">
        <f t="shared" si="139"/>
        <v>2</v>
      </c>
      <c r="D240" s="106">
        <v>1</v>
      </c>
      <c r="E240" s="106">
        <v>2</v>
      </c>
      <c r="F240" s="105">
        <f t="shared" si="117"/>
        <v>11</v>
      </c>
      <c r="H240" s="103">
        <v>2</v>
      </c>
      <c r="I240" s="105">
        <f t="shared" si="140"/>
        <v>201</v>
      </c>
      <c r="J240" s="172">
        <v>11</v>
      </c>
      <c r="L240" s="172" t="s">
        <v>1115</v>
      </c>
      <c r="M240" s="172" t="s">
        <v>1130</v>
      </c>
      <c r="N240" s="103" t="s">
        <v>737</v>
      </c>
      <c r="O240" s="103" t="s">
        <v>1080</v>
      </c>
      <c r="P240" s="172">
        <v>1</v>
      </c>
      <c r="Q240" s="172">
        <v>12</v>
      </c>
      <c r="R240" s="103" t="s">
        <v>1031</v>
      </c>
      <c r="S240" s="103">
        <v>322010201</v>
      </c>
      <c r="T240" s="104" t="str">
        <f t="shared" si="118"/>
        <v>UITexture/TechProd/322010201.png</v>
      </c>
      <c r="U240" s="172" t="s">
        <v>1145</v>
      </c>
      <c r="V240" s="104">
        <f t="shared" si="141"/>
        <v>0</v>
      </c>
      <c r="Z240" s="172">
        <v>1</v>
      </c>
      <c r="AB240" s="102">
        <f ca="1">IFERROR(OFFSET(BLDG_FUNC_PARAM!$A$5,MATCH(AC240,BLDG_FUNC_PARAM!$J$5:$J$68,0)-1,0),0)</f>
        <v>122010002</v>
      </c>
      <c r="AC240" s="103" t="s">
        <v>964</v>
      </c>
      <c r="AD240" s="102">
        <v>84</v>
      </c>
      <c r="AN240" s="102">
        <v>0</v>
      </c>
      <c r="AO240" s="102">
        <v>0</v>
      </c>
      <c r="AT240" s="104">
        <f t="shared" si="142"/>
        <v>660</v>
      </c>
      <c r="AW240" s="103">
        <v>11</v>
      </c>
      <c r="AY240" s="102">
        <v>1100</v>
      </c>
      <c r="AZ240" s="102">
        <v>110</v>
      </c>
      <c r="BA240" s="172">
        <v>0</v>
      </c>
      <c r="BC240" s="104">
        <f ca="1">IFERROR(OFFSET(ITEM_RES!$A$5,MATCH(BD240,ITEM_RES!$M$5:$M$84,0)-1,0),0)</f>
        <v>0</v>
      </c>
    </row>
    <row r="241" spans="1:55" x14ac:dyDescent="0.3">
      <c r="A241" s="107">
        <f t="shared" si="138"/>
        <v>322010212</v>
      </c>
      <c r="B241" s="106">
        <v>32</v>
      </c>
      <c r="C241" s="105">
        <f t="shared" si="139"/>
        <v>2</v>
      </c>
      <c r="D241" s="106">
        <v>1</v>
      </c>
      <c r="E241" s="106">
        <v>2</v>
      </c>
      <c r="F241" s="105">
        <f t="shared" si="117"/>
        <v>12</v>
      </c>
      <c r="H241" s="103">
        <v>2</v>
      </c>
      <c r="I241" s="105">
        <f t="shared" si="140"/>
        <v>201</v>
      </c>
      <c r="J241" s="172">
        <v>12</v>
      </c>
      <c r="L241" s="172" t="s">
        <v>1115</v>
      </c>
      <c r="M241" s="172" t="s">
        <v>1130</v>
      </c>
      <c r="N241" s="103" t="s">
        <v>737</v>
      </c>
      <c r="O241" s="103" t="s">
        <v>1080</v>
      </c>
      <c r="P241" s="172">
        <v>1</v>
      </c>
      <c r="Q241" s="172">
        <v>12</v>
      </c>
      <c r="R241" s="103" t="s">
        <v>1031</v>
      </c>
      <c r="S241" s="103">
        <v>322010201</v>
      </c>
      <c r="T241" s="104" t="str">
        <f t="shared" si="118"/>
        <v>UITexture/TechProd/322010201.png</v>
      </c>
      <c r="U241" s="172" t="s">
        <v>1145</v>
      </c>
      <c r="V241" s="104">
        <f t="shared" si="141"/>
        <v>0</v>
      </c>
      <c r="Z241" s="172">
        <v>1</v>
      </c>
      <c r="AB241" s="102">
        <f ca="1">IFERROR(OFFSET(BLDG_FUNC_PARAM!$A$5,MATCH(AC241,BLDG_FUNC_PARAM!$J$5:$J$68,0)-1,0),0)</f>
        <v>122010002</v>
      </c>
      <c r="AC241" s="103" t="s">
        <v>964</v>
      </c>
      <c r="AD241" s="102">
        <v>88</v>
      </c>
      <c r="AN241" s="102">
        <v>0</v>
      </c>
      <c r="AO241" s="102">
        <v>0</v>
      </c>
      <c r="AT241" s="104">
        <f t="shared" si="142"/>
        <v>720</v>
      </c>
      <c r="AW241" s="103">
        <v>12</v>
      </c>
      <c r="AY241" s="102">
        <v>1200</v>
      </c>
      <c r="AZ241" s="102">
        <v>120</v>
      </c>
      <c r="BA241" s="172">
        <v>0</v>
      </c>
      <c r="BC241" s="104">
        <f ca="1">IFERROR(OFFSET(ITEM_RES!$A$5,MATCH(BD241,ITEM_RES!$M$5:$M$84,0)-1,0),0)</f>
        <v>0</v>
      </c>
    </row>
    <row r="242" spans="1:55" x14ac:dyDescent="0.3">
      <c r="A242" s="107">
        <f t="shared" si="138"/>
        <v>322010213</v>
      </c>
      <c r="B242" s="106">
        <v>32</v>
      </c>
      <c r="C242" s="105">
        <f t="shared" si="139"/>
        <v>2</v>
      </c>
      <c r="D242" s="106">
        <v>1</v>
      </c>
      <c r="E242" s="106">
        <v>2</v>
      </c>
      <c r="F242" s="105">
        <f t="shared" si="117"/>
        <v>13</v>
      </c>
      <c r="H242" s="103">
        <v>2</v>
      </c>
      <c r="I242" s="105">
        <f t="shared" si="140"/>
        <v>201</v>
      </c>
      <c r="J242" s="172">
        <v>13</v>
      </c>
      <c r="L242" s="172" t="s">
        <v>1115</v>
      </c>
      <c r="M242" s="172" t="s">
        <v>1130</v>
      </c>
      <c r="N242" s="103" t="s">
        <v>737</v>
      </c>
      <c r="O242" s="103" t="s">
        <v>1080</v>
      </c>
      <c r="P242" s="172">
        <v>0</v>
      </c>
      <c r="Q242" s="172">
        <v>12</v>
      </c>
      <c r="R242" s="103" t="s">
        <v>1031</v>
      </c>
      <c r="S242" s="103">
        <v>322010201</v>
      </c>
      <c r="T242" s="104" t="str">
        <f t="shared" si="118"/>
        <v>UITexture/TechProd/322010201.png</v>
      </c>
      <c r="U242" s="172" t="s">
        <v>1145</v>
      </c>
      <c r="V242" s="104">
        <f t="shared" si="141"/>
        <v>0</v>
      </c>
      <c r="Z242" s="172">
        <v>1</v>
      </c>
      <c r="AB242" s="102">
        <f ca="1">IFERROR(OFFSET(BLDG_FUNC_PARAM!$A$5,MATCH(AC242,BLDG_FUNC_PARAM!$J$5:$J$68,0)-1,0),0)</f>
        <v>122010002</v>
      </c>
      <c r="AC242" s="103" t="s">
        <v>964</v>
      </c>
      <c r="AD242" s="102">
        <v>92</v>
      </c>
      <c r="AN242" s="102">
        <v>0</v>
      </c>
      <c r="AO242" s="102">
        <v>0</v>
      </c>
      <c r="AT242" s="104">
        <f t="shared" si="142"/>
        <v>780</v>
      </c>
      <c r="AW242" s="103">
        <v>13</v>
      </c>
      <c r="AY242" s="102">
        <v>1300</v>
      </c>
      <c r="AZ242" s="102">
        <v>130</v>
      </c>
      <c r="BA242" s="172">
        <v>0</v>
      </c>
      <c r="BC242" s="104">
        <f ca="1">IFERROR(OFFSET(ITEM_RES!$A$5,MATCH(BD242,ITEM_RES!$M$5:$M$84,0)-1,0),0)</f>
        <v>0</v>
      </c>
    </row>
    <row r="243" spans="1:55" x14ac:dyDescent="0.3">
      <c r="A243" s="107">
        <f t="shared" si="138"/>
        <v>322010214</v>
      </c>
      <c r="B243" s="106">
        <v>32</v>
      </c>
      <c r="C243" s="105">
        <f t="shared" si="139"/>
        <v>2</v>
      </c>
      <c r="D243" s="106">
        <v>1</v>
      </c>
      <c r="E243" s="106">
        <v>2</v>
      </c>
      <c r="F243" s="105">
        <f t="shared" si="117"/>
        <v>14</v>
      </c>
      <c r="H243" s="103">
        <v>2</v>
      </c>
      <c r="I243" s="105">
        <f t="shared" si="140"/>
        <v>201</v>
      </c>
      <c r="J243" s="172">
        <v>14</v>
      </c>
      <c r="L243" s="172" t="s">
        <v>1115</v>
      </c>
      <c r="M243" s="172" t="s">
        <v>1130</v>
      </c>
      <c r="N243" s="103" t="s">
        <v>737</v>
      </c>
      <c r="O243" s="103" t="s">
        <v>1080</v>
      </c>
      <c r="P243" s="172">
        <v>0</v>
      </c>
      <c r="Q243" s="172">
        <v>12</v>
      </c>
      <c r="R243" s="103" t="s">
        <v>1031</v>
      </c>
      <c r="S243" s="103">
        <v>322010201</v>
      </c>
      <c r="T243" s="104" t="str">
        <f t="shared" si="118"/>
        <v>UITexture/TechProd/322010201.png</v>
      </c>
      <c r="U243" s="172" t="s">
        <v>1145</v>
      </c>
      <c r="V243" s="104">
        <f t="shared" si="141"/>
        <v>0</v>
      </c>
      <c r="Z243" s="172">
        <v>1</v>
      </c>
      <c r="AB243" s="102">
        <f ca="1">IFERROR(OFFSET(BLDG_FUNC_PARAM!$A$5,MATCH(AC243,BLDG_FUNC_PARAM!$J$5:$J$68,0)-1,0),0)</f>
        <v>122010002</v>
      </c>
      <c r="AC243" s="103" t="s">
        <v>964</v>
      </c>
      <c r="AD243" s="102">
        <v>96</v>
      </c>
      <c r="AN243" s="102">
        <v>0</v>
      </c>
      <c r="AO243" s="102">
        <v>0</v>
      </c>
      <c r="AT243" s="104">
        <f t="shared" si="142"/>
        <v>840</v>
      </c>
      <c r="AW243" s="103">
        <v>14</v>
      </c>
      <c r="AY243" s="102">
        <v>1400</v>
      </c>
      <c r="AZ243" s="102">
        <v>140</v>
      </c>
      <c r="BA243" s="172">
        <v>0</v>
      </c>
      <c r="BC243" s="104">
        <f ca="1">IFERROR(OFFSET(ITEM_RES!$A$5,MATCH(BD243,ITEM_RES!$M$5:$M$84,0)-1,0),0)</f>
        <v>0</v>
      </c>
    </row>
    <row r="244" spans="1:55" x14ac:dyDescent="0.3">
      <c r="A244" s="107">
        <f t="shared" si="138"/>
        <v>322010215</v>
      </c>
      <c r="B244" s="106">
        <v>32</v>
      </c>
      <c r="C244" s="105">
        <f t="shared" si="139"/>
        <v>2</v>
      </c>
      <c r="D244" s="106">
        <v>1</v>
      </c>
      <c r="E244" s="106">
        <v>2</v>
      </c>
      <c r="F244" s="105">
        <f t="shared" si="117"/>
        <v>15</v>
      </c>
      <c r="H244" s="103">
        <v>2</v>
      </c>
      <c r="I244" s="105">
        <f t="shared" si="140"/>
        <v>201</v>
      </c>
      <c r="J244" s="172">
        <v>15</v>
      </c>
      <c r="L244" s="172" t="s">
        <v>1115</v>
      </c>
      <c r="M244" s="172" t="s">
        <v>1130</v>
      </c>
      <c r="N244" s="103" t="s">
        <v>737</v>
      </c>
      <c r="O244" s="103" t="s">
        <v>1080</v>
      </c>
      <c r="P244" s="172">
        <v>0</v>
      </c>
      <c r="Q244" s="172">
        <v>12</v>
      </c>
      <c r="R244" s="103" t="s">
        <v>1031</v>
      </c>
      <c r="S244" s="103">
        <v>322010201</v>
      </c>
      <c r="T244" s="104" t="str">
        <f t="shared" si="118"/>
        <v>UITexture/TechProd/322010201.png</v>
      </c>
      <c r="U244" s="172" t="s">
        <v>1145</v>
      </c>
      <c r="V244" s="104">
        <f t="shared" si="141"/>
        <v>0</v>
      </c>
      <c r="Z244" s="172">
        <v>1</v>
      </c>
      <c r="AB244" s="102">
        <f ca="1">IFERROR(OFFSET(BLDG_FUNC_PARAM!$A$5,MATCH(AC244,BLDG_FUNC_PARAM!$J$5:$J$68,0)-1,0),0)</f>
        <v>122010002</v>
      </c>
      <c r="AC244" s="103" t="s">
        <v>964</v>
      </c>
      <c r="AD244" s="102">
        <v>120</v>
      </c>
      <c r="AN244" s="102">
        <v>14</v>
      </c>
      <c r="AO244" s="102">
        <v>0</v>
      </c>
      <c r="AT244" s="104">
        <f t="shared" si="142"/>
        <v>900</v>
      </c>
      <c r="AW244" s="103">
        <v>15</v>
      </c>
      <c r="AY244" s="102">
        <v>1500</v>
      </c>
      <c r="AZ244" s="102">
        <v>150</v>
      </c>
      <c r="BA244" s="172">
        <v>0</v>
      </c>
      <c r="BC244" s="104">
        <f ca="1">IFERROR(OFFSET(ITEM_RES!$A$5,MATCH(BD244,ITEM_RES!$M$5:$M$84,0)-1,0),0)</f>
        <v>0</v>
      </c>
    </row>
    <row r="245" spans="1:55" x14ac:dyDescent="0.3">
      <c r="A245" s="107">
        <f t="shared" ref="A245:A254" si="143">B245*10000000+C245*1000000+D245*10000+E245*100+F245</f>
        <v>322010216</v>
      </c>
      <c r="B245" s="106">
        <v>32</v>
      </c>
      <c r="C245" s="105">
        <f t="shared" ref="C245:C254" si="144">H245</f>
        <v>2</v>
      </c>
      <c r="D245" s="106">
        <v>1</v>
      </c>
      <c r="E245" s="106">
        <v>2</v>
      </c>
      <c r="F245" s="105">
        <f t="shared" si="117"/>
        <v>16</v>
      </c>
      <c r="H245" s="103">
        <v>2</v>
      </c>
      <c r="I245" s="105">
        <f t="shared" ref="I245:I254" si="145">C245*100+D245</f>
        <v>201</v>
      </c>
      <c r="J245" s="172">
        <v>16</v>
      </c>
      <c r="L245" s="172" t="s">
        <v>1115</v>
      </c>
      <c r="M245" s="172" t="s">
        <v>1130</v>
      </c>
      <c r="N245" s="103" t="s">
        <v>737</v>
      </c>
      <c r="O245" s="103" t="s">
        <v>1080</v>
      </c>
      <c r="P245" s="172">
        <v>0</v>
      </c>
      <c r="Q245" s="172">
        <v>12</v>
      </c>
      <c r="R245" s="103" t="s">
        <v>1031</v>
      </c>
      <c r="S245" s="103">
        <v>322010201</v>
      </c>
      <c r="T245" s="104" t="str">
        <f t="shared" si="118"/>
        <v>UITexture/TechProd/322010201.png</v>
      </c>
      <c r="U245" s="172" t="s">
        <v>1145</v>
      </c>
      <c r="V245" s="104">
        <f t="shared" ref="V245:V254" si="146">W245*1000+X245</f>
        <v>0</v>
      </c>
      <c r="Z245" s="172">
        <v>1</v>
      </c>
      <c r="AB245" s="102">
        <f ca="1">IFERROR(OFFSET(BLDG_FUNC_PARAM!$A$5,MATCH(AC245,BLDG_FUNC_PARAM!$J$5:$J$68,0)-1,0),0)</f>
        <v>122010002</v>
      </c>
      <c r="AC245" s="103" t="s">
        <v>964</v>
      </c>
      <c r="AD245" s="102">
        <v>124</v>
      </c>
      <c r="AN245" s="102">
        <v>0</v>
      </c>
      <c r="AO245" s="102">
        <v>0</v>
      </c>
      <c r="AT245" s="104">
        <f t="shared" ref="AT245:AT254" si="147">((AU245*24+AV245)*60+AW245)*60+AX245</f>
        <v>960</v>
      </c>
      <c r="AW245" s="103">
        <v>16</v>
      </c>
      <c r="AY245" s="102">
        <v>1600</v>
      </c>
      <c r="AZ245" s="102">
        <v>160</v>
      </c>
      <c r="BA245" s="172">
        <v>0</v>
      </c>
      <c r="BC245" s="104">
        <f ca="1">IFERROR(OFFSET(ITEM_RES!$A$5,MATCH(BD245,ITEM_RES!$M$5:$M$84,0)-1,0),0)</f>
        <v>0</v>
      </c>
    </row>
    <row r="246" spans="1:55" x14ac:dyDescent="0.3">
      <c r="A246" s="107">
        <f t="shared" si="143"/>
        <v>322010217</v>
      </c>
      <c r="B246" s="106">
        <v>32</v>
      </c>
      <c r="C246" s="105">
        <f t="shared" si="144"/>
        <v>2</v>
      </c>
      <c r="D246" s="106">
        <v>1</v>
      </c>
      <c r="E246" s="106">
        <v>2</v>
      </c>
      <c r="F246" s="105">
        <f t="shared" si="117"/>
        <v>17</v>
      </c>
      <c r="H246" s="103">
        <v>2</v>
      </c>
      <c r="I246" s="105">
        <f t="shared" si="145"/>
        <v>201</v>
      </c>
      <c r="J246" s="172">
        <v>17</v>
      </c>
      <c r="L246" s="172" t="s">
        <v>1115</v>
      </c>
      <c r="M246" s="172" t="s">
        <v>1130</v>
      </c>
      <c r="N246" s="103" t="s">
        <v>737</v>
      </c>
      <c r="O246" s="103" t="s">
        <v>1080</v>
      </c>
      <c r="P246" s="172">
        <v>0</v>
      </c>
      <c r="Q246" s="172">
        <v>12</v>
      </c>
      <c r="R246" s="103" t="s">
        <v>1031</v>
      </c>
      <c r="S246" s="103">
        <v>322010201</v>
      </c>
      <c r="T246" s="104" t="str">
        <f t="shared" si="118"/>
        <v>UITexture/TechProd/322010201.png</v>
      </c>
      <c r="U246" s="172" t="s">
        <v>1145</v>
      </c>
      <c r="V246" s="104">
        <f t="shared" si="146"/>
        <v>0</v>
      </c>
      <c r="Z246" s="172">
        <v>1</v>
      </c>
      <c r="AB246" s="102">
        <f ca="1">IFERROR(OFFSET(BLDG_FUNC_PARAM!$A$5,MATCH(AC246,BLDG_FUNC_PARAM!$J$5:$J$68,0)-1,0),0)</f>
        <v>122010002</v>
      </c>
      <c r="AC246" s="103" t="s">
        <v>964</v>
      </c>
      <c r="AD246" s="102">
        <v>128</v>
      </c>
      <c r="AN246" s="102">
        <v>0</v>
      </c>
      <c r="AO246" s="102">
        <v>0</v>
      </c>
      <c r="AT246" s="104">
        <f t="shared" si="147"/>
        <v>1020</v>
      </c>
      <c r="AW246" s="103">
        <v>17</v>
      </c>
      <c r="AY246" s="102">
        <v>1700</v>
      </c>
      <c r="AZ246" s="102">
        <v>170</v>
      </c>
      <c r="BA246" s="172">
        <v>0</v>
      </c>
      <c r="BC246" s="104">
        <f ca="1">IFERROR(OFFSET(ITEM_RES!$A$5,MATCH(BD246,ITEM_RES!$M$5:$M$84,0)-1,0),0)</f>
        <v>0</v>
      </c>
    </row>
    <row r="247" spans="1:55" x14ac:dyDescent="0.3">
      <c r="A247" s="107">
        <f t="shared" si="143"/>
        <v>322010218</v>
      </c>
      <c r="B247" s="106">
        <v>32</v>
      </c>
      <c r="C247" s="105">
        <f t="shared" si="144"/>
        <v>2</v>
      </c>
      <c r="D247" s="106">
        <v>1</v>
      </c>
      <c r="E247" s="106">
        <v>2</v>
      </c>
      <c r="F247" s="105">
        <f t="shared" si="117"/>
        <v>18</v>
      </c>
      <c r="H247" s="103">
        <v>2</v>
      </c>
      <c r="I247" s="105">
        <f t="shared" si="145"/>
        <v>201</v>
      </c>
      <c r="J247" s="172">
        <v>18</v>
      </c>
      <c r="L247" s="172" t="s">
        <v>1115</v>
      </c>
      <c r="M247" s="172" t="s">
        <v>1130</v>
      </c>
      <c r="N247" s="103" t="s">
        <v>737</v>
      </c>
      <c r="O247" s="103" t="s">
        <v>1080</v>
      </c>
      <c r="P247" s="172">
        <v>0</v>
      </c>
      <c r="Q247" s="172">
        <v>12</v>
      </c>
      <c r="R247" s="103" t="s">
        <v>1031</v>
      </c>
      <c r="S247" s="103">
        <v>322010201</v>
      </c>
      <c r="T247" s="104" t="str">
        <f t="shared" si="118"/>
        <v>UITexture/TechProd/322010201.png</v>
      </c>
      <c r="U247" s="172" t="s">
        <v>1145</v>
      </c>
      <c r="V247" s="104">
        <f t="shared" si="146"/>
        <v>0</v>
      </c>
      <c r="Z247" s="172">
        <v>1</v>
      </c>
      <c r="AB247" s="102">
        <f ca="1">IFERROR(OFFSET(BLDG_FUNC_PARAM!$A$5,MATCH(AC247,BLDG_FUNC_PARAM!$J$5:$J$68,0)-1,0),0)</f>
        <v>122010002</v>
      </c>
      <c r="AC247" s="103" t="s">
        <v>964</v>
      </c>
      <c r="AD247" s="102">
        <v>132</v>
      </c>
      <c r="AN247" s="102">
        <v>0</v>
      </c>
      <c r="AO247" s="102">
        <v>0</v>
      </c>
      <c r="AT247" s="104">
        <f t="shared" si="147"/>
        <v>1080</v>
      </c>
      <c r="AW247" s="103">
        <v>18</v>
      </c>
      <c r="AY247" s="102">
        <v>1800</v>
      </c>
      <c r="AZ247" s="102">
        <v>180</v>
      </c>
      <c r="BA247" s="172">
        <v>0</v>
      </c>
      <c r="BC247" s="104">
        <f ca="1">IFERROR(OFFSET(ITEM_RES!$A$5,MATCH(BD247,ITEM_RES!$M$5:$M$84,0)-1,0),0)</f>
        <v>0</v>
      </c>
    </row>
    <row r="248" spans="1:55" x14ac:dyDescent="0.3">
      <c r="A248" s="107">
        <f t="shared" si="143"/>
        <v>322010219</v>
      </c>
      <c r="B248" s="106">
        <v>32</v>
      </c>
      <c r="C248" s="105">
        <f t="shared" si="144"/>
        <v>2</v>
      </c>
      <c r="D248" s="106">
        <v>1</v>
      </c>
      <c r="E248" s="106">
        <v>2</v>
      </c>
      <c r="F248" s="105">
        <f t="shared" si="117"/>
        <v>19</v>
      </c>
      <c r="H248" s="103">
        <v>2</v>
      </c>
      <c r="I248" s="105">
        <f t="shared" si="145"/>
        <v>201</v>
      </c>
      <c r="J248" s="172">
        <v>19</v>
      </c>
      <c r="L248" s="172" t="s">
        <v>1115</v>
      </c>
      <c r="M248" s="172" t="s">
        <v>1130</v>
      </c>
      <c r="N248" s="103" t="s">
        <v>737</v>
      </c>
      <c r="O248" s="103" t="s">
        <v>1080</v>
      </c>
      <c r="P248" s="172">
        <v>0</v>
      </c>
      <c r="Q248" s="172">
        <v>12</v>
      </c>
      <c r="R248" s="103" t="s">
        <v>1031</v>
      </c>
      <c r="S248" s="103">
        <v>322010201</v>
      </c>
      <c r="T248" s="104" t="str">
        <f t="shared" si="118"/>
        <v>UITexture/TechProd/322010201.png</v>
      </c>
      <c r="U248" s="172" t="s">
        <v>1145</v>
      </c>
      <c r="V248" s="104">
        <f t="shared" si="146"/>
        <v>0</v>
      </c>
      <c r="Z248" s="172">
        <v>1</v>
      </c>
      <c r="AB248" s="102">
        <f ca="1">IFERROR(OFFSET(BLDG_FUNC_PARAM!$A$5,MATCH(AC248,BLDG_FUNC_PARAM!$J$5:$J$68,0)-1,0),0)</f>
        <v>122010002</v>
      </c>
      <c r="AC248" s="103" t="s">
        <v>964</v>
      </c>
      <c r="AD248" s="102">
        <v>136</v>
      </c>
      <c r="AN248" s="102">
        <v>0</v>
      </c>
      <c r="AO248" s="102">
        <v>0</v>
      </c>
      <c r="AT248" s="104">
        <f t="shared" si="147"/>
        <v>1140</v>
      </c>
      <c r="AW248" s="103">
        <v>19</v>
      </c>
      <c r="AY248" s="102">
        <v>1900</v>
      </c>
      <c r="AZ248" s="102">
        <v>190</v>
      </c>
      <c r="BA248" s="172">
        <v>0</v>
      </c>
      <c r="BC248" s="104">
        <f ca="1">IFERROR(OFFSET(ITEM_RES!$A$5,MATCH(BD248,ITEM_RES!$M$5:$M$84,0)-1,0),0)</f>
        <v>0</v>
      </c>
    </row>
    <row r="249" spans="1:55" x14ac:dyDescent="0.3">
      <c r="A249" s="107">
        <f t="shared" si="143"/>
        <v>322010220</v>
      </c>
      <c r="B249" s="106">
        <v>32</v>
      </c>
      <c r="C249" s="105">
        <f t="shared" si="144"/>
        <v>2</v>
      </c>
      <c r="D249" s="106">
        <v>1</v>
      </c>
      <c r="E249" s="106">
        <v>2</v>
      </c>
      <c r="F249" s="105">
        <f t="shared" si="117"/>
        <v>20</v>
      </c>
      <c r="H249" s="103">
        <v>2</v>
      </c>
      <c r="I249" s="105">
        <f t="shared" si="145"/>
        <v>201</v>
      </c>
      <c r="J249" s="172">
        <v>20</v>
      </c>
      <c r="L249" s="172" t="s">
        <v>1115</v>
      </c>
      <c r="M249" s="172" t="s">
        <v>1130</v>
      </c>
      <c r="N249" s="103" t="s">
        <v>737</v>
      </c>
      <c r="O249" s="103" t="s">
        <v>1080</v>
      </c>
      <c r="P249" s="172">
        <v>0</v>
      </c>
      <c r="Q249" s="172">
        <v>12</v>
      </c>
      <c r="R249" s="103" t="s">
        <v>1031</v>
      </c>
      <c r="S249" s="103">
        <v>322010201</v>
      </c>
      <c r="T249" s="104" t="str">
        <f t="shared" si="118"/>
        <v>UITexture/TechProd/322010201.png</v>
      </c>
      <c r="U249" s="172" t="s">
        <v>1145</v>
      </c>
      <c r="V249" s="104">
        <f t="shared" si="146"/>
        <v>0</v>
      </c>
      <c r="Z249" s="172">
        <v>1</v>
      </c>
      <c r="AB249" s="102">
        <f ca="1">IFERROR(OFFSET(BLDG_FUNC_PARAM!$A$5,MATCH(AC249,BLDG_FUNC_PARAM!$J$5:$J$68,0)-1,0),0)</f>
        <v>122010002</v>
      </c>
      <c r="AC249" s="103" t="s">
        <v>964</v>
      </c>
      <c r="AD249" s="102">
        <v>160</v>
      </c>
      <c r="AN249" s="102">
        <v>19</v>
      </c>
      <c r="AO249" s="102">
        <v>0</v>
      </c>
      <c r="AT249" s="104">
        <f t="shared" si="147"/>
        <v>1200</v>
      </c>
      <c r="AW249" s="103">
        <v>20</v>
      </c>
      <c r="AY249" s="102">
        <v>2000</v>
      </c>
      <c r="AZ249" s="102">
        <v>200</v>
      </c>
      <c r="BA249" s="172">
        <v>0</v>
      </c>
      <c r="BC249" s="104">
        <f ca="1">IFERROR(OFFSET(ITEM_RES!$A$5,MATCH(BD249,ITEM_RES!$M$5:$M$84,0)-1,0),0)</f>
        <v>0</v>
      </c>
    </row>
    <row r="250" spans="1:55" x14ac:dyDescent="0.3">
      <c r="A250" s="107">
        <f t="shared" si="143"/>
        <v>322010221</v>
      </c>
      <c r="B250" s="106">
        <v>32</v>
      </c>
      <c r="C250" s="105">
        <f t="shared" si="144"/>
        <v>2</v>
      </c>
      <c r="D250" s="106">
        <v>1</v>
      </c>
      <c r="E250" s="106">
        <v>2</v>
      </c>
      <c r="F250" s="105">
        <f t="shared" si="117"/>
        <v>21</v>
      </c>
      <c r="H250" s="103">
        <v>2</v>
      </c>
      <c r="I250" s="105">
        <f t="shared" si="145"/>
        <v>201</v>
      </c>
      <c r="J250" s="172">
        <v>21</v>
      </c>
      <c r="L250" s="172" t="s">
        <v>1115</v>
      </c>
      <c r="M250" s="172" t="s">
        <v>1130</v>
      </c>
      <c r="N250" s="103" t="s">
        <v>737</v>
      </c>
      <c r="O250" s="103" t="s">
        <v>1080</v>
      </c>
      <c r="P250" s="172">
        <v>0</v>
      </c>
      <c r="Q250" s="172">
        <v>12</v>
      </c>
      <c r="R250" s="103" t="s">
        <v>1031</v>
      </c>
      <c r="S250" s="103">
        <v>322010201</v>
      </c>
      <c r="T250" s="104" t="str">
        <f t="shared" si="118"/>
        <v>UITexture/TechProd/322010201.png</v>
      </c>
      <c r="U250" s="172" t="s">
        <v>1145</v>
      </c>
      <c r="V250" s="104">
        <f t="shared" si="146"/>
        <v>0</v>
      </c>
      <c r="Z250" s="172">
        <v>1</v>
      </c>
      <c r="AB250" s="102">
        <f ca="1">IFERROR(OFFSET(BLDG_FUNC_PARAM!$A$5,MATCH(AC250,BLDG_FUNC_PARAM!$J$5:$J$68,0)-1,0),0)</f>
        <v>122010002</v>
      </c>
      <c r="AC250" s="103" t="s">
        <v>964</v>
      </c>
      <c r="AD250" s="102">
        <v>164</v>
      </c>
      <c r="AN250" s="102">
        <v>0</v>
      </c>
      <c r="AO250" s="102">
        <v>0</v>
      </c>
      <c r="AT250" s="104">
        <f t="shared" si="147"/>
        <v>1260</v>
      </c>
      <c r="AW250" s="103">
        <v>21</v>
      </c>
      <c r="AY250" s="102">
        <v>2100</v>
      </c>
      <c r="AZ250" s="102">
        <v>210</v>
      </c>
      <c r="BA250" s="172">
        <v>0</v>
      </c>
      <c r="BC250" s="104">
        <f ca="1">IFERROR(OFFSET(ITEM_RES!$A$5,MATCH(BD250,ITEM_RES!$M$5:$M$84,0)-1,0),0)</f>
        <v>0</v>
      </c>
    </row>
    <row r="251" spans="1:55" x14ac:dyDescent="0.3">
      <c r="A251" s="107">
        <f t="shared" si="143"/>
        <v>322010222</v>
      </c>
      <c r="B251" s="106">
        <v>32</v>
      </c>
      <c r="C251" s="105">
        <f t="shared" si="144"/>
        <v>2</v>
      </c>
      <c r="D251" s="106">
        <v>1</v>
      </c>
      <c r="E251" s="106">
        <v>2</v>
      </c>
      <c r="F251" s="105">
        <f t="shared" si="117"/>
        <v>22</v>
      </c>
      <c r="H251" s="103">
        <v>2</v>
      </c>
      <c r="I251" s="105">
        <f t="shared" si="145"/>
        <v>201</v>
      </c>
      <c r="J251" s="172">
        <v>22</v>
      </c>
      <c r="L251" s="172" t="s">
        <v>1115</v>
      </c>
      <c r="M251" s="172" t="s">
        <v>1130</v>
      </c>
      <c r="N251" s="103" t="s">
        <v>737</v>
      </c>
      <c r="O251" s="103" t="s">
        <v>1080</v>
      </c>
      <c r="P251" s="172">
        <v>0</v>
      </c>
      <c r="Q251" s="172">
        <v>12</v>
      </c>
      <c r="R251" s="103" t="s">
        <v>1031</v>
      </c>
      <c r="S251" s="103">
        <v>322010201</v>
      </c>
      <c r="T251" s="104" t="str">
        <f t="shared" si="118"/>
        <v>UITexture/TechProd/322010201.png</v>
      </c>
      <c r="U251" s="172" t="s">
        <v>1145</v>
      </c>
      <c r="V251" s="104">
        <f t="shared" si="146"/>
        <v>0</v>
      </c>
      <c r="Z251" s="172">
        <v>1</v>
      </c>
      <c r="AB251" s="102">
        <f ca="1">IFERROR(OFFSET(BLDG_FUNC_PARAM!$A$5,MATCH(AC251,BLDG_FUNC_PARAM!$J$5:$J$68,0)-1,0),0)</f>
        <v>122010002</v>
      </c>
      <c r="AC251" s="103" t="s">
        <v>964</v>
      </c>
      <c r="AD251" s="102">
        <v>168</v>
      </c>
      <c r="AN251" s="102">
        <v>0</v>
      </c>
      <c r="AO251" s="102">
        <v>0</v>
      </c>
      <c r="AT251" s="104">
        <f t="shared" si="147"/>
        <v>1320</v>
      </c>
      <c r="AW251" s="103">
        <v>22</v>
      </c>
      <c r="AY251" s="102">
        <v>2200</v>
      </c>
      <c r="AZ251" s="102">
        <v>220</v>
      </c>
      <c r="BA251" s="172">
        <v>0</v>
      </c>
      <c r="BC251" s="104">
        <f ca="1">IFERROR(OFFSET(ITEM_RES!$A$5,MATCH(BD251,ITEM_RES!$M$5:$M$84,0)-1,0),0)</f>
        <v>0</v>
      </c>
    </row>
    <row r="252" spans="1:55" x14ac:dyDescent="0.3">
      <c r="A252" s="107">
        <f t="shared" si="143"/>
        <v>322010223</v>
      </c>
      <c r="B252" s="106">
        <v>32</v>
      </c>
      <c r="C252" s="105">
        <f t="shared" si="144"/>
        <v>2</v>
      </c>
      <c r="D252" s="106">
        <v>1</v>
      </c>
      <c r="E252" s="106">
        <v>2</v>
      </c>
      <c r="F252" s="105">
        <f t="shared" si="117"/>
        <v>23</v>
      </c>
      <c r="H252" s="103">
        <v>2</v>
      </c>
      <c r="I252" s="105">
        <f t="shared" si="145"/>
        <v>201</v>
      </c>
      <c r="J252" s="172">
        <v>23</v>
      </c>
      <c r="L252" s="172" t="s">
        <v>1115</v>
      </c>
      <c r="M252" s="172" t="s">
        <v>1130</v>
      </c>
      <c r="N252" s="103" t="s">
        <v>737</v>
      </c>
      <c r="O252" s="103" t="s">
        <v>1080</v>
      </c>
      <c r="P252" s="172">
        <v>0</v>
      </c>
      <c r="Q252" s="172">
        <v>12</v>
      </c>
      <c r="R252" s="103" t="s">
        <v>1031</v>
      </c>
      <c r="S252" s="103">
        <v>322010201</v>
      </c>
      <c r="T252" s="104" t="str">
        <f t="shared" si="118"/>
        <v>UITexture/TechProd/322010201.png</v>
      </c>
      <c r="U252" s="172" t="s">
        <v>1145</v>
      </c>
      <c r="V252" s="104">
        <f t="shared" si="146"/>
        <v>0</v>
      </c>
      <c r="Z252" s="172">
        <v>1</v>
      </c>
      <c r="AB252" s="102">
        <f ca="1">IFERROR(OFFSET(BLDG_FUNC_PARAM!$A$5,MATCH(AC252,BLDG_FUNC_PARAM!$J$5:$J$68,0)-1,0),0)</f>
        <v>122010002</v>
      </c>
      <c r="AC252" s="103" t="s">
        <v>964</v>
      </c>
      <c r="AD252" s="102">
        <v>172</v>
      </c>
      <c r="AN252" s="102">
        <v>0</v>
      </c>
      <c r="AO252" s="102">
        <v>0</v>
      </c>
      <c r="AT252" s="104">
        <f t="shared" si="147"/>
        <v>1380</v>
      </c>
      <c r="AW252" s="103">
        <v>23</v>
      </c>
      <c r="AY252" s="102">
        <v>2300</v>
      </c>
      <c r="AZ252" s="102">
        <v>230</v>
      </c>
      <c r="BA252" s="172">
        <v>0</v>
      </c>
      <c r="BC252" s="104">
        <f ca="1">IFERROR(OFFSET(ITEM_RES!$A$5,MATCH(BD252,ITEM_RES!$M$5:$M$84,0)-1,0),0)</f>
        <v>0</v>
      </c>
    </row>
    <row r="253" spans="1:55" x14ac:dyDescent="0.3">
      <c r="A253" s="107">
        <f t="shared" si="143"/>
        <v>322010224</v>
      </c>
      <c r="B253" s="106">
        <v>32</v>
      </c>
      <c r="C253" s="105">
        <f t="shared" si="144"/>
        <v>2</v>
      </c>
      <c r="D253" s="106">
        <v>1</v>
      </c>
      <c r="E253" s="106">
        <v>2</v>
      </c>
      <c r="F253" s="105">
        <f t="shared" si="117"/>
        <v>24</v>
      </c>
      <c r="H253" s="103">
        <v>2</v>
      </c>
      <c r="I253" s="105">
        <f t="shared" si="145"/>
        <v>201</v>
      </c>
      <c r="J253" s="172">
        <v>24</v>
      </c>
      <c r="L253" s="172" t="s">
        <v>1115</v>
      </c>
      <c r="M253" s="172" t="s">
        <v>1130</v>
      </c>
      <c r="N253" s="103" t="s">
        <v>737</v>
      </c>
      <c r="O253" s="103" t="s">
        <v>1080</v>
      </c>
      <c r="P253" s="172">
        <v>0</v>
      </c>
      <c r="Q253" s="172">
        <v>12</v>
      </c>
      <c r="R253" s="103" t="s">
        <v>1031</v>
      </c>
      <c r="S253" s="103">
        <v>322010201</v>
      </c>
      <c r="T253" s="104" t="str">
        <f t="shared" si="118"/>
        <v>UITexture/TechProd/322010201.png</v>
      </c>
      <c r="U253" s="172" t="s">
        <v>1145</v>
      </c>
      <c r="V253" s="104">
        <f t="shared" si="146"/>
        <v>0</v>
      </c>
      <c r="Z253" s="172">
        <v>1</v>
      </c>
      <c r="AB253" s="102">
        <f ca="1">IFERROR(OFFSET(BLDG_FUNC_PARAM!$A$5,MATCH(AC253,BLDG_FUNC_PARAM!$J$5:$J$68,0)-1,0),0)</f>
        <v>122010002</v>
      </c>
      <c r="AC253" s="103" t="s">
        <v>964</v>
      </c>
      <c r="AD253" s="102">
        <v>176</v>
      </c>
      <c r="AN253" s="102">
        <v>0</v>
      </c>
      <c r="AO253" s="102">
        <v>0</v>
      </c>
      <c r="AT253" s="104">
        <f t="shared" si="147"/>
        <v>1440</v>
      </c>
      <c r="AW253" s="103">
        <v>24</v>
      </c>
      <c r="AY253" s="102">
        <v>2400</v>
      </c>
      <c r="AZ253" s="102">
        <v>240</v>
      </c>
      <c r="BA253" s="172">
        <v>0</v>
      </c>
      <c r="BC253" s="104">
        <f ca="1">IFERROR(OFFSET(ITEM_RES!$A$5,MATCH(BD253,ITEM_RES!$M$5:$M$84,0)-1,0),0)</f>
        <v>0</v>
      </c>
    </row>
    <row r="254" spans="1:55" x14ac:dyDescent="0.3">
      <c r="A254" s="107">
        <f t="shared" si="143"/>
        <v>322010225</v>
      </c>
      <c r="B254" s="106">
        <v>32</v>
      </c>
      <c r="C254" s="105">
        <f t="shared" si="144"/>
        <v>2</v>
      </c>
      <c r="D254" s="106">
        <v>1</v>
      </c>
      <c r="E254" s="106">
        <v>2</v>
      </c>
      <c r="F254" s="105">
        <f t="shared" si="117"/>
        <v>25</v>
      </c>
      <c r="H254" s="103">
        <v>2</v>
      </c>
      <c r="I254" s="105">
        <f t="shared" si="145"/>
        <v>201</v>
      </c>
      <c r="J254" s="172">
        <v>25</v>
      </c>
      <c r="L254" s="172" t="s">
        <v>1115</v>
      </c>
      <c r="M254" s="172" t="s">
        <v>1130</v>
      </c>
      <c r="N254" s="103" t="s">
        <v>737</v>
      </c>
      <c r="O254" s="103" t="s">
        <v>1080</v>
      </c>
      <c r="P254" s="172">
        <v>0</v>
      </c>
      <c r="Q254" s="172">
        <v>12</v>
      </c>
      <c r="R254" s="103" t="s">
        <v>1031</v>
      </c>
      <c r="S254" s="103">
        <v>322010201</v>
      </c>
      <c r="T254" s="104" t="str">
        <f t="shared" si="118"/>
        <v>UITexture/TechProd/322010201.png</v>
      </c>
      <c r="U254" s="172" t="s">
        <v>1145</v>
      </c>
      <c r="V254" s="104">
        <f t="shared" si="146"/>
        <v>0</v>
      </c>
      <c r="Z254" s="172">
        <v>1</v>
      </c>
      <c r="AB254" s="102">
        <f ca="1">IFERROR(OFFSET(BLDG_FUNC_PARAM!$A$5,MATCH(AC254,BLDG_FUNC_PARAM!$J$5:$J$68,0)-1,0),0)</f>
        <v>122010002</v>
      </c>
      <c r="AC254" s="103" t="s">
        <v>964</v>
      </c>
      <c r="AD254" s="102">
        <v>200</v>
      </c>
      <c r="AN254" s="102">
        <v>23</v>
      </c>
      <c r="AO254" s="102">
        <v>0</v>
      </c>
      <c r="AT254" s="104">
        <f t="shared" si="147"/>
        <v>1500</v>
      </c>
      <c r="AW254" s="103">
        <v>25</v>
      </c>
      <c r="AY254" s="102">
        <v>2500</v>
      </c>
      <c r="AZ254" s="102">
        <v>250</v>
      </c>
      <c r="BA254" s="172">
        <v>0</v>
      </c>
      <c r="BC254" s="104">
        <f ca="1">IFERROR(OFFSET(ITEM_RES!$A$5,MATCH(BD254,ITEM_RES!$M$5:$M$84,0)-1,0),0)</f>
        <v>0</v>
      </c>
    </row>
    <row r="255" spans="1:55" x14ac:dyDescent="0.3">
      <c r="A255" s="107">
        <f t="shared" ref="A255:A259" si="148">B255*10000000+C255*1000000+D255*10000+E255*100+F255</f>
        <v>322010226</v>
      </c>
      <c r="B255" s="106">
        <v>32</v>
      </c>
      <c r="C255" s="105">
        <f t="shared" ref="C255:C259" si="149">H255</f>
        <v>2</v>
      </c>
      <c r="D255" s="106">
        <v>1</v>
      </c>
      <c r="E255" s="106">
        <v>2</v>
      </c>
      <c r="F255" s="105">
        <f t="shared" si="117"/>
        <v>26</v>
      </c>
      <c r="H255" s="103">
        <v>2</v>
      </c>
      <c r="I255" s="105">
        <f t="shared" ref="I255:I259" si="150">C255*100+D255</f>
        <v>201</v>
      </c>
      <c r="J255" s="172">
        <v>26</v>
      </c>
      <c r="L255" s="172" t="s">
        <v>1115</v>
      </c>
      <c r="M255" s="172" t="s">
        <v>1130</v>
      </c>
      <c r="N255" s="103" t="s">
        <v>737</v>
      </c>
      <c r="O255" s="103" t="s">
        <v>1080</v>
      </c>
      <c r="P255" s="172">
        <v>0</v>
      </c>
      <c r="Q255" s="172">
        <v>12</v>
      </c>
      <c r="R255" s="103" t="s">
        <v>1031</v>
      </c>
      <c r="S255" s="103">
        <v>322010201</v>
      </c>
      <c r="T255" s="104" t="str">
        <f t="shared" si="118"/>
        <v>UITexture/TechProd/322010201.png</v>
      </c>
      <c r="U255" s="172" t="s">
        <v>1145</v>
      </c>
      <c r="V255" s="104">
        <f t="shared" ref="V255:V259" si="151">W255*1000+X255</f>
        <v>0</v>
      </c>
      <c r="Z255" s="172">
        <v>1</v>
      </c>
      <c r="AB255" s="102">
        <f ca="1">IFERROR(OFFSET(BLDG_FUNC_PARAM!$A$5,MATCH(AC255,BLDG_FUNC_PARAM!$J$5:$J$68,0)-1,0),0)</f>
        <v>122010002</v>
      </c>
      <c r="AC255" s="103" t="s">
        <v>964</v>
      </c>
      <c r="AD255" s="102">
        <v>204</v>
      </c>
      <c r="AN255" s="102">
        <v>0</v>
      </c>
      <c r="AO255" s="102">
        <v>0</v>
      </c>
      <c r="AT255" s="104">
        <f t="shared" ref="AT255:AT259" si="152">((AU255*24+AV255)*60+AW255)*60+AX255</f>
        <v>1560</v>
      </c>
      <c r="AW255" s="103">
        <v>26</v>
      </c>
      <c r="AY255" s="102">
        <v>2600</v>
      </c>
      <c r="AZ255" s="102">
        <v>260</v>
      </c>
      <c r="BA255" s="172">
        <v>0</v>
      </c>
      <c r="BC255" s="104">
        <f ca="1">IFERROR(OFFSET(ITEM_RES!$A$5,MATCH(BD255,ITEM_RES!$M$5:$M$84,0)-1,0),0)</f>
        <v>0</v>
      </c>
    </row>
    <row r="256" spans="1:55" x14ac:dyDescent="0.3">
      <c r="A256" s="107">
        <f t="shared" si="148"/>
        <v>322010227</v>
      </c>
      <c r="B256" s="106">
        <v>32</v>
      </c>
      <c r="C256" s="105">
        <f t="shared" si="149"/>
        <v>2</v>
      </c>
      <c r="D256" s="106">
        <v>1</v>
      </c>
      <c r="E256" s="106">
        <v>2</v>
      </c>
      <c r="F256" s="105">
        <f t="shared" si="117"/>
        <v>27</v>
      </c>
      <c r="H256" s="103">
        <v>2</v>
      </c>
      <c r="I256" s="105">
        <f t="shared" si="150"/>
        <v>201</v>
      </c>
      <c r="J256" s="172">
        <v>27</v>
      </c>
      <c r="L256" s="172" t="s">
        <v>1115</v>
      </c>
      <c r="M256" s="172" t="s">
        <v>1130</v>
      </c>
      <c r="N256" s="103" t="s">
        <v>737</v>
      </c>
      <c r="O256" s="103" t="s">
        <v>1080</v>
      </c>
      <c r="P256" s="172">
        <v>0</v>
      </c>
      <c r="Q256" s="172">
        <v>12</v>
      </c>
      <c r="R256" s="103" t="s">
        <v>1031</v>
      </c>
      <c r="S256" s="103">
        <v>322010201</v>
      </c>
      <c r="T256" s="104" t="str">
        <f t="shared" si="118"/>
        <v>UITexture/TechProd/322010201.png</v>
      </c>
      <c r="U256" s="172" t="s">
        <v>1145</v>
      </c>
      <c r="V256" s="104">
        <f t="shared" si="151"/>
        <v>0</v>
      </c>
      <c r="Z256" s="172">
        <v>1</v>
      </c>
      <c r="AB256" s="102">
        <f ca="1">IFERROR(OFFSET(BLDG_FUNC_PARAM!$A$5,MATCH(AC256,BLDG_FUNC_PARAM!$J$5:$J$68,0)-1,0),0)</f>
        <v>122010002</v>
      </c>
      <c r="AC256" s="103" t="s">
        <v>964</v>
      </c>
      <c r="AD256" s="102">
        <v>208</v>
      </c>
      <c r="AN256" s="102">
        <v>0</v>
      </c>
      <c r="AO256" s="102">
        <v>0</v>
      </c>
      <c r="AT256" s="104">
        <f t="shared" si="152"/>
        <v>1620</v>
      </c>
      <c r="AW256" s="103">
        <v>27</v>
      </c>
      <c r="AY256" s="102">
        <v>2700</v>
      </c>
      <c r="AZ256" s="102">
        <v>270</v>
      </c>
      <c r="BA256" s="172">
        <v>0</v>
      </c>
      <c r="BC256" s="104">
        <f ca="1">IFERROR(OFFSET(ITEM_RES!$A$5,MATCH(BD256,ITEM_RES!$M$5:$M$84,0)-1,0),0)</f>
        <v>0</v>
      </c>
    </row>
    <row r="257" spans="1:73" x14ac:dyDescent="0.3">
      <c r="A257" s="107">
        <f t="shared" si="148"/>
        <v>322010228</v>
      </c>
      <c r="B257" s="106">
        <v>32</v>
      </c>
      <c r="C257" s="105">
        <f t="shared" si="149"/>
        <v>2</v>
      </c>
      <c r="D257" s="106">
        <v>1</v>
      </c>
      <c r="E257" s="106">
        <v>2</v>
      </c>
      <c r="F257" s="105">
        <f t="shared" si="117"/>
        <v>28</v>
      </c>
      <c r="H257" s="103">
        <v>2</v>
      </c>
      <c r="I257" s="105">
        <f t="shared" si="150"/>
        <v>201</v>
      </c>
      <c r="J257" s="172">
        <v>28</v>
      </c>
      <c r="L257" s="172" t="s">
        <v>1115</v>
      </c>
      <c r="M257" s="172" t="s">
        <v>1130</v>
      </c>
      <c r="N257" s="103" t="s">
        <v>737</v>
      </c>
      <c r="O257" s="103" t="s">
        <v>1080</v>
      </c>
      <c r="P257" s="172">
        <v>0</v>
      </c>
      <c r="Q257" s="172">
        <v>12</v>
      </c>
      <c r="R257" s="103" t="s">
        <v>1031</v>
      </c>
      <c r="S257" s="103">
        <v>322010201</v>
      </c>
      <c r="T257" s="104" t="str">
        <f t="shared" si="118"/>
        <v>UITexture/TechProd/322010201.png</v>
      </c>
      <c r="U257" s="172" t="s">
        <v>1145</v>
      </c>
      <c r="V257" s="104">
        <f t="shared" si="151"/>
        <v>0</v>
      </c>
      <c r="Z257" s="172">
        <v>1</v>
      </c>
      <c r="AB257" s="102">
        <f ca="1">IFERROR(OFFSET(BLDG_FUNC_PARAM!$A$5,MATCH(AC257,BLDG_FUNC_PARAM!$J$5:$J$68,0)-1,0),0)</f>
        <v>122010002</v>
      </c>
      <c r="AC257" s="103" t="s">
        <v>964</v>
      </c>
      <c r="AD257" s="102">
        <v>212</v>
      </c>
      <c r="AN257" s="102">
        <v>0</v>
      </c>
      <c r="AO257" s="102">
        <v>0</v>
      </c>
      <c r="AT257" s="104">
        <f t="shared" si="152"/>
        <v>1680</v>
      </c>
      <c r="AW257" s="103">
        <v>28</v>
      </c>
      <c r="AY257" s="102">
        <v>2800</v>
      </c>
      <c r="AZ257" s="102">
        <v>280</v>
      </c>
      <c r="BA257" s="172">
        <v>0</v>
      </c>
      <c r="BC257" s="104">
        <f ca="1">IFERROR(OFFSET(ITEM_RES!$A$5,MATCH(BD257,ITEM_RES!$M$5:$M$84,0)-1,0),0)</f>
        <v>0</v>
      </c>
    </row>
    <row r="258" spans="1:73" x14ac:dyDescent="0.3">
      <c r="A258" s="107">
        <f t="shared" si="148"/>
        <v>322010229</v>
      </c>
      <c r="B258" s="106">
        <v>32</v>
      </c>
      <c r="C258" s="105">
        <f t="shared" si="149"/>
        <v>2</v>
      </c>
      <c r="D258" s="106">
        <v>1</v>
      </c>
      <c r="E258" s="106">
        <v>2</v>
      </c>
      <c r="F258" s="105">
        <f t="shared" si="117"/>
        <v>29</v>
      </c>
      <c r="H258" s="103">
        <v>2</v>
      </c>
      <c r="I258" s="105">
        <f t="shared" si="150"/>
        <v>201</v>
      </c>
      <c r="J258" s="172">
        <v>29</v>
      </c>
      <c r="L258" s="172" t="s">
        <v>1115</v>
      </c>
      <c r="M258" s="172" t="s">
        <v>1130</v>
      </c>
      <c r="N258" s="103" t="s">
        <v>737</v>
      </c>
      <c r="O258" s="103" t="s">
        <v>1080</v>
      </c>
      <c r="P258" s="172">
        <v>0</v>
      </c>
      <c r="Q258" s="172">
        <v>12</v>
      </c>
      <c r="R258" s="103" t="s">
        <v>1031</v>
      </c>
      <c r="S258" s="103">
        <v>322010201</v>
      </c>
      <c r="T258" s="104" t="str">
        <f t="shared" si="118"/>
        <v>UITexture/TechProd/322010201.png</v>
      </c>
      <c r="U258" s="172" t="s">
        <v>1145</v>
      </c>
      <c r="V258" s="104">
        <f t="shared" si="151"/>
        <v>0</v>
      </c>
      <c r="Z258" s="172">
        <v>1</v>
      </c>
      <c r="AB258" s="102">
        <f ca="1">IFERROR(OFFSET(BLDG_FUNC_PARAM!$A$5,MATCH(AC258,BLDG_FUNC_PARAM!$J$5:$J$68,0)-1,0),0)</f>
        <v>122010002</v>
      </c>
      <c r="AC258" s="103" t="s">
        <v>964</v>
      </c>
      <c r="AD258" s="102">
        <v>216</v>
      </c>
      <c r="AN258" s="102">
        <v>0</v>
      </c>
      <c r="AO258" s="102">
        <v>0</v>
      </c>
      <c r="AT258" s="104">
        <f t="shared" si="152"/>
        <v>1740</v>
      </c>
      <c r="AW258" s="103">
        <v>29</v>
      </c>
      <c r="AY258" s="102">
        <v>2900</v>
      </c>
      <c r="AZ258" s="102">
        <v>290</v>
      </c>
      <c r="BA258" s="172">
        <v>0</v>
      </c>
      <c r="BC258" s="104">
        <f ca="1">IFERROR(OFFSET(ITEM_RES!$A$5,MATCH(BD258,ITEM_RES!$M$5:$M$84,0)-1,0),0)</f>
        <v>0</v>
      </c>
    </row>
    <row r="259" spans="1:73" s="108" customFormat="1" ht="17.25" thickBot="1" x14ac:dyDescent="0.35">
      <c r="A259" s="114">
        <f t="shared" si="148"/>
        <v>322010230</v>
      </c>
      <c r="B259" s="113">
        <v>32</v>
      </c>
      <c r="C259" s="112">
        <f t="shared" si="149"/>
        <v>2</v>
      </c>
      <c r="D259" s="113">
        <v>1</v>
      </c>
      <c r="E259" s="113">
        <v>2</v>
      </c>
      <c r="F259" s="112">
        <f t="shared" si="117"/>
        <v>30</v>
      </c>
      <c r="G259" s="259"/>
      <c r="H259" s="110">
        <v>2</v>
      </c>
      <c r="I259" s="112">
        <f t="shared" si="150"/>
        <v>201</v>
      </c>
      <c r="J259" s="175">
        <v>30</v>
      </c>
      <c r="K259" s="259"/>
      <c r="L259" s="175" t="s">
        <v>1115</v>
      </c>
      <c r="M259" s="175" t="s">
        <v>1130</v>
      </c>
      <c r="N259" s="110" t="s">
        <v>737</v>
      </c>
      <c r="O259" s="110" t="s">
        <v>1080</v>
      </c>
      <c r="P259" s="175">
        <v>0</v>
      </c>
      <c r="Q259" s="175">
        <v>12</v>
      </c>
      <c r="R259" s="110" t="s">
        <v>1031</v>
      </c>
      <c r="S259" s="110">
        <v>322010201</v>
      </c>
      <c r="T259" s="111" t="str">
        <f t="shared" si="118"/>
        <v>UITexture/TechProd/322010201.png</v>
      </c>
      <c r="U259" s="175" t="s">
        <v>1145</v>
      </c>
      <c r="V259" s="111">
        <f t="shared" si="151"/>
        <v>0</v>
      </c>
      <c r="W259" s="110"/>
      <c r="X259" s="110"/>
      <c r="Y259" s="259"/>
      <c r="Z259" s="175">
        <v>1</v>
      </c>
      <c r="AA259" s="111"/>
      <c r="AB259" s="109">
        <f ca="1">IFERROR(OFFSET(BLDG_FUNC_PARAM!$A$5,MATCH(AC259,BLDG_FUNC_PARAM!$J$5:$J$68,0)-1,0),0)</f>
        <v>122010002</v>
      </c>
      <c r="AC259" s="110" t="s">
        <v>964</v>
      </c>
      <c r="AD259" s="109">
        <v>240</v>
      </c>
      <c r="AE259" s="111"/>
      <c r="AF259" s="109"/>
      <c r="AG259" s="110"/>
      <c r="AH259" s="109"/>
      <c r="AI259" s="111"/>
      <c r="AJ259" s="109"/>
      <c r="AK259" s="110"/>
      <c r="AL259" s="109"/>
      <c r="AM259" s="259"/>
      <c r="AN259" s="109">
        <v>28</v>
      </c>
      <c r="AO259" s="109">
        <v>0</v>
      </c>
      <c r="AP259" s="109"/>
      <c r="AQ259" s="109"/>
      <c r="AR259" s="109"/>
      <c r="AS259" s="259"/>
      <c r="AT259" s="111">
        <f t="shared" si="152"/>
        <v>1800</v>
      </c>
      <c r="AU259" s="110"/>
      <c r="AV259" s="110"/>
      <c r="AW259" s="110">
        <v>30</v>
      </c>
      <c r="AX259" s="110"/>
      <c r="AY259" s="109">
        <v>3000</v>
      </c>
      <c r="AZ259" s="109">
        <v>300</v>
      </c>
      <c r="BA259" s="175">
        <v>0</v>
      </c>
      <c r="BB259" s="111"/>
      <c r="BC259" s="111">
        <f ca="1">IFERROR(OFFSET(ITEM_RES!$A$5,MATCH(BD259,ITEM_RES!$M$5:$M$84,0)-1,0),0)</f>
        <v>0</v>
      </c>
      <c r="BD259" s="110"/>
      <c r="BE259" s="109"/>
      <c r="BF259" s="111"/>
      <c r="BG259" s="111"/>
      <c r="BH259" s="110"/>
      <c r="BI259" s="109"/>
      <c r="BJ259" s="111"/>
      <c r="BK259" s="111"/>
      <c r="BL259" s="110"/>
      <c r="BM259" s="109"/>
      <c r="BN259" s="111"/>
      <c r="BO259" s="111"/>
      <c r="BP259" s="110"/>
      <c r="BQ259" s="109"/>
      <c r="BR259" s="111"/>
      <c r="BS259" s="111"/>
      <c r="BT259" s="110"/>
      <c r="BU259" s="109"/>
    </row>
    <row r="260" spans="1:73" s="115" customFormat="1" x14ac:dyDescent="0.3">
      <c r="A260" s="121">
        <f t="shared" si="85"/>
        <v>322020101</v>
      </c>
      <c r="B260" s="120">
        <v>32</v>
      </c>
      <c r="C260" s="119">
        <f t="shared" ref="C260:C389" si="153">H260</f>
        <v>2</v>
      </c>
      <c r="D260" s="120">
        <v>2</v>
      </c>
      <c r="E260" s="120">
        <v>1</v>
      </c>
      <c r="F260" s="119">
        <f t="shared" si="117"/>
        <v>1</v>
      </c>
      <c r="G260" s="258"/>
      <c r="H260" s="117">
        <v>2</v>
      </c>
      <c r="I260" s="119">
        <f t="shared" si="5"/>
        <v>202</v>
      </c>
      <c r="J260" s="174">
        <v>1</v>
      </c>
      <c r="K260" s="258"/>
      <c r="L260" s="174" t="s">
        <v>1115</v>
      </c>
      <c r="M260" s="174" t="s">
        <v>1131</v>
      </c>
      <c r="N260" s="117" t="s">
        <v>381</v>
      </c>
      <c r="O260" s="117" t="s">
        <v>1081</v>
      </c>
      <c r="P260" s="174">
        <v>1</v>
      </c>
      <c r="Q260" s="174">
        <v>12</v>
      </c>
      <c r="R260" s="117" t="s">
        <v>1031</v>
      </c>
      <c r="S260" s="117">
        <v>322020101</v>
      </c>
      <c r="T260" s="118" t="str">
        <f t="shared" si="118"/>
        <v>UITexture/TechProd/322020101.png</v>
      </c>
      <c r="U260" s="174" t="s">
        <v>1146</v>
      </c>
      <c r="V260" s="118">
        <f>W260*1000+X260</f>
        <v>2002</v>
      </c>
      <c r="W260" s="117">
        <v>2</v>
      </c>
      <c r="X260" s="117">
        <v>2</v>
      </c>
      <c r="Y260" s="258"/>
      <c r="Z260" s="174">
        <v>1</v>
      </c>
      <c r="AA260" s="118"/>
      <c r="AB260" s="116">
        <f ca="1">IFERROR(OFFSET(BLDG_FUNC_PARAM!$A$5,MATCH(AC260,BLDG_FUNC_PARAM!$J$5:$J$68,0)-1,0),0)</f>
        <v>122020001</v>
      </c>
      <c r="AC260" s="117" t="s">
        <v>956</v>
      </c>
      <c r="AD260" s="116">
        <v>5</v>
      </c>
      <c r="AE260" s="118"/>
      <c r="AF260" s="116"/>
      <c r="AG260" s="117"/>
      <c r="AH260" s="116"/>
      <c r="AI260" s="118"/>
      <c r="AJ260" s="116"/>
      <c r="AK260" s="117"/>
      <c r="AL260" s="116"/>
      <c r="AM260" s="258"/>
      <c r="AN260" s="116">
        <v>2</v>
      </c>
      <c r="AO260" s="116">
        <v>0</v>
      </c>
      <c r="AP260" s="116"/>
      <c r="AQ260" s="116"/>
      <c r="AR260" s="116"/>
      <c r="AS260" s="258"/>
      <c r="AT260" s="118">
        <f t="shared" ref="AT260:AT389" si="154">((AU260*24+AV260)*60+AW260)*60+AX260</f>
        <v>60</v>
      </c>
      <c r="AU260" s="117"/>
      <c r="AV260" s="117"/>
      <c r="AW260" s="117">
        <v>1</v>
      </c>
      <c r="AX260" s="117"/>
      <c r="AY260" s="116">
        <v>100</v>
      </c>
      <c r="AZ260" s="116">
        <v>10</v>
      </c>
      <c r="BA260" s="174">
        <v>0</v>
      </c>
      <c r="BB260" s="118"/>
      <c r="BC260" s="118">
        <f ca="1">IFERROR(OFFSET(ITEM_RES!$A$5,MATCH(BD260,ITEM_RES!$M$5:$M$84,0)-1,0),0)</f>
        <v>0</v>
      </c>
      <c r="BD260" s="117"/>
      <c r="BE260" s="116"/>
      <c r="BF260" s="118"/>
      <c r="BG260" s="118"/>
      <c r="BH260" s="117"/>
      <c r="BI260" s="116"/>
      <c r="BJ260" s="118"/>
      <c r="BK260" s="118"/>
      <c r="BL260" s="117"/>
      <c r="BM260" s="116"/>
      <c r="BN260" s="118"/>
      <c r="BO260" s="118"/>
      <c r="BP260" s="117"/>
      <c r="BQ260" s="116"/>
      <c r="BR260" s="118"/>
      <c r="BS260" s="118"/>
      <c r="BT260" s="117"/>
      <c r="BU260" s="116"/>
    </row>
    <row r="261" spans="1:73" x14ac:dyDescent="0.3">
      <c r="A261" s="107">
        <f t="shared" si="85"/>
        <v>322020102</v>
      </c>
      <c r="B261" s="106">
        <v>32</v>
      </c>
      <c r="C261" s="105">
        <f t="shared" si="153"/>
        <v>2</v>
      </c>
      <c r="D261" s="106">
        <v>2</v>
      </c>
      <c r="E261" s="106">
        <v>1</v>
      </c>
      <c r="F261" s="105">
        <f t="shared" ref="F261:F324" si="155">J261</f>
        <v>2</v>
      </c>
      <c r="H261" s="103">
        <v>2</v>
      </c>
      <c r="I261" s="105">
        <f t="shared" si="5"/>
        <v>202</v>
      </c>
      <c r="J261" s="172">
        <v>2</v>
      </c>
      <c r="L261" s="172" t="s">
        <v>1115</v>
      </c>
      <c r="M261" s="172" t="s">
        <v>1131</v>
      </c>
      <c r="N261" s="103" t="s">
        <v>381</v>
      </c>
      <c r="O261" s="103" t="s">
        <v>1081</v>
      </c>
      <c r="P261" s="172">
        <v>1</v>
      </c>
      <c r="Q261" s="172">
        <v>12</v>
      </c>
      <c r="R261" s="103" t="s">
        <v>1031</v>
      </c>
      <c r="S261" s="103">
        <v>322020101</v>
      </c>
      <c r="T261" s="104" t="str">
        <f t="shared" si="118"/>
        <v>UITexture/TechProd/322020101.png</v>
      </c>
      <c r="U261" s="172" t="s">
        <v>1146</v>
      </c>
      <c r="V261" s="104">
        <f t="shared" ref="V261:V389" si="156">W261*1000+X261</f>
        <v>0</v>
      </c>
      <c r="Z261" s="172">
        <v>1</v>
      </c>
      <c r="AB261" s="102">
        <f ca="1">IFERROR(OFFSET(BLDG_FUNC_PARAM!$A$5,MATCH(AC261,BLDG_FUNC_PARAM!$J$5:$J$68,0)-1,0),0)</f>
        <v>122020001</v>
      </c>
      <c r="AC261" s="103" t="s">
        <v>956</v>
      </c>
      <c r="AD261" s="102">
        <v>10</v>
      </c>
      <c r="AN261" s="102">
        <v>0</v>
      </c>
      <c r="AO261" s="102">
        <v>0</v>
      </c>
      <c r="AT261" s="104">
        <f t="shared" si="154"/>
        <v>120</v>
      </c>
      <c r="AW261" s="103">
        <v>2</v>
      </c>
      <c r="AY261" s="102">
        <v>200</v>
      </c>
      <c r="AZ261" s="102">
        <v>20</v>
      </c>
      <c r="BA261" s="172">
        <v>0</v>
      </c>
      <c r="BC261" s="104">
        <f ca="1">IFERROR(OFFSET(ITEM_RES!$A$5,MATCH(BD261,ITEM_RES!$M$5:$M$84,0)-1,0),0)</f>
        <v>0</v>
      </c>
    </row>
    <row r="262" spans="1:73" x14ac:dyDescent="0.3">
      <c r="A262" s="107">
        <f t="shared" si="85"/>
        <v>322020103</v>
      </c>
      <c r="B262" s="106">
        <v>32</v>
      </c>
      <c r="C262" s="105">
        <f t="shared" si="153"/>
        <v>2</v>
      </c>
      <c r="D262" s="106">
        <v>2</v>
      </c>
      <c r="E262" s="106">
        <v>1</v>
      </c>
      <c r="F262" s="105">
        <f t="shared" si="155"/>
        <v>3</v>
      </c>
      <c r="H262" s="103">
        <v>2</v>
      </c>
      <c r="I262" s="105">
        <f t="shared" si="5"/>
        <v>202</v>
      </c>
      <c r="J262" s="172">
        <v>3</v>
      </c>
      <c r="L262" s="172" t="s">
        <v>1115</v>
      </c>
      <c r="M262" s="172" t="s">
        <v>1131</v>
      </c>
      <c r="N262" s="103" t="s">
        <v>381</v>
      </c>
      <c r="O262" s="103" t="s">
        <v>1081</v>
      </c>
      <c r="P262" s="172">
        <v>1</v>
      </c>
      <c r="Q262" s="172">
        <v>12</v>
      </c>
      <c r="R262" s="103" t="s">
        <v>1031</v>
      </c>
      <c r="S262" s="103">
        <v>322020101</v>
      </c>
      <c r="T262" s="104" t="str">
        <f t="shared" ref="T262:T325" si="157">CONCATENATE(R262,S262,".png")</f>
        <v>UITexture/TechProd/322020101.png</v>
      </c>
      <c r="U262" s="172" t="s">
        <v>1146</v>
      </c>
      <c r="V262" s="104">
        <f t="shared" si="156"/>
        <v>0</v>
      </c>
      <c r="Z262" s="172">
        <v>1</v>
      </c>
      <c r="AB262" s="102">
        <f ca="1">IFERROR(OFFSET(BLDG_FUNC_PARAM!$A$5,MATCH(AC262,BLDG_FUNC_PARAM!$J$5:$J$68,0)-1,0),0)</f>
        <v>122020001</v>
      </c>
      <c r="AC262" s="103" t="s">
        <v>956</v>
      </c>
      <c r="AD262" s="102">
        <v>15</v>
      </c>
      <c r="AN262" s="102">
        <v>0</v>
      </c>
      <c r="AO262" s="102">
        <v>0</v>
      </c>
      <c r="AT262" s="104">
        <f t="shared" si="154"/>
        <v>180</v>
      </c>
      <c r="AW262" s="103">
        <v>3</v>
      </c>
      <c r="AY262" s="102">
        <v>300</v>
      </c>
      <c r="AZ262" s="102">
        <v>30</v>
      </c>
      <c r="BA262" s="172">
        <v>0</v>
      </c>
      <c r="BC262" s="104">
        <f ca="1">IFERROR(OFFSET(ITEM_RES!$A$5,MATCH(BD262,ITEM_RES!$M$5:$M$84,0)-1,0),0)</f>
        <v>0</v>
      </c>
    </row>
    <row r="263" spans="1:73" x14ac:dyDescent="0.3">
      <c r="A263" s="107">
        <f t="shared" si="85"/>
        <v>322020104</v>
      </c>
      <c r="B263" s="106">
        <v>32</v>
      </c>
      <c r="C263" s="105">
        <f t="shared" si="153"/>
        <v>2</v>
      </c>
      <c r="D263" s="106">
        <v>2</v>
      </c>
      <c r="E263" s="106">
        <v>1</v>
      </c>
      <c r="F263" s="105">
        <f t="shared" si="155"/>
        <v>4</v>
      </c>
      <c r="H263" s="103">
        <v>2</v>
      </c>
      <c r="I263" s="105">
        <f t="shared" si="5"/>
        <v>202</v>
      </c>
      <c r="J263" s="172">
        <v>4</v>
      </c>
      <c r="L263" s="172" t="s">
        <v>1115</v>
      </c>
      <c r="M263" s="172" t="s">
        <v>1131</v>
      </c>
      <c r="N263" s="103" t="s">
        <v>381</v>
      </c>
      <c r="O263" s="103" t="s">
        <v>1081</v>
      </c>
      <c r="P263" s="172">
        <v>1</v>
      </c>
      <c r="Q263" s="172">
        <v>12</v>
      </c>
      <c r="R263" s="103" t="s">
        <v>1031</v>
      </c>
      <c r="S263" s="103">
        <v>322020101</v>
      </c>
      <c r="T263" s="104" t="str">
        <f t="shared" si="157"/>
        <v>UITexture/TechProd/322020101.png</v>
      </c>
      <c r="U263" s="172" t="s">
        <v>1146</v>
      </c>
      <c r="V263" s="104">
        <f t="shared" si="156"/>
        <v>0</v>
      </c>
      <c r="Z263" s="172">
        <v>1</v>
      </c>
      <c r="AB263" s="102">
        <f ca="1">IFERROR(OFFSET(BLDG_FUNC_PARAM!$A$5,MATCH(AC263,BLDG_FUNC_PARAM!$J$5:$J$68,0)-1,0),0)</f>
        <v>122020001</v>
      </c>
      <c r="AC263" s="103" t="s">
        <v>956</v>
      </c>
      <c r="AD263" s="102">
        <v>20</v>
      </c>
      <c r="AN263" s="102">
        <v>0</v>
      </c>
      <c r="AO263" s="102">
        <v>0</v>
      </c>
      <c r="AT263" s="104">
        <f t="shared" si="154"/>
        <v>240</v>
      </c>
      <c r="AW263" s="103">
        <v>4</v>
      </c>
      <c r="AY263" s="102">
        <v>400</v>
      </c>
      <c r="AZ263" s="102">
        <v>40</v>
      </c>
      <c r="BA263" s="172">
        <v>0</v>
      </c>
      <c r="BC263" s="104">
        <f ca="1">IFERROR(OFFSET(ITEM_RES!$A$5,MATCH(BD263,ITEM_RES!$M$5:$M$84,0)-1,0),0)</f>
        <v>0</v>
      </c>
    </row>
    <row r="264" spans="1:73" x14ac:dyDescent="0.3">
      <c r="A264" s="107">
        <f t="shared" si="85"/>
        <v>322020105</v>
      </c>
      <c r="B264" s="106">
        <v>32</v>
      </c>
      <c r="C264" s="105">
        <f t="shared" si="153"/>
        <v>2</v>
      </c>
      <c r="D264" s="106">
        <v>2</v>
      </c>
      <c r="E264" s="106">
        <v>1</v>
      </c>
      <c r="F264" s="105">
        <f t="shared" si="155"/>
        <v>5</v>
      </c>
      <c r="H264" s="103">
        <v>2</v>
      </c>
      <c r="I264" s="105">
        <f t="shared" si="5"/>
        <v>202</v>
      </c>
      <c r="J264" s="172">
        <v>5</v>
      </c>
      <c r="L264" s="172" t="s">
        <v>1115</v>
      </c>
      <c r="M264" s="172" t="s">
        <v>1131</v>
      </c>
      <c r="N264" s="103" t="s">
        <v>381</v>
      </c>
      <c r="O264" s="103" t="s">
        <v>1081</v>
      </c>
      <c r="P264" s="172">
        <v>1</v>
      </c>
      <c r="Q264" s="172">
        <v>12</v>
      </c>
      <c r="R264" s="103" t="s">
        <v>1031</v>
      </c>
      <c r="S264" s="103">
        <v>322020101</v>
      </c>
      <c r="T264" s="104" t="str">
        <f t="shared" si="157"/>
        <v>UITexture/TechProd/322020101.png</v>
      </c>
      <c r="U264" s="172" t="s">
        <v>1146</v>
      </c>
      <c r="V264" s="104">
        <f t="shared" si="156"/>
        <v>0</v>
      </c>
      <c r="Z264" s="172">
        <v>1</v>
      </c>
      <c r="AB264" s="102">
        <f ca="1">IFERROR(OFFSET(BLDG_FUNC_PARAM!$A$5,MATCH(AC264,BLDG_FUNC_PARAM!$J$5:$J$68,0)-1,0),0)</f>
        <v>122020001</v>
      </c>
      <c r="AC264" s="103" t="s">
        <v>956</v>
      </c>
      <c r="AD264" s="102">
        <v>50</v>
      </c>
      <c r="AN264" s="102">
        <v>6</v>
      </c>
      <c r="AO264" s="102">
        <v>0</v>
      </c>
      <c r="AT264" s="104">
        <f t="shared" si="154"/>
        <v>300</v>
      </c>
      <c r="AW264" s="103">
        <v>5</v>
      </c>
      <c r="AY264" s="102">
        <v>500</v>
      </c>
      <c r="AZ264" s="102">
        <v>50</v>
      </c>
      <c r="BA264" s="172">
        <v>0</v>
      </c>
      <c r="BC264" s="104">
        <f ca="1">IFERROR(OFFSET(ITEM_RES!$A$5,MATCH(BD264,ITEM_RES!$M$5:$M$84,0)-1,0),0)</f>
        <v>0</v>
      </c>
    </row>
    <row r="265" spans="1:73" x14ac:dyDescent="0.3">
      <c r="A265" s="107">
        <f t="shared" ref="A265:A274" si="158">B265*10000000+C265*1000000+D265*10000+E265*100+F265</f>
        <v>322020106</v>
      </c>
      <c r="B265" s="106">
        <v>32</v>
      </c>
      <c r="C265" s="105">
        <f t="shared" ref="C265:C274" si="159">H265</f>
        <v>2</v>
      </c>
      <c r="D265" s="106">
        <v>2</v>
      </c>
      <c r="E265" s="106">
        <v>1</v>
      </c>
      <c r="F265" s="105">
        <f t="shared" si="155"/>
        <v>6</v>
      </c>
      <c r="H265" s="103">
        <v>2</v>
      </c>
      <c r="I265" s="105">
        <f t="shared" ref="I265:I274" si="160">C265*100+D265</f>
        <v>202</v>
      </c>
      <c r="J265" s="172">
        <v>6</v>
      </c>
      <c r="L265" s="172" t="s">
        <v>1115</v>
      </c>
      <c r="M265" s="172" t="s">
        <v>1131</v>
      </c>
      <c r="N265" s="103" t="s">
        <v>381</v>
      </c>
      <c r="O265" s="103" t="s">
        <v>1081</v>
      </c>
      <c r="P265" s="172">
        <v>1</v>
      </c>
      <c r="Q265" s="172">
        <v>12</v>
      </c>
      <c r="R265" s="103" t="s">
        <v>1031</v>
      </c>
      <c r="S265" s="103">
        <v>322020101</v>
      </c>
      <c r="T265" s="104" t="str">
        <f t="shared" si="157"/>
        <v>UITexture/TechProd/322020101.png</v>
      </c>
      <c r="U265" s="172" t="s">
        <v>1146</v>
      </c>
      <c r="V265" s="104">
        <f>W265*1000+X265</f>
        <v>0</v>
      </c>
      <c r="Z265" s="172">
        <v>1</v>
      </c>
      <c r="AB265" s="102">
        <f ca="1">IFERROR(OFFSET(BLDG_FUNC_PARAM!$A$5,MATCH(AC265,BLDG_FUNC_PARAM!$J$5:$J$68,0)-1,0),0)</f>
        <v>122020001</v>
      </c>
      <c r="AC265" s="103" t="s">
        <v>956</v>
      </c>
      <c r="AD265" s="102">
        <v>55</v>
      </c>
      <c r="AN265" s="102">
        <v>0</v>
      </c>
      <c r="AO265" s="102">
        <v>0</v>
      </c>
      <c r="AT265" s="104">
        <f t="shared" ref="AT265:AT274" si="161">((AU265*24+AV265)*60+AW265)*60+AX265</f>
        <v>360</v>
      </c>
      <c r="AW265" s="103">
        <v>6</v>
      </c>
      <c r="AY265" s="102">
        <v>600</v>
      </c>
      <c r="AZ265" s="102">
        <v>60</v>
      </c>
      <c r="BA265" s="172">
        <v>0</v>
      </c>
      <c r="BC265" s="104">
        <f ca="1">IFERROR(OFFSET(ITEM_RES!$A$5,MATCH(BD265,ITEM_RES!$M$5:$M$84,0)-1,0),0)</f>
        <v>0</v>
      </c>
    </row>
    <row r="266" spans="1:73" x14ac:dyDescent="0.3">
      <c r="A266" s="107">
        <f t="shared" si="158"/>
        <v>322020107</v>
      </c>
      <c r="B266" s="106">
        <v>32</v>
      </c>
      <c r="C266" s="105">
        <f t="shared" si="159"/>
        <v>2</v>
      </c>
      <c r="D266" s="106">
        <v>2</v>
      </c>
      <c r="E266" s="106">
        <v>1</v>
      </c>
      <c r="F266" s="105">
        <f t="shared" si="155"/>
        <v>7</v>
      </c>
      <c r="H266" s="103">
        <v>2</v>
      </c>
      <c r="I266" s="105">
        <f t="shared" si="160"/>
        <v>202</v>
      </c>
      <c r="J266" s="172">
        <v>7</v>
      </c>
      <c r="L266" s="172" t="s">
        <v>1115</v>
      </c>
      <c r="M266" s="172" t="s">
        <v>1131</v>
      </c>
      <c r="N266" s="103" t="s">
        <v>381</v>
      </c>
      <c r="O266" s="103" t="s">
        <v>1081</v>
      </c>
      <c r="P266" s="172">
        <v>1</v>
      </c>
      <c r="Q266" s="172">
        <v>12</v>
      </c>
      <c r="R266" s="103" t="s">
        <v>1031</v>
      </c>
      <c r="S266" s="103">
        <v>322020101</v>
      </c>
      <c r="T266" s="104" t="str">
        <f t="shared" si="157"/>
        <v>UITexture/TechProd/322020101.png</v>
      </c>
      <c r="U266" s="172" t="s">
        <v>1146</v>
      </c>
      <c r="V266" s="104">
        <f t="shared" ref="V266:V269" si="162">W266*1000+X266</f>
        <v>0</v>
      </c>
      <c r="Z266" s="172">
        <v>1</v>
      </c>
      <c r="AB266" s="102">
        <f ca="1">IFERROR(OFFSET(BLDG_FUNC_PARAM!$A$5,MATCH(AC266,BLDG_FUNC_PARAM!$J$5:$J$68,0)-1,0),0)</f>
        <v>122020001</v>
      </c>
      <c r="AC266" s="103" t="s">
        <v>956</v>
      </c>
      <c r="AD266" s="102">
        <v>60</v>
      </c>
      <c r="AN266" s="102">
        <v>0</v>
      </c>
      <c r="AO266" s="102">
        <v>0</v>
      </c>
      <c r="AT266" s="104">
        <f t="shared" si="161"/>
        <v>420</v>
      </c>
      <c r="AW266" s="103">
        <v>7</v>
      </c>
      <c r="AY266" s="102">
        <v>700</v>
      </c>
      <c r="AZ266" s="102">
        <v>70</v>
      </c>
      <c r="BA266" s="172">
        <v>0</v>
      </c>
      <c r="BC266" s="104">
        <f ca="1">IFERROR(OFFSET(ITEM_RES!$A$5,MATCH(BD266,ITEM_RES!$M$5:$M$84,0)-1,0),0)</f>
        <v>0</v>
      </c>
    </row>
    <row r="267" spans="1:73" x14ac:dyDescent="0.3">
      <c r="A267" s="107">
        <f t="shared" si="158"/>
        <v>322020108</v>
      </c>
      <c r="B267" s="106">
        <v>32</v>
      </c>
      <c r="C267" s="105">
        <f t="shared" si="159"/>
        <v>2</v>
      </c>
      <c r="D267" s="106">
        <v>2</v>
      </c>
      <c r="E267" s="106">
        <v>1</v>
      </c>
      <c r="F267" s="105">
        <f t="shared" si="155"/>
        <v>8</v>
      </c>
      <c r="H267" s="103">
        <v>2</v>
      </c>
      <c r="I267" s="105">
        <f t="shared" si="160"/>
        <v>202</v>
      </c>
      <c r="J267" s="172">
        <v>8</v>
      </c>
      <c r="L267" s="172" t="s">
        <v>1115</v>
      </c>
      <c r="M267" s="172" t="s">
        <v>1131</v>
      </c>
      <c r="N267" s="103" t="s">
        <v>381</v>
      </c>
      <c r="O267" s="103" t="s">
        <v>1081</v>
      </c>
      <c r="P267" s="172">
        <v>1</v>
      </c>
      <c r="Q267" s="172">
        <v>12</v>
      </c>
      <c r="R267" s="103" t="s">
        <v>1031</v>
      </c>
      <c r="S267" s="103">
        <v>322020101</v>
      </c>
      <c r="T267" s="104" t="str">
        <f t="shared" si="157"/>
        <v>UITexture/TechProd/322020101.png</v>
      </c>
      <c r="U267" s="172" t="s">
        <v>1146</v>
      </c>
      <c r="V267" s="104">
        <f t="shared" si="162"/>
        <v>0</v>
      </c>
      <c r="Z267" s="172">
        <v>1</v>
      </c>
      <c r="AB267" s="102">
        <f ca="1">IFERROR(OFFSET(BLDG_FUNC_PARAM!$A$5,MATCH(AC267,BLDG_FUNC_PARAM!$J$5:$J$68,0)-1,0),0)</f>
        <v>122020001</v>
      </c>
      <c r="AC267" s="103" t="s">
        <v>956</v>
      </c>
      <c r="AD267" s="102">
        <v>65</v>
      </c>
      <c r="AN267" s="102">
        <v>0</v>
      </c>
      <c r="AO267" s="102">
        <v>0</v>
      </c>
      <c r="AT267" s="104">
        <f t="shared" si="161"/>
        <v>480</v>
      </c>
      <c r="AW267" s="103">
        <v>8</v>
      </c>
      <c r="AY267" s="102">
        <v>800</v>
      </c>
      <c r="AZ267" s="102">
        <v>80</v>
      </c>
      <c r="BA267" s="172">
        <v>0</v>
      </c>
      <c r="BC267" s="104">
        <f ca="1">IFERROR(OFFSET(ITEM_RES!$A$5,MATCH(BD267,ITEM_RES!$M$5:$M$84,0)-1,0),0)</f>
        <v>0</v>
      </c>
    </row>
    <row r="268" spans="1:73" x14ac:dyDescent="0.3">
      <c r="A268" s="107">
        <f t="shared" si="158"/>
        <v>322020109</v>
      </c>
      <c r="B268" s="106">
        <v>32</v>
      </c>
      <c r="C268" s="105">
        <f t="shared" si="159"/>
        <v>2</v>
      </c>
      <c r="D268" s="106">
        <v>2</v>
      </c>
      <c r="E268" s="106">
        <v>1</v>
      </c>
      <c r="F268" s="105">
        <f t="shared" si="155"/>
        <v>9</v>
      </c>
      <c r="H268" s="103">
        <v>2</v>
      </c>
      <c r="I268" s="105">
        <f t="shared" si="160"/>
        <v>202</v>
      </c>
      <c r="J268" s="172">
        <v>9</v>
      </c>
      <c r="L268" s="172" t="s">
        <v>1115</v>
      </c>
      <c r="M268" s="172" t="s">
        <v>1131</v>
      </c>
      <c r="N268" s="103" t="s">
        <v>381</v>
      </c>
      <c r="O268" s="103" t="s">
        <v>1081</v>
      </c>
      <c r="P268" s="172">
        <v>1</v>
      </c>
      <c r="Q268" s="172">
        <v>12</v>
      </c>
      <c r="R268" s="103" t="s">
        <v>1031</v>
      </c>
      <c r="S268" s="103">
        <v>322020101</v>
      </c>
      <c r="T268" s="104" t="str">
        <f t="shared" si="157"/>
        <v>UITexture/TechProd/322020101.png</v>
      </c>
      <c r="U268" s="172" t="s">
        <v>1146</v>
      </c>
      <c r="V268" s="104">
        <f t="shared" si="162"/>
        <v>0</v>
      </c>
      <c r="Z268" s="172">
        <v>1</v>
      </c>
      <c r="AB268" s="102">
        <f ca="1">IFERROR(OFFSET(BLDG_FUNC_PARAM!$A$5,MATCH(AC268,BLDG_FUNC_PARAM!$J$5:$J$68,0)-1,0),0)</f>
        <v>122020001</v>
      </c>
      <c r="AC268" s="103" t="s">
        <v>956</v>
      </c>
      <c r="AD268" s="102">
        <v>70.000000000000014</v>
      </c>
      <c r="AN268" s="102">
        <v>0</v>
      </c>
      <c r="AO268" s="102">
        <v>0</v>
      </c>
      <c r="AT268" s="104">
        <f t="shared" si="161"/>
        <v>540</v>
      </c>
      <c r="AW268" s="103">
        <v>9</v>
      </c>
      <c r="AY268" s="102">
        <v>900</v>
      </c>
      <c r="AZ268" s="102">
        <v>90</v>
      </c>
      <c r="BA268" s="172">
        <v>0</v>
      </c>
      <c r="BC268" s="104">
        <f ca="1">IFERROR(OFFSET(ITEM_RES!$A$5,MATCH(BD268,ITEM_RES!$M$5:$M$84,0)-1,0),0)</f>
        <v>0</v>
      </c>
    </row>
    <row r="269" spans="1:73" x14ac:dyDescent="0.3">
      <c r="A269" s="107">
        <f t="shared" si="158"/>
        <v>322020110</v>
      </c>
      <c r="B269" s="106">
        <v>32</v>
      </c>
      <c r="C269" s="105">
        <f t="shared" si="159"/>
        <v>2</v>
      </c>
      <c r="D269" s="106">
        <v>2</v>
      </c>
      <c r="E269" s="106">
        <v>1</v>
      </c>
      <c r="F269" s="105">
        <f t="shared" si="155"/>
        <v>10</v>
      </c>
      <c r="H269" s="103">
        <v>2</v>
      </c>
      <c r="I269" s="105">
        <f t="shared" si="160"/>
        <v>202</v>
      </c>
      <c r="J269" s="172">
        <v>10</v>
      </c>
      <c r="L269" s="172" t="s">
        <v>1115</v>
      </c>
      <c r="M269" s="172" t="s">
        <v>1131</v>
      </c>
      <c r="N269" s="103" t="s">
        <v>381</v>
      </c>
      <c r="O269" s="103" t="s">
        <v>1081</v>
      </c>
      <c r="P269" s="172">
        <v>1</v>
      </c>
      <c r="Q269" s="172">
        <v>12</v>
      </c>
      <c r="R269" s="103" t="s">
        <v>1031</v>
      </c>
      <c r="S269" s="103">
        <v>322020101</v>
      </c>
      <c r="T269" s="104" t="str">
        <f t="shared" si="157"/>
        <v>UITexture/TechProd/322020101.png</v>
      </c>
      <c r="U269" s="172" t="s">
        <v>1146</v>
      </c>
      <c r="V269" s="104">
        <f t="shared" si="162"/>
        <v>0</v>
      </c>
      <c r="Z269" s="172">
        <v>1</v>
      </c>
      <c r="AB269" s="102">
        <f ca="1">IFERROR(OFFSET(BLDG_FUNC_PARAM!$A$5,MATCH(AC269,BLDG_FUNC_PARAM!$J$5:$J$68,0)-1,0),0)</f>
        <v>122020001</v>
      </c>
      <c r="AC269" s="103" t="s">
        <v>956</v>
      </c>
      <c r="AD269" s="102">
        <v>100</v>
      </c>
      <c r="AN269" s="102">
        <v>11</v>
      </c>
      <c r="AO269" s="102">
        <v>0</v>
      </c>
      <c r="AT269" s="104">
        <f t="shared" si="161"/>
        <v>600</v>
      </c>
      <c r="AW269" s="103">
        <v>10</v>
      </c>
      <c r="AY269" s="102">
        <v>1000</v>
      </c>
      <c r="AZ269" s="102">
        <v>100</v>
      </c>
      <c r="BA269" s="172">
        <v>0</v>
      </c>
      <c r="BC269" s="104">
        <f ca="1">IFERROR(OFFSET(ITEM_RES!$A$5,MATCH(BD269,ITEM_RES!$M$5:$M$84,0)-1,0),0)</f>
        <v>0</v>
      </c>
    </row>
    <row r="270" spans="1:73" x14ac:dyDescent="0.3">
      <c r="A270" s="107">
        <f t="shared" si="158"/>
        <v>322020111</v>
      </c>
      <c r="B270" s="106">
        <v>32</v>
      </c>
      <c r="C270" s="105">
        <f t="shared" si="159"/>
        <v>2</v>
      </c>
      <c r="D270" s="106">
        <v>2</v>
      </c>
      <c r="E270" s="106">
        <v>1</v>
      </c>
      <c r="F270" s="105">
        <f t="shared" si="155"/>
        <v>11</v>
      </c>
      <c r="H270" s="103">
        <v>2</v>
      </c>
      <c r="I270" s="105">
        <f t="shared" si="160"/>
        <v>202</v>
      </c>
      <c r="J270" s="172">
        <v>11</v>
      </c>
      <c r="L270" s="172" t="s">
        <v>1115</v>
      </c>
      <c r="M270" s="172" t="s">
        <v>1131</v>
      </c>
      <c r="N270" s="103" t="s">
        <v>381</v>
      </c>
      <c r="O270" s="103" t="s">
        <v>1081</v>
      </c>
      <c r="P270" s="172">
        <v>1</v>
      </c>
      <c r="Q270" s="172">
        <v>12</v>
      </c>
      <c r="R270" s="103" t="s">
        <v>1031</v>
      </c>
      <c r="S270" s="103">
        <v>322020101</v>
      </c>
      <c r="T270" s="104" t="str">
        <f t="shared" si="157"/>
        <v>UITexture/TechProd/322020101.png</v>
      </c>
      <c r="U270" s="172" t="s">
        <v>1146</v>
      </c>
      <c r="V270" s="104">
        <f>W270*1000+X270</f>
        <v>0</v>
      </c>
      <c r="Z270" s="172">
        <v>1</v>
      </c>
      <c r="AB270" s="102">
        <f ca="1">IFERROR(OFFSET(BLDG_FUNC_PARAM!$A$5,MATCH(AC270,BLDG_FUNC_PARAM!$J$5:$J$68,0)-1,0),0)</f>
        <v>122020001</v>
      </c>
      <c r="AC270" s="103" t="s">
        <v>956</v>
      </c>
      <c r="AD270" s="102">
        <v>105</v>
      </c>
      <c r="AN270" s="102">
        <v>0</v>
      </c>
      <c r="AO270" s="102">
        <v>0</v>
      </c>
      <c r="AT270" s="104">
        <f t="shared" si="161"/>
        <v>660</v>
      </c>
      <c r="AW270" s="103">
        <v>11</v>
      </c>
      <c r="AY270" s="102">
        <v>1100</v>
      </c>
      <c r="AZ270" s="102">
        <v>110</v>
      </c>
      <c r="BA270" s="172">
        <v>0</v>
      </c>
      <c r="BC270" s="104">
        <f ca="1">IFERROR(OFFSET(ITEM_RES!$A$5,MATCH(BD270,ITEM_RES!$M$5:$M$84,0)-1,0),0)</f>
        <v>0</v>
      </c>
    </row>
    <row r="271" spans="1:73" x14ac:dyDescent="0.3">
      <c r="A271" s="107">
        <f t="shared" si="158"/>
        <v>322020112</v>
      </c>
      <c r="B271" s="106">
        <v>32</v>
      </c>
      <c r="C271" s="105">
        <f t="shared" si="159"/>
        <v>2</v>
      </c>
      <c r="D271" s="106">
        <v>2</v>
      </c>
      <c r="E271" s="106">
        <v>1</v>
      </c>
      <c r="F271" s="105">
        <f t="shared" si="155"/>
        <v>12</v>
      </c>
      <c r="H271" s="103">
        <v>2</v>
      </c>
      <c r="I271" s="105">
        <f t="shared" si="160"/>
        <v>202</v>
      </c>
      <c r="J271" s="172">
        <v>12</v>
      </c>
      <c r="L271" s="172" t="s">
        <v>1115</v>
      </c>
      <c r="M271" s="172" t="s">
        <v>1131</v>
      </c>
      <c r="N271" s="103" t="s">
        <v>381</v>
      </c>
      <c r="O271" s="103" t="s">
        <v>1081</v>
      </c>
      <c r="P271" s="172">
        <v>1</v>
      </c>
      <c r="Q271" s="172">
        <v>12</v>
      </c>
      <c r="R271" s="103" t="s">
        <v>1031</v>
      </c>
      <c r="S271" s="103">
        <v>322020101</v>
      </c>
      <c r="T271" s="104" t="str">
        <f t="shared" si="157"/>
        <v>UITexture/TechProd/322020101.png</v>
      </c>
      <c r="U271" s="172" t="s">
        <v>1146</v>
      </c>
      <c r="V271" s="104">
        <f t="shared" ref="V271:V274" si="163">W271*1000+X271</f>
        <v>0</v>
      </c>
      <c r="Z271" s="172">
        <v>1</v>
      </c>
      <c r="AB271" s="102">
        <f ca="1">IFERROR(OFFSET(BLDG_FUNC_PARAM!$A$5,MATCH(AC271,BLDG_FUNC_PARAM!$J$5:$J$68,0)-1,0),0)</f>
        <v>122020001</v>
      </c>
      <c r="AC271" s="103" t="s">
        <v>956</v>
      </c>
      <c r="AD271" s="102">
        <v>110</v>
      </c>
      <c r="AN271" s="102">
        <v>0</v>
      </c>
      <c r="AO271" s="102">
        <v>0</v>
      </c>
      <c r="AT271" s="104">
        <f t="shared" si="161"/>
        <v>720</v>
      </c>
      <c r="AW271" s="103">
        <v>12</v>
      </c>
      <c r="AY271" s="102">
        <v>1200</v>
      </c>
      <c r="AZ271" s="102">
        <v>120</v>
      </c>
      <c r="BA271" s="172">
        <v>0</v>
      </c>
      <c r="BC271" s="104">
        <f ca="1">IFERROR(OFFSET(ITEM_RES!$A$5,MATCH(BD271,ITEM_RES!$M$5:$M$84,0)-1,0),0)</f>
        <v>0</v>
      </c>
    </row>
    <row r="272" spans="1:73" x14ac:dyDescent="0.3">
      <c r="A272" s="107">
        <f t="shared" si="158"/>
        <v>322020113</v>
      </c>
      <c r="B272" s="106">
        <v>32</v>
      </c>
      <c r="C272" s="105">
        <f t="shared" si="159"/>
        <v>2</v>
      </c>
      <c r="D272" s="106">
        <v>2</v>
      </c>
      <c r="E272" s="106">
        <v>1</v>
      </c>
      <c r="F272" s="105">
        <f t="shared" si="155"/>
        <v>13</v>
      </c>
      <c r="H272" s="103">
        <v>2</v>
      </c>
      <c r="I272" s="105">
        <f t="shared" si="160"/>
        <v>202</v>
      </c>
      <c r="J272" s="172">
        <v>13</v>
      </c>
      <c r="L272" s="172" t="s">
        <v>1115</v>
      </c>
      <c r="M272" s="172" t="s">
        <v>1131</v>
      </c>
      <c r="N272" s="103" t="s">
        <v>381</v>
      </c>
      <c r="O272" s="103" t="s">
        <v>1081</v>
      </c>
      <c r="P272" s="172">
        <v>0</v>
      </c>
      <c r="Q272" s="172">
        <v>12</v>
      </c>
      <c r="R272" s="103" t="s">
        <v>1031</v>
      </c>
      <c r="S272" s="103">
        <v>322020101</v>
      </c>
      <c r="T272" s="104" t="str">
        <f t="shared" si="157"/>
        <v>UITexture/TechProd/322020101.png</v>
      </c>
      <c r="U272" s="172" t="s">
        <v>1146</v>
      </c>
      <c r="V272" s="104">
        <f t="shared" si="163"/>
        <v>0</v>
      </c>
      <c r="Z272" s="172">
        <v>1</v>
      </c>
      <c r="AB272" s="102">
        <f ca="1">IFERROR(OFFSET(BLDG_FUNC_PARAM!$A$5,MATCH(AC272,BLDG_FUNC_PARAM!$J$5:$J$68,0)-1,0),0)</f>
        <v>122020001</v>
      </c>
      <c r="AC272" s="103" t="s">
        <v>956</v>
      </c>
      <c r="AD272" s="102">
        <v>115</v>
      </c>
      <c r="AN272" s="102">
        <v>0</v>
      </c>
      <c r="AO272" s="102">
        <v>0</v>
      </c>
      <c r="AT272" s="104">
        <f t="shared" si="161"/>
        <v>780</v>
      </c>
      <c r="AW272" s="103">
        <v>13</v>
      </c>
      <c r="AY272" s="102">
        <v>1300</v>
      </c>
      <c r="AZ272" s="102">
        <v>130</v>
      </c>
      <c r="BA272" s="172">
        <v>0</v>
      </c>
      <c r="BC272" s="104">
        <f ca="1">IFERROR(OFFSET(ITEM_RES!$A$5,MATCH(BD272,ITEM_RES!$M$5:$M$84,0)-1,0),0)</f>
        <v>0</v>
      </c>
    </row>
    <row r="273" spans="1:55" x14ac:dyDescent="0.3">
      <c r="A273" s="107">
        <f t="shared" si="158"/>
        <v>322020114</v>
      </c>
      <c r="B273" s="106">
        <v>32</v>
      </c>
      <c r="C273" s="105">
        <f t="shared" si="159"/>
        <v>2</v>
      </c>
      <c r="D273" s="106">
        <v>2</v>
      </c>
      <c r="E273" s="106">
        <v>1</v>
      </c>
      <c r="F273" s="105">
        <f t="shared" si="155"/>
        <v>14</v>
      </c>
      <c r="H273" s="103">
        <v>2</v>
      </c>
      <c r="I273" s="105">
        <f t="shared" si="160"/>
        <v>202</v>
      </c>
      <c r="J273" s="172">
        <v>14</v>
      </c>
      <c r="L273" s="172" t="s">
        <v>1115</v>
      </c>
      <c r="M273" s="172" t="s">
        <v>1131</v>
      </c>
      <c r="N273" s="103" t="s">
        <v>381</v>
      </c>
      <c r="O273" s="103" t="s">
        <v>1081</v>
      </c>
      <c r="P273" s="172">
        <v>0</v>
      </c>
      <c r="Q273" s="172">
        <v>12</v>
      </c>
      <c r="R273" s="103" t="s">
        <v>1031</v>
      </c>
      <c r="S273" s="103">
        <v>322020101</v>
      </c>
      <c r="T273" s="104" t="str">
        <f t="shared" si="157"/>
        <v>UITexture/TechProd/322020101.png</v>
      </c>
      <c r="U273" s="172" t="s">
        <v>1146</v>
      </c>
      <c r="V273" s="104">
        <f t="shared" si="163"/>
        <v>0</v>
      </c>
      <c r="Z273" s="172">
        <v>1</v>
      </c>
      <c r="AB273" s="102">
        <f ca="1">IFERROR(OFFSET(BLDG_FUNC_PARAM!$A$5,MATCH(AC273,BLDG_FUNC_PARAM!$J$5:$J$68,0)-1,0),0)</f>
        <v>122020001</v>
      </c>
      <c r="AC273" s="103" t="s">
        <v>956</v>
      </c>
      <c r="AD273" s="102">
        <v>120</v>
      </c>
      <c r="AN273" s="102">
        <v>0</v>
      </c>
      <c r="AO273" s="102">
        <v>0</v>
      </c>
      <c r="AT273" s="104">
        <f t="shared" si="161"/>
        <v>840</v>
      </c>
      <c r="AW273" s="103">
        <v>14</v>
      </c>
      <c r="AY273" s="102">
        <v>1400</v>
      </c>
      <c r="AZ273" s="102">
        <v>140</v>
      </c>
      <c r="BA273" s="172">
        <v>0</v>
      </c>
      <c r="BC273" s="104">
        <f ca="1">IFERROR(OFFSET(ITEM_RES!$A$5,MATCH(BD273,ITEM_RES!$M$5:$M$84,0)-1,0),0)</f>
        <v>0</v>
      </c>
    </row>
    <row r="274" spans="1:55" x14ac:dyDescent="0.3">
      <c r="A274" s="107">
        <f t="shared" si="158"/>
        <v>322020115</v>
      </c>
      <c r="B274" s="106">
        <v>32</v>
      </c>
      <c r="C274" s="105">
        <f t="shared" si="159"/>
        <v>2</v>
      </c>
      <c r="D274" s="106">
        <v>2</v>
      </c>
      <c r="E274" s="106">
        <v>1</v>
      </c>
      <c r="F274" s="105">
        <f t="shared" si="155"/>
        <v>15</v>
      </c>
      <c r="H274" s="103">
        <v>2</v>
      </c>
      <c r="I274" s="105">
        <f t="shared" si="160"/>
        <v>202</v>
      </c>
      <c r="J274" s="172">
        <v>15</v>
      </c>
      <c r="L274" s="172" t="s">
        <v>1115</v>
      </c>
      <c r="M274" s="172" t="s">
        <v>1131</v>
      </c>
      <c r="N274" s="103" t="s">
        <v>381</v>
      </c>
      <c r="O274" s="103" t="s">
        <v>1081</v>
      </c>
      <c r="P274" s="172">
        <v>0</v>
      </c>
      <c r="Q274" s="172">
        <v>12</v>
      </c>
      <c r="R274" s="103" t="s">
        <v>1031</v>
      </c>
      <c r="S274" s="103">
        <v>322020101</v>
      </c>
      <c r="T274" s="104" t="str">
        <f t="shared" si="157"/>
        <v>UITexture/TechProd/322020101.png</v>
      </c>
      <c r="U274" s="172" t="s">
        <v>1146</v>
      </c>
      <c r="V274" s="104">
        <f t="shared" si="163"/>
        <v>0</v>
      </c>
      <c r="Z274" s="172">
        <v>1</v>
      </c>
      <c r="AB274" s="102">
        <f ca="1">IFERROR(OFFSET(BLDG_FUNC_PARAM!$A$5,MATCH(AC274,BLDG_FUNC_PARAM!$J$5:$J$68,0)-1,0),0)</f>
        <v>122020001</v>
      </c>
      <c r="AC274" s="103" t="s">
        <v>956</v>
      </c>
      <c r="AD274" s="102">
        <v>150</v>
      </c>
      <c r="AN274" s="102">
        <v>15</v>
      </c>
      <c r="AO274" s="102">
        <v>0</v>
      </c>
      <c r="AT274" s="104">
        <f t="shared" si="161"/>
        <v>900</v>
      </c>
      <c r="AW274" s="103">
        <v>15</v>
      </c>
      <c r="AY274" s="102">
        <v>1500</v>
      </c>
      <c r="AZ274" s="102">
        <v>150</v>
      </c>
      <c r="BA274" s="172">
        <v>0</v>
      </c>
      <c r="BC274" s="104">
        <f ca="1">IFERROR(OFFSET(ITEM_RES!$A$5,MATCH(BD274,ITEM_RES!$M$5:$M$84,0)-1,0),0)</f>
        <v>0</v>
      </c>
    </row>
    <row r="275" spans="1:55" x14ac:dyDescent="0.3">
      <c r="A275" s="107">
        <f t="shared" ref="A275:A284" si="164">B275*10000000+C275*1000000+D275*10000+E275*100+F275</f>
        <v>322020116</v>
      </c>
      <c r="B275" s="106">
        <v>32</v>
      </c>
      <c r="C275" s="105">
        <f t="shared" ref="C275:C284" si="165">H275</f>
        <v>2</v>
      </c>
      <c r="D275" s="106">
        <v>2</v>
      </c>
      <c r="E275" s="106">
        <v>1</v>
      </c>
      <c r="F275" s="105">
        <f t="shared" si="155"/>
        <v>16</v>
      </c>
      <c r="H275" s="103">
        <v>2</v>
      </c>
      <c r="I275" s="105">
        <f t="shared" ref="I275:I284" si="166">C275*100+D275</f>
        <v>202</v>
      </c>
      <c r="J275" s="172">
        <v>16</v>
      </c>
      <c r="L275" s="172" t="s">
        <v>1115</v>
      </c>
      <c r="M275" s="172" t="s">
        <v>1131</v>
      </c>
      <c r="N275" s="103" t="s">
        <v>381</v>
      </c>
      <c r="O275" s="103" t="s">
        <v>1081</v>
      </c>
      <c r="P275" s="172">
        <v>0</v>
      </c>
      <c r="Q275" s="172">
        <v>12</v>
      </c>
      <c r="R275" s="103" t="s">
        <v>1031</v>
      </c>
      <c r="S275" s="103">
        <v>322020101</v>
      </c>
      <c r="T275" s="104" t="str">
        <f t="shared" si="157"/>
        <v>UITexture/TechProd/322020101.png</v>
      </c>
      <c r="U275" s="172" t="s">
        <v>1146</v>
      </c>
      <c r="V275" s="104">
        <f>W275*1000+X275</f>
        <v>0</v>
      </c>
      <c r="Z275" s="172">
        <v>1</v>
      </c>
      <c r="AB275" s="102">
        <f ca="1">IFERROR(OFFSET(BLDG_FUNC_PARAM!$A$5,MATCH(AC275,BLDG_FUNC_PARAM!$J$5:$J$68,0)-1,0),0)</f>
        <v>122020001</v>
      </c>
      <c r="AC275" s="103" t="s">
        <v>956</v>
      </c>
      <c r="AD275" s="102">
        <v>155</v>
      </c>
      <c r="AN275" s="102">
        <v>0</v>
      </c>
      <c r="AO275" s="102">
        <v>0</v>
      </c>
      <c r="AT275" s="104">
        <f t="shared" ref="AT275:AT284" si="167">((AU275*24+AV275)*60+AW275)*60+AX275</f>
        <v>960</v>
      </c>
      <c r="AW275" s="103">
        <v>16</v>
      </c>
      <c r="AY275" s="102">
        <v>1600</v>
      </c>
      <c r="AZ275" s="102">
        <v>160</v>
      </c>
      <c r="BA275" s="172">
        <v>0</v>
      </c>
      <c r="BC275" s="104">
        <f ca="1">IFERROR(OFFSET(ITEM_RES!$A$5,MATCH(BD275,ITEM_RES!$M$5:$M$84,0)-1,0),0)</f>
        <v>0</v>
      </c>
    </row>
    <row r="276" spans="1:55" x14ac:dyDescent="0.3">
      <c r="A276" s="107">
        <f t="shared" si="164"/>
        <v>322020117</v>
      </c>
      <c r="B276" s="106">
        <v>32</v>
      </c>
      <c r="C276" s="105">
        <f t="shared" si="165"/>
        <v>2</v>
      </c>
      <c r="D276" s="106">
        <v>2</v>
      </c>
      <c r="E276" s="106">
        <v>1</v>
      </c>
      <c r="F276" s="105">
        <f t="shared" si="155"/>
        <v>17</v>
      </c>
      <c r="H276" s="103">
        <v>2</v>
      </c>
      <c r="I276" s="105">
        <f t="shared" si="166"/>
        <v>202</v>
      </c>
      <c r="J276" s="172">
        <v>17</v>
      </c>
      <c r="L276" s="172" t="s">
        <v>1115</v>
      </c>
      <c r="M276" s="172" t="s">
        <v>1131</v>
      </c>
      <c r="N276" s="103" t="s">
        <v>381</v>
      </c>
      <c r="O276" s="103" t="s">
        <v>1081</v>
      </c>
      <c r="P276" s="172">
        <v>0</v>
      </c>
      <c r="Q276" s="172">
        <v>12</v>
      </c>
      <c r="R276" s="103" t="s">
        <v>1031</v>
      </c>
      <c r="S276" s="103">
        <v>322020101</v>
      </c>
      <c r="T276" s="104" t="str">
        <f t="shared" si="157"/>
        <v>UITexture/TechProd/322020101.png</v>
      </c>
      <c r="U276" s="172" t="s">
        <v>1146</v>
      </c>
      <c r="V276" s="104">
        <f t="shared" ref="V276:V279" si="168">W276*1000+X276</f>
        <v>0</v>
      </c>
      <c r="Z276" s="172">
        <v>1</v>
      </c>
      <c r="AB276" s="102">
        <f ca="1">IFERROR(OFFSET(BLDG_FUNC_PARAM!$A$5,MATCH(AC276,BLDG_FUNC_PARAM!$J$5:$J$68,0)-1,0),0)</f>
        <v>122020001</v>
      </c>
      <c r="AC276" s="103" t="s">
        <v>956</v>
      </c>
      <c r="AD276" s="102">
        <v>160</v>
      </c>
      <c r="AN276" s="102">
        <v>0</v>
      </c>
      <c r="AO276" s="102">
        <v>0</v>
      </c>
      <c r="AT276" s="104">
        <f t="shared" si="167"/>
        <v>1020</v>
      </c>
      <c r="AW276" s="103">
        <v>17</v>
      </c>
      <c r="AY276" s="102">
        <v>1700</v>
      </c>
      <c r="AZ276" s="102">
        <v>170</v>
      </c>
      <c r="BA276" s="172">
        <v>0</v>
      </c>
      <c r="BC276" s="104">
        <f ca="1">IFERROR(OFFSET(ITEM_RES!$A$5,MATCH(BD276,ITEM_RES!$M$5:$M$84,0)-1,0),0)</f>
        <v>0</v>
      </c>
    </row>
    <row r="277" spans="1:55" x14ac:dyDescent="0.3">
      <c r="A277" s="107">
        <f t="shared" si="164"/>
        <v>322020118</v>
      </c>
      <c r="B277" s="106">
        <v>32</v>
      </c>
      <c r="C277" s="105">
        <f t="shared" si="165"/>
        <v>2</v>
      </c>
      <c r="D277" s="106">
        <v>2</v>
      </c>
      <c r="E277" s="106">
        <v>1</v>
      </c>
      <c r="F277" s="105">
        <f t="shared" si="155"/>
        <v>18</v>
      </c>
      <c r="H277" s="103">
        <v>2</v>
      </c>
      <c r="I277" s="105">
        <f t="shared" si="166"/>
        <v>202</v>
      </c>
      <c r="J277" s="172">
        <v>18</v>
      </c>
      <c r="L277" s="172" t="s">
        <v>1115</v>
      </c>
      <c r="M277" s="172" t="s">
        <v>1131</v>
      </c>
      <c r="N277" s="103" t="s">
        <v>381</v>
      </c>
      <c r="O277" s="103" t="s">
        <v>1081</v>
      </c>
      <c r="P277" s="172">
        <v>0</v>
      </c>
      <c r="Q277" s="172">
        <v>12</v>
      </c>
      <c r="R277" s="103" t="s">
        <v>1031</v>
      </c>
      <c r="S277" s="103">
        <v>322020101</v>
      </c>
      <c r="T277" s="104" t="str">
        <f t="shared" si="157"/>
        <v>UITexture/TechProd/322020101.png</v>
      </c>
      <c r="U277" s="172" t="s">
        <v>1146</v>
      </c>
      <c r="V277" s="104">
        <f t="shared" si="168"/>
        <v>0</v>
      </c>
      <c r="Z277" s="172">
        <v>1</v>
      </c>
      <c r="AB277" s="102">
        <f ca="1">IFERROR(OFFSET(BLDG_FUNC_PARAM!$A$5,MATCH(AC277,BLDG_FUNC_PARAM!$J$5:$J$68,0)-1,0),0)</f>
        <v>122020001</v>
      </c>
      <c r="AC277" s="103" t="s">
        <v>956</v>
      </c>
      <c r="AD277" s="102">
        <v>165</v>
      </c>
      <c r="AN277" s="102">
        <v>0</v>
      </c>
      <c r="AO277" s="102">
        <v>0</v>
      </c>
      <c r="AT277" s="104">
        <f t="shared" si="167"/>
        <v>1080</v>
      </c>
      <c r="AW277" s="103">
        <v>18</v>
      </c>
      <c r="AY277" s="102">
        <v>1800</v>
      </c>
      <c r="AZ277" s="102">
        <v>180</v>
      </c>
      <c r="BA277" s="172">
        <v>0</v>
      </c>
      <c r="BC277" s="104">
        <f ca="1">IFERROR(OFFSET(ITEM_RES!$A$5,MATCH(BD277,ITEM_RES!$M$5:$M$84,0)-1,0),0)</f>
        <v>0</v>
      </c>
    </row>
    <row r="278" spans="1:55" x14ac:dyDescent="0.3">
      <c r="A278" s="107">
        <f t="shared" si="164"/>
        <v>322020119</v>
      </c>
      <c r="B278" s="106">
        <v>32</v>
      </c>
      <c r="C278" s="105">
        <f t="shared" si="165"/>
        <v>2</v>
      </c>
      <c r="D278" s="106">
        <v>2</v>
      </c>
      <c r="E278" s="106">
        <v>1</v>
      </c>
      <c r="F278" s="105">
        <f t="shared" si="155"/>
        <v>19</v>
      </c>
      <c r="H278" s="103">
        <v>2</v>
      </c>
      <c r="I278" s="105">
        <f t="shared" si="166"/>
        <v>202</v>
      </c>
      <c r="J278" s="172">
        <v>19</v>
      </c>
      <c r="L278" s="172" t="s">
        <v>1115</v>
      </c>
      <c r="M278" s="172" t="s">
        <v>1131</v>
      </c>
      <c r="N278" s="103" t="s">
        <v>381</v>
      </c>
      <c r="O278" s="103" t="s">
        <v>1081</v>
      </c>
      <c r="P278" s="172">
        <v>0</v>
      </c>
      <c r="Q278" s="172">
        <v>12</v>
      </c>
      <c r="R278" s="103" t="s">
        <v>1031</v>
      </c>
      <c r="S278" s="103">
        <v>322020101</v>
      </c>
      <c r="T278" s="104" t="str">
        <f t="shared" si="157"/>
        <v>UITexture/TechProd/322020101.png</v>
      </c>
      <c r="U278" s="172" t="s">
        <v>1146</v>
      </c>
      <c r="V278" s="104">
        <f t="shared" si="168"/>
        <v>0</v>
      </c>
      <c r="Z278" s="172">
        <v>1</v>
      </c>
      <c r="AB278" s="102">
        <f ca="1">IFERROR(OFFSET(BLDG_FUNC_PARAM!$A$5,MATCH(AC278,BLDG_FUNC_PARAM!$J$5:$J$68,0)-1,0),0)</f>
        <v>122020001</v>
      </c>
      <c r="AC278" s="103" t="s">
        <v>956</v>
      </c>
      <c r="AD278" s="102">
        <v>170</v>
      </c>
      <c r="AN278" s="102">
        <v>0</v>
      </c>
      <c r="AO278" s="102">
        <v>0</v>
      </c>
      <c r="AT278" s="104">
        <f t="shared" si="167"/>
        <v>1140</v>
      </c>
      <c r="AW278" s="103">
        <v>19</v>
      </c>
      <c r="AY278" s="102">
        <v>1900</v>
      </c>
      <c r="AZ278" s="102">
        <v>190</v>
      </c>
      <c r="BA278" s="172">
        <v>0</v>
      </c>
      <c r="BC278" s="104">
        <f ca="1">IFERROR(OFFSET(ITEM_RES!$A$5,MATCH(BD278,ITEM_RES!$M$5:$M$84,0)-1,0),0)</f>
        <v>0</v>
      </c>
    </row>
    <row r="279" spans="1:55" x14ac:dyDescent="0.3">
      <c r="A279" s="107">
        <f t="shared" si="164"/>
        <v>322020120</v>
      </c>
      <c r="B279" s="106">
        <v>32</v>
      </c>
      <c r="C279" s="105">
        <f t="shared" si="165"/>
        <v>2</v>
      </c>
      <c r="D279" s="106">
        <v>2</v>
      </c>
      <c r="E279" s="106">
        <v>1</v>
      </c>
      <c r="F279" s="105">
        <f t="shared" si="155"/>
        <v>20</v>
      </c>
      <c r="H279" s="103">
        <v>2</v>
      </c>
      <c r="I279" s="105">
        <f t="shared" si="166"/>
        <v>202</v>
      </c>
      <c r="J279" s="172">
        <v>20</v>
      </c>
      <c r="L279" s="172" t="s">
        <v>1115</v>
      </c>
      <c r="M279" s="172" t="s">
        <v>1131</v>
      </c>
      <c r="N279" s="103" t="s">
        <v>381</v>
      </c>
      <c r="O279" s="103" t="s">
        <v>1081</v>
      </c>
      <c r="P279" s="172">
        <v>0</v>
      </c>
      <c r="Q279" s="172">
        <v>12</v>
      </c>
      <c r="R279" s="103" t="s">
        <v>1031</v>
      </c>
      <c r="S279" s="103">
        <v>322020101</v>
      </c>
      <c r="T279" s="104" t="str">
        <f t="shared" si="157"/>
        <v>UITexture/TechProd/322020101.png</v>
      </c>
      <c r="U279" s="172" t="s">
        <v>1146</v>
      </c>
      <c r="V279" s="104">
        <f t="shared" si="168"/>
        <v>0</v>
      </c>
      <c r="Z279" s="172">
        <v>1</v>
      </c>
      <c r="AB279" s="102">
        <f ca="1">IFERROR(OFFSET(BLDG_FUNC_PARAM!$A$5,MATCH(AC279,BLDG_FUNC_PARAM!$J$5:$J$68,0)-1,0),0)</f>
        <v>122020001</v>
      </c>
      <c r="AC279" s="103" t="s">
        <v>956</v>
      </c>
      <c r="AD279" s="102">
        <v>200</v>
      </c>
      <c r="AN279" s="102">
        <v>20</v>
      </c>
      <c r="AO279" s="102">
        <v>0</v>
      </c>
      <c r="AT279" s="104">
        <f t="shared" si="167"/>
        <v>1200</v>
      </c>
      <c r="AW279" s="103">
        <v>20</v>
      </c>
      <c r="AY279" s="102">
        <v>2000</v>
      </c>
      <c r="AZ279" s="102">
        <v>200</v>
      </c>
      <c r="BA279" s="172">
        <v>0</v>
      </c>
      <c r="BC279" s="104">
        <f ca="1">IFERROR(OFFSET(ITEM_RES!$A$5,MATCH(BD279,ITEM_RES!$M$5:$M$84,0)-1,0),0)</f>
        <v>0</v>
      </c>
    </row>
    <row r="280" spans="1:55" x14ac:dyDescent="0.3">
      <c r="A280" s="107">
        <f t="shared" si="164"/>
        <v>322020121</v>
      </c>
      <c r="B280" s="106">
        <v>32</v>
      </c>
      <c r="C280" s="105">
        <f t="shared" si="165"/>
        <v>2</v>
      </c>
      <c r="D280" s="106">
        <v>2</v>
      </c>
      <c r="E280" s="106">
        <v>1</v>
      </c>
      <c r="F280" s="105">
        <f t="shared" si="155"/>
        <v>21</v>
      </c>
      <c r="H280" s="103">
        <v>2</v>
      </c>
      <c r="I280" s="105">
        <f t="shared" si="166"/>
        <v>202</v>
      </c>
      <c r="J280" s="172">
        <v>21</v>
      </c>
      <c r="L280" s="172" t="s">
        <v>1115</v>
      </c>
      <c r="M280" s="172" t="s">
        <v>1131</v>
      </c>
      <c r="N280" s="103" t="s">
        <v>381</v>
      </c>
      <c r="O280" s="103" t="s">
        <v>1081</v>
      </c>
      <c r="P280" s="172">
        <v>0</v>
      </c>
      <c r="Q280" s="172">
        <v>12</v>
      </c>
      <c r="R280" s="103" t="s">
        <v>1031</v>
      </c>
      <c r="S280" s="103">
        <v>322020101</v>
      </c>
      <c r="T280" s="104" t="str">
        <f t="shared" si="157"/>
        <v>UITexture/TechProd/322020101.png</v>
      </c>
      <c r="U280" s="172" t="s">
        <v>1146</v>
      </c>
      <c r="V280" s="104">
        <f>W280*1000+X280</f>
        <v>0</v>
      </c>
      <c r="Z280" s="172">
        <v>1</v>
      </c>
      <c r="AB280" s="102">
        <f ca="1">IFERROR(OFFSET(BLDG_FUNC_PARAM!$A$5,MATCH(AC280,BLDG_FUNC_PARAM!$J$5:$J$68,0)-1,0),0)</f>
        <v>122020001</v>
      </c>
      <c r="AC280" s="103" t="s">
        <v>956</v>
      </c>
      <c r="AD280" s="102">
        <v>205</v>
      </c>
      <c r="AN280" s="102">
        <v>0</v>
      </c>
      <c r="AO280" s="102">
        <v>0</v>
      </c>
      <c r="AT280" s="104">
        <f t="shared" si="167"/>
        <v>1260</v>
      </c>
      <c r="AW280" s="103">
        <v>21</v>
      </c>
      <c r="AY280" s="102">
        <v>2100</v>
      </c>
      <c r="AZ280" s="102">
        <v>210</v>
      </c>
      <c r="BA280" s="172">
        <v>0</v>
      </c>
      <c r="BC280" s="104">
        <f ca="1">IFERROR(OFFSET(ITEM_RES!$A$5,MATCH(BD280,ITEM_RES!$M$5:$M$84,0)-1,0),0)</f>
        <v>0</v>
      </c>
    </row>
    <row r="281" spans="1:55" x14ac:dyDescent="0.3">
      <c r="A281" s="107">
        <f t="shared" si="164"/>
        <v>322020122</v>
      </c>
      <c r="B281" s="106">
        <v>32</v>
      </c>
      <c r="C281" s="105">
        <f t="shared" si="165"/>
        <v>2</v>
      </c>
      <c r="D281" s="106">
        <v>2</v>
      </c>
      <c r="E281" s="106">
        <v>1</v>
      </c>
      <c r="F281" s="105">
        <f t="shared" si="155"/>
        <v>22</v>
      </c>
      <c r="H281" s="103">
        <v>2</v>
      </c>
      <c r="I281" s="105">
        <f t="shared" si="166"/>
        <v>202</v>
      </c>
      <c r="J281" s="172">
        <v>22</v>
      </c>
      <c r="L281" s="172" t="s">
        <v>1115</v>
      </c>
      <c r="M281" s="172" t="s">
        <v>1131</v>
      </c>
      <c r="N281" s="103" t="s">
        <v>381</v>
      </c>
      <c r="O281" s="103" t="s">
        <v>1081</v>
      </c>
      <c r="P281" s="172">
        <v>0</v>
      </c>
      <c r="Q281" s="172">
        <v>12</v>
      </c>
      <c r="R281" s="103" t="s">
        <v>1031</v>
      </c>
      <c r="S281" s="103">
        <v>322020101</v>
      </c>
      <c r="T281" s="104" t="str">
        <f t="shared" si="157"/>
        <v>UITexture/TechProd/322020101.png</v>
      </c>
      <c r="U281" s="172" t="s">
        <v>1146</v>
      </c>
      <c r="V281" s="104">
        <f t="shared" ref="V281:V284" si="169">W281*1000+X281</f>
        <v>0</v>
      </c>
      <c r="Z281" s="172">
        <v>1</v>
      </c>
      <c r="AB281" s="102">
        <f ca="1">IFERROR(OFFSET(BLDG_FUNC_PARAM!$A$5,MATCH(AC281,BLDG_FUNC_PARAM!$J$5:$J$68,0)-1,0),0)</f>
        <v>122020001</v>
      </c>
      <c r="AC281" s="103" t="s">
        <v>956</v>
      </c>
      <c r="AD281" s="102">
        <v>210</v>
      </c>
      <c r="AN281" s="102">
        <v>0</v>
      </c>
      <c r="AO281" s="102">
        <v>0</v>
      </c>
      <c r="AT281" s="104">
        <f t="shared" si="167"/>
        <v>1320</v>
      </c>
      <c r="AW281" s="103">
        <v>22</v>
      </c>
      <c r="AY281" s="102">
        <v>2200</v>
      </c>
      <c r="AZ281" s="102">
        <v>220</v>
      </c>
      <c r="BA281" s="172">
        <v>0</v>
      </c>
      <c r="BC281" s="104">
        <f ca="1">IFERROR(OFFSET(ITEM_RES!$A$5,MATCH(BD281,ITEM_RES!$M$5:$M$84,0)-1,0),0)</f>
        <v>0</v>
      </c>
    </row>
    <row r="282" spans="1:55" x14ac:dyDescent="0.3">
      <c r="A282" s="107">
        <f t="shared" si="164"/>
        <v>322020123</v>
      </c>
      <c r="B282" s="106">
        <v>32</v>
      </c>
      <c r="C282" s="105">
        <f t="shared" si="165"/>
        <v>2</v>
      </c>
      <c r="D282" s="106">
        <v>2</v>
      </c>
      <c r="E282" s="106">
        <v>1</v>
      </c>
      <c r="F282" s="105">
        <f t="shared" si="155"/>
        <v>23</v>
      </c>
      <c r="H282" s="103">
        <v>2</v>
      </c>
      <c r="I282" s="105">
        <f t="shared" si="166"/>
        <v>202</v>
      </c>
      <c r="J282" s="172">
        <v>23</v>
      </c>
      <c r="L282" s="172" t="s">
        <v>1115</v>
      </c>
      <c r="M282" s="172" t="s">
        <v>1131</v>
      </c>
      <c r="N282" s="103" t="s">
        <v>381</v>
      </c>
      <c r="O282" s="103" t="s">
        <v>1081</v>
      </c>
      <c r="P282" s="172">
        <v>0</v>
      </c>
      <c r="Q282" s="172">
        <v>12</v>
      </c>
      <c r="R282" s="103" t="s">
        <v>1031</v>
      </c>
      <c r="S282" s="103">
        <v>322020101</v>
      </c>
      <c r="T282" s="104" t="str">
        <f t="shared" si="157"/>
        <v>UITexture/TechProd/322020101.png</v>
      </c>
      <c r="U282" s="172" t="s">
        <v>1146</v>
      </c>
      <c r="V282" s="104">
        <f t="shared" si="169"/>
        <v>0</v>
      </c>
      <c r="Z282" s="172">
        <v>1</v>
      </c>
      <c r="AB282" s="102">
        <f ca="1">IFERROR(OFFSET(BLDG_FUNC_PARAM!$A$5,MATCH(AC282,BLDG_FUNC_PARAM!$J$5:$J$68,0)-1,0),0)</f>
        <v>122020001</v>
      </c>
      <c r="AC282" s="103" t="s">
        <v>956</v>
      </c>
      <c r="AD282" s="102">
        <v>215</v>
      </c>
      <c r="AN282" s="102">
        <v>0</v>
      </c>
      <c r="AO282" s="102">
        <v>0</v>
      </c>
      <c r="AT282" s="104">
        <f t="shared" si="167"/>
        <v>1380</v>
      </c>
      <c r="AW282" s="103">
        <v>23</v>
      </c>
      <c r="AY282" s="102">
        <v>2300</v>
      </c>
      <c r="AZ282" s="102">
        <v>230</v>
      </c>
      <c r="BA282" s="172">
        <v>0</v>
      </c>
      <c r="BC282" s="104">
        <f ca="1">IFERROR(OFFSET(ITEM_RES!$A$5,MATCH(BD282,ITEM_RES!$M$5:$M$84,0)-1,0),0)</f>
        <v>0</v>
      </c>
    </row>
    <row r="283" spans="1:55" x14ac:dyDescent="0.3">
      <c r="A283" s="107">
        <f t="shared" si="164"/>
        <v>322020124</v>
      </c>
      <c r="B283" s="106">
        <v>32</v>
      </c>
      <c r="C283" s="105">
        <f t="shared" si="165"/>
        <v>2</v>
      </c>
      <c r="D283" s="106">
        <v>2</v>
      </c>
      <c r="E283" s="106">
        <v>1</v>
      </c>
      <c r="F283" s="105">
        <f t="shared" si="155"/>
        <v>24</v>
      </c>
      <c r="H283" s="103">
        <v>2</v>
      </c>
      <c r="I283" s="105">
        <f t="shared" si="166"/>
        <v>202</v>
      </c>
      <c r="J283" s="172">
        <v>24</v>
      </c>
      <c r="L283" s="172" t="s">
        <v>1115</v>
      </c>
      <c r="M283" s="172" t="s">
        <v>1131</v>
      </c>
      <c r="N283" s="103" t="s">
        <v>381</v>
      </c>
      <c r="O283" s="103" t="s">
        <v>1081</v>
      </c>
      <c r="P283" s="172">
        <v>0</v>
      </c>
      <c r="Q283" s="172">
        <v>12</v>
      </c>
      <c r="R283" s="103" t="s">
        <v>1031</v>
      </c>
      <c r="S283" s="103">
        <v>322020101</v>
      </c>
      <c r="T283" s="104" t="str">
        <f t="shared" si="157"/>
        <v>UITexture/TechProd/322020101.png</v>
      </c>
      <c r="U283" s="172" t="s">
        <v>1146</v>
      </c>
      <c r="V283" s="104">
        <f t="shared" si="169"/>
        <v>0</v>
      </c>
      <c r="Z283" s="172">
        <v>1</v>
      </c>
      <c r="AB283" s="102">
        <f ca="1">IFERROR(OFFSET(BLDG_FUNC_PARAM!$A$5,MATCH(AC283,BLDG_FUNC_PARAM!$J$5:$J$68,0)-1,0),0)</f>
        <v>122020001</v>
      </c>
      <c r="AC283" s="103" t="s">
        <v>956</v>
      </c>
      <c r="AD283" s="102">
        <v>220</v>
      </c>
      <c r="AN283" s="102">
        <v>0</v>
      </c>
      <c r="AO283" s="102">
        <v>0</v>
      </c>
      <c r="AT283" s="104">
        <f t="shared" si="167"/>
        <v>1440</v>
      </c>
      <c r="AW283" s="103">
        <v>24</v>
      </c>
      <c r="AY283" s="102">
        <v>2400</v>
      </c>
      <c r="AZ283" s="102">
        <v>240</v>
      </c>
      <c r="BA283" s="172">
        <v>0</v>
      </c>
      <c r="BC283" s="104">
        <f ca="1">IFERROR(OFFSET(ITEM_RES!$A$5,MATCH(BD283,ITEM_RES!$M$5:$M$84,0)-1,0),0)</f>
        <v>0</v>
      </c>
    </row>
    <row r="284" spans="1:55" x14ac:dyDescent="0.3">
      <c r="A284" s="107">
        <f t="shared" si="164"/>
        <v>322020125</v>
      </c>
      <c r="B284" s="106">
        <v>32</v>
      </c>
      <c r="C284" s="105">
        <f t="shared" si="165"/>
        <v>2</v>
      </c>
      <c r="D284" s="106">
        <v>2</v>
      </c>
      <c r="E284" s="106">
        <v>1</v>
      </c>
      <c r="F284" s="105">
        <f t="shared" si="155"/>
        <v>25</v>
      </c>
      <c r="H284" s="103">
        <v>2</v>
      </c>
      <c r="I284" s="105">
        <f t="shared" si="166"/>
        <v>202</v>
      </c>
      <c r="J284" s="172">
        <v>25</v>
      </c>
      <c r="L284" s="172" t="s">
        <v>1115</v>
      </c>
      <c r="M284" s="172" t="s">
        <v>1131</v>
      </c>
      <c r="N284" s="103" t="s">
        <v>381</v>
      </c>
      <c r="O284" s="103" t="s">
        <v>1081</v>
      </c>
      <c r="P284" s="172">
        <v>0</v>
      </c>
      <c r="Q284" s="172">
        <v>12</v>
      </c>
      <c r="R284" s="103" t="s">
        <v>1031</v>
      </c>
      <c r="S284" s="103">
        <v>322020101</v>
      </c>
      <c r="T284" s="104" t="str">
        <f t="shared" si="157"/>
        <v>UITexture/TechProd/322020101.png</v>
      </c>
      <c r="U284" s="172" t="s">
        <v>1146</v>
      </c>
      <c r="V284" s="104">
        <f t="shared" si="169"/>
        <v>0</v>
      </c>
      <c r="Z284" s="172">
        <v>1</v>
      </c>
      <c r="AB284" s="102">
        <f ca="1">IFERROR(OFFSET(BLDG_FUNC_PARAM!$A$5,MATCH(AC284,BLDG_FUNC_PARAM!$J$5:$J$68,0)-1,0),0)</f>
        <v>122020001</v>
      </c>
      <c r="AC284" s="103" t="s">
        <v>956</v>
      </c>
      <c r="AD284" s="102">
        <v>250</v>
      </c>
      <c r="AN284" s="102">
        <v>24</v>
      </c>
      <c r="AO284" s="102">
        <v>0</v>
      </c>
      <c r="AT284" s="104">
        <f t="shared" si="167"/>
        <v>1500</v>
      </c>
      <c r="AW284" s="103">
        <v>25</v>
      </c>
      <c r="AY284" s="102">
        <v>2500</v>
      </c>
      <c r="AZ284" s="102">
        <v>250</v>
      </c>
      <c r="BA284" s="172">
        <v>0</v>
      </c>
      <c r="BC284" s="104">
        <f ca="1">IFERROR(OFFSET(ITEM_RES!$A$5,MATCH(BD284,ITEM_RES!$M$5:$M$84,0)-1,0),0)</f>
        <v>0</v>
      </c>
    </row>
    <row r="285" spans="1:55" x14ac:dyDescent="0.3">
      <c r="A285" s="107">
        <f t="shared" ref="A285:A289" si="170">B285*10000000+C285*1000000+D285*10000+E285*100+F285</f>
        <v>322020126</v>
      </c>
      <c r="B285" s="106">
        <v>32</v>
      </c>
      <c r="C285" s="105">
        <f t="shared" ref="C285:C289" si="171">H285</f>
        <v>2</v>
      </c>
      <c r="D285" s="106">
        <v>2</v>
      </c>
      <c r="E285" s="106">
        <v>1</v>
      </c>
      <c r="F285" s="105">
        <f t="shared" si="155"/>
        <v>26</v>
      </c>
      <c r="H285" s="103">
        <v>2</v>
      </c>
      <c r="I285" s="105">
        <f t="shared" ref="I285:I289" si="172">C285*100+D285</f>
        <v>202</v>
      </c>
      <c r="J285" s="172">
        <v>26</v>
      </c>
      <c r="L285" s="172" t="s">
        <v>1115</v>
      </c>
      <c r="M285" s="172" t="s">
        <v>1131</v>
      </c>
      <c r="N285" s="103" t="s">
        <v>381</v>
      </c>
      <c r="O285" s="103" t="s">
        <v>1081</v>
      </c>
      <c r="P285" s="172">
        <v>0</v>
      </c>
      <c r="Q285" s="172">
        <v>12</v>
      </c>
      <c r="R285" s="103" t="s">
        <v>1031</v>
      </c>
      <c r="S285" s="103">
        <v>322020101</v>
      </c>
      <c r="T285" s="104" t="str">
        <f t="shared" si="157"/>
        <v>UITexture/TechProd/322020101.png</v>
      </c>
      <c r="U285" s="172" t="s">
        <v>1146</v>
      </c>
      <c r="V285" s="104">
        <f>W285*1000+X285</f>
        <v>0</v>
      </c>
      <c r="Z285" s="172">
        <v>1</v>
      </c>
      <c r="AB285" s="102">
        <f ca="1">IFERROR(OFFSET(BLDG_FUNC_PARAM!$A$5,MATCH(AC285,BLDG_FUNC_PARAM!$J$5:$J$68,0)-1,0),0)</f>
        <v>122020001</v>
      </c>
      <c r="AC285" s="103" t="s">
        <v>956</v>
      </c>
      <c r="AD285" s="102">
        <v>255</v>
      </c>
      <c r="AN285" s="102">
        <v>0</v>
      </c>
      <c r="AO285" s="102">
        <v>0</v>
      </c>
      <c r="AT285" s="104">
        <f t="shared" ref="AT285:AT289" si="173">((AU285*24+AV285)*60+AW285)*60+AX285</f>
        <v>1560</v>
      </c>
      <c r="AW285" s="103">
        <v>26</v>
      </c>
      <c r="AY285" s="102">
        <v>2600</v>
      </c>
      <c r="AZ285" s="102">
        <v>260</v>
      </c>
      <c r="BA285" s="172">
        <v>0</v>
      </c>
      <c r="BC285" s="104">
        <f ca="1">IFERROR(OFFSET(ITEM_RES!$A$5,MATCH(BD285,ITEM_RES!$M$5:$M$84,0)-1,0),0)</f>
        <v>0</v>
      </c>
    </row>
    <row r="286" spans="1:55" x14ac:dyDescent="0.3">
      <c r="A286" s="107">
        <f t="shared" si="170"/>
        <v>322020127</v>
      </c>
      <c r="B286" s="106">
        <v>32</v>
      </c>
      <c r="C286" s="105">
        <f t="shared" si="171"/>
        <v>2</v>
      </c>
      <c r="D286" s="106">
        <v>2</v>
      </c>
      <c r="E286" s="106">
        <v>1</v>
      </c>
      <c r="F286" s="105">
        <f t="shared" si="155"/>
        <v>27</v>
      </c>
      <c r="H286" s="103">
        <v>2</v>
      </c>
      <c r="I286" s="105">
        <f t="shared" si="172"/>
        <v>202</v>
      </c>
      <c r="J286" s="172">
        <v>27</v>
      </c>
      <c r="L286" s="172" t="s">
        <v>1115</v>
      </c>
      <c r="M286" s="172" t="s">
        <v>1131</v>
      </c>
      <c r="N286" s="103" t="s">
        <v>381</v>
      </c>
      <c r="O286" s="103" t="s">
        <v>1081</v>
      </c>
      <c r="P286" s="172">
        <v>0</v>
      </c>
      <c r="Q286" s="172">
        <v>12</v>
      </c>
      <c r="R286" s="103" t="s">
        <v>1031</v>
      </c>
      <c r="S286" s="103">
        <v>322020101</v>
      </c>
      <c r="T286" s="104" t="str">
        <f t="shared" si="157"/>
        <v>UITexture/TechProd/322020101.png</v>
      </c>
      <c r="U286" s="172" t="s">
        <v>1146</v>
      </c>
      <c r="V286" s="104">
        <f t="shared" ref="V286:V289" si="174">W286*1000+X286</f>
        <v>0</v>
      </c>
      <c r="Z286" s="172">
        <v>1</v>
      </c>
      <c r="AB286" s="102">
        <f ca="1">IFERROR(OFFSET(BLDG_FUNC_PARAM!$A$5,MATCH(AC286,BLDG_FUNC_PARAM!$J$5:$J$68,0)-1,0),0)</f>
        <v>122020001</v>
      </c>
      <c r="AC286" s="103" t="s">
        <v>956</v>
      </c>
      <c r="AD286" s="102">
        <v>260</v>
      </c>
      <c r="AN286" s="102">
        <v>0</v>
      </c>
      <c r="AO286" s="102">
        <v>0</v>
      </c>
      <c r="AT286" s="104">
        <f t="shared" si="173"/>
        <v>1620</v>
      </c>
      <c r="AW286" s="103">
        <v>27</v>
      </c>
      <c r="AY286" s="102">
        <v>2700</v>
      </c>
      <c r="AZ286" s="102">
        <v>270</v>
      </c>
      <c r="BA286" s="172">
        <v>0</v>
      </c>
      <c r="BC286" s="104">
        <f ca="1">IFERROR(OFFSET(ITEM_RES!$A$5,MATCH(BD286,ITEM_RES!$M$5:$M$84,0)-1,0),0)</f>
        <v>0</v>
      </c>
    </row>
    <row r="287" spans="1:55" x14ac:dyDescent="0.3">
      <c r="A287" s="107">
        <f t="shared" si="170"/>
        <v>322020128</v>
      </c>
      <c r="B287" s="106">
        <v>32</v>
      </c>
      <c r="C287" s="105">
        <f t="shared" si="171"/>
        <v>2</v>
      </c>
      <c r="D287" s="106">
        <v>2</v>
      </c>
      <c r="E287" s="106">
        <v>1</v>
      </c>
      <c r="F287" s="105">
        <f t="shared" si="155"/>
        <v>28</v>
      </c>
      <c r="H287" s="103">
        <v>2</v>
      </c>
      <c r="I287" s="105">
        <f t="shared" si="172"/>
        <v>202</v>
      </c>
      <c r="J287" s="172">
        <v>28</v>
      </c>
      <c r="L287" s="172" t="s">
        <v>1115</v>
      </c>
      <c r="M287" s="172" t="s">
        <v>1131</v>
      </c>
      <c r="N287" s="103" t="s">
        <v>381</v>
      </c>
      <c r="O287" s="103" t="s">
        <v>1081</v>
      </c>
      <c r="P287" s="172">
        <v>0</v>
      </c>
      <c r="Q287" s="172">
        <v>12</v>
      </c>
      <c r="R287" s="103" t="s">
        <v>1031</v>
      </c>
      <c r="S287" s="103">
        <v>322020101</v>
      </c>
      <c r="T287" s="104" t="str">
        <f t="shared" si="157"/>
        <v>UITexture/TechProd/322020101.png</v>
      </c>
      <c r="U287" s="172" t="s">
        <v>1146</v>
      </c>
      <c r="V287" s="104">
        <f t="shared" si="174"/>
        <v>0</v>
      </c>
      <c r="Z287" s="172">
        <v>1</v>
      </c>
      <c r="AB287" s="102">
        <f ca="1">IFERROR(OFFSET(BLDG_FUNC_PARAM!$A$5,MATCH(AC287,BLDG_FUNC_PARAM!$J$5:$J$68,0)-1,0),0)</f>
        <v>122020001</v>
      </c>
      <c r="AC287" s="103" t="s">
        <v>956</v>
      </c>
      <c r="AD287" s="102">
        <v>265</v>
      </c>
      <c r="AN287" s="102">
        <v>0</v>
      </c>
      <c r="AO287" s="102">
        <v>0</v>
      </c>
      <c r="AT287" s="104">
        <f t="shared" si="173"/>
        <v>1680</v>
      </c>
      <c r="AW287" s="103">
        <v>28</v>
      </c>
      <c r="AY287" s="102">
        <v>2800</v>
      </c>
      <c r="AZ287" s="102">
        <v>280</v>
      </c>
      <c r="BA287" s="172">
        <v>0</v>
      </c>
      <c r="BC287" s="104">
        <f ca="1">IFERROR(OFFSET(ITEM_RES!$A$5,MATCH(BD287,ITEM_RES!$M$5:$M$84,0)-1,0),0)</f>
        <v>0</v>
      </c>
    </row>
    <row r="288" spans="1:55" x14ac:dyDescent="0.3">
      <c r="A288" s="107">
        <f t="shared" si="170"/>
        <v>322020129</v>
      </c>
      <c r="B288" s="106">
        <v>32</v>
      </c>
      <c r="C288" s="105">
        <f t="shared" si="171"/>
        <v>2</v>
      </c>
      <c r="D288" s="106">
        <v>2</v>
      </c>
      <c r="E288" s="106">
        <v>1</v>
      </c>
      <c r="F288" s="105">
        <f t="shared" si="155"/>
        <v>29</v>
      </c>
      <c r="H288" s="103">
        <v>2</v>
      </c>
      <c r="I288" s="105">
        <f t="shared" si="172"/>
        <v>202</v>
      </c>
      <c r="J288" s="172">
        <v>29</v>
      </c>
      <c r="L288" s="172" t="s">
        <v>1115</v>
      </c>
      <c r="M288" s="172" t="s">
        <v>1131</v>
      </c>
      <c r="N288" s="103" t="s">
        <v>381</v>
      </c>
      <c r="O288" s="103" t="s">
        <v>1081</v>
      </c>
      <c r="P288" s="172">
        <v>0</v>
      </c>
      <c r="Q288" s="172">
        <v>12</v>
      </c>
      <c r="R288" s="103" t="s">
        <v>1031</v>
      </c>
      <c r="S288" s="103">
        <v>322020101</v>
      </c>
      <c r="T288" s="104" t="str">
        <f t="shared" si="157"/>
        <v>UITexture/TechProd/322020101.png</v>
      </c>
      <c r="U288" s="172" t="s">
        <v>1146</v>
      </c>
      <c r="V288" s="104">
        <f t="shared" si="174"/>
        <v>0</v>
      </c>
      <c r="Z288" s="172">
        <v>1</v>
      </c>
      <c r="AB288" s="102">
        <f ca="1">IFERROR(OFFSET(BLDG_FUNC_PARAM!$A$5,MATCH(AC288,BLDG_FUNC_PARAM!$J$5:$J$68,0)-1,0),0)</f>
        <v>122020001</v>
      </c>
      <c r="AC288" s="103" t="s">
        <v>956</v>
      </c>
      <c r="AD288" s="102">
        <v>270</v>
      </c>
      <c r="AN288" s="102">
        <v>0</v>
      </c>
      <c r="AO288" s="102">
        <v>0</v>
      </c>
      <c r="AT288" s="104">
        <f t="shared" si="173"/>
        <v>1740</v>
      </c>
      <c r="AW288" s="103">
        <v>29</v>
      </c>
      <c r="AY288" s="102">
        <v>2900</v>
      </c>
      <c r="AZ288" s="102">
        <v>290</v>
      </c>
      <c r="BA288" s="172">
        <v>0</v>
      </c>
      <c r="BC288" s="104">
        <f ca="1">IFERROR(OFFSET(ITEM_RES!$A$5,MATCH(BD288,ITEM_RES!$M$5:$M$84,0)-1,0),0)</f>
        <v>0</v>
      </c>
    </row>
    <row r="289" spans="1:55" x14ac:dyDescent="0.3">
      <c r="A289" s="107">
        <f t="shared" si="170"/>
        <v>322020130</v>
      </c>
      <c r="B289" s="106">
        <v>32</v>
      </c>
      <c r="C289" s="105">
        <f t="shared" si="171"/>
        <v>2</v>
      </c>
      <c r="D289" s="106">
        <v>2</v>
      </c>
      <c r="E289" s="106">
        <v>1</v>
      </c>
      <c r="F289" s="105">
        <f t="shared" si="155"/>
        <v>30</v>
      </c>
      <c r="H289" s="103">
        <v>2</v>
      </c>
      <c r="I289" s="105">
        <f t="shared" si="172"/>
        <v>202</v>
      </c>
      <c r="J289" s="172">
        <v>30</v>
      </c>
      <c r="L289" s="172" t="s">
        <v>1115</v>
      </c>
      <c r="M289" s="172" t="s">
        <v>1131</v>
      </c>
      <c r="N289" s="103" t="s">
        <v>381</v>
      </c>
      <c r="O289" s="103" t="s">
        <v>1081</v>
      </c>
      <c r="P289" s="172">
        <v>0</v>
      </c>
      <c r="Q289" s="172">
        <v>12</v>
      </c>
      <c r="R289" s="103" t="s">
        <v>1031</v>
      </c>
      <c r="S289" s="103">
        <v>322020101</v>
      </c>
      <c r="T289" s="104" t="str">
        <f t="shared" si="157"/>
        <v>UITexture/TechProd/322020101.png</v>
      </c>
      <c r="U289" s="172" t="s">
        <v>1146</v>
      </c>
      <c r="V289" s="104">
        <f t="shared" si="174"/>
        <v>0</v>
      </c>
      <c r="Z289" s="172">
        <v>1</v>
      </c>
      <c r="AB289" s="102">
        <f ca="1">IFERROR(OFFSET(BLDG_FUNC_PARAM!$A$5,MATCH(AC289,BLDG_FUNC_PARAM!$J$5:$J$68,0)-1,0),0)</f>
        <v>122020001</v>
      </c>
      <c r="AC289" s="103" t="s">
        <v>956</v>
      </c>
      <c r="AD289" s="102">
        <v>300</v>
      </c>
      <c r="AN289" s="102">
        <v>29</v>
      </c>
      <c r="AO289" s="102">
        <v>0</v>
      </c>
      <c r="AT289" s="104">
        <f t="shared" si="173"/>
        <v>1800</v>
      </c>
      <c r="AW289" s="103">
        <v>30</v>
      </c>
      <c r="AY289" s="102">
        <v>3000</v>
      </c>
      <c r="AZ289" s="102">
        <v>300</v>
      </c>
      <c r="BA289" s="172">
        <v>0</v>
      </c>
      <c r="BC289" s="104">
        <f ca="1">IFERROR(OFFSET(ITEM_RES!$A$5,MATCH(BD289,ITEM_RES!$M$5:$M$84,0)-1,0),0)</f>
        <v>0</v>
      </c>
    </row>
    <row r="290" spans="1:55" x14ac:dyDescent="0.3">
      <c r="A290" s="107">
        <f t="shared" si="85"/>
        <v>322020201</v>
      </c>
      <c r="B290" s="106">
        <v>32</v>
      </c>
      <c r="C290" s="105">
        <f t="shared" ref="C290:C294" si="175">H290</f>
        <v>2</v>
      </c>
      <c r="D290" s="106">
        <v>2</v>
      </c>
      <c r="E290" s="106">
        <v>2</v>
      </c>
      <c r="F290" s="105">
        <f t="shared" si="155"/>
        <v>1</v>
      </c>
      <c r="H290" s="103">
        <v>2</v>
      </c>
      <c r="I290" s="105">
        <f t="shared" ref="I290:I294" si="176">C290*100+D290</f>
        <v>202</v>
      </c>
      <c r="J290" s="172">
        <v>1</v>
      </c>
      <c r="L290" s="172" t="s">
        <v>1115</v>
      </c>
      <c r="M290" s="172" t="s">
        <v>1132</v>
      </c>
      <c r="N290" s="103" t="s">
        <v>381</v>
      </c>
      <c r="O290" s="103" t="s">
        <v>1082</v>
      </c>
      <c r="P290" s="172">
        <v>1</v>
      </c>
      <c r="Q290" s="172">
        <v>12</v>
      </c>
      <c r="R290" s="103" t="s">
        <v>1031</v>
      </c>
      <c r="S290" s="103">
        <v>322020201</v>
      </c>
      <c r="T290" s="104" t="str">
        <f t="shared" si="157"/>
        <v>UITexture/TechProd/322020201.png</v>
      </c>
      <c r="U290" s="172" t="s">
        <v>1147</v>
      </c>
      <c r="V290" s="104">
        <f>W290*1000+X290</f>
        <v>4002</v>
      </c>
      <c r="W290" s="103">
        <v>4</v>
      </c>
      <c r="X290" s="103">
        <v>2</v>
      </c>
      <c r="Z290" s="172">
        <v>1</v>
      </c>
      <c r="AB290" s="102">
        <f ca="1">IFERROR(OFFSET(BLDG_FUNC_PARAM!$A$5,MATCH(AC290,BLDG_FUNC_PARAM!$J$5:$J$68,0)-1,0),0)</f>
        <v>122020002</v>
      </c>
      <c r="AC290" s="103" t="s">
        <v>965</v>
      </c>
      <c r="AD290" s="102">
        <v>10</v>
      </c>
      <c r="AN290" s="102">
        <v>2</v>
      </c>
      <c r="AO290" s="102">
        <v>0</v>
      </c>
      <c r="AT290" s="104">
        <f t="shared" ref="AT290:AT294" si="177">((AU290*24+AV290)*60+AW290)*60+AX290</f>
        <v>60</v>
      </c>
      <c r="AW290" s="103">
        <v>1</v>
      </c>
      <c r="AY290" s="102">
        <v>100</v>
      </c>
      <c r="AZ290" s="102">
        <v>10</v>
      </c>
      <c r="BA290" s="172">
        <v>0</v>
      </c>
      <c r="BC290" s="104">
        <f ca="1">IFERROR(OFFSET(ITEM_RES!$A$5,MATCH(BD290,ITEM_RES!$M$5:$M$84,0)-1,0),0)</f>
        <v>0</v>
      </c>
    </row>
    <row r="291" spans="1:55" x14ac:dyDescent="0.3">
      <c r="A291" s="107">
        <f t="shared" si="85"/>
        <v>322020202</v>
      </c>
      <c r="B291" s="106">
        <v>32</v>
      </c>
      <c r="C291" s="105">
        <f t="shared" si="175"/>
        <v>2</v>
      </c>
      <c r="D291" s="106">
        <v>2</v>
      </c>
      <c r="E291" s="106">
        <v>2</v>
      </c>
      <c r="F291" s="105">
        <f t="shared" si="155"/>
        <v>2</v>
      </c>
      <c r="H291" s="103">
        <v>2</v>
      </c>
      <c r="I291" s="105">
        <f t="shared" si="176"/>
        <v>202</v>
      </c>
      <c r="J291" s="172">
        <v>2</v>
      </c>
      <c r="L291" s="172" t="s">
        <v>1115</v>
      </c>
      <c r="M291" s="172" t="s">
        <v>1132</v>
      </c>
      <c r="N291" s="103" t="s">
        <v>381</v>
      </c>
      <c r="O291" s="103" t="s">
        <v>1082</v>
      </c>
      <c r="P291" s="172">
        <v>1</v>
      </c>
      <c r="Q291" s="172">
        <v>12</v>
      </c>
      <c r="R291" s="103" t="s">
        <v>1031</v>
      </c>
      <c r="S291" s="103">
        <v>322020201</v>
      </c>
      <c r="T291" s="104" t="str">
        <f t="shared" si="157"/>
        <v>UITexture/TechProd/322020201.png</v>
      </c>
      <c r="U291" s="172" t="s">
        <v>1147</v>
      </c>
      <c r="V291" s="104">
        <f t="shared" ref="V291:V294" si="178">W291*1000+X291</f>
        <v>0</v>
      </c>
      <c r="Z291" s="172">
        <v>1</v>
      </c>
      <c r="AB291" s="102">
        <f ca="1">IFERROR(OFFSET(BLDG_FUNC_PARAM!$A$5,MATCH(AC291,BLDG_FUNC_PARAM!$J$5:$J$68,0)-1,0),0)</f>
        <v>122020002</v>
      </c>
      <c r="AC291" s="103" t="s">
        <v>965</v>
      </c>
      <c r="AD291" s="102">
        <v>20</v>
      </c>
      <c r="AN291" s="102">
        <v>0</v>
      </c>
      <c r="AO291" s="102">
        <v>0</v>
      </c>
      <c r="AT291" s="104">
        <f t="shared" si="177"/>
        <v>120</v>
      </c>
      <c r="AW291" s="103">
        <v>2</v>
      </c>
      <c r="AY291" s="102">
        <v>200</v>
      </c>
      <c r="AZ291" s="102">
        <v>20</v>
      </c>
      <c r="BA291" s="172">
        <v>0</v>
      </c>
      <c r="BC291" s="104">
        <f ca="1">IFERROR(OFFSET(ITEM_RES!$A$5,MATCH(BD291,ITEM_RES!$M$5:$M$84,0)-1,0),0)</f>
        <v>0</v>
      </c>
    </row>
    <row r="292" spans="1:55" x14ac:dyDescent="0.3">
      <c r="A292" s="107">
        <f t="shared" si="85"/>
        <v>322020203</v>
      </c>
      <c r="B292" s="106">
        <v>32</v>
      </c>
      <c r="C292" s="105">
        <f t="shared" si="175"/>
        <v>2</v>
      </c>
      <c r="D292" s="106">
        <v>2</v>
      </c>
      <c r="E292" s="106">
        <v>2</v>
      </c>
      <c r="F292" s="105">
        <f t="shared" si="155"/>
        <v>3</v>
      </c>
      <c r="H292" s="103">
        <v>2</v>
      </c>
      <c r="I292" s="105">
        <f t="shared" si="176"/>
        <v>202</v>
      </c>
      <c r="J292" s="172">
        <v>3</v>
      </c>
      <c r="L292" s="172" t="s">
        <v>1115</v>
      </c>
      <c r="M292" s="172" t="s">
        <v>1132</v>
      </c>
      <c r="N292" s="103" t="s">
        <v>381</v>
      </c>
      <c r="O292" s="103" t="s">
        <v>1082</v>
      </c>
      <c r="P292" s="172">
        <v>1</v>
      </c>
      <c r="Q292" s="172">
        <v>12</v>
      </c>
      <c r="R292" s="103" t="s">
        <v>1031</v>
      </c>
      <c r="S292" s="103">
        <v>322020201</v>
      </c>
      <c r="T292" s="104" t="str">
        <f t="shared" si="157"/>
        <v>UITexture/TechProd/322020201.png</v>
      </c>
      <c r="U292" s="172" t="s">
        <v>1147</v>
      </c>
      <c r="V292" s="104">
        <f t="shared" si="178"/>
        <v>0</v>
      </c>
      <c r="Z292" s="172">
        <v>1</v>
      </c>
      <c r="AB292" s="102">
        <f ca="1">IFERROR(OFFSET(BLDG_FUNC_PARAM!$A$5,MATCH(AC292,BLDG_FUNC_PARAM!$J$5:$J$68,0)-1,0),0)</f>
        <v>122020002</v>
      </c>
      <c r="AC292" s="103" t="s">
        <v>965</v>
      </c>
      <c r="AD292" s="102">
        <v>30</v>
      </c>
      <c r="AN292" s="102">
        <v>0</v>
      </c>
      <c r="AO292" s="102">
        <v>0</v>
      </c>
      <c r="AT292" s="104">
        <f t="shared" si="177"/>
        <v>180</v>
      </c>
      <c r="AW292" s="103">
        <v>3</v>
      </c>
      <c r="AY292" s="102">
        <v>300</v>
      </c>
      <c r="AZ292" s="102">
        <v>30</v>
      </c>
      <c r="BA292" s="172">
        <v>0</v>
      </c>
      <c r="BC292" s="104">
        <f ca="1">IFERROR(OFFSET(ITEM_RES!$A$5,MATCH(BD292,ITEM_RES!$M$5:$M$84,0)-1,0),0)</f>
        <v>0</v>
      </c>
    </row>
    <row r="293" spans="1:55" x14ac:dyDescent="0.3">
      <c r="A293" s="107">
        <f t="shared" si="85"/>
        <v>322020204</v>
      </c>
      <c r="B293" s="106">
        <v>32</v>
      </c>
      <c r="C293" s="105">
        <f t="shared" si="175"/>
        <v>2</v>
      </c>
      <c r="D293" s="106">
        <v>2</v>
      </c>
      <c r="E293" s="106">
        <v>2</v>
      </c>
      <c r="F293" s="105">
        <f t="shared" si="155"/>
        <v>4</v>
      </c>
      <c r="H293" s="103">
        <v>2</v>
      </c>
      <c r="I293" s="105">
        <f t="shared" si="176"/>
        <v>202</v>
      </c>
      <c r="J293" s="172">
        <v>4</v>
      </c>
      <c r="L293" s="172" t="s">
        <v>1115</v>
      </c>
      <c r="M293" s="172" t="s">
        <v>1132</v>
      </c>
      <c r="N293" s="103" t="s">
        <v>381</v>
      </c>
      <c r="O293" s="103" t="s">
        <v>1082</v>
      </c>
      <c r="P293" s="172">
        <v>1</v>
      </c>
      <c r="Q293" s="172">
        <v>12</v>
      </c>
      <c r="R293" s="103" t="s">
        <v>1031</v>
      </c>
      <c r="S293" s="103">
        <v>322020201</v>
      </c>
      <c r="T293" s="104" t="str">
        <f t="shared" si="157"/>
        <v>UITexture/TechProd/322020201.png</v>
      </c>
      <c r="U293" s="172" t="s">
        <v>1147</v>
      </c>
      <c r="V293" s="104">
        <f t="shared" si="178"/>
        <v>0</v>
      </c>
      <c r="Z293" s="172">
        <v>1</v>
      </c>
      <c r="AB293" s="102">
        <f ca="1">IFERROR(OFFSET(BLDG_FUNC_PARAM!$A$5,MATCH(AC293,BLDG_FUNC_PARAM!$J$5:$J$68,0)-1,0),0)</f>
        <v>122020002</v>
      </c>
      <c r="AC293" s="103" t="s">
        <v>965</v>
      </c>
      <c r="AD293" s="102">
        <v>40</v>
      </c>
      <c r="AN293" s="102">
        <v>0</v>
      </c>
      <c r="AO293" s="102">
        <v>0</v>
      </c>
      <c r="AT293" s="104">
        <f t="shared" si="177"/>
        <v>240</v>
      </c>
      <c r="AW293" s="103">
        <v>4</v>
      </c>
      <c r="AY293" s="102">
        <v>400</v>
      </c>
      <c r="AZ293" s="102">
        <v>40</v>
      </c>
      <c r="BA293" s="172">
        <v>0</v>
      </c>
      <c r="BC293" s="104">
        <f ca="1">IFERROR(OFFSET(ITEM_RES!$A$5,MATCH(BD293,ITEM_RES!$M$5:$M$84,0)-1,0),0)</f>
        <v>0</v>
      </c>
    </row>
    <row r="294" spans="1:55" x14ac:dyDescent="0.3">
      <c r="A294" s="107">
        <f t="shared" ref="A294:A425" si="179">B294*10000000+C294*1000000+D294*10000+E294*100+F294</f>
        <v>322020205</v>
      </c>
      <c r="B294" s="106">
        <v>32</v>
      </c>
      <c r="C294" s="105">
        <f t="shared" si="175"/>
        <v>2</v>
      </c>
      <c r="D294" s="106">
        <v>2</v>
      </c>
      <c r="E294" s="106">
        <v>2</v>
      </c>
      <c r="F294" s="105">
        <f t="shared" si="155"/>
        <v>5</v>
      </c>
      <c r="H294" s="103">
        <v>2</v>
      </c>
      <c r="I294" s="105">
        <f t="shared" si="176"/>
        <v>202</v>
      </c>
      <c r="J294" s="172">
        <v>5</v>
      </c>
      <c r="L294" s="172" t="s">
        <v>1115</v>
      </c>
      <c r="M294" s="172" t="s">
        <v>1132</v>
      </c>
      <c r="N294" s="103" t="s">
        <v>381</v>
      </c>
      <c r="O294" s="103" t="s">
        <v>1082</v>
      </c>
      <c r="P294" s="172">
        <v>1</v>
      </c>
      <c r="Q294" s="172">
        <v>12</v>
      </c>
      <c r="R294" s="103" t="s">
        <v>1031</v>
      </c>
      <c r="S294" s="103">
        <v>322020201</v>
      </c>
      <c r="T294" s="104" t="str">
        <f t="shared" si="157"/>
        <v>UITexture/TechProd/322020201.png</v>
      </c>
      <c r="U294" s="172" t="s">
        <v>1147</v>
      </c>
      <c r="V294" s="104">
        <f t="shared" si="178"/>
        <v>0</v>
      </c>
      <c r="Z294" s="172">
        <v>1</v>
      </c>
      <c r="AB294" s="102">
        <f ca="1">IFERROR(OFFSET(BLDG_FUNC_PARAM!$A$5,MATCH(AC294,BLDG_FUNC_PARAM!$J$5:$J$68,0)-1,0),0)</f>
        <v>122020002</v>
      </c>
      <c r="AC294" s="103" t="s">
        <v>965</v>
      </c>
      <c r="AD294" s="102">
        <v>100</v>
      </c>
      <c r="AN294" s="102">
        <v>6</v>
      </c>
      <c r="AO294" s="102">
        <v>0</v>
      </c>
      <c r="AT294" s="104">
        <f t="shared" si="177"/>
        <v>300</v>
      </c>
      <c r="AW294" s="103">
        <v>5</v>
      </c>
      <c r="AY294" s="102">
        <v>500</v>
      </c>
      <c r="AZ294" s="102">
        <v>50</v>
      </c>
      <c r="BA294" s="172">
        <v>0</v>
      </c>
      <c r="BC294" s="104">
        <f ca="1">IFERROR(OFFSET(ITEM_RES!$A$5,MATCH(BD294,ITEM_RES!$M$5:$M$84,0)-1,0),0)</f>
        <v>0</v>
      </c>
    </row>
    <row r="295" spans="1:55" x14ac:dyDescent="0.3">
      <c r="A295" s="107">
        <f t="shared" si="179"/>
        <v>322020206</v>
      </c>
      <c r="B295" s="106">
        <v>32</v>
      </c>
      <c r="C295" s="105">
        <f t="shared" ref="C295:C304" si="180">H295</f>
        <v>2</v>
      </c>
      <c r="D295" s="106">
        <v>2</v>
      </c>
      <c r="E295" s="106">
        <v>2</v>
      </c>
      <c r="F295" s="105">
        <f t="shared" si="155"/>
        <v>6</v>
      </c>
      <c r="H295" s="103">
        <v>2</v>
      </c>
      <c r="I295" s="105">
        <f t="shared" ref="I295:I304" si="181">C295*100+D295</f>
        <v>202</v>
      </c>
      <c r="J295" s="172">
        <v>6</v>
      </c>
      <c r="L295" s="172" t="s">
        <v>1115</v>
      </c>
      <c r="M295" s="172" t="s">
        <v>1132</v>
      </c>
      <c r="N295" s="103" t="s">
        <v>381</v>
      </c>
      <c r="O295" s="103" t="s">
        <v>1082</v>
      </c>
      <c r="P295" s="172">
        <v>1</v>
      </c>
      <c r="Q295" s="172">
        <v>12</v>
      </c>
      <c r="R295" s="103" t="s">
        <v>1031</v>
      </c>
      <c r="S295" s="103">
        <v>322020201</v>
      </c>
      <c r="T295" s="104" t="str">
        <f t="shared" si="157"/>
        <v>UITexture/TechProd/322020201.png</v>
      </c>
      <c r="U295" s="172" t="s">
        <v>1147</v>
      </c>
      <c r="V295" s="104">
        <f>W295*1000+X295</f>
        <v>0</v>
      </c>
      <c r="Z295" s="172">
        <v>1</v>
      </c>
      <c r="AB295" s="102">
        <f ca="1">IFERROR(OFFSET(BLDG_FUNC_PARAM!$A$5,MATCH(AC295,BLDG_FUNC_PARAM!$J$5:$J$68,0)-1,0),0)</f>
        <v>122020002</v>
      </c>
      <c r="AC295" s="103" t="s">
        <v>965</v>
      </c>
      <c r="AD295" s="102">
        <v>110</v>
      </c>
      <c r="AN295" s="102">
        <v>0</v>
      </c>
      <c r="AO295" s="102">
        <v>0</v>
      </c>
      <c r="AT295" s="104">
        <f t="shared" ref="AT295:AT304" si="182">((AU295*24+AV295)*60+AW295)*60+AX295</f>
        <v>360</v>
      </c>
      <c r="AW295" s="103">
        <v>6</v>
      </c>
      <c r="AY295" s="102">
        <v>600</v>
      </c>
      <c r="AZ295" s="102">
        <v>60</v>
      </c>
      <c r="BA295" s="172">
        <v>0</v>
      </c>
      <c r="BC295" s="104">
        <f ca="1">IFERROR(OFFSET(ITEM_RES!$A$5,MATCH(BD295,ITEM_RES!$M$5:$M$84,0)-1,0),0)</f>
        <v>0</v>
      </c>
    </row>
    <row r="296" spans="1:55" x14ac:dyDescent="0.3">
      <c r="A296" s="107">
        <f t="shared" si="179"/>
        <v>322020207</v>
      </c>
      <c r="B296" s="106">
        <v>32</v>
      </c>
      <c r="C296" s="105">
        <f t="shared" si="180"/>
        <v>2</v>
      </c>
      <c r="D296" s="106">
        <v>2</v>
      </c>
      <c r="E296" s="106">
        <v>2</v>
      </c>
      <c r="F296" s="105">
        <f t="shared" si="155"/>
        <v>7</v>
      </c>
      <c r="H296" s="103">
        <v>2</v>
      </c>
      <c r="I296" s="105">
        <f t="shared" si="181"/>
        <v>202</v>
      </c>
      <c r="J296" s="172">
        <v>7</v>
      </c>
      <c r="L296" s="172" t="s">
        <v>1115</v>
      </c>
      <c r="M296" s="172" t="s">
        <v>1132</v>
      </c>
      <c r="N296" s="103" t="s">
        <v>381</v>
      </c>
      <c r="O296" s="103" t="s">
        <v>1082</v>
      </c>
      <c r="P296" s="172">
        <v>1</v>
      </c>
      <c r="Q296" s="172">
        <v>12</v>
      </c>
      <c r="R296" s="103" t="s">
        <v>1031</v>
      </c>
      <c r="S296" s="103">
        <v>322020201</v>
      </c>
      <c r="T296" s="104" t="str">
        <f t="shared" si="157"/>
        <v>UITexture/TechProd/322020201.png</v>
      </c>
      <c r="U296" s="172" t="s">
        <v>1147</v>
      </c>
      <c r="V296" s="104">
        <f t="shared" ref="V296:V299" si="183">W296*1000+X296</f>
        <v>0</v>
      </c>
      <c r="Z296" s="172">
        <v>1</v>
      </c>
      <c r="AB296" s="102">
        <f ca="1">IFERROR(OFFSET(BLDG_FUNC_PARAM!$A$5,MATCH(AC296,BLDG_FUNC_PARAM!$J$5:$J$68,0)-1,0),0)</f>
        <v>122020002</v>
      </c>
      <c r="AC296" s="103" t="s">
        <v>965</v>
      </c>
      <c r="AD296" s="102">
        <v>120</v>
      </c>
      <c r="AN296" s="102">
        <v>0</v>
      </c>
      <c r="AO296" s="102">
        <v>0</v>
      </c>
      <c r="AT296" s="104">
        <f t="shared" si="182"/>
        <v>420</v>
      </c>
      <c r="AW296" s="103">
        <v>7</v>
      </c>
      <c r="AY296" s="102">
        <v>700</v>
      </c>
      <c r="AZ296" s="102">
        <v>70</v>
      </c>
      <c r="BA296" s="172">
        <v>0</v>
      </c>
      <c r="BC296" s="104">
        <f ca="1">IFERROR(OFFSET(ITEM_RES!$A$5,MATCH(BD296,ITEM_RES!$M$5:$M$84,0)-1,0),0)</f>
        <v>0</v>
      </c>
    </row>
    <row r="297" spans="1:55" x14ac:dyDescent="0.3">
      <c r="A297" s="107">
        <f t="shared" si="179"/>
        <v>322020208</v>
      </c>
      <c r="B297" s="106">
        <v>32</v>
      </c>
      <c r="C297" s="105">
        <f t="shared" si="180"/>
        <v>2</v>
      </c>
      <c r="D297" s="106">
        <v>2</v>
      </c>
      <c r="E297" s="106">
        <v>2</v>
      </c>
      <c r="F297" s="105">
        <f t="shared" si="155"/>
        <v>8</v>
      </c>
      <c r="H297" s="103">
        <v>2</v>
      </c>
      <c r="I297" s="105">
        <f t="shared" si="181"/>
        <v>202</v>
      </c>
      <c r="J297" s="172">
        <v>8</v>
      </c>
      <c r="L297" s="172" t="s">
        <v>1115</v>
      </c>
      <c r="M297" s="172" t="s">
        <v>1132</v>
      </c>
      <c r="N297" s="103" t="s">
        <v>381</v>
      </c>
      <c r="O297" s="103" t="s">
        <v>1082</v>
      </c>
      <c r="P297" s="172">
        <v>1</v>
      </c>
      <c r="Q297" s="172">
        <v>12</v>
      </c>
      <c r="R297" s="103" t="s">
        <v>1031</v>
      </c>
      <c r="S297" s="103">
        <v>322020201</v>
      </c>
      <c r="T297" s="104" t="str">
        <f t="shared" si="157"/>
        <v>UITexture/TechProd/322020201.png</v>
      </c>
      <c r="U297" s="172" t="s">
        <v>1147</v>
      </c>
      <c r="V297" s="104">
        <f t="shared" si="183"/>
        <v>0</v>
      </c>
      <c r="Z297" s="172">
        <v>1</v>
      </c>
      <c r="AB297" s="102">
        <f ca="1">IFERROR(OFFSET(BLDG_FUNC_PARAM!$A$5,MATCH(AC297,BLDG_FUNC_PARAM!$J$5:$J$68,0)-1,0),0)</f>
        <v>122020002</v>
      </c>
      <c r="AC297" s="103" t="s">
        <v>965</v>
      </c>
      <c r="AD297" s="102">
        <v>130</v>
      </c>
      <c r="AN297" s="102">
        <v>0</v>
      </c>
      <c r="AO297" s="102">
        <v>0</v>
      </c>
      <c r="AT297" s="104">
        <f t="shared" si="182"/>
        <v>480</v>
      </c>
      <c r="AW297" s="103">
        <v>8</v>
      </c>
      <c r="AY297" s="102">
        <v>800</v>
      </c>
      <c r="AZ297" s="102">
        <v>80</v>
      </c>
      <c r="BA297" s="172">
        <v>0</v>
      </c>
      <c r="BC297" s="104">
        <f ca="1">IFERROR(OFFSET(ITEM_RES!$A$5,MATCH(BD297,ITEM_RES!$M$5:$M$84,0)-1,0),0)</f>
        <v>0</v>
      </c>
    </row>
    <row r="298" spans="1:55" x14ac:dyDescent="0.3">
      <c r="A298" s="107">
        <f t="shared" si="179"/>
        <v>322020209</v>
      </c>
      <c r="B298" s="106">
        <v>32</v>
      </c>
      <c r="C298" s="105">
        <f t="shared" si="180"/>
        <v>2</v>
      </c>
      <c r="D298" s="106">
        <v>2</v>
      </c>
      <c r="E298" s="106">
        <v>2</v>
      </c>
      <c r="F298" s="105">
        <f t="shared" si="155"/>
        <v>9</v>
      </c>
      <c r="H298" s="103">
        <v>2</v>
      </c>
      <c r="I298" s="105">
        <f t="shared" si="181"/>
        <v>202</v>
      </c>
      <c r="J298" s="172">
        <v>9</v>
      </c>
      <c r="L298" s="172" t="s">
        <v>1115</v>
      </c>
      <c r="M298" s="172" t="s">
        <v>1132</v>
      </c>
      <c r="N298" s="103" t="s">
        <v>381</v>
      </c>
      <c r="O298" s="103" t="s">
        <v>1082</v>
      </c>
      <c r="P298" s="172">
        <v>1</v>
      </c>
      <c r="Q298" s="172">
        <v>12</v>
      </c>
      <c r="R298" s="103" t="s">
        <v>1031</v>
      </c>
      <c r="S298" s="103">
        <v>322020201</v>
      </c>
      <c r="T298" s="104" t="str">
        <f t="shared" si="157"/>
        <v>UITexture/TechProd/322020201.png</v>
      </c>
      <c r="U298" s="172" t="s">
        <v>1147</v>
      </c>
      <c r="V298" s="104">
        <f t="shared" si="183"/>
        <v>0</v>
      </c>
      <c r="Z298" s="172">
        <v>1</v>
      </c>
      <c r="AB298" s="102">
        <f ca="1">IFERROR(OFFSET(BLDG_FUNC_PARAM!$A$5,MATCH(AC298,BLDG_FUNC_PARAM!$J$5:$J$68,0)-1,0),0)</f>
        <v>122020002</v>
      </c>
      <c r="AC298" s="103" t="s">
        <v>965</v>
      </c>
      <c r="AD298" s="102">
        <v>140.00000000000003</v>
      </c>
      <c r="AN298" s="102">
        <v>0</v>
      </c>
      <c r="AO298" s="102">
        <v>0</v>
      </c>
      <c r="AT298" s="104">
        <f t="shared" si="182"/>
        <v>540</v>
      </c>
      <c r="AW298" s="103">
        <v>9</v>
      </c>
      <c r="AY298" s="102">
        <v>900</v>
      </c>
      <c r="AZ298" s="102">
        <v>90</v>
      </c>
      <c r="BA298" s="172">
        <v>0</v>
      </c>
      <c r="BC298" s="104">
        <f ca="1">IFERROR(OFFSET(ITEM_RES!$A$5,MATCH(BD298,ITEM_RES!$M$5:$M$84,0)-1,0),0)</f>
        <v>0</v>
      </c>
    </row>
    <row r="299" spans="1:55" x14ac:dyDescent="0.3">
      <c r="A299" s="107">
        <f t="shared" ref="A299:A308" si="184">B299*10000000+C299*1000000+D299*10000+E299*100+F299</f>
        <v>322020210</v>
      </c>
      <c r="B299" s="106">
        <v>32</v>
      </c>
      <c r="C299" s="105">
        <f t="shared" si="180"/>
        <v>2</v>
      </c>
      <c r="D299" s="106">
        <v>2</v>
      </c>
      <c r="E299" s="106">
        <v>2</v>
      </c>
      <c r="F299" s="105">
        <f t="shared" si="155"/>
        <v>10</v>
      </c>
      <c r="H299" s="103">
        <v>2</v>
      </c>
      <c r="I299" s="105">
        <f t="shared" si="181"/>
        <v>202</v>
      </c>
      <c r="J299" s="172">
        <v>10</v>
      </c>
      <c r="L299" s="172" t="s">
        <v>1115</v>
      </c>
      <c r="M299" s="172" t="s">
        <v>1132</v>
      </c>
      <c r="N299" s="103" t="s">
        <v>381</v>
      </c>
      <c r="O299" s="103" t="s">
        <v>1082</v>
      </c>
      <c r="P299" s="172">
        <v>1</v>
      </c>
      <c r="Q299" s="172">
        <v>12</v>
      </c>
      <c r="R299" s="103" t="s">
        <v>1031</v>
      </c>
      <c r="S299" s="103">
        <v>322020201</v>
      </c>
      <c r="T299" s="104" t="str">
        <f t="shared" si="157"/>
        <v>UITexture/TechProd/322020201.png</v>
      </c>
      <c r="U299" s="172" t="s">
        <v>1147</v>
      </c>
      <c r="V299" s="104">
        <f t="shared" si="183"/>
        <v>0</v>
      </c>
      <c r="Z299" s="172">
        <v>1</v>
      </c>
      <c r="AB299" s="102">
        <f ca="1">IFERROR(OFFSET(BLDG_FUNC_PARAM!$A$5,MATCH(AC299,BLDG_FUNC_PARAM!$J$5:$J$68,0)-1,0),0)</f>
        <v>122020002</v>
      </c>
      <c r="AC299" s="103" t="s">
        <v>965</v>
      </c>
      <c r="AD299" s="102">
        <v>200</v>
      </c>
      <c r="AN299" s="102">
        <v>11</v>
      </c>
      <c r="AO299" s="102">
        <v>0</v>
      </c>
      <c r="AT299" s="104">
        <f t="shared" si="182"/>
        <v>600</v>
      </c>
      <c r="AW299" s="103">
        <v>10</v>
      </c>
      <c r="AY299" s="102">
        <v>1000</v>
      </c>
      <c r="AZ299" s="102">
        <v>100</v>
      </c>
      <c r="BA299" s="172">
        <v>0</v>
      </c>
      <c r="BC299" s="104">
        <f ca="1">IFERROR(OFFSET(ITEM_RES!$A$5,MATCH(BD299,ITEM_RES!$M$5:$M$84,0)-1,0),0)</f>
        <v>0</v>
      </c>
    </row>
    <row r="300" spans="1:55" x14ac:dyDescent="0.3">
      <c r="A300" s="107">
        <f t="shared" si="184"/>
        <v>322020211</v>
      </c>
      <c r="B300" s="106">
        <v>32</v>
      </c>
      <c r="C300" s="105">
        <f t="shared" si="180"/>
        <v>2</v>
      </c>
      <c r="D300" s="106">
        <v>2</v>
      </c>
      <c r="E300" s="106">
        <v>2</v>
      </c>
      <c r="F300" s="105">
        <f t="shared" si="155"/>
        <v>11</v>
      </c>
      <c r="H300" s="103">
        <v>2</v>
      </c>
      <c r="I300" s="105">
        <f t="shared" si="181"/>
        <v>202</v>
      </c>
      <c r="J300" s="172">
        <v>11</v>
      </c>
      <c r="L300" s="172" t="s">
        <v>1115</v>
      </c>
      <c r="M300" s="172" t="s">
        <v>1132</v>
      </c>
      <c r="N300" s="103" t="s">
        <v>381</v>
      </c>
      <c r="O300" s="103" t="s">
        <v>1082</v>
      </c>
      <c r="P300" s="172">
        <v>1</v>
      </c>
      <c r="Q300" s="172">
        <v>12</v>
      </c>
      <c r="R300" s="103" t="s">
        <v>1031</v>
      </c>
      <c r="S300" s="103">
        <v>322020201</v>
      </c>
      <c r="T300" s="104" t="str">
        <f t="shared" si="157"/>
        <v>UITexture/TechProd/322020201.png</v>
      </c>
      <c r="U300" s="172" t="s">
        <v>1147</v>
      </c>
      <c r="V300" s="104">
        <f>W300*1000+X300</f>
        <v>0</v>
      </c>
      <c r="Z300" s="172">
        <v>1</v>
      </c>
      <c r="AB300" s="102">
        <f ca="1">IFERROR(OFFSET(BLDG_FUNC_PARAM!$A$5,MATCH(AC300,BLDG_FUNC_PARAM!$J$5:$J$68,0)-1,0),0)</f>
        <v>122020002</v>
      </c>
      <c r="AC300" s="103" t="s">
        <v>965</v>
      </c>
      <c r="AD300" s="102">
        <v>210</v>
      </c>
      <c r="AN300" s="102">
        <v>0</v>
      </c>
      <c r="AO300" s="102">
        <v>0</v>
      </c>
      <c r="AT300" s="104">
        <f t="shared" si="182"/>
        <v>660</v>
      </c>
      <c r="AW300" s="103">
        <v>11</v>
      </c>
      <c r="AY300" s="102">
        <v>1100</v>
      </c>
      <c r="AZ300" s="102">
        <v>110</v>
      </c>
      <c r="BA300" s="172">
        <v>0</v>
      </c>
      <c r="BC300" s="104">
        <f ca="1">IFERROR(OFFSET(ITEM_RES!$A$5,MATCH(BD300,ITEM_RES!$M$5:$M$84,0)-1,0),0)</f>
        <v>0</v>
      </c>
    </row>
    <row r="301" spans="1:55" x14ac:dyDescent="0.3">
      <c r="A301" s="107">
        <f t="shared" si="184"/>
        <v>322020212</v>
      </c>
      <c r="B301" s="106">
        <v>32</v>
      </c>
      <c r="C301" s="105">
        <f t="shared" si="180"/>
        <v>2</v>
      </c>
      <c r="D301" s="106">
        <v>2</v>
      </c>
      <c r="E301" s="106">
        <v>2</v>
      </c>
      <c r="F301" s="105">
        <f t="shared" si="155"/>
        <v>12</v>
      </c>
      <c r="H301" s="103">
        <v>2</v>
      </c>
      <c r="I301" s="105">
        <f t="shared" si="181"/>
        <v>202</v>
      </c>
      <c r="J301" s="172">
        <v>12</v>
      </c>
      <c r="L301" s="172" t="s">
        <v>1115</v>
      </c>
      <c r="M301" s="172" t="s">
        <v>1132</v>
      </c>
      <c r="N301" s="103" t="s">
        <v>381</v>
      </c>
      <c r="O301" s="103" t="s">
        <v>1082</v>
      </c>
      <c r="P301" s="172">
        <v>1</v>
      </c>
      <c r="Q301" s="172">
        <v>12</v>
      </c>
      <c r="R301" s="103" t="s">
        <v>1031</v>
      </c>
      <c r="S301" s="103">
        <v>322020201</v>
      </c>
      <c r="T301" s="104" t="str">
        <f t="shared" si="157"/>
        <v>UITexture/TechProd/322020201.png</v>
      </c>
      <c r="U301" s="172" t="s">
        <v>1147</v>
      </c>
      <c r="V301" s="104">
        <f t="shared" ref="V301:V304" si="185">W301*1000+X301</f>
        <v>0</v>
      </c>
      <c r="Z301" s="172">
        <v>1</v>
      </c>
      <c r="AB301" s="102">
        <f ca="1">IFERROR(OFFSET(BLDG_FUNC_PARAM!$A$5,MATCH(AC301,BLDG_FUNC_PARAM!$J$5:$J$68,0)-1,0),0)</f>
        <v>122020002</v>
      </c>
      <c r="AC301" s="103" t="s">
        <v>965</v>
      </c>
      <c r="AD301" s="102">
        <v>220</v>
      </c>
      <c r="AN301" s="102">
        <v>0</v>
      </c>
      <c r="AO301" s="102">
        <v>0</v>
      </c>
      <c r="AT301" s="104">
        <f t="shared" si="182"/>
        <v>720</v>
      </c>
      <c r="AW301" s="103">
        <v>12</v>
      </c>
      <c r="AY301" s="102">
        <v>1200</v>
      </c>
      <c r="AZ301" s="102">
        <v>120</v>
      </c>
      <c r="BA301" s="172">
        <v>0</v>
      </c>
      <c r="BC301" s="104">
        <f ca="1">IFERROR(OFFSET(ITEM_RES!$A$5,MATCH(BD301,ITEM_RES!$M$5:$M$84,0)-1,0),0)</f>
        <v>0</v>
      </c>
    </row>
    <row r="302" spans="1:55" x14ac:dyDescent="0.3">
      <c r="A302" s="107">
        <f t="shared" si="184"/>
        <v>322020213</v>
      </c>
      <c r="B302" s="106">
        <v>32</v>
      </c>
      <c r="C302" s="105">
        <f t="shared" si="180"/>
        <v>2</v>
      </c>
      <c r="D302" s="106">
        <v>2</v>
      </c>
      <c r="E302" s="106">
        <v>2</v>
      </c>
      <c r="F302" s="105">
        <f t="shared" si="155"/>
        <v>13</v>
      </c>
      <c r="H302" s="103">
        <v>2</v>
      </c>
      <c r="I302" s="105">
        <f t="shared" si="181"/>
        <v>202</v>
      </c>
      <c r="J302" s="172">
        <v>13</v>
      </c>
      <c r="L302" s="172" t="s">
        <v>1115</v>
      </c>
      <c r="M302" s="172" t="s">
        <v>1132</v>
      </c>
      <c r="N302" s="103" t="s">
        <v>381</v>
      </c>
      <c r="O302" s="103" t="s">
        <v>1082</v>
      </c>
      <c r="P302" s="172">
        <v>0</v>
      </c>
      <c r="Q302" s="172">
        <v>12</v>
      </c>
      <c r="R302" s="103" t="s">
        <v>1031</v>
      </c>
      <c r="S302" s="103">
        <v>322020201</v>
      </c>
      <c r="T302" s="104" t="str">
        <f t="shared" si="157"/>
        <v>UITexture/TechProd/322020201.png</v>
      </c>
      <c r="U302" s="172" t="s">
        <v>1147</v>
      </c>
      <c r="V302" s="104">
        <f t="shared" si="185"/>
        <v>0</v>
      </c>
      <c r="Z302" s="172">
        <v>1</v>
      </c>
      <c r="AB302" s="102">
        <f ca="1">IFERROR(OFFSET(BLDG_FUNC_PARAM!$A$5,MATCH(AC302,BLDG_FUNC_PARAM!$J$5:$J$68,0)-1,0),0)</f>
        <v>122020002</v>
      </c>
      <c r="AC302" s="103" t="s">
        <v>965</v>
      </c>
      <c r="AD302" s="102">
        <v>230</v>
      </c>
      <c r="AN302" s="102">
        <v>0</v>
      </c>
      <c r="AO302" s="102">
        <v>0</v>
      </c>
      <c r="AT302" s="104">
        <f t="shared" si="182"/>
        <v>780</v>
      </c>
      <c r="AW302" s="103">
        <v>13</v>
      </c>
      <c r="AY302" s="102">
        <v>1300</v>
      </c>
      <c r="AZ302" s="102">
        <v>130</v>
      </c>
      <c r="BA302" s="172">
        <v>0</v>
      </c>
      <c r="BC302" s="104">
        <f ca="1">IFERROR(OFFSET(ITEM_RES!$A$5,MATCH(BD302,ITEM_RES!$M$5:$M$84,0)-1,0),0)</f>
        <v>0</v>
      </c>
    </row>
    <row r="303" spans="1:55" x14ac:dyDescent="0.3">
      <c r="A303" s="107">
        <f t="shared" si="184"/>
        <v>322020214</v>
      </c>
      <c r="B303" s="106">
        <v>32</v>
      </c>
      <c r="C303" s="105">
        <f t="shared" si="180"/>
        <v>2</v>
      </c>
      <c r="D303" s="106">
        <v>2</v>
      </c>
      <c r="E303" s="106">
        <v>2</v>
      </c>
      <c r="F303" s="105">
        <f t="shared" si="155"/>
        <v>14</v>
      </c>
      <c r="H303" s="103">
        <v>2</v>
      </c>
      <c r="I303" s="105">
        <f t="shared" si="181"/>
        <v>202</v>
      </c>
      <c r="J303" s="172">
        <v>14</v>
      </c>
      <c r="L303" s="172" t="s">
        <v>1115</v>
      </c>
      <c r="M303" s="172" t="s">
        <v>1132</v>
      </c>
      <c r="N303" s="103" t="s">
        <v>381</v>
      </c>
      <c r="O303" s="103" t="s">
        <v>1082</v>
      </c>
      <c r="P303" s="172">
        <v>0</v>
      </c>
      <c r="Q303" s="172">
        <v>12</v>
      </c>
      <c r="R303" s="103" t="s">
        <v>1031</v>
      </c>
      <c r="S303" s="103">
        <v>322020201</v>
      </c>
      <c r="T303" s="104" t="str">
        <f t="shared" si="157"/>
        <v>UITexture/TechProd/322020201.png</v>
      </c>
      <c r="U303" s="172" t="s">
        <v>1147</v>
      </c>
      <c r="V303" s="104">
        <f t="shared" si="185"/>
        <v>0</v>
      </c>
      <c r="Z303" s="172">
        <v>1</v>
      </c>
      <c r="AB303" s="102">
        <f ca="1">IFERROR(OFFSET(BLDG_FUNC_PARAM!$A$5,MATCH(AC303,BLDG_FUNC_PARAM!$J$5:$J$68,0)-1,0),0)</f>
        <v>122020002</v>
      </c>
      <c r="AC303" s="103" t="s">
        <v>965</v>
      </c>
      <c r="AD303" s="102">
        <v>240</v>
      </c>
      <c r="AN303" s="102">
        <v>0</v>
      </c>
      <c r="AO303" s="102">
        <v>0</v>
      </c>
      <c r="AT303" s="104">
        <f t="shared" si="182"/>
        <v>840</v>
      </c>
      <c r="AW303" s="103">
        <v>14</v>
      </c>
      <c r="AY303" s="102">
        <v>1400</v>
      </c>
      <c r="AZ303" s="102">
        <v>140</v>
      </c>
      <c r="BA303" s="172">
        <v>0</v>
      </c>
      <c r="BC303" s="104">
        <f ca="1">IFERROR(OFFSET(ITEM_RES!$A$5,MATCH(BD303,ITEM_RES!$M$5:$M$84,0)-1,0),0)</f>
        <v>0</v>
      </c>
    </row>
    <row r="304" spans="1:55" x14ac:dyDescent="0.3">
      <c r="A304" s="107">
        <f t="shared" si="184"/>
        <v>322020215</v>
      </c>
      <c r="B304" s="106">
        <v>32</v>
      </c>
      <c r="C304" s="105">
        <f t="shared" si="180"/>
        <v>2</v>
      </c>
      <c r="D304" s="106">
        <v>2</v>
      </c>
      <c r="E304" s="106">
        <v>2</v>
      </c>
      <c r="F304" s="105">
        <f t="shared" si="155"/>
        <v>15</v>
      </c>
      <c r="H304" s="103">
        <v>2</v>
      </c>
      <c r="I304" s="105">
        <f t="shared" si="181"/>
        <v>202</v>
      </c>
      <c r="J304" s="172">
        <v>15</v>
      </c>
      <c r="L304" s="172" t="s">
        <v>1115</v>
      </c>
      <c r="M304" s="172" t="s">
        <v>1132</v>
      </c>
      <c r="N304" s="103" t="s">
        <v>381</v>
      </c>
      <c r="O304" s="103" t="s">
        <v>1082</v>
      </c>
      <c r="P304" s="172">
        <v>0</v>
      </c>
      <c r="Q304" s="172">
        <v>12</v>
      </c>
      <c r="R304" s="103" t="s">
        <v>1031</v>
      </c>
      <c r="S304" s="103">
        <v>322020201</v>
      </c>
      <c r="T304" s="104" t="str">
        <f t="shared" si="157"/>
        <v>UITexture/TechProd/322020201.png</v>
      </c>
      <c r="U304" s="172" t="s">
        <v>1147</v>
      </c>
      <c r="V304" s="104">
        <f t="shared" si="185"/>
        <v>0</v>
      </c>
      <c r="Z304" s="172">
        <v>1</v>
      </c>
      <c r="AB304" s="102">
        <f ca="1">IFERROR(OFFSET(BLDG_FUNC_PARAM!$A$5,MATCH(AC304,BLDG_FUNC_PARAM!$J$5:$J$68,0)-1,0),0)</f>
        <v>122020002</v>
      </c>
      <c r="AC304" s="103" t="s">
        <v>965</v>
      </c>
      <c r="AD304" s="102">
        <v>300</v>
      </c>
      <c r="AN304" s="102">
        <v>15</v>
      </c>
      <c r="AO304" s="102">
        <v>0</v>
      </c>
      <c r="AT304" s="104">
        <f t="shared" si="182"/>
        <v>900</v>
      </c>
      <c r="AW304" s="103">
        <v>15</v>
      </c>
      <c r="AY304" s="102">
        <v>1500</v>
      </c>
      <c r="AZ304" s="102">
        <v>150</v>
      </c>
      <c r="BA304" s="172">
        <v>0</v>
      </c>
      <c r="BC304" s="104">
        <f ca="1">IFERROR(OFFSET(ITEM_RES!$A$5,MATCH(BD304,ITEM_RES!$M$5:$M$84,0)-1,0),0)</f>
        <v>0</v>
      </c>
    </row>
    <row r="305" spans="1:73" x14ac:dyDescent="0.3">
      <c r="A305" s="107">
        <f t="shared" si="184"/>
        <v>322020216</v>
      </c>
      <c r="B305" s="106">
        <v>32</v>
      </c>
      <c r="C305" s="105">
        <f t="shared" ref="C305:C314" si="186">H305</f>
        <v>2</v>
      </c>
      <c r="D305" s="106">
        <v>2</v>
      </c>
      <c r="E305" s="106">
        <v>2</v>
      </c>
      <c r="F305" s="105">
        <f t="shared" si="155"/>
        <v>16</v>
      </c>
      <c r="H305" s="103">
        <v>2</v>
      </c>
      <c r="I305" s="105">
        <f t="shared" ref="I305:I314" si="187">C305*100+D305</f>
        <v>202</v>
      </c>
      <c r="J305" s="172">
        <v>16</v>
      </c>
      <c r="L305" s="172" t="s">
        <v>1115</v>
      </c>
      <c r="M305" s="172" t="s">
        <v>1132</v>
      </c>
      <c r="N305" s="103" t="s">
        <v>381</v>
      </c>
      <c r="O305" s="103" t="s">
        <v>1082</v>
      </c>
      <c r="P305" s="172">
        <v>0</v>
      </c>
      <c r="Q305" s="172">
        <v>12</v>
      </c>
      <c r="R305" s="103" t="s">
        <v>1031</v>
      </c>
      <c r="S305" s="103">
        <v>322020201</v>
      </c>
      <c r="T305" s="104" t="str">
        <f t="shared" si="157"/>
        <v>UITexture/TechProd/322020201.png</v>
      </c>
      <c r="U305" s="172" t="s">
        <v>1147</v>
      </c>
      <c r="V305" s="104">
        <f>W305*1000+X305</f>
        <v>0</v>
      </c>
      <c r="Z305" s="172">
        <v>1</v>
      </c>
      <c r="AB305" s="102">
        <f ca="1">IFERROR(OFFSET(BLDG_FUNC_PARAM!$A$5,MATCH(AC305,BLDG_FUNC_PARAM!$J$5:$J$68,0)-1,0),0)</f>
        <v>122020002</v>
      </c>
      <c r="AC305" s="103" t="s">
        <v>965</v>
      </c>
      <c r="AD305" s="102">
        <v>310</v>
      </c>
      <c r="AN305" s="102">
        <v>0</v>
      </c>
      <c r="AO305" s="102">
        <v>0</v>
      </c>
      <c r="AT305" s="104">
        <f t="shared" ref="AT305:AT314" si="188">((AU305*24+AV305)*60+AW305)*60+AX305</f>
        <v>960</v>
      </c>
      <c r="AW305" s="103">
        <v>16</v>
      </c>
      <c r="AY305" s="102">
        <v>1600</v>
      </c>
      <c r="AZ305" s="102">
        <v>160</v>
      </c>
      <c r="BA305" s="172">
        <v>0</v>
      </c>
      <c r="BC305" s="104">
        <f ca="1">IFERROR(OFFSET(ITEM_RES!$A$5,MATCH(BD305,ITEM_RES!$M$5:$M$84,0)-1,0),0)</f>
        <v>0</v>
      </c>
    </row>
    <row r="306" spans="1:73" x14ac:dyDescent="0.3">
      <c r="A306" s="107">
        <f t="shared" si="184"/>
        <v>322020217</v>
      </c>
      <c r="B306" s="106">
        <v>32</v>
      </c>
      <c r="C306" s="105">
        <f t="shared" si="186"/>
        <v>2</v>
      </c>
      <c r="D306" s="106">
        <v>2</v>
      </c>
      <c r="E306" s="106">
        <v>2</v>
      </c>
      <c r="F306" s="105">
        <f t="shared" si="155"/>
        <v>17</v>
      </c>
      <c r="H306" s="103">
        <v>2</v>
      </c>
      <c r="I306" s="105">
        <f t="shared" si="187"/>
        <v>202</v>
      </c>
      <c r="J306" s="172">
        <v>17</v>
      </c>
      <c r="L306" s="172" t="s">
        <v>1115</v>
      </c>
      <c r="M306" s="172" t="s">
        <v>1132</v>
      </c>
      <c r="N306" s="103" t="s">
        <v>381</v>
      </c>
      <c r="O306" s="103" t="s">
        <v>1082</v>
      </c>
      <c r="P306" s="172">
        <v>0</v>
      </c>
      <c r="Q306" s="172">
        <v>12</v>
      </c>
      <c r="R306" s="103" t="s">
        <v>1031</v>
      </c>
      <c r="S306" s="103">
        <v>322020201</v>
      </c>
      <c r="T306" s="104" t="str">
        <f t="shared" si="157"/>
        <v>UITexture/TechProd/322020201.png</v>
      </c>
      <c r="U306" s="172" t="s">
        <v>1147</v>
      </c>
      <c r="V306" s="104">
        <f t="shared" ref="V306:V309" si="189">W306*1000+X306</f>
        <v>0</v>
      </c>
      <c r="Z306" s="172">
        <v>1</v>
      </c>
      <c r="AB306" s="102">
        <f ca="1">IFERROR(OFFSET(BLDG_FUNC_PARAM!$A$5,MATCH(AC306,BLDG_FUNC_PARAM!$J$5:$J$68,0)-1,0),0)</f>
        <v>122020002</v>
      </c>
      <c r="AC306" s="103" t="s">
        <v>965</v>
      </c>
      <c r="AD306" s="102">
        <v>320</v>
      </c>
      <c r="AN306" s="102">
        <v>0</v>
      </c>
      <c r="AO306" s="102">
        <v>0</v>
      </c>
      <c r="AT306" s="104">
        <f t="shared" si="188"/>
        <v>1020</v>
      </c>
      <c r="AW306" s="103">
        <v>17</v>
      </c>
      <c r="AY306" s="102">
        <v>1700</v>
      </c>
      <c r="AZ306" s="102">
        <v>170</v>
      </c>
      <c r="BA306" s="172">
        <v>0</v>
      </c>
      <c r="BC306" s="104">
        <f ca="1">IFERROR(OFFSET(ITEM_RES!$A$5,MATCH(BD306,ITEM_RES!$M$5:$M$84,0)-1,0),0)</f>
        <v>0</v>
      </c>
    </row>
    <row r="307" spans="1:73" x14ac:dyDescent="0.3">
      <c r="A307" s="107">
        <f t="shared" si="184"/>
        <v>322020218</v>
      </c>
      <c r="B307" s="106">
        <v>32</v>
      </c>
      <c r="C307" s="105">
        <f t="shared" si="186"/>
        <v>2</v>
      </c>
      <c r="D307" s="106">
        <v>2</v>
      </c>
      <c r="E307" s="106">
        <v>2</v>
      </c>
      <c r="F307" s="105">
        <f t="shared" si="155"/>
        <v>18</v>
      </c>
      <c r="H307" s="103">
        <v>2</v>
      </c>
      <c r="I307" s="105">
        <f t="shared" si="187"/>
        <v>202</v>
      </c>
      <c r="J307" s="172">
        <v>18</v>
      </c>
      <c r="L307" s="172" t="s">
        <v>1115</v>
      </c>
      <c r="M307" s="172" t="s">
        <v>1132</v>
      </c>
      <c r="N307" s="103" t="s">
        <v>381</v>
      </c>
      <c r="O307" s="103" t="s">
        <v>1082</v>
      </c>
      <c r="P307" s="172">
        <v>0</v>
      </c>
      <c r="Q307" s="172">
        <v>12</v>
      </c>
      <c r="R307" s="103" t="s">
        <v>1031</v>
      </c>
      <c r="S307" s="103">
        <v>322020201</v>
      </c>
      <c r="T307" s="104" t="str">
        <f t="shared" si="157"/>
        <v>UITexture/TechProd/322020201.png</v>
      </c>
      <c r="U307" s="172" t="s">
        <v>1147</v>
      </c>
      <c r="V307" s="104">
        <f t="shared" si="189"/>
        <v>0</v>
      </c>
      <c r="Z307" s="172">
        <v>1</v>
      </c>
      <c r="AB307" s="102">
        <f ca="1">IFERROR(OFFSET(BLDG_FUNC_PARAM!$A$5,MATCH(AC307,BLDG_FUNC_PARAM!$J$5:$J$68,0)-1,0),0)</f>
        <v>122020002</v>
      </c>
      <c r="AC307" s="103" t="s">
        <v>965</v>
      </c>
      <c r="AD307" s="102">
        <v>330</v>
      </c>
      <c r="AN307" s="102">
        <v>0</v>
      </c>
      <c r="AO307" s="102">
        <v>0</v>
      </c>
      <c r="AT307" s="104">
        <f t="shared" si="188"/>
        <v>1080</v>
      </c>
      <c r="AW307" s="103">
        <v>18</v>
      </c>
      <c r="AY307" s="102">
        <v>1800</v>
      </c>
      <c r="AZ307" s="102">
        <v>180</v>
      </c>
      <c r="BA307" s="172">
        <v>0</v>
      </c>
      <c r="BC307" s="104">
        <f ca="1">IFERROR(OFFSET(ITEM_RES!$A$5,MATCH(BD307,ITEM_RES!$M$5:$M$84,0)-1,0),0)</f>
        <v>0</v>
      </c>
    </row>
    <row r="308" spans="1:73" x14ac:dyDescent="0.3">
      <c r="A308" s="107">
        <f t="shared" si="184"/>
        <v>322020219</v>
      </c>
      <c r="B308" s="106">
        <v>32</v>
      </c>
      <c r="C308" s="105">
        <f t="shared" si="186"/>
        <v>2</v>
      </c>
      <c r="D308" s="106">
        <v>2</v>
      </c>
      <c r="E308" s="106">
        <v>2</v>
      </c>
      <c r="F308" s="105">
        <f t="shared" si="155"/>
        <v>19</v>
      </c>
      <c r="H308" s="103">
        <v>2</v>
      </c>
      <c r="I308" s="105">
        <f t="shared" si="187"/>
        <v>202</v>
      </c>
      <c r="J308" s="172">
        <v>19</v>
      </c>
      <c r="L308" s="172" t="s">
        <v>1115</v>
      </c>
      <c r="M308" s="172" t="s">
        <v>1132</v>
      </c>
      <c r="N308" s="103" t="s">
        <v>381</v>
      </c>
      <c r="O308" s="103" t="s">
        <v>1082</v>
      </c>
      <c r="P308" s="172">
        <v>0</v>
      </c>
      <c r="Q308" s="172">
        <v>12</v>
      </c>
      <c r="R308" s="103" t="s">
        <v>1031</v>
      </c>
      <c r="S308" s="103">
        <v>322020201</v>
      </c>
      <c r="T308" s="104" t="str">
        <f t="shared" si="157"/>
        <v>UITexture/TechProd/322020201.png</v>
      </c>
      <c r="U308" s="172" t="s">
        <v>1147</v>
      </c>
      <c r="V308" s="104">
        <f t="shared" si="189"/>
        <v>0</v>
      </c>
      <c r="Z308" s="172">
        <v>1</v>
      </c>
      <c r="AB308" s="102">
        <f ca="1">IFERROR(OFFSET(BLDG_FUNC_PARAM!$A$5,MATCH(AC308,BLDG_FUNC_PARAM!$J$5:$J$68,0)-1,0),0)</f>
        <v>122020002</v>
      </c>
      <c r="AC308" s="103" t="s">
        <v>965</v>
      </c>
      <c r="AD308" s="102">
        <v>340</v>
      </c>
      <c r="AN308" s="102">
        <v>0</v>
      </c>
      <c r="AO308" s="102">
        <v>0</v>
      </c>
      <c r="AT308" s="104">
        <f t="shared" si="188"/>
        <v>1140</v>
      </c>
      <c r="AW308" s="103">
        <v>19</v>
      </c>
      <c r="AY308" s="102">
        <v>1900</v>
      </c>
      <c r="AZ308" s="102">
        <v>190</v>
      </c>
      <c r="BA308" s="172">
        <v>0</v>
      </c>
      <c r="BC308" s="104">
        <f ca="1">IFERROR(OFFSET(ITEM_RES!$A$5,MATCH(BD308,ITEM_RES!$M$5:$M$84,0)-1,0),0)</f>
        <v>0</v>
      </c>
    </row>
    <row r="309" spans="1:73" x14ac:dyDescent="0.3">
      <c r="A309" s="107">
        <f t="shared" ref="A309:A318" si="190">B309*10000000+C309*1000000+D309*10000+E309*100+F309</f>
        <v>322020220</v>
      </c>
      <c r="B309" s="106">
        <v>32</v>
      </c>
      <c r="C309" s="105">
        <f t="shared" si="186"/>
        <v>2</v>
      </c>
      <c r="D309" s="106">
        <v>2</v>
      </c>
      <c r="E309" s="106">
        <v>2</v>
      </c>
      <c r="F309" s="105">
        <f t="shared" si="155"/>
        <v>20</v>
      </c>
      <c r="H309" s="103">
        <v>2</v>
      </c>
      <c r="I309" s="105">
        <f t="shared" si="187"/>
        <v>202</v>
      </c>
      <c r="J309" s="172">
        <v>20</v>
      </c>
      <c r="L309" s="172" t="s">
        <v>1115</v>
      </c>
      <c r="M309" s="172" t="s">
        <v>1132</v>
      </c>
      <c r="N309" s="103" t="s">
        <v>381</v>
      </c>
      <c r="O309" s="103" t="s">
        <v>1082</v>
      </c>
      <c r="P309" s="172">
        <v>0</v>
      </c>
      <c r="Q309" s="172">
        <v>12</v>
      </c>
      <c r="R309" s="103" t="s">
        <v>1031</v>
      </c>
      <c r="S309" s="103">
        <v>322020201</v>
      </c>
      <c r="T309" s="104" t="str">
        <f t="shared" si="157"/>
        <v>UITexture/TechProd/322020201.png</v>
      </c>
      <c r="U309" s="172" t="s">
        <v>1147</v>
      </c>
      <c r="V309" s="104">
        <f t="shared" si="189"/>
        <v>0</v>
      </c>
      <c r="Z309" s="172">
        <v>1</v>
      </c>
      <c r="AB309" s="102">
        <f ca="1">IFERROR(OFFSET(BLDG_FUNC_PARAM!$A$5,MATCH(AC309,BLDG_FUNC_PARAM!$J$5:$J$68,0)-1,0),0)</f>
        <v>122020002</v>
      </c>
      <c r="AC309" s="103" t="s">
        <v>965</v>
      </c>
      <c r="AD309" s="102">
        <v>400</v>
      </c>
      <c r="AN309" s="102">
        <v>20</v>
      </c>
      <c r="AO309" s="102">
        <v>0</v>
      </c>
      <c r="AT309" s="104">
        <f t="shared" si="188"/>
        <v>1200</v>
      </c>
      <c r="AW309" s="103">
        <v>20</v>
      </c>
      <c r="AY309" s="102">
        <v>2000</v>
      </c>
      <c r="AZ309" s="102">
        <v>200</v>
      </c>
      <c r="BA309" s="172">
        <v>0</v>
      </c>
      <c r="BC309" s="104">
        <f ca="1">IFERROR(OFFSET(ITEM_RES!$A$5,MATCH(BD309,ITEM_RES!$M$5:$M$84,0)-1,0),0)</f>
        <v>0</v>
      </c>
    </row>
    <row r="310" spans="1:73" x14ac:dyDescent="0.3">
      <c r="A310" s="107">
        <f t="shared" si="190"/>
        <v>322020221</v>
      </c>
      <c r="B310" s="106">
        <v>32</v>
      </c>
      <c r="C310" s="105">
        <f t="shared" si="186"/>
        <v>2</v>
      </c>
      <c r="D310" s="106">
        <v>2</v>
      </c>
      <c r="E310" s="106">
        <v>2</v>
      </c>
      <c r="F310" s="105">
        <f t="shared" si="155"/>
        <v>21</v>
      </c>
      <c r="H310" s="103">
        <v>2</v>
      </c>
      <c r="I310" s="105">
        <f t="shared" si="187"/>
        <v>202</v>
      </c>
      <c r="J310" s="172">
        <v>21</v>
      </c>
      <c r="L310" s="172" t="s">
        <v>1115</v>
      </c>
      <c r="M310" s="172" t="s">
        <v>1132</v>
      </c>
      <c r="N310" s="103" t="s">
        <v>381</v>
      </c>
      <c r="O310" s="103" t="s">
        <v>1082</v>
      </c>
      <c r="P310" s="172">
        <v>0</v>
      </c>
      <c r="Q310" s="172">
        <v>12</v>
      </c>
      <c r="R310" s="103" t="s">
        <v>1031</v>
      </c>
      <c r="S310" s="103">
        <v>322020201</v>
      </c>
      <c r="T310" s="104" t="str">
        <f t="shared" si="157"/>
        <v>UITexture/TechProd/322020201.png</v>
      </c>
      <c r="U310" s="172" t="s">
        <v>1147</v>
      </c>
      <c r="V310" s="104">
        <f>W310*1000+X310</f>
        <v>0</v>
      </c>
      <c r="Z310" s="172">
        <v>1</v>
      </c>
      <c r="AB310" s="102">
        <f ca="1">IFERROR(OFFSET(BLDG_FUNC_PARAM!$A$5,MATCH(AC310,BLDG_FUNC_PARAM!$J$5:$J$68,0)-1,0),0)</f>
        <v>122020002</v>
      </c>
      <c r="AC310" s="103" t="s">
        <v>965</v>
      </c>
      <c r="AD310" s="102">
        <v>410</v>
      </c>
      <c r="AN310" s="102">
        <v>0</v>
      </c>
      <c r="AO310" s="102">
        <v>0</v>
      </c>
      <c r="AT310" s="104">
        <f t="shared" si="188"/>
        <v>1260</v>
      </c>
      <c r="AW310" s="103">
        <v>21</v>
      </c>
      <c r="AY310" s="102">
        <v>2100</v>
      </c>
      <c r="AZ310" s="102">
        <v>210</v>
      </c>
      <c r="BA310" s="172">
        <v>0</v>
      </c>
      <c r="BC310" s="104">
        <f ca="1">IFERROR(OFFSET(ITEM_RES!$A$5,MATCH(BD310,ITEM_RES!$M$5:$M$84,0)-1,0),0)</f>
        <v>0</v>
      </c>
    </row>
    <row r="311" spans="1:73" x14ac:dyDescent="0.3">
      <c r="A311" s="107">
        <f t="shared" si="190"/>
        <v>322020222</v>
      </c>
      <c r="B311" s="106">
        <v>32</v>
      </c>
      <c r="C311" s="105">
        <f t="shared" si="186"/>
        <v>2</v>
      </c>
      <c r="D311" s="106">
        <v>2</v>
      </c>
      <c r="E311" s="106">
        <v>2</v>
      </c>
      <c r="F311" s="105">
        <f t="shared" si="155"/>
        <v>22</v>
      </c>
      <c r="H311" s="103">
        <v>2</v>
      </c>
      <c r="I311" s="105">
        <f t="shared" si="187"/>
        <v>202</v>
      </c>
      <c r="J311" s="172">
        <v>22</v>
      </c>
      <c r="L311" s="172" t="s">
        <v>1115</v>
      </c>
      <c r="M311" s="172" t="s">
        <v>1132</v>
      </c>
      <c r="N311" s="103" t="s">
        <v>381</v>
      </c>
      <c r="O311" s="103" t="s">
        <v>1082</v>
      </c>
      <c r="P311" s="172">
        <v>0</v>
      </c>
      <c r="Q311" s="172">
        <v>12</v>
      </c>
      <c r="R311" s="103" t="s">
        <v>1031</v>
      </c>
      <c r="S311" s="103">
        <v>322020201</v>
      </c>
      <c r="T311" s="104" t="str">
        <f t="shared" si="157"/>
        <v>UITexture/TechProd/322020201.png</v>
      </c>
      <c r="U311" s="172" t="s">
        <v>1147</v>
      </c>
      <c r="V311" s="104">
        <f t="shared" ref="V311:V314" si="191">W311*1000+X311</f>
        <v>0</v>
      </c>
      <c r="Z311" s="172">
        <v>1</v>
      </c>
      <c r="AB311" s="102">
        <f ca="1">IFERROR(OFFSET(BLDG_FUNC_PARAM!$A$5,MATCH(AC311,BLDG_FUNC_PARAM!$J$5:$J$68,0)-1,0),0)</f>
        <v>122020002</v>
      </c>
      <c r="AC311" s="103" t="s">
        <v>965</v>
      </c>
      <c r="AD311" s="102">
        <v>420</v>
      </c>
      <c r="AN311" s="102">
        <v>0</v>
      </c>
      <c r="AO311" s="102">
        <v>0</v>
      </c>
      <c r="AT311" s="104">
        <f t="shared" si="188"/>
        <v>1320</v>
      </c>
      <c r="AW311" s="103">
        <v>22</v>
      </c>
      <c r="AY311" s="102">
        <v>2200</v>
      </c>
      <c r="AZ311" s="102">
        <v>220</v>
      </c>
      <c r="BA311" s="172">
        <v>0</v>
      </c>
      <c r="BC311" s="104">
        <f ca="1">IFERROR(OFFSET(ITEM_RES!$A$5,MATCH(BD311,ITEM_RES!$M$5:$M$84,0)-1,0),0)</f>
        <v>0</v>
      </c>
    </row>
    <row r="312" spans="1:73" x14ac:dyDescent="0.3">
      <c r="A312" s="107">
        <f t="shared" si="190"/>
        <v>322020223</v>
      </c>
      <c r="B312" s="106">
        <v>32</v>
      </c>
      <c r="C312" s="105">
        <f t="shared" si="186"/>
        <v>2</v>
      </c>
      <c r="D312" s="106">
        <v>2</v>
      </c>
      <c r="E312" s="106">
        <v>2</v>
      </c>
      <c r="F312" s="105">
        <f t="shared" si="155"/>
        <v>23</v>
      </c>
      <c r="H312" s="103">
        <v>2</v>
      </c>
      <c r="I312" s="105">
        <f t="shared" si="187"/>
        <v>202</v>
      </c>
      <c r="J312" s="172">
        <v>23</v>
      </c>
      <c r="L312" s="172" t="s">
        <v>1115</v>
      </c>
      <c r="M312" s="172" t="s">
        <v>1132</v>
      </c>
      <c r="N312" s="103" t="s">
        <v>381</v>
      </c>
      <c r="O312" s="103" t="s">
        <v>1082</v>
      </c>
      <c r="P312" s="172">
        <v>0</v>
      </c>
      <c r="Q312" s="172">
        <v>12</v>
      </c>
      <c r="R312" s="103" t="s">
        <v>1031</v>
      </c>
      <c r="S312" s="103">
        <v>322020201</v>
      </c>
      <c r="T312" s="104" t="str">
        <f t="shared" si="157"/>
        <v>UITexture/TechProd/322020201.png</v>
      </c>
      <c r="U312" s="172" t="s">
        <v>1147</v>
      </c>
      <c r="V312" s="104">
        <f t="shared" si="191"/>
        <v>0</v>
      </c>
      <c r="Z312" s="172">
        <v>1</v>
      </c>
      <c r="AB312" s="102">
        <f ca="1">IFERROR(OFFSET(BLDG_FUNC_PARAM!$A$5,MATCH(AC312,BLDG_FUNC_PARAM!$J$5:$J$68,0)-1,0),0)</f>
        <v>122020002</v>
      </c>
      <c r="AC312" s="103" t="s">
        <v>965</v>
      </c>
      <c r="AD312" s="102">
        <v>430</v>
      </c>
      <c r="AN312" s="102">
        <v>0</v>
      </c>
      <c r="AO312" s="102">
        <v>0</v>
      </c>
      <c r="AT312" s="104">
        <f t="shared" si="188"/>
        <v>1380</v>
      </c>
      <c r="AW312" s="103">
        <v>23</v>
      </c>
      <c r="AY312" s="102">
        <v>2300</v>
      </c>
      <c r="AZ312" s="102">
        <v>230</v>
      </c>
      <c r="BA312" s="172">
        <v>0</v>
      </c>
      <c r="BC312" s="104">
        <f ca="1">IFERROR(OFFSET(ITEM_RES!$A$5,MATCH(BD312,ITEM_RES!$M$5:$M$84,0)-1,0),0)</f>
        <v>0</v>
      </c>
    </row>
    <row r="313" spans="1:73" x14ac:dyDescent="0.3">
      <c r="A313" s="107">
        <f t="shared" si="190"/>
        <v>322020224</v>
      </c>
      <c r="B313" s="106">
        <v>32</v>
      </c>
      <c r="C313" s="105">
        <f t="shared" si="186"/>
        <v>2</v>
      </c>
      <c r="D313" s="106">
        <v>2</v>
      </c>
      <c r="E313" s="106">
        <v>2</v>
      </c>
      <c r="F313" s="105">
        <f t="shared" si="155"/>
        <v>24</v>
      </c>
      <c r="H313" s="103">
        <v>2</v>
      </c>
      <c r="I313" s="105">
        <f t="shared" si="187"/>
        <v>202</v>
      </c>
      <c r="J313" s="172">
        <v>24</v>
      </c>
      <c r="L313" s="172" t="s">
        <v>1115</v>
      </c>
      <c r="M313" s="172" t="s">
        <v>1132</v>
      </c>
      <c r="N313" s="103" t="s">
        <v>381</v>
      </c>
      <c r="O313" s="103" t="s">
        <v>1082</v>
      </c>
      <c r="P313" s="172">
        <v>0</v>
      </c>
      <c r="Q313" s="172">
        <v>12</v>
      </c>
      <c r="R313" s="103" t="s">
        <v>1031</v>
      </c>
      <c r="S313" s="103">
        <v>322020201</v>
      </c>
      <c r="T313" s="104" t="str">
        <f t="shared" si="157"/>
        <v>UITexture/TechProd/322020201.png</v>
      </c>
      <c r="U313" s="172" t="s">
        <v>1147</v>
      </c>
      <c r="V313" s="104">
        <f t="shared" si="191"/>
        <v>0</v>
      </c>
      <c r="Z313" s="172">
        <v>1</v>
      </c>
      <c r="AB313" s="102">
        <f ca="1">IFERROR(OFFSET(BLDG_FUNC_PARAM!$A$5,MATCH(AC313,BLDG_FUNC_PARAM!$J$5:$J$68,0)-1,0),0)</f>
        <v>122020002</v>
      </c>
      <c r="AC313" s="103" t="s">
        <v>965</v>
      </c>
      <c r="AD313" s="102">
        <v>440</v>
      </c>
      <c r="AN313" s="102">
        <v>0</v>
      </c>
      <c r="AO313" s="102">
        <v>0</v>
      </c>
      <c r="AT313" s="104">
        <f t="shared" si="188"/>
        <v>1440</v>
      </c>
      <c r="AW313" s="103">
        <v>24</v>
      </c>
      <c r="AY313" s="102">
        <v>2400</v>
      </c>
      <c r="AZ313" s="102">
        <v>240</v>
      </c>
      <c r="BA313" s="172">
        <v>0</v>
      </c>
      <c r="BC313" s="104">
        <f ca="1">IFERROR(OFFSET(ITEM_RES!$A$5,MATCH(BD313,ITEM_RES!$M$5:$M$84,0)-1,0),0)</f>
        <v>0</v>
      </c>
    </row>
    <row r="314" spans="1:73" x14ac:dyDescent="0.3">
      <c r="A314" s="107">
        <f t="shared" si="190"/>
        <v>322020225</v>
      </c>
      <c r="B314" s="106">
        <v>32</v>
      </c>
      <c r="C314" s="105">
        <f t="shared" si="186"/>
        <v>2</v>
      </c>
      <c r="D314" s="106">
        <v>2</v>
      </c>
      <c r="E314" s="106">
        <v>2</v>
      </c>
      <c r="F314" s="105">
        <f t="shared" si="155"/>
        <v>25</v>
      </c>
      <c r="H314" s="103">
        <v>2</v>
      </c>
      <c r="I314" s="105">
        <f t="shared" si="187"/>
        <v>202</v>
      </c>
      <c r="J314" s="172">
        <v>25</v>
      </c>
      <c r="L314" s="172" t="s">
        <v>1115</v>
      </c>
      <c r="M314" s="172" t="s">
        <v>1132</v>
      </c>
      <c r="N314" s="103" t="s">
        <v>381</v>
      </c>
      <c r="O314" s="103" t="s">
        <v>1082</v>
      </c>
      <c r="P314" s="172">
        <v>0</v>
      </c>
      <c r="Q314" s="172">
        <v>12</v>
      </c>
      <c r="R314" s="103" t="s">
        <v>1031</v>
      </c>
      <c r="S314" s="103">
        <v>322020201</v>
      </c>
      <c r="T314" s="104" t="str">
        <f t="shared" si="157"/>
        <v>UITexture/TechProd/322020201.png</v>
      </c>
      <c r="U314" s="172" t="s">
        <v>1147</v>
      </c>
      <c r="V314" s="104">
        <f t="shared" si="191"/>
        <v>0</v>
      </c>
      <c r="Z314" s="172">
        <v>1</v>
      </c>
      <c r="AB314" s="102">
        <f ca="1">IFERROR(OFFSET(BLDG_FUNC_PARAM!$A$5,MATCH(AC314,BLDG_FUNC_PARAM!$J$5:$J$68,0)-1,0),0)</f>
        <v>122020002</v>
      </c>
      <c r="AC314" s="103" t="s">
        <v>965</v>
      </c>
      <c r="AD314" s="102">
        <v>500</v>
      </c>
      <c r="AN314" s="102">
        <v>24</v>
      </c>
      <c r="AO314" s="102">
        <v>0</v>
      </c>
      <c r="AT314" s="104">
        <f t="shared" si="188"/>
        <v>1500</v>
      </c>
      <c r="AW314" s="103">
        <v>25</v>
      </c>
      <c r="AY314" s="102">
        <v>2500</v>
      </c>
      <c r="AZ314" s="102">
        <v>250</v>
      </c>
      <c r="BA314" s="172">
        <v>0</v>
      </c>
      <c r="BC314" s="104">
        <f ca="1">IFERROR(OFFSET(ITEM_RES!$A$5,MATCH(BD314,ITEM_RES!$M$5:$M$84,0)-1,0),0)</f>
        <v>0</v>
      </c>
    </row>
    <row r="315" spans="1:73" x14ac:dyDescent="0.3">
      <c r="A315" s="107">
        <f t="shared" si="190"/>
        <v>322020226</v>
      </c>
      <c r="B315" s="106">
        <v>32</v>
      </c>
      <c r="C315" s="105">
        <f t="shared" ref="C315:C319" si="192">H315</f>
        <v>2</v>
      </c>
      <c r="D315" s="106">
        <v>2</v>
      </c>
      <c r="E315" s="106">
        <v>2</v>
      </c>
      <c r="F315" s="105">
        <f t="shared" si="155"/>
        <v>26</v>
      </c>
      <c r="H315" s="103">
        <v>2</v>
      </c>
      <c r="I315" s="105">
        <f t="shared" ref="I315:I319" si="193">C315*100+D315</f>
        <v>202</v>
      </c>
      <c r="J315" s="172">
        <v>26</v>
      </c>
      <c r="L315" s="172" t="s">
        <v>1115</v>
      </c>
      <c r="M315" s="172" t="s">
        <v>1132</v>
      </c>
      <c r="N315" s="103" t="s">
        <v>381</v>
      </c>
      <c r="O315" s="103" t="s">
        <v>1082</v>
      </c>
      <c r="P315" s="172">
        <v>0</v>
      </c>
      <c r="Q315" s="172">
        <v>12</v>
      </c>
      <c r="R315" s="103" t="s">
        <v>1031</v>
      </c>
      <c r="S315" s="103">
        <v>322020201</v>
      </c>
      <c r="T315" s="104" t="str">
        <f t="shared" si="157"/>
        <v>UITexture/TechProd/322020201.png</v>
      </c>
      <c r="U315" s="172" t="s">
        <v>1147</v>
      </c>
      <c r="V315" s="104">
        <f>W315*1000+X315</f>
        <v>0</v>
      </c>
      <c r="Z315" s="172">
        <v>1</v>
      </c>
      <c r="AB315" s="102">
        <f ca="1">IFERROR(OFFSET(BLDG_FUNC_PARAM!$A$5,MATCH(AC315,BLDG_FUNC_PARAM!$J$5:$J$68,0)-1,0),0)</f>
        <v>122020002</v>
      </c>
      <c r="AC315" s="103" t="s">
        <v>965</v>
      </c>
      <c r="AD315" s="102">
        <v>510</v>
      </c>
      <c r="AN315" s="102">
        <v>0</v>
      </c>
      <c r="AO315" s="102">
        <v>0</v>
      </c>
      <c r="AT315" s="104">
        <f t="shared" ref="AT315:AT319" si="194">((AU315*24+AV315)*60+AW315)*60+AX315</f>
        <v>1560</v>
      </c>
      <c r="AW315" s="103">
        <v>26</v>
      </c>
      <c r="AY315" s="102">
        <v>2600</v>
      </c>
      <c r="AZ315" s="102">
        <v>260</v>
      </c>
      <c r="BA315" s="172">
        <v>0</v>
      </c>
      <c r="BC315" s="104">
        <f ca="1">IFERROR(OFFSET(ITEM_RES!$A$5,MATCH(BD315,ITEM_RES!$M$5:$M$84,0)-1,0),0)</f>
        <v>0</v>
      </c>
    </row>
    <row r="316" spans="1:73" x14ac:dyDescent="0.3">
      <c r="A316" s="107">
        <f t="shared" si="190"/>
        <v>322020227</v>
      </c>
      <c r="B316" s="106">
        <v>32</v>
      </c>
      <c r="C316" s="105">
        <f t="shared" si="192"/>
        <v>2</v>
      </c>
      <c r="D316" s="106">
        <v>2</v>
      </c>
      <c r="E316" s="106">
        <v>2</v>
      </c>
      <c r="F316" s="105">
        <f t="shared" si="155"/>
        <v>27</v>
      </c>
      <c r="H316" s="103">
        <v>2</v>
      </c>
      <c r="I316" s="105">
        <f t="shared" si="193"/>
        <v>202</v>
      </c>
      <c r="J316" s="172">
        <v>27</v>
      </c>
      <c r="L316" s="172" t="s">
        <v>1115</v>
      </c>
      <c r="M316" s="172" t="s">
        <v>1132</v>
      </c>
      <c r="N316" s="103" t="s">
        <v>381</v>
      </c>
      <c r="O316" s="103" t="s">
        <v>1082</v>
      </c>
      <c r="P316" s="172">
        <v>0</v>
      </c>
      <c r="Q316" s="172">
        <v>12</v>
      </c>
      <c r="R316" s="103" t="s">
        <v>1031</v>
      </c>
      <c r="S316" s="103">
        <v>322020201</v>
      </c>
      <c r="T316" s="104" t="str">
        <f t="shared" si="157"/>
        <v>UITexture/TechProd/322020201.png</v>
      </c>
      <c r="U316" s="172" t="s">
        <v>1147</v>
      </c>
      <c r="V316" s="104">
        <f t="shared" ref="V316:V319" si="195">W316*1000+X316</f>
        <v>0</v>
      </c>
      <c r="Z316" s="172">
        <v>1</v>
      </c>
      <c r="AB316" s="102">
        <f ca="1">IFERROR(OFFSET(BLDG_FUNC_PARAM!$A$5,MATCH(AC316,BLDG_FUNC_PARAM!$J$5:$J$68,0)-1,0),0)</f>
        <v>122020002</v>
      </c>
      <c r="AC316" s="103" t="s">
        <v>965</v>
      </c>
      <c r="AD316" s="102">
        <v>520</v>
      </c>
      <c r="AN316" s="102">
        <v>0</v>
      </c>
      <c r="AO316" s="102">
        <v>0</v>
      </c>
      <c r="AT316" s="104">
        <f t="shared" si="194"/>
        <v>1620</v>
      </c>
      <c r="AW316" s="103">
        <v>27</v>
      </c>
      <c r="AY316" s="102">
        <v>2700</v>
      </c>
      <c r="AZ316" s="102">
        <v>270</v>
      </c>
      <c r="BA316" s="172">
        <v>0</v>
      </c>
      <c r="BC316" s="104">
        <f ca="1">IFERROR(OFFSET(ITEM_RES!$A$5,MATCH(BD316,ITEM_RES!$M$5:$M$84,0)-1,0),0)</f>
        <v>0</v>
      </c>
    </row>
    <row r="317" spans="1:73" x14ac:dyDescent="0.3">
      <c r="A317" s="107">
        <f t="shared" si="190"/>
        <v>322020228</v>
      </c>
      <c r="B317" s="106">
        <v>32</v>
      </c>
      <c r="C317" s="105">
        <f t="shared" si="192"/>
        <v>2</v>
      </c>
      <c r="D317" s="106">
        <v>2</v>
      </c>
      <c r="E317" s="106">
        <v>2</v>
      </c>
      <c r="F317" s="105">
        <f t="shared" si="155"/>
        <v>28</v>
      </c>
      <c r="H317" s="103">
        <v>2</v>
      </c>
      <c r="I317" s="105">
        <f t="shared" si="193"/>
        <v>202</v>
      </c>
      <c r="J317" s="172">
        <v>28</v>
      </c>
      <c r="L317" s="172" t="s">
        <v>1115</v>
      </c>
      <c r="M317" s="172" t="s">
        <v>1132</v>
      </c>
      <c r="N317" s="103" t="s">
        <v>381</v>
      </c>
      <c r="O317" s="103" t="s">
        <v>1082</v>
      </c>
      <c r="P317" s="172">
        <v>0</v>
      </c>
      <c r="Q317" s="172">
        <v>12</v>
      </c>
      <c r="R317" s="103" t="s">
        <v>1031</v>
      </c>
      <c r="S317" s="103">
        <v>322020201</v>
      </c>
      <c r="T317" s="104" t="str">
        <f t="shared" si="157"/>
        <v>UITexture/TechProd/322020201.png</v>
      </c>
      <c r="U317" s="172" t="s">
        <v>1147</v>
      </c>
      <c r="V317" s="104">
        <f t="shared" si="195"/>
        <v>0</v>
      </c>
      <c r="Z317" s="172">
        <v>1</v>
      </c>
      <c r="AB317" s="102">
        <f ca="1">IFERROR(OFFSET(BLDG_FUNC_PARAM!$A$5,MATCH(AC317,BLDG_FUNC_PARAM!$J$5:$J$68,0)-1,0),0)</f>
        <v>122020002</v>
      </c>
      <c r="AC317" s="103" t="s">
        <v>965</v>
      </c>
      <c r="AD317" s="102">
        <v>530</v>
      </c>
      <c r="AN317" s="102">
        <v>0</v>
      </c>
      <c r="AO317" s="102">
        <v>0</v>
      </c>
      <c r="AT317" s="104">
        <f t="shared" si="194"/>
        <v>1680</v>
      </c>
      <c r="AW317" s="103">
        <v>28</v>
      </c>
      <c r="AY317" s="102">
        <v>2800</v>
      </c>
      <c r="AZ317" s="102">
        <v>280</v>
      </c>
      <c r="BA317" s="172">
        <v>0</v>
      </c>
      <c r="BC317" s="104">
        <f ca="1">IFERROR(OFFSET(ITEM_RES!$A$5,MATCH(BD317,ITEM_RES!$M$5:$M$84,0)-1,0),0)</f>
        <v>0</v>
      </c>
    </row>
    <row r="318" spans="1:73" x14ac:dyDescent="0.3">
      <c r="A318" s="107">
        <f t="shared" si="190"/>
        <v>322020229</v>
      </c>
      <c r="B318" s="106">
        <v>32</v>
      </c>
      <c r="C318" s="105">
        <f t="shared" si="192"/>
        <v>2</v>
      </c>
      <c r="D318" s="106">
        <v>2</v>
      </c>
      <c r="E318" s="106">
        <v>2</v>
      </c>
      <c r="F318" s="105">
        <f t="shared" si="155"/>
        <v>29</v>
      </c>
      <c r="H318" s="103">
        <v>2</v>
      </c>
      <c r="I318" s="105">
        <f t="shared" si="193"/>
        <v>202</v>
      </c>
      <c r="J318" s="172">
        <v>29</v>
      </c>
      <c r="L318" s="172" t="s">
        <v>1115</v>
      </c>
      <c r="M318" s="172" t="s">
        <v>1132</v>
      </c>
      <c r="N318" s="103" t="s">
        <v>381</v>
      </c>
      <c r="O318" s="103" t="s">
        <v>1082</v>
      </c>
      <c r="P318" s="172">
        <v>0</v>
      </c>
      <c r="Q318" s="172">
        <v>12</v>
      </c>
      <c r="R318" s="103" t="s">
        <v>1031</v>
      </c>
      <c r="S318" s="103">
        <v>322020201</v>
      </c>
      <c r="T318" s="104" t="str">
        <f t="shared" si="157"/>
        <v>UITexture/TechProd/322020201.png</v>
      </c>
      <c r="U318" s="172" t="s">
        <v>1147</v>
      </c>
      <c r="V318" s="104">
        <f t="shared" si="195"/>
        <v>0</v>
      </c>
      <c r="Z318" s="172">
        <v>1</v>
      </c>
      <c r="AB318" s="102">
        <f ca="1">IFERROR(OFFSET(BLDG_FUNC_PARAM!$A$5,MATCH(AC318,BLDG_FUNC_PARAM!$J$5:$J$68,0)-1,0),0)</f>
        <v>122020002</v>
      </c>
      <c r="AC318" s="103" t="s">
        <v>965</v>
      </c>
      <c r="AD318" s="102">
        <v>540</v>
      </c>
      <c r="AN318" s="102">
        <v>0</v>
      </c>
      <c r="AO318" s="102">
        <v>0</v>
      </c>
      <c r="AT318" s="104">
        <f t="shared" si="194"/>
        <v>1740</v>
      </c>
      <c r="AW318" s="103">
        <v>29</v>
      </c>
      <c r="AY318" s="102">
        <v>2900</v>
      </c>
      <c r="AZ318" s="102">
        <v>290</v>
      </c>
      <c r="BA318" s="172">
        <v>0</v>
      </c>
      <c r="BC318" s="104">
        <f ca="1">IFERROR(OFFSET(ITEM_RES!$A$5,MATCH(BD318,ITEM_RES!$M$5:$M$84,0)-1,0),0)</f>
        <v>0</v>
      </c>
    </row>
    <row r="319" spans="1:73" s="108" customFormat="1" ht="17.25" thickBot="1" x14ac:dyDescent="0.35">
      <c r="A319" s="114">
        <f t="shared" ref="A319" si="196">B319*10000000+C319*1000000+D319*10000+E319*100+F319</f>
        <v>322020230</v>
      </c>
      <c r="B319" s="113">
        <v>32</v>
      </c>
      <c r="C319" s="112">
        <f t="shared" si="192"/>
        <v>2</v>
      </c>
      <c r="D319" s="113">
        <v>2</v>
      </c>
      <c r="E319" s="113">
        <v>2</v>
      </c>
      <c r="F319" s="112">
        <f t="shared" si="155"/>
        <v>30</v>
      </c>
      <c r="G319" s="259"/>
      <c r="H319" s="110">
        <v>2</v>
      </c>
      <c r="I319" s="112">
        <f t="shared" si="193"/>
        <v>202</v>
      </c>
      <c r="J319" s="175">
        <v>30</v>
      </c>
      <c r="K319" s="259"/>
      <c r="L319" s="175" t="s">
        <v>1115</v>
      </c>
      <c r="M319" s="175" t="s">
        <v>1132</v>
      </c>
      <c r="N319" s="110" t="s">
        <v>381</v>
      </c>
      <c r="O319" s="110" t="s">
        <v>1082</v>
      </c>
      <c r="P319" s="175">
        <v>0</v>
      </c>
      <c r="Q319" s="175">
        <v>12</v>
      </c>
      <c r="R319" s="110" t="s">
        <v>1031</v>
      </c>
      <c r="S319" s="110">
        <v>322020201</v>
      </c>
      <c r="T319" s="111" t="str">
        <f t="shared" si="157"/>
        <v>UITexture/TechProd/322020201.png</v>
      </c>
      <c r="U319" s="175" t="s">
        <v>1147</v>
      </c>
      <c r="V319" s="111">
        <f t="shared" si="195"/>
        <v>0</v>
      </c>
      <c r="W319" s="110"/>
      <c r="X319" s="110"/>
      <c r="Y319" s="259"/>
      <c r="Z319" s="175">
        <v>1</v>
      </c>
      <c r="AA319" s="111"/>
      <c r="AB319" s="109">
        <f ca="1">IFERROR(OFFSET(BLDG_FUNC_PARAM!$A$5,MATCH(AC319,BLDG_FUNC_PARAM!$J$5:$J$68,0)-1,0),0)</f>
        <v>122020002</v>
      </c>
      <c r="AC319" s="110" t="s">
        <v>965</v>
      </c>
      <c r="AD319" s="109">
        <v>600</v>
      </c>
      <c r="AE319" s="111"/>
      <c r="AF319" s="109"/>
      <c r="AG319" s="110"/>
      <c r="AH319" s="109"/>
      <c r="AI319" s="111"/>
      <c r="AJ319" s="109"/>
      <c r="AK319" s="110"/>
      <c r="AL319" s="109"/>
      <c r="AM319" s="259"/>
      <c r="AN319" s="109">
        <v>29</v>
      </c>
      <c r="AO319" s="109">
        <v>0</v>
      </c>
      <c r="AP319" s="109"/>
      <c r="AQ319" s="109"/>
      <c r="AR319" s="109"/>
      <c r="AS319" s="259"/>
      <c r="AT319" s="111">
        <f t="shared" si="194"/>
        <v>1800</v>
      </c>
      <c r="AU319" s="110"/>
      <c r="AV319" s="110"/>
      <c r="AW319" s="110">
        <v>30</v>
      </c>
      <c r="AX319" s="110"/>
      <c r="AY319" s="109">
        <v>3000</v>
      </c>
      <c r="AZ319" s="109">
        <v>300</v>
      </c>
      <c r="BA319" s="175">
        <v>0</v>
      </c>
      <c r="BB319" s="111"/>
      <c r="BC319" s="111">
        <f ca="1">IFERROR(OFFSET(ITEM_RES!$A$5,MATCH(BD319,ITEM_RES!$M$5:$M$84,0)-1,0),0)</f>
        <v>0</v>
      </c>
      <c r="BD319" s="110"/>
      <c r="BE319" s="109"/>
      <c r="BF319" s="111"/>
      <c r="BG319" s="111"/>
      <c r="BH319" s="110"/>
      <c r="BI319" s="109"/>
      <c r="BJ319" s="111"/>
      <c r="BK319" s="111"/>
      <c r="BL319" s="110"/>
      <c r="BM319" s="109"/>
      <c r="BN319" s="111"/>
      <c r="BO319" s="111"/>
      <c r="BP319" s="110"/>
      <c r="BQ319" s="109"/>
      <c r="BR319" s="111"/>
      <c r="BS319" s="111"/>
      <c r="BT319" s="110"/>
      <c r="BU319" s="109"/>
    </row>
    <row r="320" spans="1:73" s="115" customFormat="1" x14ac:dyDescent="0.3">
      <c r="A320" s="121">
        <f t="shared" si="179"/>
        <v>322030101</v>
      </c>
      <c r="B320" s="120">
        <v>32</v>
      </c>
      <c r="C320" s="119">
        <f t="shared" si="153"/>
        <v>2</v>
      </c>
      <c r="D320" s="120">
        <v>3</v>
      </c>
      <c r="E320" s="120">
        <v>1</v>
      </c>
      <c r="F320" s="119">
        <f t="shared" si="155"/>
        <v>1</v>
      </c>
      <c r="G320" s="258"/>
      <c r="H320" s="117">
        <v>2</v>
      </c>
      <c r="I320" s="119">
        <f t="shared" si="5"/>
        <v>203</v>
      </c>
      <c r="J320" s="174">
        <v>1</v>
      </c>
      <c r="K320" s="258"/>
      <c r="L320" s="174" t="s">
        <v>1115</v>
      </c>
      <c r="M320" s="174" t="s">
        <v>1133</v>
      </c>
      <c r="N320" s="117" t="s">
        <v>506</v>
      </c>
      <c r="O320" s="117" t="s">
        <v>1083</v>
      </c>
      <c r="P320" s="174">
        <v>1</v>
      </c>
      <c r="Q320" s="174">
        <v>12</v>
      </c>
      <c r="R320" s="117" t="s">
        <v>1031</v>
      </c>
      <c r="S320" s="117">
        <v>322030101</v>
      </c>
      <c r="T320" s="118" t="str">
        <f t="shared" si="157"/>
        <v>UITexture/TechProd/322030101.png</v>
      </c>
      <c r="U320" s="174" t="s">
        <v>1148</v>
      </c>
      <c r="V320" s="118">
        <f t="shared" si="156"/>
        <v>1005</v>
      </c>
      <c r="W320" s="117">
        <v>1</v>
      </c>
      <c r="X320" s="117">
        <v>5</v>
      </c>
      <c r="Y320" s="258"/>
      <c r="Z320" s="174">
        <v>1</v>
      </c>
      <c r="AA320" s="118"/>
      <c r="AB320" s="116">
        <f ca="1">IFERROR(OFFSET(BLDG_FUNC_PARAM!$A$5,MATCH(AC320,BLDG_FUNC_PARAM!$J$5:$J$68,0)-1,0),0)</f>
        <v>122030001</v>
      </c>
      <c r="AC320" s="117" t="s">
        <v>966</v>
      </c>
      <c r="AD320" s="116">
        <v>2</v>
      </c>
      <c r="AE320" s="118"/>
      <c r="AF320" s="116"/>
      <c r="AG320" s="117"/>
      <c r="AH320" s="116"/>
      <c r="AI320" s="118"/>
      <c r="AJ320" s="116"/>
      <c r="AK320" s="117"/>
      <c r="AL320" s="116"/>
      <c r="AM320" s="258"/>
      <c r="AN320" s="116">
        <v>3</v>
      </c>
      <c r="AO320" s="116">
        <v>0</v>
      </c>
      <c r="AP320" s="116"/>
      <c r="AQ320" s="116"/>
      <c r="AR320" s="116"/>
      <c r="AS320" s="258"/>
      <c r="AT320" s="118">
        <f t="shared" si="154"/>
        <v>60</v>
      </c>
      <c r="AU320" s="117"/>
      <c r="AV320" s="117"/>
      <c r="AW320" s="117">
        <v>1</v>
      </c>
      <c r="AX320" s="117"/>
      <c r="AY320" s="116">
        <v>100</v>
      </c>
      <c r="AZ320" s="116">
        <v>10</v>
      </c>
      <c r="BA320" s="174">
        <v>0</v>
      </c>
      <c r="BB320" s="118"/>
      <c r="BC320" s="118">
        <f ca="1">IFERROR(OFFSET(ITEM_RES!$A$5,MATCH(BD320,ITEM_RES!$M$5:$M$84,0)-1,0),0)</f>
        <v>0</v>
      </c>
      <c r="BD320" s="117"/>
      <c r="BE320" s="116"/>
      <c r="BF320" s="118"/>
      <c r="BG320" s="118"/>
      <c r="BH320" s="117"/>
      <c r="BI320" s="116"/>
      <c r="BJ320" s="118"/>
      <c r="BK320" s="118"/>
      <c r="BL320" s="117"/>
      <c r="BM320" s="116"/>
      <c r="BN320" s="118"/>
      <c r="BO320" s="118"/>
      <c r="BP320" s="117"/>
      <c r="BQ320" s="116"/>
      <c r="BR320" s="118"/>
      <c r="BS320" s="118"/>
      <c r="BT320" s="117"/>
      <c r="BU320" s="116"/>
    </row>
    <row r="321" spans="1:55" x14ac:dyDescent="0.3">
      <c r="A321" s="107">
        <f t="shared" si="179"/>
        <v>322030102</v>
      </c>
      <c r="B321" s="106">
        <v>32</v>
      </c>
      <c r="C321" s="105">
        <f t="shared" si="153"/>
        <v>2</v>
      </c>
      <c r="D321" s="106">
        <v>3</v>
      </c>
      <c r="E321" s="106">
        <v>1</v>
      </c>
      <c r="F321" s="105">
        <f t="shared" si="155"/>
        <v>2</v>
      </c>
      <c r="H321" s="103">
        <v>2</v>
      </c>
      <c r="I321" s="105">
        <f t="shared" si="5"/>
        <v>203</v>
      </c>
      <c r="J321" s="172">
        <v>2</v>
      </c>
      <c r="L321" s="172" t="s">
        <v>1115</v>
      </c>
      <c r="M321" s="172" t="s">
        <v>1133</v>
      </c>
      <c r="N321" s="103" t="s">
        <v>506</v>
      </c>
      <c r="O321" s="103" t="s">
        <v>1083</v>
      </c>
      <c r="P321" s="172">
        <v>1</v>
      </c>
      <c r="Q321" s="172">
        <v>12</v>
      </c>
      <c r="R321" s="103" t="s">
        <v>1031</v>
      </c>
      <c r="S321" s="103">
        <v>322030101</v>
      </c>
      <c r="T321" s="104" t="str">
        <f t="shared" si="157"/>
        <v>UITexture/TechProd/322030101.png</v>
      </c>
      <c r="U321" s="172" t="s">
        <v>1148</v>
      </c>
      <c r="V321" s="104">
        <f t="shared" si="156"/>
        <v>0</v>
      </c>
      <c r="Z321" s="172">
        <v>1</v>
      </c>
      <c r="AB321" s="102">
        <f ca="1">IFERROR(OFFSET(BLDG_FUNC_PARAM!$A$5,MATCH(AC321,BLDG_FUNC_PARAM!$J$5:$J$68,0)-1,0),0)</f>
        <v>122030001</v>
      </c>
      <c r="AC321" s="103" t="s">
        <v>966</v>
      </c>
      <c r="AD321" s="102">
        <v>4</v>
      </c>
      <c r="AN321" s="102">
        <v>0</v>
      </c>
      <c r="AO321" s="102">
        <v>0</v>
      </c>
      <c r="AT321" s="104">
        <f t="shared" si="154"/>
        <v>120</v>
      </c>
      <c r="AW321" s="103">
        <v>2</v>
      </c>
      <c r="AY321" s="102">
        <v>200</v>
      </c>
      <c r="AZ321" s="102">
        <v>20</v>
      </c>
      <c r="BA321" s="172">
        <v>0</v>
      </c>
      <c r="BC321" s="104">
        <f ca="1">IFERROR(OFFSET(ITEM_RES!$A$5,MATCH(BD321,ITEM_RES!$M$5:$M$84,0)-1,0),0)</f>
        <v>0</v>
      </c>
    </row>
    <row r="322" spans="1:55" x14ac:dyDescent="0.3">
      <c r="A322" s="107">
        <f t="shared" si="179"/>
        <v>322030103</v>
      </c>
      <c r="B322" s="106">
        <v>32</v>
      </c>
      <c r="C322" s="105">
        <f t="shared" si="153"/>
        <v>2</v>
      </c>
      <c r="D322" s="106">
        <v>3</v>
      </c>
      <c r="E322" s="106">
        <v>1</v>
      </c>
      <c r="F322" s="105">
        <f t="shared" si="155"/>
        <v>3</v>
      </c>
      <c r="H322" s="103">
        <v>2</v>
      </c>
      <c r="I322" s="105">
        <f t="shared" si="5"/>
        <v>203</v>
      </c>
      <c r="J322" s="172">
        <v>3</v>
      </c>
      <c r="L322" s="172" t="s">
        <v>1115</v>
      </c>
      <c r="M322" s="172" t="s">
        <v>1133</v>
      </c>
      <c r="N322" s="103" t="s">
        <v>506</v>
      </c>
      <c r="O322" s="103" t="s">
        <v>1083</v>
      </c>
      <c r="P322" s="172">
        <v>1</v>
      </c>
      <c r="Q322" s="172">
        <v>12</v>
      </c>
      <c r="R322" s="103" t="s">
        <v>1031</v>
      </c>
      <c r="S322" s="103">
        <v>322030101</v>
      </c>
      <c r="T322" s="104" t="str">
        <f t="shared" si="157"/>
        <v>UITexture/TechProd/322030101.png</v>
      </c>
      <c r="U322" s="172" t="s">
        <v>1148</v>
      </c>
      <c r="V322" s="104">
        <f t="shared" si="156"/>
        <v>0</v>
      </c>
      <c r="Z322" s="172">
        <v>1</v>
      </c>
      <c r="AB322" s="102">
        <f ca="1">IFERROR(OFFSET(BLDG_FUNC_PARAM!$A$5,MATCH(AC322,BLDG_FUNC_PARAM!$J$5:$J$68,0)-1,0),0)</f>
        <v>122030001</v>
      </c>
      <c r="AC322" s="103" t="s">
        <v>966</v>
      </c>
      <c r="AD322" s="102">
        <v>6</v>
      </c>
      <c r="AN322" s="102">
        <v>0</v>
      </c>
      <c r="AO322" s="102">
        <v>0</v>
      </c>
      <c r="AT322" s="104">
        <f t="shared" si="154"/>
        <v>180</v>
      </c>
      <c r="AW322" s="103">
        <v>3</v>
      </c>
      <c r="AY322" s="102">
        <v>300</v>
      </c>
      <c r="AZ322" s="102">
        <v>30</v>
      </c>
      <c r="BA322" s="172">
        <v>0</v>
      </c>
      <c r="BC322" s="104">
        <f ca="1">IFERROR(OFFSET(ITEM_RES!$A$5,MATCH(BD322,ITEM_RES!$M$5:$M$84,0)-1,0),0)</f>
        <v>0</v>
      </c>
    </row>
    <row r="323" spans="1:55" x14ac:dyDescent="0.3">
      <c r="A323" s="107">
        <f t="shared" si="179"/>
        <v>322030104</v>
      </c>
      <c r="B323" s="106">
        <v>32</v>
      </c>
      <c r="C323" s="105">
        <f t="shared" si="153"/>
        <v>2</v>
      </c>
      <c r="D323" s="106">
        <v>3</v>
      </c>
      <c r="E323" s="106">
        <v>1</v>
      </c>
      <c r="F323" s="105">
        <f t="shared" si="155"/>
        <v>4</v>
      </c>
      <c r="H323" s="103">
        <v>2</v>
      </c>
      <c r="I323" s="105">
        <f t="shared" si="5"/>
        <v>203</v>
      </c>
      <c r="J323" s="172">
        <v>4</v>
      </c>
      <c r="L323" s="172" t="s">
        <v>1115</v>
      </c>
      <c r="M323" s="172" t="s">
        <v>1133</v>
      </c>
      <c r="N323" s="103" t="s">
        <v>506</v>
      </c>
      <c r="O323" s="103" t="s">
        <v>1083</v>
      </c>
      <c r="P323" s="172">
        <v>1</v>
      </c>
      <c r="Q323" s="172">
        <v>12</v>
      </c>
      <c r="R323" s="103" t="s">
        <v>1031</v>
      </c>
      <c r="S323" s="103">
        <v>322030101</v>
      </c>
      <c r="T323" s="104" t="str">
        <f t="shared" si="157"/>
        <v>UITexture/TechProd/322030101.png</v>
      </c>
      <c r="U323" s="172" t="s">
        <v>1148</v>
      </c>
      <c r="V323" s="104">
        <f t="shared" si="156"/>
        <v>0</v>
      </c>
      <c r="Z323" s="172">
        <v>1</v>
      </c>
      <c r="AB323" s="102">
        <f ca="1">IFERROR(OFFSET(BLDG_FUNC_PARAM!$A$5,MATCH(AC323,BLDG_FUNC_PARAM!$J$5:$J$68,0)-1,0),0)</f>
        <v>122030001</v>
      </c>
      <c r="AC323" s="103" t="s">
        <v>966</v>
      </c>
      <c r="AD323" s="102">
        <v>8</v>
      </c>
      <c r="AN323" s="102">
        <v>0</v>
      </c>
      <c r="AO323" s="102">
        <v>0</v>
      </c>
      <c r="AT323" s="104">
        <f t="shared" si="154"/>
        <v>240</v>
      </c>
      <c r="AW323" s="103">
        <v>4</v>
      </c>
      <c r="AY323" s="102">
        <v>400</v>
      </c>
      <c r="AZ323" s="102">
        <v>40</v>
      </c>
      <c r="BA323" s="172">
        <v>0</v>
      </c>
      <c r="BC323" s="104">
        <f ca="1">IFERROR(OFFSET(ITEM_RES!$A$5,MATCH(BD323,ITEM_RES!$M$5:$M$84,0)-1,0),0)</f>
        <v>0</v>
      </c>
    </row>
    <row r="324" spans="1:55" x14ac:dyDescent="0.3">
      <c r="A324" s="107">
        <f t="shared" si="179"/>
        <v>322030105</v>
      </c>
      <c r="B324" s="106">
        <v>32</v>
      </c>
      <c r="C324" s="105">
        <f t="shared" si="153"/>
        <v>2</v>
      </c>
      <c r="D324" s="106">
        <v>3</v>
      </c>
      <c r="E324" s="106">
        <v>1</v>
      </c>
      <c r="F324" s="105">
        <f t="shared" si="155"/>
        <v>5</v>
      </c>
      <c r="H324" s="103">
        <v>2</v>
      </c>
      <c r="I324" s="105">
        <f t="shared" si="5"/>
        <v>203</v>
      </c>
      <c r="J324" s="172">
        <v>5</v>
      </c>
      <c r="L324" s="172" t="s">
        <v>1115</v>
      </c>
      <c r="M324" s="172" t="s">
        <v>1133</v>
      </c>
      <c r="N324" s="103" t="s">
        <v>506</v>
      </c>
      <c r="O324" s="103" t="s">
        <v>1083</v>
      </c>
      <c r="P324" s="172">
        <v>1</v>
      </c>
      <c r="Q324" s="172">
        <v>12</v>
      </c>
      <c r="R324" s="103" t="s">
        <v>1031</v>
      </c>
      <c r="S324" s="103">
        <v>322030101</v>
      </c>
      <c r="T324" s="104" t="str">
        <f t="shared" si="157"/>
        <v>UITexture/TechProd/322030101.png</v>
      </c>
      <c r="U324" s="172" t="s">
        <v>1148</v>
      </c>
      <c r="V324" s="104">
        <f t="shared" si="156"/>
        <v>0</v>
      </c>
      <c r="Z324" s="172">
        <v>1</v>
      </c>
      <c r="AB324" s="102">
        <f ca="1">IFERROR(OFFSET(BLDG_FUNC_PARAM!$A$5,MATCH(AC324,BLDG_FUNC_PARAM!$J$5:$J$68,0)-1,0),0)</f>
        <v>122030001</v>
      </c>
      <c r="AC324" s="103" t="s">
        <v>966</v>
      </c>
      <c r="AD324" s="102">
        <v>20</v>
      </c>
      <c r="AN324" s="102">
        <v>7</v>
      </c>
      <c r="AO324" s="102">
        <v>0</v>
      </c>
      <c r="AT324" s="104">
        <f t="shared" si="154"/>
        <v>300</v>
      </c>
      <c r="AW324" s="103">
        <v>5</v>
      </c>
      <c r="AY324" s="102">
        <v>500</v>
      </c>
      <c r="AZ324" s="102">
        <v>50</v>
      </c>
      <c r="BA324" s="172">
        <v>0</v>
      </c>
      <c r="BC324" s="104">
        <f ca="1">IFERROR(OFFSET(ITEM_RES!$A$5,MATCH(BD324,ITEM_RES!$M$5:$M$84,0)-1,0),0)</f>
        <v>0</v>
      </c>
    </row>
    <row r="325" spans="1:55" x14ac:dyDescent="0.3">
      <c r="A325" s="107">
        <f t="shared" ref="A325:A334" si="197">B325*10000000+C325*1000000+D325*10000+E325*100+F325</f>
        <v>322030106</v>
      </c>
      <c r="B325" s="106">
        <v>32</v>
      </c>
      <c r="C325" s="105">
        <f t="shared" ref="C325:C334" si="198">H325</f>
        <v>2</v>
      </c>
      <c r="D325" s="106">
        <v>3</v>
      </c>
      <c r="E325" s="106">
        <v>1</v>
      </c>
      <c r="F325" s="105">
        <f t="shared" ref="F325:F384" si="199">J325</f>
        <v>6</v>
      </c>
      <c r="H325" s="103">
        <v>2</v>
      </c>
      <c r="I325" s="105">
        <f t="shared" ref="I325:I334" si="200">C325*100+D325</f>
        <v>203</v>
      </c>
      <c r="J325" s="172">
        <v>6</v>
      </c>
      <c r="L325" s="172" t="s">
        <v>1115</v>
      </c>
      <c r="M325" s="172" t="s">
        <v>1133</v>
      </c>
      <c r="N325" s="103" t="s">
        <v>506</v>
      </c>
      <c r="O325" s="103" t="s">
        <v>1083</v>
      </c>
      <c r="P325" s="172">
        <v>1</v>
      </c>
      <c r="Q325" s="172">
        <v>12</v>
      </c>
      <c r="R325" s="103" t="s">
        <v>1031</v>
      </c>
      <c r="S325" s="103">
        <v>322030101</v>
      </c>
      <c r="T325" s="104" t="str">
        <f t="shared" si="157"/>
        <v>UITexture/TechProd/322030101.png</v>
      </c>
      <c r="U325" s="172" t="s">
        <v>1148</v>
      </c>
      <c r="V325" s="104">
        <f t="shared" ref="V325:V334" si="201">W325*1000+X325</f>
        <v>0</v>
      </c>
      <c r="Z325" s="172">
        <v>1</v>
      </c>
      <c r="AB325" s="102">
        <f ca="1">IFERROR(OFFSET(BLDG_FUNC_PARAM!$A$5,MATCH(AC325,BLDG_FUNC_PARAM!$J$5:$J$68,0)-1,0),0)</f>
        <v>122030001</v>
      </c>
      <c r="AC325" s="103" t="s">
        <v>966</v>
      </c>
      <c r="AD325" s="102">
        <v>22</v>
      </c>
      <c r="AN325" s="102">
        <v>0</v>
      </c>
      <c r="AO325" s="102">
        <v>0</v>
      </c>
      <c r="AT325" s="104">
        <f t="shared" ref="AT325:AT334" si="202">((AU325*24+AV325)*60+AW325)*60+AX325</f>
        <v>360</v>
      </c>
      <c r="AW325" s="103">
        <v>6</v>
      </c>
      <c r="AY325" s="102">
        <v>600</v>
      </c>
      <c r="AZ325" s="102">
        <v>60</v>
      </c>
      <c r="BA325" s="172">
        <v>0</v>
      </c>
      <c r="BC325" s="104">
        <f ca="1">IFERROR(OFFSET(ITEM_RES!$A$5,MATCH(BD325,ITEM_RES!$M$5:$M$84,0)-1,0),0)</f>
        <v>0</v>
      </c>
    </row>
    <row r="326" spans="1:55" x14ac:dyDescent="0.3">
      <c r="A326" s="107">
        <f t="shared" si="197"/>
        <v>322030107</v>
      </c>
      <c r="B326" s="106">
        <v>32</v>
      </c>
      <c r="C326" s="105">
        <f t="shared" si="198"/>
        <v>2</v>
      </c>
      <c r="D326" s="106">
        <v>3</v>
      </c>
      <c r="E326" s="106">
        <v>1</v>
      </c>
      <c r="F326" s="105">
        <f t="shared" si="199"/>
        <v>7</v>
      </c>
      <c r="H326" s="103">
        <v>2</v>
      </c>
      <c r="I326" s="105">
        <f t="shared" si="200"/>
        <v>203</v>
      </c>
      <c r="J326" s="172">
        <v>7</v>
      </c>
      <c r="L326" s="172" t="s">
        <v>1115</v>
      </c>
      <c r="M326" s="172" t="s">
        <v>1133</v>
      </c>
      <c r="N326" s="103" t="s">
        <v>506</v>
      </c>
      <c r="O326" s="103" t="s">
        <v>1083</v>
      </c>
      <c r="P326" s="172">
        <v>1</v>
      </c>
      <c r="Q326" s="172">
        <v>12</v>
      </c>
      <c r="R326" s="103" t="s">
        <v>1031</v>
      </c>
      <c r="S326" s="103">
        <v>322030101</v>
      </c>
      <c r="T326" s="104" t="str">
        <f t="shared" ref="T326:T384" si="203">CONCATENATE(R326,S326,".png")</f>
        <v>UITexture/TechProd/322030101.png</v>
      </c>
      <c r="U326" s="172" t="s">
        <v>1148</v>
      </c>
      <c r="V326" s="104">
        <f t="shared" si="201"/>
        <v>0</v>
      </c>
      <c r="Z326" s="172">
        <v>1</v>
      </c>
      <c r="AB326" s="102">
        <f ca="1">IFERROR(OFFSET(BLDG_FUNC_PARAM!$A$5,MATCH(AC326,BLDG_FUNC_PARAM!$J$5:$J$68,0)-1,0),0)</f>
        <v>122030001</v>
      </c>
      <c r="AC326" s="103" t="s">
        <v>966</v>
      </c>
      <c r="AD326" s="102">
        <v>24</v>
      </c>
      <c r="AN326" s="102">
        <v>0</v>
      </c>
      <c r="AO326" s="102">
        <v>0</v>
      </c>
      <c r="AT326" s="104">
        <f t="shared" si="202"/>
        <v>420</v>
      </c>
      <c r="AW326" s="103">
        <v>7</v>
      </c>
      <c r="AY326" s="102">
        <v>700</v>
      </c>
      <c r="AZ326" s="102">
        <v>70</v>
      </c>
      <c r="BA326" s="172">
        <v>0</v>
      </c>
      <c r="BC326" s="104">
        <f ca="1">IFERROR(OFFSET(ITEM_RES!$A$5,MATCH(BD326,ITEM_RES!$M$5:$M$84,0)-1,0),0)</f>
        <v>0</v>
      </c>
    </row>
    <row r="327" spans="1:55" x14ac:dyDescent="0.3">
      <c r="A327" s="107">
        <f t="shared" si="197"/>
        <v>322030108</v>
      </c>
      <c r="B327" s="106">
        <v>32</v>
      </c>
      <c r="C327" s="105">
        <f t="shared" si="198"/>
        <v>2</v>
      </c>
      <c r="D327" s="106">
        <v>3</v>
      </c>
      <c r="E327" s="106">
        <v>1</v>
      </c>
      <c r="F327" s="105">
        <f t="shared" si="199"/>
        <v>8</v>
      </c>
      <c r="H327" s="103">
        <v>2</v>
      </c>
      <c r="I327" s="105">
        <f t="shared" si="200"/>
        <v>203</v>
      </c>
      <c r="J327" s="172">
        <v>8</v>
      </c>
      <c r="L327" s="172" t="s">
        <v>1115</v>
      </c>
      <c r="M327" s="172" t="s">
        <v>1133</v>
      </c>
      <c r="N327" s="103" t="s">
        <v>506</v>
      </c>
      <c r="O327" s="103" t="s">
        <v>1083</v>
      </c>
      <c r="P327" s="172">
        <v>1</v>
      </c>
      <c r="Q327" s="172">
        <v>12</v>
      </c>
      <c r="R327" s="103" t="s">
        <v>1031</v>
      </c>
      <c r="S327" s="103">
        <v>322030101</v>
      </c>
      <c r="T327" s="104" t="str">
        <f t="shared" si="203"/>
        <v>UITexture/TechProd/322030101.png</v>
      </c>
      <c r="U327" s="172" t="s">
        <v>1148</v>
      </c>
      <c r="V327" s="104">
        <f t="shared" si="201"/>
        <v>0</v>
      </c>
      <c r="Z327" s="172">
        <v>1</v>
      </c>
      <c r="AB327" s="102">
        <f ca="1">IFERROR(OFFSET(BLDG_FUNC_PARAM!$A$5,MATCH(AC327,BLDG_FUNC_PARAM!$J$5:$J$68,0)-1,0),0)</f>
        <v>122030001</v>
      </c>
      <c r="AC327" s="103" t="s">
        <v>966</v>
      </c>
      <c r="AD327" s="102">
        <v>26</v>
      </c>
      <c r="AN327" s="102">
        <v>0</v>
      </c>
      <c r="AO327" s="102">
        <v>0</v>
      </c>
      <c r="AT327" s="104">
        <f t="shared" si="202"/>
        <v>480</v>
      </c>
      <c r="AW327" s="103">
        <v>8</v>
      </c>
      <c r="AY327" s="102">
        <v>800</v>
      </c>
      <c r="AZ327" s="102">
        <v>80</v>
      </c>
      <c r="BA327" s="172">
        <v>0</v>
      </c>
      <c r="BC327" s="104">
        <f ca="1">IFERROR(OFFSET(ITEM_RES!$A$5,MATCH(BD327,ITEM_RES!$M$5:$M$84,0)-1,0),0)</f>
        <v>0</v>
      </c>
    </row>
    <row r="328" spans="1:55" x14ac:dyDescent="0.3">
      <c r="A328" s="107">
        <f t="shared" si="197"/>
        <v>322030109</v>
      </c>
      <c r="B328" s="106">
        <v>32</v>
      </c>
      <c r="C328" s="105">
        <f t="shared" si="198"/>
        <v>2</v>
      </c>
      <c r="D328" s="106">
        <v>3</v>
      </c>
      <c r="E328" s="106">
        <v>1</v>
      </c>
      <c r="F328" s="105">
        <f t="shared" si="199"/>
        <v>9</v>
      </c>
      <c r="H328" s="103">
        <v>2</v>
      </c>
      <c r="I328" s="105">
        <f t="shared" si="200"/>
        <v>203</v>
      </c>
      <c r="J328" s="172">
        <v>9</v>
      </c>
      <c r="L328" s="172" t="s">
        <v>1115</v>
      </c>
      <c r="M328" s="172" t="s">
        <v>1133</v>
      </c>
      <c r="N328" s="103" t="s">
        <v>506</v>
      </c>
      <c r="O328" s="103" t="s">
        <v>1083</v>
      </c>
      <c r="P328" s="172">
        <v>1</v>
      </c>
      <c r="Q328" s="172">
        <v>12</v>
      </c>
      <c r="R328" s="103" t="s">
        <v>1031</v>
      </c>
      <c r="S328" s="103">
        <v>322030101</v>
      </c>
      <c r="T328" s="104" t="str">
        <f t="shared" si="203"/>
        <v>UITexture/TechProd/322030101.png</v>
      </c>
      <c r="U328" s="172" t="s">
        <v>1148</v>
      </c>
      <c r="V328" s="104">
        <f t="shared" si="201"/>
        <v>0</v>
      </c>
      <c r="Z328" s="172">
        <v>1</v>
      </c>
      <c r="AB328" s="102">
        <f ca="1">IFERROR(OFFSET(BLDG_FUNC_PARAM!$A$5,MATCH(AC328,BLDG_FUNC_PARAM!$J$5:$J$68,0)-1,0),0)</f>
        <v>122030001</v>
      </c>
      <c r="AC328" s="103" t="s">
        <v>966</v>
      </c>
      <c r="AD328" s="102">
        <v>28.000000000000004</v>
      </c>
      <c r="AN328" s="102">
        <v>0</v>
      </c>
      <c r="AO328" s="102">
        <v>0</v>
      </c>
      <c r="AT328" s="104">
        <f t="shared" si="202"/>
        <v>540</v>
      </c>
      <c r="AW328" s="103">
        <v>9</v>
      </c>
      <c r="AY328" s="102">
        <v>900</v>
      </c>
      <c r="AZ328" s="102">
        <v>90</v>
      </c>
      <c r="BA328" s="172">
        <v>0</v>
      </c>
      <c r="BC328" s="104">
        <f ca="1">IFERROR(OFFSET(ITEM_RES!$A$5,MATCH(BD328,ITEM_RES!$M$5:$M$84,0)-1,0),0)</f>
        <v>0</v>
      </c>
    </row>
    <row r="329" spans="1:55" x14ac:dyDescent="0.3">
      <c r="A329" s="107">
        <f t="shared" si="197"/>
        <v>322030110</v>
      </c>
      <c r="B329" s="106">
        <v>32</v>
      </c>
      <c r="C329" s="105">
        <f t="shared" si="198"/>
        <v>2</v>
      </c>
      <c r="D329" s="106">
        <v>3</v>
      </c>
      <c r="E329" s="106">
        <v>1</v>
      </c>
      <c r="F329" s="105">
        <f t="shared" si="199"/>
        <v>10</v>
      </c>
      <c r="H329" s="103">
        <v>2</v>
      </c>
      <c r="I329" s="105">
        <f t="shared" si="200"/>
        <v>203</v>
      </c>
      <c r="J329" s="172">
        <v>10</v>
      </c>
      <c r="L329" s="172" t="s">
        <v>1115</v>
      </c>
      <c r="M329" s="172" t="s">
        <v>1133</v>
      </c>
      <c r="N329" s="103" t="s">
        <v>506</v>
      </c>
      <c r="O329" s="103" t="s">
        <v>1083</v>
      </c>
      <c r="P329" s="172">
        <v>1</v>
      </c>
      <c r="Q329" s="172">
        <v>12</v>
      </c>
      <c r="R329" s="103" t="s">
        <v>1031</v>
      </c>
      <c r="S329" s="103">
        <v>322030101</v>
      </c>
      <c r="T329" s="104" t="str">
        <f t="shared" si="203"/>
        <v>UITexture/TechProd/322030101.png</v>
      </c>
      <c r="U329" s="172" t="s">
        <v>1148</v>
      </c>
      <c r="V329" s="104">
        <f t="shared" si="201"/>
        <v>0</v>
      </c>
      <c r="Z329" s="172">
        <v>1</v>
      </c>
      <c r="AB329" s="102">
        <f ca="1">IFERROR(OFFSET(BLDG_FUNC_PARAM!$A$5,MATCH(AC329,BLDG_FUNC_PARAM!$J$5:$J$68,0)-1,0),0)</f>
        <v>122030001</v>
      </c>
      <c r="AC329" s="103" t="s">
        <v>966</v>
      </c>
      <c r="AD329" s="102">
        <v>40</v>
      </c>
      <c r="AN329" s="102">
        <v>12</v>
      </c>
      <c r="AO329" s="102">
        <v>0</v>
      </c>
      <c r="AT329" s="104">
        <f t="shared" si="202"/>
        <v>600</v>
      </c>
      <c r="AW329" s="103">
        <v>10</v>
      </c>
      <c r="AY329" s="102">
        <v>1000</v>
      </c>
      <c r="AZ329" s="102">
        <v>100</v>
      </c>
      <c r="BA329" s="172">
        <v>0</v>
      </c>
      <c r="BC329" s="104">
        <f ca="1">IFERROR(OFFSET(ITEM_RES!$A$5,MATCH(BD329,ITEM_RES!$M$5:$M$84,0)-1,0),0)</f>
        <v>0</v>
      </c>
    </row>
    <row r="330" spans="1:55" x14ac:dyDescent="0.3">
      <c r="A330" s="107">
        <f t="shared" si="197"/>
        <v>322030111</v>
      </c>
      <c r="B330" s="106">
        <v>32</v>
      </c>
      <c r="C330" s="105">
        <f t="shared" si="198"/>
        <v>2</v>
      </c>
      <c r="D330" s="106">
        <v>3</v>
      </c>
      <c r="E330" s="106">
        <v>1</v>
      </c>
      <c r="F330" s="105">
        <f t="shared" si="199"/>
        <v>11</v>
      </c>
      <c r="H330" s="103">
        <v>2</v>
      </c>
      <c r="I330" s="105">
        <f t="shared" si="200"/>
        <v>203</v>
      </c>
      <c r="J330" s="172">
        <v>11</v>
      </c>
      <c r="L330" s="172" t="s">
        <v>1115</v>
      </c>
      <c r="M330" s="172" t="s">
        <v>1133</v>
      </c>
      <c r="N330" s="103" t="s">
        <v>506</v>
      </c>
      <c r="O330" s="103" t="s">
        <v>1083</v>
      </c>
      <c r="P330" s="172">
        <v>1</v>
      </c>
      <c r="Q330" s="172">
        <v>12</v>
      </c>
      <c r="R330" s="103" t="s">
        <v>1031</v>
      </c>
      <c r="S330" s="103">
        <v>322030101</v>
      </c>
      <c r="T330" s="104" t="str">
        <f t="shared" si="203"/>
        <v>UITexture/TechProd/322030101.png</v>
      </c>
      <c r="U330" s="172" t="s">
        <v>1148</v>
      </c>
      <c r="V330" s="104">
        <f t="shared" si="201"/>
        <v>0</v>
      </c>
      <c r="Z330" s="172">
        <v>1</v>
      </c>
      <c r="AB330" s="102">
        <f ca="1">IFERROR(OFFSET(BLDG_FUNC_PARAM!$A$5,MATCH(AC330,BLDG_FUNC_PARAM!$J$5:$J$68,0)-1,0),0)</f>
        <v>122030001</v>
      </c>
      <c r="AC330" s="103" t="s">
        <v>966</v>
      </c>
      <c r="AD330" s="102">
        <v>42</v>
      </c>
      <c r="AN330" s="102">
        <v>0</v>
      </c>
      <c r="AO330" s="102">
        <v>0</v>
      </c>
      <c r="AT330" s="104">
        <f t="shared" si="202"/>
        <v>660</v>
      </c>
      <c r="AW330" s="103">
        <v>11</v>
      </c>
      <c r="AY330" s="102">
        <v>1100</v>
      </c>
      <c r="AZ330" s="102">
        <v>110</v>
      </c>
      <c r="BA330" s="172">
        <v>0</v>
      </c>
      <c r="BC330" s="104">
        <f ca="1">IFERROR(OFFSET(ITEM_RES!$A$5,MATCH(BD330,ITEM_RES!$M$5:$M$84,0)-1,0),0)</f>
        <v>0</v>
      </c>
    </row>
    <row r="331" spans="1:55" x14ac:dyDescent="0.3">
      <c r="A331" s="107">
        <f t="shared" si="197"/>
        <v>322030112</v>
      </c>
      <c r="B331" s="106">
        <v>32</v>
      </c>
      <c r="C331" s="105">
        <f t="shared" si="198"/>
        <v>2</v>
      </c>
      <c r="D331" s="106">
        <v>3</v>
      </c>
      <c r="E331" s="106">
        <v>1</v>
      </c>
      <c r="F331" s="105">
        <f t="shared" si="199"/>
        <v>12</v>
      </c>
      <c r="H331" s="103">
        <v>2</v>
      </c>
      <c r="I331" s="105">
        <f t="shared" si="200"/>
        <v>203</v>
      </c>
      <c r="J331" s="172">
        <v>12</v>
      </c>
      <c r="L331" s="172" t="s">
        <v>1115</v>
      </c>
      <c r="M331" s="172" t="s">
        <v>1133</v>
      </c>
      <c r="N331" s="103" t="s">
        <v>506</v>
      </c>
      <c r="O331" s="103" t="s">
        <v>1083</v>
      </c>
      <c r="P331" s="172">
        <v>1</v>
      </c>
      <c r="Q331" s="172">
        <v>12</v>
      </c>
      <c r="R331" s="103" t="s">
        <v>1031</v>
      </c>
      <c r="S331" s="103">
        <v>322030101</v>
      </c>
      <c r="T331" s="104" t="str">
        <f t="shared" si="203"/>
        <v>UITexture/TechProd/322030101.png</v>
      </c>
      <c r="U331" s="172" t="s">
        <v>1148</v>
      </c>
      <c r="V331" s="104">
        <f t="shared" si="201"/>
        <v>0</v>
      </c>
      <c r="Z331" s="172">
        <v>1</v>
      </c>
      <c r="AB331" s="102">
        <f ca="1">IFERROR(OFFSET(BLDG_FUNC_PARAM!$A$5,MATCH(AC331,BLDG_FUNC_PARAM!$J$5:$J$68,0)-1,0),0)</f>
        <v>122030001</v>
      </c>
      <c r="AC331" s="103" t="s">
        <v>966</v>
      </c>
      <c r="AD331" s="102">
        <v>44</v>
      </c>
      <c r="AN331" s="102">
        <v>0</v>
      </c>
      <c r="AO331" s="102">
        <v>0</v>
      </c>
      <c r="AT331" s="104">
        <f t="shared" si="202"/>
        <v>720</v>
      </c>
      <c r="AW331" s="103">
        <v>12</v>
      </c>
      <c r="AY331" s="102">
        <v>1200</v>
      </c>
      <c r="AZ331" s="102">
        <v>120</v>
      </c>
      <c r="BA331" s="172">
        <v>0</v>
      </c>
      <c r="BC331" s="104">
        <f ca="1">IFERROR(OFFSET(ITEM_RES!$A$5,MATCH(BD331,ITEM_RES!$M$5:$M$84,0)-1,0),0)</f>
        <v>0</v>
      </c>
    </row>
    <row r="332" spans="1:55" x14ac:dyDescent="0.3">
      <c r="A332" s="107">
        <f t="shared" si="197"/>
        <v>322030113</v>
      </c>
      <c r="B332" s="106">
        <v>32</v>
      </c>
      <c r="C332" s="105">
        <f t="shared" si="198"/>
        <v>2</v>
      </c>
      <c r="D332" s="106">
        <v>3</v>
      </c>
      <c r="E332" s="106">
        <v>1</v>
      </c>
      <c r="F332" s="105">
        <f t="shared" si="199"/>
        <v>13</v>
      </c>
      <c r="H332" s="103">
        <v>2</v>
      </c>
      <c r="I332" s="105">
        <f t="shared" si="200"/>
        <v>203</v>
      </c>
      <c r="J332" s="172">
        <v>13</v>
      </c>
      <c r="L332" s="172" t="s">
        <v>1115</v>
      </c>
      <c r="M332" s="172" t="s">
        <v>1133</v>
      </c>
      <c r="N332" s="103" t="s">
        <v>506</v>
      </c>
      <c r="O332" s="103" t="s">
        <v>1083</v>
      </c>
      <c r="P332" s="172">
        <v>0</v>
      </c>
      <c r="Q332" s="172">
        <v>12</v>
      </c>
      <c r="R332" s="103" t="s">
        <v>1031</v>
      </c>
      <c r="S332" s="103">
        <v>322030101</v>
      </c>
      <c r="T332" s="104" t="str">
        <f t="shared" si="203"/>
        <v>UITexture/TechProd/322030101.png</v>
      </c>
      <c r="U332" s="172" t="s">
        <v>1148</v>
      </c>
      <c r="V332" s="104">
        <f t="shared" si="201"/>
        <v>0</v>
      </c>
      <c r="Z332" s="172">
        <v>1</v>
      </c>
      <c r="AB332" s="102">
        <f ca="1">IFERROR(OFFSET(BLDG_FUNC_PARAM!$A$5,MATCH(AC332,BLDG_FUNC_PARAM!$J$5:$J$68,0)-1,0),0)</f>
        <v>122030001</v>
      </c>
      <c r="AC332" s="103" t="s">
        <v>966</v>
      </c>
      <c r="AD332" s="102">
        <v>46</v>
      </c>
      <c r="AN332" s="102">
        <v>0</v>
      </c>
      <c r="AO332" s="102">
        <v>0</v>
      </c>
      <c r="AT332" s="104">
        <f t="shared" si="202"/>
        <v>780</v>
      </c>
      <c r="AW332" s="103">
        <v>13</v>
      </c>
      <c r="AY332" s="102">
        <v>1300</v>
      </c>
      <c r="AZ332" s="102">
        <v>130</v>
      </c>
      <c r="BA332" s="172">
        <v>0</v>
      </c>
      <c r="BC332" s="104">
        <f ca="1">IFERROR(OFFSET(ITEM_RES!$A$5,MATCH(BD332,ITEM_RES!$M$5:$M$84,0)-1,0),0)</f>
        <v>0</v>
      </c>
    </row>
    <row r="333" spans="1:55" x14ac:dyDescent="0.3">
      <c r="A333" s="107">
        <f t="shared" si="197"/>
        <v>322030114</v>
      </c>
      <c r="B333" s="106">
        <v>32</v>
      </c>
      <c r="C333" s="105">
        <f t="shared" si="198"/>
        <v>2</v>
      </c>
      <c r="D333" s="106">
        <v>3</v>
      </c>
      <c r="E333" s="106">
        <v>1</v>
      </c>
      <c r="F333" s="105">
        <f t="shared" si="199"/>
        <v>14</v>
      </c>
      <c r="H333" s="103">
        <v>2</v>
      </c>
      <c r="I333" s="105">
        <f t="shared" si="200"/>
        <v>203</v>
      </c>
      <c r="J333" s="172">
        <v>14</v>
      </c>
      <c r="L333" s="172" t="s">
        <v>1115</v>
      </c>
      <c r="M333" s="172" t="s">
        <v>1133</v>
      </c>
      <c r="N333" s="103" t="s">
        <v>506</v>
      </c>
      <c r="O333" s="103" t="s">
        <v>1083</v>
      </c>
      <c r="P333" s="172">
        <v>0</v>
      </c>
      <c r="Q333" s="172">
        <v>12</v>
      </c>
      <c r="R333" s="103" t="s">
        <v>1031</v>
      </c>
      <c r="S333" s="103">
        <v>322030101</v>
      </c>
      <c r="T333" s="104" t="str">
        <f t="shared" si="203"/>
        <v>UITexture/TechProd/322030101.png</v>
      </c>
      <c r="U333" s="172" t="s">
        <v>1148</v>
      </c>
      <c r="V333" s="104">
        <f t="shared" si="201"/>
        <v>0</v>
      </c>
      <c r="Z333" s="172">
        <v>1</v>
      </c>
      <c r="AB333" s="102">
        <f ca="1">IFERROR(OFFSET(BLDG_FUNC_PARAM!$A$5,MATCH(AC333,BLDG_FUNC_PARAM!$J$5:$J$68,0)-1,0),0)</f>
        <v>122030001</v>
      </c>
      <c r="AC333" s="103" t="s">
        <v>966</v>
      </c>
      <c r="AD333" s="102">
        <v>48</v>
      </c>
      <c r="AN333" s="102">
        <v>0</v>
      </c>
      <c r="AO333" s="102">
        <v>0</v>
      </c>
      <c r="AT333" s="104">
        <f t="shared" si="202"/>
        <v>840</v>
      </c>
      <c r="AW333" s="103">
        <v>14</v>
      </c>
      <c r="AY333" s="102">
        <v>1400</v>
      </c>
      <c r="AZ333" s="102">
        <v>140</v>
      </c>
      <c r="BA333" s="172">
        <v>0</v>
      </c>
      <c r="BC333" s="104">
        <f ca="1">IFERROR(OFFSET(ITEM_RES!$A$5,MATCH(BD333,ITEM_RES!$M$5:$M$84,0)-1,0),0)</f>
        <v>0</v>
      </c>
    </row>
    <row r="334" spans="1:55" x14ac:dyDescent="0.3">
      <c r="A334" s="107">
        <f t="shared" si="197"/>
        <v>322030115</v>
      </c>
      <c r="B334" s="106">
        <v>32</v>
      </c>
      <c r="C334" s="105">
        <f t="shared" si="198"/>
        <v>2</v>
      </c>
      <c r="D334" s="106">
        <v>3</v>
      </c>
      <c r="E334" s="106">
        <v>1</v>
      </c>
      <c r="F334" s="105">
        <f t="shared" si="199"/>
        <v>15</v>
      </c>
      <c r="H334" s="103">
        <v>2</v>
      </c>
      <c r="I334" s="105">
        <f t="shared" si="200"/>
        <v>203</v>
      </c>
      <c r="J334" s="172">
        <v>15</v>
      </c>
      <c r="L334" s="172" t="s">
        <v>1115</v>
      </c>
      <c r="M334" s="172" t="s">
        <v>1133</v>
      </c>
      <c r="N334" s="103" t="s">
        <v>506</v>
      </c>
      <c r="O334" s="103" t="s">
        <v>1083</v>
      </c>
      <c r="P334" s="172">
        <v>0</v>
      </c>
      <c r="Q334" s="172">
        <v>12</v>
      </c>
      <c r="R334" s="103" t="s">
        <v>1031</v>
      </c>
      <c r="S334" s="103">
        <v>322030101</v>
      </c>
      <c r="T334" s="104" t="str">
        <f t="shared" si="203"/>
        <v>UITexture/TechProd/322030101.png</v>
      </c>
      <c r="U334" s="172" t="s">
        <v>1148</v>
      </c>
      <c r="V334" s="104">
        <f t="shared" si="201"/>
        <v>0</v>
      </c>
      <c r="Z334" s="172">
        <v>1</v>
      </c>
      <c r="AB334" s="102">
        <f ca="1">IFERROR(OFFSET(BLDG_FUNC_PARAM!$A$5,MATCH(AC334,BLDG_FUNC_PARAM!$J$5:$J$68,0)-1,0),0)</f>
        <v>122030001</v>
      </c>
      <c r="AC334" s="103" t="s">
        <v>966</v>
      </c>
      <c r="AD334" s="102">
        <v>60</v>
      </c>
      <c r="AN334" s="102">
        <v>16</v>
      </c>
      <c r="AO334" s="102">
        <v>0</v>
      </c>
      <c r="AT334" s="104">
        <f t="shared" si="202"/>
        <v>900</v>
      </c>
      <c r="AW334" s="103">
        <v>15</v>
      </c>
      <c r="AY334" s="102">
        <v>1500</v>
      </c>
      <c r="AZ334" s="102">
        <v>150</v>
      </c>
      <c r="BA334" s="172">
        <v>0</v>
      </c>
      <c r="BC334" s="104">
        <f ca="1">IFERROR(OFFSET(ITEM_RES!$A$5,MATCH(BD334,ITEM_RES!$M$5:$M$84,0)-1,0),0)</f>
        <v>0</v>
      </c>
    </row>
    <row r="335" spans="1:55" x14ac:dyDescent="0.3">
      <c r="A335" s="107">
        <f t="shared" ref="A335:A344" si="204">B335*10000000+C335*1000000+D335*10000+E335*100+F335</f>
        <v>322030116</v>
      </c>
      <c r="B335" s="106">
        <v>32</v>
      </c>
      <c r="C335" s="105">
        <f t="shared" ref="C335:C344" si="205">H335</f>
        <v>2</v>
      </c>
      <c r="D335" s="106">
        <v>3</v>
      </c>
      <c r="E335" s="106">
        <v>1</v>
      </c>
      <c r="F335" s="105">
        <f t="shared" si="199"/>
        <v>16</v>
      </c>
      <c r="H335" s="103">
        <v>2</v>
      </c>
      <c r="I335" s="105">
        <f t="shared" ref="I335:I344" si="206">C335*100+D335</f>
        <v>203</v>
      </c>
      <c r="J335" s="172">
        <v>16</v>
      </c>
      <c r="L335" s="172" t="s">
        <v>1115</v>
      </c>
      <c r="M335" s="172" t="s">
        <v>1133</v>
      </c>
      <c r="N335" s="103" t="s">
        <v>506</v>
      </c>
      <c r="O335" s="103" t="s">
        <v>1083</v>
      </c>
      <c r="P335" s="172">
        <v>0</v>
      </c>
      <c r="Q335" s="172">
        <v>12</v>
      </c>
      <c r="R335" s="103" t="s">
        <v>1031</v>
      </c>
      <c r="S335" s="103">
        <v>322030101</v>
      </c>
      <c r="T335" s="104" t="str">
        <f t="shared" si="203"/>
        <v>UITexture/TechProd/322030101.png</v>
      </c>
      <c r="U335" s="172" t="s">
        <v>1148</v>
      </c>
      <c r="V335" s="104">
        <f t="shared" ref="V335:V344" si="207">W335*1000+X335</f>
        <v>0</v>
      </c>
      <c r="Z335" s="172">
        <v>1</v>
      </c>
      <c r="AB335" s="102">
        <f ca="1">IFERROR(OFFSET(BLDG_FUNC_PARAM!$A$5,MATCH(AC335,BLDG_FUNC_PARAM!$J$5:$J$68,0)-1,0),0)</f>
        <v>122030001</v>
      </c>
      <c r="AC335" s="103" t="s">
        <v>966</v>
      </c>
      <c r="AD335" s="102">
        <v>62</v>
      </c>
      <c r="AN335" s="102">
        <v>0</v>
      </c>
      <c r="AO335" s="102">
        <v>0</v>
      </c>
      <c r="AT335" s="104">
        <f t="shared" ref="AT335:AT344" si="208">((AU335*24+AV335)*60+AW335)*60+AX335</f>
        <v>960</v>
      </c>
      <c r="AW335" s="103">
        <v>16</v>
      </c>
      <c r="AY335" s="102">
        <v>1600</v>
      </c>
      <c r="AZ335" s="102">
        <v>160</v>
      </c>
      <c r="BA335" s="172">
        <v>0</v>
      </c>
      <c r="BC335" s="104">
        <f ca="1">IFERROR(OFFSET(ITEM_RES!$A$5,MATCH(BD335,ITEM_RES!$M$5:$M$84,0)-1,0),0)</f>
        <v>0</v>
      </c>
    </row>
    <row r="336" spans="1:55" x14ac:dyDescent="0.3">
      <c r="A336" s="107">
        <f t="shared" si="204"/>
        <v>322030117</v>
      </c>
      <c r="B336" s="106">
        <v>32</v>
      </c>
      <c r="C336" s="105">
        <f t="shared" si="205"/>
        <v>2</v>
      </c>
      <c r="D336" s="106">
        <v>3</v>
      </c>
      <c r="E336" s="106">
        <v>1</v>
      </c>
      <c r="F336" s="105">
        <f t="shared" si="199"/>
        <v>17</v>
      </c>
      <c r="H336" s="103">
        <v>2</v>
      </c>
      <c r="I336" s="105">
        <f t="shared" si="206"/>
        <v>203</v>
      </c>
      <c r="J336" s="172">
        <v>17</v>
      </c>
      <c r="L336" s="172" t="s">
        <v>1115</v>
      </c>
      <c r="M336" s="172" t="s">
        <v>1133</v>
      </c>
      <c r="N336" s="103" t="s">
        <v>506</v>
      </c>
      <c r="O336" s="103" t="s">
        <v>1083</v>
      </c>
      <c r="P336" s="172">
        <v>0</v>
      </c>
      <c r="Q336" s="172">
        <v>12</v>
      </c>
      <c r="R336" s="103" t="s">
        <v>1031</v>
      </c>
      <c r="S336" s="103">
        <v>322030101</v>
      </c>
      <c r="T336" s="104" t="str">
        <f t="shared" si="203"/>
        <v>UITexture/TechProd/322030101.png</v>
      </c>
      <c r="U336" s="172" t="s">
        <v>1148</v>
      </c>
      <c r="V336" s="104">
        <f t="shared" si="207"/>
        <v>0</v>
      </c>
      <c r="Z336" s="172">
        <v>1</v>
      </c>
      <c r="AB336" s="102">
        <f ca="1">IFERROR(OFFSET(BLDG_FUNC_PARAM!$A$5,MATCH(AC336,BLDG_FUNC_PARAM!$J$5:$J$68,0)-1,0),0)</f>
        <v>122030001</v>
      </c>
      <c r="AC336" s="103" t="s">
        <v>966</v>
      </c>
      <c r="AD336" s="102">
        <v>64</v>
      </c>
      <c r="AN336" s="102">
        <v>0</v>
      </c>
      <c r="AO336" s="102">
        <v>0</v>
      </c>
      <c r="AT336" s="104">
        <f t="shared" si="208"/>
        <v>1020</v>
      </c>
      <c r="AW336" s="103">
        <v>17</v>
      </c>
      <c r="AY336" s="102">
        <v>1700</v>
      </c>
      <c r="AZ336" s="102">
        <v>170</v>
      </c>
      <c r="BA336" s="172">
        <v>0</v>
      </c>
      <c r="BC336" s="104">
        <f ca="1">IFERROR(OFFSET(ITEM_RES!$A$5,MATCH(BD336,ITEM_RES!$M$5:$M$84,0)-1,0),0)</f>
        <v>0</v>
      </c>
    </row>
    <row r="337" spans="1:55" x14ac:dyDescent="0.3">
      <c r="A337" s="107">
        <f t="shared" si="204"/>
        <v>322030118</v>
      </c>
      <c r="B337" s="106">
        <v>32</v>
      </c>
      <c r="C337" s="105">
        <f t="shared" si="205"/>
        <v>2</v>
      </c>
      <c r="D337" s="106">
        <v>3</v>
      </c>
      <c r="E337" s="106">
        <v>1</v>
      </c>
      <c r="F337" s="105">
        <f t="shared" si="199"/>
        <v>18</v>
      </c>
      <c r="H337" s="103">
        <v>2</v>
      </c>
      <c r="I337" s="105">
        <f t="shared" si="206"/>
        <v>203</v>
      </c>
      <c r="J337" s="172">
        <v>18</v>
      </c>
      <c r="L337" s="172" t="s">
        <v>1115</v>
      </c>
      <c r="M337" s="172" t="s">
        <v>1133</v>
      </c>
      <c r="N337" s="103" t="s">
        <v>506</v>
      </c>
      <c r="O337" s="103" t="s">
        <v>1083</v>
      </c>
      <c r="P337" s="172">
        <v>0</v>
      </c>
      <c r="Q337" s="172">
        <v>12</v>
      </c>
      <c r="R337" s="103" t="s">
        <v>1031</v>
      </c>
      <c r="S337" s="103">
        <v>322030101</v>
      </c>
      <c r="T337" s="104" t="str">
        <f t="shared" si="203"/>
        <v>UITexture/TechProd/322030101.png</v>
      </c>
      <c r="U337" s="172" t="s">
        <v>1148</v>
      </c>
      <c r="V337" s="104">
        <f t="shared" si="207"/>
        <v>0</v>
      </c>
      <c r="Z337" s="172">
        <v>1</v>
      </c>
      <c r="AB337" s="102">
        <f ca="1">IFERROR(OFFSET(BLDG_FUNC_PARAM!$A$5,MATCH(AC337,BLDG_FUNC_PARAM!$J$5:$J$68,0)-1,0),0)</f>
        <v>122030001</v>
      </c>
      <c r="AC337" s="103" t="s">
        <v>966</v>
      </c>
      <c r="AD337" s="102">
        <v>66</v>
      </c>
      <c r="AN337" s="102">
        <v>0</v>
      </c>
      <c r="AO337" s="102">
        <v>0</v>
      </c>
      <c r="AT337" s="104">
        <f t="shared" si="208"/>
        <v>1080</v>
      </c>
      <c r="AW337" s="103">
        <v>18</v>
      </c>
      <c r="AY337" s="102">
        <v>1800</v>
      </c>
      <c r="AZ337" s="102">
        <v>180</v>
      </c>
      <c r="BA337" s="172">
        <v>0</v>
      </c>
      <c r="BC337" s="104">
        <f ca="1">IFERROR(OFFSET(ITEM_RES!$A$5,MATCH(BD337,ITEM_RES!$M$5:$M$84,0)-1,0),0)</f>
        <v>0</v>
      </c>
    </row>
    <row r="338" spans="1:55" x14ac:dyDescent="0.3">
      <c r="A338" s="107">
        <f t="shared" si="204"/>
        <v>322030119</v>
      </c>
      <c r="B338" s="106">
        <v>32</v>
      </c>
      <c r="C338" s="105">
        <f t="shared" si="205"/>
        <v>2</v>
      </c>
      <c r="D338" s="106">
        <v>3</v>
      </c>
      <c r="E338" s="106">
        <v>1</v>
      </c>
      <c r="F338" s="105">
        <f t="shared" si="199"/>
        <v>19</v>
      </c>
      <c r="H338" s="103">
        <v>2</v>
      </c>
      <c r="I338" s="105">
        <f t="shared" si="206"/>
        <v>203</v>
      </c>
      <c r="J338" s="172">
        <v>19</v>
      </c>
      <c r="L338" s="172" t="s">
        <v>1115</v>
      </c>
      <c r="M338" s="172" t="s">
        <v>1133</v>
      </c>
      <c r="N338" s="103" t="s">
        <v>506</v>
      </c>
      <c r="O338" s="103" t="s">
        <v>1083</v>
      </c>
      <c r="P338" s="172">
        <v>0</v>
      </c>
      <c r="Q338" s="172">
        <v>12</v>
      </c>
      <c r="R338" s="103" t="s">
        <v>1031</v>
      </c>
      <c r="S338" s="103">
        <v>322030101</v>
      </c>
      <c r="T338" s="104" t="str">
        <f t="shared" si="203"/>
        <v>UITexture/TechProd/322030101.png</v>
      </c>
      <c r="U338" s="172" t="s">
        <v>1148</v>
      </c>
      <c r="V338" s="104">
        <f t="shared" si="207"/>
        <v>0</v>
      </c>
      <c r="Z338" s="172">
        <v>1</v>
      </c>
      <c r="AB338" s="102">
        <f ca="1">IFERROR(OFFSET(BLDG_FUNC_PARAM!$A$5,MATCH(AC338,BLDG_FUNC_PARAM!$J$5:$J$68,0)-1,0),0)</f>
        <v>122030001</v>
      </c>
      <c r="AC338" s="103" t="s">
        <v>966</v>
      </c>
      <c r="AD338" s="102">
        <v>68</v>
      </c>
      <c r="AN338" s="102">
        <v>0</v>
      </c>
      <c r="AO338" s="102">
        <v>0</v>
      </c>
      <c r="AT338" s="104">
        <f t="shared" si="208"/>
        <v>1140</v>
      </c>
      <c r="AW338" s="103">
        <v>19</v>
      </c>
      <c r="AY338" s="102">
        <v>1900</v>
      </c>
      <c r="AZ338" s="102">
        <v>190</v>
      </c>
      <c r="BA338" s="172">
        <v>0</v>
      </c>
      <c r="BC338" s="104">
        <f ca="1">IFERROR(OFFSET(ITEM_RES!$A$5,MATCH(BD338,ITEM_RES!$M$5:$M$84,0)-1,0),0)</f>
        <v>0</v>
      </c>
    </row>
    <row r="339" spans="1:55" x14ac:dyDescent="0.3">
      <c r="A339" s="107">
        <f t="shared" si="204"/>
        <v>322030120</v>
      </c>
      <c r="B339" s="106">
        <v>32</v>
      </c>
      <c r="C339" s="105">
        <f t="shared" si="205"/>
        <v>2</v>
      </c>
      <c r="D339" s="106">
        <v>3</v>
      </c>
      <c r="E339" s="106">
        <v>1</v>
      </c>
      <c r="F339" s="105">
        <f t="shared" si="199"/>
        <v>20</v>
      </c>
      <c r="H339" s="103">
        <v>2</v>
      </c>
      <c r="I339" s="105">
        <f t="shared" si="206"/>
        <v>203</v>
      </c>
      <c r="J339" s="172">
        <v>20</v>
      </c>
      <c r="L339" s="172" t="s">
        <v>1115</v>
      </c>
      <c r="M339" s="172" t="s">
        <v>1133</v>
      </c>
      <c r="N339" s="103" t="s">
        <v>506</v>
      </c>
      <c r="O339" s="103" t="s">
        <v>1083</v>
      </c>
      <c r="P339" s="172">
        <v>0</v>
      </c>
      <c r="Q339" s="172">
        <v>12</v>
      </c>
      <c r="R339" s="103" t="s">
        <v>1031</v>
      </c>
      <c r="S339" s="103">
        <v>322030101</v>
      </c>
      <c r="T339" s="104" t="str">
        <f t="shared" si="203"/>
        <v>UITexture/TechProd/322030101.png</v>
      </c>
      <c r="U339" s="172" t="s">
        <v>1148</v>
      </c>
      <c r="V339" s="104">
        <f t="shared" si="207"/>
        <v>0</v>
      </c>
      <c r="Z339" s="172">
        <v>1</v>
      </c>
      <c r="AB339" s="102">
        <f ca="1">IFERROR(OFFSET(BLDG_FUNC_PARAM!$A$5,MATCH(AC339,BLDG_FUNC_PARAM!$J$5:$J$68,0)-1,0),0)</f>
        <v>122030001</v>
      </c>
      <c r="AC339" s="103" t="s">
        <v>966</v>
      </c>
      <c r="AD339" s="102">
        <v>80</v>
      </c>
      <c r="AN339" s="102">
        <v>21</v>
      </c>
      <c r="AO339" s="102">
        <v>0</v>
      </c>
      <c r="AT339" s="104">
        <f t="shared" si="208"/>
        <v>1200</v>
      </c>
      <c r="AW339" s="103">
        <v>20</v>
      </c>
      <c r="AY339" s="102">
        <v>2000</v>
      </c>
      <c r="AZ339" s="102">
        <v>200</v>
      </c>
      <c r="BA339" s="172">
        <v>0</v>
      </c>
      <c r="BC339" s="104">
        <f ca="1">IFERROR(OFFSET(ITEM_RES!$A$5,MATCH(BD339,ITEM_RES!$M$5:$M$84,0)-1,0),0)</f>
        <v>0</v>
      </c>
    </row>
    <row r="340" spans="1:55" x14ac:dyDescent="0.3">
      <c r="A340" s="107">
        <f t="shared" si="204"/>
        <v>322030121</v>
      </c>
      <c r="B340" s="106">
        <v>32</v>
      </c>
      <c r="C340" s="105">
        <f t="shared" si="205"/>
        <v>2</v>
      </c>
      <c r="D340" s="106">
        <v>3</v>
      </c>
      <c r="E340" s="106">
        <v>1</v>
      </c>
      <c r="F340" s="105">
        <f t="shared" si="199"/>
        <v>21</v>
      </c>
      <c r="H340" s="103">
        <v>2</v>
      </c>
      <c r="I340" s="105">
        <f t="shared" si="206"/>
        <v>203</v>
      </c>
      <c r="J340" s="172">
        <v>21</v>
      </c>
      <c r="L340" s="172" t="s">
        <v>1115</v>
      </c>
      <c r="M340" s="172" t="s">
        <v>1133</v>
      </c>
      <c r="N340" s="103" t="s">
        <v>506</v>
      </c>
      <c r="O340" s="103" t="s">
        <v>1083</v>
      </c>
      <c r="P340" s="172">
        <v>0</v>
      </c>
      <c r="Q340" s="172">
        <v>12</v>
      </c>
      <c r="R340" s="103" t="s">
        <v>1031</v>
      </c>
      <c r="S340" s="103">
        <v>322030101</v>
      </c>
      <c r="T340" s="104" t="str">
        <f t="shared" si="203"/>
        <v>UITexture/TechProd/322030101.png</v>
      </c>
      <c r="U340" s="172" t="s">
        <v>1148</v>
      </c>
      <c r="V340" s="104">
        <f t="shared" si="207"/>
        <v>0</v>
      </c>
      <c r="Z340" s="172">
        <v>1</v>
      </c>
      <c r="AB340" s="102">
        <f ca="1">IFERROR(OFFSET(BLDG_FUNC_PARAM!$A$5,MATCH(AC340,BLDG_FUNC_PARAM!$J$5:$J$68,0)-1,0),0)</f>
        <v>122030001</v>
      </c>
      <c r="AC340" s="103" t="s">
        <v>966</v>
      </c>
      <c r="AD340" s="102">
        <v>82</v>
      </c>
      <c r="AN340" s="102">
        <v>0</v>
      </c>
      <c r="AO340" s="102">
        <v>0</v>
      </c>
      <c r="AT340" s="104">
        <f t="shared" si="208"/>
        <v>1260</v>
      </c>
      <c r="AW340" s="103">
        <v>21</v>
      </c>
      <c r="AY340" s="102">
        <v>2100</v>
      </c>
      <c r="AZ340" s="102">
        <v>210</v>
      </c>
      <c r="BA340" s="172">
        <v>0</v>
      </c>
      <c r="BC340" s="104">
        <f ca="1">IFERROR(OFFSET(ITEM_RES!$A$5,MATCH(BD340,ITEM_RES!$M$5:$M$84,0)-1,0),0)</f>
        <v>0</v>
      </c>
    </row>
    <row r="341" spans="1:55" x14ac:dyDescent="0.3">
      <c r="A341" s="107">
        <f t="shared" si="204"/>
        <v>322030122</v>
      </c>
      <c r="B341" s="106">
        <v>32</v>
      </c>
      <c r="C341" s="105">
        <f t="shared" si="205"/>
        <v>2</v>
      </c>
      <c r="D341" s="106">
        <v>3</v>
      </c>
      <c r="E341" s="106">
        <v>1</v>
      </c>
      <c r="F341" s="105">
        <f t="shared" si="199"/>
        <v>22</v>
      </c>
      <c r="H341" s="103">
        <v>2</v>
      </c>
      <c r="I341" s="105">
        <f t="shared" si="206"/>
        <v>203</v>
      </c>
      <c r="J341" s="172">
        <v>22</v>
      </c>
      <c r="L341" s="172" t="s">
        <v>1115</v>
      </c>
      <c r="M341" s="172" t="s">
        <v>1133</v>
      </c>
      <c r="N341" s="103" t="s">
        <v>506</v>
      </c>
      <c r="O341" s="103" t="s">
        <v>1083</v>
      </c>
      <c r="P341" s="172">
        <v>0</v>
      </c>
      <c r="Q341" s="172">
        <v>12</v>
      </c>
      <c r="R341" s="103" t="s">
        <v>1031</v>
      </c>
      <c r="S341" s="103">
        <v>322030101</v>
      </c>
      <c r="T341" s="104" t="str">
        <f t="shared" si="203"/>
        <v>UITexture/TechProd/322030101.png</v>
      </c>
      <c r="U341" s="172" t="s">
        <v>1148</v>
      </c>
      <c r="V341" s="104">
        <f t="shared" si="207"/>
        <v>0</v>
      </c>
      <c r="Z341" s="172">
        <v>1</v>
      </c>
      <c r="AB341" s="102">
        <f ca="1">IFERROR(OFFSET(BLDG_FUNC_PARAM!$A$5,MATCH(AC341,BLDG_FUNC_PARAM!$J$5:$J$68,0)-1,0),0)</f>
        <v>122030001</v>
      </c>
      <c r="AC341" s="103" t="s">
        <v>966</v>
      </c>
      <c r="AD341" s="102">
        <v>84</v>
      </c>
      <c r="AN341" s="102">
        <v>0</v>
      </c>
      <c r="AO341" s="102">
        <v>0</v>
      </c>
      <c r="AT341" s="104">
        <f t="shared" si="208"/>
        <v>1320</v>
      </c>
      <c r="AW341" s="103">
        <v>22</v>
      </c>
      <c r="AY341" s="102">
        <v>2200</v>
      </c>
      <c r="AZ341" s="102">
        <v>220</v>
      </c>
      <c r="BA341" s="172">
        <v>0</v>
      </c>
      <c r="BC341" s="104">
        <f ca="1">IFERROR(OFFSET(ITEM_RES!$A$5,MATCH(BD341,ITEM_RES!$M$5:$M$84,0)-1,0),0)</f>
        <v>0</v>
      </c>
    </row>
    <row r="342" spans="1:55" x14ac:dyDescent="0.3">
      <c r="A342" s="107">
        <f t="shared" si="204"/>
        <v>322030123</v>
      </c>
      <c r="B342" s="106">
        <v>32</v>
      </c>
      <c r="C342" s="105">
        <f t="shared" si="205"/>
        <v>2</v>
      </c>
      <c r="D342" s="106">
        <v>3</v>
      </c>
      <c r="E342" s="106">
        <v>1</v>
      </c>
      <c r="F342" s="105">
        <f t="shared" si="199"/>
        <v>23</v>
      </c>
      <c r="H342" s="103">
        <v>2</v>
      </c>
      <c r="I342" s="105">
        <f t="shared" si="206"/>
        <v>203</v>
      </c>
      <c r="J342" s="172">
        <v>23</v>
      </c>
      <c r="L342" s="172" t="s">
        <v>1115</v>
      </c>
      <c r="M342" s="172" t="s">
        <v>1133</v>
      </c>
      <c r="N342" s="103" t="s">
        <v>506</v>
      </c>
      <c r="O342" s="103" t="s">
        <v>1083</v>
      </c>
      <c r="P342" s="172">
        <v>0</v>
      </c>
      <c r="Q342" s="172">
        <v>12</v>
      </c>
      <c r="R342" s="103" t="s">
        <v>1031</v>
      </c>
      <c r="S342" s="103">
        <v>322030101</v>
      </c>
      <c r="T342" s="104" t="str">
        <f t="shared" si="203"/>
        <v>UITexture/TechProd/322030101.png</v>
      </c>
      <c r="U342" s="172" t="s">
        <v>1148</v>
      </c>
      <c r="V342" s="104">
        <f t="shared" si="207"/>
        <v>0</v>
      </c>
      <c r="Z342" s="172">
        <v>1</v>
      </c>
      <c r="AB342" s="102">
        <f ca="1">IFERROR(OFFSET(BLDG_FUNC_PARAM!$A$5,MATCH(AC342,BLDG_FUNC_PARAM!$J$5:$J$68,0)-1,0),0)</f>
        <v>122030001</v>
      </c>
      <c r="AC342" s="103" t="s">
        <v>966</v>
      </c>
      <c r="AD342" s="102">
        <v>86</v>
      </c>
      <c r="AN342" s="102">
        <v>0</v>
      </c>
      <c r="AO342" s="102">
        <v>0</v>
      </c>
      <c r="AT342" s="104">
        <f t="shared" si="208"/>
        <v>1380</v>
      </c>
      <c r="AW342" s="103">
        <v>23</v>
      </c>
      <c r="AY342" s="102">
        <v>2300</v>
      </c>
      <c r="AZ342" s="102">
        <v>230</v>
      </c>
      <c r="BA342" s="172">
        <v>0</v>
      </c>
      <c r="BC342" s="104">
        <f ca="1">IFERROR(OFFSET(ITEM_RES!$A$5,MATCH(BD342,ITEM_RES!$M$5:$M$84,0)-1,0),0)</f>
        <v>0</v>
      </c>
    </row>
    <row r="343" spans="1:55" x14ac:dyDescent="0.3">
      <c r="A343" s="107">
        <f t="shared" si="204"/>
        <v>322030124</v>
      </c>
      <c r="B343" s="106">
        <v>32</v>
      </c>
      <c r="C343" s="105">
        <f t="shared" si="205"/>
        <v>2</v>
      </c>
      <c r="D343" s="106">
        <v>3</v>
      </c>
      <c r="E343" s="106">
        <v>1</v>
      </c>
      <c r="F343" s="105">
        <f t="shared" si="199"/>
        <v>24</v>
      </c>
      <c r="H343" s="103">
        <v>2</v>
      </c>
      <c r="I343" s="105">
        <f t="shared" si="206"/>
        <v>203</v>
      </c>
      <c r="J343" s="172">
        <v>24</v>
      </c>
      <c r="L343" s="172" t="s">
        <v>1115</v>
      </c>
      <c r="M343" s="172" t="s">
        <v>1133</v>
      </c>
      <c r="N343" s="103" t="s">
        <v>506</v>
      </c>
      <c r="O343" s="103" t="s">
        <v>1083</v>
      </c>
      <c r="P343" s="172">
        <v>0</v>
      </c>
      <c r="Q343" s="172">
        <v>12</v>
      </c>
      <c r="R343" s="103" t="s">
        <v>1031</v>
      </c>
      <c r="S343" s="103">
        <v>322030101</v>
      </c>
      <c r="T343" s="104" t="str">
        <f t="shared" si="203"/>
        <v>UITexture/TechProd/322030101.png</v>
      </c>
      <c r="U343" s="172" t="s">
        <v>1148</v>
      </c>
      <c r="V343" s="104">
        <f t="shared" si="207"/>
        <v>0</v>
      </c>
      <c r="Z343" s="172">
        <v>1</v>
      </c>
      <c r="AB343" s="102">
        <f ca="1">IFERROR(OFFSET(BLDG_FUNC_PARAM!$A$5,MATCH(AC343,BLDG_FUNC_PARAM!$J$5:$J$68,0)-1,0),0)</f>
        <v>122030001</v>
      </c>
      <c r="AC343" s="103" t="s">
        <v>966</v>
      </c>
      <c r="AD343" s="102">
        <v>88</v>
      </c>
      <c r="AN343" s="102">
        <v>0</v>
      </c>
      <c r="AO343" s="102">
        <v>0</v>
      </c>
      <c r="AT343" s="104">
        <f t="shared" si="208"/>
        <v>1440</v>
      </c>
      <c r="AW343" s="103">
        <v>24</v>
      </c>
      <c r="AY343" s="102">
        <v>2400</v>
      </c>
      <c r="AZ343" s="102">
        <v>240</v>
      </c>
      <c r="BA343" s="172">
        <v>0</v>
      </c>
      <c r="BC343" s="104">
        <f ca="1">IFERROR(OFFSET(ITEM_RES!$A$5,MATCH(BD343,ITEM_RES!$M$5:$M$84,0)-1,0),0)</f>
        <v>0</v>
      </c>
    </row>
    <row r="344" spans="1:55" x14ac:dyDescent="0.3">
      <c r="A344" s="107">
        <f t="shared" si="204"/>
        <v>322030125</v>
      </c>
      <c r="B344" s="106">
        <v>32</v>
      </c>
      <c r="C344" s="105">
        <f t="shared" si="205"/>
        <v>2</v>
      </c>
      <c r="D344" s="106">
        <v>3</v>
      </c>
      <c r="E344" s="106">
        <v>1</v>
      </c>
      <c r="F344" s="105">
        <f t="shared" si="199"/>
        <v>25</v>
      </c>
      <c r="H344" s="103">
        <v>2</v>
      </c>
      <c r="I344" s="105">
        <f t="shared" si="206"/>
        <v>203</v>
      </c>
      <c r="J344" s="172">
        <v>25</v>
      </c>
      <c r="L344" s="172" t="s">
        <v>1115</v>
      </c>
      <c r="M344" s="172" t="s">
        <v>1133</v>
      </c>
      <c r="N344" s="103" t="s">
        <v>506</v>
      </c>
      <c r="O344" s="103" t="s">
        <v>1083</v>
      </c>
      <c r="P344" s="172">
        <v>0</v>
      </c>
      <c r="Q344" s="172">
        <v>12</v>
      </c>
      <c r="R344" s="103" t="s">
        <v>1031</v>
      </c>
      <c r="S344" s="103">
        <v>322030101</v>
      </c>
      <c r="T344" s="104" t="str">
        <f t="shared" si="203"/>
        <v>UITexture/TechProd/322030101.png</v>
      </c>
      <c r="U344" s="172" t="s">
        <v>1148</v>
      </c>
      <c r="V344" s="104">
        <f t="shared" si="207"/>
        <v>0</v>
      </c>
      <c r="Z344" s="172">
        <v>1</v>
      </c>
      <c r="AB344" s="102">
        <f ca="1">IFERROR(OFFSET(BLDG_FUNC_PARAM!$A$5,MATCH(AC344,BLDG_FUNC_PARAM!$J$5:$J$68,0)-1,0),0)</f>
        <v>122030001</v>
      </c>
      <c r="AC344" s="103" t="s">
        <v>966</v>
      </c>
      <c r="AD344" s="102">
        <v>100</v>
      </c>
      <c r="AN344" s="102">
        <v>25</v>
      </c>
      <c r="AO344" s="102">
        <v>0</v>
      </c>
      <c r="AT344" s="104">
        <f t="shared" si="208"/>
        <v>1500</v>
      </c>
      <c r="AW344" s="103">
        <v>25</v>
      </c>
      <c r="AY344" s="102">
        <v>2500</v>
      </c>
      <c r="AZ344" s="102">
        <v>250</v>
      </c>
      <c r="BA344" s="172">
        <v>0</v>
      </c>
      <c r="BC344" s="104">
        <f ca="1">IFERROR(OFFSET(ITEM_RES!$A$5,MATCH(BD344,ITEM_RES!$M$5:$M$84,0)-1,0),0)</f>
        <v>0</v>
      </c>
    </row>
    <row r="345" spans="1:55" x14ac:dyDescent="0.3">
      <c r="A345" s="107">
        <f t="shared" ref="A345:A349" si="209">B345*10000000+C345*1000000+D345*10000+E345*100+F345</f>
        <v>322030126</v>
      </c>
      <c r="B345" s="106">
        <v>32</v>
      </c>
      <c r="C345" s="105">
        <f t="shared" ref="C345:C349" si="210">H345</f>
        <v>2</v>
      </c>
      <c r="D345" s="106">
        <v>3</v>
      </c>
      <c r="E345" s="106">
        <v>1</v>
      </c>
      <c r="F345" s="105">
        <f t="shared" si="199"/>
        <v>26</v>
      </c>
      <c r="H345" s="103">
        <v>2</v>
      </c>
      <c r="I345" s="105">
        <f t="shared" ref="I345:I349" si="211">C345*100+D345</f>
        <v>203</v>
      </c>
      <c r="J345" s="172">
        <v>26</v>
      </c>
      <c r="L345" s="172" t="s">
        <v>1115</v>
      </c>
      <c r="M345" s="172" t="s">
        <v>1133</v>
      </c>
      <c r="N345" s="103" t="s">
        <v>506</v>
      </c>
      <c r="O345" s="103" t="s">
        <v>1083</v>
      </c>
      <c r="P345" s="172">
        <v>0</v>
      </c>
      <c r="Q345" s="172">
        <v>12</v>
      </c>
      <c r="R345" s="103" t="s">
        <v>1031</v>
      </c>
      <c r="S345" s="103">
        <v>322030101</v>
      </c>
      <c r="T345" s="104" t="str">
        <f t="shared" si="203"/>
        <v>UITexture/TechProd/322030101.png</v>
      </c>
      <c r="U345" s="172" t="s">
        <v>1148</v>
      </c>
      <c r="V345" s="104">
        <f t="shared" ref="V345:V349" si="212">W345*1000+X345</f>
        <v>0</v>
      </c>
      <c r="Z345" s="172">
        <v>1</v>
      </c>
      <c r="AB345" s="102">
        <f ca="1">IFERROR(OFFSET(BLDG_FUNC_PARAM!$A$5,MATCH(AC345,BLDG_FUNC_PARAM!$J$5:$J$68,0)-1,0),0)</f>
        <v>122030001</v>
      </c>
      <c r="AC345" s="103" t="s">
        <v>966</v>
      </c>
      <c r="AD345" s="102">
        <v>102</v>
      </c>
      <c r="AN345" s="102">
        <v>0</v>
      </c>
      <c r="AO345" s="102">
        <v>0</v>
      </c>
      <c r="AT345" s="104">
        <f t="shared" ref="AT345:AT349" si="213">((AU345*24+AV345)*60+AW345)*60+AX345</f>
        <v>1560</v>
      </c>
      <c r="AW345" s="103">
        <v>26</v>
      </c>
      <c r="AY345" s="102">
        <v>2600</v>
      </c>
      <c r="AZ345" s="102">
        <v>260</v>
      </c>
      <c r="BA345" s="172">
        <v>0</v>
      </c>
      <c r="BC345" s="104">
        <f ca="1">IFERROR(OFFSET(ITEM_RES!$A$5,MATCH(BD345,ITEM_RES!$M$5:$M$84,0)-1,0),0)</f>
        <v>0</v>
      </c>
    </row>
    <row r="346" spans="1:55" x14ac:dyDescent="0.3">
      <c r="A346" s="107">
        <f t="shared" si="209"/>
        <v>322030127</v>
      </c>
      <c r="B346" s="106">
        <v>32</v>
      </c>
      <c r="C346" s="105">
        <f t="shared" si="210"/>
        <v>2</v>
      </c>
      <c r="D346" s="106">
        <v>3</v>
      </c>
      <c r="E346" s="106">
        <v>1</v>
      </c>
      <c r="F346" s="105">
        <f t="shared" si="199"/>
        <v>27</v>
      </c>
      <c r="H346" s="103">
        <v>2</v>
      </c>
      <c r="I346" s="105">
        <f t="shared" si="211"/>
        <v>203</v>
      </c>
      <c r="J346" s="172">
        <v>27</v>
      </c>
      <c r="L346" s="172" t="s">
        <v>1115</v>
      </c>
      <c r="M346" s="172" t="s">
        <v>1133</v>
      </c>
      <c r="N346" s="103" t="s">
        <v>506</v>
      </c>
      <c r="O346" s="103" t="s">
        <v>1083</v>
      </c>
      <c r="P346" s="172">
        <v>0</v>
      </c>
      <c r="Q346" s="172">
        <v>12</v>
      </c>
      <c r="R346" s="103" t="s">
        <v>1031</v>
      </c>
      <c r="S346" s="103">
        <v>322030101</v>
      </c>
      <c r="T346" s="104" t="str">
        <f t="shared" si="203"/>
        <v>UITexture/TechProd/322030101.png</v>
      </c>
      <c r="U346" s="172" t="s">
        <v>1148</v>
      </c>
      <c r="V346" s="104">
        <f t="shared" si="212"/>
        <v>0</v>
      </c>
      <c r="Z346" s="172">
        <v>1</v>
      </c>
      <c r="AB346" s="102">
        <f ca="1">IFERROR(OFFSET(BLDG_FUNC_PARAM!$A$5,MATCH(AC346,BLDG_FUNC_PARAM!$J$5:$J$68,0)-1,0),0)</f>
        <v>122030001</v>
      </c>
      <c r="AC346" s="103" t="s">
        <v>966</v>
      </c>
      <c r="AD346" s="102">
        <v>104</v>
      </c>
      <c r="AN346" s="102">
        <v>0</v>
      </c>
      <c r="AO346" s="102">
        <v>0</v>
      </c>
      <c r="AT346" s="104">
        <f t="shared" si="213"/>
        <v>1620</v>
      </c>
      <c r="AW346" s="103">
        <v>27</v>
      </c>
      <c r="AY346" s="102">
        <v>2700</v>
      </c>
      <c r="AZ346" s="102">
        <v>270</v>
      </c>
      <c r="BA346" s="172">
        <v>0</v>
      </c>
      <c r="BC346" s="104">
        <f ca="1">IFERROR(OFFSET(ITEM_RES!$A$5,MATCH(BD346,ITEM_RES!$M$5:$M$84,0)-1,0),0)</f>
        <v>0</v>
      </c>
    </row>
    <row r="347" spans="1:55" x14ac:dyDescent="0.3">
      <c r="A347" s="107">
        <f t="shared" si="209"/>
        <v>322030128</v>
      </c>
      <c r="B347" s="106">
        <v>32</v>
      </c>
      <c r="C347" s="105">
        <f t="shared" si="210"/>
        <v>2</v>
      </c>
      <c r="D347" s="106">
        <v>3</v>
      </c>
      <c r="E347" s="106">
        <v>1</v>
      </c>
      <c r="F347" s="105">
        <f t="shared" si="199"/>
        <v>28</v>
      </c>
      <c r="H347" s="103">
        <v>2</v>
      </c>
      <c r="I347" s="105">
        <f t="shared" si="211"/>
        <v>203</v>
      </c>
      <c r="J347" s="172">
        <v>28</v>
      </c>
      <c r="L347" s="172" t="s">
        <v>1115</v>
      </c>
      <c r="M347" s="172" t="s">
        <v>1133</v>
      </c>
      <c r="N347" s="103" t="s">
        <v>506</v>
      </c>
      <c r="O347" s="103" t="s">
        <v>1083</v>
      </c>
      <c r="P347" s="172">
        <v>0</v>
      </c>
      <c r="Q347" s="172">
        <v>12</v>
      </c>
      <c r="R347" s="103" t="s">
        <v>1031</v>
      </c>
      <c r="S347" s="103">
        <v>322030101</v>
      </c>
      <c r="T347" s="104" t="str">
        <f t="shared" si="203"/>
        <v>UITexture/TechProd/322030101.png</v>
      </c>
      <c r="U347" s="172" t="s">
        <v>1148</v>
      </c>
      <c r="V347" s="104">
        <f t="shared" si="212"/>
        <v>0</v>
      </c>
      <c r="Z347" s="172">
        <v>1</v>
      </c>
      <c r="AB347" s="102">
        <f ca="1">IFERROR(OFFSET(BLDG_FUNC_PARAM!$A$5,MATCH(AC347,BLDG_FUNC_PARAM!$J$5:$J$68,0)-1,0),0)</f>
        <v>122030001</v>
      </c>
      <c r="AC347" s="103" t="s">
        <v>966</v>
      </c>
      <c r="AD347" s="102">
        <v>106</v>
      </c>
      <c r="AN347" s="102">
        <v>0</v>
      </c>
      <c r="AO347" s="102">
        <v>0</v>
      </c>
      <c r="AT347" s="104">
        <f t="shared" si="213"/>
        <v>1680</v>
      </c>
      <c r="AW347" s="103">
        <v>28</v>
      </c>
      <c r="AY347" s="102">
        <v>2800</v>
      </c>
      <c r="AZ347" s="102">
        <v>280</v>
      </c>
      <c r="BA347" s="172">
        <v>0</v>
      </c>
      <c r="BC347" s="104">
        <f ca="1">IFERROR(OFFSET(ITEM_RES!$A$5,MATCH(BD347,ITEM_RES!$M$5:$M$84,0)-1,0),0)</f>
        <v>0</v>
      </c>
    </row>
    <row r="348" spans="1:55" x14ac:dyDescent="0.3">
      <c r="A348" s="107">
        <f t="shared" si="209"/>
        <v>322030129</v>
      </c>
      <c r="B348" s="106">
        <v>32</v>
      </c>
      <c r="C348" s="105">
        <f t="shared" si="210"/>
        <v>2</v>
      </c>
      <c r="D348" s="106">
        <v>3</v>
      </c>
      <c r="E348" s="106">
        <v>1</v>
      </c>
      <c r="F348" s="105">
        <f t="shared" si="199"/>
        <v>29</v>
      </c>
      <c r="H348" s="103">
        <v>2</v>
      </c>
      <c r="I348" s="105">
        <f t="shared" si="211"/>
        <v>203</v>
      </c>
      <c r="J348" s="172">
        <v>29</v>
      </c>
      <c r="L348" s="172" t="s">
        <v>1115</v>
      </c>
      <c r="M348" s="172" t="s">
        <v>1133</v>
      </c>
      <c r="N348" s="103" t="s">
        <v>506</v>
      </c>
      <c r="O348" s="103" t="s">
        <v>1083</v>
      </c>
      <c r="P348" s="172">
        <v>0</v>
      </c>
      <c r="Q348" s="172">
        <v>12</v>
      </c>
      <c r="R348" s="103" t="s">
        <v>1031</v>
      </c>
      <c r="S348" s="103">
        <v>322030101</v>
      </c>
      <c r="T348" s="104" t="str">
        <f t="shared" si="203"/>
        <v>UITexture/TechProd/322030101.png</v>
      </c>
      <c r="U348" s="172" t="s">
        <v>1148</v>
      </c>
      <c r="V348" s="104">
        <f t="shared" si="212"/>
        <v>0</v>
      </c>
      <c r="Z348" s="172">
        <v>1</v>
      </c>
      <c r="AB348" s="102">
        <f ca="1">IFERROR(OFFSET(BLDG_FUNC_PARAM!$A$5,MATCH(AC348,BLDG_FUNC_PARAM!$J$5:$J$68,0)-1,0),0)</f>
        <v>122030001</v>
      </c>
      <c r="AC348" s="103" t="s">
        <v>966</v>
      </c>
      <c r="AD348" s="102">
        <v>108</v>
      </c>
      <c r="AN348" s="102">
        <v>0</v>
      </c>
      <c r="AO348" s="102">
        <v>0</v>
      </c>
      <c r="AT348" s="104">
        <f t="shared" si="213"/>
        <v>1740</v>
      </c>
      <c r="AW348" s="103">
        <v>29</v>
      </c>
      <c r="AY348" s="102">
        <v>2900</v>
      </c>
      <c r="AZ348" s="102">
        <v>290</v>
      </c>
      <c r="BA348" s="172">
        <v>0</v>
      </c>
      <c r="BC348" s="104">
        <f ca="1">IFERROR(OFFSET(ITEM_RES!$A$5,MATCH(BD348,ITEM_RES!$M$5:$M$84,0)-1,0),0)</f>
        <v>0</v>
      </c>
    </row>
    <row r="349" spans="1:55" x14ac:dyDescent="0.3">
      <c r="A349" s="107">
        <f t="shared" si="209"/>
        <v>322030130</v>
      </c>
      <c r="B349" s="106">
        <v>32</v>
      </c>
      <c r="C349" s="105">
        <f t="shared" si="210"/>
        <v>2</v>
      </c>
      <c r="D349" s="106">
        <v>3</v>
      </c>
      <c r="E349" s="106">
        <v>1</v>
      </c>
      <c r="F349" s="105">
        <f t="shared" si="199"/>
        <v>30</v>
      </c>
      <c r="H349" s="103">
        <v>2</v>
      </c>
      <c r="I349" s="105">
        <f t="shared" si="211"/>
        <v>203</v>
      </c>
      <c r="J349" s="172">
        <v>30</v>
      </c>
      <c r="L349" s="172" t="s">
        <v>1115</v>
      </c>
      <c r="M349" s="172" t="s">
        <v>1133</v>
      </c>
      <c r="N349" s="103" t="s">
        <v>506</v>
      </c>
      <c r="O349" s="103" t="s">
        <v>1083</v>
      </c>
      <c r="P349" s="172">
        <v>0</v>
      </c>
      <c r="Q349" s="172">
        <v>12</v>
      </c>
      <c r="R349" s="103" t="s">
        <v>1031</v>
      </c>
      <c r="S349" s="103">
        <v>322030101</v>
      </c>
      <c r="T349" s="104" t="str">
        <f t="shared" si="203"/>
        <v>UITexture/TechProd/322030101.png</v>
      </c>
      <c r="U349" s="172" t="s">
        <v>1148</v>
      </c>
      <c r="V349" s="104">
        <f t="shared" si="212"/>
        <v>0</v>
      </c>
      <c r="Z349" s="172">
        <v>1</v>
      </c>
      <c r="AB349" s="102">
        <f ca="1">IFERROR(OFFSET(BLDG_FUNC_PARAM!$A$5,MATCH(AC349,BLDG_FUNC_PARAM!$J$5:$J$68,0)-1,0),0)</f>
        <v>122030001</v>
      </c>
      <c r="AC349" s="103" t="s">
        <v>966</v>
      </c>
      <c r="AD349" s="102">
        <v>120</v>
      </c>
      <c r="AN349" s="102">
        <v>30</v>
      </c>
      <c r="AO349" s="102">
        <v>0</v>
      </c>
      <c r="AT349" s="104">
        <f t="shared" si="213"/>
        <v>1800</v>
      </c>
      <c r="AW349" s="103">
        <v>30</v>
      </c>
      <c r="AY349" s="102">
        <v>3000</v>
      </c>
      <c r="AZ349" s="102">
        <v>300</v>
      </c>
      <c r="BA349" s="172">
        <v>0</v>
      </c>
      <c r="BC349" s="104">
        <f ca="1">IFERROR(OFFSET(ITEM_RES!$A$5,MATCH(BD349,ITEM_RES!$M$5:$M$84,0)-1,0),0)</f>
        <v>0</v>
      </c>
    </row>
    <row r="350" spans="1:55" x14ac:dyDescent="0.3">
      <c r="A350" s="107">
        <f t="shared" si="179"/>
        <v>322030201</v>
      </c>
      <c r="B350" s="106">
        <v>32</v>
      </c>
      <c r="C350" s="105">
        <f t="shared" ref="C350:C354" si="214">H350</f>
        <v>2</v>
      </c>
      <c r="D350" s="106">
        <v>3</v>
      </c>
      <c r="E350" s="106">
        <v>2</v>
      </c>
      <c r="F350" s="105">
        <f t="shared" si="199"/>
        <v>1</v>
      </c>
      <c r="H350" s="103">
        <v>2</v>
      </c>
      <c r="I350" s="105">
        <f t="shared" ref="I350:I354" si="215">C350*100+D350</f>
        <v>203</v>
      </c>
      <c r="J350" s="172">
        <v>1</v>
      </c>
      <c r="L350" s="172" t="s">
        <v>1115</v>
      </c>
      <c r="M350" s="172" t="s">
        <v>1134</v>
      </c>
      <c r="N350" s="103" t="s">
        <v>506</v>
      </c>
      <c r="O350" s="103" t="s">
        <v>1084</v>
      </c>
      <c r="P350" s="172">
        <v>1</v>
      </c>
      <c r="Q350" s="172">
        <v>12</v>
      </c>
      <c r="R350" s="103" t="s">
        <v>1031</v>
      </c>
      <c r="S350" s="103">
        <v>322030201</v>
      </c>
      <c r="T350" s="104" t="str">
        <f t="shared" si="203"/>
        <v>UITexture/TechProd/322030201.png</v>
      </c>
      <c r="U350" s="172" t="s">
        <v>1149</v>
      </c>
      <c r="V350" s="104">
        <f t="shared" ref="V350:V354" si="216">W350*1000+X350</f>
        <v>3005</v>
      </c>
      <c r="W350" s="103">
        <v>3</v>
      </c>
      <c r="X350" s="103">
        <v>5</v>
      </c>
      <c r="Z350" s="172">
        <v>1</v>
      </c>
      <c r="AB350" s="102">
        <f ca="1">IFERROR(OFFSET(BLDG_FUNC_PARAM!$A$5,MATCH(AC350,BLDG_FUNC_PARAM!$J$5:$J$68,0)-1,0),0)</f>
        <v>122030002</v>
      </c>
      <c r="AC350" s="103" t="s">
        <v>967</v>
      </c>
      <c r="AD350" s="102">
        <v>3</v>
      </c>
      <c r="AN350" s="102">
        <v>3</v>
      </c>
      <c r="AO350" s="102">
        <v>0</v>
      </c>
      <c r="AT350" s="104">
        <f t="shared" ref="AT350:AT354" si="217">((AU350*24+AV350)*60+AW350)*60+AX350</f>
        <v>60</v>
      </c>
      <c r="AW350" s="103">
        <v>1</v>
      </c>
      <c r="AY350" s="102">
        <v>100</v>
      </c>
      <c r="AZ350" s="102">
        <v>10</v>
      </c>
      <c r="BA350" s="172">
        <v>0</v>
      </c>
      <c r="BC350" s="104">
        <f ca="1">IFERROR(OFFSET(ITEM_RES!$A$5,MATCH(BD350,ITEM_RES!$M$5:$M$84,0)-1,0),0)</f>
        <v>0</v>
      </c>
    </row>
    <row r="351" spans="1:55" x14ac:dyDescent="0.3">
      <c r="A351" s="107">
        <f t="shared" si="179"/>
        <v>322030202</v>
      </c>
      <c r="B351" s="106">
        <v>32</v>
      </c>
      <c r="C351" s="105">
        <f t="shared" si="214"/>
        <v>2</v>
      </c>
      <c r="D351" s="106">
        <v>3</v>
      </c>
      <c r="E351" s="106">
        <v>2</v>
      </c>
      <c r="F351" s="105">
        <f t="shared" si="199"/>
        <v>2</v>
      </c>
      <c r="H351" s="103">
        <v>2</v>
      </c>
      <c r="I351" s="105">
        <f t="shared" si="215"/>
        <v>203</v>
      </c>
      <c r="J351" s="172">
        <v>2</v>
      </c>
      <c r="L351" s="172" t="s">
        <v>1115</v>
      </c>
      <c r="M351" s="172" t="s">
        <v>1134</v>
      </c>
      <c r="N351" s="103" t="s">
        <v>506</v>
      </c>
      <c r="O351" s="103" t="s">
        <v>1084</v>
      </c>
      <c r="P351" s="172">
        <v>1</v>
      </c>
      <c r="Q351" s="172">
        <v>12</v>
      </c>
      <c r="R351" s="103" t="s">
        <v>1031</v>
      </c>
      <c r="S351" s="103">
        <v>322030201</v>
      </c>
      <c r="T351" s="104" t="str">
        <f t="shared" si="203"/>
        <v>UITexture/TechProd/322030201.png</v>
      </c>
      <c r="U351" s="172" t="s">
        <v>1149</v>
      </c>
      <c r="V351" s="104">
        <f t="shared" si="216"/>
        <v>0</v>
      </c>
      <c r="Z351" s="172">
        <v>1</v>
      </c>
      <c r="AB351" s="102">
        <f ca="1">IFERROR(OFFSET(BLDG_FUNC_PARAM!$A$5,MATCH(AC351,BLDG_FUNC_PARAM!$J$5:$J$68,0)-1,0),0)</f>
        <v>122030002</v>
      </c>
      <c r="AC351" s="103" t="s">
        <v>967</v>
      </c>
      <c r="AD351" s="102">
        <v>6</v>
      </c>
      <c r="AN351" s="102">
        <v>0</v>
      </c>
      <c r="AO351" s="102">
        <v>0</v>
      </c>
      <c r="AT351" s="104">
        <f t="shared" si="217"/>
        <v>120</v>
      </c>
      <c r="AW351" s="103">
        <v>2</v>
      </c>
      <c r="AY351" s="102">
        <v>200</v>
      </c>
      <c r="AZ351" s="102">
        <v>20</v>
      </c>
      <c r="BA351" s="172">
        <v>0</v>
      </c>
      <c r="BC351" s="104">
        <f ca="1">IFERROR(OFFSET(ITEM_RES!$A$5,MATCH(BD351,ITEM_RES!$M$5:$M$84,0)-1,0),0)</f>
        <v>0</v>
      </c>
    </row>
    <row r="352" spans="1:55" x14ac:dyDescent="0.3">
      <c r="A352" s="107">
        <f t="shared" si="179"/>
        <v>322030203</v>
      </c>
      <c r="B352" s="106">
        <v>32</v>
      </c>
      <c r="C352" s="105">
        <f t="shared" si="214"/>
        <v>2</v>
      </c>
      <c r="D352" s="106">
        <v>3</v>
      </c>
      <c r="E352" s="106">
        <v>2</v>
      </c>
      <c r="F352" s="105">
        <f t="shared" si="199"/>
        <v>3</v>
      </c>
      <c r="H352" s="103">
        <v>2</v>
      </c>
      <c r="I352" s="105">
        <f t="shared" si="215"/>
        <v>203</v>
      </c>
      <c r="J352" s="172">
        <v>3</v>
      </c>
      <c r="L352" s="172" t="s">
        <v>1115</v>
      </c>
      <c r="M352" s="172" t="s">
        <v>1134</v>
      </c>
      <c r="N352" s="103" t="s">
        <v>506</v>
      </c>
      <c r="O352" s="103" t="s">
        <v>1084</v>
      </c>
      <c r="P352" s="172">
        <v>1</v>
      </c>
      <c r="Q352" s="172">
        <v>12</v>
      </c>
      <c r="R352" s="103" t="s">
        <v>1031</v>
      </c>
      <c r="S352" s="103">
        <v>322030201</v>
      </c>
      <c r="T352" s="104" t="str">
        <f t="shared" si="203"/>
        <v>UITexture/TechProd/322030201.png</v>
      </c>
      <c r="U352" s="172" t="s">
        <v>1149</v>
      </c>
      <c r="V352" s="104">
        <f t="shared" si="216"/>
        <v>0</v>
      </c>
      <c r="Z352" s="172">
        <v>1</v>
      </c>
      <c r="AB352" s="102">
        <f ca="1">IFERROR(OFFSET(BLDG_FUNC_PARAM!$A$5,MATCH(AC352,BLDG_FUNC_PARAM!$J$5:$J$68,0)-1,0),0)</f>
        <v>122030002</v>
      </c>
      <c r="AC352" s="103" t="s">
        <v>967</v>
      </c>
      <c r="AD352" s="102">
        <v>9</v>
      </c>
      <c r="AN352" s="102">
        <v>0</v>
      </c>
      <c r="AO352" s="102">
        <v>0</v>
      </c>
      <c r="AT352" s="104">
        <f t="shared" si="217"/>
        <v>180</v>
      </c>
      <c r="AW352" s="103">
        <v>3</v>
      </c>
      <c r="AY352" s="102">
        <v>300</v>
      </c>
      <c r="AZ352" s="102">
        <v>30</v>
      </c>
      <c r="BA352" s="172">
        <v>0</v>
      </c>
      <c r="BC352" s="104">
        <f ca="1">IFERROR(OFFSET(ITEM_RES!$A$5,MATCH(BD352,ITEM_RES!$M$5:$M$84,0)-1,0),0)</f>
        <v>0</v>
      </c>
    </row>
    <row r="353" spans="1:55" x14ac:dyDescent="0.3">
      <c r="A353" s="107">
        <f t="shared" si="179"/>
        <v>322030204</v>
      </c>
      <c r="B353" s="106">
        <v>32</v>
      </c>
      <c r="C353" s="105">
        <f t="shared" si="214"/>
        <v>2</v>
      </c>
      <c r="D353" s="106">
        <v>3</v>
      </c>
      <c r="E353" s="106">
        <v>2</v>
      </c>
      <c r="F353" s="105">
        <f t="shared" si="199"/>
        <v>4</v>
      </c>
      <c r="H353" s="103">
        <v>2</v>
      </c>
      <c r="I353" s="105">
        <f t="shared" si="215"/>
        <v>203</v>
      </c>
      <c r="J353" s="172">
        <v>4</v>
      </c>
      <c r="L353" s="172" t="s">
        <v>1115</v>
      </c>
      <c r="M353" s="172" t="s">
        <v>1134</v>
      </c>
      <c r="N353" s="103" t="s">
        <v>506</v>
      </c>
      <c r="O353" s="103" t="s">
        <v>1084</v>
      </c>
      <c r="P353" s="172">
        <v>1</v>
      </c>
      <c r="Q353" s="172">
        <v>12</v>
      </c>
      <c r="R353" s="103" t="s">
        <v>1031</v>
      </c>
      <c r="S353" s="103">
        <v>322030201</v>
      </c>
      <c r="T353" s="104" t="str">
        <f t="shared" si="203"/>
        <v>UITexture/TechProd/322030201.png</v>
      </c>
      <c r="U353" s="172" t="s">
        <v>1149</v>
      </c>
      <c r="V353" s="104">
        <f t="shared" si="216"/>
        <v>0</v>
      </c>
      <c r="Z353" s="172">
        <v>1</v>
      </c>
      <c r="AB353" s="102">
        <f ca="1">IFERROR(OFFSET(BLDG_FUNC_PARAM!$A$5,MATCH(AC353,BLDG_FUNC_PARAM!$J$5:$J$68,0)-1,0),0)</f>
        <v>122030002</v>
      </c>
      <c r="AC353" s="103" t="s">
        <v>967</v>
      </c>
      <c r="AD353" s="102">
        <v>12</v>
      </c>
      <c r="AN353" s="102">
        <v>0</v>
      </c>
      <c r="AO353" s="102">
        <v>0</v>
      </c>
      <c r="AT353" s="104">
        <f t="shared" si="217"/>
        <v>240</v>
      </c>
      <c r="AW353" s="103">
        <v>4</v>
      </c>
      <c r="AY353" s="102">
        <v>400</v>
      </c>
      <c r="AZ353" s="102">
        <v>40</v>
      </c>
      <c r="BA353" s="172">
        <v>0</v>
      </c>
      <c r="BC353" s="104">
        <f ca="1">IFERROR(OFFSET(ITEM_RES!$A$5,MATCH(BD353,ITEM_RES!$M$5:$M$84,0)-1,0),0)</f>
        <v>0</v>
      </c>
    </row>
    <row r="354" spans="1:55" x14ac:dyDescent="0.3">
      <c r="A354" s="107">
        <f t="shared" si="179"/>
        <v>322030205</v>
      </c>
      <c r="B354" s="106">
        <v>32</v>
      </c>
      <c r="C354" s="105">
        <f t="shared" si="214"/>
        <v>2</v>
      </c>
      <c r="D354" s="106">
        <v>3</v>
      </c>
      <c r="E354" s="106">
        <v>2</v>
      </c>
      <c r="F354" s="105">
        <f t="shared" si="199"/>
        <v>5</v>
      </c>
      <c r="H354" s="103">
        <v>2</v>
      </c>
      <c r="I354" s="105">
        <f t="shared" si="215"/>
        <v>203</v>
      </c>
      <c r="J354" s="172">
        <v>5</v>
      </c>
      <c r="L354" s="172" t="s">
        <v>1115</v>
      </c>
      <c r="M354" s="172" t="s">
        <v>1134</v>
      </c>
      <c r="N354" s="103" t="s">
        <v>506</v>
      </c>
      <c r="O354" s="103" t="s">
        <v>1084</v>
      </c>
      <c r="P354" s="172">
        <v>1</v>
      </c>
      <c r="Q354" s="172">
        <v>12</v>
      </c>
      <c r="R354" s="103" t="s">
        <v>1031</v>
      </c>
      <c r="S354" s="103">
        <v>322030201</v>
      </c>
      <c r="T354" s="104" t="str">
        <f t="shared" si="203"/>
        <v>UITexture/TechProd/322030201.png</v>
      </c>
      <c r="U354" s="172" t="s">
        <v>1149</v>
      </c>
      <c r="V354" s="104">
        <f t="shared" si="216"/>
        <v>0</v>
      </c>
      <c r="Z354" s="172">
        <v>1</v>
      </c>
      <c r="AB354" s="102">
        <f ca="1">IFERROR(OFFSET(BLDG_FUNC_PARAM!$A$5,MATCH(AC354,BLDG_FUNC_PARAM!$J$5:$J$68,0)-1,0),0)</f>
        <v>122030002</v>
      </c>
      <c r="AC354" s="103" t="s">
        <v>967</v>
      </c>
      <c r="AD354" s="102">
        <v>30</v>
      </c>
      <c r="AN354" s="102">
        <v>7</v>
      </c>
      <c r="AO354" s="102">
        <v>0</v>
      </c>
      <c r="AT354" s="104">
        <f t="shared" si="217"/>
        <v>300</v>
      </c>
      <c r="AW354" s="103">
        <v>5</v>
      </c>
      <c r="AY354" s="102">
        <v>500</v>
      </c>
      <c r="AZ354" s="102">
        <v>50</v>
      </c>
      <c r="BA354" s="172">
        <v>0</v>
      </c>
      <c r="BC354" s="104">
        <f ca="1">IFERROR(OFFSET(ITEM_RES!$A$5,MATCH(BD354,ITEM_RES!$M$5:$M$84,0)-1,0),0)</f>
        <v>0</v>
      </c>
    </row>
    <row r="355" spans="1:55" x14ac:dyDescent="0.3">
      <c r="A355" s="107">
        <f t="shared" ref="A355:A364" si="218">B355*10000000+C355*1000000+D355*10000+E355*100+F355</f>
        <v>322030206</v>
      </c>
      <c r="B355" s="106">
        <v>32</v>
      </c>
      <c r="C355" s="105">
        <f t="shared" ref="C355:C364" si="219">H355</f>
        <v>2</v>
      </c>
      <c r="D355" s="106">
        <v>3</v>
      </c>
      <c r="E355" s="106">
        <v>2</v>
      </c>
      <c r="F355" s="105">
        <f t="shared" si="199"/>
        <v>6</v>
      </c>
      <c r="H355" s="103">
        <v>2</v>
      </c>
      <c r="I355" s="105">
        <f t="shared" ref="I355:I364" si="220">C355*100+D355</f>
        <v>203</v>
      </c>
      <c r="J355" s="172">
        <v>6</v>
      </c>
      <c r="L355" s="172" t="s">
        <v>1115</v>
      </c>
      <c r="M355" s="172" t="s">
        <v>1134</v>
      </c>
      <c r="N355" s="103" t="s">
        <v>506</v>
      </c>
      <c r="O355" s="103" t="s">
        <v>1084</v>
      </c>
      <c r="P355" s="172">
        <v>1</v>
      </c>
      <c r="Q355" s="172">
        <v>12</v>
      </c>
      <c r="R355" s="103" t="s">
        <v>1031</v>
      </c>
      <c r="S355" s="103">
        <v>322030201</v>
      </c>
      <c r="T355" s="104" t="str">
        <f t="shared" si="203"/>
        <v>UITexture/TechProd/322030201.png</v>
      </c>
      <c r="U355" s="172" t="s">
        <v>1149</v>
      </c>
      <c r="V355" s="104">
        <f t="shared" ref="V355:V364" si="221">W355*1000+X355</f>
        <v>0</v>
      </c>
      <c r="Z355" s="172">
        <v>1</v>
      </c>
      <c r="AB355" s="102">
        <f ca="1">IFERROR(OFFSET(BLDG_FUNC_PARAM!$A$5,MATCH(AC355,BLDG_FUNC_PARAM!$J$5:$J$68,0)-1,0),0)</f>
        <v>122030002</v>
      </c>
      <c r="AC355" s="103" t="s">
        <v>967</v>
      </c>
      <c r="AD355" s="102">
        <v>33</v>
      </c>
      <c r="AN355" s="102">
        <v>0</v>
      </c>
      <c r="AO355" s="102">
        <v>0</v>
      </c>
      <c r="AT355" s="104">
        <f t="shared" ref="AT355:AT364" si="222">((AU355*24+AV355)*60+AW355)*60+AX355</f>
        <v>360</v>
      </c>
      <c r="AW355" s="103">
        <v>6</v>
      </c>
      <c r="AY355" s="102">
        <v>600</v>
      </c>
      <c r="AZ355" s="102">
        <v>60</v>
      </c>
      <c r="BA355" s="172">
        <v>0</v>
      </c>
      <c r="BC355" s="104">
        <f ca="1">IFERROR(OFFSET(ITEM_RES!$A$5,MATCH(BD355,ITEM_RES!$M$5:$M$84,0)-1,0),0)</f>
        <v>0</v>
      </c>
    </row>
    <row r="356" spans="1:55" x14ac:dyDescent="0.3">
      <c r="A356" s="107">
        <f t="shared" si="218"/>
        <v>322030207</v>
      </c>
      <c r="B356" s="106">
        <v>32</v>
      </c>
      <c r="C356" s="105">
        <f t="shared" si="219"/>
        <v>2</v>
      </c>
      <c r="D356" s="106">
        <v>3</v>
      </c>
      <c r="E356" s="106">
        <v>2</v>
      </c>
      <c r="F356" s="105">
        <f t="shared" si="199"/>
        <v>7</v>
      </c>
      <c r="H356" s="103">
        <v>2</v>
      </c>
      <c r="I356" s="105">
        <f t="shared" si="220"/>
        <v>203</v>
      </c>
      <c r="J356" s="172">
        <v>7</v>
      </c>
      <c r="L356" s="172" t="s">
        <v>1115</v>
      </c>
      <c r="M356" s="172" t="s">
        <v>1134</v>
      </c>
      <c r="N356" s="103" t="s">
        <v>506</v>
      </c>
      <c r="O356" s="103" t="s">
        <v>1084</v>
      </c>
      <c r="P356" s="172">
        <v>1</v>
      </c>
      <c r="Q356" s="172">
        <v>12</v>
      </c>
      <c r="R356" s="103" t="s">
        <v>1031</v>
      </c>
      <c r="S356" s="103">
        <v>322030201</v>
      </c>
      <c r="T356" s="104" t="str">
        <f t="shared" si="203"/>
        <v>UITexture/TechProd/322030201.png</v>
      </c>
      <c r="U356" s="172" t="s">
        <v>1149</v>
      </c>
      <c r="V356" s="104">
        <f t="shared" si="221"/>
        <v>0</v>
      </c>
      <c r="Z356" s="172">
        <v>1</v>
      </c>
      <c r="AB356" s="102">
        <f ca="1">IFERROR(OFFSET(BLDG_FUNC_PARAM!$A$5,MATCH(AC356,BLDG_FUNC_PARAM!$J$5:$J$68,0)-1,0),0)</f>
        <v>122030002</v>
      </c>
      <c r="AC356" s="103" t="s">
        <v>967</v>
      </c>
      <c r="AD356" s="102">
        <v>36</v>
      </c>
      <c r="AN356" s="102">
        <v>0</v>
      </c>
      <c r="AO356" s="102">
        <v>0</v>
      </c>
      <c r="AT356" s="104">
        <f t="shared" si="222"/>
        <v>420</v>
      </c>
      <c r="AW356" s="103">
        <v>7</v>
      </c>
      <c r="AY356" s="102">
        <v>700</v>
      </c>
      <c r="AZ356" s="102">
        <v>70</v>
      </c>
      <c r="BA356" s="172">
        <v>0</v>
      </c>
      <c r="BC356" s="104">
        <f ca="1">IFERROR(OFFSET(ITEM_RES!$A$5,MATCH(BD356,ITEM_RES!$M$5:$M$84,0)-1,0),0)</f>
        <v>0</v>
      </c>
    </row>
    <row r="357" spans="1:55" x14ac:dyDescent="0.3">
      <c r="A357" s="107">
        <f t="shared" si="218"/>
        <v>322030208</v>
      </c>
      <c r="B357" s="106">
        <v>32</v>
      </c>
      <c r="C357" s="105">
        <f t="shared" si="219"/>
        <v>2</v>
      </c>
      <c r="D357" s="106">
        <v>3</v>
      </c>
      <c r="E357" s="106">
        <v>2</v>
      </c>
      <c r="F357" s="105">
        <f t="shared" si="199"/>
        <v>8</v>
      </c>
      <c r="H357" s="103">
        <v>2</v>
      </c>
      <c r="I357" s="105">
        <f t="shared" si="220"/>
        <v>203</v>
      </c>
      <c r="J357" s="172">
        <v>8</v>
      </c>
      <c r="L357" s="172" t="s">
        <v>1115</v>
      </c>
      <c r="M357" s="172" t="s">
        <v>1134</v>
      </c>
      <c r="N357" s="103" t="s">
        <v>506</v>
      </c>
      <c r="O357" s="103" t="s">
        <v>1084</v>
      </c>
      <c r="P357" s="172">
        <v>1</v>
      </c>
      <c r="Q357" s="172">
        <v>12</v>
      </c>
      <c r="R357" s="103" t="s">
        <v>1031</v>
      </c>
      <c r="S357" s="103">
        <v>322030201</v>
      </c>
      <c r="T357" s="104" t="str">
        <f t="shared" si="203"/>
        <v>UITexture/TechProd/322030201.png</v>
      </c>
      <c r="U357" s="172" t="s">
        <v>1149</v>
      </c>
      <c r="V357" s="104">
        <f t="shared" si="221"/>
        <v>0</v>
      </c>
      <c r="Z357" s="172">
        <v>1</v>
      </c>
      <c r="AB357" s="102">
        <f ca="1">IFERROR(OFFSET(BLDG_FUNC_PARAM!$A$5,MATCH(AC357,BLDG_FUNC_PARAM!$J$5:$J$68,0)-1,0),0)</f>
        <v>122030002</v>
      </c>
      <c r="AC357" s="103" t="s">
        <v>967</v>
      </c>
      <c r="AD357" s="102">
        <v>39</v>
      </c>
      <c r="AN357" s="102">
        <v>0</v>
      </c>
      <c r="AO357" s="102">
        <v>0</v>
      </c>
      <c r="AT357" s="104">
        <f t="shared" si="222"/>
        <v>480</v>
      </c>
      <c r="AW357" s="103">
        <v>8</v>
      </c>
      <c r="AY357" s="102">
        <v>800</v>
      </c>
      <c r="AZ357" s="102">
        <v>80</v>
      </c>
      <c r="BA357" s="172">
        <v>0</v>
      </c>
      <c r="BC357" s="104">
        <f ca="1">IFERROR(OFFSET(ITEM_RES!$A$5,MATCH(BD357,ITEM_RES!$M$5:$M$84,0)-1,0),0)</f>
        <v>0</v>
      </c>
    </row>
    <row r="358" spans="1:55" x14ac:dyDescent="0.3">
      <c r="A358" s="107">
        <f t="shared" si="218"/>
        <v>322030209</v>
      </c>
      <c r="B358" s="106">
        <v>32</v>
      </c>
      <c r="C358" s="105">
        <f t="shared" si="219"/>
        <v>2</v>
      </c>
      <c r="D358" s="106">
        <v>3</v>
      </c>
      <c r="E358" s="106">
        <v>2</v>
      </c>
      <c r="F358" s="105">
        <f t="shared" si="199"/>
        <v>9</v>
      </c>
      <c r="H358" s="103">
        <v>2</v>
      </c>
      <c r="I358" s="105">
        <f t="shared" si="220"/>
        <v>203</v>
      </c>
      <c r="J358" s="172">
        <v>9</v>
      </c>
      <c r="L358" s="172" t="s">
        <v>1115</v>
      </c>
      <c r="M358" s="172" t="s">
        <v>1134</v>
      </c>
      <c r="N358" s="103" t="s">
        <v>506</v>
      </c>
      <c r="O358" s="103" t="s">
        <v>1084</v>
      </c>
      <c r="P358" s="172">
        <v>1</v>
      </c>
      <c r="Q358" s="172">
        <v>12</v>
      </c>
      <c r="R358" s="103" t="s">
        <v>1031</v>
      </c>
      <c r="S358" s="103">
        <v>322030201</v>
      </c>
      <c r="T358" s="104" t="str">
        <f t="shared" si="203"/>
        <v>UITexture/TechProd/322030201.png</v>
      </c>
      <c r="U358" s="172" t="s">
        <v>1149</v>
      </c>
      <c r="V358" s="104">
        <f t="shared" si="221"/>
        <v>0</v>
      </c>
      <c r="Z358" s="172">
        <v>1</v>
      </c>
      <c r="AB358" s="102">
        <f ca="1">IFERROR(OFFSET(BLDG_FUNC_PARAM!$A$5,MATCH(AC358,BLDG_FUNC_PARAM!$J$5:$J$68,0)-1,0),0)</f>
        <v>122030002</v>
      </c>
      <c r="AC358" s="103" t="s">
        <v>967</v>
      </c>
      <c r="AD358" s="102">
        <v>42.000000000000007</v>
      </c>
      <c r="AN358" s="102">
        <v>0</v>
      </c>
      <c r="AO358" s="102">
        <v>0</v>
      </c>
      <c r="AT358" s="104">
        <f t="shared" si="222"/>
        <v>540</v>
      </c>
      <c r="AW358" s="103">
        <v>9</v>
      </c>
      <c r="AY358" s="102">
        <v>900</v>
      </c>
      <c r="AZ358" s="102">
        <v>90</v>
      </c>
      <c r="BA358" s="172">
        <v>0</v>
      </c>
      <c r="BC358" s="104">
        <f ca="1">IFERROR(OFFSET(ITEM_RES!$A$5,MATCH(BD358,ITEM_RES!$M$5:$M$84,0)-1,0),0)</f>
        <v>0</v>
      </c>
    </row>
    <row r="359" spans="1:55" x14ac:dyDescent="0.3">
      <c r="A359" s="107">
        <f t="shared" si="218"/>
        <v>322030210</v>
      </c>
      <c r="B359" s="106">
        <v>32</v>
      </c>
      <c r="C359" s="105">
        <f t="shared" si="219"/>
        <v>2</v>
      </c>
      <c r="D359" s="106">
        <v>3</v>
      </c>
      <c r="E359" s="106">
        <v>2</v>
      </c>
      <c r="F359" s="105">
        <f t="shared" si="199"/>
        <v>10</v>
      </c>
      <c r="H359" s="103">
        <v>2</v>
      </c>
      <c r="I359" s="105">
        <f t="shared" si="220"/>
        <v>203</v>
      </c>
      <c r="J359" s="172">
        <v>10</v>
      </c>
      <c r="L359" s="172" t="s">
        <v>1115</v>
      </c>
      <c r="M359" s="172" t="s">
        <v>1134</v>
      </c>
      <c r="N359" s="103" t="s">
        <v>506</v>
      </c>
      <c r="O359" s="103" t="s">
        <v>1084</v>
      </c>
      <c r="P359" s="172">
        <v>1</v>
      </c>
      <c r="Q359" s="172">
        <v>12</v>
      </c>
      <c r="R359" s="103" t="s">
        <v>1031</v>
      </c>
      <c r="S359" s="103">
        <v>322030201</v>
      </c>
      <c r="T359" s="104" t="str">
        <f t="shared" si="203"/>
        <v>UITexture/TechProd/322030201.png</v>
      </c>
      <c r="U359" s="172" t="s">
        <v>1149</v>
      </c>
      <c r="V359" s="104">
        <f t="shared" si="221"/>
        <v>0</v>
      </c>
      <c r="Z359" s="172">
        <v>1</v>
      </c>
      <c r="AB359" s="102">
        <f ca="1">IFERROR(OFFSET(BLDG_FUNC_PARAM!$A$5,MATCH(AC359,BLDG_FUNC_PARAM!$J$5:$J$68,0)-1,0),0)</f>
        <v>122030002</v>
      </c>
      <c r="AC359" s="103" t="s">
        <v>967</v>
      </c>
      <c r="AD359" s="102">
        <v>60</v>
      </c>
      <c r="AN359" s="102">
        <v>12</v>
      </c>
      <c r="AO359" s="102">
        <v>0</v>
      </c>
      <c r="AT359" s="104">
        <f t="shared" si="222"/>
        <v>600</v>
      </c>
      <c r="AW359" s="103">
        <v>10</v>
      </c>
      <c r="AY359" s="102">
        <v>1000</v>
      </c>
      <c r="AZ359" s="102">
        <v>100</v>
      </c>
      <c r="BA359" s="172">
        <v>0</v>
      </c>
      <c r="BC359" s="104">
        <f ca="1">IFERROR(OFFSET(ITEM_RES!$A$5,MATCH(BD359,ITEM_RES!$M$5:$M$84,0)-1,0),0)</f>
        <v>0</v>
      </c>
    </row>
    <row r="360" spans="1:55" x14ac:dyDescent="0.3">
      <c r="A360" s="107">
        <f t="shared" si="218"/>
        <v>322030211</v>
      </c>
      <c r="B360" s="106">
        <v>32</v>
      </c>
      <c r="C360" s="105">
        <f t="shared" si="219"/>
        <v>2</v>
      </c>
      <c r="D360" s="106">
        <v>3</v>
      </c>
      <c r="E360" s="106">
        <v>2</v>
      </c>
      <c r="F360" s="105">
        <f t="shared" si="199"/>
        <v>11</v>
      </c>
      <c r="H360" s="103">
        <v>2</v>
      </c>
      <c r="I360" s="105">
        <f t="shared" si="220"/>
        <v>203</v>
      </c>
      <c r="J360" s="172">
        <v>11</v>
      </c>
      <c r="L360" s="172" t="s">
        <v>1115</v>
      </c>
      <c r="M360" s="172" t="s">
        <v>1134</v>
      </c>
      <c r="N360" s="103" t="s">
        <v>506</v>
      </c>
      <c r="O360" s="103" t="s">
        <v>1084</v>
      </c>
      <c r="P360" s="172">
        <v>1</v>
      </c>
      <c r="Q360" s="172">
        <v>12</v>
      </c>
      <c r="R360" s="103" t="s">
        <v>1031</v>
      </c>
      <c r="S360" s="103">
        <v>322030201</v>
      </c>
      <c r="T360" s="104" t="str">
        <f t="shared" si="203"/>
        <v>UITexture/TechProd/322030201.png</v>
      </c>
      <c r="U360" s="172" t="s">
        <v>1149</v>
      </c>
      <c r="V360" s="104">
        <f t="shared" si="221"/>
        <v>0</v>
      </c>
      <c r="Z360" s="172">
        <v>1</v>
      </c>
      <c r="AB360" s="102">
        <f ca="1">IFERROR(OFFSET(BLDG_FUNC_PARAM!$A$5,MATCH(AC360,BLDG_FUNC_PARAM!$J$5:$J$68,0)-1,0),0)</f>
        <v>122030002</v>
      </c>
      <c r="AC360" s="103" t="s">
        <v>967</v>
      </c>
      <c r="AD360" s="102">
        <v>63</v>
      </c>
      <c r="AN360" s="102">
        <v>0</v>
      </c>
      <c r="AO360" s="102">
        <v>0</v>
      </c>
      <c r="AT360" s="104">
        <f t="shared" si="222"/>
        <v>660</v>
      </c>
      <c r="AW360" s="103">
        <v>11</v>
      </c>
      <c r="AY360" s="102">
        <v>1100</v>
      </c>
      <c r="AZ360" s="102">
        <v>110</v>
      </c>
      <c r="BA360" s="172">
        <v>0</v>
      </c>
      <c r="BC360" s="104">
        <f ca="1">IFERROR(OFFSET(ITEM_RES!$A$5,MATCH(BD360,ITEM_RES!$M$5:$M$84,0)-1,0),0)</f>
        <v>0</v>
      </c>
    </row>
    <row r="361" spans="1:55" x14ac:dyDescent="0.3">
      <c r="A361" s="107">
        <f t="shared" si="218"/>
        <v>322030212</v>
      </c>
      <c r="B361" s="106">
        <v>32</v>
      </c>
      <c r="C361" s="105">
        <f t="shared" si="219"/>
        <v>2</v>
      </c>
      <c r="D361" s="106">
        <v>3</v>
      </c>
      <c r="E361" s="106">
        <v>2</v>
      </c>
      <c r="F361" s="105">
        <f t="shared" si="199"/>
        <v>12</v>
      </c>
      <c r="H361" s="103">
        <v>2</v>
      </c>
      <c r="I361" s="105">
        <f t="shared" si="220"/>
        <v>203</v>
      </c>
      <c r="J361" s="172">
        <v>12</v>
      </c>
      <c r="L361" s="172" t="s">
        <v>1115</v>
      </c>
      <c r="M361" s="172" t="s">
        <v>1134</v>
      </c>
      <c r="N361" s="103" t="s">
        <v>506</v>
      </c>
      <c r="O361" s="103" t="s">
        <v>1084</v>
      </c>
      <c r="P361" s="172">
        <v>1</v>
      </c>
      <c r="Q361" s="172">
        <v>12</v>
      </c>
      <c r="R361" s="103" t="s">
        <v>1031</v>
      </c>
      <c r="S361" s="103">
        <v>322030201</v>
      </c>
      <c r="T361" s="104" t="str">
        <f t="shared" si="203"/>
        <v>UITexture/TechProd/322030201.png</v>
      </c>
      <c r="U361" s="172" t="s">
        <v>1149</v>
      </c>
      <c r="V361" s="104">
        <f t="shared" si="221"/>
        <v>0</v>
      </c>
      <c r="Z361" s="172">
        <v>1</v>
      </c>
      <c r="AB361" s="102">
        <f ca="1">IFERROR(OFFSET(BLDG_FUNC_PARAM!$A$5,MATCH(AC361,BLDG_FUNC_PARAM!$J$5:$J$68,0)-1,0),0)</f>
        <v>122030002</v>
      </c>
      <c r="AC361" s="103" t="s">
        <v>967</v>
      </c>
      <c r="AD361" s="102">
        <v>66</v>
      </c>
      <c r="AN361" s="102">
        <v>0</v>
      </c>
      <c r="AO361" s="102">
        <v>0</v>
      </c>
      <c r="AT361" s="104">
        <f t="shared" si="222"/>
        <v>720</v>
      </c>
      <c r="AW361" s="103">
        <v>12</v>
      </c>
      <c r="AY361" s="102">
        <v>1200</v>
      </c>
      <c r="AZ361" s="102">
        <v>120</v>
      </c>
      <c r="BA361" s="172">
        <v>0</v>
      </c>
      <c r="BC361" s="104">
        <f ca="1">IFERROR(OFFSET(ITEM_RES!$A$5,MATCH(BD361,ITEM_RES!$M$5:$M$84,0)-1,0),0)</f>
        <v>0</v>
      </c>
    </row>
    <row r="362" spans="1:55" x14ac:dyDescent="0.3">
      <c r="A362" s="107">
        <f t="shared" si="218"/>
        <v>322030213</v>
      </c>
      <c r="B362" s="106">
        <v>32</v>
      </c>
      <c r="C362" s="105">
        <f t="shared" si="219"/>
        <v>2</v>
      </c>
      <c r="D362" s="106">
        <v>3</v>
      </c>
      <c r="E362" s="106">
        <v>2</v>
      </c>
      <c r="F362" s="105">
        <f t="shared" si="199"/>
        <v>13</v>
      </c>
      <c r="H362" s="103">
        <v>2</v>
      </c>
      <c r="I362" s="105">
        <f t="shared" si="220"/>
        <v>203</v>
      </c>
      <c r="J362" s="172">
        <v>13</v>
      </c>
      <c r="L362" s="172" t="s">
        <v>1115</v>
      </c>
      <c r="M362" s="172" t="s">
        <v>1134</v>
      </c>
      <c r="N362" s="103" t="s">
        <v>506</v>
      </c>
      <c r="O362" s="103" t="s">
        <v>1084</v>
      </c>
      <c r="P362" s="172">
        <v>0</v>
      </c>
      <c r="Q362" s="172">
        <v>12</v>
      </c>
      <c r="R362" s="103" t="s">
        <v>1031</v>
      </c>
      <c r="S362" s="103">
        <v>322030201</v>
      </c>
      <c r="T362" s="104" t="str">
        <f t="shared" si="203"/>
        <v>UITexture/TechProd/322030201.png</v>
      </c>
      <c r="U362" s="172" t="s">
        <v>1149</v>
      </c>
      <c r="V362" s="104">
        <f t="shared" si="221"/>
        <v>0</v>
      </c>
      <c r="Z362" s="172">
        <v>1</v>
      </c>
      <c r="AB362" s="102">
        <f ca="1">IFERROR(OFFSET(BLDG_FUNC_PARAM!$A$5,MATCH(AC362,BLDG_FUNC_PARAM!$J$5:$J$68,0)-1,0),0)</f>
        <v>122030002</v>
      </c>
      <c r="AC362" s="103" t="s">
        <v>967</v>
      </c>
      <c r="AD362" s="102">
        <v>69</v>
      </c>
      <c r="AN362" s="102">
        <v>0</v>
      </c>
      <c r="AO362" s="102">
        <v>0</v>
      </c>
      <c r="AT362" s="104">
        <f t="shared" si="222"/>
        <v>780</v>
      </c>
      <c r="AW362" s="103">
        <v>13</v>
      </c>
      <c r="AY362" s="102">
        <v>1300</v>
      </c>
      <c r="AZ362" s="102">
        <v>130</v>
      </c>
      <c r="BA362" s="172">
        <v>0</v>
      </c>
      <c r="BC362" s="104">
        <f ca="1">IFERROR(OFFSET(ITEM_RES!$A$5,MATCH(BD362,ITEM_RES!$M$5:$M$84,0)-1,0),0)</f>
        <v>0</v>
      </c>
    </row>
    <row r="363" spans="1:55" x14ac:dyDescent="0.3">
      <c r="A363" s="107">
        <f t="shared" si="218"/>
        <v>322030214</v>
      </c>
      <c r="B363" s="106">
        <v>32</v>
      </c>
      <c r="C363" s="105">
        <f t="shared" si="219"/>
        <v>2</v>
      </c>
      <c r="D363" s="106">
        <v>3</v>
      </c>
      <c r="E363" s="106">
        <v>2</v>
      </c>
      <c r="F363" s="105">
        <f t="shared" si="199"/>
        <v>14</v>
      </c>
      <c r="H363" s="103">
        <v>2</v>
      </c>
      <c r="I363" s="105">
        <f t="shared" si="220"/>
        <v>203</v>
      </c>
      <c r="J363" s="172">
        <v>14</v>
      </c>
      <c r="L363" s="172" t="s">
        <v>1115</v>
      </c>
      <c r="M363" s="172" t="s">
        <v>1134</v>
      </c>
      <c r="N363" s="103" t="s">
        <v>506</v>
      </c>
      <c r="O363" s="103" t="s">
        <v>1084</v>
      </c>
      <c r="P363" s="172">
        <v>0</v>
      </c>
      <c r="Q363" s="172">
        <v>12</v>
      </c>
      <c r="R363" s="103" t="s">
        <v>1031</v>
      </c>
      <c r="S363" s="103">
        <v>322030201</v>
      </c>
      <c r="T363" s="104" t="str">
        <f t="shared" si="203"/>
        <v>UITexture/TechProd/322030201.png</v>
      </c>
      <c r="U363" s="172" t="s">
        <v>1149</v>
      </c>
      <c r="V363" s="104">
        <f t="shared" si="221"/>
        <v>0</v>
      </c>
      <c r="Z363" s="172">
        <v>1</v>
      </c>
      <c r="AB363" s="102">
        <f ca="1">IFERROR(OFFSET(BLDG_FUNC_PARAM!$A$5,MATCH(AC363,BLDG_FUNC_PARAM!$J$5:$J$68,0)-1,0),0)</f>
        <v>122030002</v>
      </c>
      <c r="AC363" s="103" t="s">
        <v>967</v>
      </c>
      <c r="AD363" s="102">
        <v>72</v>
      </c>
      <c r="AN363" s="102">
        <v>0</v>
      </c>
      <c r="AO363" s="102">
        <v>0</v>
      </c>
      <c r="AT363" s="104">
        <f t="shared" si="222"/>
        <v>840</v>
      </c>
      <c r="AW363" s="103">
        <v>14</v>
      </c>
      <c r="AY363" s="102">
        <v>1400</v>
      </c>
      <c r="AZ363" s="102">
        <v>140</v>
      </c>
      <c r="BA363" s="172">
        <v>0</v>
      </c>
      <c r="BC363" s="104">
        <f ca="1">IFERROR(OFFSET(ITEM_RES!$A$5,MATCH(BD363,ITEM_RES!$M$5:$M$84,0)-1,0),0)</f>
        <v>0</v>
      </c>
    </row>
    <row r="364" spans="1:55" x14ac:dyDescent="0.3">
      <c r="A364" s="107">
        <f t="shared" si="218"/>
        <v>322030215</v>
      </c>
      <c r="B364" s="106">
        <v>32</v>
      </c>
      <c r="C364" s="105">
        <f t="shared" si="219"/>
        <v>2</v>
      </c>
      <c r="D364" s="106">
        <v>3</v>
      </c>
      <c r="E364" s="106">
        <v>2</v>
      </c>
      <c r="F364" s="105">
        <f t="shared" si="199"/>
        <v>15</v>
      </c>
      <c r="H364" s="103">
        <v>2</v>
      </c>
      <c r="I364" s="105">
        <f t="shared" si="220"/>
        <v>203</v>
      </c>
      <c r="J364" s="172">
        <v>15</v>
      </c>
      <c r="L364" s="172" t="s">
        <v>1115</v>
      </c>
      <c r="M364" s="172" t="s">
        <v>1134</v>
      </c>
      <c r="N364" s="103" t="s">
        <v>506</v>
      </c>
      <c r="O364" s="103" t="s">
        <v>1084</v>
      </c>
      <c r="P364" s="172">
        <v>0</v>
      </c>
      <c r="Q364" s="172">
        <v>12</v>
      </c>
      <c r="R364" s="103" t="s">
        <v>1031</v>
      </c>
      <c r="S364" s="103">
        <v>322030201</v>
      </c>
      <c r="T364" s="104" t="str">
        <f t="shared" si="203"/>
        <v>UITexture/TechProd/322030201.png</v>
      </c>
      <c r="U364" s="172" t="s">
        <v>1149</v>
      </c>
      <c r="V364" s="104">
        <f t="shared" si="221"/>
        <v>0</v>
      </c>
      <c r="Z364" s="172">
        <v>1</v>
      </c>
      <c r="AB364" s="102">
        <f ca="1">IFERROR(OFFSET(BLDG_FUNC_PARAM!$A$5,MATCH(AC364,BLDG_FUNC_PARAM!$J$5:$J$68,0)-1,0),0)</f>
        <v>122030002</v>
      </c>
      <c r="AC364" s="103" t="s">
        <v>967</v>
      </c>
      <c r="AD364" s="102">
        <v>90</v>
      </c>
      <c r="AN364" s="102">
        <v>16</v>
      </c>
      <c r="AO364" s="102">
        <v>0</v>
      </c>
      <c r="AT364" s="104">
        <f t="shared" si="222"/>
        <v>900</v>
      </c>
      <c r="AW364" s="103">
        <v>15</v>
      </c>
      <c r="AY364" s="102">
        <v>1500</v>
      </c>
      <c r="AZ364" s="102">
        <v>150</v>
      </c>
      <c r="BA364" s="172">
        <v>0</v>
      </c>
      <c r="BC364" s="104">
        <f ca="1">IFERROR(OFFSET(ITEM_RES!$A$5,MATCH(BD364,ITEM_RES!$M$5:$M$84,0)-1,0),0)</f>
        <v>0</v>
      </c>
    </row>
    <row r="365" spans="1:55" x14ac:dyDescent="0.3">
      <c r="A365" s="107">
        <f t="shared" ref="A365:A374" si="223">B365*10000000+C365*1000000+D365*10000+E365*100+F365</f>
        <v>322030216</v>
      </c>
      <c r="B365" s="106">
        <v>32</v>
      </c>
      <c r="C365" s="105">
        <f t="shared" ref="C365:C374" si="224">H365</f>
        <v>2</v>
      </c>
      <c r="D365" s="106">
        <v>3</v>
      </c>
      <c r="E365" s="106">
        <v>2</v>
      </c>
      <c r="F365" s="105">
        <f t="shared" si="199"/>
        <v>16</v>
      </c>
      <c r="H365" s="103">
        <v>2</v>
      </c>
      <c r="I365" s="105">
        <f t="shared" ref="I365:I374" si="225">C365*100+D365</f>
        <v>203</v>
      </c>
      <c r="J365" s="172">
        <v>16</v>
      </c>
      <c r="L365" s="172" t="s">
        <v>1115</v>
      </c>
      <c r="M365" s="172" t="s">
        <v>1134</v>
      </c>
      <c r="N365" s="103" t="s">
        <v>506</v>
      </c>
      <c r="O365" s="103" t="s">
        <v>1084</v>
      </c>
      <c r="P365" s="172">
        <v>0</v>
      </c>
      <c r="Q365" s="172">
        <v>12</v>
      </c>
      <c r="R365" s="103" t="s">
        <v>1031</v>
      </c>
      <c r="S365" s="103">
        <v>322030201</v>
      </c>
      <c r="T365" s="104" t="str">
        <f t="shared" si="203"/>
        <v>UITexture/TechProd/322030201.png</v>
      </c>
      <c r="U365" s="172" t="s">
        <v>1149</v>
      </c>
      <c r="V365" s="104">
        <f t="shared" ref="V365:V374" si="226">W365*1000+X365</f>
        <v>0</v>
      </c>
      <c r="Z365" s="172">
        <v>1</v>
      </c>
      <c r="AB365" s="102">
        <f ca="1">IFERROR(OFFSET(BLDG_FUNC_PARAM!$A$5,MATCH(AC365,BLDG_FUNC_PARAM!$J$5:$J$68,0)-1,0),0)</f>
        <v>122030002</v>
      </c>
      <c r="AC365" s="103" t="s">
        <v>967</v>
      </c>
      <c r="AD365" s="102">
        <v>93</v>
      </c>
      <c r="AN365" s="102">
        <v>0</v>
      </c>
      <c r="AO365" s="102">
        <v>0</v>
      </c>
      <c r="AT365" s="104">
        <f t="shared" ref="AT365:AT374" si="227">((AU365*24+AV365)*60+AW365)*60+AX365</f>
        <v>960</v>
      </c>
      <c r="AW365" s="103">
        <v>16</v>
      </c>
      <c r="AY365" s="102">
        <v>1600</v>
      </c>
      <c r="AZ365" s="102">
        <v>160</v>
      </c>
      <c r="BA365" s="172">
        <v>0</v>
      </c>
      <c r="BC365" s="104">
        <f ca="1">IFERROR(OFFSET(ITEM_RES!$A$5,MATCH(BD365,ITEM_RES!$M$5:$M$84,0)-1,0),0)</f>
        <v>0</v>
      </c>
    </row>
    <row r="366" spans="1:55" x14ac:dyDescent="0.3">
      <c r="A366" s="107">
        <f t="shared" si="223"/>
        <v>322030217</v>
      </c>
      <c r="B366" s="106">
        <v>32</v>
      </c>
      <c r="C366" s="105">
        <f t="shared" si="224"/>
        <v>2</v>
      </c>
      <c r="D366" s="106">
        <v>3</v>
      </c>
      <c r="E366" s="106">
        <v>2</v>
      </c>
      <c r="F366" s="105">
        <f t="shared" si="199"/>
        <v>17</v>
      </c>
      <c r="H366" s="103">
        <v>2</v>
      </c>
      <c r="I366" s="105">
        <f t="shared" si="225"/>
        <v>203</v>
      </c>
      <c r="J366" s="172">
        <v>17</v>
      </c>
      <c r="L366" s="172" t="s">
        <v>1115</v>
      </c>
      <c r="M366" s="172" t="s">
        <v>1134</v>
      </c>
      <c r="N366" s="103" t="s">
        <v>506</v>
      </c>
      <c r="O366" s="103" t="s">
        <v>1084</v>
      </c>
      <c r="P366" s="172">
        <v>0</v>
      </c>
      <c r="Q366" s="172">
        <v>12</v>
      </c>
      <c r="R366" s="103" t="s">
        <v>1031</v>
      </c>
      <c r="S366" s="103">
        <v>322030201</v>
      </c>
      <c r="T366" s="104" t="str">
        <f t="shared" si="203"/>
        <v>UITexture/TechProd/322030201.png</v>
      </c>
      <c r="U366" s="172" t="s">
        <v>1149</v>
      </c>
      <c r="V366" s="104">
        <f t="shared" si="226"/>
        <v>0</v>
      </c>
      <c r="Z366" s="172">
        <v>1</v>
      </c>
      <c r="AB366" s="102">
        <f ca="1">IFERROR(OFFSET(BLDG_FUNC_PARAM!$A$5,MATCH(AC366,BLDG_FUNC_PARAM!$J$5:$J$68,0)-1,0),0)</f>
        <v>122030002</v>
      </c>
      <c r="AC366" s="103" t="s">
        <v>967</v>
      </c>
      <c r="AD366" s="102">
        <v>96</v>
      </c>
      <c r="AN366" s="102">
        <v>0</v>
      </c>
      <c r="AO366" s="102">
        <v>0</v>
      </c>
      <c r="AT366" s="104">
        <f t="shared" si="227"/>
        <v>1020</v>
      </c>
      <c r="AW366" s="103">
        <v>17</v>
      </c>
      <c r="AY366" s="102">
        <v>1700</v>
      </c>
      <c r="AZ366" s="102">
        <v>170</v>
      </c>
      <c r="BA366" s="172">
        <v>0</v>
      </c>
      <c r="BC366" s="104">
        <f ca="1">IFERROR(OFFSET(ITEM_RES!$A$5,MATCH(BD366,ITEM_RES!$M$5:$M$84,0)-1,0),0)</f>
        <v>0</v>
      </c>
    </row>
    <row r="367" spans="1:55" x14ac:dyDescent="0.3">
      <c r="A367" s="107">
        <f t="shared" si="223"/>
        <v>322030218</v>
      </c>
      <c r="B367" s="106">
        <v>32</v>
      </c>
      <c r="C367" s="105">
        <f t="shared" si="224"/>
        <v>2</v>
      </c>
      <c r="D367" s="106">
        <v>3</v>
      </c>
      <c r="E367" s="106">
        <v>2</v>
      </c>
      <c r="F367" s="105">
        <f t="shared" si="199"/>
        <v>18</v>
      </c>
      <c r="H367" s="103">
        <v>2</v>
      </c>
      <c r="I367" s="105">
        <f t="shared" si="225"/>
        <v>203</v>
      </c>
      <c r="J367" s="172">
        <v>18</v>
      </c>
      <c r="L367" s="172" t="s">
        <v>1115</v>
      </c>
      <c r="M367" s="172" t="s">
        <v>1134</v>
      </c>
      <c r="N367" s="103" t="s">
        <v>506</v>
      </c>
      <c r="O367" s="103" t="s">
        <v>1084</v>
      </c>
      <c r="P367" s="172">
        <v>0</v>
      </c>
      <c r="Q367" s="172">
        <v>12</v>
      </c>
      <c r="R367" s="103" t="s">
        <v>1031</v>
      </c>
      <c r="S367" s="103">
        <v>322030201</v>
      </c>
      <c r="T367" s="104" t="str">
        <f t="shared" si="203"/>
        <v>UITexture/TechProd/322030201.png</v>
      </c>
      <c r="U367" s="172" t="s">
        <v>1149</v>
      </c>
      <c r="V367" s="104">
        <f t="shared" si="226"/>
        <v>0</v>
      </c>
      <c r="Z367" s="172">
        <v>1</v>
      </c>
      <c r="AB367" s="102">
        <f ca="1">IFERROR(OFFSET(BLDG_FUNC_PARAM!$A$5,MATCH(AC367,BLDG_FUNC_PARAM!$J$5:$J$68,0)-1,0),0)</f>
        <v>122030002</v>
      </c>
      <c r="AC367" s="103" t="s">
        <v>967</v>
      </c>
      <c r="AD367" s="102">
        <v>99</v>
      </c>
      <c r="AN367" s="102">
        <v>0</v>
      </c>
      <c r="AO367" s="102">
        <v>0</v>
      </c>
      <c r="AT367" s="104">
        <f t="shared" si="227"/>
        <v>1080</v>
      </c>
      <c r="AW367" s="103">
        <v>18</v>
      </c>
      <c r="AY367" s="102">
        <v>1800</v>
      </c>
      <c r="AZ367" s="102">
        <v>180</v>
      </c>
      <c r="BA367" s="172">
        <v>0</v>
      </c>
      <c r="BC367" s="104">
        <f ca="1">IFERROR(OFFSET(ITEM_RES!$A$5,MATCH(BD367,ITEM_RES!$M$5:$M$84,0)-1,0),0)</f>
        <v>0</v>
      </c>
    </row>
    <row r="368" spans="1:55" x14ac:dyDescent="0.3">
      <c r="A368" s="107">
        <f t="shared" si="223"/>
        <v>322030219</v>
      </c>
      <c r="B368" s="106">
        <v>32</v>
      </c>
      <c r="C368" s="105">
        <f t="shared" si="224"/>
        <v>2</v>
      </c>
      <c r="D368" s="106">
        <v>3</v>
      </c>
      <c r="E368" s="106">
        <v>2</v>
      </c>
      <c r="F368" s="105">
        <f t="shared" si="199"/>
        <v>19</v>
      </c>
      <c r="H368" s="103">
        <v>2</v>
      </c>
      <c r="I368" s="105">
        <f t="shared" si="225"/>
        <v>203</v>
      </c>
      <c r="J368" s="172">
        <v>19</v>
      </c>
      <c r="L368" s="172" t="s">
        <v>1115</v>
      </c>
      <c r="M368" s="172" t="s">
        <v>1134</v>
      </c>
      <c r="N368" s="103" t="s">
        <v>506</v>
      </c>
      <c r="O368" s="103" t="s">
        <v>1084</v>
      </c>
      <c r="P368" s="172">
        <v>0</v>
      </c>
      <c r="Q368" s="172">
        <v>12</v>
      </c>
      <c r="R368" s="103" t="s">
        <v>1031</v>
      </c>
      <c r="S368" s="103">
        <v>322030201</v>
      </c>
      <c r="T368" s="104" t="str">
        <f t="shared" si="203"/>
        <v>UITexture/TechProd/322030201.png</v>
      </c>
      <c r="U368" s="172" t="s">
        <v>1149</v>
      </c>
      <c r="V368" s="104">
        <f t="shared" si="226"/>
        <v>0</v>
      </c>
      <c r="Z368" s="172">
        <v>1</v>
      </c>
      <c r="AB368" s="102">
        <f ca="1">IFERROR(OFFSET(BLDG_FUNC_PARAM!$A$5,MATCH(AC368,BLDG_FUNC_PARAM!$J$5:$J$68,0)-1,0),0)</f>
        <v>122030002</v>
      </c>
      <c r="AC368" s="103" t="s">
        <v>967</v>
      </c>
      <c r="AD368" s="102">
        <v>102</v>
      </c>
      <c r="AN368" s="102">
        <v>0</v>
      </c>
      <c r="AO368" s="102">
        <v>0</v>
      </c>
      <c r="AT368" s="104">
        <f t="shared" si="227"/>
        <v>1140</v>
      </c>
      <c r="AW368" s="103">
        <v>19</v>
      </c>
      <c r="AY368" s="102">
        <v>1900</v>
      </c>
      <c r="AZ368" s="102">
        <v>190</v>
      </c>
      <c r="BA368" s="172">
        <v>0</v>
      </c>
      <c r="BC368" s="104">
        <f ca="1">IFERROR(OFFSET(ITEM_RES!$A$5,MATCH(BD368,ITEM_RES!$M$5:$M$84,0)-1,0),0)</f>
        <v>0</v>
      </c>
    </row>
    <row r="369" spans="1:55" x14ac:dyDescent="0.3">
      <c r="A369" s="107">
        <f t="shared" si="223"/>
        <v>322030220</v>
      </c>
      <c r="B369" s="106">
        <v>32</v>
      </c>
      <c r="C369" s="105">
        <f t="shared" si="224"/>
        <v>2</v>
      </c>
      <c r="D369" s="106">
        <v>3</v>
      </c>
      <c r="E369" s="106">
        <v>2</v>
      </c>
      <c r="F369" s="105">
        <f t="shared" si="199"/>
        <v>20</v>
      </c>
      <c r="H369" s="103">
        <v>2</v>
      </c>
      <c r="I369" s="105">
        <f t="shared" si="225"/>
        <v>203</v>
      </c>
      <c r="J369" s="172">
        <v>20</v>
      </c>
      <c r="L369" s="172" t="s">
        <v>1115</v>
      </c>
      <c r="M369" s="172" t="s">
        <v>1134</v>
      </c>
      <c r="N369" s="103" t="s">
        <v>506</v>
      </c>
      <c r="O369" s="103" t="s">
        <v>1084</v>
      </c>
      <c r="P369" s="172">
        <v>0</v>
      </c>
      <c r="Q369" s="172">
        <v>12</v>
      </c>
      <c r="R369" s="103" t="s">
        <v>1031</v>
      </c>
      <c r="S369" s="103">
        <v>322030201</v>
      </c>
      <c r="T369" s="104" t="str">
        <f t="shared" si="203"/>
        <v>UITexture/TechProd/322030201.png</v>
      </c>
      <c r="U369" s="172" t="s">
        <v>1149</v>
      </c>
      <c r="V369" s="104">
        <f t="shared" si="226"/>
        <v>0</v>
      </c>
      <c r="Z369" s="172">
        <v>1</v>
      </c>
      <c r="AB369" s="102">
        <f ca="1">IFERROR(OFFSET(BLDG_FUNC_PARAM!$A$5,MATCH(AC369,BLDG_FUNC_PARAM!$J$5:$J$68,0)-1,0),0)</f>
        <v>122030002</v>
      </c>
      <c r="AC369" s="103" t="s">
        <v>967</v>
      </c>
      <c r="AD369" s="102">
        <v>120</v>
      </c>
      <c r="AN369" s="102">
        <v>21</v>
      </c>
      <c r="AO369" s="102">
        <v>0</v>
      </c>
      <c r="AT369" s="104">
        <f t="shared" si="227"/>
        <v>1200</v>
      </c>
      <c r="AW369" s="103">
        <v>20</v>
      </c>
      <c r="AY369" s="102">
        <v>2000</v>
      </c>
      <c r="AZ369" s="102">
        <v>200</v>
      </c>
      <c r="BA369" s="172">
        <v>0</v>
      </c>
      <c r="BC369" s="104">
        <f ca="1">IFERROR(OFFSET(ITEM_RES!$A$5,MATCH(BD369,ITEM_RES!$M$5:$M$84,0)-1,0),0)</f>
        <v>0</v>
      </c>
    </row>
    <row r="370" spans="1:55" x14ac:dyDescent="0.3">
      <c r="A370" s="107">
        <f t="shared" si="223"/>
        <v>322030221</v>
      </c>
      <c r="B370" s="106">
        <v>32</v>
      </c>
      <c r="C370" s="105">
        <f t="shared" si="224"/>
        <v>2</v>
      </c>
      <c r="D370" s="106">
        <v>3</v>
      </c>
      <c r="E370" s="106">
        <v>2</v>
      </c>
      <c r="F370" s="105">
        <f t="shared" si="199"/>
        <v>21</v>
      </c>
      <c r="H370" s="103">
        <v>2</v>
      </c>
      <c r="I370" s="105">
        <f t="shared" si="225"/>
        <v>203</v>
      </c>
      <c r="J370" s="172">
        <v>21</v>
      </c>
      <c r="L370" s="172" t="s">
        <v>1115</v>
      </c>
      <c r="M370" s="172" t="s">
        <v>1134</v>
      </c>
      <c r="N370" s="103" t="s">
        <v>506</v>
      </c>
      <c r="O370" s="103" t="s">
        <v>1084</v>
      </c>
      <c r="P370" s="172">
        <v>0</v>
      </c>
      <c r="Q370" s="172">
        <v>12</v>
      </c>
      <c r="R370" s="103" t="s">
        <v>1031</v>
      </c>
      <c r="S370" s="103">
        <v>322030201</v>
      </c>
      <c r="T370" s="104" t="str">
        <f t="shared" si="203"/>
        <v>UITexture/TechProd/322030201.png</v>
      </c>
      <c r="U370" s="172" t="s">
        <v>1149</v>
      </c>
      <c r="V370" s="104">
        <f t="shared" si="226"/>
        <v>0</v>
      </c>
      <c r="Z370" s="172">
        <v>1</v>
      </c>
      <c r="AB370" s="102">
        <f ca="1">IFERROR(OFFSET(BLDG_FUNC_PARAM!$A$5,MATCH(AC370,BLDG_FUNC_PARAM!$J$5:$J$68,0)-1,0),0)</f>
        <v>122030002</v>
      </c>
      <c r="AC370" s="103" t="s">
        <v>967</v>
      </c>
      <c r="AD370" s="102">
        <v>123</v>
      </c>
      <c r="AN370" s="102">
        <v>0</v>
      </c>
      <c r="AO370" s="102">
        <v>0</v>
      </c>
      <c r="AT370" s="104">
        <f t="shared" si="227"/>
        <v>1260</v>
      </c>
      <c r="AW370" s="103">
        <v>21</v>
      </c>
      <c r="AY370" s="102">
        <v>2100</v>
      </c>
      <c r="AZ370" s="102">
        <v>210</v>
      </c>
      <c r="BA370" s="172">
        <v>0</v>
      </c>
      <c r="BC370" s="104">
        <f ca="1">IFERROR(OFFSET(ITEM_RES!$A$5,MATCH(BD370,ITEM_RES!$M$5:$M$84,0)-1,0),0)</f>
        <v>0</v>
      </c>
    </row>
    <row r="371" spans="1:55" x14ac:dyDescent="0.3">
      <c r="A371" s="107">
        <f t="shared" si="223"/>
        <v>322030222</v>
      </c>
      <c r="B371" s="106">
        <v>32</v>
      </c>
      <c r="C371" s="105">
        <f t="shared" si="224"/>
        <v>2</v>
      </c>
      <c r="D371" s="106">
        <v>3</v>
      </c>
      <c r="E371" s="106">
        <v>2</v>
      </c>
      <c r="F371" s="105">
        <f t="shared" si="199"/>
        <v>22</v>
      </c>
      <c r="H371" s="103">
        <v>2</v>
      </c>
      <c r="I371" s="105">
        <f t="shared" si="225"/>
        <v>203</v>
      </c>
      <c r="J371" s="172">
        <v>22</v>
      </c>
      <c r="L371" s="172" t="s">
        <v>1115</v>
      </c>
      <c r="M371" s="172" t="s">
        <v>1134</v>
      </c>
      <c r="N371" s="103" t="s">
        <v>506</v>
      </c>
      <c r="O371" s="103" t="s">
        <v>1084</v>
      </c>
      <c r="P371" s="172">
        <v>0</v>
      </c>
      <c r="Q371" s="172">
        <v>12</v>
      </c>
      <c r="R371" s="103" t="s">
        <v>1031</v>
      </c>
      <c r="S371" s="103">
        <v>322030201</v>
      </c>
      <c r="T371" s="104" t="str">
        <f t="shared" si="203"/>
        <v>UITexture/TechProd/322030201.png</v>
      </c>
      <c r="U371" s="172" t="s">
        <v>1149</v>
      </c>
      <c r="V371" s="104">
        <f t="shared" si="226"/>
        <v>0</v>
      </c>
      <c r="Z371" s="172">
        <v>1</v>
      </c>
      <c r="AB371" s="102">
        <f ca="1">IFERROR(OFFSET(BLDG_FUNC_PARAM!$A$5,MATCH(AC371,BLDG_FUNC_PARAM!$J$5:$J$68,0)-1,0),0)</f>
        <v>122030002</v>
      </c>
      <c r="AC371" s="103" t="s">
        <v>967</v>
      </c>
      <c r="AD371" s="102">
        <v>126</v>
      </c>
      <c r="AN371" s="102">
        <v>0</v>
      </c>
      <c r="AO371" s="102">
        <v>0</v>
      </c>
      <c r="AT371" s="104">
        <f t="shared" si="227"/>
        <v>1320</v>
      </c>
      <c r="AW371" s="103">
        <v>22</v>
      </c>
      <c r="AY371" s="102">
        <v>2200</v>
      </c>
      <c r="AZ371" s="102">
        <v>220</v>
      </c>
      <c r="BA371" s="172">
        <v>0</v>
      </c>
      <c r="BC371" s="104">
        <f ca="1">IFERROR(OFFSET(ITEM_RES!$A$5,MATCH(BD371,ITEM_RES!$M$5:$M$84,0)-1,0),0)</f>
        <v>0</v>
      </c>
    </row>
    <row r="372" spans="1:55" x14ac:dyDescent="0.3">
      <c r="A372" s="107">
        <f t="shared" si="223"/>
        <v>322030223</v>
      </c>
      <c r="B372" s="106">
        <v>32</v>
      </c>
      <c r="C372" s="105">
        <f t="shared" si="224"/>
        <v>2</v>
      </c>
      <c r="D372" s="106">
        <v>3</v>
      </c>
      <c r="E372" s="106">
        <v>2</v>
      </c>
      <c r="F372" s="105">
        <f t="shared" si="199"/>
        <v>23</v>
      </c>
      <c r="H372" s="103">
        <v>2</v>
      </c>
      <c r="I372" s="105">
        <f t="shared" si="225"/>
        <v>203</v>
      </c>
      <c r="J372" s="172">
        <v>23</v>
      </c>
      <c r="L372" s="172" t="s">
        <v>1115</v>
      </c>
      <c r="M372" s="172" t="s">
        <v>1134</v>
      </c>
      <c r="N372" s="103" t="s">
        <v>506</v>
      </c>
      <c r="O372" s="103" t="s">
        <v>1084</v>
      </c>
      <c r="P372" s="172">
        <v>0</v>
      </c>
      <c r="Q372" s="172">
        <v>12</v>
      </c>
      <c r="R372" s="103" t="s">
        <v>1031</v>
      </c>
      <c r="S372" s="103">
        <v>322030201</v>
      </c>
      <c r="T372" s="104" t="str">
        <f t="shared" si="203"/>
        <v>UITexture/TechProd/322030201.png</v>
      </c>
      <c r="U372" s="172" t="s">
        <v>1149</v>
      </c>
      <c r="V372" s="104">
        <f t="shared" si="226"/>
        <v>0</v>
      </c>
      <c r="Z372" s="172">
        <v>1</v>
      </c>
      <c r="AB372" s="102">
        <f ca="1">IFERROR(OFFSET(BLDG_FUNC_PARAM!$A$5,MATCH(AC372,BLDG_FUNC_PARAM!$J$5:$J$68,0)-1,0),0)</f>
        <v>122030002</v>
      </c>
      <c r="AC372" s="103" t="s">
        <v>967</v>
      </c>
      <c r="AD372" s="102">
        <v>129</v>
      </c>
      <c r="AN372" s="102">
        <v>0</v>
      </c>
      <c r="AO372" s="102">
        <v>0</v>
      </c>
      <c r="AT372" s="104">
        <f t="shared" si="227"/>
        <v>1380</v>
      </c>
      <c r="AW372" s="103">
        <v>23</v>
      </c>
      <c r="AY372" s="102">
        <v>2300</v>
      </c>
      <c r="AZ372" s="102">
        <v>230</v>
      </c>
      <c r="BA372" s="172">
        <v>0</v>
      </c>
      <c r="BC372" s="104">
        <f ca="1">IFERROR(OFFSET(ITEM_RES!$A$5,MATCH(BD372,ITEM_RES!$M$5:$M$84,0)-1,0),0)</f>
        <v>0</v>
      </c>
    </row>
    <row r="373" spans="1:55" x14ac:dyDescent="0.3">
      <c r="A373" s="107">
        <f t="shared" si="223"/>
        <v>322030224</v>
      </c>
      <c r="B373" s="106">
        <v>32</v>
      </c>
      <c r="C373" s="105">
        <f t="shared" si="224"/>
        <v>2</v>
      </c>
      <c r="D373" s="106">
        <v>3</v>
      </c>
      <c r="E373" s="106">
        <v>2</v>
      </c>
      <c r="F373" s="105">
        <f t="shared" si="199"/>
        <v>24</v>
      </c>
      <c r="H373" s="103">
        <v>2</v>
      </c>
      <c r="I373" s="105">
        <f t="shared" si="225"/>
        <v>203</v>
      </c>
      <c r="J373" s="172">
        <v>24</v>
      </c>
      <c r="L373" s="172" t="s">
        <v>1115</v>
      </c>
      <c r="M373" s="172" t="s">
        <v>1134</v>
      </c>
      <c r="N373" s="103" t="s">
        <v>506</v>
      </c>
      <c r="O373" s="103" t="s">
        <v>1084</v>
      </c>
      <c r="P373" s="172">
        <v>0</v>
      </c>
      <c r="Q373" s="172">
        <v>12</v>
      </c>
      <c r="R373" s="103" t="s">
        <v>1031</v>
      </c>
      <c r="S373" s="103">
        <v>322030201</v>
      </c>
      <c r="T373" s="104" t="str">
        <f t="shared" si="203"/>
        <v>UITexture/TechProd/322030201.png</v>
      </c>
      <c r="U373" s="172" t="s">
        <v>1149</v>
      </c>
      <c r="V373" s="104">
        <f t="shared" si="226"/>
        <v>0</v>
      </c>
      <c r="Z373" s="172">
        <v>1</v>
      </c>
      <c r="AB373" s="102">
        <f ca="1">IFERROR(OFFSET(BLDG_FUNC_PARAM!$A$5,MATCH(AC373,BLDG_FUNC_PARAM!$J$5:$J$68,0)-1,0),0)</f>
        <v>122030002</v>
      </c>
      <c r="AC373" s="103" t="s">
        <v>967</v>
      </c>
      <c r="AD373" s="102">
        <v>132</v>
      </c>
      <c r="AN373" s="102">
        <v>0</v>
      </c>
      <c r="AO373" s="102">
        <v>0</v>
      </c>
      <c r="AT373" s="104">
        <f t="shared" si="227"/>
        <v>1440</v>
      </c>
      <c r="AW373" s="103">
        <v>24</v>
      </c>
      <c r="AY373" s="102">
        <v>2400</v>
      </c>
      <c r="AZ373" s="102">
        <v>240</v>
      </c>
      <c r="BA373" s="172">
        <v>0</v>
      </c>
      <c r="BC373" s="104">
        <f ca="1">IFERROR(OFFSET(ITEM_RES!$A$5,MATCH(BD373,ITEM_RES!$M$5:$M$84,0)-1,0),0)</f>
        <v>0</v>
      </c>
    </row>
    <row r="374" spans="1:55" x14ac:dyDescent="0.3">
      <c r="A374" s="107">
        <f t="shared" si="223"/>
        <v>322030225</v>
      </c>
      <c r="B374" s="106">
        <v>32</v>
      </c>
      <c r="C374" s="105">
        <f t="shared" si="224"/>
        <v>2</v>
      </c>
      <c r="D374" s="106">
        <v>3</v>
      </c>
      <c r="E374" s="106">
        <v>2</v>
      </c>
      <c r="F374" s="105">
        <f t="shared" si="199"/>
        <v>25</v>
      </c>
      <c r="H374" s="103">
        <v>2</v>
      </c>
      <c r="I374" s="105">
        <f t="shared" si="225"/>
        <v>203</v>
      </c>
      <c r="J374" s="172">
        <v>25</v>
      </c>
      <c r="L374" s="172" t="s">
        <v>1115</v>
      </c>
      <c r="M374" s="172" t="s">
        <v>1134</v>
      </c>
      <c r="N374" s="103" t="s">
        <v>506</v>
      </c>
      <c r="O374" s="103" t="s">
        <v>1084</v>
      </c>
      <c r="P374" s="172">
        <v>0</v>
      </c>
      <c r="Q374" s="172">
        <v>12</v>
      </c>
      <c r="R374" s="103" t="s">
        <v>1031</v>
      </c>
      <c r="S374" s="103">
        <v>322030201</v>
      </c>
      <c r="T374" s="104" t="str">
        <f t="shared" si="203"/>
        <v>UITexture/TechProd/322030201.png</v>
      </c>
      <c r="U374" s="172" t="s">
        <v>1149</v>
      </c>
      <c r="V374" s="104">
        <f t="shared" si="226"/>
        <v>0</v>
      </c>
      <c r="Z374" s="172">
        <v>1</v>
      </c>
      <c r="AB374" s="102">
        <f ca="1">IFERROR(OFFSET(BLDG_FUNC_PARAM!$A$5,MATCH(AC374,BLDG_FUNC_PARAM!$J$5:$J$68,0)-1,0),0)</f>
        <v>122030002</v>
      </c>
      <c r="AC374" s="103" t="s">
        <v>967</v>
      </c>
      <c r="AD374" s="102">
        <v>150</v>
      </c>
      <c r="AN374" s="102">
        <v>25</v>
      </c>
      <c r="AO374" s="102">
        <v>0</v>
      </c>
      <c r="AT374" s="104">
        <f t="shared" si="227"/>
        <v>1500</v>
      </c>
      <c r="AW374" s="103">
        <v>25</v>
      </c>
      <c r="AY374" s="102">
        <v>2500</v>
      </c>
      <c r="AZ374" s="102">
        <v>250</v>
      </c>
      <c r="BA374" s="172">
        <v>0</v>
      </c>
      <c r="BC374" s="104">
        <f ca="1">IFERROR(OFFSET(ITEM_RES!$A$5,MATCH(BD374,ITEM_RES!$M$5:$M$84,0)-1,0),0)</f>
        <v>0</v>
      </c>
    </row>
    <row r="375" spans="1:55" x14ac:dyDescent="0.3">
      <c r="A375" s="107">
        <f t="shared" ref="A375:A379" si="228">B375*10000000+C375*1000000+D375*10000+E375*100+F375</f>
        <v>322030226</v>
      </c>
      <c r="B375" s="106">
        <v>32</v>
      </c>
      <c r="C375" s="105">
        <f t="shared" ref="C375:C379" si="229">H375</f>
        <v>2</v>
      </c>
      <c r="D375" s="106">
        <v>3</v>
      </c>
      <c r="E375" s="106">
        <v>2</v>
      </c>
      <c r="F375" s="105">
        <f t="shared" si="199"/>
        <v>26</v>
      </c>
      <c r="H375" s="103">
        <v>2</v>
      </c>
      <c r="I375" s="105">
        <f t="shared" ref="I375:I379" si="230">C375*100+D375</f>
        <v>203</v>
      </c>
      <c r="J375" s="172">
        <v>26</v>
      </c>
      <c r="L375" s="172" t="s">
        <v>1115</v>
      </c>
      <c r="M375" s="172" t="s">
        <v>1134</v>
      </c>
      <c r="N375" s="103" t="s">
        <v>506</v>
      </c>
      <c r="O375" s="103" t="s">
        <v>1084</v>
      </c>
      <c r="P375" s="172">
        <v>0</v>
      </c>
      <c r="Q375" s="172">
        <v>12</v>
      </c>
      <c r="R375" s="103" t="s">
        <v>1031</v>
      </c>
      <c r="S375" s="103">
        <v>322030201</v>
      </c>
      <c r="T375" s="104" t="str">
        <f t="shared" si="203"/>
        <v>UITexture/TechProd/322030201.png</v>
      </c>
      <c r="U375" s="172" t="s">
        <v>1149</v>
      </c>
      <c r="V375" s="104">
        <f t="shared" ref="V375:V379" si="231">W375*1000+X375</f>
        <v>0</v>
      </c>
      <c r="Z375" s="172">
        <v>1</v>
      </c>
      <c r="AB375" s="102">
        <f ca="1">IFERROR(OFFSET(BLDG_FUNC_PARAM!$A$5,MATCH(AC375,BLDG_FUNC_PARAM!$J$5:$J$68,0)-1,0),0)</f>
        <v>122030002</v>
      </c>
      <c r="AC375" s="103" t="s">
        <v>967</v>
      </c>
      <c r="AD375" s="102">
        <v>153</v>
      </c>
      <c r="AN375" s="102">
        <v>0</v>
      </c>
      <c r="AO375" s="102">
        <v>0</v>
      </c>
      <c r="AT375" s="104">
        <f t="shared" ref="AT375:AT379" si="232">((AU375*24+AV375)*60+AW375)*60+AX375</f>
        <v>1560</v>
      </c>
      <c r="AW375" s="103">
        <v>26</v>
      </c>
      <c r="AY375" s="102">
        <v>2600</v>
      </c>
      <c r="AZ375" s="102">
        <v>260</v>
      </c>
      <c r="BA375" s="172">
        <v>0</v>
      </c>
      <c r="BC375" s="104">
        <f ca="1">IFERROR(OFFSET(ITEM_RES!$A$5,MATCH(BD375,ITEM_RES!$M$5:$M$84,0)-1,0),0)</f>
        <v>0</v>
      </c>
    </row>
    <row r="376" spans="1:55" x14ac:dyDescent="0.3">
      <c r="A376" s="107">
        <f t="shared" si="228"/>
        <v>322030227</v>
      </c>
      <c r="B376" s="106">
        <v>32</v>
      </c>
      <c r="C376" s="105">
        <f t="shared" si="229"/>
        <v>2</v>
      </c>
      <c r="D376" s="106">
        <v>3</v>
      </c>
      <c r="E376" s="106">
        <v>2</v>
      </c>
      <c r="F376" s="105">
        <f t="shared" si="199"/>
        <v>27</v>
      </c>
      <c r="H376" s="103">
        <v>2</v>
      </c>
      <c r="I376" s="105">
        <f t="shared" si="230"/>
        <v>203</v>
      </c>
      <c r="J376" s="172">
        <v>27</v>
      </c>
      <c r="L376" s="172" t="s">
        <v>1115</v>
      </c>
      <c r="M376" s="172" t="s">
        <v>1134</v>
      </c>
      <c r="N376" s="103" t="s">
        <v>506</v>
      </c>
      <c r="O376" s="103" t="s">
        <v>1084</v>
      </c>
      <c r="P376" s="172">
        <v>0</v>
      </c>
      <c r="Q376" s="172">
        <v>12</v>
      </c>
      <c r="R376" s="103" t="s">
        <v>1031</v>
      </c>
      <c r="S376" s="103">
        <v>322030201</v>
      </c>
      <c r="T376" s="104" t="str">
        <f t="shared" si="203"/>
        <v>UITexture/TechProd/322030201.png</v>
      </c>
      <c r="U376" s="172" t="s">
        <v>1149</v>
      </c>
      <c r="V376" s="104">
        <f t="shared" si="231"/>
        <v>0</v>
      </c>
      <c r="Z376" s="172">
        <v>1</v>
      </c>
      <c r="AB376" s="102">
        <f ca="1">IFERROR(OFFSET(BLDG_FUNC_PARAM!$A$5,MATCH(AC376,BLDG_FUNC_PARAM!$J$5:$J$68,0)-1,0),0)</f>
        <v>122030002</v>
      </c>
      <c r="AC376" s="103" t="s">
        <v>967</v>
      </c>
      <c r="AD376" s="102">
        <v>156</v>
      </c>
      <c r="AN376" s="102">
        <v>0</v>
      </c>
      <c r="AO376" s="102">
        <v>0</v>
      </c>
      <c r="AT376" s="104">
        <f t="shared" si="232"/>
        <v>1620</v>
      </c>
      <c r="AW376" s="103">
        <v>27</v>
      </c>
      <c r="AY376" s="102">
        <v>2700</v>
      </c>
      <c r="AZ376" s="102">
        <v>270</v>
      </c>
      <c r="BA376" s="172">
        <v>0</v>
      </c>
      <c r="BC376" s="104">
        <f ca="1">IFERROR(OFFSET(ITEM_RES!$A$5,MATCH(BD376,ITEM_RES!$M$5:$M$84,0)-1,0),0)</f>
        <v>0</v>
      </c>
    </row>
    <row r="377" spans="1:55" x14ac:dyDescent="0.3">
      <c r="A377" s="107">
        <f t="shared" si="228"/>
        <v>322030228</v>
      </c>
      <c r="B377" s="106">
        <v>32</v>
      </c>
      <c r="C377" s="105">
        <f t="shared" si="229"/>
        <v>2</v>
      </c>
      <c r="D377" s="106">
        <v>3</v>
      </c>
      <c r="E377" s="106">
        <v>2</v>
      </c>
      <c r="F377" s="105">
        <f t="shared" si="199"/>
        <v>28</v>
      </c>
      <c r="H377" s="103">
        <v>2</v>
      </c>
      <c r="I377" s="105">
        <f t="shared" si="230"/>
        <v>203</v>
      </c>
      <c r="J377" s="172">
        <v>28</v>
      </c>
      <c r="L377" s="172" t="s">
        <v>1115</v>
      </c>
      <c r="M377" s="172" t="s">
        <v>1134</v>
      </c>
      <c r="N377" s="103" t="s">
        <v>506</v>
      </c>
      <c r="O377" s="103" t="s">
        <v>1084</v>
      </c>
      <c r="P377" s="172">
        <v>0</v>
      </c>
      <c r="Q377" s="172">
        <v>12</v>
      </c>
      <c r="R377" s="103" t="s">
        <v>1031</v>
      </c>
      <c r="S377" s="103">
        <v>322030201</v>
      </c>
      <c r="T377" s="104" t="str">
        <f t="shared" si="203"/>
        <v>UITexture/TechProd/322030201.png</v>
      </c>
      <c r="U377" s="172" t="s">
        <v>1149</v>
      </c>
      <c r="V377" s="104">
        <f t="shared" si="231"/>
        <v>0</v>
      </c>
      <c r="Z377" s="172">
        <v>1</v>
      </c>
      <c r="AB377" s="102">
        <f ca="1">IFERROR(OFFSET(BLDG_FUNC_PARAM!$A$5,MATCH(AC377,BLDG_FUNC_PARAM!$J$5:$J$68,0)-1,0),0)</f>
        <v>122030002</v>
      </c>
      <c r="AC377" s="103" t="s">
        <v>967</v>
      </c>
      <c r="AD377" s="102">
        <v>159</v>
      </c>
      <c r="AN377" s="102">
        <v>0</v>
      </c>
      <c r="AO377" s="102">
        <v>0</v>
      </c>
      <c r="AT377" s="104">
        <f t="shared" si="232"/>
        <v>1680</v>
      </c>
      <c r="AW377" s="103">
        <v>28</v>
      </c>
      <c r="AY377" s="102">
        <v>2800</v>
      </c>
      <c r="AZ377" s="102">
        <v>280</v>
      </c>
      <c r="BA377" s="172">
        <v>0</v>
      </c>
      <c r="BC377" s="104">
        <f ca="1">IFERROR(OFFSET(ITEM_RES!$A$5,MATCH(BD377,ITEM_RES!$M$5:$M$84,0)-1,0),0)</f>
        <v>0</v>
      </c>
    </row>
    <row r="378" spans="1:55" x14ac:dyDescent="0.3">
      <c r="A378" s="107">
        <f t="shared" si="228"/>
        <v>322030229</v>
      </c>
      <c r="B378" s="106">
        <v>32</v>
      </c>
      <c r="C378" s="105">
        <f t="shared" si="229"/>
        <v>2</v>
      </c>
      <c r="D378" s="106">
        <v>3</v>
      </c>
      <c r="E378" s="106">
        <v>2</v>
      </c>
      <c r="F378" s="105">
        <f t="shared" si="199"/>
        <v>29</v>
      </c>
      <c r="H378" s="103">
        <v>2</v>
      </c>
      <c r="I378" s="105">
        <f t="shared" si="230"/>
        <v>203</v>
      </c>
      <c r="J378" s="172">
        <v>29</v>
      </c>
      <c r="L378" s="172" t="s">
        <v>1115</v>
      </c>
      <c r="M378" s="172" t="s">
        <v>1134</v>
      </c>
      <c r="N378" s="103" t="s">
        <v>506</v>
      </c>
      <c r="O378" s="103" t="s">
        <v>1084</v>
      </c>
      <c r="P378" s="172">
        <v>0</v>
      </c>
      <c r="Q378" s="172">
        <v>12</v>
      </c>
      <c r="R378" s="103" t="s">
        <v>1031</v>
      </c>
      <c r="S378" s="103">
        <v>322030201</v>
      </c>
      <c r="T378" s="104" t="str">
        <f t="shared" si="203"/>
        <v>UITexture/TechProd/322030201.png</v>
      </c>
      <c r="U378" s="172" t="s">
        <v>1149</v>
      </c>
      <c r="V378" s="104">
        <f t="shared" si="231"/>
        <v>0</v>
      </c>
      <c r="Z378" s="172">
        <v>1</v>
      </c>
      <c r="AB378" s="102">
        <f ca="1">IFERROR(OFFSET(BLDG_FUNC_PARAM!$A$5,MATCH(AC378,BLDG_FUNC_PARAM!$J$5:$J$68,0)-1,0),0)</f>
        <v>122030002</v>
      </c>
      <c r="AC378" s="103" t="s">
        <v>967</v>
      </c>
      <c r="AD378" s="102">
        <v>162</v>
      </c>
      <c r="AN378" s="102">
        <v>0</v>
      </c>
      <c r="AO378" s="102">
        <v>0</v>
      </c>
      <c r="AT378" s="104">
        <f t="shared" si="232"/>
        <v>1740</v>
      </c>
      <c r="AW378" s="103">
        <v>29</v>
      </c>
      <c r="AY378" s="102">
        <v>2900</v>
      </c>
      <c r="AZ378" s="102">
        <v>290</v>
      </c>
      <c r="BA378" s="172">
        <v>0</v>
      </c>
      <c r="BC378" s="104">
        <f ca="1">IFERROR(OFFSET(ITEM_RES!$A$5,MATCH(BD378,ITEM_RES!$M$5:$M$84,0)-1,0),0)</f>
        <v>0</v>
      </c>
    </row>
    <row r="379" spans="1:55" x14ac:dyDescent="0.3">
      <c r="A379" s="107">
        <f t="shared" si="228"/>
        <v>322030230</v>
      </c>
      <c r="B379" s="106">
        <v>32</v>
      </c>
      <c r="C379" s="105">
        <f t="shared" si="229"/>
        <v>2</v>
      </c>
      <c r="D379" s="106">
        <v>3</v>
      </c>
      <c r="E379" s="106">
        <v>2</v>
      </c>
      <c r="F379" s="105">
        <f t="shared" si="199"/>
        <v>30</v>
      </c>
      <c r="H379" s="103">
        <v>2</v>
      </c>
      <c r="I379" s="105">
        <f t="shared" si="230"/>
        <v>203</v>
      </c>
      <c r="J379" s="172">
        <v>30</v>
      </c>
      <c r="L379" s="172" t="s">
        <v>1115</v>
      </c>
      <c r="M379" s="172" t="s">
        <v>1134</v>
      </c>
      <c r="N379" s="103" t="s">
        <v>506</v>
      </c>
      <c r="O379" s="103" t="s">
        <v>1084</v>
      </c>
      <c r="P379" s="172">
        <v>0</v>
      </c>
      <c r="Q379" s="172">
        <v>12</v>
      </c>
      <c r="R379" s="103" t="s">
        <v>1031</v>
      </c>
      <c r="S379" s="103">
        <v>322030201</v>
      </c>
      <c r="T379" s="104" t="str">
        <f t="shared" si="203"/>
        <v>UITexture/TechProd/322030201.png</v>
      </c>
      <c r="U379" s="172" t="s">
        <v>1149</v>
      </c>
      <c r="V379" s="104">
        <f t="shared" si="231"/>
        <v>0</v>
      </c>
      <c r="Z379" s="172">
        <v>1</v>
      </c>
      <c r="AB379" s="102">
        <f ca="1">IFERROR(OFFSET(BLDG_FUNC_PARAM!$A$5,MATCH(AC379,BLDG_FUNC_PARAM!$J$5:$J$68,0)-1,0),0)</f>
        <v>122030002</v>
      </c>
      <c r="AC379" s="103" t="s">
        <v>967</v>
      </c>
      <c r="AD379" s="102">
        <v>180</v>
      </c>
      <c r="AN379" s="102">
        <v>30</v>
      </c>
      <c r="AO379" s="102">
        <v>0</v>
      </c>
      <c r="AT379" s="104">
        <f t="shared" si="232"/>
        <v>1800</v>
      </c>
      <c r="AW379" s="103">
        <v>30</v>
      </c>
      <c r="AY379" s="102">
        <v>3000</v>
      </c>
      <c r="AZ379" s="102">
        <v>300</v>
      </c>
      <c r="BA379" s="172">
        <v>0</v>
      </c>
      <c r="BC379" s="104">
        <f ca="1">IFERROR(OFFSET(ITEM_RES!$A$5,MATCH(BD379,ITEM_RES!$M$5:$M$84,0)-1,0),0)</f>
        <v>0</v>
      </c>
    </row>
    <row r="380" spans="1:55" x14ac:dyDescent="0.3">
      <c r="A380" s="107">
        <f t="shared" si="179"/>
        <v>322030301</v>
      </c>
      <c r="B380" s="106">
        <v>32</v>
      </c>
      <c r="C380" s="105">
        <f t="shared" ref="C380:C384" si="233">H380</f>
        <v>2</v>
      </c>
      <c r="D380" s="106">
        <v>3</v>
      </c>
      <c r="E380" s="106">
        <v>3</v>
      </c>
      <c r="F380" s="105">
        <f t="shared" si="199"/>
        <v>1</v>
      </c>
      <c r="H380" s="103">
        <v>2</v>
      </c>
      <c r="I380" s="105">
        <f t="shared" ref="I380:I384" si="234">C380*100+D380</f>
        <v>203</v>
      </c>
      <c r="J380" s="172">
        <v>1</v>
      </c>
      <c r="L380" s="172" t="s">
        <v>1115</v>
      </c>
      <c r="M380" s="172" t="s">
        <v>1135</v>
      </c>
      <c r="N380" s="103" t="s">
        <v>506</v>
      </c>
      <c r="O380" s="103" t="s">
        <v>1085</v>
      </c>
      <c r="P380" s="172">
        <v>1</v>
      </c>
      <c r="Q380" s="172">
        <v>12</v>
      </c>
      <c r="R380" s="103" t="s">
        <v>1031</v>
      </c>
      <c r="S380" s="103">
        <v>322030301</v>
      </c>
      <c r="T380" s="104" t="str">
        <f t="shared" si="203"/>
        <v>UITexture/TechProd/322030301.png</v>
      </c>
      <c r="U380" s="172" t="s">
        <v>1150</v>
      </c>
      <c r="V380" s="104">
        <f t="shared" ref="V380:V384" si="235">W380*1000+X380</f>
        <v>5005</v>
      </c>
      <c r="W380" s="103">
        <v>5</v>
      </c>
      <c r="X380" s="103">
        <v>5</v>
      </c>
      <c r="Z380" s="172">
        <v>1</v>
      </c>
      <c r="AB380" s="102">
        <f ca="1">IFERROR(OFFSET(BLDG_FUNC_PARAM!$A$5,MATCH(AC380,BLDG_FUNC_PARAM!$J$5:$J$68,0)-1,0),0)</f>
        <v>122030003</v>
      </c>
      <c r="AC380" s="103" t="s">
        <v>968</v>
      </c>
      <c r="AD380" s="102">
        <v>1</v>
      </c>
      <c r="AN380" s="102">
        <v>4</v>
      </c>
      <c r="AO380" s="102">
        <v>0</v>
      </c>
      <c r="AT380" s="104">
        <f t="shared" ref="AT380:AT384" si="236">((AU380*24+AV380)*60+AW380)*60+AX380</f>
        <v>60</v>
      </c>
      <c r="AW380" s="103">
        <v>1</v>
      </c>
      <c r="AY380" s="102">
        <v>100</v>
      </c>
      <c r="AZ380" s="102">
        <v>10</v>
      </c>
      <c r="BA380" s="172">
        <v>0</v>
      </c>
      <c r="BC380" s="104">
        <f ca="1">IFERROR(OFFSET(ITEM_RES!$A$5,MATCH(BD380,ITEM_RES!$M$5:$M$84,0)-1,0),0)</f>
        <v>0</v>
      </c>
    </row>
    <row r="381" spans="1:55" x14ac:dyDescent="0.3">
      <c r="A381" s="107">
        <f t="shared" si="179"/>
        <v>322030302</v>
      </c>
      <c r="B381" s="106">
        <v>32</v>
      </c>
      <c r="C381" s="105">
        <f t="shared" si="233"/>
        <v>2</v>
      </c>
      <c r="D381" s="106">
        <v>3</v>
      </c>
      <c r="E381" s="106">
        <v>3</v>
      </c>
      <c r="F381" s="105">
        <f t="shared" si="199"/>
        <v>2</v>
      </c>
      <c r="H381" s="103">
        <v>2</v>
      </c>
      <c r="I381" s="105">
        <f t="shared" si="234"/>
        <v>203</v>
      </c>
      <c r="J381" s="172">
        <v>2</v>
      </c>
      <c r="L381" s="172" t="s">
        <v>1115</v>
      </c>
      <c r="M381" s="172" t="s">
        <v>1135</v>
      </c>
      <c r="N381" s="103" t="s">
        <v>506</v>
      </c>
      <c r="O381" s="103" t="s">
        <v>1085</v>
      </c>
      <c r="P381" s="172">
        <v>1</v>
      </c>
      <c r="Q381" s="172">
        <v>12</v>
      </c>
      <c r="R381" s="103" t="s">
        <v>1031</v>
      </c>
      <c r="S381" s="103">
        <v>322030301</v>
      </c>
      <c r="T381" s="104" t="str">
        <f t="shared" si="203"/>
        <v>UITexture/TechProd/322030301.png</v>
      </c>
      <c r="U381" s="172" t="s">
        <v>1150</v>
      </c>
      <c r="V381" s="104">
        <f t="shared" si="235"/>
        <v>0</v>
      </c>
      <c r="Z381" s="172">
        <v>1</v>
      </c>
      <c r="AB381" s="102">
        <f ca="1">IFERROR(OFFSET(BLDG_FUNC_PARAM!$A$5,MATCH(AC381,BLDG_FUNC_PARAM!$J$5:$J$68,0)-1,0),0)</f>
        <v>122030003</v>
      </c>
      <c r="AC381" s="103" t="s">
        <v>968</v>
      </c>
      <c r="AD381" s="102">
        <v>2</v>
      </c>
      <c r="AN381" s="102">
        <v>8</v>
      </c>
      <c r="AO381" s="102">
        <v>0</v>
      </c>
      <c r="AT381" s="104">
        <f t="shared" si="236"/>
        <v>300</v>
      </c>
      <c r="AW381" s="103">
        <v>5</v>
      </c>
      <c r="AY381" s="102">
        <v>200</v>
      </c>
      <c r="AZ381" s="102">
        <v>20</v>
      </c>
      <c r="BA381" s="172">
        <v>0</v>
      </c>
      <c r="BC381" s="104">
        <f ca="1">IFERROR(OFFSET(ITEM_RES!$A$5,MATCH(BD381,ITEM_RES!$M$5:$M$84,0)-1,0),0)</f>
        <v>0</v>
      </c>
    </row>
    <row r="382" spans="1:55" x14ac:dyDescent="0.3">
      <c r="A382" s="107">
        <f t="shared" si="179"/>
        <v>322030303</v>
      </c>
      <c r="B382" s="106">
        <v>32</v>
      </c>
      <c r="C382" s="105">
        <f t="shared" si="233"/>
        <v>2</v>
      </c>
      <c r="D382" s="106">
        <v>3</v>
      </c>
      <c r="E382" s="106">
        <v>3</v>
      </c>
      <c r="F382" s="105">
        <f t="shared" si="199"/>
        <v>3</v>
      </c>
      <c r="H382" s="103">
        <v>2</v>
      </c>
      <c r="I382" s="105">
        <f t="shared" si="234"/>
        <v>203</v>
      </c>
      <c r="J382" s="172">
        <v>3</v>
      </c>
      <c r="L382" s="172" t="s">
        <v>1115</v>
      </c>
      <c r="M382" s="172" t="s">
        <v>1135</v>
      </c>
      <c r="N382" s="103" t="s">
        <v>506</v>
      </c>
      <c r="O382" s="103" t="s">
        <v>1085</v>
      </c>
      <c r="P382" s="172">
        <v>0</v>
      </c>
      <c r="Q382" s="172">
        <v>12</v>
      </c>
      <c r="R382" s="103" t="s">
        <v>1031</v>
      </c>
      <c r="S382" s="103">
        <v>322030301</v>
      </c>
      <c r="T382" s="104" t="str">
        <f t="shared" si="203"/>
        <v>UITexture/TechProd/322030301.png</v>
      </c>
      <c r="U382" s="172" t="s">
        <v>1150</v>
      </c>
      <c r="V382" s="104">
        <f t="shared" si="235"/>
        <v>0</v>
      </c>
      <c r="Z382" s="172">
        <v>1</v>
      </c>
      <c r="AB382" s="102">
        <f ca="1">IFERROR(OFFSET(BLDG_FUNC_PARAM!$A$5,MATCH(AC382,BLDG_FUNC_PARAM!$J$5:$J$68,0)-1,0),0)</f>
        <v>122030003</v>
      </c>
      <c r="AC382" s="103" t="s">
        <v>968</v>
      </c>
      <c r="AD382" s="102">
        <v>3</v>
      </c>
      <c r="AN382" s="102">
        <v>13</v>
      </c>
      <c r="AO382" s="102">
        <v>0</v>
      </c>
      <c r="AT382" s="104">
        <f t="shared" si="236"/>
        <v>600</v>
      </c>
      <c r="AW382" s="103">
        <v>10</v>
      </c>
      <c r="AY382" s="102">
        <v>300</v>
      </c>
      <c r="AZ382" s="102">
        <v>30</v>
      </c>
      <c r="BA382" s="172">
        <v>0</v>
      </c>
      <c r="BC382" s="104">
        <f ca="1">IFERROR(OFFSET(ITEM_RES!$A$5,MATCH(BD382,ITEM_RES!$M$5:$M$84,0)-1,0),0)</f>
        <v>0</v>
      </c>
    </row>
    <row r="383" spans="1:55" x14ac:dyDescent="0.3">
      <c r="A383" s="107">
        <f t="shared" si="179"/>
        <v>322030304</v>
      </c>
      <c r="B383" s="106">
        <v>32</v>
      </c>
      <c r="C383" s="105">
        <f t="shared" si="233"/>
        <v>2</v>
      </c>
      <c r="D383" s="106">
        <v>3</v>
      </c>
      <c r="E383" s="106">
        <v>3</v>
      </c>
      <c r="F383" s="105">
        <f t="shared" si="199"/>
        <v>4</v>
      </c>
      <c r="H383" s="103">
        <v>2</v>
      </c>
      <c r="I383" s="105">
        <f t="shared" si="234"/>
        <v>203</v>
      </c>
      <c r="J383" s="172">
        <v>4</v>
      </c>
      <c r="L383" s="172" t="s">
        <v>1115</v>
      </c>
      <c r="M383" s="172" t="s">
        <v>1135</v>
      </c>
      <c r="N383" s="103" t="s">
        <v>506</v>
      </c>
      <c r="O383" s="103" t="s">
        <v>1085</v>
      </c>
      <c r="P383" s="172">
        <v>0</v>
      </c>
      <c r="Q383" s="172">
        <v>12</v>
      </c>
      <c r="R383" s="103" t="s">
        <v>1031</v>
      </c>
      <c r="S383" s="103">
        <v>322030301</v>
      </c>
      <c r="T383" s="104" t="str">
        <f t="shared" si="203"/>
        <v>UITexture/TechProd/322030301.png</v>
      </c>
      <c r="U383" s="172" t="s">
        <v>1150</v>
      </c>
      <c r="V383" s="104">
        <f t="shared" si="235"/>
        <v>0</v>
      </c>
      <c r="Z383" s="172">
        <v>1</v>
      </c>
      <c r="AB383" s="102">
        <f ca="1">IFERROR(OFFSET(BLDG_FUNC_PARAM!$A$5,MATCH(AC383,BLDG_FUNC_PARAM!$J$5:$J$68,0)-1,0),0)</f>
        <v>122030003</v>
      </c>
      <c r="AC383" s="103" t="s">
        <v>968</v>
      </c>
      <c r="AD383" s="102">
        <v>4</v>
      </c>
      <c r="AN383" s="102">
        <v>17</v>
      </c>
      <c r="AO383" s="102">
        <v>0</v>
      </c>
      <c r="AT383" s="104">
        <f t="shared" si="236"/>
        <v>900</v>
      </c>
      <c r="AW383" s="103">
        <v>15</v>
      </c>
      <c r="AY383" s="102">
        <v>400</v>
      </c>
      <c r="AZ383" s="102">
        <v>40</v>
      </c>
      <c r="BA383" s="172">
        <v>0</v>
      </c>
      <c r="BC383" s="104">
        <f ca="1">IFERROR(OFFSET(ITEM_RES!$A$5,MATCH(BD383,ITEM_RES!$M$5:$M$84,0)-1,0),0)</f>
        <v>0</v>
      </c>
    </row>
    <row r="384" spans="1:55" ht="17.25" thickBot="1" x14ac:dyDescent="0.35">
      <c r="A384" s="107">
        <f t="shared" si="179"/>
        <v>322030305</v>
      </c>
      <c r="B384" s="106">
        <v>32</v>
      </c>
      <c r="C384" s="105">
        <f t="shared" si="233"/>
        <v>2</v>
      </c>
      <c r="D384" s="106">
        <v>3</v>
      </c>
      <c r="E384" s="106">
        <v>3</v>
      </c>
      <c r="F384" s="105">
        <f t="shared" si="199"/>
        <v>5</v>
      </c>
      <c r="H384" s="103">
        <v>2</v>
      </c>
      <c r="I384" s="105">
        <f t="shared" si="234"/>
        <v>203</v>
      </c>
      <c r="J384" s="172">
        <v>5</v>
      </c>
      <c r="L384" s="172" t="s">
        <v>1115</v>
      </c>
      <c r="M384" s="172" t="s">
        <v>1135</v>
      </c>
      <c r="N384" s="103" t="s">
        <v>506</v>
      </c>
      <c r="O384" s="103" t="s">
        <v>1085</v>
      </c>
      <c r="P384" s="172">
        <v>0</v>
      </c>
      <c r="Q384" s="172">
        <v>12</v>
      </c>
      <c r="R384" s="103" t="s">
        <v>1031</v>
      </c>
      <c r="S384" s="103">
        <v>322030301</v>
      </c>
      <c r="T384" s="104" t="str">
        <f t="shared" si="203"/>
        <v>UITexture/TechProd/322030301.png</v>
      </c>
      <c r="U384" s="172" t="s">
        <v>1150</v>
      </c>
      <c r="V384" s="104">
        <f t="shared" si="235"/>
        <v>0</v>
      </c>
      <c r="Z384" s="172">
        <v>1</v>
      </c>
      <c r="AB384" s="102">
        <f ca="1">IFERROR(OFFSET(BLDG_FUNC_PARAM!$A$5,MATCH(AC384,BLDG_FUNC_PARAM!$J$5:$J$68,0)-1,0),0)</f>
        <v>122030003</v>
      </c>
      <c r="AC384" s="103" t="s">
        <v>968</v>
      </c>
      <c r="AD384" s="102">
        <v>5</v>
      </c>
      <c r="AN384" s="102">
        <v>22</v>
      </c>
      <c r="AO384" s="102">
        <v>0</v>
      </c>
      <c r="AT384" s="104">
        <f t="shared" si="236"/>
        <v>1200</v>
      </c>
      <c r="AW384" s="103">
        <v>20</v>
      </c>
      <c r="AY384" s="102">
        <v>500</v>
      </c>
      <c r="AZ384" s="102">
        <v>50</v>
      </c>
      <c r="BA384" s="172">
        <v>0</v>
      </c>
      <c r="BC384" s="104">
        <f ca="1">IFERROR(OFFSET(ITEM_RES!$A$5,MATCH(BD384,ITEM_RES!$M$5:$M$84,0)-1,0),0)</f>
        <v>0</v>
      </c>
    </row>
    <row r="385" spans="1:73" s="115" customFormat="1" x14ac:dyDescent="0.3">
      <c r="A385" s="121">
        <f t="shared" si="179"/>
        <v>322040101</v>
      </c>
      <c r="B385" s="120">
        <v>32</v>
      </c>
      <c r="C385" s="119">
        <f t="shared" si="153"/>
        <v>2</v>
      </c>
      <c r="D385" s="120">
        <v>4</v>
      </c>
      <c r="E385" s="120">
        <v>1</v>
      </c>
      <c r="F385" s="119">
        <f t="shared" ref="F385:F429" si="237">J385</f>
        <v>1</v>
      </c>
      <c r="G385" s="258"/>
      <c r="H385" s="117">
        <v>2</v>
      </c>
      <c r="I385" s="119">
        <f t="shared" si="5"/>
        <v>204</v>
      </c>
      <c r="J385" s="174">
        <v>1</v>
      </c>
      <c r="K385" s="258"/>
      <c r="L385" s="174" t="s">
        <v>1115</v>
      </c>
      <c r="M385" s="174" t="s">
        <v>1136</v>
      </c>
      <c r="N385" s="117" t="s">
        <v>502</v>
      </c>
      <c r="O385" s="117" t="s">
        <v>1086</v>
      </c>
      <c r="P385" s="174">
        <v>1</v>
      </c>
      <c r="Q385" s="174">
        <v>12</v>
      </c>
      <c r="R385" s="117" t="s">
        <v>1031</v>
      </c>
      <c r="S385" s="117">
        <v>322040101</v>
      </c>
      <c r="T385" s="118" t="str">
        <f t="shared" ref="T385:T428" si="238">CONCATENATE(R385,S385,".png")</f>
        <v>UITexture/TechProd/322040101.png</v>
      </c>
      <c r="U385" s="174" t="s">
        <v>1151</v>
      </c>
      <c r="V385" s="118">
        <f t="shared" si="156"/>
        <v>3007</v>
      </c>
      <c r="W385" s="117">
        <v>3</v>
      </c>
      <c r="X385" s="117">
        <v>7</v>
      </c>
      <c r="Y385" s="258"/>
      <c r="Z385" s="174">
        <v>1</v>
      </c>
      <c r="AA385" s="118"/>
      <c r="AB385" s="116">
        <f ca="1">IFERROR(OFFSET(BLDG_FUNC_PARAM!$A$5,MATCH(AC385,BLDG_FUNC_PARAM!$J$5:$J$68,0)-1,0),0)</f>
        <v>122040001</v>
      </c>
      <c r="AC385" s="117" t="s">
        <v>969</v>
      </c>
      <c r="AD385" s="116">
        <v>10</v>
      </c>
      <c r="AE385" s="118"/>
      <c r="AF385" s="116"/>
      <c r="AG385" s="117"/>
      <c r="AH385" s="116"/>
      <c r="AI385" s="118"/>
      <c r="AJ385" s="116"/>
      <c r="AK385" s="117"/>
      <c r="AL385" s="116"/>
      <c r="AM385" s="258"/>
      <c r="AN385" s="116">
        <v>3</v>
      </c>
      <c r="AO385" s="116">
        <v>0</v>
      </c>
      <c r="AP385" s="116"/>
      <c r="AQ385" s="116"/>
      <c r="AR385" s="116"/>
      <c r="AS385" s="258"/>
      <c r="AT385" s="118">
        <f t="shared" si="154"/>
        <v>60</v>
      </c>
      <c r="AU385" s="117"/>
      <c r="AV385" s="117"/>
      <c r="AW385" s="117">
        <v>1</v>
      </c>
      <c r="AX385" s="117"/>
      <c r="AY385" s="116">
        <v>100</v>
      </c>
      <c r="AZ385" s="116">
        <v>10</v>
      </c>
      <c r="BA385" s="174">
        <v>0</v>
      </c>
      <c r="BB385" s="118"/>
      <c r="BC385" s="118">
        <f ca="1">IFERROR(OFFSET(ITEM_RES!$A$5,MATCH(BD385,ITEM_RES!$M$5:$M$84,0)-1,0),0)</f>
        <v>0</v>
      </c>
      <c r="BD385" s="117"/>
      <c r="BE385" s="116"/>
      <c r="BF385" s="118"/>
      <c r="BG385" s="118"/>
      <c r="BH385" s="117"/>
      <c r="BI385" s="116"/>
      <c r="BJ385" s="118"/>
      <c r="BK385" s="118"/>
      <c r="BL385" s="117"/>
      <c r="BM385" s="116"/>
      <c r="BN385" s="118"/>
      <c r="BO385" s="118"/>
      <c r="BP385" s="117"/>
      <c r="BQ385" s="116"/>
      <c r="BR385" s="118"/>
      <c r="BS385" s="118"/>
      <c r="BT385" s="117"/>
      <c r="BU385" s="116"/>
    </row>
    <row r="386" spans="1:73" x14ac:dyDescent="0.3">
      <c r="A386" s="107">
        <f t="shared" si="179"/>
        <v>322040102</v>
      </c>
      <c r="B386" s="106">
        <v>32</v>
      </c>
      <c r="C386" s="105">
        <f t="shared" si="153"/>
        <v>2</v>
      </c>
      <c r="D386" s="106">
        <v>4</v>
      </c>
      <c r="E386" s="106">
        <v>1</v>
      </c>
      <c r="F386" s="105">
        <f t="shared" si="237"/>
        <v>2</v>
      </c>
      <c r="H386" s="103">
        <v>2</v>
      </c>
      <c r="I386" s="105">
        <f t="shared" si="5"/>
        <v>204</v>
      </c>
      <c r="J386" s="172">
        <v>2</v>
      </c>
      <c r="L386" s="172" t="s">
        <v>1115</v>
      </c>
      <c r="M386" s="172" t="s">
        <v>1136</v>
      </c>
      <c r="N386" s="103" t="s">
        <v>502</v>
      </c>
      <c r="O386" s="103" t="s">
        <v>1086</v>
      </c>
      <c r="P386" s="172">
        <v>1</v>
      </c>
      <c r="Q386" s="172">
        <v>12</v>
      </c>
      <c r="R386" s="103" t="s">
        <v>1031</v>
      </c>
      <c r="S386" s="103">
        <v>322040101</v>
      </c>
      <c r="T386" s="104" t="str">
        <f t="shared" si="238"/>
        <v>UITexture/TechProd/322040101.png</v>
      </c>
      <c r="U386" s="172" t="s">
        <v>1151</v>
      </c>
      <c r="V386" s="104">
        <f t="shared" si="156"/>
        <v>0</v>
      </c>
      <c r="Z386" s="172">
        <v>1</v>
      </c>
      <c r="AB386" s="102">
        <f ca="1">IFERROR(OFFSET(BLDG_FUNC_PARAM!$A$5,MATCH(AC386,BLDG_FUNC_PARAM!$J$5:$J$68,0)-1,0),0)</f>
        <v>122040001</v>
      </c>
      <c r="AC386" s="103" t="s">
        <v>969</v>
      </c>
      <c r="AD386" s="102">
        <v>20</v>
      </c>
      <c r="AN386" s="102">
        <v>0</v>
      </c>
      <c r="AO386" s="102">
        <v>0</v>
      </c>
      <c r="AT386" s="104">
        <f t="shared" si="154"/>
        <v>120</v>
      </c>
      <c r="AW386" s="103">
        <v>2</v>
      </c>
      <c r="AY386" s="102">
        <v>200</v>
      </c>
      <c r="AZ386" s="102">
        <v>20</v>
      </c>
      <c r="BA386" s="172">
        <v>0</v>
      </c>
      <c r="BC386" s="104">
        <f ca="1">IFERROR(OFFSET(ITEM_RES!$A$5,MATCH(BD386,ITEM_RES!$M$5:$M$84,0)-1,0),0)</f>
        <v>0</v>
      </c>
    </row>
    <row r="387" spans="1:73" x14ac:dyDescent="0.3">
      <c r="A387" s="107">
        <f t="shared" si="179"/>
        <v>322040103</v>
      </c>
      <c r="B387" s="106">
        <v>32</v>
      </c>
      <c r="C387" s="105">
        <f t="shared" si="153"/>
        <v>2</v>
      </c>
      <c r="D387" s="106">
        <v>4</v>
      </c>
      <c r="E387" s="106">
        <v>1</v>
      </c>
      <c r="F387" s="105">
        <f t="shared" si="237"/>
        <v>3</v>
      </c>
      <c r="H387" s="103">
        <v>2</v>
      </c>
      <c r="I387" s="105">
        <f t="shared" si="5"/>
        <v>204</v>
      </c>
      <c r="J387" s="172">
        <v>3</v>
      </c>
      <c r="L387" s="172" t="s">
        <v>1115</v>
      </c>
      <c r="M387" s="172" t="s">
        <v>1136</v>
      </c>
      <c r="N387" s="103" t="s">
        <v>502</v>
      </c>
      <c r="O387" s="103" t="s">
        <v>1086</v>
      </c>
      <c r="P387" s="172">
        <v>1</v>
      </c>
      <c r="Q387" s="172">
        <v>12</v>
      </c>
      <c r="R387" s="103" t="s">
        <v>1031</v>
      </c>
      <c r="S387" s="103">
        <v>322040101</v>
      </c>
      <c r="T387" s="104" t="str">
        <f t="shared" si="238"/>
        <v>UITexture/TechProd/322040101.png</v>
      </c>
      <c r="U387" s="172" t="s">
        <v>1151</v>
      </c>
      <c r="V387" s="104">
        <f t="shared" si="156"/>
        <v>0</v>
      </c>
      <c r="Z387" s="172">
        <v>1</v>
      </c>
      <c r="AB387" s="102">
        <f ca="1">IFERROR(OFFSET(BLDG_FUNC_PARAM!$A$5,MATCH(AC387,BLDG_FUNC_PARAM!$J$5:$J$68,0)-1,0),0)</f>
        <v>122040001</v>
      </c>
      <c r="AC387" s="103" t="s">
        <v>969</v>
      </c>
      <c r="AD387" s="102">
        <v>30</v>
      </c>
      <c r="AN387" s="102">
        <v>0</v>
      </c>
      <c r="AO387" s="102">
        <v>0</v>
      </c>
      <c r="AT387" s="104">
        <f t="shared" si="154"/>
        <v>180</v>
      </c>
      <c r="AW387" s="103">
        <v>3</v>
      </c>
      <c r="AY387" s="102">
        <v>300</v>
      </c>
      <c r="AZ387" s="102">
        <v>30</v>
      </c>
      <c r="BA387" s="172">
        <v>0</v>
      </c>
      <c r="BC387" s="104">
        <f ca="1">IFERROR(OFFSET(ITEM_RES!$A$5,MATCH(BD387,ITEM_RES!$M$5:$M$84,0)-1,0),0)</f>
        <v>0</v>
      </c>
    </row>
    <row r="388" spans="1:73" x14ac:dyDescent="0.3">
      <c r="A388" s="107">
        <f t="shared" si="179"/>
        <v>322040104</v>
      </c>
      <c r="B388" s="106">
        <v>32</v>
      </c>
      <c r="C388" s="105">
        <f t="shared" si="153"/>
        <v>2</v>
      </c>
      <c r="D388" s="106">
        <v>4</v>
      </c>
      <c r="E388" s="106">
        <v>1</v>
      </c>
      <c r="F388" s="105">
        <f t="shared" si="237"/>
        <v>4</v>
      </c>
      <c r="H388" s="103">
        <v>2</v>
      </c>
      <c r="I388" s="105">
        <f t="shared" si="5"/>
        <v>204</v>
      </c>
      <c r="J388" s="172">
        <v>4</v>
      </c>
      <c r="L388" s="172" t="s">
        <v>1115</v>
      </c>
      <c r="M388" s="172" t="s">
        <v>1136</v>
      </c>
      <c r="N388" s="103" t="s">
        <v>502</v>
      </c>
      <c r="O388" s="103" t="s">
        <v>1086</v>
      </c>
      <c r="P388" s="172">
        <v>1</v>
      </c>
      <c r="Q388" s="172">
        <v>12</v>
      </c>
      <c r="R388" s="103" t="s">
        <v>1031</v>
      </c>
      <c r="S388" s="103">
        <v>322040101</v>
      </c>
      <c r="T388" s="104" t="str">
        <f t="shared" si="238"/>
        <v>UITexture/TechProd/322040101.png</v>
      </c>
      <c r="U388" s="172" t="s">
        <v>1151</v>
      </c>
      <c r="V388" s="104">
        <f t="shared" si="156"/>
        <v>0</v>
      </c>
      <c r="Z388" s="172">
        <v>1</v>
      </c>
      <c r="AB388" s="102">
        <f ca="1">IFERROR(OFFSET(BLDG_FUNC_PARAM!$A$5,MATCH(AC388,BLDG_FUNC_PARAM!$J$5:$J$68,0)-1,0),0)</f>
        <v>122040001</v>
      </c>
      <c r="AC388" s="103" t="s">
        <v>969</v>
      </c>
      <c r="AD388" s="102">
        <v>40</v>
      </c>
      <c r="AN388" s="102">
        <v>0</v>
      </c>
      <c r="AO388" s="102">
        <v>0</v>
      </c>
      <c r="AT388" s="104">
        <f t="shared" si="154"/>
        <v>240</v>
      </c>
      <c r="AW388" s="103">
        <v>4</v>
      </c>
      <c r="AY388" s="102">
        <v>400</v>
      </c>
      <c r="AZ388" s="102">
        <v>40</v>
      </c>
      <c r="BA388" s="172">
        <v>0</v>
      </c>
      <c r="BC388" s="104">
        <f ca="1">IFERROR(OFFSET(ITEM_RES!$A$5,MATCH(BD388,ITEM_RES!$M$5:$M$84,0)-1,0),0)</f>
        <v>0</v>
      </c>
    </row>
    <row r="389" spans="1:73" x14ac:dyDescent="0.3">
      <c r="A389" s="107">
        <f t="shared" si="179"/>
        <v>322040105</v>
      </c>
      <c r="B389" s="106">
        <v>32</v>
      </c>
      <c r="C389" s="105">
        <f t="shared" si="153"/>
        <v>2</v>
      </c>
      <c r="D389" s="106">
        <v>4</v>
      </c>
      <c r="E389" s="106">
        <v>1</v>
      </c>
      <c r="F389" s="105">
        <f t="shared" si="237"/>
        <v>5</v>
      </c>
      <c r="H389" s="103">
        <v>2</v>
      </c>
      <c r="I389" s="105">
        <f t="shared" si="5"/>
        <v>204</v>
      </c>
      <c r="J389" s="172">
        <v>5</v>
      </c>
      <c r="L389" s="172" t="s">
        <v>1115</v>
      </c>
      <c r="M389" s="172" t="s">
        <v>1136</v>
      </c>
      <c r="N389" s="103" t="s">
        <v>502</v>
      </c>
      <c r="O389" s="103" t="s">
        <v>1086</v>
      </c>
      <c r="P389" s="172">
        <v>1</v>
      </c>
      <c r="Q389" s="172">
        <v>12</v>
      </c>
      <c r="R389" s="103" t="s">
        <v>1031</v>
      </c>
      <c r="S389" s="103">
        <v>322040101</v>
      </c>
      <c r="T389" s="104" t="str">
        <f t="shared" si="238"/>
        <v>UITexture/TechProd/322040101.png</v>
      </c>
      <c r="U389" s="172" t="s">
        <v>1151</v>
      </c>
      <c r="V389" s="104">
        <f t="shared" si="156"/>
        <v>0</v>
      </c>
      <c r="Z389" s="172">
        <v>1</v>
      </c>
      <c r="AB389" s="102">
        <f ca="1">IFERROR(OFFSET(BLDG_FUNC_PARAM!$A$5,MATCH(AC389,BLDG_FUNC_PARAM!$J$5:$J$68,0)-1,0),0)</f>
        <v>122040001</v>
      </c>
      <c r="AC389" s="103" t="s">
        <v>969</v>
      </c>
      <c r="AD389" s="102">
        <v>100</v>
      </c>
      <c r="AN389" s="102">
        <v>7</v>
      </c>
      <c r="AO389" s="102">
        <v>0</v>
      </c>
      <c r="AT389" s="104">
        <f t="shared" si="154"/>
        <v>300</v>
      </c>
      <c r="AW389" s="103">
        <v>5</v>
      </c>
      <c r="AY389" s="102">
        <v>500</v>
      </c>
      <c r="AZ389" s="102">
        <v>50</v>
      </c>
      <c r="BA389" s="172">
        <v>0</v>
      </c>
      <c r="BC389" s="104">
        <f ca="1">IFERROR(OFFSET(ITEM_RES!$A$5,MATCH(BD389,ITEM_RES!$M$5:$M$84,0)-1,0),0)</f>
        <v>0</v>
      </c>
    </row>
    <row r="390" spans="1:73" x14ac:dyDescent="0.3">
      <c r="A390" s="107">
        <f t="shared" ref="A390:A399" si="239">B390*10000000+C390*1000000+D390*10000+E390*100+F390</f>
        <v>322040106</v>
      </c>
      <c r="B390" s="106">
        <v>32</v>
      </c>
      <c r="C390" s="105">
        <f t="shared" ref="C390:C399" si="240">H390</f>
        <v>2</v>
      </c>
      <c r="D390" s="106">
        <v>4</v>
      </c>
      <c r="E390" s="106">
        <v>1</v>
      </c>
      <c r="F390" s="105">
        <f t="shared" si="237"/>
        <v>6</v>
      </c>
      <c r="H390" s="103">
        <v>2</v>
      </c>
      <c r="I390" s="105">
        <f t="shared" ref="I390:I399" si="241">C390*100+D390</f>
        <v>204</v>
      </c>
      <c r="J390" s="172">
        <v>6</v>
      </c>
      <c r="L390" s="172" t="s">
        <v>1115</v>
      </c>
      <c r="M390" s="172" t="s">
        <v>1136</v>
      </c>
      <c r="N390" s="103" t="s">
        <v>502</v>
      </c>
      <c r="O390" s="103" t="s">
        <v>1086</v>
      </c>
      <c r="P390" s="172">
        <v>1</v>
      </c>
      <c r="Q390" s="172">
        <v>12</v>
      </c>
      <c r="R390" s="103" t="s">
        <v>1031</v>
      </c>
      <c r="S390" s="103">
        <v>322040101</v>
      </c>
      <c r="T390" s="104" t="str">
        <f t="shared" si="238"/>
        <v>UITexture/TechProd/322040101.png</v>
      </c>
      <c r="U390" s="172" t="s">
        <v>1151</v>
      </c>
      <c r="V390" s="104">
        <f t="shared" ref="V390:V399" si="242">W390*1000+X390</f>
        <v>0</v>
      </c>
      <c r="Z390" s="172">
        <v>1</v>
      </c>
      <c r="AB390" s="102">
        <f ca="1">IFERROR(OFFSET(BLDG_FUNC_PARAM!$A$5,MATCH(AC390,BLDG_FUNC_PARAM!$J$5:$J$68,0)-1,0),0)</f>
        <v>122040001</v>
      </c>
      <c r="AC390" s="103" t="s">
        <v>969</v>
      </c>
      <c r="AD390" s="102">
        <v>110</v>
      </c>
      <c r="AN390" s="102">
        <v>0</v>
      </c>
      <c r="AO390" s="102">
        <v>0</v>
      </c>
      <c r="AT390" s="104">
        <f t="shared" ref="AT390:AT399" si="243">((AU390*24+AV390)*60+AW390)*60+AX390</f>
        <v>360</v>
      </c>
      <c r="AW390" s="103">
        <v>6</v>
      </c>
      <c r="AY390" s="102">
        <v>600</v>
      </c>
      <c r="AZ390" s="102">
        <v>60</v>
      </c>
      <c r="BA390" s="172">
        <v>0</v>
      </c>
      <c r="BC390" s="104">
        <f ca="1">IFERROR(OFFSET(ITEM_RES!$A$5,MATCH(BD390,ITEM_RES!$M$5:$M$84,0)-1,0),0)</f>
        <v>0</v>
      </c>
    </row>
    <row r="391" spans="1:73" x14ac:dyDescent="0.3">
      <c r="A391" s="107">
        <f t="shared" si="239"/>
        <v>322040107</v>
      </c>
      <c r="B391" s="106">
        <v>32</v>
      </c>
      <c r="C391" s="105">
        <f t="shared" si="240"/>
        <v>2</v>
      </c>
      <c r="D391" s="106">
        <v>4</v>
      </c>
      <c r="E391" s="106">
        <v>1</v>
      </c>
      <c r="F391" s="105">
        <f t="shared" si="237"/>
        <v>7</v>
      </c>
      <c r="H391" s="103">
        <v>2</v>
      </c>
      <c r="I391" s="105">
        <f t="shared" si="241"/>
        <v>204</v>
      </c>
      <c r="J391" s="172">
        <v>7</v>
      </c>
      <c r="L391" s="172" t="s">
        <v>1115</v>
      </c>
      <c r="M391" s="172" t="s">
        <v>1136</v>
      </c>
      <c r="N391" s="103" t="s">
        <v>502</v>
      </c>
      <c r="O391" s="103" t="s">
        <v>1086</v>
      </c>
      <c r="P391" s="172">
        <v>1</v>
      </c>
      <c r="Q391" s="172">
        <v>12</v>
      </c>
      <c r="R391" s="103" t="s">
        <v>1031</v>
      </c>
      <c r="S391" s="103">
        <v>322040101</v>
      </c>
      <c r="T391" s="104" t="str">
        <f t="shared" si="238"/>
        <v>UITexture/TechProd/322040101.png</v>
      </c>
      <c r="U391" s="172" t="s">
        <v>1151</v>
      </c>
      <c r="V391" s="104">
        <f t="shared" si="242"/>
        <v>0</v>
      </c>
      <c r="Z391" s="172">
        <v>1</v>
      </c>
      <c r="AB391" s="102">
        <f ca="1">IFERROR(OFFSET(BLDG_FUNC_PARAM!$A$5,MATCH(AC391,BLDG_FUNC_PARAM!$J$5:$J$68,0)-1,0),0)</f>
        <v>122040001</v>
      </c>
      <c r="AC391" s="103" t="s">
        <v>969</v>
      </c>
      <c r="AD391" s="102">
        <v>120</v>
      </c>
      <c r="AN391" s="102">
        <v>0</v>
      </c>
      <c r="AO391" s="102">
        <v>0</v>
      </c>
      <c r="AT391" s="104">
        <f t="shared" si="243"/>
        <v>420</v>
      </c>
      <c r="AW391" s="103">
        <v>7</v>
      </c>
      <c r="AY391" s="102">
        <v>700</v>
      </c>
      <c r="AZ391" s="102">
        <v>70</v>
      </c>
      <c r="BA391" s="172">
        <v>0</v>
      </c>
      <c r="BC391" s="104">
        <f ca="1">IFERROR(OFFSET(ITEM_RES!$A$5,MATCH(BD391,ITEM_RES!$M$5:$M$84,0)-1,0),0)</f>
        <v>0</v>
      </c>
    </row>
    <row r="392" spans="1:73" x14ac:dyDescent="0.3">
      <c r="A392" s="107">
        <f t="shared" si="239"/>
        <v>322040108</v>
      </c>
      <c r="B392" s="106">
        <v>32</v>
      </c>
      <c r="C392" s="105">
        <f t="shared" si="240"/>
        <v>2</v>
      </c>
      <c r="D392" s="106">
        <v>4</v>
      </c>
      <c r="E392" s="106">
        <v>1</v>
      </c>
      <c r="F392" s="105">
        <f t="shared" si="237"/>
        <v>8</v>
      </c>
      <c r="H392" s="103">
        <v>2</v>
      </c>
      <c r="I392" s="105">
        <f t="shared" si="241"/>
        <v>204</v>
      </c>
      <c r="J392" s="172">
        <v>8</v>
      </c>
      <c r="L392" s="172" t="s">
        <v>1115</v>
      </c>
      <c r="M392" s="172" t="s">
        <v>1136</v>
      </c>
      <c r="N392" s="103" t="s">
        <v>502</v>
      </c>
      <c r="O392" s="103" t="s">
        <v>1086</v>
      </c>
      <c r="P392" s="172">
        <v>1</v>
      </c>
      <c r="Q392" s="172">
        <v>12</v>
      </c>
      <c r="R392" s="103" t="s">
        <v>1031</v>
      </c>
      <c r="S392" s="103">
        <v>322040101</v>
      </c>
      <c r="T392" s="104" t="str">
        <f t="shared" si="238"/>
        <v>UITexture/TechProd/322040101.png</v>
      </c>
      <c r="U392" s="172" t="s">
        <v>1151</v>
      </c>
      <c r="V392" s="104">
        <f t="shared" si="242"/>
        <v>0</v>
      </c>
      <c r="Z392" s="172">
        <v>1</v>
      </c>
      <c r="AB392" s="102">
        <f ca="1">IFERROR(OFFSET(BLDG_FUNC_PARAM!$A$5,MATCH(AC392,BLDG_FUNC_PARAM!$J$5:$J$68,0)-1,0),0)</f>
        <v>122040001</v>
      </c>
      <c r="AC392" s="103" t="s">
        <v>969</v>
      </c>
      <c r="AD392" s="102">
        <v>130</v>
      </c>
      <c r="AN392" s="102">
        <v>0</v>
      </c>
      <c r="AO392" s="102">
        <v>0</v>
      </c>
      <c r="AT392" s="104">
        <f t="shared" si="243"/>
        <v>480</v>
      </c>
      <c r="AW392" s="103">
        <v>8</v>
      </c>
      <c r="AY392" s="102">
        <v>800</v>
      </c>
      <c r="AZ392" s="102">
        <v>80</v>
      </c>
      <c r="BA392" s="172">
        <v>0</v>
      </c>
      <c r="BC392" s="104">
        <f ca="1">IFERROR(OFFSET(ITEM_RES!$A$5,MATCH(BD392,ITEM_RES!$M$5:$M$84,0)-1,0),0)</f>
        <v>0</v>
      </c>
    </row>
    <row r="393" spans="1:73" x14ac:dyDescent="0.3">
      <c r="A393" s="107">
        <f t="shared" si="239"/>
        <v>322040109</v>
      </c>
      <c r="B393" s="106">
        <v>32</v>
      </c>
      <c r="C393" s="105">
        <f t="shared" si="240"/>
        <v>2</v>
      </c>
      <c r="D393" s="106">
        <v>4</v>
      </c>
      <c r="E393" s="106">
        <v>1</v>
      </c>
      <c r="F393" s="105">
        <f t="shared" si="237"/>
        <v>9</v>
      </c>
      <c r="H393" s="103">
        <v>2</v>
      </c>
      <c r="I393" s="105">
        <f t="shared" si="241"/>
        <v>204</v>
      </c>
      <c r="J393" s="172">
        <v>9</v>
      </c>
      <c r="L393" s="172" t="s">
        <v>1115</v>
      </c>
      <c r="M393" s="172" t="s">
        <v>1136</v>
      </c>
      <c r="N393" s="103" t="s">
        <v>502</v>
      </c>
      <c r="O393" s="103" t="s">
        <v>1086</v>
      </c>
      <c r="P393" s="172">
        <v>1</v>
      </c>
      <c r="Q393" s="172">
        <v>12</v>
      </c>
      <c r="R393" s="103" t="s">
        <v>1031</v>
      </c>
      <c r="S393" s="103">
        <v>322040101</v>
      </c>
      <c r="T393" s="104" t="str">
        <f t="shared" si="238"/>
        <v>UITexture/TechProd/322040101.png</v>
      </c>
      <c r="U393" s="172" t="s">
        <v>1151</v>
      </c>
      <c r="V393" s="104">
        <f t="shared" si="242"/>
        <v>0</v>
      </c>
      <c r="Z393" s="172">
        <v>1</v>
      </c>
      <c r="AB393" s="102">
        <f ca="1">IFERROR(OFFSET(BLDG_FUNC_PARAM!$A$5,MATCH(AC393,BLDG_FUNC_PARAM!$J$5:$J$68,0)-1,0),0)</f>
        <v>122040001</v>
      </c>
      <c r="AC393" s="103" t="s">
        <v>969</v>
      </c>
      <c r="AD393" s="102">
        <v>140.00000000000003</v>
      </c>
      <c r="AN393" s="102">
        <v>0</v>
      </c>
      <c r="AO393" s="102">
        <v>0</v>
      </c>
      <c r="AT393" s="104">
        <f t="shared" si="243"/>
        <v>540</v>
      </c>
      <c r="AW393" s="103">
        <v>9</v>
      </c>
      <c r="AY393" s="102">
        <v>900</v>
      </c>
      <c r="AZ393" s="102">
        <v>90</v>
      </c>
      <c r="BA393" s="172">
        <v>0</v>
      </c>
      <c r="BC393" s="104">
        <f ca="1">IFERROR(OFFSET(ITEM_RES!$A$5,MATCH(BD393,ITEM_RES!$M$5:$M$84,0)-1,0),0)</f>
        <v>0</v>
      </c>
    </row>
    <row r="394" spans="1:73" x14ac:dyDescent="0.3">
      <c r="A394" s="107">
        <f t="shared" si="239"/>
        <v>322040110</v>
      </c>
      <c r="B394" s="106">
        <v>32</v>
      </c>
      <c r="C394" s="105">
        <f t="shared" si="240"/>
        <v>2</v>
      </c>
      <c r="D394" s="106">
        <v>4</v>
      </c>
      <c r="E394" s="106">
        <v>1</v>
      </c>
      <c r="F394" s="105">
        <f t="shared" si="237"/>
        <v>10</v>
      </c>
      <c r="H394" s="103">
        <v>2</v>
      </c>
      <c r="I394" s="105">
        <f t="shared" si="241"/>
        <v>204</v>
      </c>
      <c r="J394" s="172">
        <v>10</v>
      </c>
      <c r="L394" s="172" t="s">
        <v>1115</v>
      </c>
      <c r="M394" s="172" t="s">
        <v>1136</v>
      </c>
      <c r="N394" s="103" t="s">
        <v>502</v>
      </c>
      <c r="O394" s="103" t="s">
        <v>1086</v>
      </c>
      <c r="P394" s="172">
        <v>1</v>
      </c>
      <c r="Q394" s="172">
        <v>12</v>
      </c>
      <c r="R394" s="103" t="s">
        <v>1031</v>
      </c>
      <c r="S394" s="103">
        <v>322040101</v>
      </c>
      <c r="T394" s="104" t="str">
        <f t="shared" si="238"/>
        <v>UITexture/TechProd/322040101.png</v>
      </c>
      <c r="U394" s="172" t="s">
        <v>1151</v>
      </c>
      <c r="V394" s="104">
        <f t="shared" si="242"/>
        <v>0</v>
      </c>
      <c r="Z394" s="172">
        <v>1</v>
      </c>
      <c r="AB394" s="102">
        <f ca="1">IFERROR(OFFSET(BLDG_FUNC_PARAM!$A$5,MATCH(AC394,BLDG_FUNC_PARAM!$J$5:$J$68,0)-1,0),0)</f>
        <v>122040001</v>
      </c>
      <c r="AC394" s="103" t="s">
        <v>969</v>
      </c>
      <c r="AD394" s="102">
        <v>200</v>
      </c>
      <c r="AN394" s="102">
        <v>12</v>
      </c>
      <c r="AO394" s="102">
        <v>0</v>
      </c>
      <c r="AT394" s="104">
        <f t="shared" si="243"/>
        <v>600</v>
      </c>
      <c r="AW394" s="103">
        <v>10</v>
      </c>
      <c r="AY394" s="102">
        <v>1000</v>
      </c>
      <c r="AZ394" s="102">
        <v>100</v>
      </c>
      <c r="BA394" s="172">
        <v>0</v>
      </c>
      <c r="BC394" s="104">
        <f ca="1">IFERROR(OFFSET(ITEM_RES!$A$5,MATCH(BD394,ITEM_RES!$M$5:$M$84,0)-1,0),0)</f>
        <v>0</v>
      </c>
    </row>
    <row r="395" spans="1:73" x14ac:dyDescent="0.3">
      <c r="A395" s="107">
        <f t="shared" si="239"/>
        <v>322040111</v>
      </c>
      <c r="B395" s="106">
        <v>32</v>
      </c>
      <c r="C395" s="105">
        <f t="shared" si="240"/>
        <v>2</v>
      </c>
      <c r="D395" s="106">
        <v>4</v>
      </c>
      <c r="E395" s="106">
        <v>1</v>
      </c>
      <c r="F395" s="105">
        <f t="shared" si="237"/>
        <v>11</v>
      </c>
      <c r="H395" s="103">
        <v>2</v>
      </c>
      <c r="I395" s="105">
        <f t="shared" si="241"/>
        <v>204</v>
      </c>
      <c r="J395" s="172">
        <v>11</v>
      </c>
      <c r="L395" s="172" t="s">
        <v>1115</v>
      </c>
      <c r="M395" s="172" t="s">
        <v>1136</v>
      </c>
      <c r="N395" s="103" t="s">
        <v>502</v>
      </c>
      <c r="O395" s="103" t="s">
        <v>1086</v>
      </c>
      <c r="P395" s="172">
        <v>1</v>
      </c>
      <c r="Q395" s="172">
        <v>12</v>
      </c>
      <c r="R395" s="103" t="s">
        <v>1031</v>
      </c>
      <c r="S395" s="103">
        <v>322040101</v>
      </c>
      <c r="T395" s="104" t="str">
        <f t="shared" si="238"/>
        <v>UITexture/TechProd/322040101.png</v>
      </c>
      <c r="U395" s="172" t="s">
        <v>1151</v>
      </c>
      <c r="V395" s="104">
        <f t="shared" si="242"/>
        <v>0</v>
      </c>
      <c r="Z395" s="172">
        <v>1</v>
      </c>
      <c r="AB395" s="102">
        <f ca="1">IFERROR(OFFSET(BLDG_FUNC_PARAM!$A$5,MATCH(AC395,BLDG_FUNC_PARAM!$J$5:$J$68,0)-1,0),0)</f>
        <v>122040001</v>
      </c>
      <c r="AC395" s="103" t="s">
        <v>969</v>
      </c>
      <c r="AD395" s="102">
        <v>210</v>
      </c>
      <c r="AN395" s="102">
        <v>0</v>
      </c>
      <c r="AO395" s="102">
        <v>0</v>
      </c>
      <c r="AT395" s="104">
        <f t="shared" si="243"/>
        <v>660</v>
      </c>
      <c r="AW395" s="103">
        <v>11</v>
      </c>
      <c r="AY395" s="102">
        <v>1100</v>
      </c>
      <c r="AZ395" s="102">
        <v>110</v>
      </c>
      <c r="BA395" s="172">
        <v>0</v>
      </c>
      <c r="BC395" s="104">
        <f ca="1">IFERROR(OFFSET(ITEM_RES!$A$5,MATCH(BD395,ITEM_RES!$M$5:$M$84,0)-1,0),0)</f>
        <v>0</v>
      </c>
    </row>
    <row r="396" spans="1:73" x14ac:dyDescent="0.3">
      <c r="A396" s="107">
        <f t="shared" si="239"/>
        <v>322040112</v>
      </c>
      <c r="B396" s="106">
        <v>32</v>
      </c>
      <c r="C396" s="105">
        <f t="shared" si="240"/>
        <v>2</v>
      </c>
      <c r="D396" s="106">
        <v>4</v>
      </c>
      <c r="E396" s="106">
        <v>1</v>
      </c>
      <c r="F396" s="105">
        <f t="shared" si="237"/>
        <v>12</v>
      </c>
      <c r="H396" s="103">
        <v>2</v>
      </c>
      <c r="I396" s="105">
        <f t="shared" si="241"/>
        <v>204</v>
      </c>
      <c r="J396" s="172">
        <v>12</v>
      </c>
      <c r="L396" s="172" t="s">
        <v>1115</v>
      </c>
      <c r="M396" s="172" t="s">
        <v>1136</v>
      </c>
      <c r="N396" s="103" t="s">
        <v>502</v>
      </c>
      <c r="O396" s="103" t="s">
        <v>1086</v>
      </c>
      <c r="P396" s="172">
        <v>1</v>
      </c>
      <c r="Q396" s="172">
        <v>12</v>
      </c>
      <c r="R396" s="103" t="s">
        <v>1031</v>
      </c>
      <c r="S396" s="103">
        <v>322040101</v>
      </c>
      <c r="T396" s="104" t="str">
        <f t="shared" si="238"/>
        <v>UITexture/TechProd/322040101.png</v>
      </c>
      <c r="U396" s="172" t="s">
        <v>1151</v>
      </c>
      <c r="V396" s="104">
        <f t="shared" si="242"/>
        <v>0</v>
      </c>
      <c r="Z396" s="172">
        <v>1</v>
      </c>
      <c r="AB396" s="102">
        <f ca="1">IFERROR(OFFSET(BLDG_FUNC_PARAM!$A$5,MATCH(AC396,BLDG_FUNC_PARAM!$J$5:$J$68,0)-1,0),0)</f>
        <v>122040001</v>
      </c>
      <c r="AC396" s="103" t="s">
        <v>969</v>
      </c>
      <c r="AD396" s="102">
        <v>220</v>
      </c>
      <c r="AN396" s="102">
        <v>0</v>
      </c>
      <c r="AO396" s="102">
        <v>0</v>
      </c>
      <c r="AT396" s="104">
        <f t="shared" si="243"/>
        <v>720</v>
      </c>
      <c r="AW396" s="103">
        <v>12</v>
      </c>
      <c r="AY396" s="102">
        <v>1200</v>
      </c>
      <c r="AZ396" s="102">
        <v>120</v>
      </c>
      <c r="BA396" s="172">
        <v>0</v>
      </c>
      <c r="BC396" s="104">
        <f ca="1">IFERROR(OFFSET(ITEM_RES!$A$5,MATCH(BD396,ITEM_RES!$M$5:$M$84,0)-1,0),0)</f>
        <v>0</v>
      </c>
    </row>
    <row r="397" spans="1:73" x14ac:dyDescent="0.3">
      <c r="A397" s="107">
        <f t="shared" si="239"/>
        <v>322040113</v>
      </c>
      <c r="B397" s="106">
        <v>32</v>
      </c>
      <c r="C397" s="105">
        <f t="shared" si="240"/>
        <v>2</v>
      </c>
      <c r="D397" s="106">
        <v>4</v>
      </c>
      <c r="E397" s="106">
        <v>1</v>
      </c>
      <c r="F397" s="105">
        <f t="shared" si="237"/>
        <v>13</v>
      </c>
      <c r="H397" s="103">
        <v>2</v>
      </c>
      <c r="I397" s="105">
        <f t="shared" si="241"/>
        <v>204</v>
      </c>
      <c r="J397" s="172">
        <v>13</v>
      </c>
      <c r="L397" s="172" t="s">
        <v>1115</v>
      </c>
      <c r="M397" s="172" t="s">
        <v>1136</v>
      </c>
      <c r="N397" s="103" t="s">
        <v>502</v>
      </c>
      <c r="O397" s="103" t="s">
        <v>1086</v>
      </c>
      <c r="P397" s="172">
        <v>0</v>
      </c>
      <c r="Q397" s="172">
        <v>12</v>
      </c>
      <c r="R397" s="103" t="s">
        <v>1031</v>
      </c>
      <c r="S397" s="103">
        <v>322040101</v>
      </c>
      <c r="T397" s="104" t="str">
        <f t="shared" si="238"/>
        <v>UITexture/TechProd/322040101.png</v>
      </c>
      <c r="U397" s="172" t="s">
        <v>1151</v>
      </c>
      <c r="V397" s="104">
        <f t="shared" si="242"/>
        <v>0</v>
      </c>
      <c r="Z397" s="172">
        <v>1</v>
      </c>
      <c r="AB397" s="102">
        <f ca="1">IFERROR(OFFSET(BLDG_FUNC_PARAM!$A$5,MATCH(AC397,BLDG_FUNC_PARAM!$J$5:$J$68,0)-1,0),0)</f>
        <v>122040001</v>
      </c>
      <c r="AC397" s="103" t="s">
        <v>969</v>
      </c>
      <c r="AD397" s="102">
        <v>230</v>
      </c>
      <c r="AN397" s="102">
        <v>0</v>
      </c>
      <c r="AO397" s="102">
        <v>0</v>
      </c>
      <c r="AT397" s="104">
        <f t="shared" si="243"/>
        <v>780</v>
      </c>
      <c r="AW397" s="103">
        <v>13</v>
      </c>
      <c r="AY397" s="102">
        <v>1300</v>
      </c>
      <c r="AZ397" s="102">
        <v>130</v>
      </c>
      <c r="BA397" s="172">
        <v>0</v>
      </c>
      <c r="BC397" s="104">
        <f ca="1">IFERROR(OFFSET(ITEM_RES!$A$5,MATCH(BD397,ITEM_RES!$M$5:$M$84,0)-1,0),0)</f>
        <v>0</v>
      </c>
    </row>
    <row r="398" spans="1:73" x14ac:dyDescent="0.3">
      <c r="A398" s="107">
        <f t="shared" si="239"/>
        <v>322040114</v>
      </c>
      <c r="B398" s="106">
        <v>32</v>
      </c>
      <c r="C398" s="105">
        <f t="shared" si="240"/>
        <v>2</v>
      </c>
      <c r="D398" s="106">
        <v>4</v>
      </c>
      <c r="E398" s="106">
        <v>1</v>
      </c>
      <c r="F398" s="105">
        <f t="shared" si="237"/>
        <v>14</v>
      </c>
      <c r="H398" s="103">
        <v>2</v>
      </c>
      <c r="I398" s="105">
        <f t="shared" si="241"/>
        <v>204</v>
      </c>
      <c r="J398" s="172">
        <v>14</v>
      </c>
      <c r="L398" s="172" t="s">
        <v>1115</v>
      </c>
      <c r="M398" s="172" t="s">
        <v>1136</v>
      </c>
      <c r="N398" s="103" t="s">
        <v>502</v>
      </c>
      <c r="O398" s="103" t="s">
        <v>1086</v>
      </c>
      <c r="P398" s="172">
        <v>0</v>
      </c>
      <c r="Q398" s="172">
        <v>12</v>
      </c>
      <c r="R398" s="103" t="s">
        <v>1031</v>
      </c>
      <c r="S398" s="103">
        <v>322040101</v>
      </c>
      <c r="T398" s="104" t="str">
        <f t="shared" si="238"/>
        <v>UITexture/TechProd/322040101.png</v>
      </c>
      <c r="U398" s="172" t="s">
        <v>1151</v>
      </c>
      <c r="V398" s="104">
        <f t="shared" si="242"/>
        <v>0</v>
      </c>
      <c r="Z398" s="172">
        <v>1</v>
      </c>
      <c r="AB398" s="102">
        <f ca="1">IFERROR(OFFSET(BLDG_FUNC_PARAM!$A$5,MATCH(AC398,BLDG_FUNC_PARAM!$J$5:$J$68,0)-1,0),0)</f>
        <v>122040001</v>
      </c>
      <c r="AC398" s="103" t="s">
        <v>969</v>
      </c>
      <c r="AD398" s="102">
        <v>240</v>
      </c>
      <c r="AN398" s="102">
        <v>0</v>
      </c>
      <c r="AO398" s="102">
        <v>0</v>
      </c>
      <c r="AT398" s="104">
        <f t="shared" si="243"/>
        <v>840</v>
      </c>
      <c r="AW398" s="103">
        <v>14</v>
      </c>
      <c r="AY398" s="102">
        <v>1400</v>
      </c>
      <c r="AZ398" s="102">
        <v>140</v>
      </c>
      <c r="BA398" s="172">
        <v>0</v>
      </c>
      <c r="BC398" s="104">
        <f ca="1">IFERROR(OFFSET(ITEM_RES!$A$5,MATCH(BD398,ITEM_RES!$M$5:$M$84,0)-1,0),0)</f>
        <v>0</v>
      </c>
    </row>
    <row r="399" spans="1:73" x14ac:dyDescent="0.3">
      <c r="A399" s="107">
        <f t="shared" si="239"/>
        <v>322040115</v>
      </c>
      <c r="B399" s="106">
        <v>32</v>
      </c>
      <c r="C399" s="105">
        <f t="shared" si="240"/>
        <v>2</v>
      </c>
      <c r="D399" s="106">
        <v>4</v>
      </c>
      <c r="E399" s="106">
        <v>1</v>
      </c>
      <c r="F399" s="105">
        <f t="shared" si="237"/>
        <v>15</v>
      </c>
      <c r="H399" s="103">
        <v>2</v>
      </c>
      <c r="I399" s="105">
        <f t="shared" si="241"/>
        <v>204</v>
      </c>
      <c r="J399" s="172">
        <v>15</v>
      </c>
      <c r="L399" s="172" t="s">
        <v>1115</v>
      </c>
      <c r="M399" s="172" t="s">
        <v>1136</v>
      </c>
      <c r="N399" s="103" t="s">
        <v>502</v>
      </c>
      <c r="O399" s="103" t="s">
        <v>1086</v>
      </c>
      <c r="P399" s="172">
        <v>0</v>
      </c>
      <c r="Q399" s="172">
        <v>12</v>
      </c>
      <c r="R399" s="103" t="s">
        <v>1031</v>
      </c>
      <c r="S399" s="103">
        <v>322040101</v>
      </c>
      <c r="T399" s="104" t="str">
        <f t="shared" si="238"/>
        <v>UITexture/TechProd/322040101.png</v>
      </c>
      <c r="U399" s="172" t="s">
        <v>1151</v>
      </c>
      <c r="V399" s="104">
        <f t="shared" si="242"/>
        <v>0</v>
      </c>
      <c r="Z399" s="172">
        <v>1</v>
      </c>
      <c r="AB399" s="102">
        <f ca="1">IFERROR(OFFSET(BLDG_FUNC_PARAM!$A$5,MATCH(AC399,BLDG_FUNC_PARAM!$J$5:$J$68,0)-1,0),0)</f>
        <v>122040001</v>
      </c>
      <c r="AC399" s="103" t="s">
        <v>969</v>
      </c>
      <c r="AD399" s="102">
        <v>300</v>
      </c>
      <c r="AN399" s="102">
        <v>16</v>
      </c>
      <c r="AO399" s="102">
        <v>0</v>
      </c>
      <c r="AT399" s="104">
        <f t="shared" si="243"/>
        <v>900</v>
      </c>
      <c r="AW399" s="103">
        <v>15</v>
      </c>
      <c r="AY399" s="102">
        <v>1500</v>
      </c>
      <c r="AZ399" s="102">
        <v>150</v>
      </c>
      <c r="BA399" s="172">
        <v>0</v>
      </c>
      <c r="BC399" s="104">
        <f ca="1">IFERROR(OFFSET(ITEM_RES!$A$5,MATCH(BD399,ITEM_RES!$M$5:$M$84,0)-1,0),0)</f>
        <v>0</v>
      </c>
    </row>
    <row r="400" spans="1:73" x14ac:dyDescent="0.3">
      <c r="A400" s="107">
        <f t="shared" ref="A400:A409" si="244">B400*10000000+C400*1000000+D400*10000+E400*100+F400</f>
        <v>322040116</v>
      </c>
      <c r="B400" s="106">
        <v>32</v>
      </c>
      <c r="C400" s="105">
        <f t="shared" ref="C400:C409" si="245">H400</f>
        <v>2</v>
      </c>
      <c r="D400" s="106">
        <v>4</v>
      </c>
      <c r="E400" s="106">
        <v>1</v>
      </c>
      <c r="F400" s="105">
        <f t="shared" si="237"/>
        <v>16</v>
      </c>
      <c r="H400" s="103">
        <v>2</v>
      </c>
      <c r="I400" s="105">
        <f t="shared" ref="I400:I409" si="246">C400*100+D400</f>
        <v>204</v>
      </c>
      <c r="J400" s="172">
        <v>16</v>
      </c>
      <c r="L400" s="172" t="s">
        <v>1115</v>
      </c>
      <c r="M400" s="172" t="s">
        <v>1136</v>
      </c>
      <c r="N400" s="103" t="s">
        <v>502</v>
      </c>
      <c r="O400" s="103" t="s">
        <v>1086</v>
      </c>
      <c r="P400" s="172">
        <v>0</v>
      </c>
      <c r="Q400" s="172">
        <v>12</v>
      </c>
      <c r="R400" s="103" t="s">
        <v>1031</v>
      </c>
      <c r="S400" s="103">
        <v>322040101</v>
      </c>
      <c r="T400" s="104" t="str">
        <f t="shared" si="238"/>
        <v>UITexture/TechProd/322040101.png</v>
      </c>
      <c r="U400" s="172" t="s">
        <v>1151</v>
      </c>
      <c r="V400" s="104">
        <f t="shared" ref="V400:V409" si="247">W400*1000+X400</f>
        <v>0</v>
      </c>
      <c r="Z400" s="172">
        <v>1</v>
      </c>
      <c r="AB400" s="102">
        <f ca="1">IFERROR(OFFSET(BLDG_FUNC_PARAM!$A$5,MATCH(AC400,BLDG_FUNC_PARAM!$J$5:$J$68,0)-1,0),0)</f>
        <v>122040001</v>
      </c>
      <c r="AC400" s="103" t="s">
        <v>969</v>
      </c>
      <c r="AD400" s="102">
        <v>310</v>
      </c>
      <c r="AN400" s="102">
        <v>0</v>
      </c>
      <c r="AO400" s="102">
        <v>0</v>
      </c>
      <c r="AT400" s="104">
        <f t="shared" ref="AT400:AT409" si="248">((AU400*24+AV400)*60+AW400)*60+AX400</f>
        <v>960</v>
      </c>
      <c r="AW400" s="103">
        <v>16</v>
      </c>
      <c r="AY400" s="102">
        <v>1600</v>
      </c>
      <c r="AZ400" s="102">
        <v>160</v>
      </c>
      <c r="BA400" s="172">
        <v>0</v>
      </c>
      <c r="BC400" s="104">
        <f ca="1">IFERROR(OFFSET(ITEM_RES!$A$5,MATCH(BD400,ITEM_RES!$M$5:$M$84,0)-1,0),0)</f>
        <v>0</v>
      </c>
    </row>
    <row r="401" spans="1:73" x14ac:dyDescent="0.3">
      <c r="A401" s="107">
        <f t="shared" si="244"/>
        <v>322040117</v>
      </c>
      <c r="B401" s="106">
        <v>32</v>
      </c>
      <c r="C401" s="105">
        <f t="shared" si="245"/>
        <v>2</v>
      </c>
      <c r="D401" s="106">
        <v>4</v>
      </c>
      <c r="E401" s="106">
        <v>1</v>
      </c>
      <c r="F401" s="105">
        <f t="shared" si="237"/>
        <v>17</v>
      </c>
      <c r="H401" s="103">
        <v>2</v>
      </c>
      <c r="I401" s="105">
        <f t="shared" si="246"/>
        <v>204</v>
      </c>
      <c r="J401" s="172">
        <v>17</v>
      </c>
      <c r="L401" s="172" t="s">
        <v>1115</v>
      </c>
      <c r="M401" s="172" t="s">
        <v>1136</v>
      </c>
      <c r="N401" s="103" t="s">
        <v>502</v>
      </c>
      <c r="O401" s="103" t="s">
        <v>1086</v>
      </c>
      <c r="P401" s="172">
        <v>0</v>
      </c>
      <c r="Q401" s="172">
        <v>12</v>
      </c>
      <c r="R401" s="103" t="s">
        <v>1031</v>
      </c>
      <c r="S401" s="103">
        <v>322040101</v>
      </c>
      <c r="T401" s="104" t="str">
        <f t="shared" si="238"/>
        <v>UITexture/TechProd/322040101.png</v>
      </c>
      <c r="U401" s="172" t="s">
        <v>1151</v>
      </c>
      <c r="V401" s="104">
        <f t="shared" si="247"/>
        <v>0</v>
      </c>
      <c r="Z401" s="172">
        <v>1</v>
      </c>
      <c r="AB401" s="102">
        <f ca="1">IFERROR(OFFSET(BLDG_FUNC_PARAM!$A$5,MATCH(AC401,BLDG_FUNC_PARAM!$J$5:$J$68,0)-1,0),0)</f>
        <v>122040001</v>
      </c>
      <c r="AC401" s="103" t="s">
        <v>969</v>
      </c>
      <c r="AD401" s="102">
        <v>320</v>
      </c>
      <c r="AN401" s="102">
        <v>0</v>
      </c>
      <c r="AO401" s="102">
        <v>0</v>
      </c>
      <c r="AT401" s="104">
        <f t="shared" si="248"/>
        <v>1020</v>
      </c>
      <c r="AW401" s="103">
        <v>17</v>
      </c>
      <c r="AY401" s="102">
        <v>1700</v>
      </c>
      <c r="AZ401" s="102">
        <v>170</v>
      </c>
      <c r="BA401" s="172">
        <v>0</v>
      </c>
      <c r="BC401" s="104">
        <f ca="1">IFERROR(OFFSET(ITEM_RES!$A$5,MATCH(BD401,ITEM_RES!$M$5:$M$84,0)-1,0),0)</f>
        <v>0</v>
      </c>
    </row>
    <row r="402" spans="1:73" x14ac:dyDescent="0.3">
      <c r="A402" s="107">
        <f t="shared" si="244"/>
        <v>322040118</v>
      </c>
      <c r="B402" s="106">
        <v>32</v>
      </c>
      <c r="C402" s="105">
        <f t="shared" si="245"/>
        <v>2</v>
      </c>
      <c r="D402" s="106">
        <v>4</v>
      </c>
      <c r="E402" s="106">
        <v>1</v>
      </c>
      <c r="F402" s="105">
        <f t="shared" si="237"/>
        <v>18</v>
      </c>
      <c r="H402" s="103">
        <v>2</v>
      </c>
      <c r="I402" s="105">
        <f t="shared" si="246"/>
        <v>204</v>
      </c>
      <c r="J402" s="172">
        <v>18</v>
      </c>
      <c r="L402" s="172" t="s">
        <v>1115</v>
      </c>
      <c r="M402" s="172" t="s">
        <v>1136</v>
      </c>
      <c r="N402" s="103" t="s">
        <v>502</v>
      </c>
      <c r="O402" s="103" t="s">
        <v>1086</v>
      </c>
      <c r="P402" s="172">
        <v>0</v>
      </c>
      <c r="Q402" s="172">
        <v>12</v>
      </c>
      <c r="R402" s="103" t="s">
        <v>1031</v>
      </c>
      <c r="S402" s="103">
        <v>322040101</v>
      </c>
      <c r="T402" s="104" t="str">
        <f t="shared" si="238"/>
        <v>UITexture/TechProd/322040101.png</v>
      </c>
      <c r="U402" s="172" t="s">
        <v>1151</v>
      </c>
      <c r="V402" s="104">
        <f t="shared" si="247"/>
        <v>0</v>
      </c>
      <c r="Z402" s="172">
        <v>1</v>
      </c>
      <c r="AB402" s="102">
        <f ca="1">IFERROR(OFFSET(BLDG_FUNC_PARAM!$A$5,MATCH(AC402,BLDG_FUNC_PARAM!$J$5:$J$68,0)-1,0),0)</f>
        <v>122040001</v>
      </c>
      <c r="AC402" s="103" t="s">
        <v>969</v>
      </c>
      <c r="AD402" s="102">
        <v>330</v>
      </c>
      <c r="AN402" s="102">
        <v>0</v>
      </c>
      <c r="AO402" s="102">
        <v>0</v>
      </c>
      <c r="AT402" s="104">
        <f t="shared" si="248"/>
        <v>1080</v>
      </c>
      <c r="AW402" s="103">
        <v>18</v>
      </c>
      <c r="AY402" s="102">
        <v>1800</v>
      </c>
      <c r="AZ402" s="102">
        <v>180</v>
      </c>
      <c r="BA402" s="172">
        <v>0</v>
      </c>
      <c r="BC402" s="104">
        <f ca="1">IFERROR(OFFSET(ITEM_RES!$A$5,MATCH(BD402,ITEM_RES!$M$5:$M$84,0)-1,0),0)</f>
        <v>0</v>
      </c>
    </row>
    <row r="403" spans="1:73" x14ac:dyDescent="0.3">
      <c r="A403" s="107">
        <f t="shared" si="244"/>
        <v>322040119</v>
      </c>
      <c r="B403" s="106">
        <v>32</v>
      </c>
      <c r="C403" s="105">
        <f t="shared" si="245"/>
        <v>2</v>
      </c>
      <c r="D403" s="106">
        <v>4</v>
      </c>
      <c r="E403" s="106">
        <v>1</v>
      </c>
      <c r="F403" s="105">
        <f t="shared" si="237"/>
        <v>19</v>
      </c>
      <c r="H403" s="103">
        <v>2</v>
      </c>
      <c r="I403" s="105">
        <f t="shared" si="246"/>
        <v>204</v>
      </c>
      <c r="J403" s="172">
        <v>19</v>
      </c>
      <c r="L403" s="172" t="s">
        <v>1115</v>
      </c>
      <c r="M403" s="172" t="s">
        <v>1136</v>
      </c>
      <c r="N403" s="103" t="s">
        <v>502</v>
      </c>
      <c r="O403" s="103" t="s">
        <v>1086</v>
      </c>
      <c r="P403" s="172">
        <v>0</v>
      </c>
      <c r="Q403" s="172">
        <v>12</v>
      </c>
      <c r="R403" s="103" t="s">
        <v>1031</v>
      </c>
      <c r="S403" s="103">
        <v>322040101</v>
      </c>
      <c r="T403" s="104" t="str">
        <f t="shared" si="238"/>
        <v>UITexture/TechProd/322040101.png</v>
      </c>
      <c r="U403" s="172" t="s">
        <v>1151</v>
      </c>
      <c r="V403" s="104">
        <f t="shared" si="247"/>
        <v>0</v>
      </c>
      <c r="Z403" s="172">
        <v>1</v>
      </c>
      <c r="AB403" s="102">
        <f ca="1">IFERROR(OFFSET(BLDG_FUNC_PARAM!$A$5,MATCH(AC403,BLDG_FUNC_PARAM!$J$5:$J$68,0)-1,0),0)</f>
        <v>122040001</v>
      </c>
      <c r="AC403" s="103" t="s">
        <v>969</v>
      </c>
      <c r="AD403" s="102">
        <v>340</v>
      </c>
      <c r="AN403" s="102">
        <v>0</v>
      </c>
      <c r="AO403" s="102">
        <v>0</v>
      </c>
      <c r="AT403" s="104">
        <f t="shared" si="248"/>
        <v>1140</v>
      </c>
      <c r="AW403" s="103">
        <v>19</v>
      </c>
      <c r="AY403" s="102">
        <v>1900</v>
      </c>
      <c r="AZ403" s="102">
        <v>190</v>
      </c>
      <c r="BA403" s="172">
        <v>0</v>
      </c>
      <c r="BC403" s="104">
        <f ca="1">IFERROR(OFFSET(ITEM_RES!$A$5,MATCH(BD403,ITEM_RES!$M$5:$M$84,0)-1,0),0)</f>
        <v>0</v>
      </c>
    </row>
    <row r="404" spans="1:73" x14ac:dyDescent="0.3">
      <c r="A404" s="107">
        <f t="shared" si="244"/>
        <v>322040120</v>
      </c>
      <c r="B404" s="106">
        <v>32</v>
      </c>
      <c r="C404" s="105">
        <f t="shared" si="245"/>
        <v>2</v>
      </c>
      <c r="D404" s="106">
        <v>4</v>
      </c>
      <c r="E404" s="106">
        <v>1</v>
      </c>
      <c r="F404" s="105">
        <f t="shared" si="237"/>
        <v>20</v>
      </c>
      <c r="H404" s="103">
        <v>2</v>
      </c>
      <c r="I404" s="105">
        <f t="shared" si="246"/>
        <v>204</v>
      </c>
      <c r="J404" s="172">
        <v>20</v>
      </c>
      <c r="L404" s="172" t="s">
        <v>1115</v>
      </c>
      <c r="M404" s="172" t="s">
        <v>1136</v>
      </c>
      <c r="N404" s="103" t="s">
        <v>502</v>
      </c>
      <c r="O404" s="103" t="s">
        <v>1086</v>
      </c>
      <c r="P404" s="172">
        <v>0</v>
      </c>
      <c r="Q404" s="172">
        <v>12</v>
      </c>
      <c r="R404" s="103" t="s">
        <v>1031</v>
      </c>
      <c r="S404" s="103">
        <v>322040101</v>
      </c>
      <c r="T404" s="104" t="str">
        <f t="shared" si="238"/>
        <v>UITexture/TechProd/322040101.png</v>
      </c>
      <c r="U404" s="172" t="s">
        <v>1151</v>
      </c>
      <c r="V404" s="104">
        <f t="shared" si="247"/>
        <v>0</v>
      </c>
      <c r="Z404" s="172">
        <v>1</v>
      </c>
      <c r="AB404" s="102">
        <f ca="1">IFERROR(OFFSET(BLDG_FUNC_PARAM!$A$5,MATCH(AC404,BLDG_FUNC_PARAM!$J$5:$J$68,0)-1,0),0)</f>
        <v>122040001</v>
      </c>
      <c r="AC404" s="103" t="s">
        <v>969</v>
      </c>
      <c r="AD404" s="102">
        <v>400</v>
      </c>
      <c r="AN404" s="102">
        <v>21</v>
      </c>
      <c r="AO404" s="102">
        <v>0</v>
      </c>
      <c r="AT404" s="104">
        <f t="shared" si="248"/>
        <v>1200</v>
      </c>
      <c r="AW404" s="103">
        <v>20</v>
      </c>
      <c r="AY404" s="102">
        <v>2000</v>
      </c>
      <c r="AZ404" s="102">
        <v>200</v>
      </c>
      <c r="BA404" s="172">
        <v>0</v>
      </c>
      <c r="BC404" s="104">
        <f ca="1">IFERROR(OFFSET(ITEM_RES!$A$5,MATCH(BD404,ITEM_RES!$M$5:$M$84,0)-1,0),0)</f>
        <v>0</v>
      </c>
    </row>
    <row r="405" spans="1:73" x14ac:dyDescent="0.3">
      <c r="A405" s="107">
        <f t="shared" si="244"/>
        <v>322040121</v>
      </c>
      <c r="B405" s="106">
        <v>32</v>
      </c>
      <c r="C405" s="105">
        <f t="shared" si="245"/>
        <v>2</v>
      </c>
      <c r="D405" s="106">
        <v>4</v>
      </c>
      <c r="E405" s="106">
        <v>1</v>
      </c>
      <c r="F405" s="105">
        <f t="shared" si="237"/>
        <v>21</v>
      </c>
      <c r="H405" s="103">
        <v>2</v>
      </c>
      <c r="I405" s="105">
        <f t="shared" si="246"/>
        <v>204</v>
      </c>
      <c r="J405" s="172">
        <v>21</v>
      </c>
      <c r="L405" s="172" t="s">
        <v>1115</v>
      </c>
      <c r="M405" s="172" t="s">
        <v>1136</v>
      </c>
      <c r="N405" s="103" t="s">
        <v>502</v>
      </c>
      <c r="O405" s="103" t="s">
        <v>1086</v>
      </c>
      <c r="P405" s="172">
        <v>0</v>
      </c>
      <c r="Q405" s="172">
        <v>12</v>
      </c>
      <c r="R405" s="103" t="s">
        <v>1031</v>
      </c>
      <c r="S405" s="103">
        <v>322040101</v>
      </c>
      <c r="T405" s="104" t="str">
        <f t="shared" si="238"/>
        <v>UITexture/TechProd/322040101.png</v>
      </c>
      <c r="U405" s="172" t="s">
        <v>1151</v>
      </c>
      <c r="V405" s="104">
        <f t="shared" si="247"/>
        <v>0</v>
      </c>
      <c r="Z405" s="172">
        <v>1</v>
      </c>
      <c r="AB405" s="102">
        <f ca="1">IFERROR(OFFSET(BLDG_FUNC_PARAM!$A$5,MATCH(AC405,BLDG_FUNC_PARAM!$J$5:$J$68,0)-1,0),0)</f>
        <v>122040001</v>
      </c>
      <c r="AC405" s="103" t="s">
        <v>969</v>
      </c>
      <c r="AD405" s="102">
        <v>410</v>
      </c>
      <c r="AN405" s="102">
        <v>0</v>
      </c>
      <c r="AO405" s="102">
        <v>0</v>
      </c>
      <c r="AT405" s="104">
        <f t="shared" si="248"/>
        <v>1260</v>
      </c>
      <c r="AW405" s="103">
        <v>21</v>
      </c>
      <c r="AY405" s="102">
        <v>2100</v>
      </c>
      <c r="AZ405" s="102">
        <v>210</v>
      </c>
      <c r="BA405" s="172">
        <v>0</v>
      </c>
      <c r="BC405" s="104">
        <f ca="1">IFERROR(OFFSET(ITEM_RES!$A$5,MATCH(BD405,ITEM_RES!$M$5:$M$84,0)-1,0),0)</f>
        <v>0</v>
      </c>
    </row>
    <row r="406" spans="1:73" x14ac:dyDescent="0.3">
      <c r="A406" s="107">
        <f t="shared" si="244"/>
        <v>322040122</v>
      </c>
      <c r="B406" s="106">
        <v>32</v>
      </c>
      <c r="C406" s="105">
        <f t="shared" si="245"/>
        <v>2</v>
      </c>
      <c r="D406" s="106">
        <v>4</v>
      </c>
      <c r="E406" s="106">
        <v>1</v>
      </c>
      <c r="F406" s="105">
        <f t="shared" si="237"/>
        <v>22</v>
      </c>
      <c r="H406" s="103">
        <v>2</v>
      </c>
      <c r="I406" s="105">
        <f t="shared" si="246"/>
        <v>204</v>
      </c>
      <c r="J406" s="172">
        <v>22</v>
      </c>
      <c r="L406" s="172" t="s">
        <v>1115</v>
      </c>
      <c r="M406" s="172" t="s">
        <v>1136</v>
      </c>
      <c r="N406" s="103" t="s">
        <v>502</v>
      </c>
      <c r="O406" s="103" t="s">
        <v>1086</v>
      </c>
      <c r="P406" s="172">
        <v>0</v>
      </c>
      <c r="Q406" s="172">
        <v>12</v>
      </c>
      <c r="R406" s="103" t="s">
        <v>1031</v>
      </c>
      <c r="S406" s="103">
        <v>322040101</v>
      </c>
      <c r="T406" s="104" t="str">
        <f t="shared" si="238"/>
        <v>UITexture/TechProd/322040101.png</v>
      </c>
      <c r="U406" s="172" t="s">
        <v>1151</v>
      </c>
      <c r="V406" s="104">
        <f t="shared" si="247"/>
        <v>0</v>
      </c>
      <c r="Z406" s="172">
        <v>1</v>
      </c>
      <c r="AB406" s="102">
        <f ca="1">IFERROR(OFFSET(BLDG_FUNC_PARAM!$A$5,MATCH(AC406,BLDG_FUNC_PARAM!$J$5:$J$68,0)-1,0),0)</f>
        <v>122040001</v>
      </c>
      <c r="AC406" s="103" t="s">
        <v>969</v>
      </c>
      <c r="AD406" s="102">
        <v>420</v>
      </c>
      <c r="AN406" s="102">
        <v>0</v>
      </c>
      <c r="AO406" s="102">
        <v>0</v>
      </c>
      <c r="AT406" s="104">
        <f t="shared" si="248"/>
        <v>1320</v>
      </c>
      <c r="AW406" s="103">
        <v>22</v>
      </c>
      <c r="AY406" s="102">
        <v>2200</v>
      </c>
      <c r="AZ406" s="102">
        <v>220</v>
      </c>
      <c r="BA406" s="172">
        <v>0</v>
      </c>
      <c r="BC406" s="104">
        <f ca="1">IFERROR(OFFSET(ITEM_RES!$A$5,MATCH(BD406,ITEM_RES!$M$5:$M$84,0)-1,0),0)</f>
        <v>0</v>
      </c>
    </row>
    <row r="407" spans="1:73" x14ac:dyDescent="0.3">
      <c r="A407" s="107">
        <f t="shared" si="244"/>
        <v>322040123</v>
      </c>
      <c r="B407" s="106">
        <v>32</v>
      </c>
      <c r="C407" s="105">
        <f t="shared" si="245"/>
        <v>2</v>
      </c>
      <c r="D407" s="106">
        <v>4</v>
      </c>
      <c r="E407" s="106">
        <v>1</v>
      </c>
      <c r="F407" s="105">
        <f t="shared" si="237"/>
        <v>23</v>
      </c>
      <c r="H407" s="103">
        <v>2</v>
      </c>
      <c r="I407" s="105">
        <f t="shared" si="246"/>
        <v>204</v>
      </c>
      <c r="J407" s="172">
        <v>23</v>
      </c>
      <c r="L407" s="172" t="s">
        <v>1115</v>
      </c>
      <c r="M407" s="172" t="s">
        <v>1136</v>
      </c>
      <c r="N407" s="103" t="s">
        <v>502</v>
      </c>
      <c r="O407" s="103" t="s">
        <v>1086</v>
      </c>
      <c r="P407" s="172">
        <v>0</v>
      </c>
      <c r="Q407" s="172">
        <v>12</v>
      </c>
      <c r="R407" s="103" t="s">
        <v>1031</v>
      </c>
      <c r="S407" s="103">
        <v>322040101</v>
      </c>
      <c r="T407" s="104" t="str">
        <f t="shared" si="238"/>
        <v>UITexture/TechProd/322040101.png</v>
      </c>
      <c r="U407" s="172" t="s">
        <v>1151</v>
      </c>
      <c r="V407" s="104">
        <f t="shared" si="247"/>
        <v>0</v>
      </c>
      <c r="Z407" s="172">
        <v>1</v>
      </c>
      <c r="AB407" s="102">
        <f ca="1">IFERROR(OFFSET(BLDG_FUNC_PARAM!$A$5,MATCH(AC407,BLDG_FUNC_PARAM!$J$5:$J$68,0)-1,0),0)</f>
        <v>122040001</v>
      </c>
      <c r="AC407" s="103" t="s">
        <v>969</v>
      </c>
      <c r="AD407" s="102">
        <v>430</v>
      </c>
      <c r="AN407" s="102">
        <v>0</v>
      </c>
      <c r="AO407" s="102">
        <v>0</v>
      </c>
      <c r="AT407" s="104">
        <f t="shared" si="248"/>
        <v>1380</v>
      </c>
      <c r="AW407" s="103">
        <v>23</v>
      </c>
      <c r="AY407" s="102">
        <v>2300</v>
      </c>
      <c r="AZ407" s="102">
        <v>230</v>
      </c>
      <c r="BA407" s="172">
        <v>0</v>
      </c>
      <c r="BC407" s="104">
        <f ca="1">IFERROR(OFFSET(ITEM_RES!$A$5,MATCH(BD407,ITEM_RES!$M$5:$M$84,0)-1,0),0)</f>
        <v>0</v>
      </c>
    </row>
    <row r="408" spans="1:73" x14ac:dyDescent="0.3">
      <c r="A408" s="107">
        <f t="shared" si="244"/>
        <v>322040124</v>
      </c>
      <c r="B408" s="106">
        <v>32</v>
      </c>
      <c r="C408" s="105">
        <f t="shared" si="245"/>
        <v>2</v>
      </c>
      <c r="D408" s="106">
        <v>4</v>
      </c>
      <c r="E408" s="106">
        <v>1</v>
      </c>
      <c r="F408" s="105">
        <f t="shared" si="237"/>
        <v>24</v>
      </c>
      <c r="H408" s="103">
        <v>2</v>
      </c>
      <c r="I408" s="105">
        <f t="shared" si="246"/>
        <v>204</v>
      </c>
      <c r="J408" s="172">
        <v>24</v>
      </c>
      <c r="L408" s="172" t="s">
        <v>1115</v>
      </c>
      <c r="M408" s="172" t="s">
        <v>1136</v>
      </c>
      <c r="N408" s="103" t="s">
        <v>502</v>
      </c>
      <c r="O408" s="103" t="s">
        <v>1086</v>
      </c>
      <c r="P408" s="172">
        <v>0</v>
      </c>
      <c r="Q408" s="172">
        <v>12</v>
      </c>
      <c r="R408" s="103" t="s">
        <v>1031</v>
      </c>
      <c r="S408" s="103">
        <v>322040101</v>
      </c>
      <c r="T408" s="104" t="str">
        <f t="shared" si="238"/>
        <v>UITexture/TechProd/322040101.png</v>
      </c>
      <c r="U408" s="172" t="s">
        <v>1151</v>
      </c>
      <c r="V408" s="104">
        <f t="shared" si="247"/>
        <v>0</v>
      </c>
      <c r="Z408" s="172">
        <v>1</v>
      </c>
      <c r="AB408" s="102">
        <f ca="1">IFERROR(OFFSET(BLDG_FUNC_PARAM!$A$5,MATCH(AC408,BLDG_FUNC_PARAM!$J$5:$J$68,0)-1,0),0)</f>
        <v>122040001</v>
      </c>
      <c r="AC408" s="103" t="s">
        <v>969</v>
      </c>
      <c r="AD408" s="102">
        <v>440</v>
      </c>
      <c r="AN408" s="102">
        <v>0</v>
      </c>
      <c r="AO408" s="102">
        <v>0</v>
      </c>
      <c r="AT408" s="104">
        <f t="shared" si="248"/>
        <v>1440</v>
      </c>
      <c r="AW408" s="103">
        <v>24</v>
      </c>
      <c r="AY408" s="102">
        <v>2400</v>
      </c>
      <c r="AZ408" s="102">
        <v>240</v>
      </c>
      <c r="BA408" s="172">
        <v>0</v>
      </c>
      <c r="BC408" s="104">
        <f ca="1">IFERROR(OFFSET(ITEM_RES!$A$5,MATCH(BD408,ITEM_RES!$M$5:$M$84,0)-1,0),0)</f>
        <v>0</v>
      </c>
    </row>
    <row r="409" spans="1:73" x14ac:dyDescent="0.3">
      <c r="A409" s="107">
        <f t="shared" si="244"/>
        <v>322040125</v>
      </c>
      <c r="B409" s="106">
        <v>32</v>
      </c>
      <c r="C409" s="105">
        <f t="shared" si="245"/>
        <v>2</v>
      </c>
      <c r="D409" s="106">
        <v>4</v>
      </c>
      <c r="E409" s="106">
        <v>1</v>
      </c>
      <c r="F409" s="105">
        <f t="shared" si="237"/>
        <v>25</v>
      </c>
      <c r="H409" s="103">
        <v>2</v>
      </c>
      <c r="I409" s="105">
        <f t="shared" si="246"/>
        <v>204</v>
      </c>
      <c r="J409" s="172">
        <v>25</v>
      </c>
      <c r="L409" s="172" t="s">
        <v>1115</v>
      </c>
      <c r="M409" s="172" t="s">
        <v>1136</v>
      </c>
      <c r="N409" s="103" t="s">
        <v>502</v>
      </c>
      <c r="O409" s="103" t="s">
        <v>1086</v>
      </c>
      <c r="P409" s="172">
        <v>0</v>
      </c>
      <c r="Q409" s="172">
        <v>12</v>
      </c>
      <c r="R409" s="103" t="s">
        <v>1031</v>
      </c>
      <c r="S409" s="103">
        <v>322040101</v>
      </c>
      <c r="T409" s="104" t="str">
        <f t="shared" si="238"/>
        <v>UITexture/TechProd/322040101.png</v>
      </c>
      <c r="U409" s="172" t="s">
        <v>1151</v>
      </c>
      <c r="V409" s="104">
        <f t="shared" si="247"/>
        <v>0</v>
      </c>
      <c r="Z409" s="172">
        <v>1</v>
      </c>
      <c r="AB409" s="102">
        <f ca="1">IFERROR(OFFSET(BLDG_FUNC_PARAM!$A$5,MATCH(AC409,BLDG_FUNC_PARAM!$J$5:$J$68,0)-1,0),0)</f>
        <v>122040001</v>
      </c>
      <c r="AC409" s="103" t="s">
        <v>969</v>
      </c>
      <c r="AD409" s="102">
        <v>500</v>
      </c>
      <c r="AN409" s="102">
        <v>25</v>
      </c>
      <c r="AO409" s="102">
        <v>0</v>
      </c>
      <c r="AT409" s="104">
        <f t="shared" si="248"/>
        <v>1500</v>
      </c>
      <c r="AW409" s="103">
        <v>25</v>
      </c>
      <c r="AY409" s="102">
        <v>2500</v>
      </c>
      <c r="AZ409" s="102">
        <v>250</v>
      </c>
      <c r="BA409" s="172">
        <v>0</v>
      </c>
      <c r="BC409" s="104">
        <f ca="1">IFERROR(OFFSET(ITEM_RES!$A$5,MATCH(BD409,ITEM_RES!$M$5:$M$84,0)-1,0),0)</f>
        <v>0</v>
      </c>
    </row>
    <row r="410" spans="1:73" x14ac:dyDescent="0.3">
      <c r="A410" s="107">
        <f t="shared" ref="A410:A414" si="249">B410*10000000+C410*1000000+D410*10000+E410*100+F410</f>
        <v>322040126</v>
      </c>
      <c r="B410" s="106">
        <v>32</v>
      </c>
      <c r="C410" s="105">
        <f t="shared" ref="C410:C414" si="250">H410</f>
        <v>2</v>
      </c>
      <c r="D410" s="106">
        <v>4</v>
      </c>
      <c r="E410" s="106">
        <v>1</v>
      </c>
      <c r="F410" s="105">
        <f t="shared" si="237"/>
        <v>26</v>
      </c>
      <c r="H410" s="103">
        <v>2</v>
      </c>
      <c r="I410" s="105">
        <f t="shared" ref="I410:I414" si="251">C410*100+D410</f>
        <v>204</v>
      </c>
      <c r="J410" s="172">
        <v>26</v>
      </c>
      <c r="L410" s="172" t="s">
        <v>1115</v>
      </c>
      <c r="M410" s="172" t="s">
        <v>1136</v>
      </c>
      <c r="N410" s="103" t="s">
        <v>502</v>
      </c>
      <c r="O410" s="103" t="s">
        <v>1086</v>
      </c>
      <c r="P410" s="172">
        <v>0</v>
      </c>
      <c r="Q410" s="172">
        <v>12</v>
      </c>
      <c r="R410" s="103" t="s">
        <v>1031</v>
      </c>
      <c r="S410" s="103">
        <v>322040101</v>
      </c>
      <c r="T410" s="104" t="str">
        <f t="shared" si="238"/>
        <v>UITexture/TechProd/322040101.png</v>
      </c>
      <c r="U410" s="172" t="s">
        <v>1151</v>
      </c>
      <c r="V410" s="104">
        <f t="shared" ref="V410:V414" si="252">W410*1000+X410</f>
        <v>0</v>
      </c>
      <c r="Z410" s="172">
        <v>1</v>
      </c>
      <c r="AB410" s="102">
        <f ca="1">IFERROR(OFFSET(BLDG_FUNC_PARAM!$A$5,MATCH(AC410,BLDG_FUNC_PARAM!$J$5:$J$68,0)-1,0),0)</f>
        <v>122040001</v>
      </c>
      <c r="AC410" s="103" t="s">
        <v>969</v>
      </c>
      <c r="AD410" s="102">
        <v>510</v>
      </c>
      <c r="AN410" s="102">
        <v>0</v>
      </c>
      <c r="AO410" s="102">
        <v>0</v>
      </c>
      <c r="AT410" s="104">
        <f t="shared" ref="AT410:AT414" si="253">((AU410*24+AV410)*60+AW410)*60+AX410</f>
        <v>1560</v>
      </c>
      <c r="AW410" s="103">
        <v>26</v>
      </c>
      <c r="AY410" s="102">
        <v>2600</v>
      </c>
      <c r="AZ410" s="102">
        <v>260</v>
      </c>
      <c r="BA410" s="172">
        <v>0</v>
      </c>
      <c r="BC410" s="104">
        <f ca="1">IFERROR(OFFSET(ITEM_RES!$A$5,MATCH(BD410,ITEM_RES!$M$5:$M$84,0)-1,0),0)</f>
        <v>0</v>
      </c>
    </row>
    <row r="411" spans="1:73" x14ac:dyDescent="0.3">
      <c r="A411" s="107">
        <f t="shared" si="249"/>
        <v>322040127</v>
      </c>
      <c r="B411" s="106">
        <v>32</v>
      </c>
      <c r="C411" s="105">
        <f t="shared" si="250"/>
        <v>2</v>
      </c>
      <c r="D411" s="106">
        <v>4</v>
      </c>
      <c r="E411" s="106">
        <v>1</v>
      </c>
      <c r="F411" s="105">
        <f t="shared" si="237"/>
        <v>27</v>
      </c>
      <c r="H411" s="103">
        <v>2</v>
      </c>
      <c r="I411" s="105">
        <f t="shared" si="251"/>
        <v>204</v>
      </c>
      <c r="J411" s="172">
        <v>27</v>
      </c>
      <c r="L411" s="172" t="s">
        <v>1115</v>
      </c>
      <c r="M411" s="172" t="s">
        <v>1136</v>
      </c>
      <c r="N411" s="103" t="s">
        <v>502</v>
      </c>
      <c r="O411" s="103" t="s">
        <v>1086</v>
      </c>
      <c r="P411" s="172">
        <v>0</v>
      </c>
      <c r="Q411" s="172">
        <v>12</v>
      </c>
      <c r="R411" s="103" t="s">
        <v>1031</v>
      </c>
      <c r="S411" s="103">
        <v>322040101</v>
      </c>
      <c r="T411" s="104" t="str">
        <f t="shared" si="238"/>
        <v>UITexture/TechProd/322040101.png</v>
      </c>
      <c r="U411" s="172" t="s">
        <v>1151</v>
      </c>
      <c r="V411" s="104">
        <f t="shared" si="252"/>
        <v>0</v>
      </c>
      <c r="Z411" s="172">
        <v>1</v>
      </c>
      <c r="AB411" s="102">
        <f ca="1">IFERROR(OFFSET(BLDG_FUNC_PARAM!$A$5,MATCH(AC411,BLDG_FUNC_PARAM!$J$5:$J$68,0)-1,0),0)</f>
        <v>122040001</v>
      </c>
      <c r="AC411" s="103" t="s">
        <v>969</v>
      </c>
      <c r="AD411" s="102">
        <v>520</v>
      </c>
      <c r="AN411" s="102">
        <v>0</v>
      </c>
      <c r="AO411" s="102">
        <v>0</v>
      </c>
      <c r="AT411" s="104">
        <f t="shared" si="253"/>
        <v>1620</v>
      </c>
      <c r="AW411" s="103">
        <v>27</v>
      </c>
      <c r="AY411" s="102">
        <v>2700</v>
      </c>
      <c r="AZ411" s="102">
        <v>270</v>
      </c>
      <c r="BA411" s="172">
        <v>0</v>
      </c>
      <c r="BC411" s="104">
        <f ca="1">IFERROR(OFFSET(ITEM_RES!$A$5,MATCH(BD411,ITEM_RES!$M$5:$M$84,0)-1,0),0)</f>
        <v>0</v>
      </c>
    </row>
    <row r="412" spans="1:73" x14ac:dyDescent="0.3">
      <c r="A412" s="107">
        <f t="shared" si="249"/>
        <v>322040128</v>
      </c>
      <c r="B412" s="106">
        <v>32</v>
      </c>
      <c r="C412" s="105">
        <f t="shared" si="250"/>
        <v>2</v>
      </c>
      <c r="D412" s="106">
        <v>4</v>
      </c>
      <c r="E412" s="106">
        <v>1</v>
      </c>
      <c r="F412" s="105">
        <f t="shared" si="237"/>
        <v>28</v>
      </c>
      <c r="H412" s="103">
        <v>2</v>
      </c>
      <c r="I412" s="105">
        <f t="shared" si="251"/>
        <v>204</v>
      </c>
      <c r="J412" s="172">
        <v>28</v>
      </c>
      <c r="L412" s="172" t="s">
        <v>1115</v>
      </c>
      <c r="M412" s="172" t="s">
        <v>1136</v>
      </c>
      <c r="N412" s="103" t="s">
        <v>502</v>
      </c>
      <c r="O412" s="103" t="s">
        <v>1086</v>
      </c>
      <c r="P412" s="172">
        <v>0</v>
      </c>
      <c r="Q412" s="172">
        <v>12</v>
      </c>
      <c r="R412" s="103" t="s">
        <v>1031</v>
      </c>
      <c r="S412" s="103">
        <v>322040101</v>
      </c>
      <c r="T412" s="104" t="str">
        <f t="shared" si="238"/>
        <v>UITexture/TechProd/322040101.png</v>
      </c>
      <c r="U412" s="172" t="s">
        <v>1151</v>
      </c>
      <c r="V412" s="104">
        <f t="shared" si="252"/>
        <v>0</v>
      </c>
      <c r="Z412" s="172">
        <v>1</v>
      </c>
      <c r="AB412" s="102">
        <f ca="1">IFERROR(OFFSET(BLDG_FUNC_PARAM!$A$5,MATCH(AC412,BLDG_FUNC_PARAM!$J$5:$J$68,0)-1,0),0)</f>
        <v>122040001</v>
      </c>
      <c r="AC412" s="103" t="s">
        <v>969</v>
      </c>
      <c r="AD412" s="102">
        <v>530</v>
      </c>
      <c r="AN412" s="102">
        <v>0</v>
      </c>
      <c r="AO412" s="102">
        <v>0</v>
      </c>
      <c r="AT412" s="104">
        <f t="shared" si="253"/>
        <v>1680</v>
      </c>
      <c r="AW412" s="103">
        <v>28</v>
      </c>
      <c r="AY412" s="102">
        <v>2800</v>
      </c>
      <c r="AZ412" s="102">
        <v>280</v>
      </c>
      <c r="BA412" s="172">
        <v>0</v>
      </c>
      <c r="BC412" s="104">
        <f ca="1">IFERROR(OFFSET(ITEM_RES!$A$5,MATCH(BD412,ITEM_RES!$M$5:$M$84,0)-1,0),0)</f>
        <v>0</v>
      </c>
    </row>
    <row r="413" spans="1:73" x14ac:dyDescent="0.3">
      <c r="A413" s="107">
        <f t="shared" si="249"/>
        <v>322040129</v>
      </c>
      <c r="B413" s="106">
        <v>32</v>
      </c>
      <c r="C413" s="105">
        <f t="shared" si="250"/>
        <v>2</v>
      </c>
      <c r="D413" s="106">
        <v>4</v>
      </c>
      <c r="E413" s="106">
        <v>1</v>
      </c>
      <c r="F413" s="105">
        <f t="shared" si="237"/>
        <v>29</v>
      </c>
      <c r="H413" s="103">
        <v>2</v>
      </c>
      <c r="I413" s="105">
        <f t="shared" si="251"/>
        <v>204</v>
      </c>
      <c r="J413" s="172">
        <v>29</v>
      </c>
      <c r="L413" s="172" t="s">
        <v>1115</v>
      </c>
      <c r="M413" s="172" t="s">
        <v>1136</v>
      </c>
      <c r="N413" s="103" t="s">
        <v>502</v>
      </c>
      <c r="O413" s="103" t="s">
        <v>1086</v>
      </c>
      <c r="P413" s="172">
        <v>0</v>
      </c>
      <c r="Q413" s="172">
        <v>12</v>
      </c>
      <c r="R413" s="103" t="s">
        <v>1031</v>
      </c>
      <c r="S413" s="103">
        <v>322040101</v>
      </c>
      <c r="T413" s="104" t="str">
        <f t="shared" si="238"/>
        <v>UITexture/TechProd/322040101.png</v>
      </c>
      <c r="U413" s="172" t="s">
        <v>1151</v>
      </c>
      <c r="V413" s="104">
        <f t="shared" si="252"/>
        <v>0</v>
      </c>
      <c r="Z413" s="172">
        <v>1</v>
      </c>
      <c r="AB413" s="102">
        <f ca="1">IFERROR(OFFSET(BLDG_FUNC_PARAM!$A$5,MATCH(AC413,BLDG_FUNC_PARAM!$J$5:$J$68,0)-1,0),0)</f>
        <v>122040001</v>
      </c>
      <c r="AC413" s="103" t="s">
        <v>969</v>
      </c>
      <c r="AD413" s="102">
        <v>540</v>
      </c>
      <c r="AN413" s="102">
        <v>0</v>
      </c>
      <c r="AO413" s="102">
        <v>0</v>
      </c>
      <c r="AT413" s="104">
        <f t="shared" si="253"/>
        <v>1740</v>
      </c>
      <c r="AW413" s="103">
        <v>29</v>
      </c>
      <c r="AY413" s="102">
        <v>2900</v>
      </c>
      <c r="AZ413" s="102">
        <v>290</v>
      </c>
      <c r="BA413" s="172">
        <v>0</v>
      </c>
      <c r="BC413" s="104">
        <f ca="1">IFERROR(OFFSET(ITEM_RES!$A$5,MATCH(BD413,ITEM_RES!$M$5:$M$84,0)-1,0),0)</f>
        <v>0</v>
      </c>
    </row>
    <row r="414" spans="1:73" s="108" customFormat="1" ht="17.25" thickBot="1" x14ac:dyDescent="0.35">
      <c r="A414" s="114">
        <f t="shared" si="249"/>
        <v>322040130</v>
      </c>
      <c r="B414" s="113">
        <v>32</v>
      </c>
      <c r="C414" s="112">
        <f t="shared" si="250"/>
        <v>2</v>
      </c>
      <c r="D414" s="113">
        <v>4</v>
      </c>
      <c r="E414" s="113">
        <v>1</v>
      </c>
      <c r="F414" s="112">
        <f t="shared" si="237"/>
        <v>30</v>
      </c>
      <c r="G414" s="259"/>
      <c r="H414" s="110">
        <v>2</v>
      </c>
      <c r="I414" s="112">
        <f t="shared" si="251"/>
        <v>204</v>
      </c>
      <c r="J414" s="175">
        <v>30</v>
      </c>
      <c r="K414" s="259"/>
      <c r="L414" s="175" t="s">
        <v>1115</v>
      </c>
      <c r="M414" s="175" t="s">
        <v>1136</v>
      </c>
      <c r="N414" s="110" t="s">
        <v>502</v>
      </c>
      <c r="O414" s="110" t="s">
        <v>1086</v>
      </c>
      <c r="P414" s="175">
        <v>0</v>
      </c>
      <c r="Q414" s="175">
        <v>12</v>
      </c>
      <c r="R414" s="110" t="s">
        <v>1031</v>
      </c>
      <c r="S414" s="110">
        <v>322040101</v>
      </c>
      <c r="T414" s="111" t="str">
        <f t="shared" si="238"/>
        <v>UITexture/TechProd/322040101.png</v>
      </c>
      <c r="U414" s="175" t="s">
        <v>1151</v>
      </c>
      <c r="V414" s="111">
        <f t="shared" si="252"/>
        <v>0</v>
      </c>
      <c r="W414" s="110"/>
      <c r="X414" s="110"/>
      <c r="Y414" s="259"/>
      <c r="Z414" s="175">
        <v>1</v>
      </c>
      <c r="AA414" s="111"/>
      <c r="AB414" s="109">
        <f ca="1">IFERROR(OFFSET(BLDG_FUNC_PARAM!$A$5,MATCH(AC414,BLDG_FUNC_PARAM!$J$5:$J$68,0)-1,0),0)</f>
        <v>122040001</v>
      </c>
      <c r="AC414" s="110" t="s">
        <v>969</v>
      </c>
      <c r="AD414" s="109">
        <v>600</v>
      </c>
      <c r="AE414" s="111"/>
      <c r="AF414" s="109"/>
      <c r="AG414" s="110"/>
      <c r="AH414" s="109"/>
      <c r="AI414" s="111"/>
      <c r="AJ414" s="109"/>
      <c r="AK414" s="110"/>
      <c r="AL414" s="109"/>
      <c r="AM414" s="259"/>
      <c r="AN414" s="109">
        <v>30</v>
      </c>
      <c r="AO414" s="109">
        <v>0</v>
      </c>
      <c r="AP414" s="109"/>
      <c r="AQ414" s="109"/>
      <c r="AR414" s="109"/>
      <c r="AS414" s="259"/>
      <c r="AT414" s="111">
        <f t="shared" si="253"/>
        <v>1800</v>
      </c>
      <c r="AU414" s="110"/>
      <c r="AV414" s="110"/>
      <c r="AW414" s="110">
        <v>30</v>
      </c>
      <c r="AX414" s="110"/>
      <c r="AY414" s="109">
        <v>3000</v>
      </c>
      <c r="AZ414" s="109">
        <v>300</v>
      </c>
      <c r="BA414" s="175">
        <v>0</v>
      </c>
      <c r="BB414" s="111"/>
      <c r="BC414" s="111">
        <f ca="1">IFERROR(OFFSET(ITEM_RES!$A$5,MATCH(BD414,ITEM_RES!$M$5:$M$84,0)-1,0),0)</f>
        <v>0</v>
      </c>
      <c r="BD414" s="110"/>
      <c r="BE414" s="109"/>
      <c r="BF414" s="111"/>
      <c r="BG414" s="111"/>
      <c r="BH414" s="110"/>
      <c r="BI414" s="109"/>
      <c r="BJ414" s="111"/>
      <c r="BK414" s="111"/>
      <c r="BL414" s="110"/>
      <c r="BM414" s="109"/>
      <c r="BN414" s="111"/>
      <c r="BO414" s="111"/>
      <c r="BP414" s="110"/>
      <c r="BQ414" s="109"/>
      <c r="BR414" s="111"/>
      <c r="BS414" s="111"/>
      <c r="BT414" s="110"/>
      <c r="BU414" s="109"/>
    </row>
    <row r="415" spans="1:73" x14ac:dyDescent="0.3">
      <c r="A415" s="107">
        <f t="shared" si="179"/>
        <v>322050101</v>
      </c>
      <c r="B415" s="106">
        <v>32</v>
      </c>
      <c r="C415" s="105">
        <f t="shared" si="42"/>
        <v>2</v>
      </c>
      <c r="D415" s="106">
        <v>5</v>
      </c>
      <c r="E415" s="106">
        <v>1</v>
      </c>
      <c r="F415" s="105">
        <f t="shared" si="237"/>
        <v>1</v>
      </c>
      <c r="H415" s="103">
        <v>2</v>
      </c>
      <c r="I415" s="105">
        <f t="shared" si="5"/>
        <v>205</v>
      </c>
      <c r="J415" s="172">
        <v>1</v>
      </c>
      <c r="P415" s="172">
        <v>0</v>
      </c>
      <c r="Q415" s="172">
        <v>12</v>
      </c>
      <c r="R415" s="103" t="s">
        <v>1031</v>
      </c>
      <c r="S415" s="103">
        <v>322050101</v>
      </c>
      <c r="T415" s="104" t="str">
        <f t="shared" si="238"/>
        <v>UITexture/TechProd/322050101.png</v>
      </c>
      <c r="V415" s="104">
        <f t="shared" si="44"/>
        <v>0</v>
      </c>
      <c r="Z415" s="172">
        <v>0</v>
      </c>
      <c r="AB415" s="102">
        <f ca="1">IFERROR(OFFSET(BLDG_FUNC_PARAM!$A$5,MATCH(AC415,BLDG_FUNC_PARAM!$J$5:$J$68,0)-1,0),0)</f>
        <v>0</v>
      </c>
      <c r="AN415" s="102">
        <v>0</v>
      </c>
      <c r="AO415" s="102">
        <v>0</v>
      </c>
      <c r="AT415" s="104">
        <f t="shared" si="45"/>
        <v>3</v>
      </c>
      <c r="AX415" s="103">
        <v>3</v>
      </c>
      <c r="BA415" s="172">
        <v>0</v>
      </c>
      <c r="BC415" s="104">
        <f ca="1">IFERROR(OFFSET(ITEM_RES!$A$5,MATCH(BD415,ITEM_RES!$M$5:$M$84,0)-1,0),0)</f>
        <v>0</v>
      </c>
    </row>
    <row r="416" spans="1:73" x14ac:dyDescent="0.3">
      <c r="A416" s="107">
        <f t="shared" si="179"/>
        <v>322050102</v>
      </c>
      <c r="B416" s="106">
        <v>32</v>
      </c>
      <c r="C416" s="105">
        <f t="shared" si="42"/>
        <v>2</v>
      </c>
      <c r="D416" s="106">
        <v>5</v>
      </c>
      <c r="E416" s="106">
        <v>1</v>
      </c>
      <c r="F416" s="105">
        <f t="shared" si="237"/>
        <v>2</v>
      </c>
      <c r="H416" s="103">
        <v>2</v>
      </c>
      <c r="I416" s="105">
        <f t="shared" si="5"/>
        <v>205</v>
      </c>
      <c r="J416" s="172">
        <v>2</v>
      </c>
      <c r="P416" s="172">
        <v>0</v>
      </c>
      <c r="Q416" s="172">
        <v>12</v>
      </c>
      <c r="R416" s="103" t="s">
        <v>1031</v>
      </c>
      <c r="S416" s="103">
        <v>322050102</v>
      </c>
      <c r="T416" s="104" t="str">
        <f t="shared" si="238"/>
        <v>UITexture/TechProd/322050102.png</v>
      </c>
      <c r="V416" s="104">
        <f t="shared" si="44"/>
        <v>0</v>
      </c>
      <c r="Z416" s="172">
        <v>0</v>
      </c>
      <c r="AB416" s="102">
        <f ca="1">IFERROR(OFFSET(BLDG_FUNC_PARAM!$A$5,MATCH(AC416,BLDG_FUNC_PARAM!$J$5:$J$68,0)-1,0),0)</f>
        <v>0</v>
      </c>
      <c r="AN416" s="102">
        <v>0</v>
      </c>
      <c r="AO416" s="102">
        <v>0</v>
      </c>
      <c r="AT416" s="104">
        <f t="shared" si="45"/>
        <v>3</v>
      </c>
      <c r="AX416" s="103">
        <v>3</v>
      </c>
      <c r="BA416" s="172">
        <v>0</v>
      </c>
      <c r="BC416" s="104">
        <f ca="1">IFERROR(OFFSET(ITEM_RES!$A$5,MATCH(BD416,ITEM_RES!$M$5:$M$84,0)-1,0),0)</f>
        <v>0</v>
      </c>
    </row>
    <row r="417" spans="1:73" x14ac:dyDescent="0.3">
      <c r="A417" s="107">
        <f t="shared" si="179"/>
        <v>322050103</v>
      </c>
      <c r="B417" s="106">
        <v>32</v>
      </c>
      <c r="C417" s="105">
        <f t="shared" si="42"/>
        <v>2</v>
      </c>
      <c r="D417" s="106">
        <v>5</v>
      </c>
      <c r="E417" s="106">
        <v>1</v>
      </c>
      <c r="F417" s="105">
        <f t="shared" si="237"/>
        <v>3</v>
      </c>
      <c r="H417" s="103">
        <v>2</v>
      </c>
      <c r="I417" s="105">
        <f t="shared" si="5"/>
        <v>205</v>
      </c>
      <c r="J417" s="172">
        <v>3</v>
      </c>
      <c r="P417" s="172">
        <v>0</v>
      </c>
      <c r="Q417" s="172">
        <v>12</v>
      </c>
      <c r="R417" s="103" t="s">
        <v>1031</v>
      </c>
      <c r="S417" s="103">
        <v>322050103</v>
      </c>
      <c r="T417" s="104" t="str">
        <f t="shared" si="238"/>
        <v>UITexture/TechProd/322050103.png</v>
      </c>
      <c r="V417" s="104">
        <f t="shared" si="44"/>
        <v>0</v>
      </c>
      <c r="Z417" s="172">
        <v>0</v>
      </c>
      <c r="AB417" s="102">
        <f ca="1">IFERROR(OFFSET(BLDG_FUNC_PARAM!$A$5,MATCH(AC417,BLDG_FUNC_PARAM!$J$5:$J$68,0)-1,0),0)</f>
        <v>0</v>
      </c>
      <c r="AN417" s="102">
        <v>0</v>
      </c>
      <c r="AO417" s="102">
        <v>0</v>
      </c>
      <c r="AT417" s="104">
        <f t="shared" si="45"/>
        <v>3</v>
      </c>
      <c r="AX417" s="103">
        <v>3</v>
      </c>
      <c r="BA417" s="172">
        <v>0</v>
      </c>
      <c r="BC417" s="104">
        <f ca="1">IFERROR(OFFSET(ITEM_RES!$A$5,MATCH(BD417,ITEM_RES!$M$5:$M$84,0)-1,0),0)</f>
        <v>0</v>
      </c>
    </row>
    <row r="418" spans="1:73" x14ac:dyDescent="0.3">
      <c r="A418" s="107">
        <f t="shared" si="179"/>
        <v>322050104</v>
      </c>
      <c r="B418" s="106">
        <v>32</v>
      </c>
      <c r="C418" s="105">
        <f t="shared" si="42"/>
        <v>2</v>
      </c>
      <c r="D418" s="106">
        <v>5</v>
      </c>
      <c r="E418" s="106">
        <v>1</v>
      </c>
      <c r="F418" s="105">
        <f t="shared" si="237"/>
        <v>4</v>
      </c>
      <c r="H418" s="103">
        <v>2</v>
      </c>
      <c r="I418" s="105">
        <f t="shared" si="5"/>
        <v>205</v>
      </c>
      <c r="J418" s="172">
        <v>4</v>
      </c>
      <c r="P418" s="172">
        <v>0</v>
      </c>
      <c r="Q418" s="172">
        <v>12</v>
      </c>
      <c r="R418" s="103" t="s">
        <v>1031</v>
      </c>
      <c r="S418" s="103">
        <v>322050104</v>
      </c>
      <c r="T418" s="104" t="str">
        <f t="shared" si="238"/>
        <v>UITexture/TechProd/322050104.png</v>
      </c>
      <c r="V418" s="104">
        <f t="shared" si="44"/>
        <v>0</v>
      </c>
      <c r="Z418" s="172">
        <v>0</v>
      </c>
      <c r="AB418" s="102">
        <f ca="1">IFERROR(OFFSET(BLDG_FUNC_PARAM!$A$5,MATCH(AC418,BLDG_FUNC_PARAM!$J$5:$J$68,0)-1,0),0)</f>
        <v>0</v>
      </c>
      <c r="AN418" s="102">
        <v>0</v>
      </c>
      <c r="AO418" s="102">
        <v>0</v>
      </c>
      <c r="AT418" s="104">
        <f t="shared" si="45"/>
        <v>3</v>
      </c>
      <c r="AX418" s="103">
        <v>3</v>
      </c>
      <c r="BA418" s="172">
        <v>0</v>
      </c>
      <c r="BC418" s="104">
        <f ca="1">IFERROR(OFFSET(ITEM_RES!$A$5,MATCH(BD418,ITEM_RES!$M$5:$M$84,0)-1,0),0)</f>
        <v>0</v>
      </c>
    </row>
    <row r="419" spans="1:73" s="108" customFormat="1" ht="17.25" thickBot="1" x14ac:dyDescent="0.35">
      <c r="A419" s="114">
        <f t="shared" si="179"/>
        <v>322050105</v>
      </c>
      <c r="B419" s="113">
        <v>32</v>
      </c>
      <c r="C419" s="112">
        <f t="shared" si="42"/>
        <v>2</v>
      </c>
      <c r="D419" s="113">
        <v>5</v>
      </c>
      <c r="E419" s="113">
        <v>1</v>
      </c>
      <c r="F419" s="112">
        <f t="shared" si="237"/>
        <v>5</v>
      </c>
      <c r="G419" s="259"/>
      <c r="H419" s="110">
        <v>2</v>
      </c>
      <c r="I419" s="112">
        <f t="shared" si="5"/>
        <v>205</v>
      </c>
      <c r="J419" s="175">
        <v>5</v>
      </c>
      <c r="K419" s="259"/>
      <c r="L419" s="175"/>
      <c r="M419" s="175"/>
      <c r="N419" s="110"/>
      <c r="O419" s="110"/>
      <c r="P419" s="175">
        <v>0</v>
      </c>
      <c r="Q419" s="175">
        <v>12</v>
      </c>
      <c r="R419" s="110" t="s">
        <v>1031</v>
      </c>
      <c r="S419" s="110">
        <v>322050105</v>
      </c>
      <c r="T419" s="111" t="str">
        <f t="shared" si="238"/>
        <v>UITexture/TechProd/322050105.png</v>
      </c>
      <c r="U419" s="175"/>
      <c r="V419" s="111">
        <f t="shared" si="44"/>
        <v>0</v>
      </c>
      <c r="W419" s="110"/>
      <c r="X419" s="110"/>
      <c r="Y419" s="259"/>
      <c r="Z419" s="175">
        <v>0</v>
      </c>
      <c r="AA419" s="111"/>
      <c r="AB419" s="109">
        <f ca="1">IFERROR(OFFSET(BLDG_FUNC_PARAM!$A$5,MATCH(AC419,BLDG_FUNC_PARAM!$J$5:$J$68,0)-1,0),0)</f>
        <v>0</v>
      </c>
      <c r="AC419" s="110"/>
      <c r="AD419" s="109"/>
      <c r="AE419" s="111"/>
      <c r="AF419" s="109"/>
      <c r="AG419" s="110"/>
      <c r="AH419" s="109"/>
      <c r="AI419" s="111"/>
      <c r="AJ419" s="109"/>
      <c r="AK419" s="110"/>
      <c r="AL419" s="109"/>
      <c r="AM419" s="259"/>
      <c r="AN419" s="109">
        <v>0</v>
      </c>
      <c r="AO419" s="109">
        <v>0</v>
      </c>
      <c r="AP419" s="109"/>
      <c r="AQ419" s="109"/>
      <c r="AR419" s="109"/>
      <c r="AS419" s="259"/>
      <c r="AT419" s="111">
        <f t="shared" si="45"/>
        <v>3</v>
      </c>
      <c r="AU419" s="110"/>
      <c r="AV419" s="110"/>
      <c r="AW419" s="110"/>
      <c r="AX419" s="110">
        <v>3</v>
      </c>
      <c r="AY419" s="109"/>
      <c r="AZ419" s="109"/>
      <c r="BA419" s="175">
        <v>0</v>
      </c>
      <c r="BB419" s="111"/>
      <c r="BC419" s="111">
        <f ca="1">IFERROR(OFFSET(ITEM_RES!$A$5,MATCH(BD419,ITEM_RES!$M$5:$M$84,0)-1,0),0)</f>
        <v>0</v>
      </c>
      <c r="BD419" s="110"/>
      <c r="BE419" s="109"/>
      <c r="BF419" s="111"/>
      <c r="BG419" s="111"/>
      <c r="BH419" s="110"/>
      <c r="BI419" s="109"/>
      <c r="BJ419" s="111"/>
      <c r="BK419" s="111"/>
      <c r="BL419" s="110"/>
      <c r="BM419" s="109"/>
      <c r="BN419" s="111"/>
      <c r="BO419" s="111"/>
      <c r="BP419" s="110"/>
      <c r="BQ419" s="109"/>
      <c r="BR419" s="111"/>
      <c r="BS419" s="111"/>
      <c r="BT419" s="110"/>
      <c r="BU419" s="109"/>
    </row>
    <row r="420" spans="1:73" x14ac:dyDescent="0.3">
      <c r="A420" s="107">
        <f t="shared" si="179"/>
        <v>323010101</v>
      </c>
      <c r="B420" s="106">
        <v>32</v>
      </c>
      <c r="C420" s="105">
        <f t="shared" si="42"/>
        <v>3</v>
      </c>
      <c r="D420" s="106">
        <v>1</v>
      </c>
      <c r="E420" s="106">
        <v>1</v>
      </c>
      <c r="F420" s="105">
        <f t="shared" si="237"/>
        <v>1</v>
      </c>
      <c r="H420" s="103">
        <v>3</v>
      </c>
      <c r="I420" s="105">
        <f t="shared" si="5"/>
        <v>301</v>
      </c>
      <c r="J420" s="172">
        <v>1</v>
      </c>
      <c r="M420" s="172" t="s">
        <v>1137</v>
      </c>
      <c r="N420" s="103" t="s">
        <v>505</v>
      </c>
      <c r="O420" s="103" t="s">
        <v>505</v>
      </c>
      <c r="P420" s="172">
        <v>0</v>
      </c>
      <c r="Q420" s="172">
        <v>12</v>
      </c>
      <c r="R420" s="103" t="s">
        <v>1031</v>
      </c>
      <c r="S420" s="103">
        <v>323010101</v>
      </c>
      <c r="T420" s="104" t="str">
        <f t="shared" si="238"/>
        <v>UITexture/TechProd/323010101.png</v>
      </c>
      <c r="U420" s="172" t="s">
        <v>1152</v>
      </c>
      <c r="V420" s="104">
        <f t="shared" si="44"/>
        <v>0</v>
      </c>
      <c r="Z420" s="172">
        <v>0</v>
      </c>
      <c r="AB420" s="102">
        <f ca="1">IFERROR(OFFSET(BLDG_FUNC_PARAM!$A$5,MATCH(AC420,BLDG_FUNC_PARAM!$J$5:$J$68,0)-1,0),0)</f>
        <v>0</v>
      </c>
      <c r="AN420" s="102">
        <v>0</v>
      </c>
      <c r="AO420" s="102">
        <v>0</v>
      </c>
      <c r="AT420" s="104">
        <f t="shared" si="45"/>
        <v>3</v>
      </c>
      <c r="AX420" s="103">
        <v>3</v>
      </c>
      <c r="AY420" s="102">
        <v>100</v>
      </c>
      <c r="AZ420" s="102">
        <v>1</v>
      </c>
      <c r="BA420" s="172">
        <v>0</v>
      </c>
      <c r="BC420" s="104">
        <f ca="1">IFERROR(OFFSET(ITEM_RES!$A$5,MATCH(BD420,ITEM_RES!$M$5:$M$84,0)-1,0),0)</f>
        <v>0</v>
      </c>
    </row>
    <row r="421" spans="1:73" x14ac:dyDescent="0.3">
      <c r="A421" s="107">
        <f t="shared" si="179"/>
        <v>323010102</v>
      </c>
      <c r="B421" s="106">
        <v>32</v>
      </c>
      <c r="C421" s="105">
        <f t="shared" si="42"/>
        <v>3</v>
      </c>
      <c r="D421" s="106">
        <v>1</v>
      </c>
      <c r="E421" s="106">
        <v>1</v>
      </c>
      <c r="F421" s="105">
        <f t="shared" si="237"/>
        <v>2</v>
      </c>
      <c r="H421" s="103">
        <v>3</v>
      </c>
      <c r="I421" s="105">
        <f t="shared" si="5"/>
        <v>301</v>
      </c>
      <c r="J421" s="172">
        <v>2</v>
      </c>
      <c r="M421" s="172" t="s">
        <v>1137</v>
      </c>
      <c r="N421" s="103" t="s">
        <v>505</v>
      </c>
      <c r="O421" s="103" t="s">
        <v>505</v>
      </c>
      <c r="P421" s="172">
        <v>0</v>
      </c>
      <c r="Q421" s="172">
        <v>12</v>
      </c>
      <c r="R421" s="103" t="s">
        <v>1031</v>
      </c>
      <c r="S421" s="103">
        <v>323010102</v>
      </c>
      <c r="T421" s="104" t="str">
        <f t="shared" si="238"/>
        <v>UITexture/TechProd/323010102.png</v>
      </c>
      <c r="U421" s="172" t="s">
        <v>1152</v>
      </c>
      <c r="V421" s="104">
        <f t="shared" si="44"/>
        <v>0</v>
      </c>
      <c r="Z421" s="172">
        <v>0</v>
      </c>
      <c r="AB421" s="102">
        <f ca="1">IFERROR(OFFSET(BLDG_FUNC_PARAM!$A$5,MATCH(AC421,BLDG_FUNC_PARAM!$J$5:$J$68,0)-1,0),0)</f>
        <v>0</v>
      </c>
      <c r="AN421" s="102">
        <v>0</v>
      </c>
      <c r="AO421" s="102">
        <v>0</v>
      </c>
      <c r="AT421" s="104">
        <f t="shared" si="45"/>
        <v>3</v>
      </c>
      <c r="AX421" s="103">
        <v>3</v>
      </c>
      <c r="AY421" s="102">
        <v>100</v>
      </c>
      <c r="AZ421" s="102">
        <v>1</v>
      </c>
      <c r="BA421" s="172">
        <v>0</v>
      </c>
      <c r="BC421" s="104">
        <f ca="1">IFERROR(OFFSET(ITEM_RES!$A$5,MATCH(BD421,ITEM_RES!$M$5:$M$84,0)-1,0),0)</f>
        <v>0</v>
      </c>
    </row>
    <row r="422" spans="1:73" x14ac:dyDescent="0.3">
      <c r="A422" s="107">
        <f t="shared" si="179"/>
        <v>323010103</v>
      </c>
      <c r="B422" s="106">
        <v>32</v>
      </c>
      <c r="C422" s="105">
        <f t="shared" si="42"/>
        <v>3</v>
      </c>
      <c r="D422" s="106">
        <v>1</v>
      </c>
      <c r="E422" s="106">
        <v>1</v>
      </c>
      <c r="F422" s="105">
        <f t="shared" si="237"/>
        <v>3</v>
      </c>
      <c r="H422" s="103">
        <v>3</v>
      </c>
      <c r="I422" s="105">
        <f t="shared" si="5"/>
        <v>301</v>
      </c>
      <c r="J422" s="172">
        <v>3</v>
      </c>
      <c r="M422" s="172" t="s">
        <v>1137</v>
      </c>
      <c r="N422" s="103" t="s">
        <v>505</v>
      </c>
      <c r="O422" s="103" t="s">
        <v>505</v>
      </c>
      <c r="P422" s="172">
        <v>0</v>
      </c>
      <c r="Q422" s="172">
        <v>12</v>
      </c>
      <c r="R422" s="103" t="s">
        <v>1031</v>
      </c>
      <c r="S422" s="103">
        <v>323010103</v>
      </c>
      <c r="T422" s="104" t="str">
        <f t="shared" si="238"/>
        <v>UITexture/TechProd/323010103.png</v>
      </c>
      <c r="U422" s="172" t="s">
        <v>1152</v>
      </c>
      <c r="V422" s="104">
        <f t="shared" si="44"/>
        <v>0</v>
      </c>
      <c r="Z422" s="172">
        <v>0</v>
      </c>
      <c r="AB422" s="102">
        <f ca="1">IFERROR(OFFSET(BLDG_FUNC_PARAM!$A$5,MATCH(AC422,BLDG_FUNC_PARAM!$J$5:$J$68,0)-1,0),0)</f>
        <v>0</v>
      </c>
      <c r="AN422" s="102">
        <v>0</v>
      </c>
      <c r="AO422" s="102">
        <v>0</v>
      </c>
      <c r="AT422" s="104">
        <f t="shared" si="45"/>
        <v>3</v>
      </c>
      <c r="AX422" s="103">
        <v>3</v>
      </c>
      <c r="AY422" s="102">
        <v>100</v>
      </c>
      <c r="AZ422" s="102">
        <v>1</v>
      </c>
      <c r="BA422" s="172">
        <v>0</v>
      </c>
      <c r="BC422" s="104">
        <f ca="1">IFERROR(OFFSET(ITEM_RES!$A$5,MATCH(BD422,ITEM_RES!$M$5:$M$84,0)-1,0),0)</f>
        <v>0</v>
      </c>
    </row>
    <row r="423" spans="1:73" x14ac:dyDescent="0.3">
      <c r="A423" s="107">
        <f t="shared" si="179"/>
        <v>323010104</v>
      </c>
      <c r="B423" s="106">
        <v>32</v>
      </c>
      <c r="C423" s="105">
        <f t="shared" si="42"/>
        <v>3</v>
      </c>
      <c r="D423" s="106">
        <v>1</v>
      </c>
      <c r="E423" s="106">
        <v>1</v>
      </c>
      <c r="F423" s="105">
        <f t="shared" si="237"/>
        <v>4</v>
      </c>
      <c r="H423" s="103">
        <v>3</v>
      </c>
      <c r="I423" s="105">
        <f t="shared" si="5"/>
        <v>301</v>
      </c>
      <c r="J423" s="172">
        <v>4</v>
      </c>
      <c r="M423" s="172" t="s">
        <v>1137</v>
      </c>
      <c r="N423" s="103" t="s">
        <v>505</v>
      </c>
      <c r="O423" s="103" t="s">
        <v>505</v>
      </c>
      <c r="P423" s="172">
        <v>0</v>
      </c>
      <c r="Q423" s="172">
        <v>12</v>
      </c>
      <c r="R423" s="103" t="s">
        <v>1031</v>
      </c>
      <c r="S423" s="103">
        <v>323010104</v>
      </c>
      <c r="T423" s="104" t="str">
        <f t="shared" si="238"/>
        <v>UITexture/TechProd/323010104.png</v>
      </c>
      <c r="U423" s="172" t="s">
        <v>1152</v>
      </c>
      <c r="V423" s="104">
        <f t="shared" si="44"/>
        <v>0</v>
      </c>
      <c r="Z423" s="172">
        <v>0</v>
      </c>
      <c r="AB423" s="102">
        <f ca="1">IFERROR(OFFSET(BLDG_FUNC_PARAM!$A$5,MATCH(AC423,BLDG_FUNC_PARAM!$J$5:$J$68,0)-1,0),0)</f>
        <v>0</v>
      </c>
      <c r="AN423" s="102">
        <v>0</v>
      </c>
      <c r="AO423" s="102">
        <v>0</v>
      </c>
      <c r="AT423" s="104">
        <f t="shared" si="45"/>
        <v>3</v>
      </c>
      <c r="AX423" s="103">
        <v>3</v>
      </c>
      <c r="AY423" s="102">
        <v>100</v>
      </c>
      <c r="AZ423" s="102">
        <v>1</v>
      </c>
      <c r="BA423" s="172">
        <v>0</v>
      </c>
      <c r="BC423" s="104">
        <f ca="1">IFERROR(OFFSET(ITEM_RES!$A$5,MATCH(BD423,ITEM_RES!$M$5:$M$84,0)-1,0),0)</f>
        <v>0</v>
      </c>
    </row>
    <row r="424" spans="1:73" x14ac:dyDescent="0.3">
      <c r="A424" s="107">
        <f t="shared" si="179"/>
        <v>323010105</v>
      </c>
      <c r="B424" s="106">
        <v>32</v>
      </c>
      <c r="C424" s="105">
        <f t="shared" si="42"/>
        <v>3</v>
      </c>
      <c r="D424" s="106">
        <v>1</v>
      </c>
      <c r="E424" s="106">
        <v>1</v>
      </c>
      <c r="F424" s="105">
        <f t="shared" si="237"/>
        <v>5</v>
      </c>
      <c r="H424" s="103">
        <v>3</v>
      </c>
      <c r="I424" s="105">
        <f t="shared" si="5"/>
        <v>301</v>
      </c>
      <c r="J424" s="172">
        <v>5</v>
      </c>
      <c r="M424" s="172" t="s">
        <v>1137</v>
      </c>
      <c r="N424" s="103" t="s">
        <v>505</v>
      </c>
      <c r="O424" s="103" t="s">
        <v>505</v>
      </c>
      <c r="P424" s="172">
        <v>0</v>
      </c>
      <c r="Q424" s="172">
        <v>12</v>
      </c>
      <c r="R424" s="103" t="s">
        <v>1031</v>
      </c>
      <c r="S424" s="103">
        <v>323010105</v>
      </c>
      <c r="T424" s="104" t="str">
        <f t="shared" si="238"/>
        <v>UITexture/TechProd/323010105.png</v>
      </c>
      <c r="U424" s="172" t="s">
        <v>1152</v>
      </c>
      <c r="V424" s="104">
        <f t="shared" si="44"/>
        <v>0</v>
      </c>
      <c r="Z424" s="172">
        <v>0</v>
      </c>
      <c r="AB424" s="102">
        <f ca="1">IFERROR(OFFSET(BLDG_FUNC_PARAM!$A$5,MATCH(AC424,BLDG_FUNC_PARAM!$J$5:$J$68,0)-1,0),0)</f>
        <v>0</v>
      </c>
      <c r="AN424" s="102">
        <v>0</v>
      </c>
      <c r="AO424" s="102">
        <v>0</v>
      </c>
      <c r="AT424" s="104">
        <f t="shared" si="45"/>
        <v>3</v>
      </c>
      <c r="AX424" s="103">
        <v>3</v>
      </c>
      <c r="AY424" s="102">
        <v>100</v>
      </c>
      <c r="AZ424" s="102">
        <v>1</v>
      </c>
      <c r="BA424" s="172">
        <v>0</v>
      </c>
      <c r="BC424" s="104">
        <f ca="1">IFERROR(OFFSET(ITEM_RES!$A$5,MATCH(BD424,ITEM_RES!$M$5:$M$84,0)-1,0),0)</f>
        <v>0</v>
      </c>
    </row>
    <row r="425" spans="1:73" x14ac:dyDescent="0.3">
      <c r="A425" s="107">
        <f t="shared" si="179"/>
        <v>323020101</v>
      </c>
      <c r="B425" s="106">
        <v>32</v>
      </c>
      <c r="C425" s="105">
        <f t="shared" si="42"/>
        <v>3</v>
      </c>
      <c r="D425" s="106">
        <v>2</v>
      </c>
      <c r="E425" s="106">
        <v>1</v>
      </c>
      <c r="F425" s="105">
        <f t="shared" si="237"/>
        <v>1</v>
      </c>
      <c r="H425" s="103">
        <v>3</v>
      </c>
      <c r="I425" s="105">
        <f t="shared" si="5"/>
        <v>302</v>
      </c>
      <c r="J425" s="172">
        <v>1</v>
      </c>
      <c r="P425" s="172">
        <v>0</v>
      </c>
      <c r="Q425" s="172">
        <v>12</v>
      </c>
      <c r="R425" s="103" t="s">
        <v>1031</v>
      </c>
      <c r="S425" s="103">
        <v>323020101</v>
      </c>
      <c r="T425" s="104" t="str">
        <f t="shared" si="238"/>
        <v>UITexture/TechProd/323020101.png</v>
      </c>
      <c r="V425" s="104">
        <f t="shared" si="44"/>
        <v>0</v>
      </c>
      <c r="Z425" s="172">
        <v>0</v>
      </c>
      <c r="AB425" s="102">
        <f ca="1">IFERROR(OFFSET(BLDG_FUNC_PARAM!$A$5,MATCH(AC425,BLDG_FUNC_PARAM!$J$5:$J$68,0)-1,0),0)</f>
        <v>0</v>
      </c>
      <c r="AN425" s="102">
        <v>0</v>
      </c>
      <c r="AO425" s="102">
        <v>0</v>
      </c>
      <c r="AT425" s="104">
        <f t="shared" si="45"/>
        <v>3</v>
      </c>
      <c r="AX425" s="103">
        <v>3</v>
      </c>
      <c r="BA425" s="172">
        <v>0</v>
      </c>
      <c r="BC425" s="104">
        <f ca="1">IFERROR(OFFSET(ITEM_RES!$A$5,MATCH(BD425,ITEM_RES!$M$5:$M$84,0)-1,0),0)</f>
        <v>0</v>
      </c>
    </row>
    <row r="426" spans="1:73" x14ac:dyDescent="0.3">
      <c r="A426" s="107">
        <f t="shared" ref="A426:A429" si="254">B426*10000000+C426*1000000+D426*10000+E426*100+F426</f>
        <v>323020102</v>
      </c>
      <c r="B426" s="106">
        <v>32</v>
      </c>
      <c r="C426" s="105">
        <f t="shared" si="42"/>
        <v>3</v>
      </c>
      <c r="D426" s="106">
        <v>2</v>
      </c>
      <c r="E426" s="106">
        <v>1</v>
      </c>
      <c r="F426" s="105">
        <f t="shared" si="237"/>
        <v>2</v>
      </c>
      <c r="H426" s="103">
        <v>3</v>
      </c>
      <c r="I426" s="105">
        <f t="shared" si="5"/>
        <v>302</v>
      </c>
      <c r="J426" s="172">
        <v>2</v>
      </c>
      <c r="P426" s="172">
        <v>0</v>
      </c>
      <c r="Q426" s="172">
        <v>12</v>
      </c>
      <c r="R426" s="103" t="s">
        <v>1031</v>
      </c>
      <c r="S426" s="103">
        <v>323020102</v>
      </c>
      <c r="T426" s="104" t="str">
        <f t="shared" si="238"/>
        <v>UITexture/TechProd/323020102.png</v>
      </c>
      <c r="V426" s="104">
        <f t="shared" si="44"/>
        <v>0</v>
      </c>
      <c r="Z426" s="172">
        <v>0</v>
      </c>
      <c r="AB426" s="102">
        <f ca="1">IFERROR(OFFSET(BLDG_FUNC_PARAM!$A$5,MATCH(AC426,BLDG_FUNC_PARAM!$J$5:$J$68,0)-1,0),0)</f>
        <v>0</v>
      </c>
      <c r="AN426" s="102">
        <v>0</v>
      </c>
      <c r="AO426" s="102">
        <v>0</v>
      </c>
      <c r="AT426" s="104">
        <f t="shared" si="45"/>
        <v>3</v>
      </c>
      <c r="AX426" s="103">
        <v>3</v>
      </c>
      <c r="BA426" s="172">
        <v>0</v>
      </c>
      <c r="BC426" s="104">
        <f ca="1">IFERROR(OFFSET(ITEM_RES!$A$5,MATCH(BD426,ITEM_RES!$M$5:$M$84,0)-1,0),0)</f>
        <v>0</v>
      </c>
    </row>
    <row r="427" spans="1:73" x14ac:dyDescent="0.3">
      <c r="A427" s="107">
        <f t="shared" si="254"/>
        <v>323020103</v>
      </c>
      <c r="B427" s="106">
        <v>32</v>
      </c>
      <c r="C427" s="105">
        <f t="shared" si="42"/>
        <v>3</v>
      </c>
      <c r="D427" s="106">
        <v>2</v>
      </c>
      <c r="E427" s="106">
        <v>1</v>
      </c>
      <c r="F427" s="105">
        <f t="shared" si="237"/>
        <v>3</v>
      </c>
      <c r="H427" s="103">
        <v>3</v>
      </c>
      <c r="I427" s="105">
        <f t="shared" si="5"/>
        <v>302</v>
      </c>
      <c r="J427" s="172">
        <v>3</v>
      </c>
      <c r="P427" s="172">
        <v>0</v>
      </c>
      <c r="Q427" s="172">
        <v>12</v>
      </c>
      <c r="R427" s="103" t="s">
        <v>1031</v>
      </c>
      <c r="S427" s="103">
        <v>323020103</v>
      </c>
      <c r="T427" s="104" t="str">
        <f t="shared" si="238"/>
        <v>UITexture/TechProd/323020103.png</v>
      </c>
      <c r="V427" s="104">
        <f t="shared" si="44"/>
        <v>0</v>
      </c>
      <c r="Z427" s="172">
        <v>0</v>
      </c>
      <c r="AB427" s="102">
        <f ca="1">IFERROR(OFFSET(BLDG_FUNC_PARAM!$A$5,MATCH(AC427,BLDG_FUNC_PARAM!$J$5:$J$68,0)-1,0),0)</f>
        <v>0</v>
      </c>
      <c r="AN427" s="102">
        <v>0</v>
      </c>
      <c r="AO427" s="102">
        <v>0</v>
      </c>
      <c r="AT427" s="104">
        <f t="shared" si="45"/>
        <v>3</v>
      </c>
      <c r="AX427" s="103">
        <v>3</v>
      </c>
      <c r="BA427" s="172">
        <v>0</v>
      </c>
      <c r="BC427" s="104">
        <f ca="1">IFERROR(OFFSET(ITEM_RES!$A$5,MATCH(BD427,ITEM_RES!$M$5:$M$84,0)-1,0),0)</f>
        <v>0</v>
      </c>
    </row>
    <row r="428" spans="1:73" x14ac:dyDescent="0.3">
      <c r="A428" s="107">
        <f t="shared" si="254"/>
        <v>323020104</v>
      </c>
      <c r="B428" s="106">
        <v>32</v>
      </c>
      <c r="C428" s="105">
        <f t="shared" si="42"/>
        <v>3</v>
      </c>
      <c r="D428" s="106">
        <v>2</v>
      </c>
      <c r="E428" s="106">
        <v>1</v>
      </c>
      <c r="F428" s="105">
        <f t="shared" si="237"/>
        <v>4</v>
      </c>
      <c r="H428" s="103">
        <v>3</v>
      </c>
      <c r="I428" s="105">
        <f t="shared" si="5"/>
        <v>302</v>
      </c>
      <c r="J428" s="172">
        <v>4</v>
      </c>
      <c r="P428" s="172">
        <v>0</v>
      </c>
      <c r="Q428" s="172">
        <v>12</v>
      </c>
      <c r="R428" s="103" t="s">
        <v>1031</v>
      </c>
      <c r="S428" s="103">
        <v>323020104</v>
      </c>
      <c r="T428" s="104" t="str">
        <f t="shared" si="238"/>
        <v>UITexture/TechProd/323020104.png</v>
      </c>
      <c r="V428" s="104">
        <f t="shared" si="44"/>
        <v>0</v>
      </c>
      <c r="Z428" s="172">
        <v>0</v>
      </c>
      <c r="AB428" s="102">
        <f ca="1">IFERROR(OFFSET(BLDG_FUNC_PARAM!$A$5,MATCH(AC428,BLDG_FUNC_PARAM!$J$5:$J$68,0)-1,0),0)</f>
        <v>0</v>
      </c>
      <c r="AN428" s="102">
        <v>0</v>
      </c>
      <c r="AO428" s="102">
        <v>0</v>
      </c>
      <c r="AT428" s="104">
        <f t="shared" si="45"/>
        <v>3</v>
      </c>
      <c r="AX428" s="103">
        <v>3</v>
      </c>
      <c r="BA428" s="172">
        <v>0</v>
      </c>
      <c r="BC428" s="104">
        <f ca="1">IFERROR(OFFSET(ITEM_RES!$A$5,MATCH(BD428,ITEM_RES!$M$5:$M$84,0)-1,0),0)</f>
        <v>0</v>
      </c>
    </row>
    <row r="429" spans="1:73" s="108" customFormat="1" ht="17.25" thickBot="1" x14ac:dyDescent="0.35">
      <c r="A429" s="114">
        <f t="shared" si="254"/>
        <v>323020105</v>
      </c>
      <c r="B429" s="113">
        <v>32</v>
      </c>
      <c r="C429" s="112">
        <f t="shared" si="42"/>
        <v>3</v>
      </c>
      <c r="D429" s="113">
        <v>2</v>
      </c>
      <c r="E429" s="113">
        <v>1</v>
      </c>
      <c r="F429" s="112">
        <f t="shared" si="237"/>
        <v>5</v>
      </c>
      <c r="G429" s="259"/>
      <c r="H429" s="110">
        <v>3</v>
      </c>
      <c r="I429" s="112">
        <f t="shared" si="5"/>
        <v>302</v>
      </c>
      <c r="J429" s="175">
        <v>5</v>
      </c>
      <c r="K429" s="259"/>
      <c r="L429" s="175"/>
      <c r="M429" s="175"/>
      <c r="N429" s="110"/>
      <c r="O429" s="110"/>
      <c r="P429" s="175">
        <v>0</v>
      </c>
      <c r="Q429" s="175">
        <v>12</v>
      </c>
      <c r="R429" s="110" t="s">
        <v>1031</v>
      </c>
      <c r="S429" s="110">
        <v>323020105</v>
      </c>
      <c r="T429" s="111" t="str">
        <f t="shared" ref="T429" si="255">CONCATENATE(R429,S429,".png")</f>
        <v>UITexture/TechProd/323020105.png</v>
      </c>
      <c r="U429" s="175"/>
      <c r="V429" s="111">
        <f t="shared" si="44"/>
        <v>0</v>
      </c>
      <c r="W429" s="110"/>
      <c r="X429" s="110"/>
      <c r="Y429" s="259"/>
      <c r="Z429" s="175">
        <v>0</v>
      </c>
      <c r="AA429" s="111"/>
      <c r="AB429" s="109">
        <f ca="1">IFERROR(OFFSET(BLDG_FUNC_PARAM!$A$5,MATCH(AC429,BLDG_FUNC_PARAM!$J$5:$J$68,0)-1,0),0)</f>
        <v>0</v>
      </c>
      <c r="AC429" s="110"/>
      <c r="AD429" s="109"/>
      <c r="AE429" s="111"/>
      <c r="AF429" s="109"/>
      <c r="AG429" s="110"/>
      <c r="AH429" s="109"/>
      <c r="AI429" s="111"/>
      <c r="AJ429" s="109"/>
      <c r="AK429" s="110"/>
      <c r="AL429" s="109"/>
      <c r="AM429" s="259"/>
      <c r="AN429" s="109">
        <v>0</v>
      </c>
      <c r="AO429" s="109">
        <v>0</v>
      </c>
      <c r="AP429" s="109"/>
      <c r="AQ429" s="109"/>
      <c r="AR429" s="109"/>
      <c r="AS429" s="259"/>
      <c r="AT429" s="111">
        <f t="shared" si="45"/>
        <v>3</v>
      </c>
      <c r="AU429" s="110"/>
      <c r="AV429" s="110"/>
      <c r="AW429" s="110"/>
      <c r="AX429" s="110">
        <v>3</v>
      </c>
      <c r="AY429" s="109"/>
      <c r="AZ429" s="109"/>
      <c r="BA429" s="175">
        <v>0</v>
      </c>
      <c r="BB429" s="111"/>
      <c r="BC429" s="111">
        <f ca="1">IFERROR(OFFSET(ITEM_RES!$A$5,MATCH(BD429,ITEM_RES!$M$5:$M$84,0)-1,0),0)</f>
        <v>0</v>
      </c>
      <c r="BD429" s="110"/>
      <c r="BE429" s="109"/>
      <c r="BF429" s="111"/>
      <c r="BG429" s="111"/>
      <c r="BH429" s="110"/>
      <c r="BI429" s="109"/>
      <c r="BJ429" s="111"/>
      <c r="BK429" s="111"/>
      <c r="BL429" s="110"/>
      <c r="BM429" s="109"/>
      <c r="BN429" s="111"/>
      <c r="BO429" s="111"/>
      <c r="BP429" s="110"/>
      <c r="BQ429" s="109"/>
      <c r="BR429" s="111"/>
      <c r="BS429" s="111"/>
      <c r="BT429" s="110"/>
      <c r="BU429" s="109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H304"/>
  <sheetViews>
    <sheetView zoomScaleNormal="100" workbookViewId="0">
      <selection activeCell="BC245" sqref="BC245:BC274"/>
    </sheetView>
  </sheetViews>
  <sheetFormatPr defaultColWidth="9.125" defaultRowHeight="16.5" x14ac:dyDescent="0.3"/>
  <cols>
    <col min="1" max="1" width="12.875" style="107" bestFit="1" customWidth="1"/>
    <col min="2" max="2" width="3.875" style="106" customWidth="1"/>
    <col min="3" max="3" width="3.375" style="105" bestFit="1" customWidth="1"/>
    <col min="4" max="5" width="2.625" style="106" bestFit="1" customWidth="1"/>
    <col min="6" max="6" width="3.875" style="105" bestFit="1" customWidth="1"/>
    <col min="7" max="7" width="5.625" style="253" bestFit="1" customWidth="1"/>
    <col min="8" max="8" width="19.875" style="102" bestFit="1" customWidth="1"/>
    <col min="9" max="9" width="10" style="102" bestFit="1" customWidth="1"/>
    <col min="10" max="10" width="5.625" style="253" bestFit="1" customWidth="1"/>
    <col min="11" max="11" width="20.25" style="102" bestFit="1" customWidth="1"/>
    <col min="12" max="12" width="12.875" style="102" bestFit="1" customWidth="1"/>
    <col min="13" max="13" width="9.875" style="103" bestFit="1" customWidth="1"/>
    <col min="14" max="14" width="10" style="102" bestFit="1" customWidth="1"/>
    <col min="15" max="15" width="14.875" style="102" bestFit="1" customWidth="1"/>
    <col min="16" max="16" width="22.125" style="102" bestFit="1" customWidth="1"/>
    <col min="17" max="17" width="18.125" style="103" bestFit="1" customWidth="1"/>
    <col min="18" max="18" width="14.25" style="103" bestFit="1" customWidth="1"/>
    <col min="19" max="19" width="35" style="104" bestFit="1" customWidth="1"/>
    <col min="20" max="20" width="10" style="102" bestFit="1" customWidth="1"/>
    <col min="21" max="21" width="10" style="102" customWidth="1"/>
    <col min="22" max="22" width="16.625" style="102" bestFit="1" customWidth="1"/>
    <col min="23" max="23" width="19.375" style="102" bestFit="1" customWidth="1"/>
    <col min="24" max="24" width="5.625" style="253" bestFit="1" customWidth="1"/>
    <col min="25" max="25" width="31.125" style="104" bestFit="1" customWidth="1"/>
    <col min="26" max="26" width="10" style="102" bestFit="1" customWidth="1"/>
    <col min="27" max="27" width="12.75" style="102" bestFit="1" customWidth="1"/>
    <col min="28" max="28" width="12.75" style="102" customWidth="1"/>
    <col min="29" max="29" width="15.625" style="102" bestFit="1" customWidth="1"/>
    <col min="30" max="30" width="27.25" style="102" bestFit="1" customWidth="1"/>
    <col min="31" max="31" width="21.125" style="102" bestFit="1" customWidth="1"/>
    <col min="32" max="32" width="5.625" style="253" bestFit="1" customWidth="1"/>
    <col min="33" max="33" width="11.375" style="104" bestFit="1" customWidth="1"/>
    <col min="34" max="34" width="15.625" style="103" bestFit="1" customWidth="1"/>
    <col min="35" max="35" width="12" style="172" bestFit="1" customWidth="1"/>
    <col min="36" max="36" width="17.125" style="104" bestFit="1" customWidth="1"/>
    <col min="37" max="37" width="12.875" style="104" bestFit="1" customWidth="1"/>
    <col min="38" max="38" width="10.25" style="103" bestFit="1" customWidth="1"/>
    <col min="39" max="39" width="16.375" style="104" bestFit="1" customWidth="1"/>
    <col min="40" max="40" width="15.625" style="103" bestFit="1" customWidth="1"/>
    <col min="41" max="41" width="17.125" style="104" bestFit="1" customWidth="1"/>
    <col min="42" max="42" width="12.875" style="104" bestFit="1" customWidth="1"/>
    <col min="43" max="43" width="10.25" style="103" bestFit="1" customWidth="1"/>
    <col min="44" max="44" width="16.375" style="104" bestFit="1" customWidth="1"/>
    <col min="45" max="45" width="15.625" style="103" bestFit="1" customWidth="1"/>
    <col min="46" max="46" width="17.125" style="104" bestFit="1" customWidth="1"/>
    <col min="47" max="47" width="12.875" style="104" bestFit="1" customWidth="1"/>
    <col min="48" max="48" width="10.25" style="103" bestFit="1" customWidth="1"/>
    <col min="49" max="49" width="16.375" style="104" bestFit="1" customWidth="1"/>
    <col min="50" max="50" width="15.625" style="103" bestFit="1" customWidth="1"/>
    <col min="51" max="51" width="17.125" style="104" bestFit="1" customWidth="1"/>
    <col min="52" max="52" width="12.875" style="104" bestFit="1" customWidth="1"/>
    <col min="53" max="53" width="10.25" style="103" bestFit="1" customWidth="1"/>
    <col min="54" max="54" width="16.375" style="104" bestFit="1" customWidth="1"/>
    <col min="55" max="55" width="15.625" style="103" bestFit="1" customWidth="1"/>
    <col min="56" max="56" width="17.125" style="104" bestFit="1" customWidth="1"/>
    <col min="57" max="57" width="10" style="104" bestFit="1" customWidth="1"/>
    <col min="58" max="58" width="9.875" style="103" bestFit="1" customWidth="1"/>
    <col min="59" max="59" width="16.375" style="104" bestFit="1" customWidth="1"/>
    <col min="60" max="60" width="9.875" style="103" bestFit="1" customWidth="1"/>
    <col min="61" max="16384" width="9.125" style="101"/>
  </cols>
  <sheetData>
    <row r="1" spans="1:60" x14ac:dyDescent="0.3">
      <c r="A1" s="107" t="s">
        <v>59</v>
      </c>
      <c r="H1" s="102" t="s">
        <v>60</v>
      </c>
      <c r="I1" s="102" t="s">
        <v>60</v>
      </c>
      <c r="K1" s="102" t="s">
        <v>60</v>
      </c>
      <c r="L1" s="102" t="s">
        <v>60</v>
      </c>
      <c r="N1" s="102" t="s">
        <v>60</v>
      </c>
      <c r="O1" s="102" t="s">
        <v>60</v>
      </c>
      <c r="P1" s="102" t="s">
        <v>60</v>
      </c>
      <c r="Q1" s="84"/>
      <c r="R1" s="84"/>
      <c r="S1" s="137" t="s">
        <v>60</v>
      </c>
      <c r="T1" s="102" t="s">
        <v>60</v>
      </c>
      <c r="U1" s="102" t="s">
        <v>60</v>
      </c>
      <c r="V1" s="102" t="s">
        <v>60</v>
      </c>
      <c r="W1" s="102" t="s">
        <v>60</v>
      </c>
      <c r="Y1" s="104" t="s">
        <v>60</v>
      </c>
      <c r="Z1" s="102" t="s">
        <v>60</v>
      </c>
      <c r="AA1" s="102" t="s">
        <v>60</v>
      </c>
      <c r="AB1" s="102" t="s">
        <v>60</v>
      </c>
      <c r="AC1" s="102" t="s">
        <v>60</v>
      </c>
      <c r="AD1" s="102" t="s">
        <v>60</v>
      </c>
      <c r="AE1" s="102" t="s">
        <v>60</v>
      </c>
      <c r="AG1" s="136" t="s">
        <v>60</v>
      </c>
      <c r="AH1" s="135"/>
      <c r="AI1" s="183" t="s">
        <v>112</v>
      </c>
      <c r="AJ1" s="136" t="s">
        <v>404</v>
      </c>
      <c r="AK1" s="136" t="s">
        <v>60</v>
      </c>
      <c r="AL1" s="135"/>
      <c r="AM1" s="136" t="s">
        <v>60</v>
      </c>
      <c r="AN1" s="135"/>
      <c r="AO1" s="136" t="s">
        <v>404</v>
      </c>
      <c r="AP1" s="136" t="s">
        <v>60</v>
      </c>
      <c r="AQ1" s="135"/>
      <c r="AR1" s="136" t="s">
        <v>60</v>
      </c>
      <c r="AS1" s="135"/>
      <c r="AT1" s="136" t="s">
        <v>404</v>
      </c>
      <c r="AU1" s="136" t="s">
        <v>60</v>
      </c>
      <c r="AV1" s="135"/>
      <c r="AW1" s="136" t="s">
        <v>60</v>
      </c>
      <c r="AX1" s="135"/>
      <c r="AY1" s="136" t="s">
        <v>404</v>
      </c>
      <c r="AZ1" s="136" t="s">
        <v>60</v>
      </c>
      <c r="BA1" s="135"/>
      <c r="BB1" s="136" t="s">
        <v>60</v>
      </c>
      <c r="BC1" s="135"/>
      <c r="BD1" s="136" t="s">
        <v>404</v>
      </c>
      <c r="BE1" s="136" t="s">
        <v>60</v>
      </c>
      <c r="BF1" s="135"/>
      <c r="BG1" s="136" t="s">
        <v>60</v>
      </c>
      <c r="BH1" s="135"/>
    </row>
    <row r="2" spans="1:60" x14ac:dyDescent="0.3">
      <c r="A2" s="107" t="s">
        <v>61</v>
      </c>
      <c r="H2" s="102" t="s">
        <v>61</v>
      </c>
      <c r="I2" s="102" t="s">
        <v>61</v>
      </c>
      <c r="K2" s="102" t="s">
        <v>62</v>
      </c>
      <c r="L2" s="102" t="s">
        <v>62</v>
      </c>
      <c r="N2" s="102" t="s">
        <v>61</v>
      </c>
      <c r="O2" s="102" t="s">
        <v>61</v>
      </c>
      <c r="P2" s="102" t="s">
        <v>62</v>
      </c>
      <c r="Q2" s="84"/>
      <c r="R2" s="84"/>
      <c r="S2" s="137" t="s">
        <v>62</v>
      </c>
      <c r="T2" s="102" t="s">
        <v>62</v>
      </c>
      <c r="U2" s="102" t="s">
        <v>61</v>
      </c>
      <c r="V2" s="102" t="s">
        <v>61</v>
      </c>
      <c r="W2" s="102" t="s">
        <v>61</v>
      </c>
      <c r="Y2" s="104" t="s">
        <v>61</v>
      </c>
      <c r="Z2" s="102" t="s">
        <v>61</v>
      </c>
      <c r="AA2" s="102" t="s">
        <v>61</v>
      </c>
      <c r="AB2" s="102" t="s">
        <v>61</v>
      </c>
      <c r="AC2" s="102" t="s">
        <v>61</v>
      </c>
      <c r="AD2" s="102" t="s">
        <v>62</v>
      </c>
      <c r="AE2" s="102" t="s">
        <v>61</v>
      </c>
      <c r="AG2" s="133" t="s">
        <v>61</v>
      </c>
      <c r="AH2" s="132"/>
      <c r="AI2" s="184">
        <v>5</v>
      </c>
      <c r="AJ2" s="133">
        <v>4</v>
      </c>
      <c r="AK2" s="133" t="s">
        <v>61</v>
      </c>
      <c r="AL2" s="132"/>
      <c r="AM2" s="133" t="s">
        <v>61</v>
      </c>
      <c r="AN2" s="132"/>
      <c r="AO2" s="133">
        <v>4</v>
      </c>
      <c r="AP2" s="133" t="s">
        <v>61</v>
      </c>
      <c r="AQ2" s="132"/>
      <c r="AR2" s="133" t="s">
        <v>61</v>
      </c>
      <c r="AS2" s="132"/>
      <c r="AT2" s="133">
        <v>4</v>
      </c>
      <c r="AU2" s="133" t="s">
        <v>61</v>
      </c>
      <c r="AV2" s="132"/>
      <c r="AW2" s="133" t="s">
        <v>61</v>
      </c>
      <c r="AX2" s="132"/>
      <c r="AY2" s="133">
        <v>4</v>
      </c>
      <c r="AZ2" s="133" t="s">
        <v>61</v>
      </c>
      <c r="BA2" s="132"/>
      <c r="BB2" s="133" t="s">
        <v>61</v>
      </c>
      <c r="BC2" s="132"/>
      <c r="BD2" s="133">
        <v>4</v>
      </c>
      <c r="BE2" s="133" t="s">
        <v>61</v>
      </c>
      <c r="BF2" s="132"/>
      <c r="BG2" s="133" t="s">
        <v>61</v>
      </c>
      <c r="BH2" s="132"/>
    </row>
    <row r="3" spans="1:60" x14ac:dyDescent="0.3">
      <c r="A3" s="107" t="s">
        <v>360</v>
      </c>
      <c r="H3" s="102" t="s">
        <v>403</v>
      </c>
      <c r="I3" s="102" t="s">
        <v>401</v>
      </c>
      <c r="K3" s="102" t="s">
        <v>976</v>
      </c>
      <c r="L3" s="102" t="s">
        <v>402</v>
      </c>
      <c r="N3" s="102" t="s">
        <v>552</v>
      </c>
      <c r="O3" s="102" t="s">
        <v>511</v>
      </c>
      <c r="P3" s="102" t="s">
        <v>399</v>
      </c>
      <c r="Q3" s="84"/>
      <c r="R3" s="84"/>
      <c r="S3" s="137" t="s">
        <v>512</v>
      </c>
      <c r="T3" s="102" t="s">
        <v>514</v>
      </c>
      <c r="U3" s="102" t="s">
        <v>746</v>
      </c>
      <c r="V3" s="102" t="s">
        <v>462</v>
      </c>
      <c r="W3" s="102" t="s">
        <v>1162</v>
      </c>
      <c r="Y3" s="104" t="s">
        <v>441</v>
      </c>
      <c r="Z3" s="102" t="s">
        <v>500</v>
      </c>
      <c r="AA3" s="102" t="s">
        <v>519</v>
      </c>
      <c r="AB3" s="102" t="s">
        <v>526</v>
      </c>
      <c r="AC3" s="102" t="s">
        <v>498</v>
      </c>
      <c r="AD3" s="102" t="s">
        <v>536</v>
      </c>
      <c r="AE3" s="102" t="s">
        <v>551</v>
      </c>
      <c r="AG3" s="133" t="s">
        <v>398</v>
      </c>
      <c r="AH3" s="132"/>
      <c r="AI3" s="184" t="s">
        <v>409</v>
      </c>
      <c r="AJ3" s="133" t="s">
        <v>410</v>
      </c>
      <c r="AK3" s="133" t="s">
        <v>397</v>
      </c>
      <c r="AL3" s="132"/>
      <c r="AM3" s="133" t="s">
        <v>396</v>
      </c>
      <c r="AN3" s="132"/>
      <c r="AO3" s="133" t="s">
        <v>410</v>
      </c>
      <c r="AP3" s="133" t="s">
        <v>397</v>
      </c>
      <c r="AQ3" s="132"/>
      <c r="AR3" s="133" t="s">
        <v>396</v>
      </c>
      <c r="AS3" s="132"/>
      <c r="AT3" s="133" t="s">
        <v>410</v>
      </c>
      <c r="AU3" s="133" t="s">
        <v>397</v>
      </c>
      <c r="AV3" s="132"/>
      <c r="AW3" s="133" t="s">
        <v>396</v>
      </c>
      <c r="AX3" s="132"/>
      <c r="AY3" s="133" t="s">
        <v>410</v>
      </c>
      <c r="AZ3" s="133" t="s">
        <v>397</v>
      </c>
      <c r="BA3" s="132"/>
      <c r="BB3" s="133" t="s">
        <v>396</v>
      </c>
      <c r="BC3" s="132"/>
      <c r="BD3" s="133" t="s">
        <v>410</v>
      </c>
      <c r="BE3" s="133" t="s">
        <v>397</v>
      </c>
      <c r="BF3" s="132"/>
      <c r="BG3" s="133" t="s">
        <v>396</v>
      </c>
      <c r="BH3" s="132"/>
    </row>
    <row r="4" spans="1:60" s="122" customFormat="1" ht="198.75" thickBot="1" x14ac:dyDescent="0.2">
      <c r="A4" s="122" t="s">
        <v>395</v>
      </c>
      <c r="B4" s="129" t="s">
        <v>394</v>
      </c>
      <c r="C4" s="130" t="s">
        <v>393</v>
      </c>
      <c r="D4" s="129"/>
      <c r="E4" s="129"/>
      <c r="F4" s="130" t="s">
        <v>391</v>
      </c>
      <c r="G4" s="254" t="s">
        <v>1015</v>
      </c>
      <c r="H4" s="128" t="s">
        <v>736</v>
      </c>
      <c r="I4" s="128" t="s">
        <v>391</v>
      </c>
      <c r="J4" s="254" t="s">
        <v>1014</v>
      </c>
      <c r="K4" s="128" t="s">
        <v>975</v>
      </c>
      <c r="L4" s="128" t="s">
        <v>392</v>
      </c>
      <c r="M4" s="187" t="s">
        <v>709</v>
      </c>
      <c r="N4" s="128" t="s">
        <v>553</v>
      </c>
      <c r="O4" s="128" t="s">
        <v>1090</v>
      </c>
      <c r="P4" s="128" t="s">
        <v>390</v>
      </c>
      <c r="Q4" s="214" t="s">
        <v>1011</v>
      </c>
      <c r="R4" s="214" t="s">
        <v>1010</v>
      </c>
      <c r="S4" s="153" t="s">
        <v>513</v>
      </c>
      <c r="T4" s="128" t="s">
        <v>515</v>
      </c>
      <c r="U4" s="128" t="s">
        <v>747</v>
      </c>
      <c r="V4" s="128" t="s">
        <v>510</v>
      </c>
      <c r="W4" s="128" t="s">
        <v>1163</v>
      </c>
      <c r="X4" s="254" t="s">
        <v>143</v>
      </c>
      <c r="Y4" s="176" t="s">
        <v>762</v>
      </c>
      <c r="Z4" s="128" t="s">
        <v>499</v>
      </c>
      <c r="AA4" s="128" t="s">
        <v>522</v>
      </c>
      <c r="AB4" s="128" t="s">
        <v>520</v>
      </c>
      <c r="AC4" s="128" t="s">
        <v>521</v>
      </c>
      <c r="AD4" s="128" t="s">
        <v>535</v>
      </c>
      <c r="AE4" s="128" t="s">
        <v>550</v>
      </c>
      <c r="AF4" s="254" t="s">
        <v>281</v>
      </c>
      <c r="AG4" s="207" t="s">
        <v>507</v>
      </c>
      <c r="AH4" s="206" t="s">
        <v>708</v>
      </c>
      <c r="AI4" s="185"/>
      <c r="AJ4" s="125" t="s">
        <v>409</v>
      </c>
      <c r="AK4" s="125" t="s">
        <v>384</v>
      </c>
      <c r="AL4" s="124" t="s">
        <v>383</v>
      </c>
      <c r="AM4" s="126" t="s">
        <v>474</v>
      </c>
      <c r="AN4" s="127" t="s">
        <v>707</v>
      </c>
      <c r="AO4" s="125" t="s">
        <v>409</v>
      </c>
      <c r="AP4" s="125" t="s">
        <v>384</v>
      </c>
      <c r="AQ4" s="124" t="s">
        <v>383</v>
      </c>
      <c r="AR4" s="126" t="s">
        <v>474</v>
      </c>
      <c r="AS4" s="127" t="s">
        <v>707</v>
      </c>
      <c r="AT4" s="125" t="s">
        <v>409</v>
      </c>
      <c r="AU4" s="125" t="s">
        <v>384</v>
      </c>
      <c r="AV4" s="124" t="s">
        <v>383</v>
      </c>
      <c r="AW4" s="126" t="s">
        <v>474</v>
      </c>
      <c r="AX4" s="127" t="s">
        <v>707</v>
      </c>
      <c r="AY4" s="125" t="s">
        <v>409</v>
      </c>
      <c r="AZ4" s="125" t="s">
        <v>384</v>
      </c>
      <c r="BA4" s="124" t="s">
        <v>383</v>
      </c>
      <c r="BB4" s="126" t="s">
        <v>474</v>
      </c>
      <c r="BC4" s="127" t="s">
        <v>707</v>
      </c>
      <c r="BD4" s="125" t="s">
        <v>409</v>
      </c>
      <c r="BE4" s="125" t="s">
        <v>384</v>
      </c>
      <c r="BF4" s="124" t="s">
        <v>383</v>
      </c>
      <c r="BG4" s="126" t="s">
        <v>474</v>
      </c>
      <c r="BH4" s="127" t="s">
        <v>707</v>
      </c>
    </row>
    <row r="5" spans="1:60" s="115" customFormat="1" x14ac:dyDescent="0.3">
      <c r="A5" s="121">
        <f t="shared" ref="A5:A34" si="0">B5*10000000+C5*1000000+D5*10000+E5*100+F5</f>
        <v>111010001</v>
      </c>
      <c r="B5" s="120">
        <v>11</v>
      </c>
      <c r="C5" s="119">
        <f t="shared" ref="C5:C34" si="1">H5</f>
        <v>1</v>
      </c>
      <c r="D5" s="120">
        <v>1</v>
      </c>
      <c r="E5" s="120">
        <v>0</v>
      </c>
      <c r="F5" s="119">
        <f t="shared" ref="F5:F68" si="2">I5</f>
        <v>1</v>
      </c>
      <c r="G5" s="255"/>
      <c r="H5" s="116">
        <v>1</v>
      </c>
      <c r="I5" s="116">
        <v>1</v>
      </c>
      <c r="J5" s="255"/>
      <c r="K5" s="116" t="s">
        <v>1041</v>
      </c>
      <c r="L5" s="116" t="s">
        <v>768</v>
      </c>
      <c r="M5" s="117" t="s">
        <v>378</v>
      </c>
      <c r="N5" s="116">
        <v>1</v>
      </c>
      <c r="O5" s="116">
        <v>12</v>
      </c>
      <c r="P5" s="116" t="s">
        <v>766</v>
      </c>
      <c r="Q5" s="117" t="s">
        <v>1160</v>
      </c>
      <c r="R5" s="117">
        <v>111010001</v>
      </c>
      <c r="S5" s="118" t="str">
        <f>CONCATENATE(Q5,R5,".png")</f>
        <v>UITexture/Bldg/111010001.png</v>
      </c>
      <c r="T5" s="116" t="s">
        <v>1042</v>
      </c>
      <c r="U5" s="116">
        <v>-1</v>
      </c>
      <c r="V5" s="116">
        <v>3</v>
      </c>
      <c r="W5" s="116">
        <v>4</v>
      </c>
      <c r="X5" s="255"/>
      <c r="Y5" s="118">
        <f t="shared" ref="Y5:Y68" si="3">C5*100+D5</f>
        <v>101</v>
      </c>
      <c r="Z5" s="116">
        <v>10</v>
      </c>
      <c r="AA5" s="116">
        <v>3</v>
      </c>
      <c r="AB5" s="116">
        <v>3</v>
      </c>
      <c r="AC5" s="116">
        <v>100</v>
      </c>
      <c r="AD5" s="116" t="s">
        <v>541</v>
      </c>
      <c r="AE5" s="116">
        <v>1</v>
      </c>
      <c r="AF5" s="255"/>
      <c r="AG5" s="118">
        <f>ROUND(AH5,0)</f>
        <v>32</v>
      </c>
      <c r="AH5" s="117">
        <v>31.578947368421051</v>
      </c>
      <c r="AI5" s="174">
        <v>2</v>
      </c>
      <c r="AJ5" s="118"/>
      <c r="AK5" s="118">
        <f ca="1">IFERROR(OFFSET(ITEM_RES!$A$5,MATCH(AL5,ITEM_RES!$M$5:$M$84,0)-1,0),0)</f>
        <v>220000101</v>
      </c>
      <c r="AL5" s="117" t="s">
        <v>573</v>
      </c>
      <c r="AM5" s="118">
        <f>IF(AN5&lt;100,ROUND(AN5,1-LEN(ROUND(AN5,0))),ROUND(AN5,2-LEN(ROUND(AN5,0))))</f>
        <v>60</v>
      </c>
      <c r="AN5" s="117">
        <v>63.15789473684211</v>
      </c>
      <c r="AO5" s="118"/>
      <c r="AP5" s="118">
        <f ca="1">IFERROR(OFFSET(ITEM_RES!$A$5,MATCH(AQ5,ITEM_RES!$M$5:$M$84,0)-1,0),0)</f>
        <v>220000201</v>
      </c>
      <c r="AQ5" s="117" t="s">
        <v>591</v>
      </c>
      <c r="AR5" s="118">
        <f t="shared" ref="AR5:AR34" si="4">IF(AS5&lt;100,ROUND(AS5,1-LEN(ROUND(AS5,0))),ROUND(AS5,2-LEN(ROUND(AS5,0))))</f>
        <v>40</v>
      </c>
      <c r="AS5" s="117">
        <v>37.89473684210526</v>
      </c>
      <c r="AT5" s="118"/>
      <c r="AU5" s="118">
        <f ca="1">IFERROR(OFFSET(ITEM_RES!$A$5,MATCH(AV5,ITEM_RES!$M$5:$M$84,0)-1,0),0)</f>
        <v>220000301</v>
      </c>
      <c r="AV5" s="117" t="s">
        <v>609</v>
      </c>
      <c r="AW5" s="118">
        <f t="shared" ref="AW5:AW34" si="5">IF(AX5&lt;100,ROUND(AX5,1-LEN(ROUND(AX5,0))),ROUND(AX5,2-LEN(ROUND(AX5,0))))</f>
        <v>0</v>
      </c>
      <c r="AX5" s="117">
        <v>0</v>
      </c>
      <c r="AY5" s="118"/>
      <c r="AZ5" s="118">
        <f ca="1">IFERROR(OFFSET(ITEM_RES!$A$5,MATCH(BA5,ITEM_RES!$M$5:$M$84,0)-1,0),0)</f>
        <v>220000401</v>
      </c>
      <c r="BA5" s="117" t="s">
        <v>627</v>
      </c>
      <c r="BB5" s="118">
        <f t="shared" ref="BB5:BB34" si="6">IF(BC5&lt;100,ROUND(BC5,1-LEN(ROUND(BC5,0))),ROUND(BC5,2-LEN(ROUND(BC5,0))))</f>
        <v>0</v>
      </c>
      <c r="BC5" s="117">
        <v>0</v>
      </c>
      <c r="BD5" s="118"/>
      <c r="BE5" s="118">
        <f ca="1">IFERROR(OFFSET(ITEM_RES!$A$5,MATCH(BF5,ITEM_RES!$M$5:$M$84,0)-1,0),0)</f>
        <v>0</v>
      </c>
      <c r="BF5" s="117"/>
      <c r="BG5" s="118">
        <f t="shared" ref="BG5:BG34" si="7">IF(BH5&lt;100,ROUND(BH5,1-LEN(ROUND(BH5,0))),ROUND(BH5,2-LEN(ROUND(BH5,0))))</f>
        <v>0</v>
      </c>
      <c r="BH5" s="117"/>
    </row>
    <row r="6" spans="1:60" x14ac:dyDescent="0.3">
      <c r="A6" s="107">
        <f t="shared" si="0"/>
        <v>111010002</v>
      </c>
      <c r="B6" s="106">
        <v>11</v>
      </c>
      <c r="C6" s="105">
        <f t="shared" si="1"/>
        <v>1</v>
      </c>
      <c r="D6" s="106">
        <v>1</v>
      </c>
      <c r="E6" s="106">
        <v>0</v>
      </c>
      <c r="F6" s="105">
        <f t="shared" si="2"/>
        <v>2</v>
      </c>
      <c r="H6" s="102">
        <v>1</v>
      </c>
      <c r="I6" s="102">
        <v>2</v>
      </c>
      <c r="K6" s="102" t="s">
        <v>1041</v>
      </c>
      <c r="L6" s="102" t="s">
        <v>767</v>
      </c>
      <c r="M6" s="103" t="s">
        <v>378</v>
      </c>
      <c r="N6" s="102">
        <v>1</v>
      </c>
      <c r="O6" s="102">
        <v>12</v>
      </c>
      <c r="P6" s="102" t="s">
        <v>766</v>
      </c>
      <c r="Q6" s="103" t="s">
        <v>1160</v>
      </c>
      <c r="R6" s="103">
        <v>111010002</v>
      </c>
      <c r="S6" s="104" t="str">
        <f t="shared" ref="S6:S69" si="8">CONCATENATE(Q6,R6,".png")</f>
        <v>UITexture/Bldg/111010002.png</v>
      </c>
      <c r="T6" s="102" t="s">
        <v>1042</v>
      </c>
      <c r="U6" s="102">
        <v>-1</v>
      </c>
      <c r="V6" s="102">
        <v>3</v>
      </c>
      <c r="W6" s="102">
        <v>4</v>
      </c>
      <c r="Y6" s="104">
        <f t="shared" si="3"/>
        <v>101</v>
      </c>
      <c r="Z6" s="102">
        <v>20</v>
      </c>
      <c r="AA6" s="102">
        <v>3</v>
      </c>
      <c r="AB6" s="102">
        <v>3</v>
      </c>
      <c r="AC6" s="102">
        <v>200</v>
      </c>
      <c r="AD6" s="102" t="s">
        <v>541</v>
      </c>
      <c r="AE6" s="102">
        <v>2</v>
      </c>
      <c r="AG6" s="104">
        <f t="shared" ref="AG6:AG69" si="9">ROUND(AH6,0)</f>
        <v>126</v>
      </c>
      <c r="AH6" s="103">
        <v>126.31578947368421</v>
      </c>
      <c r="AI6" s="172">
        <v>2</v>
      </c>
      <c r="AK6" s="104">
        <f ca="1">IFERROR(OFFSET(ITEM_RES!$A$5,MATCH(AL6,ITEM_RES!$M$5:$M$84,0)-1,0),0)</f>
        <v>220000101</v>
      </c>
      <c r="AL6" s="103" t="s">
        <v>573</v>
      </c>
      <c r="AM6" s="104">
        <f t="shared" ref="AM6:AM34" si="10">IF(AN6&lt;100,ROUND(AN6,1-LEN(ROUND(AN6,0))),ROUND(AN6,2-LEN(ROUND(AN6,0))))</f>
        <v>320</v>
      </c>
      <c r="AN6" s="103">
        <v>315.78947368421052</v>
      </c>
      <c r="AP6" s="104">
        <f ca="1">IFERROR(OFFSET(ITEM_RES!$A$5,MATCH(AQ6,ITEM_RES!$M$5:$M$84,0)-1,0),0)</f>
        <v>220000201</v>
      </c>
      <c r="AQ6" s="103" t="s">
        <v>591</v>
      </c>
      <c r="AR6" s="104">
        <f t="shared" si="4"/>
        <v>190</v>
      </c>
      <c r="AS6" s="103">
        <v>189.4736842105263</v>
      </c>
      <c r="AU6" s="104">
        <f ca="1">IFERROR(OFFSET(ITEM_RES!$A$5,MATCH(AV6,ITEM_RES!$M$5:$M$84,0)-1,0),0)</f>
        <v>220000301</v>
      </c>
      <c r="AV6" s="103" t="s">
        <v>609</v>
      </c>
      <c r="AW6" s="104">
        <f t="shared" si="5"/>
        <v>0</v>
      </c>
      <c r="AX6" s="103">
        <v>0</v>
      </c>
      <c r="AZ6" s="104">
        <f ca="1">IFERROR(OFFSET(ITEM_RES!$A$5,MATCH(BA6,ITEM_RES!$M$5:$M$84,0)-1,0),0)</f>
        <v>220000401</v>
      </c>
      <c r="BA6" s="103" t="s">
        <v>627</v>
      </c>
      <c r="BB6" s="104">
        <f t="shared" si="6"/>
        <v>0</v>
      </c>
      <c r="BC6" s="103">
        <v>0</v>
      </c>
      <c r="BE6" s="104">
        <f ca="1">IFERROR(OFFSET(ITEM_RES!$A$5,MATCH(BF6,ITEM_RES!$M$5:$M$84,0)-1,0),0)</f>
        <v>0</v>
      </c>
      <c r="BG6" s="104">
        <f t="shared" si="7"/>
        <v>0</v>
      </c>
    </row>
    <row r="7" spans="1:60" x14ac:dyDescent="0.3">
      <c r="A7" s="107">
        <f t="shared" si="0"/>
        <v>111010003</v>
      </c>
      <c r="B7" s="106">
        <v>11</v>
      </c>
      <c r="C7" s="105">
        <f t="shared" si="1"/>
        <v>1</v>
      </c>
      <c r="D7" s="106">
        <v>1</v>
      </c>
      <c r="E7" s="106">
        <v>0</v>
      </c>
      <c r="F7" s="105">
        <f t="shared" si="2"/>
        <v>3</v>
      </c>
      <c r="H7" s="102">
        <v>1</v>
      </c>
      <c r="I7" s="102">
        <v>3</v>
      </c>
      <c r="K7" s="102" t="s">
        <v>1041</v>
      </c>
      <c r="L7" s="102" t="s">
        <v>767</v>
      </c>
      <c r="M7" s="103" t="s">
        <v>378</v>
      </c>
      <c r="N7" s="102">
        <v>1</v>
      </c>
      <c r="O7" s="102">
        <v>12</v>
      </c>
      <c r="P7" s="102" t="s">
        <v>766</v>
      </c>
      <c r="Q7" s="103" t="s">
        <v>1160</v>
      </c>
      <c r="R7" s="103">
        <v>111010003</v>
      </c>
      <c r="S7" s="104" t="str">
        <f t="shared" si="8"/>
        <v>UITexture/Bldg/111010003.png</v>
      </c>
      <c r="T7" s="102" t="s">
        <v>1042</v>
      </c>
      <c r="U7" s="102">
        <v>-1</v>
      </c>
      <c r="V7" s="102">
        <v>3</v>
      </c>
      <c r="W7" s="102">
        <v>4</v>
      </c>
      <c r="Y7" s="104">
        <f t="shared" si="3"/>
        <v>101</v>
      </c>
      <c r="Z7" s="102">
        <v>30</v>
      </c>
      <c r="AA7" s="102">
        <v>3</v>
      </c>
      <c r="AB7" s="102">
        <v>3</v>
      </c>
      <c r="AC7" s="102">
        <v>300</v>
      </c>
      <c r="AD7" s="102" t="s">
        <v>541</v>
      </c>
      <c r="AE7" s="102">
        <v>3</v>
      </c>
      <c r="AG7" s="104">
        <f t="shared" si="9"/>
        <v>505</v>
      </c>
      <c r="AH7" s="103">
        <v>505.26315789473682</v>
      </c>
      <c r="AI7" s="172">
        <v>2</v>
      </c>
      <c r="AK7" s="104">
        <f ca="1">IFERROR(OFFSET(ITEM_RES!$A$5,MATCH(AL7,ITEM_RES!$M$5:$M$84,0)-1,0),0)</f>
        <v>220000101</v>
      </c>
      <c r="AL7" s="103" t="s">
        <v>573</v>
      </c>
      <c r="AM7" s="104">
        <f t="shared" si="10"/>
        <v>1600</v>
      </c>
      <c r="AN7" s="103">
        <v>1578.9473684210525</v>
      </c>
      <c r="AP7" s="104">
        <f ca="1">IFERROR(OFFSET(ITEM_RES!$A$5,MATCH(AQ7,ITEM_RES!$M$5:$M$84,0)-1,0),0)</f>
        <v>220000201</v>
      </c>
      <c r="AQ7" s="103" t="s">
        <v>591</v>
      </c>
      <c r="AR7" s="104">
        <f t="shared" si="4"/>
        <v>950</v>
      </c>
      <c r="AS7" s="103">
        <v>947.36842105263156</v>
      </c>
      <c r="AU7" s="104">
        <f ca="1">IFERROR(OFFSET(ITEM_RES!$A$5,MATCH(AV7,ITEM_RES!$M$5:$M$84,0)-1,0),0)</f>
        <v>220000301</v>
      </c>
      <c r="AV7" s="103" t="s">
        <v>609</v>
      </c>
      <c r="AW7" s="104">
        <f t="shared" si="5"/>
        <v>0</v>
      </c>
      <c r="AX7" s="103">
        <v>0</v>
      </c>
      <c r="AZ7" s="104">
        <f ca="1">IFERROR(OFFSET(ITEM_RES!$A$5,MATCH(BA7,ITEM_RES!$M$5:$M$84,0)-1,0),0)</f>
        <v>220000401</v>
      </c>
      <c r="BA7" s="103" t="s">
        <v>627</v>
      </c>
      <c r="BB7" s="104">
        <f t="shared" si="6"/>
        <v>0</v>
      </c>
      <c r="BC7" s="103">
        <v>0</v>
      </c>
      <c r="BE7" s="104">
        <f ca="1">IFERROR(OFFSET(ITEM_RES!$A$5,MATCH(BF7,ITEM_RES!$M$5:$M$84,0)-1,0),0)</f>
        <v>0</v>
      </c>
      <c r="BG7" s="104">
        <f t="shared" si="7"/>
        <v>0</v>
      </c>
    </row>
    <row r="8" spans="1:60" x14ac:dyDescent="0.3">
      <c r="A8" s="107">
        <f t="shared" si="0"/>
        <v>111010004</v>
      </c>
      <c r="B8" s="106">
        <v>11</v>
      </c>
      <c r="C8" s="105">
        <f t="shared" si="1"/>
        <v>1</v>
      </c>
      <c r="D8" s="106">
        <v>1</v>
      </c>
      <c r="E8" s="106">
        <v>0</v>
      </c>
      <c r="F8" s="105">
        <f t="shared" si="2"/>
        <v>4</v>
      </c>
      <c r="H8" s="102">
        <v>1</v>
      </c>
      <c r="I8" s="102">
        <v>4</v>
      </c>
      <c r="K8" s="102" t="s">
        <v>1041</v>
      </c>
      <c r="L8" s="102" t="s">
        <v>767</v>
      </c>
      <c r="M8" s="103" t="s">
        <v>378</v>
      </c>
      <c r="N8" s="102">
        <v>1</v>
      </c>
      <c r="O8" s="102">
        <v>12</v>
      </c>
      <c r="P8" s="102" t="s">
        <v>766</v>
      </c>
      <c r="Q8" s="103" t="s">
        <v>1160</v>
      </c>
      <c r="R8" s="103">
        <v>111010004</v>
      </c>
      <c r="S8" s="104" t="str">
        <f t="shared" si="8"/>
        <v>UITexture/Bldg/111010004.png</v>
      </c>
      <c r="T8" s="102" t="s">
        <v>1042</v>
      </c>
      <c r="U8" s="102">
        <v>-1</v>
      </c>
      <c r="V8" s="102">
        <v>3</v>
      </c>
      <c r="W8" s="102">
        <v>4</v>
      </c>
      <c r="Y8" s="104">
        <f t="shared" si="3"/>
        <v>101</v>
      </c>
      <c r="Z8" s="102">
        <v>40</v>
      </c>
      <c r="AA8" s="102">
        <v>3</v>
      </c>
      <c r="AB8" s="102">
        <v>3</v>
      </c>
      <c r="AC8" s="102">
        <v>400</v>
      </c>
      <c r="AD8" s="102" t="s">
        <v>541</v>
      </c>
      <c r="AE8" s="102">
        <v>4</v>
      </c>
      <c r="AG8" s="104">
        <f t="shared" si="9"/>
        <v>2021</v>
      </c>
      <c r="AH8" s="103">
        <v>2021.0526315789473</v>
      </c>
      <c r="AI8" s="172">
        <v>2</v>
      </c>
      <c r="AK8" s="104">
        <f ca="1">IFERROR(OFFSET(ITEM_RES!$A$5,MATCH(AL8,ITEM_RES!$M$5:$M$84,0)-1,0),0)</f>
        <v>220000102</v>
      </c>
      <c r="AL8" s="103" t="s">
        <v>574</v>
      </c>
      <c r="AM8" s="104">
        <f t="shared" si="10"/>
        <v>2600</v>
      </c>
      <c r="AN8" s="103">
        <v>2631.5789473684213</v>
      </c>
      <c r="AP8" s="104">
        <f ca="1">IFERROR(OFFSET(ITEM_RES!$A$5,MATCH(AQ8,ITEM_RES!$M$5:$M$84,0)-1,0),0)</f>
        <v>220000202</v>
      </c>
      <c r="AQ8" s="103" t="s">
        <v>592</v>
      </c>
      <c r="AR8" s="104">
        <f t="shared" si="4"/>
        <v>1600</v>
      </c>
      <c r="AS8" s="103">
        <v>1578.9473684210529</v>
      </c>
      <c r="AU8" s="104">
        <f ca="1">IFERROR(OFFSET(ITEM_RES!$A$5,MATCH(AV8,ITEM_RES!$M$5:$M$84,0)-1,0),0)</f>
        <v>220000302</v>
      </c>
      <c r="AV8" s="103" t="s">
        <v>610</v>
      </c>
      <c r="AW8" s="104">
        <f t="shared" si="5"/>
        <v>0</v>
      </c>
      <c r="AX8" s="103">
        <v>0</v>
      </c>
      <c r="AZ8" s="104">
        <f ca="1">IFERROR(OFFSET(ITEM_RES!$A$5,MATCH(BA8,ITEM_RES!$M$5:$M$84,0)-1,0),0)</f>
        <v>220000402</v>
      </c>
      <c r="BA8" s="103" t="s">
        <v>628</v>
      </c>
      <c r="BB8" s="104">
        <f t="shared" si="6"/>
        <v>0</v>
      </c>
      <c r="BC8" s="103">
        <v>0</v>
      </c>
      <c r="BE8" s="104">
        <f ca="1">IFERROR(OFFSET(ITEM_RES!$A$5,MATCH(BF8,ITEM_RES!$M$5:$M$84,0)-1,0),0)</f>
        <v>0</v>
      </c>
      <c r="BG8" s="104">
        <f t="shared" si="7"/>
        <v>0</v>
      </c>
    </row>
    <row r="9" spans="1:60" x14ac:dyDescent="0.3">
      <c r="A9" s="107">
        <f t="shared" si="0"/>
        <v>111010005</v>
      </c>
      <c r="B9" s="106">
        <v>11</v>
      </c>
      <c r="C9" s="105">
        <f t="shared" si="1"/>
        <v>1</v>
      </c>
      <c r="D9" s="106">
        <v>1</v>
      </c>
      <c r="E9" s="106">
        <v>0</v>
      </c>
      <c r="F9" s="105">
        <f t="shared" si="2"/>
        <v>5</v>
      </c>
      <c r="H9" s="102">
        <v>1</v>
      </c>
      <c r="I9" s="102">
        <v>5</v>
      </c>
      <c r="K9" s="102" t="s">
        <v>1041</v>
      </c>
      <c r="L9" s="102" t="s">
        <v>767</v>
      </c>
      <c r="M9" s="103" t="s">
        <v>378</v>
      </c>
      <c r="N9" s="102">
        <v>1</v>
      </c>
      <c r="O9" s="102">
        <v>12</v>
      </c>
      <c r="P9" s="102" t="s">
        <v>766</v>
      </c>
      <c r="Q9" s="103" t="s">
        <v>1160</v>
      </c>
      <c r="R9" s="103">
        <v>111010005</v>
      </c>
      <c r="S9" s="104" t="str">
        <f t="shared" si="8"/>
        <v>UITexture/Bldg/111010005.png</v>
      </c>
      <c r="T9" s="102" t="s">
        <v>1042</v>
      </c>
      <c r="U9" s="102">
        <v>-1</v>
      </c>
      <c r="V9" s="102">
        <v>3</v>
      </c>
      <c r="W9" s="102">
        <v>4</v>
      </c>
      <c r="Y9" s="104">
        <f t="shared" si="3"/>
        <v>101</v>
      </c>
      <c r="Z9" s="102">
        <v>50</v>
      </c>
      <c r="AA9" s="102">
        <v>3</v>
      </c>
      <c r="AB9" s="102">
        <v>3</v>
      </c>
      <c r="AC9" s="102">
        <v>500</v>
      </c>
      <c r="AD9" s="102" t="s">
        <v>541</v>
      </c>
      <c r="AE9" s="102">
        <v>5</v>
      </c>
      <c r="AG9" s="104">
        <f t="shared" si="9"/>
        <v>6063</v>
      </c>
      <c r="AH9" s="103">
        <v>6063.1578947368425</v>
      </c>
      <c r="AI9" s="172">
        <v>2</v>
      </c>
      <c r="AK9" s="104">
        <f ca="1">IFERROR(OFFSET(ITEM_RES!$A$5,MATCH(AL9,ITEM_RES!$M$5:$M$84,0)-1,0),0)</f>
        <v>220000102</v>
      </c>
      <c r="AL9" s="103" t="s">
        <v>574</v>
      </c>
      <c r="AM9" s="104">
        <f t="shared" si="10"/>
        <v>9900</v>
      </c>
      <c r="AN9" s="103">
        <v>9868.4210526315801</v>
      </c>
      <c r="AP9" s="104">
        <f ca="1">IFERROR(OFFSET(ITEM_RES!$A$5,MATCH(AQ9,ITEM_RES!$M$5:$M$84,0)-1,0),0)</f>
        <v>220000202</v>
      </c>
      <c r="AQ9" s="103" t="s">
        <v>592</v>
      </c>
      <c r="AR9" s="104">
        <f t="shared" si="4"/>
        <v>5900</v>
      </c>
      <c r="AS9" s="103">
        <v>5921.0526315789475</v>
      </c>
      <c r="AU9" s="104">
        <f ca="1">IFERROR(OFFSET(ITEM_RES!$A$5,MATCH(AV9,ITEM_RES!$M$5:$M$84,0)-1,0),0)</f>
        <v>220000302</v>
      </c>
      <c r="AV9" s="103" t="s">
        <v>610</v>
      </c>
      <c r="AW9" s="104">
        <f t="shared" si="5"/>
        <v>0</v>
      </c>
      <c r="AX9" s="103">
        <v>0</v>
      </c>
      <c r="AZ9" s="104">
        <f ca="1">IFERROR(OFFSET(ITEM_RES!$A$5,MATCH(BA9,ITEM_RES!$M$5:$M$84,0)-1,0),0)</f>
        <v>220000402</v>
      </c>
      <c r="BA9" s="103" t="s">
        <v>628</v>
      </c>
      <c r="BB9" s="104">
        <f t="shared" si="6"/>
        <v>0</v>
      </c>
      <c r="BC9" s="103">
        <v>0</v>
      </c>
      <c r="BE9" s="104">
        <f ca="1">IFERROR(OFFSET(ITEM_RES!$A$5,MATCH(BF9,ITEM_RES!$M$5:$M$84,0)-1,0),0)</f>
        <v>0</v>
      </c>
      <c r="BG9" s="104">
        <f t="shared" si="7"/>
        <v>0</v>
      </c>
    </row>
    <row r="10" spans="1:60" x14ac:dyDescent="0.3">
      <c r="A10" s="107">
        <f t="shared" si="0"/>
        <v>111010006</v>
      </c>
      <c r="B10" s="106">
        <v>11</v>
      </c>
      <c r="C10" s="105">
        <f t="shared" si="1"/>
        <v>1</v>
      </c>
      <c r="D10" s="106">
        <v>1</v>
      </c>
      <c r="E10" s="106">
        <v>0</v>
      </c>
      <c r="F10" s="105">
        <f t="shared" si="2"/>
        <v>6</v>
      </c>
      <c r="H10" s="102">
        <v>1</v>
      </c>
      <c r="I10" s="102">
        <v>6</v>
      </c>
      <c r="K10" s="102" t="s">
        <v>1041</v>
      </c>
      <c r="L10" s="102" t="s">
        <v>767</v>
      </c>
      <c r="M10" s="103" t="s">
        <v>378</v>
      </c>
      <c r="N10" s="102">
        <v>1</v>
      </c>
      <c r="O10" s="102">
        <v>12</v>
      </c>
      <c r="P10" s="102" t="s">
        <v>766</v>
      </c>
      <c r="Q10" s="103" t="s">
        <v>1160</v>
      </c>
      <c r="R10" s="103">
        <v>111010006</v>
      </c>
      <c r="S10" s="104" t="str">
        <f t="shared" si="8"/>
        <v>UITexture/Bldg/111010006.png</v>
      </c>
      <c r="T10" s="102" t="s">
        <v>1042</v>
      </c>
      <c r="U10" s="102">
        <v>-1</v>
      </c>
      <c r="V10" s="102">
        <v>3</v>
      </c>
      <c r="W10" s="102">
        <v>4</v>
      </c>
      <c r="Y10" s="104">
        <f t="shared" si="3"/>
        <v>101</v>
      </c>
      <c r="Z10" s="102">
        <v>60</v>
      </c>
      <c r="AA10" s="102">
        <v>3</v>
      </c>
      <c r="AB10" s="102">
        <v>3</v>
      </c>
      <c r="AC10" s="102">
        <v>600</v>
      </c>
      <c r="AD10" s="102" t="s">
        <v>541</v>
      </c>
      <c r="AE10" s="102">
        <v>6</v>
      </c>
      <c r="AG10" s="104">
        <f t="shared" si="9"/>
        <v>12126</v>
      </c>
      <c r="AH10" s="103">
        <v>12126.315789473685</v>
      </c>
      <c r="AI10" s="172">
        <v>3</v>
      </c>
      <c r="AK10" s="104">
        <f ca="1">IFERROR(OFFSET(ITEM_RES!$A$5,MATCH(AL10,ITEM_RES!$M$5:$M$84,0)-1,0),0)</f>
        <v>220000102</v>
      </c>
      <c r="AL10" s="103" t="s">
        <v>574</v>
      </c>
      <c r="AM10" s="104">
        <f t="shared" si="10"/>
        <v>20000</v>
      </c>
      <c r="AN10" s="103">
        <v>19736.84210526316</v>
      </c>
      <c r="AP10" s="104">
        <f ca="1">IFERROR(OFFSET(ITEM_RES!$A$5,MATCH(AQ10,ITEM_RES!$M$5:$M$84,0)-1,0),0)</f>
        <v>220000202</v>
      </c>
      <c r="AQ10" s="103" t="s">
        <v>592</v>
      </c>
      <c r="AR10" s="104">
        <f t="shared" si="4"/>
        <v>12000</v>
      </c>
      <c r="AS10" s="103">
        <v>11842.105263157895</v>
      </c>
      <c r="AU10" s="104">
        <f ca="1">IFERROR(OFFSET(ITEM_RES!$A$5,MATCH(AV10,ITEM_RES!$M$5:$M$84,0)-1,0),0)</f>
        <v>220000302</v>
      </c>
      <c r="AV10" s="103" t="s">
        <v>610</v>
      </c>
      <c r="AW10" s="104">
        <f t="shared" si="5"/>
        <v>3900</v>
      </c>
      <c r="AX10" s="103">
        <v>3947.3684210526317</v>
      </c>
      <c r="AZ10" s="104">
        <f ca="1">IFERROR(OFFSET(ITEM_RES!$A$5,MATCH(BA10,ITEM_RES!$M$5:$M$84,0)-1,0),0)</f>
        <v>220000402</v>
      </c>
      <c r="BA10" s="103" t="s">
        <v>628</v>
      </c>
      <c r="BB10" s="104">
        <f t="shared" si="6"/>
        <v>0</v>
      </c>
      <c r="BC10" s="103">
        <v>0</v>
      </c>
      <c r="BE10" s="104">
        <f ca="1">IFERROR(OFFSET(ITEM_RES!$A$5,MATCH(BF10,ITEM_RES!$M$5:$M$84,0)-1,0),0)</f>
        <v>0</v>
      </c>
      <c r="BG10" s="104">
        <f t="shared" si="7"/>
        <v>0</v>
      </c>
    </row>
    <row r="11" spans="1:60" x14ac:dyDescent="0.3">
      <c r="A11" s="107">
        <f t="shared" si="0"/>
        <v>111010007</v>
      </c>
      <c r="B11" s="106">
        <v>11</v>
      </c>
      <c r="C11" s="105">
        <f t="shared" si="1"/>
        <v>1</v>
      </c>
      <c r="D11" s="106">
        <v>1</v>
      </c>
      <c r="E11" s="106">
        <v>0</v>
      </c>
      <c r="F11" s="105">
        <f t="shared" si="2"/>
        <v>7</v>
      </c>
      <c r="H11" s="102">
        <v>1</v>
      </c>
      <c r="I11" s="102">
        <v>7</v>
      </c>
      <c r="K11" s="102" t="s">
        <v>1041</v>
      </c>
      <c r="L11" s="102" t="s">
        <v>767</v>
      </c>
      <c r="M11" s="103" t="s">
        <v>378</v>
      </c>
      <c r="N11" s="102">
        <v>1</v>
      </c>
      <c r="O11" s="102">
        <v>12</v>
      </c>
      <c r="P11" s="102" t="s">
        <v>766</v>
      </c>
      <c r="Q11" s="103" t="s">
        <v>1160</v>
      </c>
      <c r="R11" s="103">
        <v>111010007</v>
      </c>
      <c r="S11" s="104" t="str">
        <f t="shared" si="8"/>
        <v>UITexture/Bldg/111010007.png</v>
      </c>
      <c r="T11" s="102" t="s">
        <v>1042</v>
      </c>
      <c r="U11" s="102">
        <v>-1</v>
      </c>
      <c r="V11" s="102">
        <v>3</v>
      </c>
      <c r="W11" s="102">
        <v>4</v>
      </c>
      <c r="Y11" s="104">
        <f t="shared" si="3"/>
        <v>101</v>
      </c>
      <c r="Z11" s="102">
        <v>70</v>
      </c>
      <c r="AA11" s="102">
        <v>3</v>
      </c>
      <c r="AB11" s="102">
        <v>3</v>
      </c>
      <c r="AC11" s="102">
        <v>700</v>
      </c>
      <c r="AD11" s="102" t="s">
        <v>541</v>
      </c>
      <c r="AE11" s="102">
        <v>7</v>
      </c>
      <c r="AG11" s="104">
        <f t="shared" si="9"/>
        <v>24253</v>
      </c>
      <c r="AH11" s="103">
        <v>24252.63157894737</v>
      </c>
      <c r="AI11" s="172">
        <v>3</v>
      </c>
      <c r="AK11" s="104">
        <f ca="1">IFERROR(OFFSET(ITEM_RES!$A$5,MATCH(AL11,ITEM_RES!$M$5:$M$84,0)-1,0),0)</f>
        <v>220000103</v>
      </c>
      <c r="AL11" s="103" t="s">
        <v>575</v>
      </c>
      <c r="AM11" s="104">
        <f t="shared" si="10"/>
        <v>16000</v>
      </c>
      <c r="AN11" s="103">
        <v>16447.36842105263</v>
      </c>
      <c r="AP11" s="104">
        <f ca="1">IFERROR(OFFSET(ITEM_RES!$A$5,MATCH(AQ11,ITEM_RES!$M$5:$M$84,0)-1,0),0)</f>
        <v>220000203</v>
      </c>
      <c r="AQ11" s="103" t="s">
        <v>593</v>
      </c>
      <c r="AR11" s="104">
        <f t="shared" si="4"/>
        <v>9900</v>
      </c>
      <c r="AS11" s="103">
        <v>9868.4210526315783</v>
      </c>
      <c r="AU11" s="104">
        <f ca="1">IFERROR(OFFSET(ITEM_RES!$A$5,MATCH(AV11,ITEM_RES!$M$5:$M$84,0)-1,0),0)</f>
        <v>220000303</v>
      </c>
      <c r="AV11" s="103" t="s">
        <v>611</v>
      </c>
      <c r="AW11" s="104">
        <f t="shared" si="5"/>
        <v>3300</v>
      </c>
      <c r="AX11" s="103">
        <v>3289.4736842105262</v>
      </c>
      <c r="AZ11" s="104">
        <f ca="1">IFERROR(OFFSET(ITEM_RES!$A$5,MATCH(BA11,ITEM_RES!$M$5:$M$84,0)-1,0),0)</f>
        <v>220000403</v>
      </c>
      <c r="BA11" s="103" t="s">
        <v>629</v>
      </c>
      <c r="BB11" s="104">
        <f t="shared" si="6"/>
        <v>0</v>
      </c>
      <c r="BC11" s="103">
        <v>0</v>
      </c>
      <c r="BE11" s="104">
        <f ca="1">IFERROR(OFFSET(ITEM_RES!$A$5,MATCH(BF11,ITEM_RES!$M$5:$M$84,0)-1,0),0)</f>
        <v>0</v>
      </c>
      <c r="BG11" s="104">
        <f t="shared" si="7"/>
        <v>0</v>
      </c>
    </row>
    <row r="12" spans="1:60" x14ac:dyDescent="0.3">
      <c r="A12" s="107">
        <f t="shared" si="0"/>
        <v>111010008</v>
      </c>
      <c r="B12" s="106">
        <v>11</v>
      </c>
      <c r="C12" s="105">
        <f t="shared" si="1"/>
        <v>1</v>
      </c>
      <c r="D12" s="106">
        <v>1</v>
      </c>
      <c r="E12" s="106">
        <v>0</v>
      </c>
      <c r="F12" s="105">
        <f t="shared" si="2"/>
        <v>8</v>
      </c>
      <c r="H12" s="102">
        <v>1</v>
      </c>
      <c r="I12" s="102">
        <v>8</v>
      </c>
      <c r="K12" s="102" t="s">
        <v>1041</v>
      </c>
      <c r="L12" s="102" t="s">
        <v>767</v>
      </c>
      <c r="M12" s="103" t="s">
        <v>378</v>
      </c>
      <c r="N12" s="102">
        <v>1</v>
      </c>
      <c r="O12" s="102">
        <v>12</v>
      </c>
      <c r="P12" s="102" t="s">
        <v>766</v>
      </c>
      <c r="Q12" s="103" t="s">
        <v>1160</v>
      </c>
      <c r="R12" s="103">
        <v>111010008</v>
      </c>
      <c r="S12" s="104" t="str">
        <f t="shared" si="8"/>
        <v>UITexture/Bldg/111010008.png</v>
      </c>
      <c r="T12" s="102" t="s">
        <v>1042</v>
      </c>
      <c r="U12" s="102">
        <v>-1</v>
      </c>
      <c r="V12" s="102">
        <v>3</v>
      </c>
      <c r="W12" s="102">
        <v>4</v>
      </c>
      <c r="Y12" s="104">
        <f t="shared" si="3"/>
        <v>101</v>
      </c>
      <c r="Z12" s="102">
        <v>80</v>
      </c>
      <c r="AA12" s="102">
        <v>3</v>
      </c>
      <c r="AB12" s="102">
        <v>3</v>
      </c>
      <c r="AC12" s="102">
        <v>800</v>
      </c>
      <c r="AD12" s="102" t="s">
        <v>541</v>
      </c>
      <c r="AE12" s="102">
        <v>8</v>
      </c>
      <c r="AG12" s="104">
        <f t="shared" si="9"/>
        <v>26678</v>
      </c>
      <c r="AH12" s="103">
        <v>26677.894736842107</v>
      </c>
      <c r="AI12" s="172">
        <v>3</v>
      </c>
      <c r="AK12" s="104">
        <f ca="1">IFERROR(OFFSET(ITEM_RES!$A$5,MATCH(AL12,ITEM_RES!$M$5:$M$84,0)-1,0),0)</f>
        <v>220000103</v>
      </c>
      <c r="AL12" s="103" t="s">
        <v>575</v>
      </c>
      <c r="AM12" s="104">
        <f t="shared" si="10"/>
        <v>23000</v>
      </c>
      <c r="AN12" s="103">
        <v>22615.131578947367</v>
      </c>
      <c r="AP12" s="104">
        <f ca="1">IFERROR(OFFSET(ITEM_RES!$A$5,MATCH(AQ12,ITEM_RES!$M$5:$M$84,0)-1,0),0)</f>
        <v>220000203</v>
      </c>
      <c r="AQ12" s="103" t="s">
        <v>593</v>
      </c>
      <c r="AR12" s="104">
        <f t="shared" si="4"/>
        <v>14000</v>
      </c>
      <c r="AS12" s="103">
        <v>13569.07894736842</v>
      </c>
      <c r="AU12" s="104">
        <f ca="1">IFERROR(OFFSET(ITEM_RES!$A$5,MATCH(AV12,ITEM_RES!$M$5:$M$84,0)-1,0),0)</f>
        <v>220000303</v>
      </c>
      <c r="AV12" s="103" t="s">
        <v>611</v>
      </c>
      <c r="AW12" s="104">
        <f t="shared" si="5"/>
        <v>4500</v>
      </c>
      <c r="AX12" s="103">
        <v>4523.0263157894733</v>
      </c>
      <c r="AZ12" s="104">
        <f ca="1">IFERROR(OFFSET(ITEM_RES!$A$5,MATCH(BA12,ITEM_RES!$M$5:$M$84,0)-1,0),0)</f>
        <v>220000403</v>
      </c>
      <c r="BA12" s="103" t="s">
        <v>629</v>
      </c>
      <c r="BB12" s="104">
        <f t="shared" si="6"/>
        <v>0</v>
      </c>
      <c r="BC12" s="103">
        <v>0</v>
      </c>
      <c r="BE12" s="104">
        <f ca="1">IFERROR(OFFSET(ITEM_RES!$A$5,MATCH(BF12,ITEM_RES!$M$5:$M$84,0)-1,0),0)</f>
        <v>0</v>
      </c>
      <c r="BG12" s="104">
        <f t="shared" si="7"/>
        <v>0</v>
      </c>
    </row>
    <row r="13" spans="1:60" x14ac:dyDescent="0.3">
      <c r="A13" s="107">
        <f t="shared" si="0"/>
        <v>111010009</v>
      </c>
      <c r="B13" s="106">
        <v>11</v>
      </c>
      <c r="C13" s="105">
        <f t="shared" si="1"/>
        <v>1</v>
      </c>
      <c r="D13" s="106">
        <v>1</v>
      </c>
      <c r="E13" s="106">
        <v>0</v>
      </c>
      <c r="F13" s="105">
        <f t="shared" si="2"/>
        <v>9</v>
      </c>
      <c r="H13" s="102">
        <v>1</v>
      </c>
      <c r="I13" s="102">
        <v>9</v>
      </c>
      <c r="K13" s="102" t="s">
        <v>1041</v>
      </c>
      <c r="L13" s="102" t="s">
        <v>767</v>
      </c>
      <c r="M13" s="103" t="s">
        <v>378</v>
      </c>
      <c r="N13" s="102">
        <v>1</v>
      </c>
      <c r="O13" s="102">
        <v>12</v>
      </c>
      <c r="P13" s="102" t="s">
        <v>766</v>
      </c>
      <c r="Q13" s="103" t="s">
        <v>1160</v>
      </c>
      <c r="R13" s="103">
        <v>111010009</v>
      </c>
      <c r="S13" s="104" t="str">
        <f t="shared" si="8"/>
        <v>UITexture/Bldg/111010009.png</v>
      </c>
      <c r="T13" s="102" t="s">
        <v>1042</v>
      </c>
      <c r="U13" s="102">
        <v>-1</v>
      </c>
      <c r="V13" s="102">
        <v>3</v>
      </c>
      <c r="W13" s="102">
        <v>4</v>
      </c>
      <c r="Y13" s="104">
        <f t="shared" si="3"/>
        <v>101</v>
      </c>
      <c r="Z13" s="102">
        <v>90</v>
      </c>
      <c r="AA13" s="102">
        <v>3</v>
      </c>
      <c r="AB13" s="102">
        <v>3</v>
      </c>
      <c r="AC13" s="102">
        <v>900</v>
      </c>
      <c r="AD13" s="102" t="s">
        <v>541</v>
      </c>
      <c r="AE13" s="102">
        <v>9</v>
      </c>
      <c r="AG13" s="104">
        <f t="shared" si="9"/>
        <v>29346</v>
      </c>
      <c r="AH13" s="103">
        <v>29345.68421052632</v>
      </c>
      <c r="AI13" s="172">
        <v>3</v>
      </c>
      <c r="AK13" s="104">
        <f ca="1">IFERROR(OFFSET(ITEM_RES!$A$5,MATCH(AL13,ITEM_RES!$M$5:$M$84,0)-1,0),0)</f>
        <v>220000103</v>
      </c>
      <c r="AL13" s="103" t="s">
        <v>575</v>
      </c>
      <c r="AM13" s="104">
        <f t="shared" si="10"/>
        <v>31000</v>
      </c>
      <c r="AN13" s="103">
        <v>31095.805921052637</v>
      </c>
      <c r="AP13" s="104">
        <f ca="1">IFERROR(OFFSET(ITEM_RES!$A$5,MATCH(AQ13,ITEM_RES!$M$5:$M$84,0)-1,0),0)</f>
        <v>220000203</v>
      </c>
      <c r="AQ13" s="103" t="s">
        <v>593</v>
      </c>
      <c r="AR13" s="104">
        <f t="shared" si="4"/>
        <v>19000</v>
      </c>
      <c r="AS13" s="103">
        <v>18657.483552631584</v>
      </c>
      <c r="AU13" s="104">
        <f ca="1">IFERROR(OFFSET(ITEM_RES!$A$5,MATCH(AV13,ITEM_RES!$M$5:$M$84,0)-1,0),0)</f>
        <v>220000303</v>
      </c>
      <c r="AV13" s="103" t="s">
        <v>611</v>
      </c>
      <c r="AW13" s="104">
        <f t="shared" si="5"/>
        <v>6200</v>
      </c>
      <c r="AX13" s="103">
        <v>6219.1611842105276</v>
      </c>
      <c r="AZ13" s="104">
        <f ca="1">IFERROR(OFFSET(ITEM_RES!$A$5,MATCH(BA13,ITEM_RES!$M$5:$M$84,0)-1,0),0)</f>
        <v>220000403</v>
      </c>
      <c r="BA13" s="103" t="s">
        <v>629</v>
      </c>
      <c r="BB13" s="104">
        <f t="shared" si="6"/>
        <v>0</v>
      </c>
      <c r="BC13" s="103">
        <v>0</v>
      </c>
      <c r="BE13" s="104">
        <f ca="1">IFERROR(OFFSET(ITEM_RES!$A$5,MATCH(BF13,ITEM_RES!$M$5:$M$84,0)-1,0),0)</f>
        <v>0</v>
      </c>
      <c r="BG13" s="104">
        <f t="shared" si="7"/>
        <v>0</v>
      </c>
    </row>
    <row r="14" spans="1:60" x14ac:dyDescent="0.3">
      <c r="A14" s="107">
        <f t="shared" si="0"/>
        <v>111010010</v>
      </c>
      <c r="B14" s="106">
        <v>11</v>
      </c>
      <c r="C14" s="105">
        <f t="shared" si="1"/>
        <v>1</v>
      </c>
      <c r="D14" s="106">
        <v>1</v>
      </c>
      <c r="E14" s="106">
        <v>0</v>
      </c>
      <c r="F14" s="105">
        <f t="shared" si="2"/>
        <v>10</v>
      </c>
      <c r="H14" s="102">
        <v>1</v>
      </c>
      <c r="I14" s="102">
        <v>10</v>
      </c>
      <c r="K14" s="102" t="s">
        <v>1041</v>
      </c>
      <c r="L14" s="102" t="s">
        <v>767</v>
      </c>
      <c r="M14" s="103" t="s">
        <v>378</v>
      </c>
      <c r="N14" s="102">
        <v>1</v>
      </c>
      <c r="O14" s="102">
        <v>12</v>
      </c>
      <c r="P14" s="102" t="s">
        <v>766</v>
      </c>
      <c r="Q14" s="103" t="s">
        <v>1160</v>
      </c>
      <c r="R14" s="103">
        <v>111010010</v>
      </c>
      <c r="S14" s="104" t="str">
        <f t="shared" si="8"/>
        <v>UITexture/Bldg/111010010.png</v>
      </c>
      <c r="T14" s="102" t="s">
        <v>1042</v>
      </c>
      <c r="U14" s="102">
        <v>-1</v>
      </c>
      <c r="V14" s="102">
        <v>3</v>
      </c>
      <c r="W14" s="102">
        <v>4</v>
      </c>
      <c r="Y14" s="104">
        <f t="shared" si="3"/>
        <v>101</v>
      </c>
      <c r="Z14" s="102">
        <v>100</v>
      </c>
      <c r="AA14" s="102">
        <v>3</v>
      </c>
      <c r="AB14" s="102">
        <v>3</v>
      </c>
      <c r="AC14" s="102">
        <v>1000</v>
      </c>
      <c r="AD14" s="102" t="s">
        <v>541</v>
      </c>
      <c r="AE14" s="102">
        <v>10</v>
      </c>
      <c r="AG14" s="104">
        <f t="shared" si="9"/>
        <v>35215</v>
      </c>
      <c r="AH14" s="103">
        <v>35214.821052631582</v>
      </c>
      <c r="AI14" s="172">
        <v>3</v>
      </c>
      <c r="AK14" s="104">
        <f ca="1">IFERROR(OFFSET(ITEM_RES!$A$5,MATCH(AL14,ITEM_RES!$M$5:$M$84,0)-1,0),0)</f>
        <v>220000104</v>
      </c>
      <c r="AL14" s="103" t="s">
        <v>576</v>
      </c>
      <c r="AM14" s="104">
        <f t="shared" si="10"/>
        <v>19000</v>
      </c>
      <c r="AN14" s="103">
        <v>18657.483552631584</v>
      </c>
      <c r="AP14" s="104">
        <f ca="1">IFERROR(OFFSET(ITEM_RES!$A$5,MATCH(AQ14,ITEM_RES!$M$5:$M$84,0)-1,0),0)</f>
        <v>220000204</v>
      </c>
      <c r="AQ14" s="103" t="s">
        <v>594</v>
      </c>
      <c r="AR14" s="104">
        <f t="shared" si="4"/>
        <v>11000</v>
      </c>
      <c r="AS14" s="103">
        <v>11194.49013157895</v>
      </c>
      <c r="AU14" s="104">
        <f ca="1">IFERROR(OFFSET(ITEM_RES!$A$5,MATCH(AV14,ITEM_RES!$M$5:$M$84,0)-1,0),0)</f>
        <v>220000304</v>
      </c>
      <c r="AV14" s="103" t="s">
        <v>612</v>
      </c>
      <c r="AW14" s="104">
        <f t="shared" si="5"/>
        <v>3700</v>
      </c>
      <c r="AX14" s="103">
        <v>3731.4967105263167</v>
      </c>
      <c r="AZ14" s="104">
        <f ca="1">IFERROR(OFFSET(ITEM_RES!$A$5,MATCH(BA14,ITEM_RES!$M$5:$M$84,0)-1,0),0)</f>
        <v>220000404</v>
      </c>
      <c r="BA14" s="103" t="s">
        <v>630</v>
      </c>
      <c r="BB14" s="104">
        <f t="shared" si="6"/>
        <v>0</v>
      </c>
      <c r="BC14" s="103">
        <v>0</v>
      </c>
      <c r="BE14" s="104">
        <f ca="1">IFERROR(OFFSET(ITEM_RES!$A$5,MATCH(BF14,ITEM_RES!$M$5:$M$84,0)-1,0),0)</f>
        <v>0</v>
      </c>
      <c r="BG14" s="104">
        <f t="shared" si="7"/>
        <v>0</v>
      </c>
    </row>
    <row r="15" spans="1:60" x14ac:dyDescent="0.3">
      <c r="A15" s="107">
        <f t="shared" si="0"/>
        <v>111010011</v>
      </c>
      <c r="B15" s="106">
        <v>11</v>
      </c>
      <c r="C15" s="105">
        <f t="shared" si="1"/>
        <v>1</v>
      </c>
      <c r="D15" s="106">
        <v>1</v>
      </c>
      <c r="E15" s="106">
        <v>0</v>
      </c>
      <c r="F15" s="105">
        <f t="shared" si="2"/>
        <v>11</v>
      </c>
      <c r="H15" s="102">
        <v>1</v>
      </c>
      <c r="I15" s="102">
        <v>11</v>
      </c>
      <c r="K15" s="102" t="s">
        <v>1041</v>
      </c>
      <c r="L15" s="102" t="s">
        <v>767</v>
      </c>
      <c r="M15" s="103" t="s">
        <v>378</v>
      </c>
      <c r="N15" s="102">
        <v>1</v>
      </c>
      <c r="O15" s="102">
        <v>12</v>
      </c>
      <c r="P15" s="102" t="s">
        <v>766</v>
      </c>
      <c r="Q15" s="103" t="s">
        <v>1160</v>
      </c>
      <c r="R15" s="103">
        <v>111010011</v>
      </c>
      <c r="S15" s="104" t="str">
        <f t="shared" si="8"/>
        <v>UITexture/Bldg/111010011.png</v>
      </c>
      <c r="T15" s="102" t="s">
        <v>1042</v>
      </c>
      <c r="U15" s="102">
        <v>-1</v>
      </c>
      <c r="V15" s="102">
        <v>3</v>
      </c>
      <c r="W15" s="102">
        <v>4</v>
      </c>
      <c r="Y15" s="104">
        <f t="shared" si="3"/>
        <v>101</v>
      </c>
      <c r="Z15" s="102">
        <v>110</v>
      </c>
      <c r="AA15" s="102">
        <v>3</v>
      </c>
      <c r="AB15" s="102">
        <v>3</v>
      </c>
      <c r="AC15" s="102">
        <v>1100</v>
      </c>
      <c r="AD15" s="102" t="s">
        <v>541</v>
      </c>
      <c r="AE15" s="102">
        <v>11</v>
      </c>
      <c r="AG15" s="104">
        <f t="shared" si="9"/>
        <v>52822</v>
      </c>
      <c r="AH15" s="103">
        <v>52822.231578947372</v>
      </c>
      <c r="AI15" s="172">
        <v>4</v>
      </c>
      <c r="AK15" s="104">
        <f ca="1">IFERROR(OFFSET(ITEM_RES!$A$5,MATCH(AL15,ITEM_RES!$M$5:$M$84,0)-1,0),0)</f>
        <v>220000104</v>
      </c>
      <c r="AL15" s="103" t="s">
        <v>576</v>
      </c>
      <c r="AM15" s="104">
        <f t="shared" si="10"/>
        <v>35000</v>
      </c>
      <c r="AN15" s="103">
        <v>34982.781661184214</v>
      </c>
      <c r="AP15" s="104">
        <f ca="1">IFERROR(OFFSET(ITEM_RES!$A$5,MATCH(AQ15,ITEM_RES!$M$5:$M$84,0)-1,0),0)</f>
        <v>220000204</v>
      </c>
      <c r="AQ15" s="103" t="s">
        <v>594</v>
      </c>
      <c r="AR15" s="104">
        <f t="shared" si="4"/>
        <v>16000</v>
      </c>
      <c r="AS15" s="103">
        <v>15742.251747532897</v>
      </c>
      <c r="AU15" s="104">
        <f ca="1">IFERROR(OFFSET(ITEM_RES!$A$5,MATCH(AV15,ITEM_RES!$M$5:$M$84,0)-1,0),0)</f>
        <v>220000304</v>
      </c>
      <c r="AV15" s="103" t="s">
        <v>612</v>
      </c>
      <c r="AW15" s="104">
        <f t="shared" si="5"/>
        <v>7000</v>
      </c>
      <c r="AX15" s="103">
        <v>6996.5563322368425</v>
      </c>
      <c r="AZ15" s="104">
        <f ca="1">IFERROR(OFFSET(ITEM_RES!$A$5,MATCH(BA15,ITEM_RES!$M$5:$M$84,0)-1,0),0)</f>
        <v>220000404</v>
      </c>
      <c r="BA15" s="103" t="s">
        <v>630</v>
      </c>
      <c r="BB15" s="104">
        <f t="shared" si="6"/>
        <v>1700</v>
      </c>
      <c r="BC15" s="103">
        <v>1749.1390830592106</v>
      </c>
      <c r="BE15" s="104">
        <f ca="1">IFERROR(OFFSET(ITEM_RES!$A$5,MATCH(BF15,ITEM_RES!$M$5:$M$84,0)-1,0),0)</f>
        <v>0</v>
      </c>
      <c r="BG15" s="104">
        <f t="shared" si="7"/>
        <v>0</v>
      </c>
    </row>
    <row r="16" spans="1:60" x14ac:dyDescent="0.3">
      <c r="A16" s="107">
        <f t="shared" si="0"/>
        <v>111010012</v>
      </c>
      <c r="B16" s="106">
        <v>11</v>
      </c>
      <c r="C16" s="105">
        <f t="shared" si="1"/>
        <v>1</v>
      </c>
      <c r="D16" s="106">
        <v>1</v>
      </c>
      <c r="E16" s="106">
        <v>0</v>
      </c>
      <c r="F16" s="105">
        <f t="shared" si="2"/>
        <v>12</v>
      </c>
      <c r="H16" s="102">
        <v>1</v>
      </c>
      <c r="I16" s="102">
        <v>12</v>
      </c>
      <c r="K16" s="102" t="s">
        <v>1041</v>
      </c>
      <c r="L16" s="102" t="s">
        <v>767</v>
      </c>
      <c r="M16" s="103" t="s">
        <v>378</v>
      </c>
      <c r="N16" s="102">
        <v>1</v>
      </c>
      <c r="O16" s="102">
        <v>12</v>
      </c>
      <c r="P16" s="102" t="s">
        <v>766</v>
      </c>
      <c r="Q16" s="103" t="s">
        <v>1160</v>
      </c>
      <c r="R16" s="103">
        <v>111010012</v>
      </c>
      <c r="S16" s="104" t="str">
        <f t="shared" si="8"/>
        <v>UITexture/Bldg/111010012.png</v>
      </c>
      <c r="T16" s="102" t="s">
        <v>1042</v>
      </c>
      <c r="U16" s="102">
        <v>-1</v>
      </c>
      <c r="V16" s="102">
        <v>3</v>
      </c>
      <c r="W16" s="102">
        <v>4</v>
      </c>
      <c r="Y16" s="104">
        <f t="shared" si="3"/>
        <v>101</v>
      </c>
      <c r="Z16" s="102">
        <v>120</v>
      </c>
      <c r="AA16" s="102">
        <v>3</v>
      </c>
      <c r="AB16" s="102">
        <v>3</v>
      </c>
      <c r="AC16" s="102">
        <v>1200</v>
      </c>
      <c r="AD16" s="102" t="s">
        <v>541</v>
      </c>
      <c r="AE16" s="102">
        <v>12</v>
      </c>
      <c r="AG16" s="104">
        <f t="shared" si="9"/>
        <v>79233</v>
      </c>
      <c r="AH16" s="103">
        <v>79233.347368421062</v>
      </c>
      <c r="AI16" s="172">
        <v>4</v>
      </c>
      <c r="AK16" s="104">
        <f ca="1">IFERROR(OFFSET(ITEM_RES!$A$5,MATCH(AL16,ITEM_RES!$M$5:$M$84,0)-1,0),0)</f>
        <v>220000104</v>
      </c>
      <c r="AL16" s="103" t="s">
        <v>576</v>
      </c>
      <c r="AM16" s="104">
        <f t="shared" si="10"/>
        <v>66000</v>
      </c>
      <c r="AN16" s="103">
        <v>65592.715614720408</v>
      </c>
      <c r="AP16" s="104">
        <f ca="1">IFERROR(OFFSET(ITEM_RES!$A$5,MATCH(AQ16,ITEM_RES!$M$5:$M$84,0)-1,0),0)</f>
        <v>220000204</v>
      </c>
      <c r="AQ16" s="103" t="s">
        <v>594</v>
      </c>
      <c r="AR16" s="104">
        <f t="shared" si="4"/>
        <v>30000</v>
      </c>
      <c r="AS16" s="103">
        <v>29516.722026624178</v>
      </c>
      <c r="AU16" s="104">
        <f ca="1">IFERROR(OFFSET(ITEM_RES!$A$5,MATCH(AV16,ITEM_RES!$M$5:$M$84,0)-1,0),0)</f>
        <v>220000304</v>
      </c>
      <c r="AV16" s="103" t="s">
        <v>612</v>
      </c>
      <c r="AW16" s="104">
        <f t="shared" si="5"/>
        <v>13000</v>
      </c>
      <c r="AX16" s="103">
        <v>13118.543122944082</v>
      </c>
      <c r="AZ16" s="104">
        <f ca="1">IFERROR(OFFSET(ITEM_RES!$A$5,MATCH(BA16,ITEM_RES!$M$5:$M$84,0)-1,0),0)</f>
        <v>220000404</v>
      </c>
      <c r="BA16" s="103" t="s">
        <v>630</v>
      </c>
      <c r="BB16" s="104">
        <f t="shared" si="6"/>
        <v>3300</v>
      </c>
      <c r="BC16" s="103">
        <v>3279.6357807360205</v>
      </c>
      <c r="BE16" s="104">
        <f ca="1">IFERROR(OFFSET(ITEM_RES!$A$5,MATCH(BF16,ITEM_RES!$M$5:$M$84,0)-1,0),0)</f>
        <v>0</v>
      </c>
      <c r="BG16" s="104">
        <f t="shared" si="7"/>
        <v>0</v>
      </c>
    </row>
    <row r="17" spans="1:59" x14ac:dyDescent="0.3">
      <c r="A17" s="107">
        <f t="shared" si="0"/>
        <v>111010013</v>
      </c>
      <c r="B17" s="106">
        <v>11</v>
      </c>
      <c r="C17" s="105">
        <f t="shared" si="1"/>
        <v>1</v>
      </c>
      <c r="D17" s="106">
        <v>1</v>
      </c>
      <c r="E17" s="106">
        <v>0</v>
      </c>
      <c r="F17" s="105">
        <f t="shared" si="2"/>
        <v>13</v>
      </c>
      <c r="H17" s="102">
        <v>1</v>
      </c>
      <c r="I17" s="102">
        <v>13</v>
      </c>
      <c r="K17" s="102" t="s">
        <v>1041</v>
      </c>
      <c r="L17" s="102" t="s">
        <v>767</v>
      </c>
      <c r="M17" s="103" t="s">
        <v>378</v>
      </c>
      <c r="N17" s="102">
        <v>0</v>
      </c>
      <c r="O17" s="102">
        <v>12</v>
      </c>
      <c r="P17" s="102" t="s">
        <v>766</v>
      </c>
      <c r="Q17" s="103" t="s">
        <v>1160</v>
      </c>
      <c r="R17" s="103">
        <v>111010013</v>
      </c>
      <c r="S17" s="104" t="str">
        <f t="shared" si="8"/>
        <v>UITexture/Bldg/111010013.png</v>
      </c>
      <c r="T17" s="102" t="s">
        <v>1042</v>
      </c>
      <c r="U17" s="102">
        <v>-1</v>
      </c>
      <c r="V17" s="102">
        <v>3</v>
      </c>
      <c r="W17" s="102">
        <v>4</v>
      </c>
      <c r="Y17" s="104">
        <f t="shared" si="3"/>
        <v>101</v>
      </c>
      <c r="Z17" s="102">
        <v>130</v>
      </c>
      <c r="AA17" s="102">
        <v>3</v>
      </c>
      <c r="AB17" s="102">
        <v>3</v>
      </c>
      <c r="AC17" s="102">
        <v>1300</v>
      </c>
      <c r="AD17" s="102" t="s">
        <v>541</v>
      </c>
      <c r="AE17" s="102">
        <v>13</v>
      </c>
      <c r="AG17" s="104">
        <f t="shared" si="9"/>
        <v>103003</v>
      </c>
      <c r="AH17" s="103">
        <v>103003.35157894739</v>
      </c>
      <c r="AI17" s="172">
        <v>4</v>
      </c>
      <c r="AK17" s="104">
        <f ca="1">IFERROR(OFFSET(ITEM_RES!$A$5,MATCH(AL17,ITEM_RES!$M$5:$M$84,0)-1,0),0)</f>
        <v>220000105</v>
      </c>
      <c r="AL17" s="103" t="s">
        <v>577</v>
      </c>
      <c r="AM17" s="104">
        <f t="shared" si="10"/>
        <v>36000</v>
      </c>
      <c r="AN17" s="103">
        <v>35529.387624640221</v>
      </c>
      <c r="AP17" s="104">
        <f ca="1">IFERROR(OFFSET(ITEM_RES!$A$5,MATCH(AQ17,ITEM_RES!$M$5:$M$84,0)-1,0),0)</f>
        <v>220000205</v>
      </c>
      <c r="AQ17" s="103" t="s">
        <v>595</v>
      </c>
      <c r="AR17" s="104">
        <f t="shared" si="4"/>
        <v>16000</v>
      </c>
      <c r="AS17" s="103">
        <v>15988.224431088096</v>
      </c>
      <c r="AU17" s="104">
        <f ca="1">IFERROR(OFFSET(ITEM_RES!$A$5,MATCH(AV17,ITEM_RES!$M$5:$M$84,0)-1,0),0)</f>
        <v>220000305</v>
      </c>
      <c r="AV17" s="103" t="s">
        <v>613</v>
      </c>
      <c r="AW17" s="104">
        <f t="shared" si="5"/>
        <v>7100</v>
      </c>
      <c r="AX17" s="103">
        <v>7105.8775249280443</v>
      </c>
      <c r="AZ17" s="104">
        <f ca="1">IFERROR(OFFSET(ITEM_RES!$A$5,MATCH(BA17,ITEM_RES!$M$5:$M$84,0)-1,0),0)</f>
        <v>220000405</v>
      </c>
      <c r="BA17" s="103" t="s">
        <v>631</v>
      </c>
      <c r="BB17" s="104">
        <f t="shared" si="6"/>
        <v>1800</v>
      </c>
      <c r="BC17" s="103">
        <v>1776.4693812320111</v>
      </c>
      <c r="BE17" s="104">
        <f ca="1">IFERROR(OFFSET(ITEM_RES!$A$5,MATCH(BF17,ITEM_RES!$M$5:$M$84,0)-1,0),0)</f>
        <v>0</v>
      </c>
      <c r="BG17" s="104">
        <f t="shared" si="7"/>
        <v>0</v>
      </c>
    </row>
    <row r="18" spans="1:59" x14ac:dyDescent="0.3">
      <c r="A18" s="107">
        <f t="shared" si="0"/>
        <v>111010014</v>
      </c>
      <c r="B18" s="106">
        <v>11</v>
      </c>
      <c r="C18" s="105">
        <f t="shared" si="1"/>
        <v>1</v>
      </c>
      <c r="D18" s="106">
        <v>1</v>
      </c>
      <c r="E18" s="106">
        <v>0</v>
      </c>
      <c r="F18" s="105">
        <f t="shared" si="2"/>
        <v>14</v>
      </c>
      <c r="H18" s="102">
        <v>1</v>
      </c>
      <c r="I18" s="102">
        <v>14</v>
      </c>
      <c r="K18" s="102" t="s">
        <v>1041</v>
      </c>
      <c r="L18" s="102" t="s">
        <v>767</v>
      </c>
      <c r="M18" s="103" t="s">
        <v>378</v>
      </c>
      <c r="N18" s="102">
        <v>0</v>
      </c>
      <c r="O18" s="102">
        <v>12</v>
      </c>
      <c r="P18" s="102" t="s">
        <v>766</v>
      </c>
      <c r="Q18" s="103" t="s">
        <v>1160</v>
      </c>
      <c r="R18" s="103">
        <v>111010014</v>
      </c>
      <c r="S18" s="104" t="str">
        <f t="shared" si="8"/>
        <v>UITexture/Bldg/111010014.png</v>
      </c>
      <c r="T18" s="102" t="s">
        <v>1042</v>
      </c>
      <c r="U18" s="102">
        <v>-1</v>
      </c>
      <c r="V18" s="102">
        <v>3</v>
      </c>
      <c r="W18" s="102">
        <v>4</v>
      </c>
      <c r="Y18" s="104">
        <f t="shared" si="3"/>
        <v>101</v>
      </c>
      <c r="Z18" s="102">
        <v>140</v>
      </c>
      <c r="AA18" s="102">
        <v>3</v>
      </c>
      <c r="AB18" s="102">
        <v>3</v>
      </c>
      <c r="AC18" s="102">
        <v>1400</v>
      </c>
      <c r="AD18" s="102" t="s">
        <v>541</v>
      </c>
      <c r="AE18" s="102">
        <v>14</v>
      </c>
      <c r="AG18" s="104">
        <f t="shared" si="9"/>
        <v>113304</v>
      </c>
      <c r="AH18" s="103">
        <v>113303.68673684211</v>
      </c>
      <c r="AI18" s="172">
        <v>4</v>
      </c>
      <c r="AK18" s="104">
        <f ca="1">IFERROR(OFFSET(ITEM_RES!$A$5,MATCH(AL18,ITEM_RES!$M$5:$M$84,0)-1,0),0)</f>
        <v>220000105</v>
      </c>
      <c r="AL18" s="103" t="s">
        <v>577</v>
      </c>
      <c r="AM18" s="104">
        <f t="shared" si="10"/>
        <v>49000</v>
      </c>
      <c r="AN18" s="103">
        <v>48852.907983880294</v>
      </c>
      <c r="AP18" s="104">
        <f ca="1">IFERROR(OFFSET(ITEM_RES!$A$5,MATCH(AQ18,ITEM_RES!$M$5:$M$84,0)-1,0),0)</f>
        <v>220000205</v>
      </c>
      <c r="AQ18" s="103" t="s">
        <v>595</v>
      </c>
      <c r="AR18" s="104">
        <f t="shared" si="4"/>
        <v>22000</v>
      </c>
      <c r="AS18" s="103">
        <v>21983.808592746136</v>
      </c>
      <c r="AU18" s="104">
        <f ca="1">IFERROR(OFFSET(ITEM_RES!$A$5,MATCH(AV18,ITEM_RES!$M$5:$M$84,0)-1,0),0)</f>
        <v>220000305</v>
      </c>
      <c r="AV18" s="103" t="s">
        <v>613</v>
      </c>
      <c r="AW18" s="104">
        <f t="shared" si="5"/>
        <v>9800</v>
      </c>
      <c r="AX18" s="103">
        <v>9770.5815967760591</v>
      </c>
      <c r="AZ18" s="104">
        <f ca="1">IFERROR(OFFSET(ITEM_RES!$A$5,MATCH(BA18,ITEM_RES!$M$5:$M$84,0)-1,0),0)</f>
        <v>220000405</v>
      </c>
      <c r="BA18" s="103" t="s">
        <v>631</v>
      </c>
      <c r="BB18" s="104">
        <f t="shared" si="6"/>
        <v>2400</v>
      </c>
      <c r="BC18" s="103">
        <v>2442.6453991940148</v>
      </c>
      <c r="BE18" s="104">
        <f ca="1">IFERROR(OFFSET(ITEM_RES!$A$5,MATCH(BF18,ITEM_RES!$M$5:$M$84,0)-1,0),0)</f>
        <v>0</v>
      </c>
      <c r="BG18" s="104">
        <f t="shared" si="7"/>
        <v>0</v>
      </c>
    </row>
    <row r="19" spans="1:59" x14ac:dyDescent="0.3">
      <c r="A19" s="107">
        <f t="shared" si="0"/>
        <v>111010015</v>
      </c>
      <c r="B19" s="106">
        <v>11</v>
      </c>
      <c r="C19" s="105">
        <f t="shared" si="1"/>
        <v>1</v>
      </c>
      <c r="D19" s="106">
        <v>1</v>
      </c>
      <c r="E19" s="106">
        <v>0</v>
      </c>
      <c r="F19" s="105">
        <f t="shared" si="2"/>
        <v>15</v>
      </c>
      <c r="H19" s="102">
        <v>1</v>
      </c>
      <c r="I19" s="102">
        <v>15</v>
      </c>
      <c r="K19" s="102" t="s">
        <v>1041</v>
      </c>
      <c r="L19" s="102" t="s">
        <v>767</v>
      </c>
      <c r="M19" s="103" t="s">
        <v>378</v>
      </c>
      <c r="N19" s="102">
        <v>0</v>
      </c>
      <c r="O19" s="102">
        <v>12</v>
      </c>
      <c r="P19" s="102" t="s">
        <v>766</v>
      </c>
      <c r="Q19" s="103" t="s">
        <v>1160</v>
      </c>
      <c r="R19" s="103">
        <v>111010015</v>
      </c>
      <c r="S19" s="104" t="str">
        <f t="shared" si="8"/>
        <v>UITexture/Bldg/111010015.png</v>
      </c>
      <c r="T19" s="102" t="s">
        <v>1042</v>
      </c>
      <c r="U19" s="102">
        <v>-1</v>
      </c>
      <c r="V19" s="102">
        <v>3</v>
      </c>
      <c r="W19" s="102">
        <v>4</v>
      </c>
      <c r="Y19" s="104">
        <f t="shared" si="3"/>
        <v>101</v>
      </c>
      <c r="Z19" s="102">
        <v>150</v>
      </c>
      <c r="AA19" s="102">
        <v>3</v>
      </c>
      <c r="AB19" s="102">
        <v>3</v>
      </c>
      <c r="AC19" s="102">
        <v>1500</v>
      </c>
      <c r="AD19" s="102" t="s">
        <v>541</v>
      </c>
      <c r="AE19" s="102">
        <v>15</v>
      </c>
      <c r="AG19" s="104">
        <f t="shared" si="9"/>
        <v>124634</v>
      </c>
      <c r="AH19" s="103">
        <v>124634.05541052633</v>
      </c>
      <c r="AI19" s="172">
        <v>4</v>
      </c>
      <c r="AK19" s="104">
        <f ca="1">IFERROR(OFFSET(ITEM_RES!$A$5,MATCH(AL19,ITEM_RES!$M$5:$M$84,0)-1,0),0)</f>
        <v>220000105</v>
      </c>
      <c r="AL19" s="103" t="s">
        <v>577</v>
      </c>
      <c r="AM19" s="104">
        <f t="shared" si="10"/>
        <v>67000</v>
      </c>
      <c r="AN19" s="103">
        <v>67172.748477835426</v>
      </c>
      <c r="AP19" s="104">
        <f ca="1">IFERROR(OFFSET(ITEM_RES!$A$5,MATCH(AQ19,ITEM_RES!$M$5:$M$84,0)-1,0),0)</f>
        <v>220000205</v>
      </c>
      <c r="AQ19" s="103" t="s">
        <v>595</v>
      </c>
      <c r="AR19" s="104">
        <f t="shared" si="4"/>
        <v>30000</v>
      </c>
      <c r="AS19" s="103">
        <v>30227.736815025943</v>
      </c>
      <c r="AU19" s="104">
        <f ca="1">IFERROR(OFFSET(ITEM_RES!$A$5,MATCH(AV19,ITEM_RES!$M$5:$M$84,0)-1,0),0)</f>
        <v>220000305</v>
      </c>
      <c r="AV19" s="103" t="s">
        <v>613</v>
      </c>
      <c r="AW19" s="104">
        <f t="shared" si="5"/>
        <v>13000</v>
      </c>
      <c r="AX19" s="103">
        <v>13434.549695567084</v>
      </c>
      <c r="AZ19" s="104">
        <f ca="1">IFERROR(OFFSET(ITEM_RES!$A$5,MATCH(BA19,ITEM_RES!$M$5:$M$84,0)-1,0),0)</f>
        <v>220000405</v>
      </c>
      <c r="BA19" s="103" t="s">
        <v>631</v>
      </c>
      <c r="BB19" s="104">
        <f t="shared" si="6"/>
        <v>3400</v>
      </c>
      <c r="BC19" s="103">
        <v>3358.637423891771</v>
      </c>
      <c r="BE19" s="104">
        <f ca="1">IFERROR(OFFSET(ITEM_RES!$A$5,MATCH(BF19,ITEM_RES!$M$5:$M$84,0)-1,0),0)</f>
        <v>0</v>
      </c>
      <c r="BG19" s="104">
        <f t="shared" si="7"/>
        <v>0</v>
      </c>
    </row>
    <row r="20" spans="1:59" x14ac:dyDescent="0.3">
      <c r="A20" s="107">
        <f t="shared" si="0"/>
        <v>111010016</v>
      </c>
      <c r="B20" s="106">
        <v>11</v>
      </c>
      <c r="C20" s="105">
        <f t="shared" si="1"/>
        <v>1</v>
      </c>
      <c r="D20" s="106">
        <v>1</v>
      </c>
      <c r="E20" s="106">
        <v>0</v>
      </c>
      <c r="F20" s="105">
        <f t="shared" si="2"/>
        <v>16</v>
      </c>
      <c r="H20" s="102">
        <v>1</v>
      </c>
      <c r="I20" s="102">
        <v>16</v>
      </c>
      <c r="K20" s="102" t="s">
        <v>1041</v>
      </c>
      <c r="L20" s="102" t="s">
        <v>767</v>
      </c>
      <c r="M20" s="103" t="s">
        <v>378</v>
      </c>
      <c r="N20" s="102">
        <v>0</v>
      </c>
      <c r="O20" s="102">
        <v>12</v>
      </c>
      <c r="P20" s="102" t="s">
        <v>766</v>
      </c>
      <c r="Q20" s="103" t="s">
        <v>1160</v>
      </c>
      <c r="R20" s="103">
        <v>111010016</v>
      </c>
      <c r="S20" s="104" t="str">
        <f t="shared" si="8"/>
        <v>UITexture/Bldg/111010016.png</v>
      </c>
      <c r="T20" s="102" t="s">
        <v>1042</v>
      </c>
      <c r="U20" s="102">
        <v>-1</v>
      </c>
      <c r="V20" s="102">
        <v>3</v>
      </c>
      <c r="W20" s="102">
        <v>4</v>
      </c>
      <c r="Y20" s="104">
        <f t="shared" si="3"/>
        <v>101</v>
      </c>
      <c r="Z20" s="102">
        <v>160</v>
      </c>
      <c r="AA20" s="102">
        <v>3</v>
      </c>
      <c r="AB20" s="102">
        <v>3</v>
      </c>
      <c r="AC20" s="102">
        <v>1600</v>
      </c>
      <c r="AD20" s="102" t="s">
        <v>541</v>
      </c>
      <c r="AE20" s="102">
        <v>16</v>
      </c>
      <c r="AG20" s="104">
        <f t="shared" si="9"/>
        <v>137097</v>
      </c>
      <c r="AH20" s="103">
        <v>137097.46095157898</v>
      </c>
      <c r="AI20" s="172">
        <v>4</v>
      </c>
      <c r="AK20" s="104">
        <f ca="1">IFERROR(OFFSET(ITEM_RES!$A$5,MATCH(AL20,ITEM_RES!$M$5:$M$84,0)-1,0),0)</f>
        <v>220000106</v>
      </c>
      <c r="AL20" s="103" t="s">
        <v>578</v>
      </c>
      <c r="AM20" s="104">
        <f t="shared" si="10"/>
        <v>19000</v>
      </c>
      <c r="AN20" s="103">
        <v>19242.19357437994</v>
      </c>
      <c r="AP20" s="104">
        <f ca="1">IFERROR(OFFSET(ITEM_RES!$A$5,MATCH(AQ20,ITEM_RES!$M$5:$M$84,0)-1,0),0)</f>
        <v>220000206</v>
      </c>
      <c r="AQ20" s="103" t="s">
        <v>596</v>
      </c>
      <c r="AR20" s="104">
        <f t="shared" si="4"/>
        <v>12000</v>
      </c>
      <c r="AS20" s="103">
        <v>11545.316144627963</v>
      </c>
      <c r="AU20" s="104">
        <f ca="1">IFERROR(OFFSET(ITEM_RES!$A$5,MATCH(AV20,ITEM_RES!$M$5:$M$84,0)-1,0),0)</f>
        <v>220000306</v>
      </c>
      <c r="AV20" s="103" t="s">
        <v>614</v>
      </c>
      <c r="AW20" s="104">
        <f t="shared" si="5"/>
        <v>7700</v>
      </c>
      <c r="AX20" s="103">
        <v>7696.8774297519758</v>
      </c>
      <c r="AZ20" s="104">
        <f ca="1">IFERROR(OFFSET(ITEM_RES!$A$5,MATCH(BA20,ITEM_RES!$M$5:$M$84,0)-1,0),0)</f>
        <v>220000406</v>
      </c>
      <c r="BA20" s="103" t="s">
        <v>632</v>
      </c>
      <c r="BB20" s="104">
        <f t="shared" si="6"/>
        <v>3800</v>
      </c>
      <c r="BC20" s="103">
        <v>3848.4387148759879</v>
      </c>
      <c r="BE20" s="104">
        <f ca="1">IFERROR(OFFSET(ITEM_RES!$A$5,MATCH(BF20,ITEM_RES!$M$5:$M$84,0)-1,0),0)</f>
        <v>0</v>
      </c>
      <c r="BG20" s="104">
        <f t="shared" si="7"/>
        <v>0</v>
      </c>
    </row>
    <row r="21" spans="1:59" x14ac:dyDescent="0.3">
      <c r="A21" s="107">
        <f t="shared" si="0"/>
        <v>111010017</v>
      </c>
      <c r="B21" s="106">
        <v>11</v>
      </c>
      <c r="C21" s="105">
        <f t="shared" si="1"/>
        <v>1</v>
      </c>
      <c r="D21" s="106">
        <v>1</v>
      </c>
      <c r="E21" s="106">
        <v>0</v>
      </c>
      <c r="F21" s="105">
        <f t="shared" si="2"/>
        <v>17</v>
      </c>
      <c r="H21" s="102">
        <v>1</v>
      </c>
      <c r="I21" s="102">
        <v>17</v>
      </c>
      <c r="K21" s="102" t="s">
        <v>1041</v>
      </c>
      <c r="L21" s="102" t="s">
        <v>767</v>
      </c>
      <c r="M21" s="103" t="s">
        <v>378</v>
      </c>
      <c r="N21" s="102">
        <v>0</v>
      </c>
      <c r="O21" s="102">
        <v>12</v>
      </c>
      <c r="P21" s="102" t="s">
        <v>766</v>
      </c>
      <c r="Q21" s="103" t="s">
        <v>1160</v>
      </c>
      <c r="R21" s="103">
        <v>111010017</v>
      </c>
      <c r="S21" s="104" t="str">
        <f t="shared" si="8"/>
        <v>UITexture/Bldg/111010017.png</v>
      </c>
      <c r="T21" s="102" t="s">
        <v>1042</v>
      </c>
      <c r="U21" s="102">
        <v>-1</v>
      </c>
      <c r="V21" s="102">
        <v>3</v>
      </c>
      <c r="W21" s="102">
        <v>4</v>
      </c>
      <c r="Y21" s="104">
        <f t="shared" si="3"/>
        <v>101</v>
      </c>
      <c r="Z21" s="102">
        <v>170</v>
      </c>
      <c r="AA21" s="102">
        <v>3</v>
      </c>
      <c r="AB21" s="102">
        <v>3</v>
      </c>
      <c r="AC21" s="102">
        <v>1700</v>
      </c>
      <c r="AD21" s="102" t="s">
        <v>541</v>
      </c>
      <c r="AE21" s="102">
        <v>17</v>
      </c>
      <c r="AG21" s="104">
        <f t="shared" si="9"/>
        <v>205646</v>
      </c>
      <c r="AH21" s="103">
        <v>205646.19142736847</v>
      </c>
      <c r="AI21" s="172">
        <v>4</v>
      </c>
      <c r="AK21" s="104">
        <f ca="1">IFERROR(OFFSET(ITEM_RES!$A$5,MATCH(AL21,ITEM_RES!$M$5:$M$84,0)-1,0),0)</f>
        <v>220000106</v>
      </c>
      <c r="AL21" s="103" t="s">
        <v>578</v>
      </c>
      <c r="AM21" s="104">
        <f t="shared" si="10"/>
        <v>36000</v>
      </c>
      <c r="AN21" s="103">
        <v>36079.112951962386</v>
      </c>
      <c r="AP21" s="104">
        <f ca="1">IFERROR(OFFSET(ITEM_RES!$A$5,MATCH(AQ21,ITEM_RES!$M$5:$M$84,0)-1,0),0)</f>
        <v>220000206</v>
      </c>
      <c r="AQ21" s="103" t="s">
        <v>596</v>
      </c>
      <c r="AR21" s="104">
        <f t="shared" si="4"/>
        <v>22000</v>
      </c>
      <c r="AS21" s="103">
        <v>21647.467771177435</v>
      </c>
      <c r="AU21" s="104">
        <f ca="1">IFERROR(OFFSET(ITEM_RES!$A$5,MATCH(AV21,ITEM_RES!$M$5:$M$84,0)-1,0),0)</f>
        <v>220000306</v>
      </c>
      <c r="AV21" s="103" t="s">
        <v>614</v>
      </c>
      <c r="AW21" s="104">
        <f t="shared" si="5"/>
        <v>14000</v>
      </c>
      <c r="AX21" s="103">
        <v>14431.645180784955</v>
      </c>
      <c r="AZ21" s="104">
        <f ca="1">IFERROR(OFFSET(ITEM_RES!$A$5,MATCH(BA21,ITEM_RES!$M$5:$M$84,0)-1,0),0)</f>
        <v>220000406</v>
      </c>
      <c r="BA21" s="103" t="s">
        <v>632</v>
      </c>
      <c r="BB21" s="104">
        <f t="shared" si="6"/>
        <v>7200</v>
      </c>
      <c r="BC21" s="103">
        <v>7215.8225903924777</v>
      </c>
      <c r="BE21" s="104">
        <f ca="1">IFERROR(OFFSET(ITEM_RES!$A$5,MATCH(BF21,ITEM_RES!$M$5:$M$84,0)-1,0),0)</f>
        <v>0</v>
      </c>
      <c r="BG21" s="104">
        <f t="shared" si="7"/>
        <v>0</v>
      </c>
    </row>
    <row r="22" spans="1:59" x14ac:dyDescent="0.3">
      <c r="A22" s="107">
        <f t="shared" si="0"/>
        <v>111010018</v>
      </c>
      <c r="B22" s="106">
        <v>11</v>
      </c>
      <c r="C22" s="105">
        <f t="shared" si="1"/>
        <v>1</v>
      </c>
      <c r="D22" s="106">
        <v>1</v>
      </c>
      <c r="E22" s="106">
        <v>0</v>
      </c>
      <c r="F22" s="105">
        <f t="shared" si="2"/>
        <v>18</v>
      </c>
      <c r="H22" s="102">
        <v>1</v>
      </c>
      <c r="I22" s="102">
        <v>18</v>
      </c>
      <c r="K22" s="102" t="s">
        <v>1041</v>
      </c>
      <c r="L22" s="102" t="s">
        <v>767</v>
      </c>
      <c r="M22" s="103" t="s">
        <v>378</v>
      </c>
      <c r="N22" s="102">
        <v>0</v>
      </c>
      <c r="O22" s="102">
        <v>12</v>
      </c>
      <c r="P22" s="102" t="s">
        <v>766</v>
      </c>
      <c r="Q22" s="103" t="s">
        <v>1160</v>
      </c>
      <c r="R22" s="103">
        <v>111010018</v>
      </c>
      <c r="S22" s="104" t="str">
        <f t="shared" si="8"/>
        <v>UITexture/Bldg/111010018.png</v>
      </c>
      <c r="T22" s="102" t="s">
        <v>1042</v>
      </c>
      <c r="U22" s="102">
        <v>-1</v>
      </c>
      <c r="V22" s="102">
        <v>3</v>
      </c>
      <c r="W22" s="102">
        <v>4</v>
      </c>
      <c r="Y22" s="104">
        <f t="shared" si="3"/>
        <v>101</v>
      </c>
      <c r="Z22" s="102">
        <v>180</v>
      </c>
      <c r="AA22" s="102">
        <v>3</v>
      </c>
      <c r="AB22" s="102">
        <v>3</v>
      </c>
      <c r="AC22" s="102">
        <v>1800</v>
      </c>
      <c r="AD22" s="102" t="s">
        <v>541</v>
      </c>
      <c r="AE22" s="102">
        <v>18</v>
      </c>
      <c r="AG22" s="104">
        <f t="shared" si="9"/>
        <v>308469</v>
      </c>
      <c r="AH22" s="103">
        <v>308469.28714105272</v>
      </c>
      <c r="AI22" s="172">
        <v>4</v>
      </c>
      <c r="AK22" s="104">
        <f ca="1">IFERROR(OFFSET(ITEM_RES!$A$5,MATCH(AL22,ITEM_RES!$M$5:$M$84,0)-1,0),0)</f>
        <v>220000106</v>
      </c>
      <c r="AL22" s="103" t="s">
        <v>578</v>
      </c>
      <c r="AM22" s="104">
        <f t="shared" si="10"/>
        <v>68000</v>
      </c>
      <c r="AN22" s="103">
        <v>67648.336784929503</v>
      </c>
      <c r="AP22" s="104">
        <f ca="1">IFERROR(OFFSET(ITEM_RES!$A$5,MATCH(AQ22,ITEM_RES!$M$5:$M$84,0)-1,0),0)</f>
        <v>220000206</v>
      </c>
      <c r="AQ22" s="103" t="s">
        <v>596</v>
      </c>
      <c r="AR22" s="104">
        <f t="shared" si="4"/>
        <v>41000</v>
      </c>
      <c r="AS22" s="103">
        <v>40589.0020709577</v>
      </c>
      <c r="AU22" s="104">
        <f ca="1">IFERROR(OFFSET(ITEM_RES!$A$5,MATCH(AV22,ITEM_RES!$M$5:$M$84,0)-1,0),0)</f>
        <v>220000306</v>
      </c>
      <c r="AV22" s="103" t="s">
        <v>614</v>
      </c>
      <c r="AW22" s="104">
        <f t="shared" si="5"/>
        <v>27000</v>
      </c>
      <c r="AX22" s="103">
        <v>27059.334713971799</v>
      </c>
      <c r="AZ22" s="104">
        <f ca="1">IFERROR(OFFSET(ITEM_RES!$A$5,MATCH(BA22,ITEM_RES!$M$5:$M$84,0)-1,0),0)</f>
        <v>220000406</v>
      </c>
      <c r="BA22" s="103" t="s">
        <v>632</v>
      </c>
      <c r="BB22" s="104">
        <f t="shared" si="6"/>
        <v>14000</v>
      </c>
      <c r="BC22" s="103">
        <v>13529.667356985899</v>
      </c>
      <c r="BE22" s="104">
        <f ca="1">IFERROR(OFFSET(ITEM_RES!$A$5,MATCH(BF22,ITEM_RES!$M$5:$M$84,0)-1,0),0)</f>
        <v>0</v>
      </c>
      <c r="BG22" s="104">
        <f t="shared" si="7"/>
        <v>0</v>
      </c>
    </row>
    <row r="23" spans="1:59" x14ac:dyDescent="0.3">
      <c r="A23" s="107">
        <f t="shared" si="0"/>
        <v>111010019</v>
      </c>
      <c r="B23" s="106">
        <v>11</v>
      </c>
      <c r="C23" s="105">
        <f t="shared" si="1"/>
        <v>1</v>
      </c>
      <c r="D23" s="106">
        <v>1</v>
      </c>
      <c r="E23" s="106">
        <v>0</v>
      </c>
      <c r="F23" s="105">
        <f t="shared" si="2"/>
        <v>19</v>
      </c>
      <c r="H23" s="102">
        <v>1</v>
      </c>
      <c r="I23" s="102">
        <v>19</v>
      </c>
      <c r="K23" s="102" t="s">
        <v>1041</v>
      </c>
      <c r="L23" s="102" t="s">
        <v>767</v>
      </c>
      <c r="M23" s="103" t="s">
        <v>378</v>
      </c>
      <c r="N23" s="102">
        <v>0</v>
      </c>
      <c r="O23" s="102">
        <v>12</v>
      </c>
      <c r="P23" s="102" t="s">
        <v>766</v>
      </c>
      <c r="Q23" s="103" t="s">
        <v>1160</v>
      </c>
      <c r="R23" s="103">
        <v>111010019</v>
      </c>
      <c r="S23" s="104" t="str">
        <f t="shared" si="8"/>
        <v>UITexture/Bldg/111010019.png</v>
      </c>
      <c r="T23" s="102" t="s">
        <v>1042</v>
      </c>
      <c r="U23" s="102">
        <v>-1</v>
      </c>
      <c r="V23" s="102">
        <v>3</v>
      </c>
      <c r="W23" s="102">
        <v>4</v>
      </c>
      <c r="Y23" s="104">
        <f t="shared" si="3"/>
        <v>101</v>
      </c>
      <c r="Z23" s="102">
        <v>190</v>
      </c>
      <c r="AA23" s="102">
        <v>3</v>
      </c>
      <c r="AB23" s="102">
        <v>3</v>
      </c>
      <c r="AC23" s="102">
        <v>1900</v>
      </c>
      <c r="AD23" s="102" t="s">
        <v>541</v>
      </c>
      <c r="AE23" s="102">
        <v>19</v>
      </c>
      <c r="AG23" s="104">
        <f t="shared" si="9"/>
        <v>370163</v>
      </c>
      <c r="AH23" s="103">
        <v>370163.14456926327</v>
      </c>
      <c r="AI23" s="172">
        <v>4</v>
      </c>
      <c r="AK23" s="104">
        <f ca="1">IFERROR(OFFSET(ITEM_RES!$A$5,MATCH(AL23,ITEM_RES!$M$5:$M$84,0)-1,0),0)</f>
        <v>220000107</v>
      </c>
      <c r="AL23" s="103" t="s">
        <v>579</v>
      </c>
      <c r="AM23" s="104">
        <f t="shared" si="10"/>
        <v>34000</v>
      </c>
      <c r="AN23" s="103">
        <v>33824.168392464737</v>
      </c>
      <c r="AP23" s="104">
        <f ca="1">IFERROR(OFFSET(ITEM_RES!$A$5,MATCH(AQ23,ITEM_RES!$M$5:$M$84,0)-1,0),0)</f>
        <v>220000207</v>
      </c>
      <c r="AQ23" s="103" t="s">
        <v>597</v>
      </c>
      <c r="AR23" s="104">
        <f t="shared" si="4"/>
        <v>20000</v>
      </c>
      <c r="AS23" s="103">
        <v>20294.501035478839</v>
      </c>
      <c r="AU23" s="104">
        <f ca="1">IFERROR(OFFSET(ITEM_RES!$A$5,MATCH(AV23,ITEM_RES!$M$5:$M$84,0)-1,0),0)</f>
        <v>220000307</v>
      </c>
      <c r="AV23" s="103" t="s">
        <v>615</v>
      </c>
      <c r="AW23" s="104">
        <f t="shared" si="5"/>
        <v>14000</v>
      </c>
      <c r="AX23" s="103">
        <v>13529.667356985894</v>
      </c>
      <c r="AZ23" s="104">
        <f ca="1">IFERROR(OFFSET(ITEM_RES!$A$5,MATCH(BA23,ITEM_RES!$M$5:$M$84,0)-1,0),0)</f>
        <v>220000407</v>
      </c>
      <c r="BA23" s="103" t="s">
        <v>633</v>
      </c>
      <c r="BB23" s="104">
        <f t="shared" si="6"/>
        <v>6800</v>
      </c>
      <c r="BC23" s="103">
        <v>6764.833678492947</v>
      </c>
      <c r="BE23" s="104">
        <f ca="1">IFERROR(OFFSET(ITEM_RES!$A$5,MATCH(BF23,ITEM_RES!$M$5:$M$84,0)-1,0),0)</f>
        <v>0</v>
      </c>
      <c r="BG23" s="104">
        <f t="shared" si="7"/>
        <v>0</v>
      </c>
    </row>
    <row r="24" spans="1:59" x14ac:dyDescent="0.3">
      <c r="A24" s="107">
        <f t="shared" si="0"/>
        <v>111010020</v>
      </c>
      <c r="B24" s="106">
        <v>11</v>
      </c>
      <c r="C24" s="105">
        <f t="shared" si="1"/>
        <v>1</v>
      </c>
      <c r="D24" s="106">
        <v>1</v>
      </c>
      <c r="E24" s="106">
        <v>0</v>
      </c>
      <c r="F24" s="105">
        <f t="shared" si="2"/>
        <v>20</v>
      </c>
      <c r="H24" s="102">
        <v>1</v>
      </c>
      <c r="I24" s="102">
        <v>20</v>
      </c>
      <c r="K24" s="102" t="s">
        <v>1041</v>
      </c>
      <c r="L24" s="102" t="s">
        <v>767</v>
      </c>
      <c r="M24" s="103" t="s">
        <v>378</v>
      </c>
      <c r="N24" s="102">
        <v>0</v>
      </c>
      <c r="O24" s="102">
        <v>12</v>
      </c>
      <c r="P24" s="102" t="s">
        <v>766</v>
      </c>
      <c r="Q24" s="103" t="s">
        <v>1160</v>
      </c>
      <c r="R24" s="103">
        <v>111010020</v>
      </c>
      <c r="S24" s="104" t="str">
        <f t="shared" si="8"/>
        <v>UITexture/Bldg/111010020.png</v>
      </c>
      <c r="T24" s="102" t="s">
        <v>1042</v>
      </c>
      <c r="U24" s="102">
        <v>-1</v>
      </c>
      <c r="V24" s="102">
        <v>3</v>
      </c>
      <c r="W24" s="102">
        <v>4</v>
      </c>
      <c r="Y24" s="104">
        <f t="shared" si="3"/>
        <v>101</v>
      </c>
      <c r="Z24" s="102">
        <v>200</v>
      </c>
      <c r="AA24" s="102">
        <v>3</v>
      </c>
      <c r="AB24" s="102">
        <v>3</v>
      </c>
      <c r="AC24" s="102">
        <v>2000</v>
      </c>
      <c r="AD24" s="102" t="s">
        <v>541</v>
      </c>
      <c r="AE24" s="102">
        <v>20</v>
      </c>
      <c r="AG24" s="104">
        <f t="shared" si="9"/>
        <v>407179</v>
      </c>
      <c r="AH24" s="103">
        <v>407179.45902618964</v>
      </c>
      <c r="AI24" s="172">
        <v>4</v>
      </c>
      <c r="AK24" s="104">
        <f ca="1">IFERROR(OFFSET(ITEM_RES!$A$5,MATCH(AL24,ITEM_RES!$M$5:$M$84,0)-1,0),0)</f>
        <v>220000107</v>
      </c>
      <c r="AL24" s="103" t="s">
        <v>579</v>
      </c>
      <c r="AM24" s="104">
        <f t="shared" si="10"/>
        <v>47000</v>
      </c>
      <c r="AN24" s="103">
        <v>46508.231539639019</v>
      </c>
      <c r="AP24" s="104">
        <f ca="1">IFERROR(OFFSET(ITEM_RES!$A$5,MATCH(AQ24,ITEM_RES!$M$5:$M$84,0)-1,0),0)</f>
        <v>220000207</v>
      </c>
      <c r="AQ24" s="103" t="s">
        <v>597</v>
      </c>
      <c r="AR24" s="104">
        <f t="shared" si="4"/>
        <v>28000</v>
      </c>
      <c r="AS24" s="103">
        <v>27904.938923783411</v>
      </c>
      <c r="AU24" s="104">
        <f ca="1">IFERROR(OFFSET(ITEM_RES!$A$5,MATCH(AV24,ITEM_RES!$M$5:$M$84,0)-1,0),0)</f>
        <v>220000307</v>
      </c>
      <c r="AV24" s="103" t="s">
        <v>615</v>
      </c>
      <c r="AW24" s="104">
        <f t="shared" si="5"/>
        <v>19000</v>
      </c>
      <c r="AX24" s="103">
        <v>18603.292615855607</v>
      </c>
      <c r="AZ24" s="104">
        <f ca="1">IFERROR(OFFSET(ITEM_RES!$A$5,MATCH(BA24,ITEM_RES!$M$5:$M$84,0)-1,0),0)</f>
        <v>220000407</v>
      </c>
      <c r="BA24" s="103" t="s">
        <v>633</v>
      </c>
      <c r="BB24" s="104">
        <f t="shared" si="6"/>
        <v>9300</v>
      </c>
      <c r="BC24" s="103">
        <v>9301.6463079278037</v>
      </c>
      <c r="BE24" s="104">
        <f ca="1">IFERROR(OFFSET(ITEM_RES!$A$5,MATCH(BF24,ITEM_RES!$M$5:$M$84,0)-1,0),0)</f>
        <v>0</v>
      </c>
      <c r="BG24" s="104">
        <f t="shared" si="7"/>
        <v>0</v>
      </c>
    </row>
    <row r="25" spans="1:59" x14ac:dyDescent="0.3">
      <c r="A25" s="107">
        <f t="shared" si="0"/>
        <v>111010021</v>
      </c>
      <c r="B25" s="106">
        <v>11</v>
      </c>
      <c r="C25" s="105">
        <f t="shared" si="1"/>
        <v>1</v>
      </c>
      <c r="D25" s="106">
        <v>1</v>
      </c>
      <c r="E25" s="106">
        <v>0</v>
      </c>
      <c r="F25" s="105">
        <f t="shared" si="2"/>
        <v>21</v>
      </c>
      <c r="H25" s="102">
        <v>1</v>
      </c>
      <c r="I25" s="102">
        <v>21</v>
      </c>
      <c r="K25" s="102" t="s">
        <v>1041</v>
      </c>
      <c r="L25" s="102" t="s">
        <v>767</v>
      </c>
      <c r="M25" s="103" t="s">
        <v>378</v>
      </c>
      <c r="N25" s="102">
        <v>0</v>
      </c>
      <c r="O25" s="102">
        <v>12</v>
      </c>
      <c r="P25" s="102" t="s">
        <v>766</v>
      </c>
      <c r="Q25" s="103" t="s">
        <v>1160</v>
      </c>
      <c r="R25" s="103">
        <v>111010021</v>
      </c>
      <c r="S25" s="104" t="str">
        <f t="shared" si="8"/>
        <v>UITexture/Bldg/111010021.png</v>
      </c>
      <c r="T25" s="102" t="s">
        <v>1042</v>
      </c>
      <c r="U25" s="102">
        <v>-1</v>
      </c>
      <c r="V25" s="102">
        <v>3</v>
      </c>
      <c r="W25" s="102">
        <v>4</v>
      </c>
      <c r="Y25" s="104">
        <f t="shared" si="3"/>
        <v>101</v>
      </c>
      <c r="Z25" s="102">
        <v>210</v>
      </c>
      <c r="AA25" s="102">
        <v>3</v>
      </c>
      <c r="AB25" s="102">
        <v>3</v>
      </c>
      <c r="AC25" s="102">
        <v>2100</v>
      </c>
      <c r="AD25" s="102" t="s">
        <v>541</v>
      </c>
      <c r="AE25" s="102">
        <v>21</v>
      </c>
      <c r="AG25" s="104">
        <f t="shared" si="9"/>
        <v>439754</v>
      </c>
      <c r="AH25" s="103">
        <v>439753.8157482848</v>
      </c>
      <c r="AI25" s="172">
        <v>4</v>
      </c>
      <c r="AK25" s="104">
        <f ca="1">IFERROR(OFFSET(ITEM_RES!$A$5,MATCH(AL25,ITEM_RES!$M$5:$M$84,0)-1,0),0)</f>
        <v>220000107</v>
      </c>
      <c r="AL25" s="103" t="s">
        <v>579</v>
      </c>
      <c r="AM25" s="104">
        <f t="shared" si="10"/>
        <v>63000</v>
      </c>
      <c r="AN25" s="103">
        <v>62786.112578512664</v>
      </c>
      <c r="AP25" s="104">
        <f ca="1">IFERROR(OFFSET(ITEM_RES!$A$5,MATCH(AQ25,ITEM_RES!$M$5:$M$84,0)-1,0),0)</f>
        <v>220000207</v>
      </c>
      <c r="AQ25" s="103" t="s">
        <v>597</v>
      </c>
      <c r="AR25" s="104">
        <f t="shared" si="4"/>
        <v>38000</v>
      </c>
      <c r="AS25" s="103">
        <v>37671.667547107601</v>
      </c>
      <c r="AU25" s="104">
        <f ca="1">IFERROR(OFFSET(ITEM_RES!$A$5,MATCH(AV25,ITEM_RES!$M$5:$M$84,0)-1,0),0)</f>
        <v>220000307</v>
      </c>
      <c r="AV25" s="103" t="s">
        <v>615</v>
      </c>
      <c r="AW25" s="104">
        <f t="shared" si="5"/>
        <v>25000</v>
      </c>
      <c r="AX25" s="103">
        <v>25114.445031405066</v>
      </c>
      <c r="AZ25" s="104">
        <f ca="1">IFERROR(OFFSET(ITEM_RES!$A$5,MATCH(BA25,ITEM_RES!$M$5:$M$84,0)-1,0),0)</f>
        <v>220000407</v>
      </c>
      <c r="BA25" s="103" t="s">
        <v>633</v>
      </c>
      <c r="BB25" s="104">
        <f t="shared" si="6"/>
        <v>13000</v>
      </c>
      <c r="BC25" s="103">
        <v>12557.222515702533</v>
      </c>
      <c r="BE25" s="104">
        <f ca="1">IFERROR(OFFSET(ITEM_RES!$A$5,MATCH(BF25,ITEM_RES!$M$5:$M$84,0)-1,0),0)</f>
        <v>0</v>
      </c>
      <c r="BG25" s="104">
        <f t="shared" si="7"/>
        <v>0</v>
      </c>
    </row>
    <row r="26" spans="1:59" x14ac:dyDescent="0.3">
      <c r="A26" s="107">
        <f t="shared" si="0"/>
        <v>111010022</v>
      </c>
      <c r="B26" s="106">
        <v>11</v>
      </c>
      <c r="C26" s="105">
        <f t="shared" si="1"/>
        <v>1</v>
      </c>
      <c r="D26" s="106">
        <v>1</v>
      </c>
      <c r="E26" s="106">
        <v>0</v>
      </c>
      <c r="F26" s="105">
        <f t="shared" si="2"/>
        <v>22</v>
      </c>
      <c r="H26" s="102">
        <v>1</v>
      </c>
      <c r="I26" s="102">
        <v>22</v>
      </c>
      <c r="K26" s="102" t="s">
        <v>1041</v>
      </c>
      <c r="L26" s="102" t="s">
        <v>767</v>
      </c>
      <c r="M26" s="103" t="s">
        <v>378</v>
      </c>
      <c r="N26" s="102">
        <v>0</v>
      </c>
      <c r="O26" s="102">
        <v>12</v>
      </c>
      <c r="P26" s="102" t="s">
        <v>766</v>
      </c>
      <c r="Q26" s="103" t="s">
        <v>1160</v>
      </c>
      <c r="R26" s="103">
        <v>111010022</v>
      </c>
      <c r="S26" s="104" t="str">
        <f t="shared" si="8"/>
        <v>UITexture/Bldg/111010022.png</v>
      </c>
      <c r="T26" s="102" t="s">
        <v>1042</v>
      </c>
      <c r="U26" s="102">
        <v>-1</v>
      </c>
      <c r="V26" s="102">
        <v>3</v>
      </c>
      <c r="W26" s="102">
        <v>4</v>
      </c>
      <c r="Y26" s="104">
        <f t="shared" si="3"/>
        <v>101</v>
      </c>
      <c r="Z26" s="102">
        <v>220</v>
      </c>
      <c r="AA26" s="102">
        <v>3</v>
      </c>
      <c r="AB26" s="102">
        <v>3</v>
      </c>
      <c r="AC26" s="102">
        <v>2200</v>
      </c>
      <c r="AD26" s="102" t="s">
        <v>541</v>
      </c>
      <c r="AE26" s="102">
        <v>22</v>
      </c>
      <c r="AG26" s="104">
        <f t="shared" si="9"/>
        <v>470537</v>
      </c>
      <c r="AH26" s="103">
        <v>470536.5828506648</v>
      </c>
      <c r="AI26" s="172">
        <v>4</v>
      </c>
      <c r="AK26" s="104">
        <f ca="1">IFERROR(OFFSET(ITEM_RES!$A$5,MATCH(AL26,ITEM_RES!$M$5:$M$84,0)-1,0),0)</f>
        <v>220000108</v>
      </c>
      <c r="AL26" s="103" t="s">
        <v>580</v>
      </c>
      <c r="AM26" s="104">
        <f t="shared" si="10"/>
        <v>28000</v>
      </c>
      <c r="AN26" s="103">
        <v>27992.141857920236</v>
      </c>
      <c r="AP26" s="104">
        <f ca="1">IFERROR(OFFSET(ITEM_RES!$A$5,MATCH(AQ26,ITEM_RES!$M$5:$M$84,0)-1,0),0)</f>
        <v>220000208</v>
      </c>
      <c r="AQ26" s="103" t="s">
        <v>598</v>
      </c>
      <c r="AR26" s="104">
        <f t="shared" si="4"/>
        <v>17000</v>
      </c>
      <c r="AS26" s="103">
        <v>16795.285114752143</v>
      </c>
      <c r="AU26" s="104">
        <f ca="1">IFERROR(OFFSET(ITEM_RES!$A$5,MATCH(AV26,ITEM_RES!$M$5:$M$84,0)-1,0),0)</f>
        <v>220000308</v>
      </c>
      <c r="AV26" s="103" t="s">
        <v>616</v>
      </c>
      <c r="AW26" s="104">
        <f t="shared" si="5"/>
        <v>11000</v>
      </c>
      <c r="AX26" s="103">
        <v>11196.856743168095</v>
      </c>
      <c r="AZ26" s="104">
        <f ca="1">IFERROR(OFFSET(ITEM_RES!$A$5,MATCH(BA26,ITEM_RES!$M$5:$M$84,0)-1,0),0)</f>
        <v>220000408</v>
      </c>
      <c r="BA26" s="103" t="s">
        <v>634</v>
      </c>
      <c r="BB26" s="104">
        <f t="shared" si="6"/>
        <v>5600</v>
      </c>
      <c r="BC26" s="103">
        <v>5598.4283715840475</v>
      </c>
      <c r="BE26" s="104">
        <f ca="1">IFERROR(OFFSET(ITEM_RES!$A$5,MATCH(BF26,ITEM_RES!$M$5:$M$84,0)-1,0),0)</f>
        <v>0</v>
      </c>
      <c r="BG26" s="104">
        <f t="shared" si="7"/>
        <v>0</v>
      </c>
    </row>
    <row r="27" spans="1:59" x14ac:dyDescent="0.3">
      <c r="A27" s="107">
        <f t="shared" si="0"/>
        <v>111010023</v>
      </c>
      <c r="B27" s="106">
        <v>11</v>
      </c>
      <c r="C27" s="105">
        <f t="shared" si="1"/>
        <v>1</v>
      </c>
      <c r="D27" s="106">
        <v>1</v>
      </c>
      <c r="E27" s="106">
        <v>0</v>
      </c>
      <c r="F27" s="105">
        <f t="shared" si="2"/>
        <v>23</v>
      </c>
      <c r="H27" s="102">
        <v>1</v>
      </c>
      <c r="I27" s="102">
        <v>23</v>
      </c>
      <c r="K27" s="102" t="s">
        <v>1041</v>
      </c>
      <c r="L27" s="102" t="s">
        <v>767</v>
      </c>
      <c r="M27" s="103" t="s">
        <v>378</v>
      </c>
      <c r="N27" s="102">
        <v>0</v>
      </c>
      <c r="O27" s="102">
        <v>12</v>
      </c>
      <c r="P27" s="102" t="s">
        <v>766</v>
      </c>
      <c r="Q27" s="103" t="s">
        <v>1160</v>
      </c>
      <c r="R27" s="103">
        <v>111010023</v>
      </c>
      <c r="S27" s="104" t="str">
        <f t="shared" si="8"/>
        <v>UITexture/Bldg/111010023.png</v>
      </c>
      <c r="T27" s="102" t="s">
        <v>1042</v>
      </c>
      <c r="U27" s="102">
        <v>-1</v>
      </c>
      <c r="V27" s="102">
        <v>3</v>
      </c>
      <c r="W27" s="102">
        <v>4</v>
      </c>
      <c r="Y27" s="104">
        <f t="shared" si="3"/>
        <v>101</v>
      </c>
      <c r="Z27" s="102">
        <v>230</v>
      </c>
      <c r="AA27" s="102">
        <v>3</v>
      </c>
      <c r="AB27" s="102">
        <v>3</v>
      </c>
      <c r="AC27" s="102">
        <v>2300</v>
      </c>
      <c r="AD27" s="102" t="s">
        <v>541</v>
      </c>
      <c r="AE27" s="102">
        <v>23</v>
      </c>
      <c r="AG27" s="104">
        <f t="shared" si="9"/>
        <v>498769</v>
      </c>
      <c r="AH27" s="103">
        <v>498768.77782170469</v>
      </c>
      <c r="AI27" s="172">
        <v>4</v>
      </c>
      <c r="AK27" s="104">
        <f ca="1">IFERROR(OFFSET(ITEM_RES!$A$5,MATCH(AL27,ITEM_RES!$M$5:$M$84,0)-1,0),0)</f>
        <v>220000108</v>
      </c>
      <c r="AL27" s="103" t="s">
        <v>580</v>
      </c>
      <c r="AM27" s="104">
        <f t="shared" si="10"/>
        <v>37000</v>
      </c>
      <c r="AN27" s="103">
        <v>37089.587961744313</v>
      </c>
      <c r="AP27" s="104">
        <f ca="1">IFERROR(OFFSET(ITEM_RES!$A$5,MATCH(AQ27,ITEM_RES!$M$5:$M$84,0)-1,0),0)</f>
        <v>220000208</v>
      </c>
      <c r="AQ27" s="103" t="s">
        <v>598</v>
      </c>
      <c r="AR27" s="104">
        <f t="shared" si="4"/>
        <v>22000</v>
      </c>
      <c r="AS27" s="103">
        <v>22253.752777046589</v>
      </c>
      <c r="AU27" s="104">
        <f ca="1">IFERROR(OFFSET(ITEM_RES!$A$5,MATCH(AV27,ITEM_RES!$M$5:$M$84,0)-1,0),0)</f>
        <v>220000308</v>
      </c>
      <c r="AV27" s="103" t="s">
        <v>616</v>
      </c>
      <c r="AW27" s="104">
        <f t="shared" si="5"/>
        <v>15000</v>
      </c>
      <c r="AX27" s="103">
        <v>14835.835184697726</v>
      </c>
      <c r="AZ27" s="104">
        <f ca="1">IFERROR(OFFSET(ITEM_RES!$A$5,MATCH(BA27,ITEM_RES!$M$5:$M$84,0)-1,0),0)</f>
        <v>220000408</v>
      </c>
      <c r="BA27" s="103" t="s">
        <v>634</v>
      </c>
      <c r="BB27" s="104">
        <f t="shared" si="6"/>
        <v>7400</v>
      </c>
      <c r="BC27" s="103">
        <v>7417.9175923488629</v>
      </c>
      <c r="BE27" s="104">
        <f ca="1">IFERROR(OFFSET(ITEM_RES!$A$5,MATCH(BF27,ITEM_RES!$M$5:$M$84,0)-1,0),0)</f>
        <v>0</v>
      </c>
      <c r="BG27" s="104">
        <f t="shared" si="7"/>
        <v>0</v>
      </c>
    </row>
    <row r="28" spans="1:59" x14ac:dyDescent="0.3">
      <c r="A28" s="107">
        <f t="shared" si="0"/>
        <v>111010024</v>
      </c>
      <c r="B28" s="106">
        <v>11</v>
      </c>
      <c r="C28" s="105">
        <f t="shared" si="1"/>
        <v>1</v>
      </c>
      <c r="D28" s="106">
        <v>1</v>
      </c>
      <c r="E28" s="106">
        <v>0</v>
      </c>
      <c r="F28" s="105">
        <f t="shared" si="2"/>
        <v>24</v>
      </c>
      <c r="H28" s="102">
        <v>1</v>
      </c>
      <c r="I28" s="102">
        <v>24</v>
      </c>
      <c r="K28" s="102" t="s">
        <v>1041</v>
      </c>
      <c r="L28" s="102" t="s">
        <v>767</v>
      </c>
      <c r="M28" s="103" t="s">
        <v>378</v>
      </c>
      <c r="N28" s="102">
        <v>0</v>
      </c>
      <c r="O28" s="102">
        <v>12</v>
      </c>
      <c r="P28" s="102" t="s">
        <v>766</v>
      </c>
      <c r="Q28" s="103" t="s">
        <v>1160</v>
      </c>
      <c r="R28" s="103">
        <v>111010024</v>
      </c>
      <c r="S28" s="104" t="str">
        <f t="shared" si="8"/>
        <v>UITexture/Bldg/111010024.png</v>
      </c>
      <c r="T28" s="102" t="s">
        <v>1042</v>
      </c>
      <c r="U28" s="102">
        <v>-1</v>
      </c>
      <c r="V28" s="102">
        <v>3</v>
      </c>
      <c r="W28" s="102">
        <v>4</v>
      </c>
      <c r="Y28" s="104">
        <f t="shared" si="3"/>
        <v>101</v>
      </c>
      <c r="Z28" s="102">
        <v>240</v>
      </c>
      <c r="AA28" s="102">
        <v>3</v>
      </c>
      <c r="AB28" s="102">
        <v>3</v>
      </c>
      <c r="AC28" s="102">
        <v>2400</v>
      </c>
      <c r="AD28" s="102" t="s">
        <v>541</v>
      </c>
      <c r="AE28" s="102">
        <v>24</v>
      </c>
      <c r="AG28" s="104">
        <f t="shared" si="9"/>
        <v>523707</v>
      </c>
      <c r="AH28" s="103">
        <v>523707.21671278996</v>
      </c>
      <c r="AI28" s="172">
        <v>4</v>
      </c>
      <c r="AK28" s="104">
        <f ca="1">IFERROR(OFFSET(ITEM_RES!$A$5,MATCH(AL28,ITEM_RES!$M$5:$M$84,0)-1,0),0)</f>
        <v>220000108</v>
      </c>
      <c r="AL28" s="103" t="s">
        <v>580</v>
      </c>
      <c r="AM28" s="104">
        <f t="shared" si="10"/>
        <v>49000</v>
      </c>
      <c r="AN28" s="103">
        <v>48680.084199789409</v>
      </c>
      <c r="AP28" s="104">
        <f ca="1">IFERROR(OFFSET(ITEM_RES!$A$5,MATCH(AQ28,ITEM_RES!$M$5:$M$84,0)-1,0),0)</f>
        <v>220000208</v>
      </c>
      <c r="AQ28" s="103" t="s">
        <v>598</v>
      </c>
      <c r="AR28" s="104">
        <f t="shared" si="4"/>
        <v>29000</v>
      </c>
      <c r="AS28" s="103">
        <v>29208.050519873643</v>
      </c>
      <c r="AU28" s="104">
        <f ca="1">IFERROR(OFFSET(ITEM_RES!$A$5,MATCH(AV28,ITEM_RES!$M$5:$M$84,0)-1,0),0)</f>
        <v>220000308</v>
      </c>
      <c r="AV28" s="103" t="s">
        <v>616</v>
      </c>
      <c r="AW28" s="104">
        <f t="shared" si="5"/>
        <v>19000</v>
      </c>
      <c r="AX28" s="103">
        <v>19472.033679915763</v>
      </c>
      <c r="AZ28" s="104">
        <f ca="1">IFERROR(OFFSET(ITEM_RES!$A$5,MATCH(BA28,ITEM_RES!$M$5:$M$84,0)-1,0),0)</f>
        <v>220000408</v>
      </c>
      <c r="BA28" s="103" t="s">
        <v>634</v>
      </c>
      <c r="BB28" s="104">
        <f t="shared" si="6"/>
        <v>9700</v>
      </c>
      <c r="BC28" s="103">
        <v>9736.0168399578815</v>
      </c>
      <c r="BE28" s="104">
        <f ca="1">IFERROR(OFFSET(ITEM_RES!$A$5,MATCH(BF28,ITEM_RES!$M$5:$M$84,0)-1,0),0)</f>
        <v>0</v>
      </c>
      <c r="BG28" s="104">
        <f t="shared" si="7"/>
        <v>0</v>
      </c>
    </row>
    <row r="29" spans="1:59" x14ac:dyDescent="0.3">
      <c r="A29" s="107">
        <f t="shared" si="0"/>
        <v>111010025</v>
      </c>
      <c r="B29" s="106">
        <v>11</v>
      </c>
      <c r="C29" s="105">
        <f t="shared" si="1"/>
        <v>1</v>
      </c>
      <c r="D29" s="106">
        <v>1</v>
      </c>
      <c r="E29" s="106">
        <v>0</v>
      </c>
      <c r="F29" s="105">
        <f t="shared" si="2"/>
        <v>25</v>
      </c>
      <c r="H29" s="102">
        <v>1</v>
      </c>
      <c r="I29" s="102">
        <v>25</v>
      </c>
      <c r="K29" s="102" t="s">
        <v>1041</v>
      </c>
      <c r="L29" s="102" t="s">
        <v>767</v>
      </c>
      <c r="M29" s="103" t="s">
        <v>378</v>
      </c>
      <c r="N29" s="102">
        <v>0</v>
      </c>
      <c r="O29" s="102">
        <v>12</v>
      </c>
      <c r="P29" s="102" t="s">
        <v>766</v>
      </c>
      <c r="Q29" s="103" t="s">
        <v>1160</v>
      </c>
      <c r="R29" s="103">
        <v>111010025</v>
      </c>
      <c r="S29" s="104" t="str">
        <f t="shared" si="8"/>
        <v>UITexture/Bldg/111010025.png</v>
      </c>
      <c r="T29" s="102" t="s">
        <v>1042</v>
      </c>
      <c r="U29" s="102">
        <v>-1</v>
      </c>
      <c r="V29" s="102">
        <v>3</v>
      </c>
      <c r="W29" s="102">
        <v>4</v>
      </c>
      <c r="Y29" s="104">
        <f t="shared" si="3"/>
        <v>101</v>
      </c>
      <c r="Z29" s="102">
        <v>250</v>
      </c>
      <c r="AA29" s="102">
        <v>3</v>
      </c>
      <c r="AB29" s="102">
        <v>3</v>
      </c>
      <c r="AC29" s="102">
        <v>2500</v>
      </c>
      <c r="AD29" s="102" t="s">
        <v>541</v>
      </c>
      <c r="AE29" s="102">
        <v>25</v>
      </c>
      <c r="AG29" s="104">
        <f t="shared" si="9"/>
        <v>549893</v>
      </c>
      <c r="AH29" s="103">
        <v>549892.57754842949</v>
      </c>
      <c r="AI29" s="172">
        <v>4</v>
      </c>
      <c r="AK29" s="104">
        <f ca="1">IFERROR(OFFSET(ITEM_RES!$A$5,MATCH(AL29,ITEM_RES!$M$5:$M$84,0)-1,0),0)</f>
        <v>220000109</v>
      </c>
      <c r="AL29" s="103" t="s">
        <v>581</v>
      </c>
      <c r="AM29" s="104">
        <f t="shared" si="10"/>
        <v>21000</v>
      </c>
      <c r="AN29" s="103">
        <v>21297.536837407868</v>
      </c>
      <c r="AP29" s="104">
        <f ca="1">IFERROR(OFFSET(ITEM_RES!$A$5,MATCH(AQ29,ITEM_RES!$M$5:$M$84,0)-1,0),0)</f>
        <v>220000209</v>
      </c>
      <c r="AQ29" s="103" t="s">
        <v>599</v>
      </c>
      <c r="AR29" s="104">
        <f t="shared" si="4"/>
        <v>13000</v>
      </c>
      <c r="AS29" s="103">
        <v>12778.522102444722</v>
      </c>
      <c r="AU29" s="104">
        <f ca="1">IFERROR(OFFSET(ITEM_RES!$A$5,MATCH(AV29,ITEM_RES!$M$5:$M$84,0)-1,0),0)</f>
        <v>220000309</v>
      </c>
      <c r="AV29" s="103" t="s">
        <v>617</v>
      </c>
      <c r="AW29" s="104">
        <f t="shared" si="5"/>
        <v>8500</v>
      </c>
      <c r="AX29" s="103">
        <v>8519.0147349631479</v>
      </c>
      <c r="AZ29" s="104">
        <f ca="1">IFERROR(OFFSET(ITEM_RES!$A$5,MATCH(BA29,ITEM_RES!$M$5:$M$84,0)-1,0),0)</f>
        <v>220000409</v>
      </c>
      <c r="BA29" s="103" t="s">
        <v>635</v>
      </c>
      <c r="BB29" s="104">
        <f t="shared" si="6"/>
        <v>4300</v>
      </c>
      <c r="BC29" s="103">
        <v>4259.507367481574</v>
      </c>
      <c r="BE29" s="104">
        <f ca="1">IFERROR(OFFSET(ITEM_RES!$A$5,MATCH(BF29,ITEM_RES!$M$5:$M$84,0)-1,0),0)</f>
        <v>0</v>
      </c>
      <c r="BG29" s="104">
        <f t="shared" si="7"/>
        <v>0</v>
      </c>
    </row>
    <row r="30" spans="1:59" x14ac:dyDescent="0.3">
      <c r="A30" s="107">
        <f t="shared" si="0"/>
        <v>111010026</v>
      </c>
      <c r="B30" s="106">
        <v>11</v>
      </c>
      <c r="C30" s="105">
        <f t="shared" si="1"/>
        <v>1</v>
      </c>
      <c r="D30" s="106">
        <v>1</v>
      </c>
      <c r="E30" s="106">
        <v>0</v>
      </c>
      <c r="F30" s="105">
        <f t="shared" si="2"/>
        <v>26</v>
      </c>
      <c r="H30" s="102">
        <v>1</v>
      </c>
      <c r="I30" s="102">
        <v>26</v>
      </c>
      <c r="K30" s="102" t="s">
        <v>1041</v>
      </c>
      <c r="L30" s="102" t="s">
        <v>767</v>
      </c>
      <c r="M30" s="103" t="s">
        <v>378</v>
      </c>
      <c r="N30" s="102">
        <v>0</v>
      </c>
      <c r="O30" s="102">
        <v>12</v>
      </c>
      <c r="P30" s="102" t="s">
        <v>766</v>
      </c>
      <c r="Q30" s="103" t="s">
        <v>1160</v>
      </c>
      <c r="R30" s="103">
        <v>111010026</v>
      </c>
      <c r="S30" s="104" t="str">
        <f t="shared" si="8"/>
        <v>UITexture/Bldg/111010026.png</v>
      </c>
      <c r="T30" s="102" t="s">
        <v>1042</v>
      </c>
      <c r="U30" s="102">
        <v>-1</v>
      </c>
      <c r="V30" s="102">
        <v>3</v>
      </c>
      <c r="W30" s="102">
        <v>4</v>
      </c>
      <c r="Y30" s="104">
        <f t="shared" si="3"/>
        <v>101</v>
      </c>
      <c r="Z30" s="102">
        <v>260</v>
      </c>
      <c r="AA30" s="102">
        <v>3</v>
      </c>
      <c r="AB30" s="102">
        <v>3</v>
      </c>
      <c r="AC30" s="102">
        <v>2600</v>
      </c>
      <c r="AD30" s="102" t="s">
        <v>541</v>
      </c>
      <c r="AE30" s="102">
        <v>26</v>
      </c>
      <c r="AG30" s="104">
        <f t="shared" si="9"/>
        <v>571888</v>
      </c>
      <c r="AH30" s="103">
        <v>571888.28065036656</v>
      </c>
      <c r="AI30" s="172">
        <v>4</v>
      </c>
      <c r="AK30" s="104">
        <f ca="1">IFERROR(OFFSET(ITEM_RES!$A$5,MATCH(AL30,ITEM_RES!$M$5:$M$84,0)-1,0),0)</f>
        <v>220000109</v>
      </c>
      <c r="AL30" s="103" t="s">
        <v>581</v>
      </c>
      <c r="AM30" s="104">
        <f t="shared" si="10"/>
        <v>27000</v>
      </c>
      <c r="AN30" s="103">
        <v>26579.325973085015</v>
      </c>
      <c r="AP30" s="104">
        <f ca="1">IFERROR(OFFSET(ITEM_RES!$A$5,MATCH(AQ30,ITEM_RES!$M$5:$M$84,0)-1,0),0)</f>
        <v>220000209</v>
      </c>
      <c r="AQ30" s="103" t="s">
        <v>599</v>
      </c>
      <c r="AR30" s="104">
        <f t="shared" si="4"/>
        <v>16000</v>
      </c>
      <c r="AS30" s="103">
        <v>15947.595583851009</v>
      </c>
      <c r="AU30" s="104">
        <f ca="1">IFERROR(OFFSET(ITEM_RES!$A$5,MATCH(AV30,ITEM_RES!$M$5:$M$84,0)-1,0),0)</f>
        <v>220000309</v>
      </c>
      <c r="AV30" s="103" t="s">
        <v>617</v>
      </c>
      <c r="AW30" s="104">
        <f t="shared" si="5"/>
        <v>11000</v>
      </c>
      <c r="AX30" s="103">
        <v>10631.730389234006</v>
      </c>
      <c r="AZ30" s="104">
        <f ca="1">IFERROR(OFFSET(ITEM_RES!$A$5,MATCH(BA30,ITEM_RES!$M$5:$M$84,0)-1,0),0)</f>
        <v>220000409</v>
      </c>
      <c r="BA30" s="103" t="s">
        <v>635</v>
      </c>
      <c r="BB30" s="104">
        <f t="shared" si="6"/>
        <v>5300</v>
      </c>
      <c r="BC30" s="103">
        <v>5315.865194617003</v>
      </c>
      <c r="BE30" s="104">
        <f ca="1">IFERROR(OFFSET(ITEM_RES!$A$5,MATCH(BF30,ITEM_RES!$M$5:$M$84,0)-1,0),0)</f>
        <v>0</v>
      </c>
      <c r="BG30" s="104">
        <f t="shared" si="7"/>
        <v>0</v>
      </c>
    </row>
    <row r="31" spans="1:59" x14ac:dyDescent="0.3">
      <c r="A31" s="107">
        <f t="shared" si="0"/>
        <v>111010027</v>
      </c>
      <c r="B31" s="106">
        <v>11</v>
      </c>
      <c r="C31" s="105">
        <f t="shared" si="1"/>
        <v>1</v>
      </c>
      <c r="D31" s="106">
        <v>1</v>
      </c>
      <c r="E31" s="106">
        <v>0</v>
      </c>
      <c r="F31" s="105">
        <f t="shared" si="2"/>
        <v>27</v>
      </c>
      <c r="H31" s="102">
        <v>1</v>
      </c>
      <c r="I31" s="102">
        <v>27</v>
      </c>
      <c r="K31" s="102" t="s">
        <v>1041</v>
      </c>
      <c r="L31" s="102" t="s">
        <v>767</v>
      </c>
      <c r="M31" s="103" t="s">
        <v>378</v>
      </c>
      <c r="N31" s="102">
        <v>0</v>
      </c>
      <c r="O31" s="102">
        <v>12</v>
      </c>
      <c r="P31" s="102" t="s">
        <v>766</v>
      </c>
      <c r="Q31" s="103" t="s">
        <v>1160</v>
      </c>
      <c r="R31" s="103">
        <v>111010027</v>
      </c>
      <c r="S31" s="104" t="str">
        <f t="shared" si="8"/>
        <v>UITexture/Bldg/111010027.png</v>
      </c>
      <c r="T31" s="102" t="s">
        <v>1042</v>
      </c>
      <c r="U31" s="102">
        <v>-1</v>
      </c>
      <c r="V31" s="102">
        <v>3</v>
      </c>
      <c r="W31" s="102">
        <v>4</v>
      </c>
      <c r="Y31" s="104">
        <f t="shared" si="3"/>
        <v>101</v>
      </c>
      <c r="Z31" s="102">
        <v>270</v>
      </c>
      <c r="AA31" s="102">
        <v>3</v>
      </c>
      <c r="AB31" s="102">
        <v>3</v>
      </c>
      <c r="AC31" s="102">
        <v>2700</v>
      </c>
      <c r="AD31" s="102" t="s">
        <v>541</v>
      </c>
      <c r="AE31" s="102">
        <v>27</v>
      </c>
      <c r="AG31" s="104">
        <f t="shared" si="9"/>
        <v>594764</v>
      </c>
      <c r="AH31" s="103">
        <v>594763.81187638128</v>
      </c>
      <c r="AI31" s="172">
        <v>4</v>
      </c>
      <c r="AK31" s="104">
        <f ca="1">IFERROR(OFFSET(ITEM_RES!$A$5,MATCH(AL31,ITEM_RES!$M$5:$M$84,0)-1,0),0)</f>
        <v>220000109</v>
      </c>
      <c r="AL31" s="103" t="s">
        <v>581</v>
      </c>
      <c r="AM31" s="104">
        <f t="shared" si="10"/>
        <v>33000</v>
      </c>
      <c r="AN31" s="103">
        <v>33170.998814410108</v>
      </c>
      <c r="AP31" s="104">
        <f ca="1">IFERROR(OFFSET(ITEM_RES!$A$5,MATCH(AQ31,ITEM_RES!$M$5:$M$84,0)-1,0),0)</f>
        <v>220000209</v>
      </c>
      <c r="AQ31" s="103" t="s">
        <v>599</v>
      </c>
      <c r="AR31" s="104">
        <f t="shared" si="4"/>
        <v>20000</v>
      </c>
      <c r="AS31" s="103">
        <v>19902.599288646066</v>
      </c>
      <c r="AU31" s="104">
        <f ca="1">IFERROR(OFFSET(ITEM_RES!$A$5,MATCH(AV31,ITEM_RES!$M$5:$M$84,0)-1,0),0)</f>
        <v>220000309</v>
      </c>
      <c r="AV31" s="103" t="s">
        <v>617</v>
      </c>
      <c r="AW31" s="104">
        <f t="shared" si="5"/>
        <v>13000</v>
      </c>
      <c r="AX31" s="103">
        <v>13268.399525764044</v>
      </c>
      <c r="AZ31" s="104">
        <f ca="1">IFERROR(OFFSET(ITEM_RES!$A$5,MATCH(BA31,ITEM_RES!$M$5:$M$84,0)-1,0),0)</f>
        <v>220000409</v>
      </c>
      <c r="BA31" s="103" t="s">
        <v>635</v>
      </c>
      <c r="BB31" s="104">
        <f t="shared" si="6"/>
        <v>6600</v>
      </c>
      <c r="BC31" s="103">
        <v>6634.1997628820218</v>
      </c>
      <c r="BE31" s="104">
        <f ca="1">IFERROR(OFFSET(ITEM_RES!$A$5,MATCH(BF31,ITEM_RES!$M$5:$M$84,0)-1,0),0)</f>
        <v>0</v>
      </c>
      <c r="BG31" s="104">
        <f t="shared" si="7"/>
        <v>0</v>
      </c>
    </row>
    <row r="32" spans="1:59" x14ac:dyDescent="0.3">
      <c r="A32" s="107">
        <f t="shared" si="0"/>
        <v>111010028</v>
      </c>
      <c r="B32" s="106">
        <v>11</v>
      </c>
      <c r="C32" s="105">
        <f t="shared" si="1"/>
        <v>1</v>
      </c>
      <c r="D32" s="106">
        <v>1</v>
      </c>
      <c r="E32" s="106">
        <v>0</v>
      </c>
      <c r="F32" s="105">
        <f t="shared" si="2"/>
        <v>28</v>
      </c>
      <c r="H32" s="102">
        <v>1</v>
      </c>
      <c r="I32" s="102">
        <v>28</v>
      </c>
      <c r="K32" s="102" t="s">
        <v>1041</v>
      </c>
      <c r="L32" s="102" t="s">
        <v>767</v>
      </c>
      <c r="M32" s="103" t="s">
        <v>378</v>
      </c>
      <c r="N32" s="102">
        <v>0</v>
      </c>
      <c r="O32" s="102">
        <v>12</v>
      </c>
      <c r="P32" s="102" t="s">
        <v>766</v>
      </c>
      <c r="Q32" s="103" t="s">
        <v>1160</v>
      </c>
      <c r="R32" s="103">
        <v>111010028</v>
      </c>
      <c r="S32" s="104" t="str">
        <f t="shared" si="8"/>
        <v>UITexture/Bldg/111010028.png</v>
      </c>
      <c r="T32" s="102" t="s">
        <v>1042</v>
      </c>
      <c r="U32" s="102">
        <v>-1</v>
      </c>
      <c r="V32" s="102">
        <v>3</v>
      </c>
      <c r="W32" s="102">
        <v>4</v>
      </c>
      <c r="Y32" s="104">
        <f t="shared" si="3"/>
        <v>101</v>
      </c>
      <c r="Z32" s="102">
        <v>280</v>
      </c>
      <c r="AA32" s="102">
        <v>3</v>
      </c>
      <c r="AB32" s="102">
        <v>3</v>
      </c>
      <c r="AC32" s="102">
        <v>2800</v>
      </c>
      <c r="AD32" s="102" t="s">
        <v>541</v>
      </c>
      <c r="AE32" s="102">
        <v>28</v>
      </c>
      <c r="AG32" s="104">
        <f t="shared" si="9"/>
        <v>612607</v>
      </c>
      <c r="AH32" s="103">
        <v>612606.72623267269</v>
      </c>
      <c r="AI32" s="172">
        <v>4</v>
      </c>
      <c r="AK32" s="104">
        <f ca="1">IFERROR(OFFSET(ITEM_RES!$A$5,MATCH(AL32,ITEM_RES!$M$5:$M$84,0)-1,0),0)</f>
        <v>220000110</v>
      </c>
      <c r="AL32" s="103" t="s">
        <v>582</v>
      </c>
      <c r="AM32" s="104">
        <f t="shared" si="10"/>
        <v>14000</v>
      </c>
      <c r="AN32" s="103">
        <v>13666.451511536963</v>
      </c>
      <c r="AP32" s="104">
        <f ca="1">IFERROR(OFFSET(ITEM_RES!$A$5,MATCH(AQ32,ITEM_RES!$M$5:$M$84,0)-1,0),0)</f>
        <v>220000210</v>
      </c>
      <c r="AQ32" s="103" t="s">
        <v>600</v>
      </c>
      <c r="AR32" s="104">
        <f t="shared" si="4"/>
        <v>8200</v>
      </c>
      <c r="AS32" s="103">
        <v>8199.8709069221786</v>
      </c>
      <c r="AU32" s="104">
        <f ca="1">IFERROR(OFFSET(ITEM_RES!$A$5,MATCH(AV32,ITEM_RES!$M$5:$M$84,0)-1,0),0)</f>
        <v>220000310</v>
      </c>
      <c r="AV32" s="103" t="s">
        <v>618</v>
      </c>
      <c r="AW32" s="104">
        <f t="shared" si="5"/>
        <v>5500</v>
      </c>
      <c r="AX32" s="103">
        <v>5466.5806046147854</v>
      </c>
      <c r="AZ32" s="104">
        <f ca="1">IFERROR(OFFSET(ITEM_RES!$A$5,MATCH(BA32,ITEM_RES!$M$5:$M$84,0)-1,0),0)</f>
        <v>220000410</v>
      </c>
      <c r="BA32" s="103" t="s">
        <v>636</v>
      </c>
      <c r="BB32" s="104">
        <f t="shared" si="6"/>
        <v>2700</v>
      </c>
      <c r="BC32" s="103">
        <v>2733.2903023073927</v>
      </c>
      <c r="BE32" s="104">
        <f ca="1">IFERROR(OFFSET(ITEM_RES!$A$5,MATCH(BF32,ITEM_RES!$M$5:$M$84,0)-1,0),0)</f>
        <v>0</v>
      </c>
      <c r="BG32" s="104">
        <f t="shared" si="7"/>
        <v>0</v>
      </c>
    </row>
    <row r="33" spans="1:60" x14ac:dyDescent="0.3">
      <c r="A33" s="107">
        <f t="shared" si="0"/>
        <v>111010029</v>
      </c>
      <c r="B33" s="106">
        <v>11</v>
      </c>
      <c r="C33" s="105">
        <f t="shared" si="1"/>
        <v>1</v>
      </c>
      <c r="D33" s="106">
        <v>1</v>
      </c>
      <c r="E33" s="106">
        <v>0</v>
      </c>
      <c r="F33" s="105">
        <f t="shared" si="2"/>
        <v>29</v>
      </c>
      <c r="H33" s="102">
        <v>1</v>
      </c>
      <c r="I33" s="102">
        <v>29</v>
      </c>
      <c r="K33" s="102" t="s">
        <v>1041</v>
      </c>
      <c r="L33" s="102" t="s">
        <v>767</v>
      </c>
      <c r="M33" s="103" t="s">
        <v>378</v>
      </c>
      <c r="N33" s="102">
        <v>0</v>
      </c>
      <c r="O33" s="102">
        <v>12</v>
      </c>
      <c r="P33" s="102" t="s">
        <v>766</v>
      </c>
      <c r="Q33" s="103" t="s">
        <v>1160</v>
      </c>
      <c r="R33" s="103">
        <v>111010029</v>
      </c>
      <c r="S33" s="104" t="str">
        <f t="shared" si="8"/>
        <v>UITexture/Bldg/111010029.png</v>
      </c>
      <c r="T33" s="102" t="s">
        <v>1042</v>
      </c>
      <c r="U33" s="102">
        <v>-1</v>
      </c>
      <c r="V33" s="102">
        <v>3</v>
      </c>
      <c r="W33" s="102">
        <v>4</v>
      </c>
      <c r="Y33" s="104">
        <f t="shared" si="3"/>
        <v>101</v>
      </c>
      <c r="Z33" s="102">
        <v>290</v>
      </c>
      <c r="AA33" s="102">
        <v>3</v>
      </c>
      <c r="AB33" s="102">
        <v>3</v>
      </c>
      <c r="AC33" s="102">
        <v>2900</v>
      </c>
      <c r="AD33" s="102" t="s">
        <v>541</v>
      </c>
      <c r="AE33" s="102">
        <v>29</v>
      </c>
      <c r="AG33" s="104">
        <f t="shared" si="9"/>
        <v>630985</v>
      </c>
      <c r="AH33" s="103">
        <v>630984.92801965307</v>
      </c>
      <c r="AI33" s="172">
        <v>4</v>
      </c>
      <c r="AK33" s="104">
        <f ca="1">IFERROR(OFFSET(ITEM_RES!$A$5,MATCH(AL33,ITEM_RES!$M$5:$M$84,0)-1,0),0)</f>
        <v>220000110</v>
      </c>
      <c r="AL33" s="103" t="s">
        <v>582</v>
      </c>
      <c r="AM33" s="104">
        <f t="shared" si="10"/>
        <v>17000</v>
      </c>
      <c r="AN33" s="103">
        <v>16891.734068259688</v>
      </c>
      <c r="AP33" s="104">
        <f ca="1">IFERROR(OFFSET(ITEM_RES!$A$5,MATCH(AQ33,ITEM_RES!$M$5:$M$84,0)-1,0),0)</f>
        <v>220000210</v>
      </c>
      <c r="AQ33" s="103" t="s">
        <v>600</v>
      </c>
      <c r="AR33" s="104">
        <f t="shared" si="4"/>
        <v>10000</v>
      </c>
      <c r="AS33" s="103">
        <v>10135.040440955812</v>
      </c>
      <c r="AU33" s="104">
        <f ca="1">IFERROR(OFFSET(ITEM_RES!$A$5,MATCH(AV33,ITEM_RES!$M$5:$M$84,0)-1,0),0)</f>
        <v>220000310</v>
      </c>
      <c r="AV33" s="103" t="s">
        <v>618</v>
      </c>
      <c r="AW33" s="104">
        <f t="shared" si="5"/>
        <v>6800</v>
      </c>
      <c r="AX33" s="103">
        <v>6756.6936273038746</v>
      </c>
      <c r="AZ33" s="104">
        <f ca="1">IFERROR(OFFSET(ITEM_RES!$A$5,MATCH(BA33,ITEM_RES!$M$5:$M$84,0)-1,0),0)</f>
        <v>220000410</v>
      </c>
      <c r="BA33" s="103" t="s">
        <v>636</v>
      </c>
      <c r="BB33" s="104">
        <f t="shared" si="6"/>
        <v>3400</v>
      </c>
      <c r="BC33" s="103">
        <v>3378.3468136519373</v>
      </c>
      <c r="BE33" s="104">
        <f ca="1">IFERROR(OFFSET(ITEM_RES!$A$5,MATCH(BF33,ITEM_RES!$M$5:$M$84,0)-1,0),0)</f>
        <v>0</v>
      </c>
      <c r="BG33" s="104">
        <f t="shared" si="7"/>
        <v>0</v>
      </c>
    </row>
    <row r="34" spans="1:60" ht="17.25" thickBot="1" x14ac:dyDescent="0.35">
      <c r="A34" s="107">
        <f t="shared" si="0"/>
        <v>111010030</v>
      </c>
      <c r="B34" s="106">
        <v>11</v>
      </c>
      <c r="C34" s="105">
        <f t="shared" si="1"/>
        <v>1</v>
      </c>
      <c r="D34" s="106">
        <v>1</v>
      </c>
      <c r="E34" s="106">
        <v>0</v>
      </c>
      <c r="F34" s="105">
        <f t="shared" si="2"/>
        <v>30</v>
      </c>
      <c r="H34" s="102">
        <v>1</v>
      </c>
      <c r="I34" s="102">
        <v>30</v>
      </c>
      <c r="K34" s="102" t="s">
        <v>1041</v>
      </c>
      <c r="L34" s="102" t="s">
        <v>768</v>
      </c>
      <c r="M34" s="103" t="s">
        <v>378</v>
      </c>
      <c r="N34" s="102">
        <v>0</v>
      </c>
      <c r="O34" s="102">
        <v>12</v>
      </c>
      <c r="P34" s="102" t="s">
        <v>766</v>
      </c>
      <c r="Q34" s="103" t="s">
        <v>1160</v>
      </c>
      <c r="R34" s="103">
        <v>111010030</v>
      </c>
      <c r="S34" s="104" t="str">
        <f t="shared" si="8"/>
        <v>UITexture/Bldg/111010030.png</v>
      </c>
      <c r="T34" s="102" t="s">
        <v>1042</v>
      </c>
      <c r="U34" s="102">
        <v>-1</v>
      </c>
      <c r="V34" s="102">
        <v>3</v>
      </c>
      <c r="W34" s="102">
        <v>4</v>
      </c>
      <c r="Y34" s="104">
        <f t="shared" si="3"/>
        <v>101</v>
      </c>
      <c r="Z34" s="102">
        <v>300</v>
      </c>
      <c r="AA34" s="102">
        <v>3</v>
      </c>
      <c r="AB34" s="102">
        <v>3</v>
      </c>
      <c r="AC34" s="102">
        <v>3000</v>
      </c>
      <c r="AD34" s="102" t="s">
        <v>541</v>
      </c>
      <c r="AE34" s="102">
        <v>30</v>
      </c>
      <c r="AG34" s="104">
        <f t="shared" si="9"/>
        <v>643605</v>
      </c>
      <c r="AH34" s="103">
        <v>643604.62658004602</v>
      </c>
      <c r="AI34" s="172">
        <v>4</v>
      </c>
      <c r="AK34" s="104">
        <f ca="1">IFERROR(OFFSET(ITEM_RES!$A$5,MATCH(AL34,ITEM_RES!$M$5:$M$84,0)-1,0),0)</f>
        <v>220000110</v>
      </c>
      <c r="AL34" s="103" t="s">
        <v>582</v>
      </c>
      <c r="AM34" s="104">
        <f t="shared" si="10"/>
        <v>21000</v>
      </c>
      <c r="AN34" s="103">
        <v>20675.482499549853</v>
      </c>
      <c r="AP34" s="104">
        <f ca="1">IFERROR(OFFSET(ITEM_RES!$A$5,MATCH(AQ34,ITEM_RES!$M$5:$M$84,0)-1,0),0)</f>
        <v>220000210</v>
      </c>
      <c r="AQ34" s="103" t="s">
        <v>600</v>
      </c>
      <c r="AR34" s="104">
        <f t="shared" si="4"/>
        <v>12000</v>
      </c>
      <c r="AS34" s="103">
        <v>12405.289499729912</v>
      </c>
      <c r="AU34" s="104">
        <f ca="1">IFERROR(OFFSET(ITEM_RES!$A$5,MATCH(AV34,ITEM_RES!$M$5:$M$84,0)-1,0),0)</f>
        <v>220000310</v>
      </c>
      <c r="AV34" s="103" t="s">
        <v>618</v>
      </c>
      <c r="AW34" s="104">
        <f t="shared" si="5"/>
        <v>8300</v>
      </c>
      <c r="AX34" s="103">
        <v>8270.1929998199412</v>
      </c>
      <c r="AZ34" s="104">
        <f ca="1">IFERROR(OFFSET(ITEM_RES!$A$5,MATCH(BA34,ITEM_RES!$M$5:$M$84,0)-1,0),0)</f>
        <v>220000410</v>
      </c>
      <c r="BA34" s="103" t="s">
        <v>636</v>
      </c>
      <c r="BB34" s="104">
        <f t="shared" si="6"/>
        <v>4100</v>
      </c>
      <c r="BC34" s="103">
        <v>4135.0964999099706</v>
      </c>
      <c r="BE34" s="104">
        <f ca="1">IFERROR(OFFSET(ITEM_RES!$A$5,MATCH(BF34,ITEM_RES!$M$5:$M$84,0)-1,0),0)</f>
        <v>0</v>
      </c>
      <c r="BG34" s="104">
        <f t="shared" si="7"/>
        <v>0</v>
      </c>
    </row>
    <row r="35" spans="1:60" s="115" customFormat="1" x14ac:dyDescent="0.3">
      <c r="A35" s="121">
        <f>B35*10000000+C35*1000000+D35*10000+E35*100+F35</f>
        <v>111020001</v>
      </c>
      <c r="B35" s="120">
        <v>11</v>
      </c>
      <c r="C35" s="119">
        <f>H35</f>
        <v>1</v>
      </c>
      <c r="D35" s="120">
        <v>2</v>
      </c>
      <c r="E35" s="120">
        <v>0</v>
      </c>
      <c r="F35" s="119">
        <f t="shared" si="2"/>
        <v>1</v>
      </c>
      <c r="G35" s="255"/>
      <c r="H35" s="116">
        <v>1</v>
      </c>
      <c r="I35" s="116">
        <v>1</v>
      </c>
      <c r="J35" s="255"/>
      <c r="K35" s="116" t="s">
        <v>1041</v>
      </c>
      <c r="L35" s="116" t="s">
        <v>769</v>
      </c>
      <c r="M35" s="117" t="s">
        <v>2</v>
      </c>
      <c r="N35" s="116">
        <v>1</v>
      </c>
      <c r="O35" s="116">
        <v>12</v>
      </c>
      <c r="P35" s="116" t="s">
        <v>704</v>
      </c>
      <c r="Q35" s="117" t="s">
        <v>1160</v>
      </c>
      <c r="R35" s="117">
        <v>111020001</v>
      </c>
      <c r="S35" s="118" t="str">
        <f t="shared" si="8"/>
        <v>UITexture/Bldg/111020001.png</v>
      </c>
      <c r="T35" s="116" t="s">
        <v>1044</v>
      </c>
      <c r="U35" s="116">
        <v>1</v>
      </c>
      <c r="V35" s="116">
        <v>3</v>
      </c>
      <c r="W35" s="116">
        <v>7</v>
      </c>
      <c r="X35" s="255"/>
      <c r="Y35" s="118">
        <f t="shared" si="3"/>
        <v>102</v>
      </c>
      <c r="Z35" s="116">
        <v>10</v>
      </c>
      <c r="AA35" s="116">
        <v>1</v>
      </c>
      <c r="AB35" s="116">
        <v>3</v>
      </c>
      <c r="AC35" s="116">
        <v>0</v>
      </c>
      <c r="AD35" s="116" t="s">
        <v>540</v>
      </c>
      <c r="AE35" s="116">
        <v>1</v>
      </c>
      <c r="AF35" s="255"/>
      <c r="AG35" s="118">
        <f t="shared" si="9"/>
        <v>21</v>
      </c>
      <c r="AH35" s="117">
        <v>21.05263157894737</v>
      </c>
      <c r="AI35" s="174">
        <v>2</v>
      </c>
      <c r="AJ35" s="118"/>
      <c r="AK35" s="118">
        <f ca="1">IFERROR(OFFSET(ITEM_RES!$A$5,MATCH(AL35,ITEM_RES!$M$5:$M$84,0)-1,0),0)</f>
        <v>220000101</v>
      </c>
      <c r="AL35" s="117" t="s">
        <v>573</v>
      </c>
      <c r="AM35" s="118">
        <f t="shared" ref="AM35:AM64" si="11">IF(AN35&lt;100,ROUND(AN35,1-LEN(ROUND(AN35,0))),ROUND(AN35,2-LEN(ROUND(AN35,0))))</f>
        <v>40</v>
      </c>
      <c r="AN35" s="117">
        <v>42.105263157894733</v>
      </c>
      <c r="AO35" s="118"/>
      <c r="AP35" s="118">
        <f ca="1">IFERROR(OFFSET(ITEM_RES!$A$5,MATCH(AQ35,ITEM_RES!$M$5:$M$84,0)-1,0),0)</f>
        <v>220000201</v>
      </c>
      <c r="AQ35" s="117" t="s">
        <v>591</v>
      </c>
      <c r="AR35" s="118">
        <f t="shared" ref="AR35:AR64" si="12">IF(AS35&lt;100,ROUND(AS35,1-LEN(ROUND(AS35,0))),ROUND(AS35,2-LEN(ROUND(AS35,0))))</f>
        <v>30</v>
      </c>
      <c r="AS35" s="117">
        <v>25.263157894736842</v>
      </c>
      <c r="AT35" s="118"/>
      <c r="AU35" s="118">
        <f ca="1">IFERROR(OFFSET(ITEM_RES!$A$5,MATCH(AV35,ITEM_RES!$M$5:$M$84,0)-1,0),0)</f>
        <v>220000301</v>
      </c>
      <c r="AV35" s="117" t="s">
        <v>609</v>
      </c>
      <c r="AW35" s="118">
        <f t="shared" ref="AW35:AW64" si="13">IF(AX35&lt;100,ROUND(AX35,1-LEN(ROUND(AX35,0))),ROUND(AX35,2-LEN(ROUND(AX35,0))))</f>
        <v>0</v>
      </c>
      <c r="AX35" s="117">
        <v>0</v>
      </c>
      <c r="AY35" s="118"/>
      <c r="AZ35" s="118">
        <f ca="1">IFERROR(OFFSET(ITEM_RES!$A$5,MATCH(BA35,ITEM_RES!$M$5:$M$84,0)-1,0),0)</f>
        <v>220000401</v>
      </c>
      <c r="BA35" s="117" t="s">
        <v>627</v>
      </c>
      <c r="BB35" s="118">
        <f t="shared" ref="BB35:BB64" si="14">IF(BC35&lt;100,ROUND(BC35,1-LEN(ROUND(BC35,0))),ROUND(BC35,2-LEN(ROUND(BC35,0))))</f>
        <v>0</v>
      </c>
      <c r="BC35" s="117">
        <v>0</v>
      </c>
      <c r="BD35" s="118"/>
      <c r="BE35" s="118">
        <f ca="1">IFERROR(OFFSET(ITEM_RES!$A$5,MATCH(BF35,ITEM_RES!$M$5:$M$84,0)-1,0),0)</f>
        <v>0</v>
      </c>
      <c r="BF35" s="117"/>
      <c r="BG35" s="118">
        <f t="shared" ref="BG35:BG64" si="15">IF(BH35&lt;100,ROUND(BH35,1-LEN(ROUND(BH35,0))),ROUND(BH35,2-LEN(ROUND(BH35,0))))</f>
        <v>0</v>
      </c>
      <c r="BH35" s="117"/>
    </row>
    <row r="36" spans="1:60" x14ac:dyDescent="0.3">
      <c r="A36" s="107">
        <f>B36*10000000+C36*1000000+D36*10000+E36*100+F36</f>
        <v>111020002</v>
      </c>
      <c r="B36" s="106">
        <v>11</v>
      </c>
      <c r="C36" s="105">
        <f>H36</f>
        <v>1</v>
      </c>
      <c r="D36" s="106">
        <v>2</v>
      </c>
      <c r="E36" s="106">
        <v>0</v>
      </c>
      <c r="F36" s="105">
        <f t="shared" si="2"/>
        <v>2</v>
      </c>
      <c r="H36" s="102">
        <v>1</v>
      </c>
      <c r="I36" s="102">
        <v>2</v>
      </c>
      <c r="K36" s="102" t="s">
        <v>1041</v>
      </c>
      <c r="L36" s="102" t="s">
        <v>770</v>
      </c>
      <c r="M36" s="103" t="s">
        <v>2</v>
      </c>
      <c r="N36" s="102">
        <v>1</v>
      </c>
      <c r="O36" s="102">
        <v>12</v>
      </c>
      <c r="P36" s="102" t="s">
        <v>704</v>
      </c>
      <c r="Q36" s="103" t="s">
        <v>1160</v>
      </c>
      <c r="R36" s="103">
        <v>111020002</v>
      </c>
      <c r="S36" s="104" t="str">
        <f t="shared" si="8"/>
        <v>UITexture/Bldg/111020002.png</v>
      </c>
      <c r="T36" s="102" t="s">
        <v>1044</v>
      </c>
      <c r="U36" s="102">
        <v>1</v>
      </c>
      <c r="V36" s="102">
        <v>3</v>
      </c>
      <c r="W36" s="102">
        <v>7</v>
      </c>
      <c r="Y36" s="104">
        <f t="shared" si="3"/>
        <v>102</v>
      </c>
      <c r="Z36" s="102">
        <v>20</v>
      </c>
      <c r="AA36" s="102">
        <v>1</v>
      </c>
      <c r="AB36" s="102">
        <v>3</v>
      </c>
      <c r="AC36" s="102">
        <v>0</v>
      </c>
      <c r="AD36" s="102" t="s">
        <v>540</v>
      </c>
      <c r="AE36" s="102">
        <v>2</v>
      </c>
      <c r="AG36" s="104">
        <f t="shared" si="9"/>
        <v>84</v>
      </c>
      <c r="AH36" s="103">
        <v>84.21052631578948</v>
      </c>
      <c r="AI36" s="172">
        <v>2</v>
      </c>
      <c r="AK36" s="104">
        <f ca="1">IFERROR(OFFSET(ITEM_RES!$A$5,MATCH(AL36,ITEM_RES!$M$5:$M$84,0)-1,0),0)</f>
        <v>220000101</v>
      </c>
      <c r="AL36" s="103" t="s">
        <v>573</v>
      </c>
      <c r="AM36" s="104">
        <f t="shared" si="11"/>
        <v>210</v>
      </c>
      <c r="AN36" s="103">
        <v>210.5263157894737</v>
      </c>
      <c r="AP36" s="104">
        <f ca="1">IFERROR(OFFSET(ITEM_RES!$A$5,MATCH(AQ36,ITEM_RES!$M$5:$M$84,0)-1,0),0)</f>
        <v>220000201</v>
      </c>
      <c r="AQ36" s="103" t="s">
        <v>591</v>
      </c>
      <c r="AR36" s="104">
        <f t="shared" si="12"/>
        <v>130</v>
      </c>
      <c r="AS36" s="103">
        <v>126.31578947368422</v>
      </c>
      <c r="AU36" s="104">
        <f ca="1">IFERROR(OFFSET(ITEM_RES!$A$5,MATCH(AV36,ITEM_RES!$M$5:$M$84,0)-1,0),0)</f>
        <v>220000301</v>
      </c>
      <c r="AV36" s="103" t="s">
        <v>609</v>
      </c>
      <c r="AW36" s="104">
        <f t="shared" si="13"/>
        <v>0</v>
      </c>
      <c r="AX36" s="103">
        <v>0</v>
      </c>
      <c r="AZ36" s="104">
        <f ca="1">IFERROR(OFFSET(ITEM_RES!$A$5,MATCH(BA36,ITEM_RES!$M$5:$M$84,0)-1,0),0)</f>
        <v>220000401</v>
      </c>
      <c r="BA36" s="103" t="s">
        <v>627</v>
      </c>
      <c r="BB36" s="104">
        <f t="shared" si="14"/>
        <v>0</v>
      </c>
      <c r="BC36" s="103">
        <v>0</v>
      </c>
      <c r="BE36" s="104">
        <f ca="1">IFERROR(OFFSET(ITEM_RES!$A$5,MATCH(BF36,ITEM_RES!$M$5:$M$84,0)-1,0),0)</f>
        <v>0</v>
      </c>
      <c r="BG36" s="104">
        <f t="shared" si="15"/>
        <v>0</v>
      </c>
    </row>
    <row r="37" spans="1:60" x14ac:dyDescent="0.3">
      <c r="A37" s="107">
        <f>B37*10000000+C37*1000000+D37*10000+E37*100+F37</f>
        <v>111020003</v>
      </c>
      <c r="B37" s="106">
        <v>11</v>
      </c>
      <c r="C37" s="105">
        <f>H37</f>
        <v>1</v>
      </c>
      <c r="D37" s="106">
        <v>2</v>
      </c>
      <c r="E37" s="106">
        <v>0</v>
      </c>
      <c r="F37" s="105">
        <f t="shared" si="2"/>
        <v>3</v>
      </c>
      <c r="H37" s="102">
        <v>1</v>
      </c>
      <c r="I37" s="102">
        <v>3</v>
      </c>
      <c r="K37" s="102" t="s">
        <v>1041</v>
      </c>
      <c r="L37" s="102" t="s">
        <v>770</v>
      </c>
      <c r="M37" s="103" t="s">
        <v>2</v>
      </c>
      <c r="N37" s="102">
        <v>1</v>
      </c>
      <c r="O37" s="102">
        <v>12</v>
      </c>
      <c r="P37" s="102" t="s">
        <v>704</v>
      </c>
      <c r="Q37" s="103" t="s">
        <v>1160</v>
      </c>
      <c r="R37" s="103">
        <v>111020003</v>
      </c>
      <c r="S37" s="104" t="str">
        <f t="shared" si="8"/>
        <v>UITexture/Bldg/111020003.png</v>
      </c>
      <c r="T37" s="102" t="s">
        <v>1044</v>
      </c>
      <c r="U37" s="102">
        <v>1</v>
      </c>
      <c r="V37" s="102">
        <v>3</v>
      </c>
      <c r="W37" s="102">
        <v>7</v>
      </c>
      <c r="Y37" s="104">
        <f t="shared" si="3"/>
        <v>102</v>
      </c>
      <c r="Z37" s="102">
        <v>30</v>
      </c>
      <c r="AA37" s="102">
        <v>1</v>
      </c>
      <c r="AB37" s="102">
        <v>3</v>
      </c>
      <c r="AC37" s="102">
        <v>0</v>
      </c>
      <c r="AD37" s="102" t="s">
        <v>540</v>
      </c>
      <c r="AE37" s="102">
        <v>3</v>
      </c>
      <c r="AG37" s="104">
        <f t="shared" si="9"/>
        <v>337</v>
      </c>
      <c r="AH37" s="103">
        <v>336.84210526315792</v>
      </c>
      <c r="AI37" s="172">
        <v>2</v>
      </c>
      <c r="AK37" s="104">
        <f ca="1">IFERROR(OFFSET(ITEM_RES!$A$5,MATCH(AL37,ITEM_RES!$M$5:$M$84,0)-1,0),0)</f>
        <v>220000101</v>
      </c>
      <c r="AL37" s="103" t="s">
        <v>573</v>
      </c>
      <c r="AM37" s="104">
        <f t="shared" si="11"/>
        <v>1100</v>
      </c>
      <c r="AN37" s="103">
        <v>1052.6315789473683</v>
      </c>
      <c r="AP37" s="104">
        <f ca="1">IFERROR(OFFSET(ITEM_RES!$A$5,MATCH(AQ37,ITEM_RES!$M$5:$M$84,0)-1,0),0)</f>
        <v>220000201</v>
      </c>
      <c r="AQ37" s="103" t="s">
        <v>591</v>
      </c>
      <c r="AR37" s="104">
        <f t="shared" si="12"/>
        <v>630</v>
      </c>
      <c r="AS37" s="103">
        <v>631.57894736842104</v>
      </c>
      <c r="AU37" s="104">
        <f ca="1">IFERROR(OFFSET(ITEM_RES!$A$5,MATCH(AV37,ITEM_RES!$M$5:$M$84,0)-1,0),0)</f>
        <v>220000301</v>
      </c>
      <c r="AV37" s="103" t="s">
        <v>609</v>
      </c>
      <c r="AW37" s="104">
        <f t="shared" si="13"/>
        <v>0</v>
      </c>
      <c r="AX37" s="103">
        <v>0</v>
      </c>
      <c r="AZ37" s="104">
        <f ca="1">IFERROR(OFFSET(ITEM_RES!$A$5,MATCH(BA37,ITEM_RES!$M$5:$M$84,0)-1,0),0)</f>
        <v>220000401</v>
      </c>
      <c r="BA37" s="103" t="s">
        <v>627</v>
      </c>
      <c r="BB37" s="104">
        <f t="shared" si="14"/>
        <v>0</v>
      </c>
      <c r="BC37" s="103">
        <v>0</v>
      </c>
      <c r="BE37" s="104">
        <f ca="1">IFERROR(OFFSET(ITEM_RES!$A$5,MATCH(BF37,ITEM_RES!$M$5:$M$84,0)-1,0),0)</f>
        <v>0</v>
      </c>
      <c r="BG37" s="104">
        <f t="shared" si="15"/>
        <v>0</v>
      </c>
    </row>
    <row r="38" spans="1:60" x14ac:dyDescent="0.3">
      <c r="A38" s="107">
        <f>B38*10000000+C38*1000000+D38*10000+E38*100+F38</f>
        <v>111020004</v>
      </c>
      <c r="B38" s="106">
        <v>11</v>
      </c>
      <c r="C38" s="105">
        <f>H38</f>
        <v>1</v>
      </c>
      <c r="D38" s="106">
        <v>2</v>
      </c>
      <c r="E38" s="106">
        <v>0</v>
      </c>
      <c r="F38" s="105">
        <f t="shared" si="2"/>
        <v>4</v>
      </c>
      <c r="H38" s="102">
        <v>1</v>
      </c>
      <c r="I38" s="102">
        <v>4</v>
      </c>
      <c r="K38" s="102" t="s">
        <v>1041</v>
      </c>
      <c r="L38" s="102" t="s">
        <v>770</v>
      </c>
      <c r="M38" s="103" t="s">
        <v>2</v>
      </c>
      <c r="N38" s="102">
        <v>1</v>
      </c>
      <c r="O38" s="102">
        <v>12</v>
      </c>
      <c r="P38" s="102" t="s">
        <v>705</v>
      </c>
      <c r="Q38" s="103" t="s">
        <v>1160</v>
      </c>
      <c r="R38" s="103">
        <v>111020004</v>
      </c>
      <c r="S38" s="104" t="str">
        <f t="shared" si="8"/>
        <v>UITexture/Bldg/111020004.png</v>
      </c>
      <c r="T38" s="102" t="s">
        <v>1044</v>
      </c>
      <c r="U38" s="102">
        <v>1</v>
      </c>
      <c r="V38" s="102">
        <v>3</v>
      </c>
      <c r="W38" s="102">
        <v>7</v>
      </c>
      <c r="Y38" s="104">
        <f t="shared" si="3"/>
        <v>102</v>
      </c>
      <c r="Z38" s="102">
        <v>40</v>
      </c>
      <c r="AA38" s="102">
        <v>1</v>
      </c>
      <c r="AB38" s="102">
        <v>3</v>
      </c>
      <c r="AC38" s="102">
        <v>0</v>
      </c>
      <c r="AD38" s="102" t="s">
        <v>540</v>
      </c>
      <c r="AE38" s="102">
        <v>4</v>
      </c>
      <c r="AG38" s="104">
        <f t="shared" si="9"/>
        <v>1347</v>
      </c>
      <c r="AH38" s="103">
        <v>1347.3684210526317</v>
      </c>
      <c r="AI38" s="172">
        <v>2</v>
      </c>
      <c r="AK38" s="104">
        <f ca="1">IFERROR(OFFSET(ITEM_RES!$A$5,MATCH(AL38,ITEM_RES!$M$5:$M$84,0)-1,0),0)</f>
        <v>220000102</v>
      </c>
      <c r="AL38" s="103" t="s">
        <v>574</v>
      </c>
      <c r="AM38" s="104">
        <f t="shared" si="11"/>
        <v>1800</v>
      </c>
      <c r="AN38" s="103">
        <v>1754.3859649122805</v>
      </c>
      <c r="AP38" s="104">
        <f ca="1">IFERROR(OFFSET(ITEM_RES!$A$5,MATCH(AQ38,ITEM_RES!$M$5:$M$84,0)-1,0),0)</f>
        <v>220000202</v>
      </c>
      <c r="AQ38" s="103" t="s">
        <v>592</v>
      </c>
      <c r="AR38" s="104">
        <f t="shared" si="12"/>
        <v>1100</v>
      </c>
      <c r="AS38" s="103">
        <v>1052.6315789473683</v>
      </c>
      <c r="AU38" s="104">
        <f ca="1">IFERROR(OFFSET(ITEM_RES!$A$5,MATCH(AV38,ITEM_RES!$M$5:$M$84,0)-1,0),0)</f>
        <v>220000302</v>
      </c>
      <c r="AV38" s="103" t="s">
        <v>610</v>
      </c>
      <c r="AW38" s="104">
        <f t="shared" si="13"/>
        <v>0</v>
      </c>
      <c r="AX38" s="103">
        <v>0</v>
      </c>
      <c r="AZ38" s="104">
        <f ca="1">IFERROR(OFFSET(ITEM_RES!$A$5,MATCH(BA38,ITEM_RES!$M$5:$M$84,0)-1,0),0)</f>
        <v>220000402</v>
      </c>
      <c r="BA38" s="103" t="s">
        <v>628</v>
      </c>
      <c r="BB38" s="104">
        <f t="shared" si="14"/>
        <v>0</v>
      </c>
      <c r="BC38" s="103">
        <v>0</v>
      </c>
      <c r="BE38" s="104">
        <f ca="1">IFERROR(OFFSET(ITEM_RES!$A$5,MATCH(BF38,ITEM_RES!$M$5:$M$84,0)-1,0),0)</f>
        <v>0</v>
      </c>
      <c r="BG38" s="104">
        <f t="shared" si="15"/>
        <v>0</v>
      </c>
    </row>
    <row r="39" spans="1:60" x14ac:dyDescent="0.3">
      <c r="A39" s="107">
        <f>B39*10000000+C39*1000000+D39*10000+E39*100+F39</f>
        <v>111020005</v>
      </c>
      <c r="B39" s="106">
        <v>11</v>
      </c>
      <c r="C39" s="105">
        <f>H39</f>
        <v>1</v>
      </c>
      <c r="D39" s="106">
        <v>2</v>
      </c>
      <c r="E39" s="106">
        <v>0</v>
      </c>
      <c r="F39" s="105">
        <f t="shared" si="2"/>
        <v>5</v>
      </c>
      <c r="H39" s="102">
        <v>1</v>
      </c>
      <c r="I39" s="102">
        <v>5</v>
      </c>
      <c r="K39" s="102" t="s">
        <v>1041</v>
      </c>
      <c r="L39" s="102" t="s">
        <v>770</v>
      </c>
      <c r="M39" s="103" t="s">
        <v>2</v>
      </c>
      <c r="N39" s="102">
        <v>1</v>
      </c>
      <c r="O39" s="102">
        <v>12</v>
      </c>
      <c r="P39" s="102" t="s">
        <v>704</v>
      </c>
      <c r="Q39" s="103" t="s">
        <v>1160</v>
      </c>
      <c r="R39" s="103">
        <v>111020005</v>
      </c>
      <c r="S39" s="104" t="str">
        <f t="shared" si="8"/>
        <v>UITexture/Bldg/111020005.png</v>
      </c>
      <c r="T39" s="102" t="s">
        <v>1044</v>
      </c>
      <c r="U39" s="102">
        <v>1</v>
      </c>
      <c r="V39" s="102">
        <v>3</v>
      </c>
      <c r="W39" s="102">
        <v>7</v>
      </c>
      <c r="Y39" s="104">
        <f t="shared" si="3"/>
        <v>102</v>
      </c>
      <c r="Z39" s="102">
        <v>50</v>
      </c>
      <c r="AA39" s="102">
        <v>1</v>
      </c>
      <c r="AB39" s="102">
        <v>3</v>
      </c>
      <c r="AC39" s="102">
        <v>0</v>
      </c>
      <c r="AD39" s="102" t="s">
        <v>540</v>
      </c>
      <c r="AE39" s="102">
        <v>5</v>
      </c>
      <c r="AG39" s="104">
        <f t="shared" si="9"/>
        <v>4042</v>
      </c>
      <c r="AH39" s="103">
        <v>4042.1052631578946</v>
      </c>
      <c r="AI39" s="172">
        <v>2</v>
      </c>
      <c r="AK39" s="104">
        <f ca="1">IFERROR(OFFSET(ITEM_RES!$A$5,MATCH(AL39,ITEM_RES!$M$5:$M$84,0)-1,0),0)</f>
        <v>220000102</v>
      </c>
      <c r="AL39" s="103" t="s">
        <v>574</v>
      </c>
      <c r="AM39" s="104">
        <f t="shared" si="11"/>
        <v>6600</v>
      </c>
      <c r="AN39" s="103">
        <v>6578.9473684210534</v>
      </c>
      <c r="AP39" s="104">
        <f ca="1">IFERROR(OFFSET(ITEM_RES!$A$5,MATCH(AQ39,ITEM_RES!$M$5:$M$84,0)-1,0),0)</f>
        <v>220000202</v>
      </c>
      <c r="AQ39" s="103" t="s">
        <v>592</v>
      </c>
      <c r="AR39" s="104">
        <f t="shared" si="12"/>
        <v>3900</v>
      </c>
      <c r="AS39" s="103">
        <v>3947.3684210526317</v>
      </c>
      <c r="AU39" s="104">
        <f ca="1">IFERROR(OFFSET(ITEM_RES!$A$5,MATCH(AV39,ITEM_RES!$M$5:$M$84,0)-1,0),0)</f>
        <v>220000302</v>
      </c>
      <c r="AV39" s="103" t="s">
        <v>610</v>
      </c>
      <c r="AW39" s="104">
        <f t="shared" si="13"/>
        <v>0</v>
      </c>
      <c r="AX39" s="103">
        <v>0</v>
      </c>
      <c r="AZ39" s="104">
        <f ca="1">IFERROR(OFFSET(ITEM_RES!$A$5,MATCH(BA39,ITEM_RES!$M$5:$M$84,0)-1,0),0)</f>
        <v>220000402</v>
      </c>
      <c r="BA39" s="103" t="s">
        <v>628</v>
      </c>
      <c r="BB39" s="104">
        <f t="shared" si="14"/>
        <v>0</v>
      </c>
      <c r="BC39" s="103">
        <v>0</v>
      </c>
      <c r="BE39" s="104">
        <f ca="1">IFERROR(OFFSET(ITEM_RES!$A$5,MATCH(BF39,ITEM_RES!$M$5:$M$84,0)-1,0),0)</f>
        <v>0</v>
      </c>
      <c r="BG39" s="104">
        <f t="shared" si="15"/>
        <v>0</v>
      </c>
    </row>
    <row r="40" spans="1:60" x14ac:dyDescent="0.3">
      <c r="A40" s="107">
        <f t="shared" ref="A40:A49" si="16">B40*10000000+C40*1000000+D40*10000+E40*100+F40</f>
        <v>111020006</v>
      </c>
      <c r="B40" s="106">
        <v>11</v>
      </c>
      <c r="C40" s="105">
        <f t="shared" ref="C40:C49" si="17">H40</f>
        <v>1</v>
      </c>
      <c r="D40" s="106">
        <v>2</v>
      </c>
      <c r="E40" s="106">
        <v>0</v>
      </c>
      <c r="F40" s="105">
        <f t="shared" si="2"/>
        <v>6</v>
      </c>
      <c r="H40" s="102">
        <v>1</v>
      </c>
      <c r="I40" s="102">
        <v>6</v>
      </c>
      <c r="K40" s="102" t="s">
        <v>1041</v>
      </c>
      <c r="L40" s="102" t="s">
        <v>770</v>
      </c>
      <c r="M40" s="103" t="s">
        <v>2</v>
      </c>
      <c r="N40" s="102">
        <v>1</v>
      </c>
      <c r="O40" s="102">
        <v>12</v>
      </c>
      <c r="P40" s="102" t="s">
        <v>704</v>
      </c>
      <c r="Q40" s="103" t="s">
        <v>1160</v>
      </c>
      <c r="R40" s="103">
        <v>111020006</v>
      </c>
      <c r="S40" s="104" t="str">
        <f t="shared" si="8"/>
        <v>UITexture/Bldg/111020006.png</v>
      </c>
      <c r="T40" s="102" t="s">
        <v>1044</v>
      </c>
      <c r="U40" s="102">
        <v>1</v>
      </c>
      <c r="V40" s="102">
        <v>3</v>
      </c>
      <c r="W40" s="102">
        <v>7</v>
      </c>
      <c r="Y40" s="104">
        <f t="shared" si="3"/>
        <v>102</v>
      </c>
      <c r="Z40" s="102">
        <v>60</v>
      </c>
      <c r="AA40" s="102">
        <v>1</v>
      </c>
      <c r="AB40" s="102">
        <v>3</v>
      </c>
      <c r="AC40" s="102">
        <v>0</v>
      </c>
      <c r="AD40" s="102" t="s">
        <v>540</v>
      </c>
      <c r="AE40" s="102">
        <v>6</v>
      </c>
      <c r="AG40" s="104">
        <f t="shared" si="9"/>
        <v>8084</v>
      </c>
      <c r="AH40" s="103">
        <v>8084.2105263157891</v>
      </c>
      <c r="AI40" s="172">
        <v>3</v>
      </c>
      <c r="AK40" s="104">
        <f ca="1">IFERROR(OFFSET(ITEM_RES!$A$5,MATCH(AL40,ITEM_RES!$M$5:$M$84,0)-1,0),0)</f>
        <v>220000102</v>
      </c>
      <c r="AL40" s="103" t="s">
        <v>574</v>
      </c>
      <c r="AM40" s="104">
        <f t="shared" si="11"/>
        <v>13000</v>
      </c>
      <c r="AN40" s="103">
        <v>13157.894736842107</v>
      </c>
      <c r="AP40" s="104">
        <f ca="1">IFERROR(OFFSET(ITEM_RES!$A$5,MATCH(AQ40,ITEM_RES!$M$5:$M$84,0)-1,0),0)</f>
        <v>220000202</v>
      </c>
      <c r="AQ40" s="103" t="s">
        <v>592</v>
      </c>
      <c r="AR40" s="104">
        <f t="shared" si="12"/>
        <v>7900</v>
      </c>
      <c r="AS40" s="103">
        <v>7894.7368421052633</v>
      </c>
      <c r="AU40" s="104">
        <f ca="1">IFERROR(OFFSET(ITEM_RES!$A$5,MATCH(AV40,ITEM_RES!$M$5:$M$84,0)-1,0),0)</f>
        <v>220000302</v>
      </c>
      <c r="AV40" s="103" t="s">
        <v>610</v>
      </c>
      <c r="AW40" s="104">
        <f t="shared" si="13"/>
        <v>2600</v>
      </c>
      <c r="AX40" s="103">
        <v>2631.5789473684213</v>
      </c>
      <c r="AZ40" s="104">
        <f ca="1">IFERROR(OFFSET(ITEM_RES!$A$5,MATCH(BA40,ITEM_RES!$M$5:$M$84,0)-1,0),0)</f>
        <v>220000402</v>
      </c>
      <c r="BA40" s="103" t="s">
        <v>628</v>
      </c>
      <c r="BB40" s="104">
        <f t="shared" si="14"/>
        <v>0</v>
      </c>
      <c r="BC40" s="103">
        <v>0</v>
      </c>
      <c r="BE40" s="104">
        <f ca="1">IFERROR(OFFSET(ITEM_RES!$A$5,MATCH(BF40,ITEM_RES!$M$5:$M$84,0)-1,0),0)</f>
        <v>0</v>
      </c>
      <c r="BG40" s="104">
        <f t="shared" si="15"/>
        <v>0</v>
      </c>
    </row>
    <row r="41" spans="1:60" x14ac:dyDescent="0.3">
      <c r="A41" s="107">
        <f t="shared" si="16"/>
        <v>111020007</v>
      </c>
      <c r="B41" s="106">
        <v>11</v>
      </c>
      <c r="C41" s="105">
        <f t="shared" si="17"/>
        <v>1</v>
      </c>
      <c r="D41" s="106">
        <v>2</v>
      </c>
      <c r="E41" s="106">
        <v>0</v>
      </c>
      <c r="F41" s="105">
        <f t="shared" si="2"/>
        <v>7</v>
      </c>
      <c r="H41" s="102">
        <v>1</v>
      </c>
      <c r="I41" s="102">
        <v>7</v>
      </c>
      <c r="K41" s="102" t="s">
        <v>1041</v>
      </c>
      <c r="L41" s="102" t="s">
        <v>770</v>
      </c>
      <c r="M41" s="103" t="s">
        <v>2</v>
      </c>
      <c r="N41" s="102">
        <v>1</v>
      </c>
      <c r="O41" s="102">
        <v>12</v>
      </c>
      <c r="P41" s="102" t="s">
        <v>704</v>
      </c>
      <c r="Q41" s="103" t="s">
        <v>1160</v>
      </c>
      <c r="R41" s="103">
        <v>111020007</v>
      </c>
      <c r="S41" s="104" t="str">
        <f t="shared" si="8"/>
        <v>UITexture/Bldg/111020007.png</v>
      </c>
      <c r="T41" s="102" t="s">
        <v>1044</v>
      </c>
      <c r="U41" s="102">
        <v>1</v>
      </c>
      <c r="V41" s="102">
        <v>3</v>
      </c>
      <c r="W41" s="102">
        <v>7</v>
      </c>
      <c r="Y41" s="104">
        <f t="shared" si="3"/>
        <v>102</v>
      </c>
      <c r="Z41" s="102">
        <v>70</v>
      </c>
      <c r="AA41" s="102">
        <v>1</v>
      </c>
      <c r="AB41" s="102">
        <v>3</v>
      </c>
      <c r="AC41" s="102">
        <v>0</v>
      </c>
      <c r="AD41" s="102" t="s">
        <v>540</v>
      </c>
      <c r="AE41" s="102">
        <v>7</v>
      </c>
      <c r="AG41" s="104">
        <f t="shared" si="9"/>
        <v>16168</v>
      </c>
      <c r="AH41" s="103">
        <v>16168.421052631578</v>
      </c>
      <c r="AI41" s="172">
        <v>3</v>
      </c>
      <c r="AK41" s="104">
        <f ca="1">IFERROR(OFFSET(ITEM_RES!$A$5,MATCH(AL41,ITEM_RES!$M$5:$M$84,0)-1,0),0)</f>
        <v>220000103</v>
      </c>
      <c r="AL41" s="103" t="s">
        <v>575</v>
      </c>
      <c r="AM41" s="104">
        <f t="shared" si="11"/>
        <v>11000</v>
      </c>
      <c r="AN41" s="103">
        <v>10964.912280701754</v>
      </c>
      <c r="AP41" s="104">
        <f ca="1">IFERROR(OFFSET(ITEM_RES!$A$5,MATCH(AQ41,ITEM_RES!$M$5:$M$84,0)-1,0),0)</f>
        <v>220000203</v>
      </c>
      <c r="AQ41" s="103" t="s">
        <v>593</v>
      </c>
      <c r="AR41" s="104">
        <f t="shared" si="12"/>
        <v>6600</v>
      </c>
      <c r="AS41" s="103">
        <v>6578.9473684210516</v>
      </c>
      <c r="AU41" s="104">
        <f ca="1">IFERROR(OFFSET(ITEM_RES!$A$5,MATCH(AV41,ITEM_RES!$M$5:$M$84,0)-1,0),0)</f>
        <v>220000303</v>
      </c>
      <c r="AV41" s="103" t="s">
        <v>611</v>
      </c>
      <c r="AW41" s="104">
        <f t="shared" si="13"/>
        <v>2200</v>
      </c>
      <c r="AX41" s="103">
        <v>2192.9824561403507</v>
      </c>
      <c r="AZ41" s="104">
        <f ca="1">IFERROR(OFFSET(ITEM_RES!$A$5,MATCH(BA41,ITEM_RES!$M$5:$M$84,0)-1,0),0)</f>
        <v>220000403</v>
      </c>
      <c r="BA41" s="103" t="s">
        <v>629</v>
      </c>
      <c r="BB41" s="104">
        <f t="shared" si="14"/>
        <v>0</v>
      </c>
      <c r="BC41" s="103">
        <v>0</v>
      </c>
      <c r="BE41" s="104">
        <f ca="1">IFERROR(OFFSET(ITEM_RES!$A$5,MATCH(BF41,ITEM_RES!$M$5:$M$84,0)-1,0),0)</f>
        <v>0</v>
      </c>
      <c r="BG41" s="104">
        <f t="shared" si="15"/>
        <v>0</v>
      </c>
    </row>
    <row r="42" spans="1:60" x14ac:dyDescent="0.3">
      <c r="A42" s="107">
        <f t="shared" si="16"/>
        <v>111020008</v>
      </c>
      <c r="B42" s="106">
        <v>11</v>
      </c>
      <c r="C42" s="105">
        <f t="shared" si="17"/>
        <v>1</v>
      </c>
      <c r="D42" s="106">
        <v>2</v>
      </c>
      <c r="E42" s="106">
        <v>0</v>
      </c>
      <c r="F42" s="105">
        <f t="shared" si="2"/>
        <v>8</v>
      </c>
      <c r="H42" s="102">
        <v>1</v>
      </c>
      <c r="I42" s="102">
        <v>8</v>
      </c>
      <c r="K42" s="102" t="s">
        <v>1041</v>
      </c>
      <c r="L42" s="102" t="s">
        <v>770</v>
      </c>
      <c r="M42" s="103" t="s">
        <v>2</v>
      </c>
      <c r="N42" s="102">
        <v>1</v>
      </c>
      <c r="O42" s="102">
        <v>12</v>
      </c>
      <c r="P42" s="102" t="s">
        <v>704</v>
      </c>
      <c r="Q42" s="103" t="s">
        <v>1160</v>
      </c>
      <c r="R42" s="103">
        <v>111020008</v>
      </c>
      <c r="S42" s="104" t="str">
        <f t="shared" si="8"/>
        <v>UITexture/Bldg/111020008.png</v>
      </c>
      <c r="T42" s="102" t="s">
        <v>1044</v>
      </c>
      <c r="U42" s="102">
        <v>1</v>
      </c>
      <c r="V42" s="102">
        <v>3</v>
      </c>
      <c r="W42" s="102">
        <v>7</v>
      </c>
      <c r="Y42" s="104">
        <f t="shared" si="3"/>
        <v>102</v>
      </c>
      <c r="Z42" s="102">
        <v>80</v>
      </c>
      <c r="AA42" s="102">
        <v>1</v>
      </c>
      <c r="AB42" s="102">
        <v>3</v>
      </c>
      <c r="AC42" s="102">
        <v>0</v>
      </c>
      <c r="AD42" s="102" t="s">
        <v>540</v>
      </c>
      <c r="AE42" s="102">
        <v>8</v>
      </c>
      <c r="AG42" s="104">
        <f t="shared" si="9"/>
        <v>17785</v>
      </c>
      <c r="AH42" s="103">
        <v>17785.263157894737</v>
      </c>
      <c r="AI42" s="172">
        <v>3</v>
      </c>
      <c r="AK42" s="104">
        <f ca="1">IFERROR(OFFSET(ITEM_RES!$A$5,MATCH(AL42,ITEM_RES!$M$5:$M$84,0)-1,0),0)</f>
        <v>220000103</v>
      </c>
      <c r="AL42" s="103" t="s">
        <v>575</v>
      </c>
      <c r="AM42" s="104">
        <f t="shared" si="11"/>
        <v>15000</v>
      </c>
      <c r="AN42" s="103">
        <v>15076.754385964914</v>
      </c>
      <c r="AP42" s="104">
        <f ca="1">IFERROR(OFFSET(ITEM_RES!$A$5,MATCH(AQ42,ITEM_RES!$M$5:$M$84,0)-1,0),0)</f>
        <v>220000203</v>
      </c>
      <c r="AQ42" s="103" t="s">
        <v>593</v>
      </c>
      <c r="AR42" s="104">
        <f t="shared" si="12"/>
        <v>9000</v>
      </c>
      <c r="AS42" s="103">
        <v>9046.0526315789484</v>
      </c>
      <c r="AU42" s="104">
        <f ca="1">IFERROR(OFFSET(ITEM_RES!$A$5,MATCH(AV42,ITEM_RES!$M$5:$M$84,0)-1,0),0)</f>
        <v>220000303</v>
      </c>
      <c r="AV42" s="103" t="s">
        <v>611</v>
      </c>
      <c r="AW42" s="104">
        <f t="shared" si="13"/>
        <v>3000</v>
      </c>
      <c r="AX42" s="103">
        <v>3015.3508771929828</v>
      </c>
      <c r="AZ42" s="104">
        <f ca="1">IFERROR(OFFSET(ITEM_RES!$A$5,MATCH(BA42,ITEM_RES!$M$5:$M$84,0)-1,0),0)</f>
        <v>220000403</v>
      </c>
      <c r="BA42" s="103" t="s">
        <v>629</v>
      </c>
      <c r="BB42" s="104">
        <f t="shared" si="14"/>
        <v>0</v>
      </c>
      <c r="BC42" s="103">
        <v>0</v>
      </c>
      <c r="BE42" s="104">
        <f ca="1">IFERROR(OFFSET(ITEM_RES!$A$5,MATCH(BF42,ITEM_RES!$M$5:$M$84,0)-1,0),0)</f>
        <v>0</v>
      </c>
      <c r="BG42" s="104">
        <f t="shared" si="15"/>
        <v>0</v>
      </c>
    </row>
    <row r="43" spans="1:60" x14ac:dyDescent="0.3">
      <c r="A43" s="107">
        <f t="shared" si="16"/>
        <v>111020009</v>
      </c>
      <c r="B43" s="106">
        <v>11</v>
      </c>
      <c r="C43" s="105">
        <f t="shared" si="17"/>
        <v>1</v>
      </c>
      <c r="D43" s="106">
        <v>2</v>
      </c>
      <c r="E43" s="106">
        <v>0</v>
      </c>
      <c r="F43" s="105">
        <f t="shared" si="2"/>
        <v>9</v>
      </c>
      <c r="H43" s="102">
        <v>1</v>
      </c>
      <c r="I43" s="102">
        <v>9</v>
      </c>
      <c r="K43" s="102" t="s">
        <v>1041</v>
      </c>
      <c r="L43" s="102" t="s">
        <v>770</v>
      </c>
      <c r="M43" s="103" t="s">
        <v>2</v>
      </c>
      <c r="N43" s="102">
        <v>1</v>
      </c>
      <c r="O43" s="102">
        <v>12</v>
      </c>
      <c r="P43" s="102" t="s">
        <v>705</v>
      </c>
      <c r="Q43" s="103" t="s">
        <v>1160</v>
      </c>
      <c r="R43" s="103">
        <v>111020009</v>
      </c>
      <c r="S43" s="104" t="str">
        <f t="shared" si="8"/>
        <v>UITexture/Bldg/111020009.png</v>
      </c>
      <c r="T43" s="102" t="s">
        <v>1044</v>
      </c>
      <c r="U43" s="102">
        <v>1</v>
      </c>
      <c r="V43" s="102">
        <v>3</v>
      </c>
      <c r="W43" s="102">
        <v>7</v>
      </c>
      <c r="Y43" s="104">
        <f t="shared" si="3"/>
        <v>102</v>
      </c>
      <c r="Z43" s="102">
        <v>90</v>
      </c>
      <c r="AA43" s="102">
        <v>1</v>
      </c>
      <c r="AB43" s="102">
        <v>3</v>
      </c>
      <c r="AC43" s="102">
        <v>0</v>
      </c>
      <c r="AD43" s="102" t="s">
        <v>540</v>
      </c>
      <c r="AE43" s="102">
        <v>9</v>
      </c>
      <c r="AG43" s="104">
        <f t="shared" si="9"/>
        <v>19564</v>
      </c>
      <c r="AH43" s="103">
        <v>19563.789473684214</v>
      </c>
      <c r="AI43" s="172">
        <v>3</v>
      </c>
      <c r="AK43" s="104">
        <f ca="1">IFERROR(OFFSET(ITEM_RES!$A$5,MATCH(AL43,ITEM_RES!$M$5:$M$84,0)-1,0),0)</f>
        <v>220000103</v>
      </c>
      <c r="AL43" s="103" t="s">
        <v>575</v>
      </c>
      <c r="AM43" s="104">
        <f t="shared" si="11"/>
        <v>21000</v>
      </c>
      <c r="AN43" s="103">
        <v>20730.537280701759</v>
      </c>
      <c r="AP43" s="104">
        <f ca="1">IFERROR(OFFSET(ITEM_RES!$A$5,MATCH(AQ43,ITEM_RES!$M$5:$M$84,0)-1,0),0)</f>
        <v>220000203</v>
      </c>
      <c r="AQ43" s="103" t="s">
        <v>593</v>
      </c>
      <c r="AR43" s="104">
        <f t="shared" si="12"/>
        <v>12000</v>
      </c>
      <c r="AS43" s="103">
        <v>12438.322368421057</v>
      </c>
      <c r="AU43" s="104">
        <f ca="1">IFERROR(OFFSET(ITEM_RES!$A$5,MATCH(AV43,ITEM_RES!$M$5:$M$84,0)-1,0),0)</f>
        <v>220000303</v>
      </c>
      <c r="AV43" s="103" t="s">
        <v>611</v>
      </c>
      <c r="AW43" s="104">
        <f t="shared" si="13"/>
        <v>4100</v>
      </c>
      <c r="AX43" s="103">
        <v>4146.107456140352</v>
      </c>
      <c r="AZ43" s="104">
        <f ca="1">IFERROR(OFFSET(ITEM_RES!$A$5,MATCH(BA43,ITEM_RES!$M$5:$M$84,0)-1,0),0)</f>
        <v>220000403</v>
      </c>
      <c r="BA43" s="103" t="s">
        <v>629</v>
      </c>
      <c r="BB43" s="104">
        <f t="shared" si="14"/>
        <v>0</v>
      </c>
      <c r="BC43" s="103">
        <v>0</v>
      </c>
      <c r="BE43" s="104">
        <f ca="1">IFERROR(OFFSET(ITEM_RES!$A$5,MATCH(BF43,ITEM_RES!$M$5:$M$84,0)-1,0),0)</f>
        <v>0</v>
      </c>
      <c r="BG43" s="104">
        <f t="shared" si="15"/>
        <v>0</v>
      </c>
    </row>
    <row r="44" spans="1:60" x14ac:dyDescent="0.3">
      <c r="A44" s="107">
        <f t="shared" si="16"/>
        <v>111020010</v>
      </c>
      <c r="B44" s="106">
        <v>11</v>
      </c>
      <c r="C44" s="105">
        <f t="shared" si="17"/>
        <v>1</v>
      </c>
      <c r="D44" s="106">
        <v>2</v>
      </c>
      <c r="E44" s="106">
        <v>0</v>
      </c>
      <c r="F44" s="105">
        <f t="shared" si="2"/>
        <v>10</v>
      </c>
      <c r="H44" s="102">
        <v>1</v>
      </c>
      <c r="I44" s="102">
        <v>10</v>
      </c>
      <c r="K44" s="102" t="s">
        <v>1041</v>
      </c>
      <c r="L44" s="102" t="s">
        <v>770</v>
      </c>
      <c r="M44" s="103" t="s">
        <v>2</v>
      </c>
      <c r="N44" s="102">
        <v>1</v>
      </c>
      <c r="O44" s="102">
        <v>12</v>
      </c>
      <c r="P44" s="102" t="s">
        <v>704</v>
      </c>
      <c r="Q44" s="103" t="s">
        <v>1160</v>
      </c>
      <c r="R44" s="103">
        <v>111020010</v>
      </c>
      <c r="S44" s="104" t="str">
        <f t="shared" si="8"/>
        <v>UITexture/Bldg/111020010.png</v>
      </c>
      <c r="T44" s="102" t="s">
        <v>1044</v>
      </c>
      <c r="U44" s="102">
        <v>1</v>
      </c>
      <c r="V44" s="102">
        <v>3</v>
      </c>
      <c r="W44" s="102">
        <v>7</v>
      </c>
      <c r="Y44" s="104">
        <f t="shared" si="3"/>
        <v>102</v>
      </c>
      <c r="Z44" s="102">
        <v>100</v>
      </c>
      <c r="AA44" s="102">
        <v>1</v>
      </c>
      <c r="AB44" s="102">
        <v>3</v>
      </c>
      <c r="AC44" s="102">
        <v>0</v>
      </c>
      <c r="AD44" s="102" t="s">
        <v>540</v>
      </c>
      <c r="AE44" s="102">
        <v>10</v>
      </c>
      <c r="AG44" s="104">
        <f t="shared" si="9"/>
        <v>23477</v>
      </c>
      <c r="AH44" s="103">
        <v>23476.547368421056</v>
      </c>
      <c r="AI44" s="172">
        <v>3</v>
      </c>
      <c r="AK44" s="104">
        <f ca="1">IFERROR(OFFSET(ITEM_RES!$A$5,MATCH(AL44,ITEM_RES!$M$5:$M$84,0)-1,0),0)</f>
        <v>220000104</v>
      </c>
      <c r="AL44" s="103" t="s">
        <v>576</v>
      </c>
      <c r="AM44" s="104">
        <f t="shared" si="11"/>
        <v>12000</v>
      </c>
      <c r="AN44" s="103">
        <v>12438.322368421057</v>
      </c>
      <c r="AP44" s="104">
        <f ca="1">IFERROR(OFFSET(ITEM_RES!$A$5,MATCH(AQ44,ITEM_RES!$M$5:$M$84,0)-1,0),0)</f>
        <v>220000204</v>
      </c>
      <c r="AQ44" s="103" t="s">
        <v>594</v>
      </c>
      <c r="AR44" s="104">
        <f t="shared" si="12"/>
        <v>7500</v>
      </c>
      <c r="AS44" s="103">
        <v>7462.9934210526335</v>
      </c>
      <c r="AU44" s="104">
        <f ca="1">IFERROR(OFFSET(ITEM_RES!$A$5,MATCH(AV44,ITEM_RES!$M$5:$M$84,0)-1,0),0)</f>
        <v>220000304</v>
      </c>
      <c r="AV44" s="103" t="s">
        <v>612</v>
      </c>
      <c r="AW44" s="104">
        <f t="shared" si="13"/>
        <v>2500</v>
      </c>
      <c r="AX44" s="103">
        <v>2487.6644736842113</v>
      </c>
      <c r="AZ44" s="104">
        <f ca="1">IFERROR(OFFSET(ITEM_RES!$A$5,MATCH(BA44,ITEM_RES!$M$5:$M$84,0)-1,0),0)</f>
        <v>220000404</v>
      </c>
      <c r="BA44" s="103" t="s">
        <v>630</v>
      </c>
      <c r="BB44" s="104">
        <f t="shared" si="14"/>
        <v>0</v>
      </c>
      <c r="BC44" s="103">
        <v>0</v>
      </c>
      <c r="BE44" s="104">
        <f ca="1">IFERROR(OFFSET(ITEM_RES!$A$5,MATCH(BF44,ITEM_RES!$M$5:$M$84,0)-1,0),0)</f>
        <v>0</v>
      </c>
      <c r="BG44" s="104">
        <f t="shared" si="15"/>
        <v>0</v>
      </c>
    </row>
    <row r="45" spans="1:60" x14ac:dyDescent="0.3">
      <c r="A45" s="107">
        <f t="shared" si="16"/>
        <v>111020011</v>
      </c>
      <c r="B45" s="106">
        <v>11</v>
      </c>
      <c r="C45" s="105">
        <f t="shared" si="17"/>
        <v>1</v>
      </c>
      <c r="D45" s="106">
        <v>2</v>
      </c>
      <c r="E45" s="106">
        <v>0</v>
      </c>
      <c r="F45" s="105">
        <f t="shared" si="2"/>
        <v>11</v>
      </c>
      <c r="H45" s="102">
        <v>1</v>
      </c>
      <c r="I45" s="102">
        <v>11</v>
      </c>
      <c r="K45" s="102" t="s">
        <v>1041</v>
      </c>
      <c r="L45" s="102" t="s">
        <v>770</v>
      </c>
      <c r="M45" s="103" t="s">
        <v>2</v>
      </c>
      <c r="N45" s="102">
        <v>1</v>
      </c>
      <c r="O45" s="102">
        <v>12</v>
      </c>
      <c r="P45" s="102" t="s">
        <v>704</v>
      </c>
      <c r="Q45" s="103" t="s">
        <v>1160</v>
      </c>
      <c r="R45" s="103">
        <v>111020011</v>
      </c>
      <c r="S45" s="104" t="str">
        <f t="shared" si="8"/>
        <v>UITexture/Bldg/111020011.png</v>
      </c>
      <c r="T45" s="102" t="s">
        <v>1044</v>
      </c>
      <c r="U45" s="102">
        <v>1</v>
      </c>
      <c r="V45" s="102">
        <v>3</v>
      </c>
      <c r="W45" s="102">
        <v>7</v>
      </c>
      <c r="Y45" s="104">
        <f t="shared" si="3"/>
        <v>102</v>
      </c>
      <c r="Z45" s="102">
        <v>110</v>
      </c>
      <c r="AA45" s="102">
        <v>1</v>
      </c>
      <c r="AB45" s="102">
        <v>3</v>
      </c>
      <c r="AC45" s="102">
        <v>0</v>
      </c>
      <c r="AD45" s="102" t="s">
        <v>540</v>
      </c>
      <c r="AE45" s="102">
        <v>11</v>
      </c>
      <c r="AG45" s="104">
        <f t="shared" si="9"/>
        <v>35215</v>
      </c>
      <c r="AH45" s="103">
        <v>35214.821052631582</v>
      </c>
      <c r="AI45" s="172">
        <v>4</v>
      </c>
      <c r="AK45" s="104">
        <f ca="1">IFERROR(OFFSET(ITEM_RES!$A$5,MATCH(AL45,ITEM_RES!$M$5:$M$84,0)-1,0),0)</f>
        <v>220000104</v>
      </c>
      <c r="AL45" s="103" t="s">
        <v>576</v>
      </c>
      <c r="AM45" s="104">
        <f t="shared" si="11"/>
        <v>23000</v>
      </c>
      <c r="AN45" s="103">
        <v>23321.854440789481</v>
      </c>
      <c r="AP45" s="104">
        <f ca="1">IFERROR(OFFSET(ITEM_RES!$A$5,MATCH(AQ45,ITEM_RES!$M$5:$M$84,0)-1,0),0)</f>
        <v>220000204</v>
      </c>
      <c r="AQ45" s="103" t="s">
        <v>594</v>
      </c>
      <c r="AR45" s="104">
        <f t="shared" si="12"/>
        <v>10000</v>
      </c>
      <c r="AS45" s="103">
        <v>10494.834498355267</v>
      </c>
      <c r="AU45" s="104">
        <f ca="1">IFERROR(OFFSET(ITEM_RES!$A$5,MATCH(AV45,ITEM_RES!$M$5:$M$84,0)-1,0),0)</f>
        <v>220000304</v>
      </c>
      <c r="AV45" s="103" t="s">
        <v>612</v>
      </c>
      <c r="AW45" s="104">
        <f t="shared" si="13"/>
        <v>4700</v>
      </c>
      <c r="AX45" s="103">
        <v>4664.3708881578959</v>
      </c>
      <c r="AZ45" s="104">
        <f ca="1">IFERROR(OFFSET(ITEM_RES!$A$5,MATCH(BA45,ITEM_RES!$M$5:$M$84,0)-1,0),0)</f>
        <v>220000404</v>
      </c>
      <c r="BA45" s="103" t="s">
        <v>630</v>
      </c>
      <c r="BB45" s="104">
        <f t="shared" si="14"/>
        <v>1200</v>
      </c>
      <c r="BC45" s="103">
        <v>1166.092722039474</v>
      </c>
      <c r="BE45" s="104">
        <f ca="1">IFERROR(OFFSET(ITEM_RES!$A$5,MATCH(BF45,ITEM_RES!$M$5:$M$84,0)-1,0),0)</f>
        <v>0</v>
      </c>
      <c r="BG45" s="104">
        <f t="shared" si="15"/>
        <v>0</v>
      </c>
    </row>
    <row r="46" spans="1:60" x14ac:dyDescent="0.3">
      <c r="A46" s="107">
        <f t="shared" si="16"/>
        <v>111020012</v>
      </c>
      <c r="B46" s="106">
        <v>11</v>
      </c>
      <c r="C46" s="105">
        <f t="shared" si="17"/>
        <v>1</v>
      </c>
      <c r="D46" s="106">
        <v>2</v>
      </c>
      <c r="E46" s="106">
        <v>0</v>
      </c>
      <c r="F46" s="105">
        <f t="shared" si="2"/>
        <v>12</v>
      </c>
      <c r="H46" s="102">
        <v>1</v>
      </c>
      <c r="I46" s="102">
        <v>12</v>
      </c>
      <c r="K46" s="102" t="s">
        <v>1041</v>
      </c>
      <c r="L46" s="102" t="s">
        <v>770</v>
      </c>
      <c r="M46" s="103" t="s">
        <v>2</v>
      </c>
      <c r="N46" s="102">
        <v>1</v>
      </c>
      <c r="O46" s="102">
        <v>12</v>
      </c>
      <c r="P46" s="102" t="s">
        <v>704</v>
      </c>
      <c r="Q46" s="103" t="s">
        <v>1160</v>
      </c>
      <c r="R46" s="103">
        <v>111020012</v>
      </c>
      <c r="S46" s="104" t="str">
        <f t="shared" si="8"/>
        <v>UITexture/Bldg/111020012.png</v>
      </c>
      <c r="T46" s="102" t="s">
        <v>1044</v>
      </c>
      <c r="U46" s="102">
        <v>1</v>
      </c>
      <c r="V46" s="102">
        <v>3</v>
      </c>
      <c r="W46" s="102">
        <v>7</v>
      </c>
      <c r="Y46" s="104">
        <f t="shared" si="3"/>
        <v>102</v>
      </c>
      <c r="Z46" s="102">
        <v>120</v>
      </c>
      <c r="AA46" s="102">
        <v>1</v>
      </c>
      <c r="AB46" s="102">
        <v>3</v>
      </c>
      <c r="AC46" s="102">
        <v>0</v>
      </c>
      <c r="AD46" s="102" t="s">
        <v>540</v>
      </c>
      <c r="AE46" s="102">
        <v>12</v>
      </c>
      <c r="AG46" s="104">
        <f t="shared" si="9"/>
        <v>52822</v>
      </c>
      <c r="AH46" s="103">
        <v>52822.231578947372</v>
      </c>
      <c r="AI46" s="172">
        <v>4</v>
      </c>
      <c r="AK46" s="104">
        <f ca="1">IFERROR(OFFSET(ITEM_RES!$A$5,MATCH(AL46,ITEM_RES!$M$5:$M$84,0)-1,0),0)</f>
        <v>220000104</v>
      </c>
      <c r="AL46" s="103" t="s">
        <v>576</v>
      </c>
      <c r="AM46" s="104">
        <f t="shared" si="11"/>
        <v>44000</v>
      </c>
      <c r="AN46" s="103">
        <v>43728.477076480267</v>
      </c>
      <c r="AP46" s="104">
        <f ca="1">IFERROR(OFFSET(ITEM_RES!$A$5,MATCH(AQ46,ITEM_RES!$M$5:$M$84,0)-1,0),0)</f>
        <v>220000204</v>
      </c>
      <c r="AQ46" s="103" t="s">
        <v>594</v>
      </c>
      <c r="AR46" s="104">
        <f t="shared" si="12"/>
        <v>20000</v>
      </c>
      <c r="AS46" s="103">
        <v>19677.814684416124</v>
      </c>
      <c r="AU46" s="104">
        <f ca="1">IFERROR(OFFSET(ITEM_RES!$A$5,MATCH(AV46,ITEM_RES!$M$5:$M$84,0)-1,0),0)</f>
        <v>220000304</v>
      </c>
      <c r="AV46" s="103" t="s">
        <v>612</v>
      </c>
      <c r="AW46" s="104">
        <f t="shared" si="13"/>
        <v>8700</v>
      </c>
      <c r="AX46" s="103">
        <v>8745.6954152960534</v>
      </c>
      <c r="AZ46" s="104">
        <f ca="1">IFERROR(OFFSET(ITEM_RES!$A$5,MATCH(BA46,ITEM_RES!$M$5:$M$84,0)-1,0),0)</f>
        <v>220000404</v>
      </c>
      <c r="BA46" s="103" t="s">
        <v>630</v>
      </c>
      <c r="BB46" s="104">
        <f t="shared" si="14"/>
        <v>2200</v>
      </c>
      <c r="BC46" s="103">
        <v>2186.4238538240133</v>
      </c>
      <c r="BE46" s="104">
        <f ca="1">IFERROR(OFFSET(ITEM_RES!$A$5,MATCH(BF46,ITEM_RES!$M$5:$M$84,0)-1,0),0)</f>
        <v>0</v>
      </c>
      <c r="BG46" s="104">
        <f t="shared" si="15"/>
        <v>0</v>
      </c>
    </row>
    <row r="47" spans="1:60" x14ac:dyDescent="0.3">
      <c r="A47" s="107">
        <f t="shared" si="16"/>
        <v>111020013</v>
      </c>
      <c r="B47" s="106">
        <v>11</v>
      </c>
      <c r="C47" s="105">
        <f t="shared" si="17"/>
        <v>1</v>
      </c>
      <c r="D47" s="106">
        <v>2</v>
      </c>
      <c r="E47" s="106">
        <v>0</v>
      </c>
      <c r="F47" s="105">
        <f t="shared" si="2"/>
        <v>13</v>
      </c>
      <c r="H47" s="102">
        <v>1</v>
      </c>
      <c r="I47" s="102">
        <v>13</v>
      </c>
      <c r="K47" s="102" t="s">
        <v>1041</v>
      </c>
      <c r="L47" s="102" t="s">
        <v>770</v>
      </c>
      <c r="M47" s="103" t="s">
        <v>2</v>
      </c>
      <c r="N47" s="102">
        <v>0</v>
      </c>
      <c r="O47" s="102">
        <v>12</v>
      </c>
      <c r="P47" s="102" t="s">
        <v>704</v>
      </c>
      <c r="Q47" s="103" t="s">
        <v>1160</v>
      </c>
      <c r="R47" s="103">
        <v>111020013</v>
      </c>
      <c r="S47" s="104" t="str">
        <f t="shared" si="8"/>
        <v>UITexture/Bldg/111020013.png</v>
      </c>
      <c r="T47" s="102" t="s">
        <v>1044</v>
      </c>
      <c r="U47" s="102">
        <v>1</v>
      </c>
      <c r="V47" s="102">
        <v>3</v>
      </c>
      <c r="W47" s="102">
        <v>7</v>
      </c>
      <c r="Y47" s="104">
        <f t="shared" si="3"/>
        <v>102</v>
      </c>
      <c r="Z47" s="102">
        <v>130</v>
      </c>
      <c r="AA47" s="102">
        <v>1</v>
      </c>
      <c r="AB47" s="102">
        <v>3</v>
      </c>
      <c r="AC47" s="102">
        <v>0</v>
      </c>
      <c r="AD47" s="102" t="s">
        <v>540</v>
      </c>
      <c r="AE47" s="102">
        <v>13</v>
      </c>
      <c r="AG47" s="104">
        <f t="shared" si="9"/>
        <v>68669</v>
      </c>
      <c r="AH47" s="103">
        <v>68668.901052631583</v>
      </c>
      <c r="AI47" s="172">
        <v>4</v>
      </c>
      <c r="AK47" s="104">
        <f ca="1">IFERROR(OFFSET(ITEM_RES!$A$5,MATCH(AL47,ITEM_RES!$M$5:$M$84,0)-1,0),0)</f>
        <v>220000105</v>
      </c>
      <c r="AL47" s="103" t="s">
        <v>577</v>
      </c>
      <c r="AM47" s="104">
        <f t="shared" si="11"/>
        <v>24000</v>
      </c>
      <c r="AN47" s="103">
        <v>23686.258416426819</v>
      </c>
      <c r="AP47" s="104">
        <f ca="1">IFERROR(OFFSET(ITEM_RES!$A$5,MATCH(AQ47,ITEM_RES!$M$5:$M$84,0)-1,0),0)</f>
        <v>220000205</v>
      </c>
      <c r="AQ47" s="103" t="s">
        <v>595</v>
      </c>
      <c r="AR47" s="104">
        <f t="shared" si="12"/>
        <v>11000</v>
      </c>
      <c r="AS47" s="103">
        <v>10658.816287392066</v>
      </c>
      <c r="AU47" s="104">
        <f ca="1">IFERROR(OFFSET(ITEM_RES!$A$5,MATCH(AV47,ITEM_RES!$M$5:$M$84,0)-1,0),0)</f>
        <v>220000305</v>
      </c>
      <c r="AV47" s="103" t="s">
        <v>613</v>
      </c>
      <c r="AW47" s="104">
        <f t="shared" si="13"/>
        <v>4700</v>
      </c>
      <c r="AX47" s="103">
        <v>4737.2516832853635</v>
      </c>
      <c r="AZ47" s="104">
        <f ca="1">IFERROR(OFFSET(ITEM_RES!$A$5,MATCH(BA47,ITEM_RES!$M$5:$M$84,0)-1,0),0)</f>
        <v>220000405</v>
      </c>
      <c r="BA47" s="103" t="s">
        <v>631</v>
      </c>
      <c r="BB47" s="104">
        <f t="shared" si="14"/>
        <v>1200</v>
      </c>
      <c r="BC47" s="103">
        <v>1184.3129208213409</v>
      </c>
      <c r="BE47" s="104">
        <f ca="1">IFERROR(OFFSET(ITEM_RES!$A$5,MATCH(BF47,ITEM_RES!$M$5:$M$84,0)-1,0),0)</f>
        <v>0</v>
      </c>
      <c r="BG47" s="104">
        <f t="shared" si="15"/>
        <v>0</v>
      </c>
    </row>
    <row r="48" spans="1:60" x14ac:dyDescent="0.3">
      <c r="A48" s="107">
        <f t="shared" si="16"/>
        <v>111020014</v>
      </c>
      <c r="B48" s="106">
        <v>11</v>
      </c>
      <c r="C48" s="105">
        <f t="shared" si="17"/>
        <v>1</v>
      </c>
      <c r="D48" s="106">
        <v>2</v>
      </c>
      <c r="E48" s="106">
        <v>0</v>
      </c>
      <c r="F48" s="105">
        <f t="shared" si="2"/>
        <v>14</v>
      </c>
      <c r="H48" s="102">
        <v>1</v>
      </c>
      <c r="I48" s="102">
        <v>14</v>
      </c>
      <c r="K48" s="102" t="s">
        <v>1041</v>
      </c>
      <c r="L48" s="102" t="s">
        <v>770</v>
      </c>
      <c r="M48" s="103" t="s">
        <v>2</v>
      </c>
      <c r="N48" s="102">
        <v>0</v>
      </c>
      <c r="O48" s="102">
        <v>12</v>
      </c>
      <c r="P48" s="102" t="s">
        <v>705</v>
      </c>
      <c r="Q48" s="103" t="s">
        <v>1160</v>
      </c>
      <c r="R48" s="103">
        <v>111020014</v>
      </c>
      <c r="S48" s="104" t="str">
        <f t="shared" si="8"/>
        <v>UITexture/Bldg/111020014.png</v>
      </c>
      <c r="T48" s="102" t="s">
        <v>1044</v>
      </c>
      <c r="U48" s="102">
        <v>1</v>
      </c>
      <c r="V48" s="102">
        <v>3</v>
      </c>
      <c r="W48" s="102">
        <v>7</v>
      </c>
      <c r="Y48" s="104">
        <f t="shared" si="3"/>
        <v>102</v>
      </c>
      <c r="Z48" s="102">
        <v>140</v>
      </c>
      <c r="AA48" s="102">
        <v>1</v>
      </c>
      <c r="AB48" s="102">
        <v>3</v>
      </c>
      <c r="AC48" s="102">
        <v>0</v>
      </c>
      <c r="AD48" s="102" t="s">
        <v>540</v>
      </c>
      <c r="AE48" s="102">
        <v>14</v>
      </c>
      <c r="AG48" s="104">
        <f t="shared" si="9"/>
        <v>75536</v>
      </c>
      <c r="AH48" s="103">
        <v>75535.791157894753</v>
      </c>
      <c r="AI48" s="172">
        <v>4</v>
      </c>
      <c r="AK48" s="104">
        <f ca="1">IFERROR(OFFSET(ITEM_RES!$A$5,MATCH(AL48,ITEM_RES!$M$5:$M$84,0)-1,0),0)</f>
        <v>220000105</v>
      </c>
      <c r="AL48" s="103" t="s">
        <v>577</v>
      </c>
      <c r="AM48" s="104">
        <f t="shared" si="11"/>
        <v>33000</v>
      </c>
      <c r="AN48" s="103">
        <v>32568.60532258686</v>
      </c>
      <c r="AP48" s="104">
        <f ca="1">IFERROR(OFFSET(ITEM_RES!$A$5,MATCH(AQ48,ITEM_RES!$M$5:$M$84,0)-1,0),0)</f>
        <v>220000205</v>
      </c>
      <c r="AQ48" s="103" t="s">
        <v>595</v>
      </c>
      <c r="AR48" s="104">
        <f t="shared" si="12"/>
        <v>15000</v>
      </c>
      <c r="AS48" s="103">
        <v>14655.87239516409</v>
      </c>
      <c r="AU48" s="104">
        <f ca="1">IFERROR(OFFSET(ITEM_RES!$A$5,MATCH(AV48,ITEM_RES!$M$5:$M$84,0)-1,0),0)</f>
        <v>220000305</v>
      </c>
      <c r="AV48" s="103" t="s">
        <v>613</v>
      </c>
      <c r="AW48" s="104">
        <f t="shared" si="13"/>
        <v>6500</v>
      </c>
      <c r="AX48" s="103">
        <v>6513.7210645173718</v>
      </c>
      <c r="AZ48" s="104">
        <f ca="1">IFERROR(OFFSET(ITEM_RES!$A$5,MATCH(BA48,ITEM_RES!$M$5:$M$84,0)-1,0),0)</f>
        <v>220000405</v>
      </c>
      <c r="BA48" s="103" t="s">
        <v>631</v>
      </c>
      <c r="BB48" s="104">
        <f t="shared" si="14"/>
        <v>1600</v>
      </c>
      <c r="BC48" s="103">
        <v>1628.430266129343</v>
      </c>
      <c r="BE48" s="104">
        <f ca="1">IFERROR(OFFSET(ITEM_RES!$A$5,MATCH(BF48,ITEM_RES!$M$5:$M$84,0)-1,0),0)</f>
        <v>0</v>
      </c>
      <c r="BG48" s="104">
        <f t="shared" si="15"/>
        <v>0</v>
      </c>
    </row>
    <row r="49" spans="1:59" x14ac:dyDescent="0.3">
      <c r="A49" s="107">
        <f t="shared" si="16"/>
        <v>111020015</v>
      </c>
      <c r="B49" s="106">
        <v>11</v>
      </c>
      <c r="C49" s="105">
        <f t="shared" si="17"/>
        <v>1</v>
      </c>
      <c r="D49" s="106">
        <v>2</v>
      </c>
      <c r="E49" s="106">
        <v>0</v>
      </c>
      <c r="F49" s="105">
        <f t="shared" si="2"/>
        <v>15</v>
      </c>
      <c r="H49" s="102">
        <v>1</v>
      </c>
      <c r="I49" s="102">
        <v>15</v>
      </c>
      <c r="K49" s="102" t="s">
        <v>1041</v>
      </c>
      <c r="L49" s="102" t="s">
        <v>770</v>
      </c>
      <c r="M49" s="103" t="s">
        <v>2</v>
      </c>
      <c r="N49" s="102">
        <v>0</v>
      </c>
      <c r="O49" s="102">
        <v>12</v>
      </c>
      <c r="P49" s="102" t="s">
        <v>704</v>
      </c>
      <c r="Q49" s="103" t="s">
        <v>1160</v>
      </c>
      <c r="R49" s="103">
        <v>111020015</v>
      </c>
      <c r="S49" s="104" t="str">
        <f t="shared" si="8"/>
        <v>UITexture/Bldg/111020015.png</v>
      </c>
      <c r="T49" s="102" t="s">
        <v>1044</v>
      </c>
      <c r="U49" s="102">
        <v>1</v>
      </c>
      <c r="V49" s="102">
        <v>3</v>
      </c>
      <c r="W49" s="102">
        <v>7</v>
      </c>
      <c r="Y49" s="104">
        <f t="shared" si="3"/>
        <v>102</v>
      </c>
      <c r="Z49" s="102">
        <v>150</v>
      </c>
      <c r="AA49" s="102">
        <v>1</v>
      </c>
      <c r="AB49" s="102">
        <v>3</v>
      </c>
      <c r="AC49" s="102">
        <v>0</v>
      </c>
      <c r="AD49" s="102" t="s">
        <v>540</v>
      </c>
      <c r="AE49" s="102">
        <v>15</v>
      </c>
      <c r="AG49" s="104">
        <f t="shared" si="9"/>
        <v>83089</v>
      </c>
      <c r="AH49" s="103">
        <v>83089.370273684239</v>
      </c>
      <c r="AI49" s="172">
        <v>4</v>
      </c>
      <c r="AK49" s="104">
        <f ca="1">IFERROR(OFFSET(ITEM_RES!$A$5,MATCH(AL49,ITEM_RES!$M$5:$M$84,0)-1,0),0)</f>
        <v>220000105</v>
      </c>
      <c r="AL49" s="103" t="s">
        <v>577</v>
      </c>
      <c r="AM49" s="104">
        <f t="shared" si="11"/>
        <v>45000</v>
      </c>
      <c r="AN49" s="103">
        <v>44781.832318556953</v>
      </c>
      <c r="AP49" s="104">
        <f ca="1">IFERROR(OFFSET(ITEM_RES!$A$5,MATCH(AQ49,ITEM_RES!$M$5:$M$84,0)-1,0),0)</f>
        <v>220000205</v>
      </c>
      <c r="AQ49" s="103" t="s">
        <v>595</v>
      </c>
      <c r="AR49" s="104">
        <f t="shared" si="12"/>
        <v>20000</v>
      </c>
      <c r="AS49" s="103">
        <v>20151.824543350627</v>
      </c>
      <c r="AU49" s="104">
        <f ca="1">IFERROR(OFFSET(ITEM_RES!$A$5,MATCH(AV49,ITEM_RES!$M$5:$M$84,0)-1,0),0)</f>
        <v>220000305</v>
      </c>
      <c r="AV49" s="103" t="s">
        <v>613</v>
      </c>
      <c r="AW49" s="104">
        <f t="shared" si="13"/>
        <v>9000</v>
      </c>
      <c r="AX49" s="103">
        <v>8956.3664637113907</v>
      </c>
      <c r="AZ49" s="104">
        <f ca="1">IFERROR(OFFSET(ITEM_RES!$A$5,MATCH(BA49,ITEM_RES!$M$5:$M$84,0)-1,0),0)</f>
        <v>220000405</v>
      </c>
      <c r="BA49" s="103" t="s">
        <v>631</v>
      </c>
      <c r="BB49" s="104">
        <f t="shared" si="14"/>
        <v>2200</v>
      </c>
      <c r="BC49" s="103">
        <v>2239.0916159278477</v>
      </c>
      <c r="BE49" s="104">
        <f ca="1">IFERROR(OFFSET(ITEM_RES!$A$5,MATCH(BF49,ITEM_RES!$M$5:$M$84,0)-1,0),0)</f>
        <v>0</v>
      </c>
      <c r="BG49" s="104">
        <f t="shared" si="15"/>
        <v>0</v>
      </c>
    </row>
    <row r="50" spans="1:59" x14ac:dyDescent="0.3">
      <c r="A50" s="107">
        <f t="shared" ref="A50:A59" si="18">B50*10000000+C50*1000000+D50*10000+E50*100+F50</f>
        <v>111020016</v>
      </c>
      <c r="B50" s="106">
        <v>11</v>
      </c>
      <c r="C50" s="105">
        <f t="shared" ref="C50:C59" si="19">H50</f>
        <v>1</v>
      </c>
      <c r="D50" s="106">
        <v>2</v>
      </c>
      <c r="E50" s="106">
        <v>0</v>
      </c>
      <c r="F50" s="105">
        <f t="shared" si="2"/>
        <v>16</v>
      </c>
      <c r="H50" s="102">
        <v>1</v>
      </c>
      <c r="I50" s="102">
        <v>16</v>
      </c>
      <c r="K50" s="102" t="s">
        <v>1041</v>
      </c>
      <c r="L50" s="102" t="s">
        <v>770</v>
      </c>
      <c r="M50" s="103" t="s">
        <v>2</v>
      </c>
      <c r="N50" s="102">
        <v>0</v>
      </c>
      <c r="O50" s="102">
        <v>12</v>
      </c>
      <c r="P50" s="102" t="s">
        <v>704</v>
      </c>
      <c r="Q50" s="103" t="s">
        <v>1160</v>
      </c>
      <c r="R50" s="103">
        <v>111020016</v>
      </c>
      <c r="S50" s="104" t="str">
        <f t="shared" si="8"/>
        <v>UITexture/Bldg/111020016.png</v>
      </c>
      <c r="T50" s="102" t="s">
        <v>1044</v>
      </c>
      <c r="U50" s="102">
        <v>1</v>
      </c>
      <c r="V50" s="102">
        <v>3</v>
      </c>
      <c r="W50" s="102">
        <v>7</v>
      </c>
      <c r="Y50" s="104">
        <f t="shared" si="3"/>
        <v>102</v>
      </c>
      <c r="Z50" s="102">
        <v>160</v>
      </c>
      <c r="AA50" s="102">
        <v>1</v>
      </c>
      <c r="AB50" s="102">
        <v>3</v>
      </c>
      <c r="AC50" s="102">
        <v>0</v>
      </c>
      <c r="AD50" s="102" t="s">
        <v>540</v>
      </c>
      <c r="AE50" s="102">
        <v>16</v>
      </c>
      <c r="AG50" s="104">
        <f t="shared" si="9"/>
        <v>91398</v>
      </c>
      <c r="AH50" s="103">
        <v>91398.307301052657</v>
      </c>
      <c r="AI50" s="172">
        <v>4</v>
      </c>
      <c r="AK50" s="104">
        <f ca="1">IFERROR(OFFSET(ITEM_RES!$A$5,MATCH(AL50,ITEM_RES!$M$5:$M$84,0)-1,0),0)</f>
        <v>220000106</v>
      </c>
      <c r="AL50" s="103" t="s">
        <v>578</v>
      </c>
      <c r="AM50" s="104">
        <f t="shared" si="11"/>
        <v>13000</v>
      </c>
      <c r="AN50" s="103">
        <v>12828.129049586627</v>
      </c>
      <c r="AP50" s="104">
        <f ca="1">IFERROR(OFFSET(ITEM_RES!$A$5,MATCH(AQ50,ITEM_RES!$M$5:$M$84,0)-1,0),0)</f>
        <v>220000206</v>
      </c>
      <c r="AQ50" s="103" t="s">
        <v>596</v>
      </c>
      <c r="AR50" s="104">
        <f t="shared" si="12"/>
        <v>7700</v>
      </c>
      <c r="AS50" s="103">
        <v>7696.8774297519767</v>
      </c>
      <c r="AU50" s="104">
        <f ca="1">IFERROR(OFFSET(ITEM_RES!$A$5,MATCH(AV50,ITEM_RES!$M$5:$M$84,0)-1,0),0)</f>
        <v>220000306</v>
      </c>
      <c r="AV50" s="103" t="s">
        <v>614</v>
      </c>
      <c r="AW50" s="104">
        <f t="shared" si="13"/>
        <v>5100</v>
      </c>
      <c r="AX50" s="103">
        <v>5131.2516198346511</v>
      </c>
      <c r="AZ50" s="104">
        <f ca="1">IFERROR(OFFSET(ITEM_RES!$A$5,MATCH(BA50,ITEM_RES!$M$5:$M$84,0)-1,0),0)</f>
        <v>220000406</v>
      </c>
      <c r="BA50" s="103" t="s">
        <v>632</v>
      </c>
      <c r="BB50" s="104">
        <f t="shared" si="14"/>
        <v>2600</v>
      </c>
      <c r="BC50" s="103">
        <v>2565.6258099173256</v>
      </c>
      <c r="BE50" s="104">
        <f ca="1">IFERROR(OFFSET(ITEM_RES!$A$5,MATCH(BF50,ITEM_RES!$M$5:$M$84,0)-1,0),0)</f>
        <v>0</v>
      </c>
      <c r="BG50" s="104">
        <f t="shared" si="15"/>
        <v>0</v>
      </c>
    </row>
    <row r="51" spans="1:59" x14ac:dyDescent="0.3">
      <c r="A51" s="107">
        <f t="shared" si="18"/>
        <v>111020017</v>
      </c>
      <c r="B51" s="106">
        <v>11</v>
      </c>
      <c r="C51" s="105">
        <f t="shared" si="19"/>
        <v>1</v>
      </c>
      <c r="D51" s="106">
        <v>2</v>
      </c>
      <c r="E51" s="106">
        <v>0</v>
      </c>
      <c r="F51" s="105">
        <f t="shared" si="2"/>
        <v>17</v>
      </c>
      <c r="H51" s="102">
        <v>1</v>
      </c>
      <c r="I51" s="102">
        <v>17</v>
      </c>
      <c r="K51" s="102" t="s">
        <v>1041</v>
      </c>
      <c r="L51" s="102" t="s">
        <v>770</v>
      </c>
      <c r="M51" s="103" t="s">
        <v>2</v>
      </c>
      <c r="N51" s="102">
        <v>0</v>
      </c>
      <c r="O51" s="102">
        <v>12</v>
      </c>
      <c r="P51" s="102" t="s">
        <v>704</v>
      </c>
      <c r="Q51" s="103" t="s">
        <v>1160</v>
      </c>
      <c r="R51" s="103">
        <v>111020017</v>
      </c>
      <c r="S51" s="104" t="str">
        <f t="shared" si="8"/>
        <v>UITexture/Bldg/111020017.png</v>
      </c>
      <c r="T51" s="102" t="s">
        <v>1044</v>
      </c>
      <c r="U51" s="102">
        <v>1</v>
      </c>
      <c r="V51" s="102">
        <v>3</v>
      </c>
      <c r="W51" s="102">
        <v>7</v>
      </c>
      <c r="Y51" s="104">
        <f t="shared" si="3"/>
        <v>102</v>
      </c>
      <c r="Z51" s="102">
        <v>170</v>
      </c>
      <c r="AA51" s="102">
        <v>1</v>
      </c>
      <c r="AB51" s="102">
        <v>3</v>
      </c>
      <c r="AC51" s="102">
        <v>0</v>
      </c>
      <c r="AD51" s="102" t="s">
        <v>540</v>
      </c>
      <c r="AE51" s="102">
        <v>17</v>
      </c>
      <c r="AG51" s="104">
        <f t="shared" si="9"/>
        <v>137097</v>
      </c>
      <c r="AH51" s="103">
        <v>137097.46095157898</v>
      </c>
      <c r="AI51" s="172">
        <v>4</v>
      </c>
      <c r="AK51" s="104">
        <f ca="1">IFERROR(OFFSET(ITEM_RES!$A$5,MATCH(AL51,ITEM_RES!$M$5:$M$84,0)-1,0),0)</f>
        <v>220000106</v>
      </c>
      <c r="AL51" s="103" t="s">
        <v>578</v>
      </c>
      <c r="AM51" s="104">
        <f t="shared" si="11"/>
        <v>24000</v>
      </c>
      <c r="AN51" s="103">
        <v>24052.741967974926</v>
      </c>
      <c r="AP51" s="104">
        <f ca="1">IFERROR(OFFSET(ITEM_RES!$A$5,MATCH(AQ51,ITEM_RES!$M$5:$M$84,0)-1,0),0)</f>
        <v>220000206</v>
      </c>
      <c r="AQ51" s="103" t="s">
        <v>596</v>
      </c>
      <c r="AR51" s="104">
        <f t="shared" si="12"/>
        <v>14000</v>
      </c>
      <c r="AS51" s="103">
        <v>14431.645180784955</v>
      </c>
      <c r="AU51" s="104">
        <f ca="1">IFERROR(OFFSET(ITEM_RES!$A$5,MATCH(AV51,ITEM_RES!$M$5:$M$84,0)-1,0),0)</f>
        <v>220000306</v>
      </c>
      <c r="AV51" s="103" t="s">
        <v>614</v>
      </c>
      <c r="AW51" s="104">
        <f t="shared" si="13"/>
        <v>9600</v>
      </c>
      <c r="AX51" s="103">
        <v>9621.0967871899702</v>
      </c>
      <c r="AZ51" s="104">
        <f ca="1">IFERROR(OFFSET(ITEM_RES!$A$5,MATCH(BA51,ITEM_RES!$M$5:$M$84,0)-1,0),0)</f>
        <v>220000406</v>
      </c>
      <c r="BA51" s="103" t="s">
        <v>632</v>
      </c>
      <c r="BB51" s="104">
        <f t="shared" si="14"/>
        <v>4800</v>
      </c>
      <c r="BC51" s="103">
        <v>4810.5483935949851</v>
      </c>
      <c r="BE51" s="104">
        <f ca="1">IFERROR(OFFSET(ITEM_RES!$A$5,MATCH(BF51,ITEM_RES!$M$5:$M$84,0)-1,0),0)</f>
        <v>0</v>
      </c>
      <c r="BG51" s="104">
        <f t="shared" si="15"/>
        <v>0</v>
      </c>
    </row>
    <row r="52" spans="1:59" x14ac:dyDescent="0.3">
      <c r="A52" s="107">
        <f t="shared" si="18"/>
        <v>111020018</v>
      </c>
      <c r="B52" s="106">
        <v>11</v>
      </c>
      <c r="C52" s="105">
        <f t="shared" si="19"/>
        <v>1</v>
      </c>
      <c r="D52" s="106">
        <v>2</v>
      </c>
      <c r="E52" s="106">
        <v>0</v>
      </c>
      <c r="F52" s="105">
        <f t="shared" si="2"/>
        <v>18</v>
      </c>
      <c r="H52" s="102">
        <v>1</v>
      </c>
      <c r="I52" s="102">
        <v>18</v>
      </c>
      <c r="K52" s="102" t="s">
        <v>1041</v>
      </c>
      <c r="L52" s="102" t="s">
        <v>770</v>
      </c>
      <c r="M52" s="103" t="s">
        <v>2</v>
      </c>
      <c r="N52" s="102">
        <v>0</v>
      </c>
      <c r="O52" s="102">
        <v>12</v>
      </c>
      <c r="P52" s="102" t="s">
        <v>704</v>
      </c>
      <c r="Q52" s="103" t="s">
        <v>1160</v>
      </c>
      <c r="R52" s="103">
        <v>111020018</v>
      </c>
      <c r="S52" s="104" t="str">
        <f t="shared" si="8"/>
        <v>UITexture/Bldg/111020018.png</v>
      </c>
      <c r="T52" s="102" t="s">
        <v>1044</v>
      </c>
      <c r="U52" s="102">
        <v>1</v>
      </c>
      <c r="V52" s="102">
        <v>3</v>
      </c>
      <c r="W52" s="102">
        <v>7</v>
      </c>
      <c r="Y52" s="104">
        <f t="shared" si="3"/>
        <v>102</v>
      </c>
      <c r="Z52" s="102">
        <v>180</v>
      </c>
      <c r="AA52" s="102">
        <v>1</v>
      </c>
      <c r="AB52" s="102">
        <v>3</v>
      </c>
      <c r="AC52" s="102">
        <v>0</v>
      </c>
      <c r="AD52" s="102" t="s">
        <v>540</v>
      </c>
      <c r="AE52" s="102">
        <v>18</v>
      </c>
      <c r="AG52" s="104">
        <f t="shared" si="9"/>
        <v>205646</v>
      </c>
      <c r="AH52" s="103">
        <v>205646.19142736847</v>
      </c>
      <c r="AI52" s="172">
        <v>4</v>
      </c>
      <c r="AK52" s="104">
        <f ca="1">IFERROR(OFFSET(ITEM_RES!$A$5,MATCH(AL52,ITEM_RES!$M$5:$M$84,0)-1,0),0)</f>
        <v>220000106</v>
      </c>
      <c r="AL52" s="103" t="s">
        <v>578</v>
      </c>
      <c r="AM52" s="104">
        <f t="shared" si="11"/>
        <v>45000</v>
      </c>
      <c r="AN52" s="103">
        <v>45098.891189952992</v>
      </c>
      <c r="AP52" s="104">
        <f ca="1">IFERROR(OFFSET(ITEM_RES!$A$5,MATCH(AQ52,ITEM_RES!$M$5:$M$84,0)-1,0),0)</f>
        <v>220000206</v>
      </c>
      <c r="AQ52" s="103" t="s">
        <v>596</v>
      </c>
      <c r="AR52" s="104">
        <f t="shared" si="12"/>
        <v>27000</v>
      </c>
      <c r="AS52" s="103">
        <v>27059.334713971795</v>
      </c>
      <c r="AU52" s="104">
        <f ca="1">IFERROR(OFFSET(ITEM_RES!$A$5,MATCH(AV52,ITEM_RES!$M$5:$M$84,0)-1,0),0)</f>
        <v>220000306</v>
      </c>
      <c r="AV52" s="103" t="s">
        <v>614</v>
      </c>
      <c r="AW52" s="104">
        <f t="shared" si="13"/>
        <v>18000</v>
      </c>
      <c r="AX52" s="103">
        <v>18039.556475981197</v>
      </c>
      <c r="AZ52" s="104">
        <f ca="1">IFERROR(OFFSET(ITEM_RES!$A$5,MATCH(BA52,ITEM_RES!$M$5:$M$84,0)-1,0),0)</f>
        <v>220000406</v>
      </c>
      <c r="BA52" s="103" t="s">
        <v>632</v>
      </c>
      <c r="BB52" s="104">
        <f t="shared" si="14"/>
        <v>9000</v>
      </c>
      <c r="BC52" s="103">
        <v>9019.7782379905984</v>
      </c>
      <c r="BE52" s="104">
        <f ca="1">IFERROR(OFFSET(ITEM_RES!$A$5,MATCH(BF52,ITEM_RES!$M$5:$M$84,0)-1,0),0)</f>
        <v>0</v>
      </c>
      <c r="BG52" s="104">
        <f t="shared" si="15"/>
        <v>0</v>
      </c>
    </row>
    <row r="53" spans="1:59" x14ac:dyDescent="0.3">
      <c r="A53" s="107">
        <f t="shared" si="18"/>
        <v>111020019</v>
      </c>
      <c r="B53" s="106">
        <v>11</v>
      </c>
      <c r="C53" s="105">
        <f t="shared" si="19"/>
        <v>1</v>
      </c>
      <c r="D53" s="106">
        <v>2</v>
      </c>
      <c r="E53" s="106">
        <v>0</v>
      </c>
      <c r="F53" s="105">
        <f t="shared" si="2"/>
        <v>19</v>
      </c>
      <c r="H53" s="102">
        <v>1</v>
      </c>
      <c r="I53" s="102">
        <v>19</v>
      </c>
      <c r="K53" s="102" t="s">
        <v>1041</v>
      </c>
      <c r="L53" s="102" t="s">
        <v>770</v>
      </c>
      <c r="M53" s="103" t="s">
        <v>2</v>
      </c>
      <c r="N53" s="102">
        <v>0</v>
      </c>
      <c r="O53" s="102">
        <v>12</v>
      </c>
      <c r="P53" s="102" t="s">
        <v>705</v>
      </c>
      <c r="Q53" s="103" t="s">
        <v>1160</v>
      </c>
      <c r="R53" s="103">
        <v>111020019</v>
      </c>
      <c r="S53" s="104" t="str">
        <f t="shared" si="8"/>
        <v>UITexture/Bldg/111020019.png</v>
      </c>
      <c r="T53" s="102" t="s">
        <v>1044</v>
      </c>
      <c r="U53" s="102">
        <v>1</v>
      </c>
      <c r="V53" s="102">
        <v>3</v>
      </c>
      <c r="W53" s="102">
        <v>7</v>
      </c>
      <c r="Y53" s="104">
        <f t="shared" si="3"/>
        <v>102</v>
      </c>
      <c r="Z53" s="102">
        <v>190</v>
      </c>
      <c r="AA53" s="102">
        <v>1</v>
      </c>
      <c r="AB53" s="102">
        <v>3</v>
      </c>
      <c r="AC53" s="102">
        <v>0</v>
      </c>
      <c r="AD53" s="102" t="s">
        <v>540</v>
      </c>
      <c r="AE53" s="102">
        <v>19</v>
      </c>
      <c r="AG53" s="104">
        <f t="shared" si="9"/>
        <v>246775</v>
      </c>
      <c r="AH53" s="103">
        <v>246775.42971284216</v>
      </c>
      <c r="AI53" s="172">
        <v>4</v>
      </c>
      <c r="AK53" s="104">
        <f ca="1">IFERROR(OFFSET(ITEM_RES!$A$5,MATCH(AL53,ITEM_RES!$M$5:$M$84,0)-1,0),0)</f>
        <v>220000107</v>
      </c>
      <c r="AL53" s="103" t="s">
        <v>579</v>
      </c>
      <c r="AM53" s="104">
        <f t="shared" si="11"/>
        <v>23000</v>
      </c>
      <c r="AN53" s="103">
        <v>22549.445594976492</v>
      </c>
      <c r="AP53" s="104">
        <f ca="1">IFERROR(OFFSET(ITEM_RES!$A$5,MATCH(AQ53,ITEM_RES!$M$5:$M$84,0)-1,0),0)</f>
        <v>220000207</v>
      </c>
      <c r="AQ53" s="103" t="s">
        <v>597</v>
      </c>
      <c r="AR53" s="104">
        <f t="shared" si="12"/>
        <v>14000</v>
      </c>
      <c r="AS53" s="103">
        <v>13529.667356985894</v>
      </c>
      <c r="AU53" s="104">
        <f ca="1">IFERROR(OFFSET(ITEM_RES!$A$5,MATCH(AV53,ITEM_RES!$M$5:$M$84,0)-1,0),0)</f>
        <v>220000307</v>
      </c>
      <c r="AV53" s="103" t="s">
        <v>615</v>
      </c>
      <c r="AW53" s="104">
        <f t="shared" si="13"/>
        <v>9000</v>
      </c>
      <c r="AX53" s="103">
        <v>9019.7782379905966</v>
      </c>
      <c r="AZ53" s="104">
        <f ca="1">IFERROR(OFFSET(ITEM_RES!$A$5,MATCH(BA53,ITEM_RES!$M$5:$M$84,0)-1,0),0)</f>
        <v>220000407</v>
      </c>
      <c r="BA53" s="103" t="s">
        <v>633</v>
      </c>
      <c r="BB53" s="104">
        <f t="shared" si="14"/>
        <v>4500</v>
      </c>
      <c r="BC53" s="103">
        <v>4509.8891189952983</v>
      </c>
      <c r="BE53" s="104">
        <f ca="1">IFERROR(OFFSET(ITEM_RES!$A$5,MATCH(BF53,ITEM_RES!$M$5:$M$84,0)-1,0),0)</f>
        <v>0</v>
      </c>
      <c r="BG53" s="104">
        <f t="shared" si="15"/>
        <v>0</v>
      </c>
    </row>
    <row r="54" spans="1:59" x14ac:dyDescent="0.3">
      <c r="A54" s="107">
        <f t="shared" si="18"/>
        <v>111020020</v>
      </c>
      <c r="B54" s="106">
        <v>11</v>
      </c>
      <c r="C54" s="105">
        <f t="shared" si="19"/>
        <v>1</v>
      </c>
      <c r="D54" s="106">
        <v>2</v>
      </c>
      <c r="E54" s="106">
        <v>0</v>
      </c>
      <c r="F54" s="105">
        <f t="shared" si="2"/>
        <v>20</v>
      </c>
      <c r="H54" s="102">
        <v>1</v>
      </c>
      <c r="I54" s="102">
        <v>20</v>
      </c>
      <c r="K54" s="102" t="s">
        <v>1041</v>
      </c>
      <c r="L54" s="102" t="s">
        <v>770</v>
      </c>
      <c r="M54" s="103" t="s">
        <v>2</v>
      </c>
      <c r="N54" s="102">
        <v>0</v>
      </c>
      <c r="O54" s="102">
        <v>12</v>
      </c>
      <c r="P54" s="102" t="s">
        <v>704</v>
      </c>
      <c r="Q54" s="103" t="s">
        <v>1160</v>
      </c>
      <c r="R54" s="103">
        <v>111020020</v>
      </c>
      <c r="S54" s="104" t="str">
        <f t="shared" si="8"/>
        <v>UITexture/Bldg/111020020.png</v>
      </c>
      <c r="T54" s="102" t="s">
        <v>1044</v>
      </c>
      <c r="U54" s="102">
        <v>1</v>
      </c>
      <c r="V54" s="102">
        <v>3</v>
      </c>
      <c r="W54" s="102">
        <v>7</v>
      </c>
      <c r="Y54" s="104">
        <f t="shared" si="3"/>
        <v>102</v>
      </c>
      <c r="Z54" s="102">
        <v>200</v>
      </c>
      <c r="AA54" s="102">
        <v>1</v>
      </c>
      <c r="AB54" s="102">
        <v>3</v>
      </c>
      <c r="AC54" s="102">
        <v>0</v>
      </c>
      <c r="AD54" s="102" t="s">
        <v>540</v>
      </c>
      <c r="AE54" s="102">
        <v>20</v>
      </c>
      <c r="AG54" s="104">
        <f t="shared" si="9"/>
        <v>271453</v>
      </c>
      <c r="AH54" s="103">
        <v>271452.97268412641</v>
      </c>
      <c r="AI54" s="172">
        <v>4</v>
      </c>
      <c r="AK54" s="104">
        <f ca="1">IFERROR(OFFSET(ITEM_RES!$A$5,MATCH(AL54,ITEM_RES!$M$5:$M$84,0)-1,0),0)</f>
        <v>220000107</v>
      </c>
      <c r="AL54" s="103" t="s">
        <v>579</v>
      </c>
      <c r="AM54" s="104">
        <f t="shared" si="11"/>
        <v>31000</v>
      </c>
      <c r="AN54" s="103">
        <v>31005.487693092677</v>
      </c>
      <c r="AP54" s="104">
        <f ca="1">IFERROR(OFFSET(ITEM_RES!$A$5,MATCH(AQ54,ITEM_RES!$M$5:$M$84,0)-1,0),0)</f>
        <v>220000207</v>
      </c>
      <c r="AQ54" s="103" t="s">
        <v>597</v>
      </c>
      <c r="AR54" s="104">
        <f t="shared" si="12"/>
        <v>19000</v>
      </c>
      <c r="AS54" s="103">
        <v>18603.292615855607</v>
      </c>
      <c r="AU54" s="104">
        <f ca="1">IFERROR(OFFSET(ITEM_RES!$A$5,MATCH(AV54,ITEM_RES!$M$5:$M$84,0)-1,0),0)</f>
        <v>220000307</v>
      </c>
      <c r="AV54" s="103" t="s">
        <v>615</v>
      </c>
      <c r="AW54" s="104">
        <f t="shared" si="13"/>
        <v>12000</v>
      </c>
      <c r="AX54" s="103">
        <v>12402.195077237071</v>
      </c>
      <c r="AZ54" s="104">
        <f ca="1">IFERROR(OFFSET(ITEM_RES!$A$5,MATCH(BA54,ITEM_RES!$M$5:$M$84,0)-1,0),0)</f>
        <v>220000407</v>
      </c>
      <c r="BA54" s="103" t="s">
        <v>633</v>
      </c>
      <c r="BB54" s="104">
        <f t="shared" si="14"/>
        <v>6200</v>
      </c>
      <c r="BC54" s="103">
        <v>6201.0975386185355</v>
      </c>
      <c r="BE54" s="104">
        <f ca="1">IFERROR(OFFSET(ITEM_RES!$A$5,MATCH(BF54,ITEM_RES!$M$5:$M$84,0)-1,0),0)</f>
        <v>0</v>
      </c>
      <c r="BG54" s="104">
        <f t="shared" si="15"/>
        <v>0</v>
      </c>
    </row>
    <row r="55" spans="1:59" x14ac:dyDescent="0.3">
      <c r="A55" s="107">
        <f t="shared" si="18"/>
        <v>111020021</v>
      </c>
      <c r="B55" s="106">
        <v>11</v>
      </c>
      <c r="C55" s="105">
        <f t="shared" si="19"/>
        <v>1</v>
      </c>
      <c r="D55" s="106">
        <v>2</v>
      </c>
      <c r="E55" s="106">
        <v>0</v>
      </c>
      <c r="F55" s="105">
        <f t="shared" si="2"/>
        <v>21</v>
      </c>
      <c r="H55" s="102">
        <v>1</v>
      </c>
      <c r="I55" s="102">
        <v>21</v>
      </c>
      <c r="K55" s="102" t="s">
        <v>1041</v>
      </c>
      <c r="L55" s="102" t="s">
        <v>770</v>
      </c>
      <c r="M55" s="103" t="s">
        <v>2</v>
      </c>
      <c r="N55" s="102">
        <v>0</v>
      </c>
      <c r="O55" s="102">
        <v>12</v>
      </c>
      <c r="P55" s="102" t="s">
        <v>704</v>
      </c>
      <c r="Q55" s="103" t="s">
        <v>1160</v>
      </c>
      <c r="R55" s="103">
        <v>111020021</v>
      </c>
      <c r="S55" s="104" t="str">
        <f t="shared" si="8"/>
        <v>UITexture/Bldg/111020021.png</v>
      </c>
      <c r="T55" s="102" t="s">
        <v>1044</v>
      </c>
      <c r="U55" s="102">
        <v>1</v>
      </c>
      <c r="V55" s="102">
        <v>3</v>
      </c>
      <c r="W55" s="102">
        <v>7</v>
      </c>
      <c r="Y55" s="104">
        <f t="shared" si="3"/>
        <v>102</v>
      </c>
      <c r="Z55" s="102">
        <v>210</v>
      </c>
      <c r="AA55" s="102">
        <v>1</v>
      </c>
      <c r="AB55" s="102">
        <v>3</v>
      </c>
      <c r="AC55" s="102">
        <v>0</v>
      </c>
      <c r="AD55" s="102" t="s">
        <v>540</v>
      </c>
      <c r="AE55" s="102">
        <v>21</v>
      </c>
      <c r="AG55" s="104">
        <f t="shared" si="9"/>
        <v>293169</v>
      </c>
      <c r="AH55" s="103">
        <v>293169.21049885656</v>
      </c>
      <c r="AI55" s="172">
        <v>4</v>
      </c>
      <c r="AK55" s="104">
        <f ca="1">IFERROR(OFFSET(ITEM_RES!$A$5,MATCH(AL55,ITEM_RES!$M$5:$M$84,0)-1,0),0)</f>
        <v>220000107</v>
      </c>
      <c r="AL55" s="103" t="s">
        <v>579</v>
      </c>
      <c r="AM55" s="104">
        <f t="shared" si="11"/>
        <v>42000</v>
      </c>
      <c r="AN55" s="103">
        <v>41857.408385675117</v>
      </c>
      <c r="AP55" s="104">
        <f ca="1">IFERROR(OFFSET(ITEM_RES!$A$5,MATCH(AQ55,ITEM_RES!$M$5:$M$84,0)-1,0),0)</f>
        <v>220000207</v>
      </c>
      <c r="AQ55" s="103" t="s">
        <v>597</v>
      </c>
      <c r="AR55" s="104">
        <f t="shared" si="12"/>
        <v>25000</v>
      </c>
      <c r="AS55" s="103">
        <v>25114.44503140507</v>
      </c>
      <c r="AU55" s="104">
        <f ca="1">IFERROR(OFFSET(ITEM_RES!$A$5,MATCH(AV55,ITEM_RES!$M$5:$M$84,0)-1,0),0)</f>
        <v>220000307</v>
      </c>
      <c r="AV55" s="103" t="s">
        <v>615</v>
      </c>
      <c r="AW55" s="104">
        <f t="shared" si="13"/>
        <v>17000</v>
      </c>
      <c r="AX55" s="103">
        <v>16742.963354270047</v>
      </c>
      <c r="AZ55" s="104">
        <f ca="1">IFERROR(OFFSET(ITEM_RES!$A$5,MATCH(BA55,ITEM_RES!$M$5:$M$84,0)-1,0),0)</f>
        <v>220000407</v>
      </c>
      <c r="BA55" s="103" t="s">
        <v>633</v>
      </c>
      <c r="BB55" s="104">
        <f t="shared" si="14"/>
        <v>8400</v>
      </c>
      <c r="BC55" s="103">
        <v>8371.4816771350233</v>
      </c>
      <c r="BE55" s="104">
        <f ca="1">IFERROR(OFFSET(ITEM_RES!$A$5,MATCH(BF55,ITEM_RES!$M$5:$M$84,0)-1,0),0)</f>
        <v>0</v>
      </c>
      <c r="BG55" s="104">
        <f t="shared" si="15"/>
        <v>0</v>
      </c>
    </row>
    <row r="56" spans="1:59" x14ac:dyDescent="0.3">
      <c r="A56" s="107">
        <f t="shared" si="18"/>
        <v>111020022</v>
      </c>
      <c r="B56" s="106">
        <v>11</v>
      </c>
      <c r="C56" s="105">
        <f t="shared" si="19"/>
        <v>1</v>
      </c>
      <c r="D56" s="106">
        <v>2</v>
      </c>
      <c r="E56" s="106">
        <v>0</v>
      </c>
      <c r="F56" s="105">
        <f t="shared" si="2"/>
        <v>22</v>
      </c>
      <c r="H56" s="102">
        <v>1</v>
      </c>
      <c r="I56" s="102">
        <v>22</v>
      </c>
      <c r="K56" s="102" t="s">
        <v>1041</v>
      </c>
      <c r="L56" s="102" t="s">
        <v>770</v>
      </c>
      <c r="M56" s="103" t="s">
        <v>2</v>
      </c>
      <c r="N56" s="102">
        <v>0</v>
      </c>
      <c r="O56" s="102">
        <v>12</v>
      </c>
      <c r="P56" s="102" t="s">
        <v>704</v>
      </c>
      <c r="Q56" s="103" t="s">
        <v>1160</v>
      </c>
      <c r="R56" s="103">
        <v>111020022</v>
      </c>
      <c r="S56" s="104" t="str">
        <f t="shared" si="8"/>
        <v>UITexture/Bldg/111020022.png</v>
      </c>
      <c r="T56" s="102" t="s">
        <v>1044</v>
      </c>
      <c r="U56" s="102">
        <v>1</v>
      </c>
      <c r="V56" s="102">
        <v>3</v>
      </c>
      <c r="W56" s="102">
        <v>7</v>
      </c>
      <c r="Y56" s="104">
        <f t="shared" si="3"/>
        <v>102</v>
      </c>
      <c r="Z56" s="102">
        <v>220</v>
      </c>
      <c r="AA56" s="102">
        <v>1</v>
      </c>
      <c r="AB56" s="102">
        <v>3</v>
      </c>
      <c r="AC56" s="102">
        <v>0</v>
      </c>
      <c r="AD56" s="102" t="s">
        <v>540</v>
      </c>
      <c r="AE56" s="102">
        <v>22</v>
      </c>
      <c r="AG56" s="104">
        <f t="shared" si="9"/>
        <v>313691</v>
      </c>
      <c r="AH56" s="103">
        <v>313691.05523377651</v>
      </c>
      <c r="AI56" s="172">
        <v>4</v>
      </c>
      <c r="AK56" s="104">
        <f ca="1">IFERROR(OFFSET(ITEM_RES!$A$5,MATCH(AL56,ITEM_RES!$M$5:$M$84,0)-1,0),0)</f>
        <v>220000108</v>
      </c>
      <c r="AL56" s="103" t="s">
        <v>580</v>
      </c>
      <c r="AM56" s="104">
        <f t="shared" si="11"/>
        <v>19000</v>
      </c>
      <c r="AN56" s="103">
        <v>18661.427905280158</v>
      </c>
      <c r="AP56" s="104">
        <f ca="1">IFERROR(OFFSET(ITEM_RES!$A$5,MATCH(AQ56,ITEM_RES!$M$5:$M$84,0)-1,0),0)</f>
        <v>220000208</v>
      </c>
      <c r="AQ56" s="103" t="s">
        <v>598</v>
      </c>
      <c r="AR56" s="104">
        <f t="shared" si="12"/>
        <v>11000</v>
      </c>
      <c r="AS56" s="103">
        <v>11196.856743168095</v>
      </c>
      <c r="AU56" s="104">
        <f ca="1">IFERROR(OFFSET(ITEM_RES!$A$5,MATCH(AV56,ITEM_RES!$M$5:$M$84,0)-1,0),0)</f>
        <v>220000308</v>
      </c>
      <c r="AV56" s="103" t="s">
        <v>616</v>
      </c>
      <c r="AW56" s="104">
        <f t="shared" si="13"/>
        <v>7500</v>
      </c>
      <c r="AX56" s="103">
        <v>7464.5711621120636</v>
      </c>
      <c r="AZ56" s="104">
        <f ca="1">IFERROR(OFFSET(ITEM_RES!$A$5,MATCH(BA56,ITEM_RES!$M$5:$M$84,0)-1,0),0)</f>
        <v>220000408</v>
      </c>
      <c r="BA56" s="103" t="s">
        <v>634</v>
      </c>
      <c r="BB56" s="104">
        <f t="shared" si="14"/>
        <v>3700</v>
      </c>
      <c r="BC56" s="103">
        <v>3732.2855810560318</v>
      </c>
      <c r="BE56" s="104">
        <f ca="1">IFERROR(OFFSET(ITEM_RES!$A$5,MATCH(BF56,ITEM_RES!$M$5:$M$84,0)-1,0),0)</f>
        <v>0</v>
      </c>
      <c r="BG56" s="104">
        <f t="shared" si="15"/>
        <v>0</v>
      </c>
    </row>
    <row r="57" spans="1:59" x14ac:dyDescent="0.3">
      <c r="A57" s="107">
        <f t="shared" si="18"/>
        <v>111020023</v>
      </c>
      <c r="B57" s="106">
        <v>11</v>
      </c>
      <c r="C57" s="105">
        <f t="shared" si="19"/>
        <v>1</v>
      </c>
      <c r="D57" s="106">
        <v>2</v>
      </c>
      <c r="E57" s="106">
        <v>0</v>
      </c>
      <c r="F57" s="105">
        <f t="shared" si="2"/>
        <v>23</v>
      </c>
      <c r="H57" s="102">
        <v>1</v>
      </c>
      <c r="I57" s="102">
        <v>23</v>
      </c>
      <c r="K57" s="102" t="s">
        <v>1041</v>
      </c>
      <c r="L57" s="102" t="s">
        <v>770</v>
      </c>
      <c r="M57" s="103" t="s">
        <v>2</v>
      </c>
      <c r="N57" s="102">
        <v>0</v>
      </c>
      <c r="O57" s="102">
        <v>12</v>
      </c>
      <c r="P57" s="102" t="s">
        <v>704</v>
      </c>
      <c r="Q57" s="103" t="s">
        <v>1160</v>
      </c>
      <c r="R57" s="103">
        <v>111020023</v>
      </c>
      <c r="S57" s="104" t="str">
        <f t="shared" si="8"/>
        <v>UITexture/Bldg/111020023.png</v>
      </c>
      <c r="T57" s="102" t="s">
        <v>1044</v>
      </c>
      <c r="U57" s="102">
        <v>1</v>
      </c>
      <c r="V57" s="102">
        <v>3</v>
      </c>
      <c r="W57" s="102">
        <v>7</v>
      </c>
      <c r="Y57" s="104">
        <f t="shared" si="3"/>
        <v>102</v>
      </c>
      <c r="Z57" s="102">
        <v>230</v>
      </c>
      <c r="AA57" s="102">
        <v>1</v>
      </c>
      <c r="AB57" s="102">
        <v>3</v>
      </c>
      <c r="AC57" s="102">
        <v>0</v>
      </c>
      <c r="AD57" s="102" t="s">
        <v>540</v>
      </c>
      <c r="AE57" s="102">
        <v>23</v>
      </c>
      <c r="AG57" s="104">
        <f t="shared" si="9"/>
        <v>332513</v>
      </c>
      <c r="AH57" s="103">
        <v>332512.51854780311</v>
      </c>
      <c r="AI57" s="172">
        <v>4</v>
      </c>
      <c r="AK57" s="104">
        <f ca="1">IFERROR(OFFSET(ITEM_RES!$A$5,MATCH(AL57,ITEM_RES!$M$5:$M$84,0)-1,0),0)</f>
        <v>220000108</v>
      </c>
      <c r="AL57" s="103" t="s">
        <v>580</v>
      </c>
      <c r="AM57" s="104">
        <f t="shared" si="11"/>
        <v>25000</v>
      </c>
      <c r="AN57" s="103">
        <v>24726.391974496211</v>
      </c>
      <c r="AP57" s="104">
        <f ca="1">IFERROR(OFFSET(ITEM_RES!$A$5,MATCH(AQ57,ITEM_RES!$M$5:$M$84,0)-1,0),0)</f>
        <v>220000208</v>
      </c>
      <c r="AQ57" s="103" t="s">
        <v>598</v>
      </c>
      <c r="AR57" s="104">
        <f t="shared" si="12"/>
        <v>15000</v>
      </c>
      <c r="AS57" s="103">
        <v>14835.835184697726</v>
      </c>
      <c r="AU57" s="104">
        <f ca="1">IFERROR(OFFSET(ITEM_RES!$A$5,MATCH(AV57,ITEM_RES!$M$5:$M$84,0)-1,0),0)</f>
        <v>220000308</v>
      </c>
      <c r="AV57" s="103" t="s">
        <v>616</v>
      </c>
      <c r="AW57" s="104">
        <f t="shared" si="13"/>
        <v>9900</v>
      </c>
      <c r="AX57" s="103">
        <v>9890.5567897984838</v>
      </c>
      <c r="AZ57" s="104">
        <f ca="1">IFERROR(OFFSET(ITEM_RES!$A$5,MATCH(BA57,ITEM_RES!$M$5:$M$84,0)-1,0),0)</f>
        <v>220000408</v>
      </c>
      <c r="BA57" s="103" t="s">
        <v>634</v>
      </c>
      <c r="BB57" s="104">
        <f t="shared" si="14"/>
        <v>4900</v>
      </c>
      <c r="BC57" s="103">
        <v>4945.2783948992419</v>
      </c>
      <c r="BE57" s="104">
        <f ca="1">IFERROR(OFFSET(ITEM_RES!$A$5,MATCH(BF57,ITEM_RES!$M$5:$M$84,0)-1,0),0)</f>
        <v>0</v>
      </c>
      <c r="BG57" s="104">
        <f t="shared" si="15"/>
        <v>0</v>
      </c>
    </row>
    <row r="58" spans="1:59" x14ac:dyDescent="0.3">
      <c r="A58" s="107">
        <f t="shared" si="18"/>
        <v>111020024</v>
      </c>
      <c r="B58" s="106">
        <v>11</v>
      </c>
      <c r="C58" s="105">
        <f t="shared" si="19"/>
        <v>1</v>
      </c>
      <c r="D58" s="106">
        <v>2</v>
      </c>
      <c r="E58" s="106">
        <v>0</v>
      </c>
      <c r="F58" s="105">
        <f t="shared" si="2"/>
        <v>24</v>
      </c>
      <c r="H58" s="102">
        <v>1</v>
      </c>
      <c r="I58" s="102">
        <v>24</v>
      </c>
      <c r="K58" s="102" t="s">
        <v>1041</v>
      </c>
      <c r="L58" s="102" t="s">
        <v>770</v>
      </c>
      <c r="M58" s="103" t="s">
        <v>2</v>
      </c>
      <c r="N58" s="102">
        <v>0</v>
      </c>
      <c r="O58" s="102">
        <v>12</v>
      </c>
      <c r="P58" s="102" t="s">
        <v>705</v>
      </c>
      <c r="Q58" s="103" t="s">
        <v>1160</v>
      </c>
      <c r="R58" s="103">
        <v>111020024</v>
      </c>
      <c r="S58" s="104" t="str">
        <f t="shared" si="8"/>
        <v>UITexture/Bldg/111020024.png</v>
      </c>
      <c r="T58" s="102" t="s">
        <v>1044</v>
      </c>
      <c r="U58" s="102">
        <v>1</v>
      </c>
      <c r="V58" s="102">
        <v>3</v>
      </c>
      <c r="W58" s="102">
        <v>7</v>
      </c>
      <c r="Y58" s="104">
        <f t="shared" si="3"/>
        <v>102</v>
      </c>
      <c r="Z58" s="102">
        <v>240</v>
      </c>
      <c r="AA58" s="102">
        <v>1</v>
      </c>
      <c r="AB58" s="102">
        <v>3</v>
      </c>
      <c r="AC58" s="102">
        <v>0</v>
      </c>
      <c r="AD58" s="102" t="s">
        <v>540</v>
      </c>
      <c r="AE58" s="102">
        <v>24</v>
      </c>
      <c r="AG58" s="104">
        <f t="shared" si="9"/>
        <v>349138</v>
      </c>
      <c r="AH58" s="103">
        <v>349138.14447519329</v>
      </c>
      <c r="AI58" s="172">
        <v>4</v>
      </c>
      <c r="AK58" s="104">
        <f ca="1">IFERROR(OFFSET(ITEM_RES!$A$5,MATCH(AL58,ITEM_RES!$M$5:$M$84,0)-1,0),0)</f>
        <v>220000108</v>
      </c>
      <c r="AL58" s="103" t="s">
        <v>580</v>
      </c>
      <c r="AM58" s="104">
        <f t="shared" si="11"/>
        <v>32000</v>
      </c>
      <c r="AN58" s="103">
        <v>32453.389466526274</v>
      </c>
      <c r="AP58" s="104">
        <f ca="1">IFERROR(OFFSET(ITEM_RES!$A$5,MATCH(AQ58,ITEM_RES!$M$5:$M$84,0)-1,0),0)</f>
        <v>220000208</v>
      </c>
      <c r="AQ58" s="103" t="s">
        <v>598</v>
      </c>
      <c r="AR58" s="104">
        <f t="shared" si="12"/>
        <v>19000</v>
      </c>
      <c r="AS58" s="103">
        <v>19472.033679915763</v>
      </c>
      <c r="AU58" s="104">
        <f ca="1">IFERROR(OFFSET(ITEM_RES!$A$5,MATCH(AV58,ITEM_RES!$M$5:$M$84,0)-1,0),0)</f>
        <v>220000308</v>
      </c>
      <c r="AV58" s="103" t="s">
        <v>616</v>
      </c>
      <c r="AW58" s="104">
        <f t="shared" si="13"/>
        <v>13000</v>
      </c>
      <c r="AX58" s="103">
        <v>12981.355786610509</v>
      </c>
      <c r="AZ58" s="104">
        <f ca="1">IFERROR(OFFSET(ITEM_RES!$A$5,MATCH(BA58,ITEM_RES!$M$5:$M$84,0)-1,0),0)</f>
        <v>220000408</v>
      </c>
      <c r="BA58" s="103" t="s">
        <v>634</v>
      </c>
      <c r="BB58" s="104">
        <f t="shared" si="14"/>
        <v>6500</v>
      </c>
      <c r="BC58" s="103">
        <v>6490.6778933052547</v>
      </c>
      <c r="BE58" s="104">
        <f ca="1">IFERROR(OFFSET(ITEM_RES!$A$5,MATCH(BF58,ITEM_RES!$M$5:$M$84,0)-1,0),0)</f>
        <v>0</v>
      </c>
      <c r="BG58" s="104">
        <f t="shared" si="15"/>
        <v>0</v>
      </c>
    </row>
    <row r="59" spans="1:59" x14ac:dyDescent="0.3">
      <c r="A59" s="107">
        <f t="shared" si="18"/>
        <v>111020025</v>
      </c>
      <c r="B59" s="106">
        <v>11</v>
      </c>
      <c r="C59" s="105">
        <f t="shared" si="19"/>
        <v>1</v>
      </c>
      <c r="D59" s="106">
        <v>2</v>
      </c>
      <c r="E59" s="106">
        <v>0</v>
      </c>
      <c r="F59" s="105">
        <f t="shared" si="2"/>
        <v>25</v>
      </c>
      <c r="H59" s="102">
        <v>1</v>
      </c>
      <c r="I59" s="102">
        <v>25</v>
      </c>
      <c r="K59" s="102" t="s">
        <v>1041</v>
      </c>
      <c r="L59" s="102" t="s">
        <v>770</v>
      </c>
      <c r="M59" s="103" t="s">
        <v>2</v>
      </c>
      <c r="N59" s="102">
        <v>0</v>
      </c>
      <c r="O59" s="102">
        <v>12</v>
      </c>
      <c r="P59" s="102" t="s">
        <v>704</v>
      </c>
      <c r="Q59" s="103" t="s">
        <v>1160</v>
      </c>
      <c r="R59" s="103">
        <v>111020025</v>
      </c>
      <c r="S59" s="104" t="str">
        <f t="shared" si="8"/>
        <v>UITexture/Bldg/111020025.png</v>
      </c>
      <c r="T59" s="102" t="s">
        <v>1044</v>
      </c>
      <c r="U59" s="102">
        <v>1</v>
      </c>
      <c r="V59" s="102">
        <v>3</v>
      </c>
      <c r="W59" s="102">
        <v>7</v>
      </c>
      <c r="Y59" s="104">
        <f t="shared" si="3"/>
        <v>102</v>
      </c>
      <c r="Z59" s="102">
        <v>250</v>
      </c>
      <c r="AA59" s="102">
        <v>1</v>
      </c>
      <c r="AB59" s="102">
        <v>3</v>
      </c>
      <c r="AC59" s="102">
        <v>0</v>
      </c>
      <c r="AD59" s="102" t="s">
        <v>540</v>
      </c>
      <c r="AE59" s="102">
        <v>25</v>
      </c>
      <c r="AG59" s="104">
        <f t="shared" si="9"/>
        <v>366595</v>
      </c>
      <c r="AH59" s="103">
        <v>366595.05169895297</v>
      </c>
      <c r="AI59" s="172">
        <v>4</v>
      </c>
      <c r="AK59" s="104">
        <f ca="1">IFERROR(OFFSET(ITEM_RES!$A$5,MATCH(AL59,ITEM_RES!$M$5:$M$84,0)-1,0),0)</f>
        <v>220000109</v>
      </c>
      <c r="AL59" s="103" t="s">
        <v>581</v>
      </c>
      <c r="AM59" s="104">
        <f t="shared" si="11"/>
        <v>14000</v>
      </c>
      <c r="AN59" s="103">
        <v>14198.357891605247</v>
      </c>
      <c r="AP59" s="104">
        <f ca="1">IFERROR(OFFSET(ITEM_RES!$A$5,MATCH(AQ59,ITEM_RES!$M$5:$M$84,0)-1,0),0)</f>
        <v>220000209</v>
      </c>
      <c r="AQ59" s="103" t="s">
        <v>599</v>
      </c>
      <c r="AR59" s="104">
        <f t="shared" si="12"/>
        <v>8500</v>
      </c>
      <c r="AS59" s="103">
        <v>8519.0147349631479</v>
      </c>
      <c r="AU59" s="104">
        <f ca="1">IFERROR(OFFSET(ITEM_RES!$A$5,MATCH(AV59,ITEM_RES!$M$5:$M$84,0)-1,0),0)</f>
        <v>220000309</v>
      </c>
      <c r="AV59" s="103" t="s">
        <v>617</v>
      </c>
      <c r="AW59" s="104">
        <f t="shared" si="13"/>
        <v>5700</v>
      </c>
      <c r="AX59" s="103">
        <v>5679.3431566420986</v>
      </c>
      <c r="AZ59" s="104">
        <f ca="1">IFERROR(OFFSET(ITEM_RES!$A$5,MATCH(BA59,ITEM_RES!$M$5:$M$84,0)-1,0),0)</f>
        <v>220000409</v>
      </c>
      <c r="BA59" s="103" t="s">
        <v>635</v>
      </c>
      <c r="BB59" s="104">
        <f t="shared" si="14"/>
        <v>2800</v>
      </c>
      <c r="BC59" s="103">
        <v>2839.6715783210493</v>
      </c>
      <c r="BE59" s="104">
        <f ca="1">IFERROR(OFFSET(ITEM_RES!$A$5,MATCH(BF59,ITEM_RES!$M$5:$M$84,0)-1,0),0)</f>
        <v>0</v>
      </c>
      <c r="BG59" s="104">
        <f t="shared" si="15"/>
        <v>0</v>
      </c>
    </row>
    <row r="60" spans="1:59" x14ac:dyDescent="0.3">
      <c r="A60" s="107">
        <f t="shared" ref="A60:A64" si="20">B60*10000000+C60*1000000+D60*10000+E60*100+F60</f>
        <v>111020026</v>
      </c>
      <c r="B60" s="106">
        <v>11</v>
      </c>
      <c r="C60" s="105">
        <f t="shared" ref="C60:C64" si="21">H60</f>
        <v>1</v>
      </c>
      <c r="D60" s="106">
        <v>2</v>
      </c>
      <c r="E60" s="106">
        <v>0</v>
      </c>
      <c r="F60" s="105">
        <f t="shared" si="2"/>
        <v>26</v>
      </c>
      <c r="H60" s="102">
        <v>1</v>
      </c>
      <c r="I60" s="102">
        <v>26</v>
      </c>
      <c r="K60" s="102" t="s">
        <v>1041</v>
      </c>
      <c r="L60" s="102" t="s">
        <v>770</v>
      </c>
      <c r="M60" s="103" t="s">
        <v>2</v>
      </c>
      <c r="N60" s="102">
        <v>0</v>
      </c>
      <c r="O60" s="102">
        <v>12</v>
      </c>
      <c r="P60" s="102" t="s">
        <v>704</v>
      </c>
      <c r="Q60" s="103" t="s">
        <v>1160</v>
      </c>
      <c r="R60" s="103">
        <v>111020026</v>
      </c>
      <c r="S60" s="104" t="str">
        <f t="shared" si="8"/>
        <v>UITexture/Bldg/111020026.png</v>
      </c>
      <c r="T60" s="102" t="s">
        <v>1044</v>
      </c>
      <c r="U60" s="102">
        <v>1</v>
      </c>
      <c r="V60" s="102">
        <v>3</v>
      </c>
      <c r="W60" s="102">
        <v>7</v>
      </c>
      <c r="Y60" s="104">
        <f t="shared" si="3"/>
        <v>102</v>
      </c>
      <c r="Z60" s="102">
        <v>260</v>
      </c>
      <c r="AA60" s="102">
        <v>1</v>
      </c>
      <c r="AB60" s="102">
        <v>3</v>
      </c>
      <c r="AC60" s="102">
        <v>0</v>
      </c>
      <c r="AD60" s="102" t="s">
        <v>540</v>
      </c>
      <c r="AE60" s="102">
        <v>26</v>
      </c>
      <c r="AG60" s="104">
        <f t="shared" si="9"/>
        <v>381259</v>
      </c>
      <c r="AH60" s="103">
        <v>381258.85376691108</v>
      </c>
      <c r="AI60" s="172">
        <v>4</v>
      </c>
      <c r="AK60" s="104">
        <f ca="1">IFERROR(OFFSET(ITEM_RES!$A$5,MATCH(AL60,ITEM_RES!$M$5:$M$84,0)-1,0),0)</f>
        <v>220000109</v>
      </c>
      <c r="AL60" s="103" t="s">
        <v>581</v>
      </c>
      <c r="AM60" s="104">
        <f t="shared" si="11"/>
        <v>18000</v>
      </c>
      <c r="AN60" s="103">
        <v>17719.550648723347</v>
      </c>
      <c r="AP60" s="104">
        <f ca="1">IFERROR(OFFSET(ITEM_RES!$A$5,MATCH(AQ60,ITEM_RES!$M$5:$M$84,0)-1,0),0)</f>
        <v>220000209</v>
      </c>
      <c r="AQ60" s="103" t="s">
        <v>599</v>
      </c>
      <c r="AR60" s="104">
        <f t="shared" si="12"/>
        <v>11000</v>
      </c>
      <c r="AS60" s="103">
        <v>10631.730389234008</v>
      </c>
      <c r="AU60" s="104">
        <f ca="1">IFERROR(OFFSET(ITEM_RES!$A$5,MATCH(AV60,ITEM_RES!$M$5:$M$84,0)-1,0),0)</f>
        <v>220000309</v>
      </c>
      <c r="AV60" s="103" t="s">
        <v>617</v>
      </c>
      <c r="AW60" s="104">
        <f t="shared" si="13"/>
        <v>7100</v>
      </c>
      <c r="AX60" s="103">
        <v>7087.8202594893382</v>
      </c>
      <c r="AZ60" s="104">
        <f ca="1">IFERROR(OFFSET(ITEM_RES!$A$5,MATCH(BA60,ITEM_RES!$M$5:$M$84,0)-1,0),0)</f>
        <v>220000409</v>
      </c>
      <c r="BA60" s="103" t="s">
        <v>635</v>
      </c>
      <c r="BB60" s="104">
        <f t="shared" si="14"/>
        <v>3500</v>
      </c>
      <c r="BC60" s="103">
        <v>3543.9101297446691</v>
      </c>
      <c r="BE60" s="104">
        <f ca="1">IFERROR(OFFSET(ITEM_RES!$A$5,MATCH(BF60,ITEM_RES!$M$5:$M$84,0)-1,0),0)</f>
        <v>0</v>
      </c>
      <c r="BG60" s="104">
        <f t="shared" si="15"/>
        <v>0</v>
      </c>
    </row>
    <row r="61" spans="1:59" x14ac:dyDescent="0.3">
      <c r="A61" s="107">
        <f t="shared" si="20"/>
        <v>111020027</v>
      </c>
      <c r="B61" s="106">
        <v>11</v>
      </c>
      <c r="C61" s="105">
        <f t="shared" si="21"/>
        <v>1</v>
      </c>
      <c r="D61" s="106">
        <v>2</v>
      </c>
      <c r="E61" s="106">
        <v>0</v>
      </c>
      <c r="F61" s="105">
        <f t="shared" si="2"/>
        <v>27</v>
      </c>
      <c r="H61" s="102">
        <v>1</v>
      </c>
      <c r="I61" s="102">
        <v>27</v>
      </c>
      <c r="K61" s="102" t="s">
        <v>1041</v>
      </c>
      <c r="L61" s="102" t="s">
        <v>770</v>
      </c>
      <c r="M61" s="103" t="s">
        <v>2</v>
      </c>
      <c r="N61" s="102">
        <v>0</v>
      </c>
      <c r="O61" s="102">
        <v>12</v>
      </c>
      <c r="P61" s="102" t="s">
        <v>704</v>
      </c>
      <c r="Q61" s="103" t="s">
        <v>1160</v>
      </c>
      <c r="R61" s="103">
        <v>111020027</v>
      </c>
      <c r="S61" s="104" t="str">
        <f t="shared" si="8"/>
        <v>UITexture/Bldg/111020027.png</v>
      </c>
      <c r="T61" s="102" t="s">
        <v>1044</v>
      </c>
      <c r="U61" s="102">
        <v>1</v>
      </c>
      <c r="V61" s="102">
        <v>3</v>
      </c>
      <c r="W61" s="102">
        <v>7</v>
      </c>
      <c r="Y61" s="104">
        <f t="shared" si="3"/>
        <v>102</v>
      </c>
      <c r="Z61" s="102">
        <v>270</v>
      </c>
      <c r="AA61" s="102">
        <v>1</v>
      </c>
      <c r="AB61" s="102">
        <v>3</v>
      </c>
      <c r="AC61" s="102">
        <v>0</v>
      </c>
      <c r="AD61" s="102" t="s">
        <v>540</v>
      </c>
      <c r="AE61" s="102">
        <v>27</v>
      </c>
      <c r="AG61" s="104">
        <f t="shared" si="9"/>
        <v>396509</v>
      </c>
      <c r="AH61" s="103">
        <v>396509.20791758754</v>
      </c>
      <c r="AI61" s="172">
        <v>4</v>
      </c>
      <c r="AK61" s="104">
        <f ca="1">IFERROR(OFFSET(ITEM_RES!$A$5,MATCH(AL61,ITEM_RES!$M$5:$M$84,0)-1,0),0)</f>
        <v>220000109</v>
      </c>
      <c r="AL61" s="103" t="s">
        <v>581</v>
      </c>
      <c r="AM61" s="104">
        <f t="shared" si="11"/>
        <v>22000</v>
      </c>
      <c r="AN61" s="103">
        <v>22113.999209606736</v>
      </c>
      <c r="AP61" s="104">
        <f ca="1">IFERROR(OFFSET(ITEM_RES!$A$5,MATCH(AQ61,ITEM_RES!$M$5:$M$84,0)-1,0),0)</f>
        <v>220000209</v>
      </c>
      <c r="AQ61" s="103" t="s">
        <v>599</v>
      </c>
      <c r="AR61" s="104">
        <f t="shared" si="12"/>
        <v>13000</v>
      </c>
      <c r="AS61" s="103">
        <v>13268.399525764042</v>
      </c>
      <c r="AU61" s="104">
        <f ca="1">IFERROR(OFFSET(ITEM_RES!$A$5,MATCH(AV61,ITEM_RES!$M$5:$M$84,0)-1,0),0)</f>
        <v>220000309</v>
      </c>
      <c r="AV61" s="103" t="s">
        <v>617</v>
      </c>
      <c r="AW61" s="104">
        <f t="shared" si="13"/>
        <v>8800</v>
      </c>
      <c r="AX61" s="103">
        <v>8845.5996838426945</v>
      </c>
      <c r="AZ61" s="104">
        <f ca="1">IFERROR(OFFSET(ITEM_RES!$A$5,MATCH(BA61,ITEM_RES!$M$5:$M$84,0)-1,0),0)</f>
        <v>220000409</v>
      </c>
      <c r="BA61" s="103" t="s">
        <v>635</v>
      </c>
      <c r="BB61" s="104">
        <f t="shared" si="14"/>
        <v>4400</v>
      </c>
      <c r="BC61" s="103">
        <v>4422.7998419213473</v>
      </c>
      <c r="BE61" s="104">
        <f ca="1">IFERROR(OFFSET(ITEM_RES!$A$5,MATCH(BF61,ITEM_RES!$M$5:$M$84,0)-1,0),0)</f>
        <v>0</v>
      </c>
      <c r="BG61" s="104">
        <f t="shared" si="15"/>
        <v>0</v>
      </c>
    </row>
    <row r="62" spans="1:59" x14ac:dyDescent="0.3">
      <c r="A62" s="107">
        <f t="shared" si="20"/>
        <v>111020028</v>
      </c>
      <c r="B62" s="106">
        <v>11</v>
      </c>
      <c r="C62" s="105">
        <f t="shared" si="21"/>
        <v>1</v>
      </c>
      <c r="D62" s="106">
        <v>2</v>
      </c>
      <c r="E62" s="106">
        <v>0</v>
      </c>
      <c r="F62" s="105">
        <f t="shared" si="2"/>
        <v>28</v>
      </c>
      <c r="H62" s="102">
        <v>1</v>
      </c>
      <c r="I62" s="102">
        <v>28</v>
      </c>
      <c r="K62" s="102" t="s">
        <v>1041</v>
      </c>
      <c r="L62" s="102" t="s">
        <v>770</v>
      </c>
      <c r="M62" s="103" t="s">
        <v>2</v>
      </c>
      <c r="N62" s="102">
        <v>0</v>
      </c>
      <c r="O62" s="102">
        <v>12</v>
      </c>
      <c r="P62" s="102" t="s">
        <v>704</v>
      </c>
      <c r="Q62" s="103" t="s">
        <v>1160</v>
      </c>
      <c r="R62" s="103">
        <v>111020028</v>
      </c>
      <c r="S62" s="104" t="str">
        <f t="shared" si="8"/>
        <v>UITexture/Bldg/111020028.png</v>
      </c>
      <c r="T62" s="102" t="s">
        <v>1044</v>
      </c>
      <c r="U62" s="102">
        <v>1</v>
      </c>
      <c r="V62" s="102">
        <v>3</v>
      </c>
      <c r="W62" s="102">
        <v>7</v>
      </c>
      <c r="Y62" s="104">
        <f t="shared" si="3"/>
        <v>102</v>
      </c>
      <c r="Z62" s="102">
        <v>280</v>
      </c>
      <c r="AA62" s="102">
        <v>1</v>
      </c>
      <c r="AB62" s="102">
        <v>3</v>
      </c>
      <c r="AC62" s="102">
        <v>0</v>
      </c>
      <c r="AD62" s="102" t="s">
        <v>540</v>
      </c>
      <c r="AE62" s="102">
        <v>28</v>
      </c>
      <c r="AG62" s="104">
        <f t="shared" si="9"/>
        <v>408404</v>
      </c>
      <c r="AH62" s="103">
        <v>408404.48415511521</v>
      </c>
      <c r="AI62" s="172">
        <v>4</v>
      </c>
      <c r="AK62" s="104">
        <f ca="1">IFERROR(OFFSET(ITEM_RES!$A$5,MATCH(AL62,ITEM_RES!$M$5:$M$84,0)-1,0),0)</f>
        <v>220000110</v>
      </c>
      <c r="AL62" s="103" t="s">
        <v>582</v>
      </c>
      <c r="AM62" s="104">
        <f t="shared" si="11"/>
        <v>9100</v>
      </c>
      <c r="AN62" s="103">
        <v>9110.9676743579748</v>
      </c>
      <c r="AP62" s="104">
        <f ca="1">IFERROR(OFFSET(ITEM_RES!$A$5,MATCH(AQ62,ITEM_RES!$M$5:$M$84,0)-1,0),0)</f>
        <v>220000210</v>
      </c>
      <c r="AQ62" s="103" t="s">
        <v>600</v>
      </c>
      <c r="AR62" s="104">
        <f t="shared" si="12"/>
        <v>5500</v>
      </c>
      <c r="AS62" s="103">
        <v>5466.5806046147845</v>
      </c>
      <c r="AU62" s="104">
        <f ca="1">IFERROR(OFFSET(ITEM_RES!$A$5,MATCH(AV62,ITEM_RES!$M$5:$M$84,0)-1,0),0)</f>
        <v>220000310</v>
      </c>
      <c r="AV62" s="103" t="s">
        <v>618</v>
      </c>
      <c r="AW62" s="104">
        <f t="shared" si="13"/>
        <v>3600</v>
      </c>
      <c r="AX62" s="103">
        <v>3644.3870697431898</v>
      </c>
      <c r="AZ62" s="104">
        <f ca="1">IFERROR(OFFSET(ITEM_RES!$A$5,MATCH(BA62,ITEM_RES!$M$5:$M$84,0)-1,0),0)</f>
        <v>220000410</v>
      </c>
      <c r="BA62" s="103" t="s">
        <v>636</v>
      </c>
      <c r="BB62" s="104">
        <f t="shared" si="14"/>
        <v>1800</v>
      </c>
      <c r="BC62" s="103">
        <v>1822.1935348715949</v>
      </c>
      <c r="BE62" s="104">
        <f ca="1">IFERROR(OFFSET(ITEM_RES!$A$5,MATCH(BF62,ITEM_RES!$M$5:$M$84,0)-1,0),0)</f>
        <v>0</v>
      </c>
      <c r="BG62" s="104">
        <f t="shared" si="15"/>
        <v>0</v>
      </c>
    </row>
    <row r="63" spans="1:59" x14ac:dyDescent="0.3">
      <c r="A63" s="107">
        <f t="shared" si="20"/>
        <v>111020029</v>
      </c>
      <c r="B63" s="106">
        <v>11</v>
      </c>
      <c r="C63" s="105">
        <f t="shared" si="21"/>
        <v>1</v>
      </c>
      <c r="D63" s="106">
        <v>2</v>
      </c>
      <c r="E63" s="106">
        <v>0</v>
      </c>
      <c r="F63" s="105">
        <f t="shared" si="2"/>
        <v>29</v>
      </c>
      <c r="H63" s="102">
        <v>1</v>
      </c>
      <c r="I63" s="102">
        <v>29</v>
      </c>
      <c r="K63" s="102" t="s">
        <v>1041</v>
      </c>
      <c r="L63" s="102" t="s">
        <v>770</v>
      </c>
      <c r="M63" s="103" t="s">
        <v>2</v>
      </c>
      <c r="N63" s="102">
        <v>0</v>
      </c>
      <c r="O63" s="102">
        <v>12</v>
      </c>
      <c r="P63" s="102" t="s">
        <v>705</v>
      </c>
      <c r="Q63" s="103" t="s">
        <v>1160</v>
      </c>
      <c r="R63" s="103">
        <v>111020029</v>
      </c>
      <c r="S63" s="104" t="str">
        <f t="shared" si="8"/>
        <v>UITexture/Bldg/111020029.png</v>
      </c>
      <c r="T63" s="102" t="s">
        <v>1044</v>
      </c>
      <c r="U63" s="102">
        <v>1</v>
      </c>
      <c r="V63" s="102">
        <v>3</v>
      </c>
      <c r="W63" s="102">
        <v>7</v>
      </c>
      <c r="Y63" s="104">
        <f t="shared" si="3"/>
        <v>102</v>
      </c>
      <c r="Z63" s="102">
        <v>290</v>
      </c>
      <c r="AA63" s="102">
        <v>1</v>
      </c>
      <c r="AB63" s="102">
        <v>3</v>
      </c>
      <c r="AC63" s="102">
        <v>0</v>
      </c>
      <c r="AD63" s="102" t="s">
        <v>540</v>
      </c>
      <c r="AE63" s="102">
        <v>29</v>
      </c>
      <c r="AG63" s="104">
        <f t="shared" si="9"/>
        <v>420657</v>
      </c>
      <c r="AH63" s="103">
        <v>420656.6186797687</v>
      </c>
      <c r="AI63" s="172">
        <v>4</v>
      </c>
      <c r="AK63" s="104">
        <f ca="1">IFERROR(OFFSET(ITEM_RES!$A$5,MATCH(AL63,ITEM_RES!$M$5:$M$84,0)-1,0),0)</f>
        <v>220000110</v>
      </c>
      <c r="AL63" s="103" t="s">
        <v>582</v>
      </c>
      <c r="AM63" s="104">
        <f t="shared" si="11"/>
        <v>11000</v>
      </c>
      <c r="AN63" s="103">
        <v>11261.156045506457</v>
      </c>
      <c r="AP63" s="104">
        <f ca="1">IFERROR(OFFSET(ITEM_RES!$A$5,MATCH(AQ63,ITEM_RES!$M$5:$M$84,0)-1,0),0)</f>
        <v>220000210</v>
      </c>
      <c r="AQ63" s="103" t="s">
        <v>600</v>
      </c>
      <c r="AR63" s="104">
        <f t="shared" si="12"/>
        <v>6800</v>
      </c>
      <c r="AS63" s="103">
        <v>6756.6936273038737</v>
      </c>
      <c r="AU63" s="104">
        <f ca="1">IFERROR(OFFSET(ITEM_RES!$A$5,MATCH(AV63,ITEM_RES!$M$5:$M$84,0)-1,0),0)</f>
        <v>220000310</v>
      </c>
      <c r="AV63" s="103" t="s">
        <v>618</v>
      </c>
      <c r="AW63" s="104">
        <f t="shared" si="13"/>
        <v>4500</v>
      </c>
      <c r="AX63" s="103">
        <v>4504.4624182025827</v>
      </c>
      <c r="AZ63" s="104">
        <f ca="1">IFERROR(OFFSET(ITEM_RES!$A$5,MATCH(BA63,ITEM_RES!$M$5:$M$84,0)-1,0),0)</f>
        <v>220000410</v>
      </c>
      <c r="BA63" s="103" t="s">
        <v>636</v>
      </c>
      <c r="BB63" s="104">
        <f t="shared" si="14"/>
        <v>2300</v>
      </c>
      <c r="BC63" s="103">
        <v>2252.2312091012914</v>
      </c>
      <c r="BE63" s="104">
        <f ca="1">IFERROR(OFFSET(ITEM_RES!$A$5,MATCH(BF63,ITEM_RES!$M$5:$M$84,0)-1,0),0)</f>
        <v>0</v>
      </c>
      <c r="BG63" s="104">
        <f t="shared" si="15"/>
        <v>0</v>
      </c>
    </row>
    <row r="64" spans="1:59" ht="17.25" thickBot="1" x14ac:dyDescent="0.35">
      <c r="A64" s="107">
        <f t="shared" si="20"/>
        <v>111020030</v>
      </c>
      <c r="B64" s="106">
        <v>11</v>
      </c>
      <c r="C64" s="105">
        <f t="shared" si="21"/>
        <v>1</v>
      </c>
      <c r="D64" s="106">
        <v>2</v>
      </c>
      <c r="E64" s="106">
        <v>0</v>
      </c>
      <c r="F64" s="105">
        <f t="shared" si="2"/>
        <v>30</v>
      </c>
      <c r="H64" s="102">
        <v>1</v>
      </c>
      <c r="I64" s="102">
        <v>30</v>
      </c>
      <c r="K64" s="102" t="s">
        <v>1041</v>
      </c>
      <c r="L64" s="102" t="s">
        <v>770</v>
      </c>
      <c r="M64" s="103" t="s">
        <v>2</v>
      </c>
      <c r="N64" s="102">
        <v>0</v>
      </c>
      <c r="O64" s="102">
        <v>12</v>
      </c>
      <c r="P64" s="102" t="s">
        <v>704</v>
      </c>
      <c r="Q64" s="103" t="s">
        <v>1160</v>
      </c>
      <c r="R64" s="103">
        <v>111020030</v>
      </c>
      <c r="S64" s="104" t="str">
        <f t="shared" si="8"/>
        <v>UITexture/Bldg/111020030.png</v>
      </c>
      <c r="T64" s="102" t="s">
        <v>1044</v>
      </c>
      <c r="U64" s="102">
        <v>1</v>
      </c>
      <c r="V64" s="102">
        <v>3</v>
      </c>
      <c r="W64" s="102">
        <v>7</v>
      </c>
      <c r="Y64" s="104">
        <f t="shared" si="3"/>
        <v>102</v>
      </c>
      <c r="Z64" s="102">
        <v>300</v>
      </c>
      <c r="AA64" s="102">
        <v>1</v>
      </c>
      <c r="AB64" s="102">
        <v>3</v>
      </c>
      <c r="AC64" s="102">
        <v>0</v>
      </c>
      <c r="AD64" s="102" t="s">
        <v>540</v>
      </c>
      <c r="AE64" s="102">
        <v>30</v>
      </c>
      <c r="AG64" s="104">
        <f t="shared" si="9"/>
        <v>429070</v>
      </c>
      <c r="AH64" s="103">
        <v>429069.75105336402</v>
      </c>
      <c r="AI64" s="172">
        <v>4</v>
      </c>
      <c r="AK64" s="104">
        <f ca="1">IFERROR(OFFSET(ITEM_RES!$A$5,MATCH(AL64,ITEM_RES!$M$5:$M$84,0)-1,0),0)</f>
        <v>220000110</v>
      </c>
      <c r="AL64" s="103" t="s">
        <v>582</v>
      </c>
      <c r="AM64" s="104">
        <f t="shared" si="11"/>
        <v>14000</v>
      </c>
      <c r="AN64" s="103">
        <v>13783.654999699904</v>
      </c>
      <c r="AP64" s="104">
        <f ca="1">IFERROR(OFFSET(ITEM_RES!$A$5,MATCH(AQ64,ITEM_RES!$M$5:$M$84,0)-1,0),0)</f>
        <v>220000210</v>
      </c>
      <c r="AQ64" s="103" t="s">
        <v>600</v>
      </c>
      <c r="AR64" s="104">
        <f t="shared" si="12"/>
        <v>8300</v>
      </c>
      <c r="AS64" s="103">
        <v>8270.192999819943</v>
      </c>
      <c r="AU64" s="104">
        <f ca="1">IFERROR(OFFSET(ITEM_RES!$A$5,MATCH(AV64,ITEM_RES!$M$5:$M$84,0)-1,0),0)</f>
        <v>220000310</v>
      </c>
      <c r="AV64" s="103" t="s">
        <v>618</v>
      </c>
      <c r="AW64" s="104">
        <f t="shared" si="13"/>
        <v>5500</v>
      </c>
      <c r="AX64" s="103">
        <v>5513.4619998799617</v>
      </c>
      <c r="AZ64" s="104">
        <f ca="1">IFERROR(OFFSET(ITEM_RES!$A$5,MATCH(BA64,ITEM_RES!$M$5:$M$84,0)-1,0),0)</f>
        <v>220000410</v>
      </c>
      <c r="BA64" s="103" t="s">
        <v>636</v>
      </c>
      <c r="BB64" s="104">
        <f t="shared" si="14"/>
        <v>2800</v>
      </c>
      <c r="BC64" s="103">
        <v>2756.7309999399808</v>
      </c>
      <c r="BE64" s="104">
        <f ca="1">IFERROR(OFFSET(ITEM_RES!$A$5,MATCH(BF64,ITEM_RES!$M$5:$M$84,0)-1,0),0)</f>
        <v>0</v>
      </c>
      <c r="BG64" s="104">
        <f t="shared" si="15"/>
        <v>0</v>
      </c>
    </row>
    <row r="65" spans="1:60" s="115" customFormat="1" x14ac:dyDescent="0.3">
      <c r="A65" s="121">
        <f t="shared" ref="A65:A279" si="22">B65*10000000+C65*1000000+D65*10000+E65*100+F65</f>
        <v>111030001</v>
      </c>
      <c r="B65" s="120">
        <v>11</v>
      </c>
      <c r="C65" s="119">
        <f t="shared" ref="C65:C159" si="23">H65</f>
        <v>1</v>
      </c>
      <c r="D65" s="120">
        <v>3</v>
      </c>
      <c r="E65" s="120">
        <v>0</v>
      </c>
      <c r="F65" s="119">
        <f t="shared" si="2"/>
        <v>1</v>
      </c>
      <c r="G65" s="255"/>
      <c r="H65" s="116">
        <v>1</v>
      </c>
      <c r="I65" s="116">
        <v>1</v>
      </c>
      <c r="J65" s="255"/>
      <c r="K65" s="116" t="s">
        <v>1041</v>
      </c>
      <c r="L65" s="116" t="s">
        <v>772</v>
      </c>
      <c r="M65" s="117" t="s">
        <v>738</v>
      </c>
      <c r="N65" s="116">
        <v>1</v>
      </c>
      <c r="O65" s="116">
        <v>12</v>
      </c>
      <c r="P65" s="116" t="s">
        <v>739</v>
      </c>
      <c r="Q65" s="117" t="s">
        <v>1160</v>
      </c>
      <c r="R65" s="117">
        <v>111030001</v>
      </c>
      <c r="S65" s="118" t="str">
        <f t="shared" si="8"/>
        <v>UITexture/Bldg/111030001.png</v>
      </c>
      <c r="T65" s="116" t="s">
        <v>1043</v>
      </c>
      <c r="U65" s="116">
        <v>3</v>
      </c>
      <c r="V65" s="116">
        <v>2</v>
      </c>
      <c r="W65" s="116">
        <v>3</v>
      </c>
      <c r="X65" s="255"/>
      <c r="Y65" s="118">
        <f t="shared" si="3"/>
        <v>103</v>
      </c>
      <c r="Z65" s="116">
        <v>10</v>
      </c>
      <c r="AA65" s="116">
        <v>1</v>
      </c>
      <c r="AB65" s="116">
        <v>1</v>
      </c>
      <c r="AC65" s="116">
        <v>0</v>
      </c>
      <c r="AD65" s="116" t="s">
        <v>538</v>
      </c>
      <c r="AE65" s="116">
        <v>1</v>
      </c>
      <c r="AF65" s="255"/>
      <c r="AG65" s="118">
        <f t="shared" si="9"/>
        <v>14</v>
      </c>
      <c r="AH65" s="117">
        <v>14.035087719298245</v>
      </c>
      <c r="AI65" s="174">
        <v>2</v>
      </c>
      <c r="AJ65" s="118"/>
      <c r="AK65" s="118">
        <f ca="1">IFERROR(OFFSET(ITEM_RES!$A$5,MATCH(AL65,ITEM_RES!$M$5:$M$84,0)-1,0),0)</f>
        <v>220000101</v>
      </c>
      <c r="AL65" s="117" t="s">
        <v>573</v>
      </c>
      <c r="AM65" s="118">
        <f t="shared" ref="AM65:AM279" si="24">IF(AN65&lt;100,ROUND(AN65,1-LEN(ROUND(AN65,0))),ROUND(AN65,2-LEN(ROUND(AN65,0))))</f>
        <v>30</v>
      </c>
      <c r="AN65" s="117">
        <v>28.07017543859649</v>
      </c>
      <c r="AO65" s="118"/>
      <c r="AP65" s="118">
        <f ca="1">IFERROR(OFFSET(ITEM_RES!$A$5,MATCH(AQ65,ITEM_RES!$M$5:$M$84,0)-1,0),0)</f>
        <v>220000201</v>
      </c>
      <c r="AQ65" s="117" t="s">
        <v>591</v>
      </c>
      <c r="AR65" s="118">
        <f t="shared" ref="AR65:AR279" si="25">IF(AS65&lt;100,ROUND(AS65,1-LEN(ROUND(AS65,0))),ROUND(AS65,2-LEN(ROUND(AS65,0))))</f>
        <v>20</v>
      </c>
      <c r="AS65" s="117">
        <v>16.842105263157894</v>
      </c>
      <c r="AT65" s="118"/>
      <c r="AU65" s="118">
        <f ca="1">IFERROR(OFFSET(ITEM_RES!$A$5,MATCH(AV65,ITEM_RES!$M$5:$M$84,0)-1,0),0)</f>
        <v>220000301</v>
      </c>
      <c r="AV65" s="117" t="s">
        <v>609</v>
      </c>
      <c r="AW65" s="118">
        <f t="shared" ref="AW65:AW279" si="26">IF(AX65&lt;100,ROUND(AX65,1-LEN(ROUND(AX65,0))),ROUND(AX65,2-LEN(ROUND(AX65,0))))</f>
        <v>0</v>
      </c>
      <c r="AX65" s="117">
        <v>0</v>
      </c>
      <c r="AY65" s="118"/>
      <c r="AZ65" s="118">
        <f ca="1">IFERROR(OFFSET(ITEM_RES!$A$5,MATCH(BA65,ITEM_RES!$M$5:$M$84,0)-1,0),0)</f>
        <v>220000401</v>
      </c>
      <c r="BA65" s="117" t="s">
        <v>627</v>
      </c>
      <c r="BB65" s="118">
        <f t="shared" ref="BB65:BB279" si="27">IF(BC65&lt;100,ROUND(BC65,1-LEN(ROUND(BC65,0))),ROUND(BC65,2-LEN(ROUND(BC65,0))))</f>
        <v>0</v>
      </c>
      <c r="BC65" s="117">
        <v>0</v>
      </c>
      <c r="BD65" s="118"/>
      <c r="BE65" s="118">
        <f ca="1">IFERROR(OFFSET(ITEM_RES!$A$5,MATCH(BF65,ITEM_RES!$M$5:$M$84,0)-1,0),0)</f>
        <v>0</v>
      </c>
      <c r="BF65" s="117"/>
      <c r="BG65" s="118">
        <f t="shared" ref="BG65:BG279" si="28">IF(BH65&lt;100,ROUND(BH65,1-LEN(ROUND(BH65,0))),ROUND(BH65,2-LEN(ROUND(BH65,0))))</f>
        <v>0</v>
      </c>
      <c r="BH65" s="117"/>
    </row>
    <row r="66" spans="1:60" x14ac:dyDescent="0.3">
      <c r="A66" s="107">
        <f t="shared" si="22"/>
        <v>111030002</v>
      </c>
      <c r="B66" s="106">
        <v>11</v>
      </c>
      <c r="C66" s="105">
        <f t="shared" si="23"/>
        <v>1</v>
      </c>
      <c r="D66" s="106">
        <v>3</v>
      </c>
      <c r="E66" s="106">
        <v>0</v>
      </c>
      <c r="F66" s="105">
        <f t="shared" si="2"/>
        <v>2</v>
      </c>
      <c r="H66" s="102">
        <v>1</v>
      </c>
      <c r="I66" s="102">
        <v>2</v>
      </c>
      <c r="K66" s="102" t="s">
        <v>1041</v>
      </c>
      <c r="L66" s="102" t="s">
        <v>771</v>
      </c>
      <c r="M66" s="103" t="s">
        <v>738</v>
      </c>
      <c r="N66" s="102">
        <v>1</v>
      </c>
      <c r="O66" s="102">
        <v>12</v>
      </c>
      <c r="P66" s="102" t="s">
        <v>763</v>
      </c>
      <c r="Q66" s="103" t="s">
        <v>1160</v>
      </c>
      <c r="R66" s="103">
        <v>111030002</v>
      </c>
      <c r="S66" s="104" t="str">
        <f t="shared" si="8"/>
        <v>UITexture/Bldg/111030002.png</v>
      </c>
      <c r="T66" s="102" t="s">
        <v>1043</v>
      </c>
      <c r="U66" s="102">
        <v>3</v>
      </c>
      <c r="V66" s="102">
        <v>2</v>
      </c>
      <c r="W66" s="102">
        <v>3</v>
      </c>
      <c r="Y66" s="104">
        <f t="shared" si="3"/>
        <v>103</v>
      </c>
      <c r="Z66" s="102">
        <v>20</v>
      </c>
      <c r="AA66" s="102">
        <v>1</v>
      </c>
      <c r="AB66" s="102">
        <v>1</v>
      </c>
      <c r="AC66" s="102">
        <v>0</v>
      </c>
      <c r="AD66" s="102" t="s">
        <v>538</v>
      </c>
      <c r="AE66" s="102">
        <v>2</v>
      </c>
      <c r="AG66" s="104">
        <f t="shared" si="9"/>
        <v>56</v>
      </c>
      <c r="AH66" s="103">
        <v>56.140350877192979</v>
      </c>
      <c r="AI66" s="172">
        <v>2</v>
      </c>
      <c r="AK66" s="104">
        <f ca="1">IFERROR(OFFSET(ITEM_RES!$A$5,MATCH(AL66,ITEM_RES!$M$5:$M$84,0)-1,0),0)</f>
        <v>220000101</v>
      </c>
      <c r="AL66" s="103" t="s">
        <v>573</v>
      </c>
      <c r="AM66" s="104">
        <f t="shared" si="24"/>
        <v>140</v>
      </c>
      <c r="AN66" s="103">
        <v>140.35087719298244</v>
      </c>
      <c r="AP66" s="104">
        <f ca="1">IFERROR(OFFSET(ITEM_RES!$A$5,MATCH(AQ66,ITEM_RES!$M$5:$M$84,0)-1,0),0)</f>
        <v>220000201</v>
      </c>
      <c r="AQ66" s="103" t="s">
        <v>591</v>
      </c>
      <c r="AR66" s="104">
        <f t="shared" si="25"/>
        <v>80</v>
      </c>
      <c r="AS66" s="103">
        <v>84.210526315789465</v>
      </c>
      <c r="AU66" s="104">
        <f ca="1">IFERROR(OFFSET(ITEM_RES!$A$5,MATCH(AV66,ITEM_RES!$M$5:$M$84,0)-1,0),0)</f>
        <v>220000301</v>
      </c>
      <c r="AV66" s="103" t="s">
        <v>609</v>
      </c>
      <c r="AW66" s="104">
        <f t="shared" si="26"/>
        <v>0</v>
      </c>
      <c r="AX66" s="103">
        <v>0</v>
      </c>
      <c r="AZ66" s="104">
        <f ca="1">IFERROR(OFFSET(ITEM_RES!$A$5,MATCH(BA66,ITEM_RES!$M$5:$M$84,0)-1,0),0)</f>
        <v>220000401</v>
      </c>
      <c r="BA66" s="103" t="s">
        <v>627</v>
      </c>
      <c r="BB66" s="104">
        <f t="shared" si="27"/>
        <v>0</v>
      </c>
      <c r="BC66" s="103">
        <v>0</v>
      </c>
      <c r="BE66" s="104">
        <f ca="1">IFERROR(OFFSET(ITEM_RES!$A$5,MATCH(BF66,ITEM_RES!$M$5:$M$84,0)-1,0),0)</f>
        <v>0</v>
      </c>
      <c r="BG66" s="104">
        <f t="shared" si="28"/>
        <v>0</v>
      </c>
    </row>
    <row r="67" spans="1:60" x14ac:dyDescent="0.3">
      <c r="A67" s="107">
        <f t="shared" si="22"/>
        <v>111030003</v>
      </c>
      <c r="B67" s="106">
        <v>11</v>
      </c>
      <c r="C67" s="105">
        <f t="shared" si="23"/>
        <v>1</v>
      </c>
      <c r="D67" s="106">
        <v>3</v>
      </c>
      <c r="E67" s="106">
        <v>0</v>
      </c>
      <c r="F67" s="105">
        <f t="shared" si="2"/>
        <v>3</v>
      </c>
      <c r="H67" s="102">
        <v>1</v>
      </c>
      <c r="I67" s="102">
        <v>3</v>
      </c>
      <c r="K67" s="102" t="s">
        <v>1041</v>
      </c>
      <c r="L67" s="102" t="s">
        <v>771</v>
      </c>
      <c r="M67" s="103" t="s">
        <v>738</v>
      </c>
      <c r="N67" s="102">
        <v>1</v>
      </c>
      <c r="O67" s="102">
        <v>12</v>
      </c>
      <c r="P67" s="102" t="s">
        <v>763</v>
      </c>
      <c r="Q67" s="103" t="s">
        <v>1160</v>
      </c>
      <c r="R67" s="103">
        <v>111030003</v>
      </c>
      <c r="S67" s="104" t="str">
        <f t="shared" si="8"/>
        <v>UITexture/Bldg/111030003.png</v>
      </c>
      <c r="T67" s="102" t="s">
        <v>1043</v>
      </c>
      <c r="U67" s="102">
        <v>3</v>
      </c>
      <c r="V67" s="102">
        <v>2</v>
      </c>
      <c r="W67" s="102">
        <v>3</v>
      </c>
      <c r="Y67" s="104">
        <f t="shared" si="3"/>
        <v>103</v>
      </c>
      <c r="Z67" s="102">
        <v>30</v>
      </c>
      <c r="AA67" s="102">
        <v>1</v>
      </c>
      <c r="AB67" s="102">
        <v>1</v>
      </c>
      <c r="AC67" s="102">
        <v>0</v>
      </c>
      <c r="AD67" s="102" t="s">
        <v>538</v>
      </c>
      <c r="AE67" s="102">
        <v>3</v>
      </c>
      <c r="AG67" s="104">
        <f t="shared" si="9"/>
        <v>225</v>
      </c>
      <c r="AH67" s="103">
        <v>224.56140350877192</v>
      </c>
      <c r="AI67" s="172">
        <v>2</v>
      </c>
      <c r="AK67" s="104">
        <f ca="1">IFERROR(OFFSET(ITEM_RES!$A$5,MATCH(AL67,ITEM_RES!$M$5:$M$84,0)-1,0),0)</f>
        <v>220000101</v>
      </c>
      <c r="AL67" s="103" t="s">
        <v>573</v>
      </c>
      <c r="AM67" s="104">
        <f t="shared" si="24"/>
        <v>700</v>
      </c>
      <c r="AN67" s="103">
        <v>701.75438596491233</v>
      </c>
      <c r="AP67" s="104">
        <f ca="1">IFERROR(OFFSET(ITEM_RES!$A$5,MATCH(AQ67,ITEM_RES!$M$5:$M$84,0)-1,0),0)</f>
        <v>220000201</v>
      </c>
      <c r="AQ67" s="103" t="s">
        <v>591</v>
      </c>
      <c r="AR67" s="104">
        <f t="shared" si="25"/>
        <v>420</v>
      </c>
      <c r="AS67" s="103">
        <v>421.0526315789474</v>
      </c>
      <c r="AU67" s="104">
        <f ca="1">IFERROR(OFFSET(ITEM_RES!$A$5,MATCH(AV67,ITEM_RES!$M$5:$M$84,0)-1,0),0)</f>
        <v>220000301</v>
      </c>
      <c r="AV67" s="103" t="s">
        <v>609</v>
      </c>
      <c r="AW67" s="104">
        <f t="shared" si="26"/>
        <v>0</v>
      </c>
      <c r="AX67" s="103">
        <v>0</v>
      </c>
      <c r="AZ67" s="104">
        <f ca="1">IFERROR(OFFSET(ITEM_RES!$A$5,MATCH(BA67,ITEM_RES!$M$5:$M$84,0)-1,0),0)</f>
        <v>220000401</v>
      </c>
      <c r="BA67" s="103" t="s">
        <v>627</v>
      </c>
      <c r="BB67" s="104">
        <f t="shared" si="27"/>
        <v>0</v>
      </c>
      <c r="BC67" s="103">
        <v>0</v>
      </c>
      <c r="BE67" s="104">
        <f ca="1">IFERROR(OFFSET(ITEM_RES!$A$5,MATCH(BF67,ITEM_RES!$M$5:$M$84,0)-1,0),0)</f>
        <v>0</v>
      </c>
      <c r="BG67" s="104">
        <f t="shared" si="28"/>
        <v>0</v>
      </c>
    </row>
    <row r="68" spans="1:60" x14ac:dyDescent="0.3">
      <c r="A68" s="107">
        <f t="shared" si="22"/>
        <v>111030004</v>
      </c>
      <c r="B68" s="106">
        <v>11</v>
      </c>
      <c r="C68" s="105">
        <f t="shared" si="23"/>
        <v>1</v>
      </c>
      <c r="D68" s="106">
        <v>3</v>
      </c>
      <c r="E68" s="106">
        <v>0</v>
      </c>
      <c r="F68" s="105">
        <f t="shared" si="2"/>
        <v>4</v>
      </c>
      <c r="H68" s="102">
        <v>1</v>
      </c>
      <c r="I68" s="102">
        <v>4</v>
      </c>
      <c r="K68" s="102" t="s">
        <v>1041</v>
      </c>
      <c r="L68" s="102" t="s">
        <v>771</v>
      </c>
      <c r="M68" s="103" t="s">
        <v>738</v>
      </c>
      <c r="N68" s="102">
        <v>1</v>
      </c>
      <c r="O68" s="102">
        <v>12</v>
      </c>
      <c r="P68" s="102" t="s">
        <v>763</v>
      </c>
      <c r="Q68" s="103" t="s">
        <v>1160</v>
      </c>
      <c r="R68" s="103">
        <v>111030004</v>
      </c>
      <c r="S68" s="104" t="str">
        <f t="shared" si="8"/>
        <v>UITexture/Bldg/111030004.png</v>
      </c>
      <c r="T68" s="102" t="s">
        <v>1043</v>
      </c>
      <c r="U68" s="102">
        <v>3</v>
      </c>
      <c r="V68" s="102">
        <v>2</v>
      </c>
      <c r="W68" s="102">
        <v>3</v>
      </c>
      <c r="Y68" s="104">
        <f t="shared" si="3"/>
        <v>103</v>
      </c>
      <c r="Z68" s="102">
        <v>40</v>
      </c>
      <c r="AA68" s="102">
        <v>1</v>
      </c>
      <c r="AB68" s="102">
        <v>1</v>
      </c>
      <c r="AC68" s="102">
        <v>0</v>
      </c>
      <c r="AD68" s="102" t="s">
        <v>538</v>
      </c>
      <c r="AE68" s="102">
        <v>4</v>
      </c>
      <c r="AG68" s="104">
        <f t="shared" si="9"/>
        <v>898</v>
      </c>
      <c r="AH68" s="103">
        <v>898.24561403508767</v>
      </c>
      <c r="AI68" s="172">
        <v>2</v>
      </c>
      <c r="AK68" s="104">
        <f ca="1">IFERROR(OFFSET(ITEM_RES!$A$5,MATCH(AL68,ITEM_RES!$M$5:$M$84,0)-1,0),0)</f>
        <v>220000102</v>
      </c>
      <c r="AL68" s="103" t="s">
        <v>574</v>
      </c>
      <c r="AM68" s="104">
        <f t="shared" si="24"/>
        <v>1200</v>
      </c>
      <c r="AN68" s="103">
        <v>1169.5906432748538</v>
      </c>
      <c r="AP68" s="104">
        <f ca="1">IFERROR(OFFSET(ITEM_RES!$A$5,MATCH(AQ68,ITEM_RES!$M$5:$M$84,0)-1,0),0)</f>
        <v>220000202</v>
      </c>
      <c r="AQ68" s="103" t="s">
        <v>592</v>
      </c>
      <c r="AR68" s="104">
        <f t="shared" si="25"/>
        <v>700</v>
      </c>
      <c r="AS68" s="103">
        <v>701.75438596491233</v>
      </c>
      <c r="AU68" s="104">
        <f ca="1">IFERROR(OFFSET(ITEM_RES!$A$5,MATCH(AV68,ITEM_RES!$M$5:$M$84,0)-1,0),0)</f>
        <v>220000302</v>
      </c>
      <c r="AV68" s="103" t="s">
        <v>610</v>
      </c>
      <c r="AW68" s="104">
        <f t="shared" si="26"/>
        <v>0</v>
      </c>
      <c r="AX68" s="103">
        <v>0</v>
      </c>
      <c r="AZ68" s="104">
        <f ca="1">IFERROR(OFFSET(ITEM_RES!$A$5,MATCH(BA68,ITEM_RES!$M$5:$M$84,0)-1,0),0)</f>
        <v>220000402</v>
      </c>
      <c r="BA68" s="103" t="s">
        <v>628</v>
      </c>
      <c r="BB68" s="104">
        <f t="shared" si="27"/>
        <v>0</v>
      </c>
      <c r="BC68" s="103">
        <v>0</v>
      </c>
      <c r="BE68" s="104">
        <f ca="1">IFERROR(OFFSET(ITEM_RES!$A$5,MATCH(BF68,ITEM_RES!$M$5:$M$84,0)-1,0),0)</f>
        <v>0</v>
      </c>
      <c r="BG68" s="104">
        <f t="shared" si="28"/>
        <v>0</v>
      </c>
    </row>
    <row r="69" spans="1:60" x14ac:dyDescent="0.3">
      <c r="A69" s="107">
        <f t="shared" si="22"/>
        <v>111030005</v>
      </c>
      <c r="B69" s="106">
        <v>11</v>
      </c>
      <c r="C69" s="105">
        <f t="shared" si="23"/>
        <v>1</v>
      </c>
      <c r="D69" s="106">
        <v>3</v>
      </c>
      <c r="E69" s="106">
        <v>0</v>
      </c>
      <c r="F69" s="105">
        <f t="shared" ref="F69:F132" si="29">I69</f>
        <v>5</v>
      </c>
      <c r="H69" s="102">
        <v>1</v>
      </c>
      <c r="I69" s="102">
        <v>5</v>
      </c>
      <c r="K69" s="102" t="s">
        <v>1041</v>
      </c>
      <c r="L69" s="102" t="s">
        <v>771</v>
      </c>
      <c r="M69" s="103" t="s">
        <v>738</v>
      </c>
      <c r="N69" s="102">
        <v>1</v>
      </c>
      <c r="O69" s="102">
        <v>12</v>
      </c>
      <c r="P69" s="102" t="s">
        <v>763</v>
      </c>
      <c r="Q69" s="103" t="s">
        <v>1160</v>
      </c>
      <c r="R69" s="103">
        <v>111030005</v>
      </c>
      <c r="S69" s="104" t="str">
        <f t="shared" si="8"/>
        <v>UITexture/Bldg/111030005.png</v>
      </c>
      <c r="T69" s="102" t="s">
        <v>1043</v>
      </c>
      <c r="U69" s="102">
        <v>3</v>
      </c>
      <c r="V69" s="102">
        <v>2</v>
      </c>
      <c r="W69" s="102">
        <v>3</v>
      </c>
      <c r="Y69" s="104">
        <f t="shared" ref="Y69:Y132" si="30">C69*100+D69</f>
        <v>103</v>
      </c>
      <c r="Z69" s="102">
        <v>50</v>
      </c>
      <c r="AA69" s="102">
        <v>1</v>
      </c>
      <c r="AB69" s="102">
        <v>1</v>
      </c>
      <c r="AC69" s="102">
        <v>0</v>
      </c>
      <c r="AD69" s="102" t="s">
        <v>538</v>
      </c>
      <c r="AE69" s="102">
        <v>5</v>
      </c>
      <c r="AG69" s="104">
        <f t="shared" si="9"/>
        <v>2695</v>
      </c>
      <c r="AH69" s="103">
        <v>2694.7368421052633</v>
      </c>
      <c r="AI69" s="172">
        <v>2</v>
      </c>
      <c r="AK69" s="104">
        <f ca="1">IFERROR(OFFSET(ITEM_RES!$A$5,MATCH(AL69,ITEM_RES!$M$5:$M$84,0)-1,0),0)</f>
        <v>220000102</v>
      </c>
      <c r="AL69" s="103" t="s">
        <v>574</v>
      </c>
      <c r="AM69" s="104">
        <f t="shared" si="24"/>
        <v>4400</v>
      </c>
      <c r="AN69" s="103">
        <v>4385.9649122807023</v>
      </c>
      <c r="AP69" s="104">
        <f ca="1">IFERROR(OFFSET(ITEM_RES!$A$5,MATCH(AQ69,ITEM_RES!$M$5:$M$84,0)-1,0),0)</f>
        <v>220000202</v>
      </c>
      <c r="AQ69" s="103" t="s">
        <v>592</v>
      </c>
      <c r="AR69" s="104">
        <f t="shared" si="25"/>
        <v>2600</v>
      </c>
      <c r="AS69" s="103">
        <v>2631.5789473684213</v>
      </c>
      <c r="AU69" s="104">
        <f ca="1">IFERROR(OFFSET(ITEM_RES!$A$5,MATCH(AV69,ITEM_RES!$M$5:$M$84,0)-1,0),0)</f>
        <v>220000302</v>
      </c>
      <c r="AV69" s="103" t="s">
        <v>610</v>
      </c>
      <c r="AW69" s="104">
        <f t="shared" si="26"/>
        <v>0</v>
      </c>
      <c r="AX69" s="103">
        <v>0</v>
      </c>
      <c r="AZ69" s="104">
        <f ca="1">IFERROR(OFFSET(ITEM_RES!$A$5,MATCH(BA69,ITEM_RES!$M$5:$M$84,0)-1,0),0)</f>
        <v>220000402</v>
      </c>
      <c r="BA69" s="103" t="s">
        <v>628</v>
      </c>
      <c r="BB69" s="104">
        <f t="shared" si="27"/>
        <v>0</v>
      </c>
      <c r="BC69" s="103">
        <v>0</v>
      </c>
      <c r="BE69" s="104">
        <f ca="1">IFERROR(OFFSET(ITEM_RES!$A$5,MATCH(BF69,ITEM_RES!$M$5:$M$84,0)-1,0),0)</f>
        <v>0</v>
      </c>
      <c r="BG69" s="104">
        <f t="shared" si="28"/>
        <v>0</v>
      </c>
    </row>
    <row r="70" spans="1:60" x14ac:dyDescent="0.3">
      <c r="A70" s="107">
        <f t="shared" ref="A70:A74" si="31">B70*10000000+C70*1000000+D70*10000+E70*100+F70</f>
        <v>111030006</v>
      </c>
      <c r="B70" s="106">
        <v>11</v>
      </c>
      <c r="C70" s="105">
        <f t="shared" ref="C70:C74" si="32">H70</f>
        <v>1</v>
      </c>
      <c r="D70" s="106">
        <v>3</v>
      </c>
      <c r="E70" s="106">
        <v>0</v>
      </c>
      <c r="F70" s="105">
        <f t="shared" si="29"/>
        <v>6</v>
      </c>
      <c r="H70" s="102">
        <v>1</v>
      </c>
      <c r="I70" s="102">
        <v>6</v>
      </c>
      <c r="K70" s="102" t="s">
        <v>1041</v>
      </c>
      <c r="L70" s="102" t="s">
        <v>771</v>
      </c>
      <c r="M70" s="103" t="s">
        <v>738</v>
      </c>
      <c r="N70" s="102">
        <v>1</v>
      </c>
      <c r="O70" s="102">
        <v>12</v>
      </c>
      <c r="P70" s="102" t="s">
        <v>763</v>
      </c>
      <c r="Q70" s="103" t="s">
        <v>1160</v>
      </c>
      <c r="R70" s="103">
        <v>111030006</v>
      </c>
      <c r="S70" s="104" t="str">
        <f t="shared" ref="S70:S133" si="33">CONCATENATE(Q70,R70,".png")</f>
        <v>UITexture/Bldg/111030006.png</v>
      </c>
      <c r="T70" s="102" t="s">
        <v>1043</v>
      </c>
      <c r="U70" s="102">
        <v>3</v>
      </c>
      <c r="V70" s="102">
        <v>2</v>
      </c>
      <c r="W70" s="102">
        <v>3</v>
      </c>
      <c r="Y70" s="104">
        <f t="shared" si="30"/>
        <v>103</v>
      </c>
      <c r="Z70" s="102">
        <v>60</v>
      </c>
      <c r="AA70" s="102">
        <v>1</v>
      </c>
      <c r="AB70" s="102">
        <v>1</v>
      </c>
      <c r="AC70" s="102">
        <v>0</v>
      </c>
      <c r="AD70" s="102" t="s">
        <v>538</v>
      </c>
      <c r="AE70" s="102">
        <v>6</v>
      </c>
      <c r="AG70" s="104">
        <f t="shared" ref="AG70:AG133" si="34">ROUND(AH70,0)</f>
        <v>5389</v>
      </c>
      <c r="AH70" s="103">
        <v>5389.4736842105267</v>
      </c>
      <c r="AI70" s="172">
        <v>3</v>
      </c>
      <c r="AK70" s="104">
        <f ca="1">IFERROR(OFFSET(ITEM_RES!$A$5,MATCH(AL70,ITEM_RES!$M$5:$M$84,0)-1,0),0)</f>
        <v>220000102</v>
      </c>
      <c r="AL70" s="103" t="s">
        <v>574</v>
      </c>
      <c r="AM70" s="104">
        <f t="shared" ref="AM70:AM74" si="35">IF(AN70&lt;100,ROUND(AN70,1-LEN(ROUND(AN70,0))),ROUND(AN70,2-LEN(ROUND(AN70,0))))</f>
        <v>8800</v>
      </c>
      <c r="AN70" s="103">
        <v>8771.9298245614027</v>
      </c>
      <c r="AP70" s="104">
        <f ca="1">IFERROR(OFFSET(ITEM_RES!$A$5,MATCH(AQ70,ITEM_RES!$M$5:$M$84,0)-1,0),0)</f>
        <v>220000202</v>
      </c>
      <c r="AQ70" s="103" t="s">
        <v>592</v>
      </c>
      <c r="AR70" s="104">
        <f t="shared" ref="AR70:AR74" si="36">IF(AS70&lt;100,ROUND(AS70,1-LEN(ROUND(AS70,0))),ROUND(AS70,2-LEN(ROUND(AS70,0))))</f>
        <v>5300</v>
      </c>
      <c r="AS70" s="103">
        <v>5263.1578947368416</v>
      </c>
      <c r="AU70" s="104">
        <f ca="1">IFERROR(OFFSET(ITEM_RES!$A$5,MATCH(AV70,ITEM_RES!$M$5:$M$84,0)-1,0),0)</f>
        <v>220000302</v>
      </c>
      <c r="AV70" s="103" t="s">
        <v>610</v>
      </c>
      <c r="AW70" s="104">
        <f t="shared" ref="AW70:AW74" si="37">IF(AX70&lt;100,ROUND(AX70,1-LEN(ROUND(AX70,0))),ROUND(AX70,2-LEN(ROUND(AX70,0))))</f>
        <v>1800</v>
      </c>
      <c r="AX70" s="103">
        <v>1754.3859649122805</v>
      </c>
      <c r="AZ70" s="104">
        <f ca="1">IFERROR(OFFSET(ITEM_RES!$A$5,MATCH(BA70,ITEM_RES!$M$5:$M$84,0)-1,0),0)</f>
        <v>220000402</v>
      </c>
      <c r="BA70" s="103" t="s">
        <v>628</v>
      </c>
      <c r="BB70" s="104">
        <f t="shared" ref="BB70:BB74" si="38">IF(BC70&lt;100,ROUND(BC70,1-LEN(ROUND(BC70,0))),ROUND(BC70,2-LEN(ROUND(BC70,0))))</f>
        <v>0</v>
      </c>
      <c r="BC70" s="103">
        <v>0</v>
      </c>
      <c r="BE70" s="104">
        <f ca="1">IFERROR(OFFSET(ITEM_RES!$A$5,MATCH(BF70,ITEM_RES!$M$5:$M$84,0)-1,0),0)</f>
        <v>0</v>
      </c>
      <c r="BG70" s="104">
        <f t="shared" ref="BG70:BG74" si="39">IF(BH70&lt;100,ROUND(BH70,1-LEN(ROUND(BH70,0))),ROUND(BH70,2-LEN(ROUND(BH70,0))))</f>
        <v>0</v>
      </c>
    </row>
    <row r="71" spans="1:60" x14ac:dyDescent="0.3">
      <c r="A71" s="107">
        <f t="shared" si="31"/>
        <v>111030007</v>
      </c>
      <c r="B71" s="106">
        <v>11</v>
      </c>
      <c r="C71" s="105">
        <f t="shared" si="32"/>
        <v>1</v>
      </c>
      <c r="D71" s="106">
        <v>3</v>
      </c>
      <c r="E71" s="106">
        <v>0</v>
      </c>
      <c r="F71" s="105">
        <f t="shared" si="29"/>
        <v>7</v>
      </c>
      <c r="H71" s="102">
        <v>1</v>
      </c>
      <c r="I71" s="102">
        <v>7</v>
      </c>
      <c r="K71" s="102" t="s">
        <v>1041</v>
      </c>
      <c r="L71" s="102" t="s">
        <v>771</v>
      </c>
      <c r="M71" s="103" t="s">
        <v>738</v>
      </c>
      <c r="N71" s="102">
        <v>1</v>
      </c>
      <c r="O71" s="102">
        <v>12</v>
      </c>
      <c r="P71" s="102" t="s">
        <v>763</v>
      </c>
      <c r="Q71" s="103" t="s">
        <v>1160</v>
      </c>
      <c r="R71" s="103">
        <v>111030007</v>
      </c>
      <c r="S71" s="104" t="str">
        <f t="shared" si="33"/>
        <v>UITexture/Bldg/111030007.png</v>
      </c>
      <c r="T71" s="102" t="s">
        <v>1043</v>
      </c>
      <c r="U71" s="102">
        <v>3</v>
      </c>
      <c r="V71" s="102">
        <v>2</v>
      </c>
      <c r="W71" s="102">
        <v>3</v>
      </c>
      <c r="Y71" s="104">
        <f t="shared" si="30"/>
        <v>103</v>
      </c>
      <c r="Z71" s="102">
        <v>70</v>
      </c>
      <c r="AA71" s="102">
        <v>1</v>
      </c>
      <c r="AB71" s="102">
        <v>1</v>
      </c>
      <c r="AC71" s="102">
        <v>0</v>
      </c>
      <c r="AD71" s="102" t="s">
        <v>538</v>
      </c>
      <c r="AE71" s="102">
        <v>7</v>
      </c>
      <c r="AG71" s="104">
        <f t="shared" si="34"/>
        <v>10779</v>
      </c>
      <c r="AH71" s="103">
        <v>10778.947368421053</v>
      </c>
      <c r="AI71" s="172">
        <v>3</v>
      </c>
      <c r="AK71" s="104">
        <f ca="1">IFERROR(OFFSET(ITEM_RES!$A$5,MATCH(AL71,ITEM_RES!$M$5:$M$84,0)-1,0),0)</f>
        <v>220000103</v>
      </c>
      <c r="AL71" s="103" t="s">
        <v>575</v>
      </c>
      <c r="AM71" s="104">
        <f t="shared" si="35"/>
        <v>7300</v>
      </c>
      <c r="AN71" s="103">
        <v>7309.9415204678353</v>
      </c>
      <c r="AP71" s="104">
        <f ca="1">IFERROR(OFFSET(ITEM_RES!$A$5,MATCH(AQ71,ITEM_RES!$M$5:$M$84,0)-1,0),0)</f>
        <v>220000203</v>
      </c>
      <c r="AQ71" s="103" t="s">
        <v>593</v>
      </c>
      <c r="AR71" s="104">
        <f t="shared" si="36"/>
        <v>4400</v>
      </c>
      <c r="AS71" s="103">
        <v>4385.9649122807004</v>
      </c>
      <c r="AU71" s="104">
        <f ca="1">IFERROR(OFFSET(ITEM_RES!$A$5,MATCH(AV71,ITEM_RES!$M$5:$M$84,0)-1,0),0)</f>
        <v>220000303</v>
      </c>
      <c r="AV71" s="103" t="s">
        <v>611</v>
      </c>
      <c r="AW71" s="104">
        <f t="shared" si="37"/>
        <v>1500</v>
      </c>
      <c r="AX71" s="103">
        <v>1461.988304093567</v>
      </c>
      <c r="AZ71" s="104">
        <f ca="1">IFERROR(OFFSET(ITEM_RES!$A$5,MATCH(BA71,ITEM_RES!$M$5:$M$84,0)-1,0),0)</f>
        <v>220000403</v>
      </c>
      <c r="BA71" s="103" t="s">
        <v>629</v>
      </c>
      <c r="BB71" s="104">
        <f t="shared" si="38"/>
        <v>0</v>
      </c>
      <c r="BC71" s="103">
        <v>0</v>
      </c>
      <c r="BE71" s="104">
        <f ca="1">IFERROR(OFFSET(ITEM_RES!$A$5,MATCH(BF71,ITEM_RES!$M$5:$M$84,0)-1,0),0)</f>
        <v>0</v>
      </c>
      <c r="BG71" s="104">
        <f t="shared" si="39"/>
        <v>0</v>
      </c>
    </row>
    <row r="72" spans="1:60" x14ac:dyDescent="0.3">
      <c r="A72" s="107">
        <f t="shared" si="31"/>
        <v>111030008</v>
      </c>
      <c r="B72" s="106">
        <v>11</v>
      </c>
      <c r="C72" s="105">
        <f t="shared" si="32"/>
        <v>1</v>
      </c>
      <c r="D72" s="106">
        <v>3</v>
      </c>
      <c r="E72" s="106">
        <v>0</v>
      </c>
      <c r="F72" s="105">
        <f t="shared" si="29"/>
        <v>8</v>
      </c>
      <c r="H72" s="102">
        <v>1</v>
      </c>
      <c r="I72" s="102">
        <v>8</v>
      </c>
      <c r="K72" s="102" t="s">
        <v>1041</v>
      </c>
      <c r="L72" s="102" t="s">
        <v>771</v>
      </c>
      <c r="M72" s="103" t="s">
        <v>738</v>
      </c>
      <c r="N72" s="102">
        <v>1</v>
      </c>
      <c r="O72" s="102">
        <v>12</v>
      </c>
      <c r="P72" s="102" t="s">
        <v>763</v>
      </c>
      <c r="Q72" s="103" t="s">
        <v>1160</v>
      </c>
      <c r="R72" s="103">
        <v>111030008</v>
      </c>
      <c r="S72" s="104" t="str">
        <f t="shared" si="33"/>
        <v>UITexture/Bldg/111030008.png</v>
      </c>
      <c r="T72" s="102" t="s">
        <v>1043</v>
      </c>
      <c r="U72" s="102">
        <v>3</v>
      </c>
      <c r="V72" s="102">
        <v>2</v>
      </c>
      <c r="W72" s="102">
        <v>3</v>
      </c>
      <c r="Y72" s="104">
        <f t="shared" si="30"/>
        <v>103</v>
      </c>
      <c r="Z72" s="102">
        <v>80</v>
      </c>
      <c r="AA72" s="102">
        <v>1</v>
      </c>
      <c r="AB72" s="102">
        <v>1</v>
      </c>
      <c r="AC72" s="102">
        <v>0</v>
      </c>
      <c r="AD72" s="102" t="s">
        <v>538</v>
      </c>
      <c r="AE72" s="102">
        <v>8</v>
      </c>
      <c r="AG72" s="104">
        <f t="shared" si="34"/>
        <v>11857</v>
      </c>
      <c r="AH72" s="103">
        <v>11856.842105263158</v>
      </c>
      <c r="AI72" s="172">
        <v>3</v>
      </c>
      <c r="AK72" s="104">
        <f ca="1">IFERROR(OFFSET(ITEM_RES!$A$5,MATCH(AL72,ITEM_RES!$M$5:$M$84,0)-1,0),0)</f>
        <v>220000103</v>
      </c>
      <c r="AL72" s="103" t="s">
        <v>575</v>
      </c>
      <c r="AM72" s="104">
        <f t="shared" si="35"/>
        <v>10000</v>
      </c>
      <c r="AN72" s="103">
        <v>10051.169590643276</v>
      </c>
      <c r="AP72" s="104">
        <f ca="1">IFERROR(OFFSET(ITEM_RES!$A$5,MATCH(AQ72,ITEM_RES!$M$5:$M$84,0)-1,0),0)</f>
        <v>220000203</v>
      </c>
      <c r="AQ72" s="103" t="s">
        <v>593</v>
      </c>
      <c r="AR72" s="104">
        <f t="shared" si="36"/>
        <v>6000</v>
      </c>
      <c r="AS72" s="103">
        <v>6030.7017543859656</v>
      </c>
      <c r="AU72" s="104">
        <f ca="1">IFERROR(OFFSET(ITEM_RES!$A$5,MATCH(AV72,ITEM_RES!$M$5:$M$84,0)-1,0),0)</f>
        <v>220000303</v>
      </c>
      <c r="AV72" s="103" t="s">
        <v>611</v>
      </c>
      <c r="AW72" s="104">
        <f t="shared" si="37"/>
        <v>2000</v>
      </c>
      <c r="AX72" s="103">
        <v>2010.2339181286552</v>
      </c>
      <c r="AZ72" s="104">
        <f ca="1">IFERROR(OFFSET(ITEM_RES!$A$5,MATCH(BA72,ITEM_RES!$M$5:$M$84,0)-1,0),0)</f>
        <v>220000403</v>
      </c>
      <c r="BA72" s="103" t="s">
        <v>629</v>
      </c>
      <c r="BB72" s="104">
        <f t="shared" si="38"/>
        <v>0</v>
      </c>
      <c r="BC72" s="103">
        <v>0</v>
      </c>
      <c r="BE72" s="104">
        <f ca="1">IFERROR(OFFSET(ITEM_RES!$A$5,MATCH(BF72,ITEM_RES!$M$5:$M$84,0)-1,0),0)</f>
        <v>0</v>
      </c>
      <c r="BG72" s="104">
        <f t="shared" si="39"/>
        <v>0</v>
      </c>
    </row>
    <row r="73" spans="1:60" x14ac:dyDescent="0.3">
      <c r="A73" s="107">
        <f t="shared" si="31"/>
        <v>111030009</v>
      </c>
      <c r="B73" s="106">
        <v>11</v>
      </c>
      <c r="C73" s="105">
        <f t="shared" si="32"/>
        <v>1</v>
      </c>
      <c r="D73" s="106">
        <v>3</v>
      </c>
      <c r="E73" s="106">
        <v>0</v>
      </c>
      <c r="F73" s="105">
        <f t="shared" si="29"/>
        <v>9</v>
      </c>
      <c r="H73" s="102">
        <v>1</v>
      </c>
      <c r="I73" s="102">
        <v>9</v>
      </c>
      <c r="K73" s="102" t="s">
        <v>1041</v>
      </c>
      <c r="L73" s="102" t="s">
        <v>771</v>
      </c>
      <c r="M73" s="103" t="s">
        <v>738</v>
      </c>
      <c r="N73" s="102">
        <v>1</v>
      </c>
      <c r="O73" s="102">
        <v>12</v>
      </c>
      <c r="P73" s="102" t="s">
        <v>763</v>
      </c>
      <c r="Q73" s="103" t="s">
        <v>1160</v>
      </c>
      <c r="R73" s="103">
        <v>111030009</v>
      </c>
      <c r="S73" s="104" t="str">
        <f t="shared" si="33"/>
        <v>UITexture/Bldg/111030009.png</v>
      </c>
      <c r="T73" s="102" t="s">
        <v>1043</v>
      </c>
      <c r="U73" s="102">
        <v>3</v>
      </c>
      <c r="V73" s="102">
        <v>2</v>
      </c>
      <c r="W73" s="102">
        <v>3</v>
      </c>
      <c r="Y73" s="104">
        <f t="shared" si="30"/>
        <v>103</v>
      </c>
      <c r="Z73" s="102">
        <v>90</v>
      </c>
      <c r="AA73" s="102">
        <v>1</v>
      </c>
      <c r="AB73" s="102">
        <v>1</v>
      </c>
      <c r="AC73" s="102">
        <v>0</v>
      </c>
      <c r="AD73" s="102" t="s">
        <v>538</v>
      </c>
      <c r="AE73" s="102">
        <v>9</v>
      </c>
      <c r="AG73" s="104">
        <f t="shared" si="34"/>
        <v>13043</v>
      </c>
      <c r="AH73" s="103">
        <v>13042.526315789475</v>
      </c>
      <c r="AI73" s="172">
        <v>3</v>
      </c>
      <c r="AK73" s="104">
        <f ca="1">IFERROR(OFFSET(ITEM_RES!$A$5,MATCH(AL73,ITEM_RES!$M$5:$M$84,0)-1,0),0)</f>
        <v>220000103</v>
      </c>
      <c r="AL73" s="103" t="s">
        <v>575</v>
      </c>
      <c r="AM73" s="104">
        <f t="shared" si="35"/>
        <v>14000</v>
      </c>
      <c r="AN73" s="103">
        <v>13820.358187134507</v>
      </c>
      <c r="AP73" s="104">
        <f ca="1">IFERROR(OFFSET(ITEM_RES!$A$5,MATCH(AQ73,ITEM_RES!$M$5:$M$84,0)-1,0),0)</f>
        <v>220000203</v>
      </c>
      <c r="AQ73" s="103" t="s">
        <v>593</v>
      </c>
      <c r="AR73" s="104">
        <f t="shared" si="36"/>
        <v>8300</v>
      </c>
      <c r="AS73" s="103">
        <v>8292.2149122807041</v>
      </c>
      <c r="AU73" s="104">
        <f ca="1">IFERROR(OFFSET(ITEM_RES!$A$5,MATCH(AV73,ITEM_RES!$M$5:$M$84,0)-1,0),0)</f>
        <v>220000303</v>
      </c>
      <c r="AV73" s="103" t="s">
        <v>611</v>
      </c>
      <c r="AW73" s="104">
        <f t="shared" si="37"/>
        <v>2800</v>
      </c>
      <c r="AX73" s="103">
        <v>2764.0716374269014</v>
      </c>
      <c r="AZ73" s="104">
        <f ca="1">IFERROR(OFFSET(ITEM_RES!$A$5,MATCH(BA73,ITEM_RES!$M$5:$M$84,0)-1,0),0)</f>
        <v>220000403</v>
      </c>
      <c r="BA73" s="103" t="s">
        <v>629</v>
      </c>
      <c r="BB73" s="104">
        <f t="shared" si="38"/>
        <v>0</v>
      </c>
      <c r="BC73" s="103">
        <v>0</v>
      </c>
      <c r="BE73" s="104">
        <f ca="1">IFERROR(OFFSET(ITEM_RES!$A$5,MATCH(BF73,ITEM_RES!$M$5:$M$84,0)-1,0),0)</f>
        <v>0</v>
      </c>
      <c r="BG73" s="104">
        <f t="shared" si="39"/>
        <v>0</v>
      </c>
    </row>
    <row r="74" spans="1:60" x14ac:dyDescent="0.3">
      <c r="A74" s="107">
        <f t="shared" si="31"/>
        <v>111030010</v>
      </c>
      <c r="B74" s="106">
        <v>11</v>
      </c>
      <c r="C74" s="105">
        <f t="shared" si="32"/>
        <v>1</v>
      </c>
      <c r="D74" s="106">
        <v>3</v>
      </c>
      <c r="E74" s="106">
        <v>0</v>
      </c>
      <c r="F74" s="105">
        <f t="shared" si="29"/>
        <v>10</v>
      </c>
      <c r="H74" s="102">
        <v>1</v>
      </c>
      <c r="I74" s="102">
        <v>10</v>
      </c>
      <c r="K74" s="102" t="s">
        <v>1041</v>
      </c>
      <c r="L74" s="102" t="s">
        <v>771</v>
      </c>
      <c r="M74" s="103" t="s">
        <v>738</v>
      </c>
      <c r="N74" s="102">
        <v>1</v>
      </c>
      <c r="O74" s="102">
        <v>12</v>
      </c>
      <c r="P74" s="102" t="s">
        <v>763</v>
      </c>
      <c r="Q74" s="103" t="s">
        <v>1160</v>
      </c>
      <c r="R74" s="103">
        <v>111030010</v>
      </c>
      <c r="S74" s="104" t="str">
        <f t="shared" si="33"/>
        <v>UITexture/Bldg/111030010.png</v>
      </c>
      <c r="T74" s="102" t="s">
        <v>1043</v>
      </c>
      <c r="U74" s="102">
        <v>3</v>
      </c>
      <c r="V74" s="102">
        <v>2</v>
      </c>
      <c r="W74" s="102">
        <v>3</v>
      </c>
      <c r="Y74" s="104">
        <f t="shared" si="30"/>
        <v>103</v>
      </c>
      <c r="Z74" s="102">
        <v>100</v>
      </c>
      <c r="AA74" s="102">
        <v>1</v>
      </c>
      <c r="AB74" s="102">
        <v>1</v>
      </c>
      <c r="AC74" s="102">
        <v>0</v>
      </c>
      <c r="AD74" s="102" t="s">
        <v>538</v>
      </c>
      <c r="AE74" s="102">
        <v>10</v>
      </c>
      <c r="AG74" s="104">
        <f t="shared" si="34"/>
        <v>15651</v>
      </c>
      <c r="AH74" s="103">
        <v>15651.031578947372</v>
      </c>
      <c r="AI74" s="172">
        <v>3</v>
      </c>
      <c r="AK74" s="104">
        <f ca="1">IFERROR(OFFSET(ITEM_RES!$A$5,MATCH(AL74,ITEM_RES!$M$5:$M$84,0)-1,0),0)</f>
        <v>220000104</v>
      </c>
      <c r="AL74" s="103" t="s">
        <v>576</v>
      </c>
      <c r="AM74" s="104">
        <f t="shared" si="35"/>
        <v>8300</v>
      </c>
      <c r="AN74" s="103">
        <v>8292.2149122807041</v>
      </c>
      <c r="AP74" s="104">
        <f ca="1">IFERROR(OFFSET(ITEM_RES!$A$5,MATCH(AQ74,ITEM_RES!$M$5:$M$84,0)-1,0),0)</f>
        <v>220000204</v>
      </c>
      <c r="AQ74" s="103" t="s">
        <v>594</v>
      </c>
      <c r="AR74" s="104">
        <f t="shared" si="36"/>
        <v>5000</v>
      </c>
      <c r="AS74" s="103">
        <v>4975.3289473684217</v>
      </c>
      <c r="AU74" s="104">
        <f ca="1">IFERROR(OFFSET(ITEM_RES!$A$5,MATCH(AV74,ITEM_RES!$M$5:$M$84,0)-1,0),0)</f>
        <v>220000304</v>
      </c>
      <c r="AV74" s="103" t="s">
        <v>612</v>
      </c>
      <c r="AW74" s="104">
        <f t="shared" si="37"/>
        <v>1700</v>
      </c>
      <c r="AX74" s="103">
        <v>1658.4429824561407</v>
      </c>
      <c r="AZ74" s="104">
        <f ca="1">IFERROR(OFFSET(ITEM_RES!$A$5,MATCH(BA74,ITEM_RES!$M$5:$M$84,0)-1,0),0)</f>
        <v>220000404</v>
      </c>
      <c r="BA74" s="103" t="s">
        <v>630</v>
      </c>
      <c r="BB74" s="104">
        <f t="shared" si="38"/>
        <v>0</v>
      </c>
      <c r="BC74" s="103">
        <v>0</v>
      </c>
      <c r="BE74" s="104">
        <f ca="1">IFERROR(OFFSET(ITEM_RES!$A$5,MATCH(BF74,ITEM_RES!$M$5:$M$84,0)-1,0),0)</f>
        <v>0</v>
      </c>
      <c r="BG74" s="104">
        <f t="shared" si="39"/>
        <v>0</v>
      </c>
    </row>
    <row r="75" spans="1:60" x14ac:dyDescent="0.3">
      <c r="A75" s="107">
        <f t="shared" ref="A75:A89" si="40">B75*10000000+C75*1000000+D75*10000+E75*100+F75</f>
        <v>111030011</v>
      </c>
      <c r="B75" s="106">
        <v>11</v>
      </c>
      <c r="C75" s="105">
        <f t="shared" ref="C75:C89" si="41">H75</f>
        <v>1</v>
      </c>
      <c r="D75" s="106">
        <v>3</v>
      </c>
      <c r="E75" s="106">
        <v>0</v>
      </c>
      <c r="F75" s="105">
        <f t="shared" si="29"/>
        <v>11</v>
      </c>
      <c r="H75" s="102">
        <v>1</v>
      </c>
      <c r="I75" s="102">
        <v>11</v>
      </c>
      <c r="K75" s="102" t="s">
        <v>1041</v>
      </c>
      <c r="L75" s="102" t="s">
        <v>771</v>
      </c>
      <c r="M75" s="103" t="s">
        <v>738</v>
      </c>
      <c r="N75" s="102">
        <v>1</v>
      </c>
      <c r="O75" s="102">
        <v>12</v>
      </c>
      <c r="P75" s="102" t="s">
        <v>763</v>
      </c>
      <c r="Q75" s="103" t="s">
        <v>1160</v>
      </c>
      <c r="R75" s="103">
        <v>111030011</v>
      </c>
      <c r="S75" s="104" t="str">
        <f t="shared" si="33"/>
        <v>UITexture/Bldg/111030011.png</v>
      </c>
      <c r="T75" s="102" t="s">
        <v>1043</v>
      </c>
      <c r="U75" s="102">
        <v>3</v>
      </c>
      <c r="V75" s="102">
        <v>2</v>
      </c>
      <c r="W75" s="102">
        <v>3</v>
      </c>
      <c r="Y75" s="104">
        <f t="shared" si="30"/>
        <v>103</v>
      </c>
      <c r="Z75" s="102">
        <v>110</v>
      </c>
      <c r="AA75" s="102">
        <v>1</v>
      </c>
      <c r="AB75" s="102">
        <v>1</v>
      </c>
      <c r="AC75" s="102">
        <v>0</v>
      </c>
      <c r="AD75" s="102" t="s">
        <v>538</v>
      </c>
      <c r="AE75" s="102">
        <v>11</v>
      </c>
      <c r="AG75" s="104">
        <f t="shared" si="34"/>
        <v>23477</v>
      </c>
      <c r="AH75" s="103">
        <v>23476.547368421056</v>
      </c>
      <c r="AI75" s="172">
        <v>4</v>
      </c>
      <c r="AK75" s="104">
        <f ca="1">IFERROR(OFFSET(ITEM_RES!$A$5,MATCH(AL75,ITEM_RES!$M$5:$M$84,0)-1,0),0)</f>
        <v>220000104</v>
      </c>
      <c r="AL75" s="103" t="s">
        <v>576</v>
      </c>
      <c r="AM75" s="104">
        <f t="shared" ref="AM75:AM89" si="42">IF(AN75&lt;100,ROUND(AN75,1-LEN(ROUND(AN75,0))),ROUND(AN75,2-LEN(ROUND(AN75,0))))</f>
        <v>16000</v>
      </c>
      <c r="AN75" s="103">
        <v>15547.902960526317</v>
      </c>
      <c r="AP75" s="104">
        <f ca="1">IFERROR(OFFSET(ITEM_RES!$A$5,MATCH(AQ75,ITEM_RES!$M$5:$M$84,0)-1,0),0)</f>
        <v>220000204</v>
      </c>
      <c r="AQ75" s="103" t="s">
        <v>594</v>
      </c>
      <c r="AR75" s="104">
        <f t="shared" ref="AR75:AR89" si="43">IF(AS75&lt;100,ROUND(AS75,1-LEN(ROUND(AS75,0))),ROUND(AS75,2-LEN(ROUND(AS75,0))))</f>
        <v>7000</v>
      </c>
      <c r="AS75" s="103">
        <v>6996.5563322368425</v>
      </c>
      <c r="AU75" s="104">
        <f ca="1">IFERROR(OFFSET(ITEM_RES!$A$5,MATCH(AV75,ITEM_RES!$M$5:$M$84,0)-1,0),0)</f>
        <v>220000304</v>
      </c>
      <c r="AV75" s="103" t="s">
        <v>612</v>
      </c>
      <c r="AW75" s="104">
        <f t="shared" ref="AW75:AW89" si="44">IF(AX75&lt;100,ROUND(AX75,1-LEN(ROUND(AX75,0))),ROUND(AX75,2-LEN(ROUND(AX75,0))))</f>
        <v>3100</v>
      </c>
      <c r="AX75" s="103">
        <v>3109.5805921052633</v>
      </c>
      <c r="AZ75" s="104">
        <f ca="1">IFERROR(OFFSET(ITEM_RES!$A$5,MATCH(BA75,ITEM_RES!$M$5:$M$84,0)-1,0),0)</f>
        <v>220000404</v>
      </c>
      <c r="BA75" s="103" t="s">
        <v>630</v>
      </c>
      <c r="BB75" s="104">
        <f t="shared" ref="BB75:BB89" si="45">IF(BC75&lt;100,ROUND(BC75,1-LEN(ROUND(BC75,0))),ROUND(BC75,2-LEN(ROUND(BC75,0))))</f>
        <v>780</v>
      </c>
      <c r="BC75" s="103">
        <v>777.39514802631584</v>
      </c>
      <c r="BE75" s="104">
        <f ca="1">IFERROR(OFFSET(ITEM_RES!$A$5,MATCH(BF75,ITEM_RES!$M$5:$M$84,0)-1,0),0)</f>
        <v>0</v>
      </c>
      <c r="BG75" s="104">
        <f t="shared" ref="BG75:BG89" si="46">IF(BH75&lt;100,ROUND(BH75,1-LEN(ROUND(BH75,0))),ROUND(BH75,2-LEN(ROUND(BH75,0))))</f>
        <v>0</v>
      </c>
    </row>
    <row r="76" spans="1:60" x14ac:dyDescent="0.3">
      <c r="A76" s="107">
        <f t="shared" si="40"/>
        <v>111030012</v>
      </c>
      <c r="B76" s="106">
        <v>11</v>
      </c>
      <c r="C76" s="105">
        <f t="shared" si="41"/>
        <v>1</v>
      </c>
      <c r="D76" s="106">
        <v>3</v>
      </c>
      <c r="E76" s="106">
        <v>0</v>
      </c>
      <c r="F76" s="105">
        <f t="shared" si="29"/>
        <v>12</v>
      </c>
      <c r="H76" s="102">
        <v>1</v>
      </c>
      <c r="I76" s="102">
        <v>12</v>
      </c>
      <c r="K76" s="102" t="s">
        <v>1041</v>
      </c>
      <c r="L76" s="102" t="s">
        <v>771</v>
      </c>
      <c r="M76" s="103" t="s">
        <v>738</v>
      </c>
      <c r="N76" s="102">
        <v>1</v>
      </c>
      <c r="O76" s="102">
        <v>12</v>
      </c>
      <c r="P76" s="102" t="s">
        <v>763</v>
      </c>
      <c r="Q76" s="103" t="s">
        <v>1160</v>
      </c>
      <c r="R76" s="103">
        <v>111030012</v>
      </c>
      <c r="S76" s="104" t="str">
        <f t="shared" si="33"/>
        <v>UITexture/Bldg/111030012.png</v>
      </c>
      <c r="T76" s="102" t="s">
        <v>1043</v>
      </c>
      <c r="U76" s="102">
        <v>3</v>
      </c>
      <c r="V76" s="102">
        <v>2</v>
      </c>
      <c r="W76" s="102">
        <v>3</v>
      </c>
      <c r="Y76" s="104">
        <f t="shared" si="30"/>
        <v>103</v>
      </c>
      <c r="Z76" s="102">
        <v>120</v>
      </c>
      <c r="AA76" s="102">
        <v>1</v>
      </c>
      <c r="AB76" s="102">
        <v>1</v>
      </c>
      <c r="AC76" s="102">
        <v>0</v>
      </c>
      <c r="AD76" s="102" t="s">
        <v>538</v>
      </c>
      <c r="AE76" s="102">
        <v>12</v>
      </c>
      <c r="AG76" s="104">
        <f t="shared" si="34"/>
        <v>35215</v>
      </c>
      <c r="AH76" s="103">
        <v>35214.821052631582</v>
      </c>
      <c r="AI76" s="172">
        <v>4</v>
      </c>
      <c r="AK76" s="104">
        <f ca="1">IFERROR(OFFSET(ITEM_RES!$A$5,MATCH(AL76,ITEM_RES!$M$5:$M$84,0)-1,0),0)</f>
        <v>220000104</v>
      </c>
      <c r="AL76" s="103" t="s">
        <v>576</v>
      </c>
      <c r="AM76" s="104">
        <f t="shared" si="42"/>
        <v>29000</v>
      </c>
      <c r="AN76" s="103">
        <v>29152.318050986847</v>
      </c>
      <c r="AP76" s="104">
        <f ca="1">IFERROR(OFFSET(ITEM_RES!$A$5,MATCH(AQ76,ITEM_RES!$M$5:$M$84,0)-1,0),0)</f>
        <v>220000204</v>
      </c>
      <c r="AQ76" s="103" t="s">
        <v>594</v>
      </c>
      <c r="AR76" s="104">
        <f t="shared" si="43"/>
        <v>13000</v>
      </c>
      <c r="AS76" s="103">
        <v>13118.54312294408</v>
      </c>
      <c r="AU76" s="104">
        <f ca="1">IFERROR(OFFSET(ITEM_RES!$A$5,MATCH(AV76,ITEM_RES!$M$5:$M$84,0)-1,0),0)</f>
        <v>220000304</v>
      </c>
      <c r="AV76" s="103" t="s">
        <v>612</v>
      </c>
      <c r="AW76" s="104">
        <f t="shared" si="44"/>
        <v>5800</v>
      </c>
      <c r="AX76" s="103">
        <v>5830.4636101973692</v>
      </c>
      <c r="AZ76" s="104">
        <f ca="1">IFERROR(OFFSET(ITEM_RES!$A$5,MATCH(BA76,ITEM_RES!$M$5:$M$84,0)-1,0),0)</f>
        <v>220000404</v>
      </c>
      <c r="BA76" s="103" t="s">
        <v>630</v>
      </c>
      <c r="BB76" s="104">
        <f t="shared" si="45"/>
        <v>1500</v>
      </c>
      <c r="BC76" s="103">
        <v>1457.6159025493423</v>
      </c>
      <c r="BE76" s="104">
        <f ca="1">IFERROR(OFFSET(ITEM_RES!$A$5,MATCH(BF76,ITEM_RES!$M$5:$M$84,0)-1,0),0)</f>
        <v>0</v>
      </c>
      <c r="BG76" s="104">
        <f t="shared" si="46"/>
        <v>0</v>
      </c>
    </row>
    <row r="77" spans="1:60" x14ac:dyDescent="0.3">
      <c r="A77" s="107">
        <f t="shared" si="40"/>
        <v>111030013</v>
      </c>
      <c r="B77" s="106">
        <v>11</v>
      </c>
      <c r="C77" s="105">
        <f t="shared" si="41"/>
        <v>1</v>
      </c>
      <c r="D77" s="106">
        <v>3</v>
      </c>
      <c r="E77" s="106">
        <v>0</v>
      </c>
      <c r="F77" s="105">
        <f t="shared" si="29"/>
        <v>13</v>
      </c>
      <c r="H77" s="102">
        <v>1</v>
      </c>
      <c r="I77" s="102">
        <v>13</v>
      </c>
      <c r="K77" s="102" t="s">
        <v>1041</v>
      </c>
      <c r="L77" s="102" t="s">
        <v>771</v>
      </c>
      <c r="M77" s="103" t="s">
        <v>738</v>
      </c>
      <c r="N77" s="102">
        <v>0</v>
      </c>
      <c r="O77" s="102">
        <v>12</v>
      </c>
      <c r="P77" s="102" t="s">
        <v>763</v>
      </c>
      <c r="Q77" s="103" t="s">
        <v>1160</v>
      </c>
      <c r="R77" s="103">
        <v>111030013</v>
      </c>
      <c r="S77" s="104" t="str">
        <f t="shared" si="33"/>
        <v>UITexture/Bldg/111030013.png</v>
      </c>
      <c r="T77" s="102" t="s">
        <v>1043</v>
      </c>
      <c r="U77" s="102">
        <v>3</v>
      </c>
      <c r="V77" s="102">
        <v>2</v>
      </c>
      <c r="W77" s="102">
        <v>3</v>
      </c>
      <c r="Y77" s="104">
        <f t="shared" si="30"/>
        <v>103</v>
      </c>
      <c r="Z77" s="102">
        <v>130</v>
      </c>
      <c r="AA77" s="102">
        <v>1</v>
      </c>
      <c r="AB77" s="102">
        <v>1</v>
      </c>
      <c r="AC77" s="102">
        <v>0</v>
      </c>
      <c r="AD77" s="102" t="s">
        <v>538</v>
      </c>
      <c r="AE77" s="102">
        <v>13</v>
      </c>
      <c r="AG77" s="104">
        <f t="shared" si="34"/>
        <v>45779</v>
      </c>
      <c r="AH77" s="103">
        <v>45779.267368421053</v>
      </c>
      <c r="AI77" s="172">
        <v>4</v>
      </c>
      <c r="AK77" s="104">
        <f ca="1">IFERROR(OFFSET(ITEM_RES!$A$5,MATCH(AL77,ITEM_RES!$M$5:$M$84,0)-1,0),0)</f>
        <v>220000105</v>
      </c>
      <c r="AL77" s="103" t="s">
        <v>577</v>
      </c>
      <c r="AM77" s="104">
        <f t="shared" si="42"/>
        <v>16000</v>
      </c>
      <c r="AN77" s="103">
        <v>15790.838944284542</v>
      </c>
      <c r="AP77" s="104">
        <f ca="1">IFERROR(OFFSET(ITEM_RES!$A$5,MATCH(AQ77,ITEM_RES!$M$5:$M$84,0)-1,0),0)</f>
        <v>220000205</v>
      </c>
      <c r="AQ77" s="103" t="s">
        <v>595</v>
      </c>
      <c r="AR77" s="104">
        <f t="shared" si="43"/>
        <v>7100</v>
      </c>
      <c r="AS77" s="103">
        <v>7105.8775249280443</v>
      </c>
      <c r="AU77" s="104">
        <f ca="1">IFERROR(OFFSET(ITEM_RES!$A$5,MATCH(AV77,ITEM_RES!$M$5:$M$84,0)-1,0),0)</f>
        <v>220000305</v>
      </c>
      <c r="AV77" s="103" t="s">
        <v>613</v>
      </c>
      <c r="AW77" s="104">
        <f t="shared" si="44"/>
        <v>3200</v>
      </c>
      <c r="AX77" s="103">
        <v>3158.1677888569084</v>
      </c>
      <c r="AZ77" s="104">
        <f ca="1">IFERROR(OFFSET(ITEM_RES!$A$5,MATCH(BA77,ITEM_RES!$M$5:$M$84,0)-1,0),0)</f>
        <v>220000405</v>
      </c>
      <c r="BA77" s="103" t="s">
        <v>631</v>
      </c>
      <c r="BB77" s="104">
        <f t="shared" si="45"/>
        <v>790</v>
      </c>
      <c r="BC77" s="103">
        <v>789.54194721422709</v>
      </c>
      <c r="BE77" s="104">
        <f ca="1">IFERROR(OFFSET(ITEM_RES!$A$5,MATCH(BF77,ITEM_RES!$M$5:$M$84,0)-1,0),0)</f>
        <v>0</v>
      </c>
      <c r="BG77" s="104">
        <f t="shared" si="46"/>
        <v>0</v>
      </c>
    </row>
    <row r="78" spans="1:60" x14ac:dyDescent="0.3">
      <c r="A78" s="107">
        <f t="shared" si="40"/>
        <v>111030014</v>
      </c>
      <c r="B78" s="106">
        <v>11</v>
      </c>
      <c r="C78" s="105">
        <f t="shared" si="41"/>
        <v>1</v>
      </c>
      <c r="D78" s="106">
        <v>3</v>
      </c>
      <c r="E78" s="106">
        <v>0</v>
      </c>
      <c r="F78" s="105">
        <f t="shared" si="29"/>
        <v>14</v>
      </c>
      <c r="H78" s="102">
        <v>1</v>
      </c>
      <c r="I78" s="102">
        <v>14</v>
      </c>
      <c r="K78" s="102" t="s">
        <v>1041</v>
      </c>
      <c r="L78" s="102" t="s">
        <v>771</v>
      </c>
      <c r="M78" s="103" t="s">
        <v>738</v>
      </c>
      <c r="N78" s="102">
        <v>0</v>
      </c>
      <c r="O78" s="102">
        <v>12</v>
      </c>
      <c r="P78" s="102" t="s">
        <v>763</v>
      </c>
      <c r="Q78" s="103" t="s">
        <v>1160</v>
      </c>
      <c r="R78" s="103">
        <v>111030014</v>
      </c>
      <c r="S78" s="104" t="str">
        <f t="shared" si="33"/>
        <v>UITexture/Bldg/111030014.png</v>
      </c>
      <c r="T78" s="102" t="s">
        <v>1043</v>
      </c>
      <c r="U78" s="102">
        <v>3</v>
      </c>
      <c r="V78" s="102">
        <v>2</v>
      </c>
      <c r="W78" s="102">
        <v>3</v>
      </c>
      <c r="Y78" s="104">
        <f t="shared" si="30"/>
        <v>103</v>
      </c>
      <c r="Z78" s="102">
        <v>140</v>
      </c>
      <c r="AA78" s="102">
        <v>1</v>
      </c>
      <c r="AB78" s="102">
        <v>1</v>
      </c>
      <c r="AC78" s="102">
        <v>0</v>
      </c>
      <c r="AD78" s="102" t="s">
        <v>538</v>
      </c>
      <c r="AE78" s="102">
        <v>14</v>
      </c>
      <c r="AG78" s="104">
        <f t="shared" si="34"/>
        <v>50357</v>
      </c>
      <c r="AH78" s="103">
        <v>50357.194105263159</v>
      </c>
      <c r="AI78" s="172">
        <v>4</v>
      </c>
      <c r="AK78" s="104">
        <f ca="1">IFERROR(OFFSET(ITEM_RES!$A$5,MATCH(AL78,ITEM_RES!$M$5:$M$84,0)-1,0),0)</f>
        <v>220000105</v>
      </c>
      <c r="AL78" s="103" t="s">
        <v>577</v>
      </c>
      <c r="AM78" s="104">
        <f t="shared" si="42"/>
        <v>22000</v>
      </c>
      <c r="AN78" s="103">
        <v>21712.403548391245</v>
      </c>
      <c r="AP78" s="104">
        <f ca="1">IFERROR(OFFSET(ITEM_RES!$A$5,MATCH(AQ78,ITEM_RES!$M$5:$M$84,0)-1,0),0)</f>
        <v>220000205</v>
      </c>
      <c r="AQ78" s="103" t="s">
        <v>595</v>
      </c>
      <c r="AR78" s="104">
        <f t="shared" si="43"/>
        <v>9800</v>
      </c>
      <c r="AS78" s="103">
        <v>9770.5815967760609</v>
      </c>
      <c r="AU78" s="104">
        <f ca="1">IFERROR(OFFSET(ITEM_RES!$A$5,MATCH(AV78,ITEM_RES!$M$5:$M$84,0)-1,0),0)</f>
        <v>220000305</v>
      </c>
      <c r="AV78" s="103" t="s">
        <v>613</v>
      </c>
      <c r="AW78" s="104">
        <f t="shared" si="44"/>
        <v>4300</v>
      </c>
      <c r="AX78" s="103">
        <v>4342.4807096782488</v>
      </c>
      <c r="AZ78" s="104">
        <f ca="1">IFERROR(OFFSET(ITEM_RES!$A$5,MATCH(BA78,ITEM_RES!$M$5:$M$84,0)-1,0),0)</f>
        <v>220000405</v>
      </c>
      <c r="BA78" s="103" t="s">
        <v>631</v>
      </c>
      <c r="BB78" s="104">
        <f t="shared" si="45"/>
        <v>1100</v>
      </c>
      <c r="BC78" s="103">
        <v>1085.6201774195622</v>
      </c>
      <c r="BE78" s="104">
        <f ca="1">IFERROR(OFFSET(ITEM_RES!$A$5,MATCH(BF78,ITEM_RES!$M$5:$M$84,0)-1,0),0)</f>
        <v>0</v>
      </c>
      <c r="BG78" s="104">
        <f t="shared" si="46"/>
        <v>0</v>
      </c>
    </row>
    <row r="79" spans="1:60" x14ac:dyDescent="0.3">
      <c r="A79" s="107">
        <f t="shared" si="40"/>
        <v>111030015</v>
      </c>
      <c r="B79" s="106">
        <v>11</v>
      </c>
      <c r="C79" s="105">
        <f t="shared" si="41"/>
        <v>1</v>
      </c>
      <c r="D79" s="106">
        <v>3</v>
      </c>
      <c r="E79" s="106">
        <v>0</v>
      </c>
      <c r="F79" s="105">
        <f t="shared" si="29"/>
        <v>15</v>
      </c>
      <c r="H79" s="102">
        <v>1</v>
      </c>
      <c r="I79" s="102">
        <v>15</v>
      </c>
      <c r="K79" s="102" t="s">
        <v>1041</v>
      </c>
      <c r="L79" s="102" t="s">
        <v>771</v>
      </c>
      <c r="M79" s="103" t="s">
        <v>738</v>
      </c>
      <c r="N79" s="102">
        <v>0</v>
      </c>
      <c r="O79" s="102">
        <v>12</v>
      </c>
      <c r="P79" s="102" t="s">
        <v>763</v>
      </c>
      <c r="Q79" s="103" t="s">
        <v>1160</v>
      </c>
      <c r="R79" s="103">
        <v>111030015</v>
      </c>
      <c r="S79" s="104" t="str">
        <f t="shared" si="33"/>
        <v>UITexture/Bldg/111030015.png</v>
      </c>
      <c r="T79" s="102" t="s">
        <v>1043</v>
      </c>
      <c r="U79" s="102">
        <v>3</v>
      </c>
      <c r="V79" s="102">
        <v>2</v>
      </c>
      <c r="W79" s="102">
        <v>3</v>
      </c>
      <c r="Y79" s="104">
        <f t="shared" si="30"/>
        <v>103</v>
      </c>
      <c r="Z79" s="102">
        <v>150</v>
      </c>
      <c r="AA79" s="102">
        <v>1</v>
      </c>
      <c r="AB79" s="102">
        <v>1</v>
      </c>
      <c r="AC79" s="102">
        <v>0</v>
      </c>
      <c r="AD79" s="102" t="s">
        <v>538</v>
      </c>
      <c r="AE79" s="102">
        <v>15</v>
      </c>
      <c r="AG79" s="104">
        <f t="shared" si="34"/>
        <v>55393</v>
      </c>
      <c r="AH79" s="103">
        <v>55392.913515789485</v>
      </c>
      <c r="AI79" s="172">
        <v>4</v>
      </c>
      <c r="AK79" s="104">
        <f ca="1">IFERROR(OFFSET(ITEM_RES!$A$5,MATCH(AL79,ITEM_RES!$M$5:$M$84,0)-1,0),0)</f>
        <v>220000105</v>
      </c>
      <c r="AL79" s="103" t="s">
        <v>577</v>
      </c>
      <c r="AM79" s="104">
        <f t="shared" si="42"/>
        <v>30000</v>
      </c>
      <c r="AN79" s="103">
        <v>29854.554879037962</v>
      </c>
      <c r="AP79" s="104">
        <f ca="1">IFERROR(OFFSET(ITEM_RES!$A$5,MATCH(AQ79,ITEM_RES!$M$5:$M$84,0)-1,0),0)</f>
        <v>220000205</v>
      </c>
      <c r="AQ79" s="103" t="s">
        <v>595</v>
      </c>
      <c r="AR79" s="104">
        <f t="shared" si="43"/>
        <v>13000</v>
      </c>
      <c r="AS79" s="103">
        <v>13434.549695567082</v>
      </c>
      <c r="AU79" s="104">
        <f ca="1">IFERROR(OFFSET(ITEM_RES!$A$5,MATCH(AV79,ITEM_RES!$M$5:$M$84,0)-1,0),0)</f>
        <v>220000305</v>
      </c>
      <c r="AV79" s="103" t="s">
        <v>613</v>
      </c>
      <c r="AW79" s="104">
        <f t="shared" si="44"/>
        <v>6000</v>
      </c>
      <c r="AX79" s="103">
        <v>5970.910975807592</v>
      </c>
      <c r="AZ79" s="104">
        <f ca="1">IFERROR(OFFSET(ITEM_RES!$A$5,MATCH(BA79,ITEM_RES!$M$5:$M$84,0)-1,0),0)</f>
        <v>220000405</v>
      </c>
      <c r="BA79" s="103" t="s">
        <v>631</v>
      </c>
      <c r="BB79" s="104">
        <f t="shared" si="45"/>
        <v>1500</v>
      </c>
      <c r="BC79" s="103">
        <v>1492.727743951898</v>
      </c>
      <c r="BE79" s="104">
        <f ca="1">IFERROR(OFFSET(ITEM_RES!$A$5,MATCH(BF79,ITEM_RES!$M$5:$M$84,0)-1,0),0)</f>
        <v>0</v>
      </c>
      <c r="BG79" s="104">
        <f t="shared" si="46"/>
        <v>0</v>
      </c>
    </row>
    <row r="80" spans="1:60" x14ac:dyDescent="0.3">
      <c r="A80" s="107">
        <f t="shared" si="40"/>
        <v>111030016</v>
      </c>
      <c r="B80" s="106">
        <v>11</v>
      </c>
      <c r="C80" s="105">
        <f t="shared" si="41"/>
        <v>1</v>
      </c>
      <c r="D80" s="106">
        <v>3</v>
      </c>
      <c r="E80" s="106">
        <v>0</v>
      </c>
      <c r="F80" s="105">
        <f t="shared" si="29"/>
        <v>16</v>
      </c>
      <c r="H80" s="102">
        <v>1</v>
      </c>
      <c r="I80" s="102">
        <v>16</v>
      </c>
      <c r="K80" s="102" t="s">
        <v>1041</v>
      </c>
      <c r="L80" s="102" t="s">
        <v>771</v>
      </c>
      <c r="M80" s="103" t="s">
        <v>738</v>
      </c>
      <c r="N80" s="102">
        <v>0</v>
      </c>
      <c r="O80" s="102">
        <v>12</v>
      </c>
      <c r="P80" s="102" t="s">
        <v>763</v>
      </c>
      <c r="Q80" s="103" t="s">
        <v>1160</v>
      </c>
      <c r="R80" s="103">
        <v>111030016</v>
      </c>
      <c r="S80" s="104" t="str">
        <f t="shared" si="33"/>
        <v>UITexture/Bldg/111030016.png</v>
      </c>
      <c r="T80" s="102" t="s">
        <v>1043</v>
      </c>
      <c r="U80" s="102">
        <v>3</v>
      </c>
      <c r="V80" s="102">
        <v>2</v>
      </c>
      <c r="W80" s="102">
        <v>3</v>
      </c>
      <c r="Y80" s="104">
        <f t="shared" si="30"/>
        <v>103</v>
      </c>
      <c r="Z80" s="102">
        <v>160</v>
      </c>
      <c r="AA80" s="102">
        <v>1</v>
      </c>
      <c r="AB80" s="102">
        <v>1</v>
      </c>
      <c r="AC80" s="102">
        <v>0</v>
      </c>
      <c r="AD80" s="102" t="s">
        <v>538</v>
      </c>
      <c r="AE80" s="102">
        <v>16</v>
      </c>
      <c r="AG80" s="104">
        <f t="shared" si="34"/>
        <v>60932</v>
      </c>
      <c r="AH80" s="103">
        <v>60932.204867368433</v>
      </c>
      <c r="AI80" s="172">
        <v>4</v>
      </c>
      <c r="AK80" s="104">
        <f ca="1">IFERROR(OFFSET(ITEM_RES!$A$5,MATCH(AL80,ITEM_RES!$M$5:$M$84,0)-1,0),0)</f>
        <v>220000106</v>
      </c>
      <c r="AL80" s="103" t="s">
        <v>578</v>
      </c>
      <c r="AM80" s="104">
        <f t="shared" si="42"/>
        <v>8600</v>
      </c>
      <c r="AN80" s="103">
        <v>8552.0860330577507</v>
      </c>
      <c r="AP80" s="104">
        <f ca="1">IFERROR(OFFSET(ITEM_RES!$A$5,MATCH(AQ80,ITEM_RES!$M$5:$M$84,0)-1,0),0)</f>
        <v>220000206</v>
      </c>
      <c r="AQ80" s="103" t="s">
        <v>596</v>
      </c>
      <c r="AR80" s="104">
        <f t="shared" si="43"/>
        <v>5100</v>
      </c>
      <c r="AS80" s="103">
        <v>5131.2516198346511</v>
      </c>
      <c r="AU80" s="104">
        <f ca="1">IFERROR(OFFSET(ITEM_RES!$A$5,MATCH(AV80,ITEM_RES!$M$5:$M$84,0)-1,0),0)</f>
        <v>220000306</v>
      </c>
      <c r="AV80" s="103" t="s">
        <v>614</v>
      </c>
      <c r="AW80" s="104">
        <f t="shared" si="44"/>
        <v>3400</v>
      </c>
      <c r="AX80" s="103">
        <v>3420.8344132231005</v>
      </c>
      <c r="AZ80" s="104">
        <f ca="1">IFERROR(OFFSET(ITEM_RES!$A$5,MATCH(BA80,ITEM_RES!$M$5:$M$84,0)-1,0),0)</f>
        <v>220000406</v>
      </c>
      <c r="BA80" s="103" t="s">
        <v>632</v>
      </c>
      <c r="BB80" s="104">
        <f t="shared" si="45"/>
        <v>1700</v>
      </c>
      <c r="BC80" s="103">
        <v>1710.4172066115502</v>
      </c>
      <c r="BE80" s="104">
        <f ca="1">IFERROR(OFFSET(ITEM_RES!$A$5,MATCH(BF80,ITEM_RES!$M$5:$M$84,0)-1,0),0)</f>
        <v>0</v>
      </c>
      <c r="BG80" s="104">
        <f t="shared" si="46"/>
        <v>0</v>
      </c>
    </row>
    <row r="81" spans="1:60" x14ac:dyDescent="0.3">
      <c r="A81" s="107">
        <f t="shared" si="40"/>
        <v>111030017</v>
      </c>
      <c r="B81" s="106">
        <v>11</v>
      </c>
      <c r="C81" s="105">
        <f t="shared" si="41"/>
        <v>1</v>
      </c>
      <c r="D81" s="106">
        <v>3</v>
      </c>
      <c r="E81" s="106">
        <v>0</v>
      </c>
      <c r="F81" s="105">
        <f t="shared" si="29"/>
        <v>17</v>
      </c>
      <c r="H81" s="102">
        <v>1</v>
      </c>
      <c r="I81" s="102">
        <v>17</v>
      </c>
      <c r="K81" s="102" t="s">
        <v>1041</v>
      </c>
      <c r="L81" s="102" t="s">
        <v>771</v>
      </c>
      <c r="M81" s="103" t="s">
        <v>738</v>
      </c>
      <c r="N81" s="102">
        <v>0</v>
      </c>
      <c r="O81" s="102">
        <v>12</v>
      </c>
      <c r="P81" s="102" t="s">
        <v>763</v>
      </c>
      <c r="Q81" s="103" t="s">
        <v>1160</v>
      </c>
      <c r="R81" s="103">
        <v>111030017</v>
      </c>
      <c r="S81" s="104" t="str">
        <f t="shared" si="33"/>
        <v>UITexture/Bldg/111030017.png</v>
      </c>
      <c r="T81" s="102" t="s">
        <v>1043</v>
      </c>
      <c r="U81" s="102">
        <v>3</v>
      </c>
      <c r="V81" s="102">
        <v>2</v>
      </c>
      <c r="W81" s="102">
        <v>3</v>
      </c>
      <c r="Y81" s="104">
        <f t="shared" si="30"/>
        <v>103</v>
      </c>
      <c r="Z81" s="102">
        <v>170</v>
      </c>
      <c r="AA81" s="102">
        <v>1</v>
      </c>
      <c r="AB81" s="102">
        <v>1</v>
      </c>
      <c r="AC81" s="102">
        <v>0</v>
      </c>
      <c r="AD81" s="102" t="s">
        <v>538</v>
      </c>
      <c r="AE81" s="102">
        <v>17</v>
      </c>
      <c r="AG81" s="104">
        <f t="shared" si="34"/>
        <v>91398</v>
      </c>
      <c r="AH81" s="103">
        <v>91398.307301052657</v>
      </c>
      <c r="AI81" s="172">
        <v>4</v>
      </c>
      <c r="AK81" s="104">
        <f ca="1">IFERROR(OFFSET(ITEM_RES!$A$5,MATCH(AL81,ITEM_RES!$M$5:$M$84,0)-1,0),0)</f>
        <v>220000106</v>
      </c>
      <c r="AL81" s="103" t="s">
        <v>578</v>
      </c>
      <c r="AM81" s="104">
        <f t="shared" si="42"/>
        <v>16000</v>
      </c>
      <c r="AN81" s="103">
        <v>16035.161311983284</v>
      </c>
      <c r="AP81" s="104">
        <f ca="1">IFERROR(OFFSET(ITEM_RES!$A$5,MATCH(AQ81,ITEM_RES!$M$5:$M$84,0)-1,0),0)</f>
        <v>220000206</v>
      </c>
      <c r="AQ81" s="103" t="s">
        <v>596</v>
      </c>
      <c r="AR81" s="104">
        <f t="shared" si="43"/>
        <v>9600</v>
      </c>
      <c r="AS81" s="103">
        <v>9621.0967871899702</v>
      </c>
      <c r="AU81" s="104">
        <f ca="1">IFERROR(OFFSET(ITEM_RES!$A$5,MATCH(AV81,ITEM_RES!$M$5:$M$84,0)-1,0),0)</f>
        <v>220000306</v>
      </c>
      <c r="AV81" s="103" t="s">
        <v>614</v>
      </c>
      <c r="AW81" s="104">
        <f t="shared" si="44"/>
        <v>6400</v>
      </c>
      <c r="AX81" s="103">
        <v>6414.0645247933135</v>
      </c>
      <c r="AZ81" s="104">
        <f ca="1">IFERROR(OFFSET(ITEM_RES!$A$5,MATCH(BA81,ITEM_RES!$M$5:$M$84,0)-1,0),0)</f>
        <v>220000406</v>
      </c>
      <c r="BA81" s="103" t="s">
        <v>632</v>
      </c>
      <c r="BB81" s="104">
        <f t="shared" si="45"/>
        <v>3200</v>
      </c>
      <c r="BC81" s="103">
        <v>3207.0322623966567</v>
      </c>
      <c r="BE81" s="104">
        <f ca="1">IFERROR(OFFSET(ITEM_RES!$A$5,MATCH(BF81,ITEM_RES!$M$5:$M$84,0)-1,0),0)</f>
        <v>0</v>
      </c>
      <c r="BG81" s="104">
        <f t="shared" si="46"/>
        <v>0</v>
      </c>
    </row>
    <row r="82" spans="1:60" x14ac:dyDescent="0.3">
      <c r="A82" s="107">
        <f t="shared" si="40"/>
        <v>111030018</v>
      </c>
      <c r="B82" s="106">
        <v>11</v>
      </c>
      <c r="C82" s="105">
        <f t="shared" si="41"/>
        <v>1</v>
      </c>
      <c r="D82" s="106">
        <v>3</v>
      </c>
      <c r="E82" s="106">
        <v>0</v>
      </c>
      <c r="F82" s="105">
        <f t="shared" si="29"/>
        <v>18</v>
      </c>
      <c r="H82" s="102">
        <v>1</v>
      </c>
      <c r="I82" s="102">
        <v>18</v>
      </c>
      <c r="K82" s="102" t="s">
        <v>1041</v>
      </c>
      <c r="L82" s="102" t="s">
        <v>771</v>
      </c>
      <c r="M82" s="103" t="s">
        <v>738</v>
      </c>
      <c r="N82" s="102">
        <v>0</v>
      </c>
      <c r="O82" s="102">
        <v>12</v>
      </c>
      <c r="P82" s="102" t="s">
        <v>763</v>
      </c>
      <c r="Q82" s="103" t="s">
        <v>1160</v>
      </c>
      <c r="R82" s="103">
        <v>111030018</v>
      </c>
      <c r="S82" s="104" t="str">
        <f t="shared" si="33"/>
        <v>UITexture/Bldg/111030018.png</v>
      </c>
      <c r="T82" s="102" t="s">
        <v>1043</v>
      </c>
      <c r="U82" s="102">
        <v>3</v>
      </c>
      <c r="V82" s="102">
        <v>2</v>
      </c>
      <c r="W82" s="102">
        <v>3</v>
      </c>
      <c r="Y82" s="104">
        <f t="shared" si="30"/>
        <v>103</v>
      </c>
      <c r="Z82" s="102">
        <v>180</v>
      </c>
      <c r="AA82" s="102">
        <v>1</v>
      </c>
      <c r="AB82" s="102">
        <v>1</v>
      </c>
      <c r="AC82" s="102">
        <v>0</v>
      </c>
      <c r="AD82" s="102" t="s">
        <v>538</v>
      </c>
      <c r="AE82" s="102">
        <v>18</v>
      </c>
      <c r="AG82" s="104">
        <f t="shared" si="34"/>
        <v>137097</v>
      </c>
      <c r="AH82" s="103">
        <v>137097.46095157898</v>
      </c>
      <c r="AI82" s="172">
        <v>4</v>
      </c>
      <c r="AK82" s="104">
        <f ca="1">IFERROR(OFFSET(ITEM_RES!$A$5,MATCH(AL82,ITEM_RES!$M$5:$M$84,0)-1,0),0)</f>
        <v>220000106</v>
      </c>
      <c r="AL82" s="103" t="s">
        <v>578</v>
      </c>
      <c r="AM82" s="104">
        <f t="shared" si="42"/>
        <v>30000</v>
      </c>
      <c r="AN82" s="103">
        <v>30065.927459968658</v>
      </c>
      <c r="AP82" s="104">
        <f ca="1">IFERROR(OFFSET(ITEM_RES!$A$5,MATCH(AQ82,ITEM_RES!$M$5:$M$84,0)-1,0),0)</f>
        <v>220000206</v>
      </c>
      <c r="AQ82" s="103" t="s">
        <v>596</v>
      </c>
      <c r="AR82" s="104">
        <f t="shared" si="43"/>
        <v>18000</v>
      </c>
      <c r="AS82" s="103">
        <v>18039.556475981193</v>
      </c>
      <c r="AU82" s="104">
        <f ca="1">IFERROR(OFFSET(ITEM_RES!$A$5,MATCH(AV82,ITEM_RES!$M$5:$M$84,0)-1,0),0)</f>
        <v>220000306</v>
      </c>
      <c r="AV82" s="103" t="s">
        <v>614</v>
      </c>
      <c r="AW82" s="104">
        <f t="shared" si="44"/>
        <v>12000</v>
      </c>
      <c r="AX82" s="103">
        <v>12026.370983987463</v>
      </c>
      <c r="AZ82" s="104">
        <f ca="1">IFERROR(OFFSET(ITEM_RES!$A$5,MATCH(BA82,ITEM_RES!$M$5:$M$84,0)-1,0),0)</f>
        <v>220000406</v>
      </c>
      <c r="BA82" s="103" t="s">
        <v>632</v>
      </c>
      <c r="BB82" s="104">
        <f t="shared" si="45"/>
        <v>6000</v>
      </c>
      <c r="BC82" s="103">
        <v>6013.1854919937314</v>
      </c>
      <c r="BE82" s="104">
        <f ca="1">IFERROR(OFFSET(ITEM_RES!$A$5,MATCH(BF82,ITEM_RES!$M$5:$M$84,0)-1,0),0)</f>
        <v>0</v>
      </c>
      <c r="BG82" s="104">
        <f t="shared" si="46"/>
        <v>0</v>
      </c>
    </row>
    <row r="83" spans="1:60" x14ac:dyDescent="0.3">
      <c r="A83" s="107">
        <f t="shared" si="40"/>
        <v>111030019</v>
      </c>
      <c r="B83" s="106">
        <v>11</v>
      </c>
      <c r="C83" s="105">
        <f t="shared" si="41"/>
        <v>1</v>
      </c>
      <c r="D83" s="106">
        <v>3</v>
      </c>
      <c r="E83" s="106">
        <v>0</v>
      </c>
      <c r="F83" s="105">
        <f t="shared" si="29"/>
        <v>19</v>
      </c>
      <c r="H83" s="102">
        <v>1</v>
      </c>
      <c r="I83" s="102">
        <v>19</v>
      </c>
      <c r="K83" s="102" t="s">
        <v>1041</v>
      </c>
      <c r="L83" s="102" t="s">
        <v>771</v>
      </c>
      <c r="M83" s="103" t="s">
        <v>738</v>
      </c>
      <c r="N83" s="102">
        <v>0</v>
      </c>
      <c r="O83" s="102">
        <v>12</v>
      </c>
      <c r="P83" s="102" t="s">
        <v>763</v>
      </c>
      <c r="Q83" s="103" t="s">
        <v>1160</v>
      </c>
      <c r="R83" s="103">
        <v>111030019</v>
      </c>
      <c r="S83" s="104" t="str">
        <f t="shared" si="33"/>
        <v>UITexture/Bldg/111030019.png</v>
      </c>
      <c r="T83" s="102" t="s">
        <v>1043</v>
      </c>
      <c r="U83" s="102">
        <v>3</v>
      </c>
      <c r="V83" s="102">
        <v>2</v>
      </c>
      <c r="W83" s="102">
        <v>3</v>
      </c>
      <c r="Y83" s="104">
        <f t="shared" si="30"/>
        <v>103</v>
      </c>
      <c r="Z83" s="102">
        <v>190</v>
      </c>
      <c r="AA83" s="102">
        <v>1</v>
      </c>
      <c r="AB83" s="102">
        <v>1</v>
      </c>
      <c r="AC83" s="102">
        <v>0</v>
      </c>
      <c r="AD83" s="102" t="s">
        <v>538</v>
      </c>
      <c r="AE83" s="102">
        <v>19</v>
      </c>
      <c r="AG83" s="104">
        <f t="shared" si="34"/>
        <v>164517</v>
      </c>
      <c r="AH83" s="103">
        <v>164516.95314189477</v>
      </c>
      <c r="AI83" s="172">
        <v>4</v>
      </c>
      <c r="AK83" s="104">
        <f ca="1">IFERROR(OFFSET(ITEM_RES!$A$5,MATCH(AL83,ITEM_RES!$M$5:$M$84,0)-1,0),0)</f>
        <v>220000107</v>
      </c>
      <c r="AL83" s="103" t="s">
        <v>579</v>
      </c>
      <c r="AM83" s="104">
        <f t="shared" si="42"/>
        <v>15000</v>
      </c>
      <c r="AN83" s="103">
        <v>15032.963729984327</v>
      </c>
      <c r="AP83" s="104">
        <f ca="1">IFERROR(OFFSET(ITEM_RES!$A$5,MATCH(AQ83,ITEM_RES!$M$5:$M$84,0)-1,0),0)</f>
        <v>220000207</v>
      </c>
      <c r="AQ83" s="103" t="s">
        <v>597</v>
      </c>
      <c r="AR83" s="104">
        <f t="shared" si="43"/>
        <v>9000</v>
      </c>
      <c r="AS83" s="103">
        <v>9019.7782379905948</v>
      </c>
      <c r="AU83" s="104">
        <f ca="1">IFERROR(OFFSET(ITEM_RES!$A$5,MATCH(AV83,ITEM_RES!$M$5:$M$84,0)-1,0),0)</f>
        <v>220000307</v>
      </c>
      <c r="AV83" s="103" t="s">
        <v>615</v>
      </c>
      <c r="AW83" s="104">
        <f t="shared" si="44"/>
        <v>6000</v>
      </c>
      <c r="AX83" s="103">
        <v>6013.1854919937305</v>
      </c>
      <c r="AZ83" s="104">
        <f ca="1">IFERROR(OFFSET(ITEM_RES!$A$5,MATCH(BA83,ITEM_RES!$M$5:$M$84,0)-1,0),0)</f>
        <v>220000407</v>
      </c>
      <c r="BA83" s="103" t="s">
        <v>633</v>
      </c>
      <c r="BB83" s="104">
        <f t="shared" si="45"/>
        <v>3000</v>
      </c>
      <c r="BC83" s="103">
        <v>3006.5927459968652</v>
      </c>
      <c r="BE83" s="104">
        <f ca="1">IFERROR(OFFSET(ITEM_RES!$A$5,MATCH(BF83,ITEM_RES!$M$5:$M$84,0)-1,0),0)</f>
        <v>0</v>
      </c>
      <c r="BG83" s="104">
        <f t="shared" si="46"/>
        <v>0</v>
      </c>
    </row>
    <row r="84" spans="1:60" x14ac:dyDescent="0.3">
      <c r="A84" s="107">
        <f t="shared" si="40"/>
        <v>111030020</v>
      </c>
      <c r="B84" s="106">
        <v>11</v>
      </c>
      <c r="C84" s="105">
        <f t="shared" si="41"/>
        <v>1</v>
      </c>
      <c r="D84" s="106">
        <v>3</v>
      </c>
      <c r="E84" s="106">
        <v>0</v>
      </c>
      <c r="F84" s="105">
        <f t="shared" si="29"/>
        <v>20</v>
      </c>
      <c r="H84" s="102">
        <v>1</v>
      </c>
      <c r="I84" s="102">
        <v>20</v>
      </c>
      <c r="K84" s="102" t="s">
        <v>1041</v>
      </c>
      <c r="L84" s="102" t="s">
        <v>771</v>
      </c>
      <c r="M84" s="103" t="s">
        <v>738</v>
      </c>
      <c r="N84" s="102">
        <v>0</v>
      </c>
      <c r="O84" s="102">
        <v>12</v>
      </c>
      <c r="P84" s="102" t="s">
        <v>763</v>
      </c>
      <c r="Q84" s="103" t="s">
        <v>1160</v>
      </c>
      <c r="R84" s="103">
        <v>111030020</v>
      </c>
      <c r="S84" s="104" t="str">
        <f t="shared" si="33"/>
        <v>UITexture/Bldg/111030020.png</v>
      </c>
      <c r="T84" s="102" t="s">
        <v>1043</v>
      </c>
      <c r="U84" s="102">
        <v>3</v>
      </c>
      <c r="V84" s="102">
        <v>2</v>
      </c>
      <c r="W84" s="102">
        <v>3</v>
      </c>
      <c r="Y84" s="104">
        <f t="shared" si="30"/>
        <v>103</v>
      </c>
      <c r="Z84" s="102">
        <v>200</v>
      </c>
      <c r="AA84" s="102">
        <v>1</v>
      </c>
      <c r="AB84" s="102">
        <v>1</v>
      </c>
      <c r="AC84" s="102">
        <v>0</v>
      </c>
      <c r="AD84" s="102" t="s">
        <v>538</v>
      </c>
      <c r="AE84" s="102">
        <v>20</v>
      </c>
      <c r="AG84" s="104">
        <f t="shared" si="34"/>
        <v>180969</v>
      </c>
      <c r="AH84" s="103">
        <v>180968.64845608425</v>
      </c>
      <c r="AI84" s="172">
        <v>4</v>
      </c>
      <c r="AK84" s="104">
        <f ca="1">IFERROR(OFFSET(ITEM_RES!$A$5,MATCH(AL84,ITEM_RES!$M$5:$M$84,0)-1,0),0)</f>
        <v>220000107</v>
      </c>
      <c r="AL84" s="103" t="s">
        <v>579</v>
      </c>
      <c r="AM84" s="104">
        <f t="shared" si="42"/>
        <v>21000</v>
      </c>
      <c r="AN84" s="103">
        <v>20670.325128728451</v>
      </c>
      <c r="AP84" s="104">
        <f ca="1">IFERROR(OFFSET(ITEM_RES!$A$5,MATCH(AQ84,ITEM_RES!$M$5:$M$84,0)-1,0),0)</f>
        <v>220000207</v>
      </c>
      <c r="AQ84" s="103" t="s">
        <v>597</v>
      </c>
      <c r="AR84" s="104">
        <f t="shared" si="43"/>
        <v>12000</v>
      </c>
      <c r="AS84" s="103">
        <v>12402.195077237069</v>
      </c>
      <c r="AU84" s="104">
        <f ca="1">IFERROR(OFFSET(ITEM_RES!$A$5,MATCH(AV84,ITEM_RES!$M$5:$M$84,0)-1,0),0)</f>
        <v>220000307</v>
      </c>
      <c r="AV84" s="103" t="s">
        <v>615</v>
      </c>
      <c r="AW84" s="104">
        <f t="shared" si="44"/>
        <v>8300</v>
      </c>
      <c r="AX84" s="103">
        <v>8268.1300514913801</v>
      </c>
      <c r="AZ84" s="104">
        <f ca="1">IFERROR(OFFSET(ITEM_RES!$A$5,MATCH(BA84,ITEM_RES!$M$5:$M$84,0)-1,0),0)</f>
        <v>220000407</v>
      </c>
      <c r="BA84" s="103" t="s">
        <v>633</v>
      </c>
      <c r="BB84" s="104">
        <f t="shared" si="45"/>
        <v>4100</v>
      </c>
      <c r="BC84" s="103">
        <v>4134.06502574569</v>
      </c>
      <c r="BE84" s="104">
        <f ca="1">IFERROR(OFFSET(ITEM_RES!$A$5,MATCH(BF84,ITEM_RES!$M$5:$M$84,0)-1,0),0)</f>
        <v>0</v>
      </c>
      <c r="BG84" s="104">
        <f t="shared" si="46"/>
        <v>0</v>
      </c>
    </row>
    <row r="85" spans="1:60" x14ac:dyDescent="0.3">
      <c r="A85" s="107">
        <f t="shared" si="40"/>
        <v>111030021</v>
      </c>
      <c r="B85" s="106">
        <v>11</v>
      </c>
      <c r="C85" s="105">
        <f t="shared" si="41"/>
        <v>1</v>
      </c>
      <c r="D85" s="106">
        <v>3</v>
      </c>
      <c r="E85" s="106">
        <v>0</v>
      </c>
      <c r="F85" s="105">
        <f t="shared" si="29"/>
        <v>21</v>
      </c>
      <c r="H85" s="102">
        <v>1</v>
      </c>
      <c r="I85" s="102">
        <v>21</v>
      </c>
      <c r="K85" s="102" t="s">
        <v>1041</v>
      </c>
      <c r="L85" s="102" t="s">
        <v>771</v>
      </c>
      <c r="M85" s="103" t="s">
        <v>738</v>
      </c>
      <c r="N85" s="102">
        <v>0</v>
      </c>
      <c r="O85" s="102">
        <v>12</v>
      </c>
      <c r="P85" s="102" t="s">
        <v>763</v>
      </c>
      <c r="Q85" s="103" t="s">
        <v>1160</v>
      </c>
      <c r="R85" s="103">
        <v>111030021</v>
      </c>
      <c r="S85" s="104" t="str">
        <f t="shared" si="33"/>
        <v>UITexture/Bldg/111030021.png</v>
      </c>
      <c r="T85" s="102" t="s">
        <v>1043</v>
      </c>
      <c r="U85" s="102">
        <v>3</v>
      </c>
      <c r="V85" s="102">
        <v>2</v>
      </c>
      <c r="W85" s="102">
        <v>3</v>
      </c>
      <c r="Y85" s="104">
        <f t="shared" si="30"/>
        <v>103</v>
      </c>
      <c r="Z85" s="102">
        <v>210</v>
      </c>
      <c r="AA85" s="102">
        <v>1</v>
      </c>
      <c r="AB85" s="102">
        <v>1</v>
      </c>
      <c r="AC85" s="102">
        <v>0</v>
      </c>
      <c r="AD85" s="102" t="s">
        <v>538</v>
      </c>
      <c r="AE85" s="102">
        <v>21</v>
      </c>
      <c r="AG85" s="104">
        <f t="shared" si="34"/>
        <v>195446</v>
      </c>
      <c r="AH85" s="103">
        <v>195446.14033257103</v>
      </c>
      <c r="AI85" s="172">
        <v>4</v>
      </c>
      <c r="AK85" s="104">
        <f ca="1">IFERROR(OFFSET(ITEM_RES!$A$5,MATCH(AL85,ITEM_RES!$M$5:$M$84,0)-1,0),0)</f>
        <v>220000107</v>
      </c>
      <c r="AL85" s="103" t="s">
        <v>579</v>
      </c>
      <c r="AM85" s="104">
        <f t="shared" si="42"/>
        <v>28000</v>
      </c>
      <c r="AN85" s="103">
        <v>27904.938923783411</v>
      </c>
      <c r="AP85" s="104">
        <f ca="1">IFERROR(OFFSET(ITEM_RES!$A$5,MATCH(AQ85,ITEM_RES!$M$5:$M$84,0)-1,0),0)</f>
        <v>220000207</v>
      </c>
      <c r="AQ85" s="103" t="s">
        <v>597</v>
      </c>
      <c r="AR85" s="104">
        <f t="shared" si="43"/>
        <v>17000</v>
      </c>
      <c r="AS85" s="103">
        <v>16742.963354270047</v>
      </c>
      <c r="AU85" s="104">
        <f ca="1">IFERROR(OFFSET(ITEM_RES!$A$5,MATCH(AV85,ITEM_RES!$M$5:$M$84,0)-1,0),0)</f>
        <v>220000307</v>
      </c>
      <c r="AV85" s="103" t="s">
        <v>615</v>
      </c>
      <c r="AW85" s="104">
        <f t="shared" si="44"/>
        <v>11000</v>
      </c>
      <c r="AX85" s="103">
        <v>11161.975569513364</v>
      </c>
      <c r="AZ85" s="104">
        <f ca="1">IFERROR(OFFSET(ITEM_RES!$A$5,MATCH(BA85,ITEM_RES!$M$5:$M$84,0)-1,0),0)</f>
        <v>220000407</v>
      </c>
      <c r="BA85" s="103" t="s">
        <v>633</v>
      </c>
      <c r="BB85" s="104">
        <f t="shared" si="45"/>
        <v>5600</v>
      </c>
      <c r="BC85" s="103">
        <v>5580.9877847566822</v>
      </c>
      <c r="BE85" s="104">
        <f ca="1">IFERROR(OFFSET(ITEM_RES!$A$5,MATCH(BF85,ITEM_RES!$M$5:$M$84,0)-1,0),0)</f>
        <v>0</v>
      </c>
      <c r="BG85" s="104">
        <f t="shared" si="46"/>
        <v>0</v>
      </c>
    </row>
    <row r="86" spans="1:60" x14ac:dyDescent="0.3">
      <c r="A86" s="107">
        <f t="shared" si="40"/>
        <v>111030022</v>
      </c>
      <c r="B86" s="106">
        <v>11</v>
      </c>
      <c r="C86" s="105">
        <f t="shared" si="41"/>
        <v>1</v>
      </c>
      <c r="D86" s="106">
        <v>3</v>
      </c>
      <c r="E86" s="106">
        <v>0</v>
      </c>
      <c r="F86" s="105">
        <f t="shared" si="29"/>
        <v>22</v>
      </c>
      <c r="H86" s="102">
        <v>1</v>
      </c>
      <c r="I86" s="102">
        <v>22</v>
      </c>
      <c r="K86" s="102" t="s">
        <v>1041</v>
      </c>
      <c r="L86" s="102" t="s">
        <v>771</v>
      </c>
      <c r="M86" s="103" t="s">
        <v>738</v>
      </c>
      <c r="N86" s="102">
        <v>0</v>
      </c>
      <c r="O86" s="102">
        <v>12</v>
      </c>
      <c r="P86" s="102" t="s">
        <v>763</v>
      </c>
      <c r="Q86" s="103" t="s">
        <v>1160</v>
      </c>
      <c r="R86" s="103">
        <v>111030022</v>
      </c>
      <c r="S86" s="104" t="str">
        <f t="shared" si="33"/>
        <v>UITexture/Bldg/111030022.png</v>
      </c>
      <c r="T86" s="102" t="s">
        <v>1043</v>
      </c>
      <c r="U86" s="102">
        <v>3</v>
      </c>
      <c r="V86" s="102">
        <v>2</v>
      </c>
      <c r="W86" s="102">
        <v>3</v>
      </c>
      <c r="Y86" s="104">
        <f t="shared" si="30"/>
        <v>103</v>
      </c>
      <c r="Z86" s="102">
        <v>220</v>
      </c>
      <c r="AA86" s="102">
        <v>1</v>
      </c>
      <c r="AB86" s="102">
        <v>1</v>
      </c>
      <c r="AC86" s="102">
        <v>0</v>
      </c>
      <c r="AD86" s="102" t="s">
        <v>538</v>
      </c>
      <c r="AE86" s="102">
        <v>22</v>
      </c>
      <c r="AG86" s="104">
        <f t="shared" si="34"/>
        <v>209127</v>
      </c>
      <c r="AH86" s="103">
        <v>209127.37015585101</v>
      </c>
      <c r="AI86" s="172">
        <v>4</v>
      </c>
      <c r="AK86" s="104">
        <f ca="1">IFERROR(OFFSET(ITEM_RES!$A$5,MATCH(AL86,ITEM_RES!$M$5:$M$84,0)-1,0),0)</f>
        <v>220000108</v>
      </c>
      <c r="AL86" s="103" t="s">
        <v>580</v>
      </c>
      <c r="AM86" s="104">
        <f t="shared" si="42"/>
        <v>12000</v>
      </c>
      <c r="AN86" s="103">
        <v>12440.951936853437</v>
      </c>
      <c r="AP86" s="104">
        <f ca="1">IFERROR(OFFSET(ITEM_RES!$A$5,MATCH(AQ86,ITEM_RES!$M$5:$M$84,0)-1,0),0)</f>
        <v>220000208</v>
      </c>
      <c r="AQ86" s="103" t="s">
        <v>598</v>
      </c>
      <c r="AR86" s="104">
        <f t="shared" si="43"/>
        <v>7500</v>
      </c>
      <c r="AS86" s="103">
        <v>7464.5711621120627</v>
      </c>
      <c r="AU86" s="104">
        <f ca="1">IFERROR(OFFSET(ITEM_RES!$A$5,MATCH(AV86,ITEM_RES!$M$5:$M$84,0)-1,0),0)</f>
        <v>220000308</v>
      </c>
      <c r="AV86" s="103" t="s">
        <v>616</v>
      </c>
      <c r="AW86" s="104">
        <f t="shared" si="44"/>
        <v>5000</v>
      </c>
      <c r="AX86" s="103">
        <v>4976.3807747413748</v>
      </c>
      <c r="AZ86" s="104">
        <f ca="1">IFERROR(OFFSET(ITEM_RES!$A$5,MATCH(BA86,ITEM_RES!$M$5:$M$84,0)-1,0),0)</f>
        <v>220000408</v>
      </c>
      <c r="BA86" s="103" t="s">
        <v>634</v>
      </c>
      <c r="BB86" s="104">
        <f t="shared" si="45"/>
        <v>2500</v>
      </c>
      <c r="BC86" s="103">
        <v>2488.1903873706874</v>
      </c>
      <c r="BE86" s="104">
        <f ca="1">IFERROR(OFFSET(ITEM_RES!$A$5,MATCH(BF86,ITEM_RES!$M$5:$M$84,0)-1,0),0)</f>
        <v>0</v>
      </c>
      <c r="BG86" s="104">
        <f t="shared" si="46"/>
        <v>0</v>
      </c>
    </row>
    <row r="87" spans="1:60" x14ac:dyDescent="0.3">
      <c r="A87" s="107">
        <f t="shared" si="40"/>
        <v>111030023</v>
      </c>
      <c r="B87" s="106">
        <v>11</v>
      </c>
      <c r="C87" s="105">
        <f t="shared" si="41"/>
        <v>1</v>
      </c>
      <c r="D87" s="106">
        <v>3</v>
      </c>
      <c r="E87" s="106">
        <v>0</v>
      </c>
      <c r="F87" s="105">
        <f t="shared" si="29"/>
        <v>23</v>
      </c>
      <c r="H87" s="102">
        <v>1</v>
      </c>
      <c r="I87" s="102">
        <v>23</v>
      </c>
      <c r="K87" s="102" t="s">
        <v>1041</v>
      </c>
      <c r="L87" s="102" t="s">
        <v>771</v>
      </c>
      <c r="M87" s="103" t="s">
        <v>738</v>
      </c>
      <c r="N87" s="102">
        <v>0</v>
      </c>
      <c r="O87" s="102">
        <v>12</v>
      </c>
      <c r="P87" s="102" t="s">
        <v>763</v>
      </c>
      <c r="Q87" s="103" t="s">
        <v>1160</v>
      </c>
      <c r="R87" s="103">
        <v>111030023</v>
      </c>
      <c r="S87" s="104" t="str">
        <f t="shared" si="33"/>
        <v>UITexture/Bldg/111030023.png</v>
      </c>
      <c r="T87" s="102" t="s">
        <v>1043</v>
      </c>
      <c r="U87" s="102">
        <v>3</v>
      </c>
      <c r="V87" s="102">
        <v>2</v>
      </c>
      <c r="W87" s="102">
        <v>3</v>
      </c>
      <c r="Y87" s="104">
        <f t="shared" si="30"/>
        <v>103</v>
      </c>
      <c r="Z87" s="102">
        <v>230</v>
      </c>
      <c r="AA87" s="102">
        <v>1</v>
      </c>
      <c r="AB87" s="102">
        <v>1</v>
      </c>
      <c r="AC87" s="102">
        <v>0</v>
      </c>
      <c r="AD87" s="102" t="s">
        <v>538</v>
      </c>
      <c r="AE87" s="102">
        <v>23</v>
      </c>
      <c r="AG87" s="104">
        <f t="shared" si="34"/>
        <v>221675</v>
      </c>
      <c r="AH87" s="103">
        <v>221675.01236520207</v>
      </c>
      <c r="AI87" s="172">
        <v>4</v>
      </c>
      <c r="AK87" s="104">
        <f ca="1">IFERROR(OFFSET(ITEM_RES!$A$5,MATCH(AL87,ITEM_RES!$M$5:$M$84,0)-1,0),0)</f>
        <v>220000108</v>
      </c>
      <c r="AL87" s="103" t="s">
        <v>580</v>
      </c>
      <c r="AM87" s="104">
        <f t="shared" si="42"/>
        <v>16000</v>
      </c>
      <c r="AN87" s="103">
        <v>16484.261316330809</v>
      </c>
      <c r="AP87" s="104">
        <f ca="1">IFERROR(OFFSET(ITEM_RES!$A$5,MATCH(AQ87,ITEM_RES!$M$5:$M$84,0)-1,0),0)</f>
        <v>220000208</v>
      </c>
      <c r="AQ87" s="103" t="s">
        <v>598</v>
      </c>
      <c r="AR87" s="104">
        <f t="shared" si="43"/>
        <v>9900</v>
      </c>
      <c r="AS87" s="103">
        <v>9890.5567897984838</v>
      </c>
      <c r="AU87" s="104">
        <f ca="1">IFERROR(OFFSET(ITEM_RES!$A$5,MATCH(AV87,ITEM_RES!$M$5:$M$84,0)-1,0),0)</f>
        <v>220000308</v>
      </c>
      <c r="AV87" s="103" t="s">
        <v>616</v>
      </c>
      <c r="AW87" s="104">
        <f t="shared" si="44"/>
        <v>6600</v>
      </c>
      <c r="AX87" s="103">
        <v>6593.7045265323231</v>
      </c>
      <c r="AZ87" s="104">
        <f ca="1">IFERROR(OFFSET(ITEM_RES!$A$5,MATCH(BA87,ITEM_RES!$M$5:$M$84,0)-1,0),0)</f>
        <v>220000408</v>
      </c>
      <c r="BA87" s="103" t="s">
        <v>634</v>
      </c>
      <c r="BB87" s="104">
        <f t="shared" si="45"/>
        <v>3300</v>
      </c>
      <c r="BC87" s="103">
        <v>3296.8522632661616</v>
      </c>
      <c r="BE87" s="104">
        <f ca="1">IFERROR(OFFSET(ITEM_RES!$A$5,MATCH(BF87,ITEM_RES!$M$5:$M$84,0)-1,0),0)</f>
        <v>0</v>
      </c>
      <c r="BG87" s="104">
        <f t="shared" si="46"/>
        <v>0</v>
      </c>
    </row>
    <row r="88" spans="1:60" x14ac:dyDescent="0.3">
      <c r="A88" s="107">
        <f t="shared" si="40"/>
        <v>111030024</v>
      </c>
      <c r="B88" s="106">
        <v>11</v>
      </c>
      <c r="C88" s="105">
        <f t="shared" si="41"/>
        <v>1</v>
      </c>
      <c r="D88" s="106">
        <v>3</v>
      </c>
      <c r="E88" s="106">
        <v>0</v>
      </c>
      <c r="F88" s="105">
        <f t="shared" si="29"/>
        <v>24</v>
      </c>
      <c r="H88" s="102">
        <v>1</v>
      </c>
      <c r="I88" s="102">
        <v>24</v>
      </c>
      <c r="K88" s="102" t="s">
        <v>1041</v>
      </c>
      <c r="L88" s="102" t="s">
        <v>771</v>
      </c>
      <c r="M88" s="103" t="s">
        <v>738</v>
      </c>
      <c r="N88" s="102">
        <v>0</v>
      </c>
      <c r="O88" s="102">
        <v>12</v>
      </c>
      <c r="P88" s="102" t="s">
        <v>763</v>
      </c>
      <c r="Q88" s="103" t="s">
        <v>1160</v>
      </c>
      <c r="R88" s="103">
        <v>111030024</v>
      </c>
      <c r="S88" s="104" t="str">
        <f t="shared" si="33"/>
        <v>UITexture/Bldg/111030024.png</v>
      </c>
      <c r="T88" s="102" t="s">
        <v>1043</v>
      </c>
      <c r="U88" s="102">
        <v>3</v>
      </c>
      <c r="V88" s="102">
        <v>2</v>
      </c>
      <c r="W88" s="102">
        <v>3</v>
      </c>
      <c r="Y88" s="104">
        <f t="shared" si="30"/>
        <v>103</v>
      </c>
      <c r="Z88" s="102">
        <v>240</v>
      </c>
      <c r="AA88" s="102">
        <v>1</v>
      </c>
      <c r="AB88" s="102">
        <v>1</v>
      </c>
      <c r="AC88" s="102">
        <v>0</v>
      </c>
      <c r="AD88" s="102" t="s">
        <v>538</v>
      </c>
      <c r="AE88" s="102">
        <v>24</v>
      </c>
      <c r="AG88" s="104">
        <f t="shared" si="34"/>
        <v>232759</v>
      </c>
      <c r="AH88" s="103">
        <v>232758.76298346219</v>
      </c>
      <c r="AI88" s="172">
        <v>4</v>
      </c>
      <c r="AK88" s="104">
        <f ca="1">IFERROR(OFFSET(ITEM_RES!$A$5,MATCH(AL88,ITEM_RES!$M$5:$M$84,0)-1,0),0)</f>
        <v>220000108</v>
      </c>
      <c r="AL88" s="103" t="s">
        <v>580</v>
      </c>
      <c r="AM88" s="104">
        <f t="shared" si="42"/>
        <v>22000</v>
      </c>
      <c r="AN88" s="103">
        <v>21635.59297768418</v>
      </c>
      <c r="AP88" s="104">
        <f ca="1">IFERROR(OFFSET(ITEM_RES!$A$5,MATCH(AQ88,ITEM_RES!$M$5:$M$84,0)-1,0),0)</f>
        <v>220000208</v>
      </c>
      <c r="AQ88" s="103" t="s">
        <v>598</v>
      </c>
      <c r="AR88" s="104">
        <f t="shared" si="43"/>
        <v>13000</v>
      </c>
      <c r="AS88" s="103">
        <v>12981.355786610509</v>
      </c>
      <c r="AU88" s="104">
        <f ca="1">IFERROR(OFFSET(ITEM_RES!$A$5,MATCH(AV88,ITEM_RES!$M$5:$M$84,0)-1,0),0)</f>
        <v>220000308</v>
      </c>
      <c r="AV88" s="103" t="s">
        <v>616</v>
      </c>
      <c r="AW88" s="104">
        <f t="shared" si="44"/>
        <v>8700</v>
      </c>
      <c r="AX88" s="103">
        <v>8654.2371910736729</v>
      </c>
      <c r="AZ88" s="104">
        <f ca="1">IFERROR(OFFSET(ITEM_RES!$A$5,MATCH(BA88,ITEM_RES!$M$5:$M$84,0)-1,0),0)</f>
        <v>220000408</v>
      </c>
      <c r="BA88" s="103" t="s">
        <v>634</v>
      </c>
      <c r="BB88" s="104">
        <f t="shared" si="45"/>
        <v>4300</v>
      </c>
      <c r="BC88" s="103">
        <v>4327.1185955368364</v>
      </c>
      <c r="BE88" s="104">
        <f ca="1">IFERROR(OFFSET(ITEM_RES!$A$5,MATCH(BF88,ITEM_RES!$M$5:$M$84,0)-1,0),0)</f>
        <v>0</v>
      </c>
      <c r="BG88" s="104">
        <f t="shared" si="46"/>
        <v>0</v>
      </c>
    </row>
    <row r="89" spans="1:60" x14ac:dyDescent="0.3">
      <c r="A89" s="107">
        <f t="shared" si="40"/>
        <v>111030025</v>
      </c>
      <c r="B89" s="106">
        <v>11</v>
      </c>
      <c r="C89" s="105">
        <f t="shared" si="41"/>
        <v>1</v>
      </c>
      <c r="D89" s="106">
        <v>3</v>
      </c>
      <c r="E89" s="106">
        <v>0</v>
      </c>
      <c r="F89" s="105">
        <f t="shared" si="29"/>
        <v>25</v>
      </c>
      <c r="H89" s="102">
        <v>1</v>
      </c>
      <c r="I89" s="102">
        <v>25</v>
      </c>
      <c r="K89" s="102" t="s">
        <v>1041</v>
      </c>
      <c r="L89" s="102" t="s">
        <v>771</v>
      </c>
      <c r="M89" s="103" t="s">
        <v>738</v>
      </c>
      <c r="N89" s="102">
        <v>0</v>
      </c>
      <c r="O89" s="102">
        <v>12</v>
      </c>
      <c r="P89" s="102" t="s">
        <v>763</v>
      </c>
      <c r="Q89" s="103" t="s">
        <v>1160</v>
      </c>
      <c r="R89" s="103">
        <v>111030025</v>
      </c>
      <c r="S89" s="104" t="str">
        <f t="shared" si="33"/>
        <v>UITexture/Bldg/111030025.png</v>
      </c>
      <c r="T89" s="102" t="s">
        <v>1043</v>
      </c>
      <c r="U89" s="102">
        <v>3</v>
      </c>
      <c r="V89" s="102">
        <v>2</v>
      </c>
      <c r="W89" s="102">
        <v>3</v>
      </c>
      <c r="Y89" s="104">
        <f t="shared" si="30"/>
        <v>103</v>
      </c>
      <c r="Z89" s="102">
        <v>250</v>
      </c>
      <c r="AA89" s="102">
        <v>1</v>
      </c>
      <c r="AB89" s="102">
        <v>1</v>
      </c>
      <c r="AC89" s="102">
        <v>0</v>
      </c>
      <c r="AD89" s="102" t="s">
        <v>538</v>
      </c>
      <c r="AE89" s="102">
        <v>25</v>
      </c>
      <c r="AG89" s="104">
        <f t="shared" si="34"/>
        <v>244397</v>
      </c>
      <c r="AH89" s="103">
        <v>244396.70113263529</v>
      </c>
      <c r="AI89" s="172">
        <v>4</v>
      </c>
      <c r="AK89" s="104">
        <f ca="1">IFERROR(OFFSET(ITEM_RES!$A$5,MATCH(AL89,ITEM_RES!$M$5:$M$84,0)-1,0),0)</f>
        <v>220000109</v>
      </c>
      <c r="AL89" s="103" t="s">
        <v>581</v>
      </c>
      <c r="AM89" s="104">
        <f t="shared" si="42"/>
        <v>9500</v>
      </c>
      <c r="AN89" s="103">
        <v>9465.5719277368316</v>
      </c>
      <c r="AP89" s="104">
        <f ca="1">IFERROR(OFFSET(ITEM_RES!$A$5,MATCH(AQ89,ITEM_RES!$M$5:$M$84,0)-1,0),0)</f>
        <v>220000209</v>
      </c>
      <c r="AQ89" s="103" t="s">
        <v>599</v>
      </c>
      <c r="AR89" s="104">
        <f t="shared" si="43"/>
        <v>5700</v>
      </c>
      <c r="AS89" s="103">
        <v>5679.3431566420986</v>
      </c>
      <c r="AU89" s="104">
        <f ca="1">IFERROR(OFFSET(ITEM_RES!$A$5,MATCH(AV89,ITEM_RES!$M$5:$M$84,0)-1,0),0)</f>
        <v>220000309</v>
      </c>
      <c r="AV89" s="103" t="s">
        <v>617</v>
      </c>
      <c r="AW89" s="104">
        <f t="shared" si="44"/>
        <v>3800</v>
      </c>
      <c r="AX89" s="103">
        <v>3786.2287710947326</v>
      </c>
      <c r="AZ89" s="104">
        <f ca="1">IFERROR(OFFSET(ITEM_RES!$A$5,MATCH(BA89,ITEM_RES!$M$5:$M$84,0)-1,0),0)</f>
        <v>220000409</v>
      </c>
      <c r="BA89" s="103" t="s">
        <v>635</v>
      </c>
      <c r="BB89" s="104">
        <f t="shared" si="45"/>
        <v>1900</v>
      </c>
      <c r="BC89" s="103">
        <v>1893.1143855473663</v>
      </c>
      <c r="BE89" s="104">
        <f ca="1">IFERROR(OFFSET(ITEM_RES!$A$5,MATCH(BF89,ITEM_RES!$M$5:$M$84,0)-1,0),0)</f>
        <v>0</v>
      </c>
      <c r="BG89" s="104">
        <f t="shared" si="46"/>
        <v>0</v>
      </c>
    </row>
    <row r="90" spans="1:60" x14ac:dyDescent="0.3">
      <c r="A90" s="107">
        <f t="shared" ref="A90:A94" si="47">B90*10000000+C90*1000000+D90*10000+E90*100+F90</f>
        <v>111030026</v>
      </c>
      <c r="B90" s="106">
        <v>11</v>
      </c>
      <c r="C90" s="105">
        <f t="shared" ref="C90:C94" si="48">H90</f>
        <v>1</v>
      </c>
      <c r="D90" s="106">
        <v>3</v>
      </c>
      <c r="E90" s="106">
        <v>0</v>
      </c>
      <c r="F90" s="105">
        <f t="shared" si="29"/>
        <v>26</v>
      </c>
      <c r="H90" s="102">
        <v>1</v>
      </c>
      <c r="I90" s="102">
        <v>26</v>
      </c>
      <c r="K90" s="102" t="s">
        <v>1041</v>
      </c>
      <c r="L90" s="102" t="s">
        <v>771</v>
      </c>
      <c r="M90" s="103" t="s">
        <v>738</v>
      </c>
      <c r="N90" s="102">
        <v>0</v>
      </c>
      <c r="O90" s="102">
        <v>12</v>
      </c>
      <c r="P90" s="102" t="s">
        <v>763</v>
      </c>
      <c r="Q90" s="103" t="s">
        <v>1160</v>
      </c>
      <c r="R90" s="103">
        <v>111030026</v>
      </c>
      <c r="S90" s="104" t="str">
        <f t="shared" si="33"/>
        <v>UITexture/Bldg/111030026.png</v>
      </c>
      <c r="T90" s="102" t="s">
        <v>1043</v>
      </c>
      <c r="U90" s="102">
        <v>3</v>
      </c>
      <c r="V90" s="102">
        <v>2</v>
      </c>
      <c r="W90" s="102">
        <v>3</v>
      </c>
      <c r="Y90" s="104">
        <f t="shared" si="30"/>
        <v>103</v>
      </c>
      <c r="Z90" s="102">
        <v>260</v>
      </c>
      <c r="AA90" s="102">
        <v>1</v>
      </c>
      <c r="AB90" s="102">
        <v>1</v>
      </c>
      <c r="AC90" s="102">
        <v>0</v>
      </c>
      <c r="AD90" s="102" t="s">
        <v>538</v>
      </c>
      <c r="AE90" s="102">
        <v>26</v>
      </c>
      <c r="AG90" s="104">
        <f t="shared" si="34"/>
        <v>254173</v>
      </c>
      <c r="AH90" s="103">
        <v>254172.56917794072</v>
      </c>
      <c r="AI90" s="172">
        <v>4</v>
      </c>
      <c r="AK90" s="104">
        <f ca="1">IFERROR(OFFSET(ITEM_RES!$A$5,MATCH(AL90,ITEM_RES!$M$5:$M$84,0)-1,0),0)</f>
        <v>220000109</v>
      </c>
      <c r="AL90" s="103" t="s">
        <v>581</v>
      </c>
      <c r="AM90" s="104">
        <f t="shared" ref="AM90:AM94" si="49">IF(AN90&lt;100,ROUND(AN90,1-LEN(ROUND(AN90,0))),ROUND(AN90,2-LEN(ROUND(AN90,0))))</f>
        <v>12000</v>
      </c>
      <c r="AN90" s="103">
        <v>11813.033765815562</v>
      </c>
      <c r="AP90" s="104">
        <f ca="1">IFERROR(OFFSET(ITEM_RES!$A$5,MATCH(AQ90,ITEM_RES!$M$5:$M$84,0)-1,0),0)</f>
        <v>220000209</v>
      </c>
      <c r="AQ90" s="103" t="s">
        <v>599</v>
      </c>
      <c r="AR90" s="104">
        <f t="shared" ref="AR90:AR94" si="50">IF(AS90&lt;100,ROUND(AS90,1-LEN(ROUND(AS90,0))),ROUND(AS90,2-LEN(ROUND(AS90,0))))</f>
        <v>7100</v>
      </c>
      <c r="AS90" s="103">
        <v>7087.8202594893373</v>
      </c>
      <c r="AU90" s="104">
        <f ca="1">IFERROR(OFFSET(ITEM_RES!$A$5,MATCH(AV90,ITEM_RES!$M$5:$M$84,0)-1,0),0)</f>
        <v>220000309</v>
      </c>
      <c r="AV90" s="103" t="s">
        <v>617</v>
      </c>
      <c r="AW90" s="104">
        <f t="shared" ref="AW90:AW94" si="51">IF(AX90&lt;100,ROUND(AX90,1-LEN(ROUND(AX90,0))),ROUND(AX90,2-LEN(ROUND(AX90,0))))</f>
        <v>4700</v>
      </c>
      <c r="AX90" s="103">
        <v>4725.2135063262249</v>
      </c>
      <c r="AZ90" s="104">
        <f ca="1">IFERROR(OFFSET(ITEM_RES!$A$5,MATCH(BA90,ITEM_RES!$M$5:$M$84,0)-1,0),0)</f>
        <v>220000409</v>
      </c>
      <c r="BA90" s="103" t="s">
        <v>635</v>
      </c>
      <c r="BB90" s="104">
        <f t="shared" ref="BB90:BB94" si="52">IF(BC90&lt;100,ROUND(BC90,1-LEN(ROUND(BC90,0))),ROUND(BC90,2-LEN(ROUND(BC90,0))))</f>
        <v>2400</v>
      </c>
      <c r="BC90" s="103">
        <v>2362.6067531631124</v>
      </c>
      <c r="BE90" s="104">
        <f ca="1">IFERROR(OFFSET(ITEM_RES!$A$5,MATCH(BF90,ITEM_RES!$M$5:$M$84,0)-1,0),0)</f>
        <v>0</v>
      </c>
      <c r="BG90" s="104">
        <f t="shared" ref="BG90:BG94" si="53">IF(BH90&lt;100,ROUND(BH90,1-LEN(ROUND(BH90,0))),ROUND(BH90,2-LEN(ROUND(BH90,0))))</f>
        <v>0</v>
      </c>
    </row>
    <row r="91" spans="1:60" x14ac:dyDescent="0.3">
      <c r="A91" s="107">
        <f t="shared" si="47"/>
        <v>111030027</v>
      </c>
      <c r="B91" s="106">
        <v>11</v>
      </c>
      <c r="C91" s="105">
        <f t="shared" si="48"/>
        <v>1</v>
      </c>
      <c r="D91" s="106">
        <v>3</v>
      </c>
      <c r="E91" s="106">
        <v>0</v>
      </c>
      <c r="F91" s="105">
        <f t="shared" si="29"/>
        <v>27</v>
      </c>
      <c r="H91" s="102">
        <v>1</v>
      </c>
      <c r="I91" s="102">
        <v>27</v>
      </c>
      <c r="K91" s="102" t="s">
        <v>1041</v>
      </c>
      <c r="L91" s="102" t="s">
        <v>771</v>
      </c>
      <c r="M91" s="103" t="s">
        <v>738</v>
      </c>
      <c r="N91" s="102">
        <v>0</v>
      </c>
      <c r="O91" s="102">
        <v>12</v>
      </c>
      <c r="P91" s="102" t="s">
        <v>763</v>
      </c>
      <c r="Q91" s="103" t="s">
        <v>1160</v>
      </c>
      <c r="R91" s="103">
        <v>111030027</v>
      </c>
      <c r="S91" s="104" t="str">
        <f t="shared" si="33"/>
        <v>UITexture/Bldg/111030027.png</v>
      </c>
      <c r="T91" s="102" t="s">
        <v>1043</v>
      </c>
      <c r="U91" s="102">
        <v>3</v>
      </c>
      <c r="V91" s="102">
        <v>2</v>
      </c>
      <c r="W91" s="102">
        <v>3</v>
      </c>
      <c r="Y91" s="104">
        <f t="shared" si="30"/>
        <v>103</v>
      </c>
      <c r="Z91" s="102">
        <v>270</v>
      </c>
      <c r="AA91" s="102">
        <v>1</v>
      </c>
      <c r="AB91" s="102">
        <v>1</v>
      </c>
      <c r="AC91" s="102">
        <v>0</v>
      </c>
      <c r="AD91" s="102" t="s">
        <v>538</v>
      </c>
      <c r="AE91" s="102">
        <v>27</v>
      </c>
      <c r="AG91" s="104">
        <f t="shared" si="34"/>
        <v>264339</v>
      </c>
      <c r="AH91" s="103">
        <v>264339.47194505838</v>
      </c>
      <c r="AI91" s="172">
        <v>4</v>
      </c>
      <c r="AK91" s="104">
        <f ca="1">IFERROR(OFFSET(ITEM_RES!$A$5,MATCH(AL91,ITEM_RES!$M$5:$M$84,0)-1,0),0)</f>
        <v>220000109</v>
      </c>
      <c r="AL91" s="103" t="s">
        <v>581</v>
      </c>
      <c r="AM91" s="104">
        <f t="shared" si="49"/>
        <v>15000</v>
      </c>
      <c r="AN91" s="103">
        <v>14742.666139737823</v>
      </c>
      <c r="AP91" s="104">
        <f ca="1">IFERROR(OFFSET(ITEM_RES!$A$5,MATCH(AQ91,ITEM_RES!$M$5:$M$84,0)-1,0),0)</f>
        <v>220000209</v>
      </c>
      <c r="AQ91" s="103" t="s">
        <v>599</v>
      </c>
      <c r="AR91" s="104">
        <f t="shared" si="50"/>
        <v>8800</v>
      </c>
      <c r="AS91" s="103">
        <v>8845.5996838426945</v>
      </c>
      <c r="AU91" s="104">
        <f ca="1">IFERROR(OFFSET(ITEM_RES!$A$5,MATCH(AV91,ITEM_RES!$M$5:$M$84,0)-1,0),0)</f>
        <v>220000309</v>
      </c>
      <c r="AV91" s="103" t="s">
        <v>617</v>
      </c>
      <c r="AW91" s="104">
        <f t="shared" si="51"/>
        <v>5900</v>
      </c>
      <c r="AX91" s="103">
        <v>5897.0664558951294</v>
      </c>
      <c r="AZ91" s="104">
        <f ca="1">IFERROR(OFFSET(ITEM_RES!$A$5,MATCH(BA91,ITEM_RES!$M$5:$M$84,0)-1,0),0)</f>
        <v>220000409</v>
      </c>
      <c r="BA91" s="103" t="s">
        <v>635</v>
      </c>
      <c r="BB91" s="104">
        <f t="shared" si="52"/>
        <v>2900</v>
      </c>
      <c r="BC91" s="103">
        <v>2948.5332279475647</v>
      </c>
      <c r="BE91" s="104">
        <f ca="1">IFERROR(OFFSET(ITEM_RES!$A$5,MATCH(BF91,ITEM_RES!$M$5:$M$84,0)-1,0),0)</f>
        <v>0</v>
      </c>
      <c r="BG91" s="104">
        <f t="shared" si="53"/>
        <v>0</v>
      </c>
    </row>
    <row r="92" spans="1:60" x14ac:dyDescent="0.3">
      <c r="A92" s="107">
        <f t="shared" si="47"/>
        <v>111030028</v>
      </c>
      <c r="B92" s="106">
        <v>11</v>
      </c>
      <c r="C92" s="105">
        <f t="shared" si="48"/>
        <v>1</v>
      </c>
      <c r="D92" s="106">
        <v>3</v>
      </c>
      <c r="E92" s="106">
        <v>0</v>
      </c>
      <c r="F92" s="105">
        <f t="shared" si="29"/>
        <v>28</v>
      </c>
      <c r="H92" s="102">
        <v>1</v>
      </c>
      <c r="I92" s="102">
        <v>28</v>
      </c>
      <c r="K92" s="102" t="s">
        <v>1041</v>
      </c>
      <c r="L92" s="102" t="s">
        <v>771</v>
      </c>
      <c r="M92" s="103" t="s">
        <v>738</v>
      </c>
      <c r="N92" s="102">
        <v>0</v>
      </c>
      <c r="O92" s="102">
        <v>12</v>
      </c>
      <c r="P92" s="102" t="s">
        <v>763</v>
      </c>
      <c r="Q92" s="103" t="s">
        <v>1160</v>
      </c>
      <c r="R92" s="103">
        <v>111030028</v>
      </c>
      <c r="S92" s="104" t="str">
        <f t="shared" si="33"/>
        <v>UITexture/Bldg/111030028.png</v>
      </c>
      <c r="T92" s="102" t="s">
        <v>1043</v>
      </c>
      <c r="U92" s="102">
        <v>3</v>
      </c>
      <c r="V92" s="102">
        <v>2</v>
      </c>
      <c r="W92" s="102">
        <v>3</v>
      </c>
      <c r="Y92" s="104">
        <f t="shared" si="30"/>
        <v>103</v>
      </c>
      <c r="Z92" s="102">
        <v>280</v>
      </c>
      <c r="AA92" s="102">
        <v>1</v>
      </c>
      <c r="AB92" s="102">
        <v>1</v>
      </c>
      <c r="AC92" s="102">
        <v>0</v>
      </c>
      <c r="AD92" s="102" t="s">
        <v>538</v>
      </c>
      <c r="AE92" s="102">
        <v>28</v>
      </c>
      <c r="AG92" s="104">
        <f t="shared" si="34"/>
        <v>272270</v>
      </c>
      <c r="AH92" s="103">
        <v>272269.65610341012</v>
      </c>
      <c r="AI92" s="172">
        <v>4</v>
      </c>
      <c r="AK92" s="104">
        <f ca="1">IFERROR(OFFSET(ITEM_RES!$A$5,MATCH(AL92,ITEM_RES!$M$5:$M$84,0)-1,0),0)</f>
        <v>220000110</v>
      </c>
      <c r="AL92" s="103" t="s">
        <v>582</v>
      </c>
      <c r="AM92" s="104">
        <f t="shared" si="49"/>
        <v>6100</v>
      </c>
      <c r="AN92" s="103">
        <v>6073.9784495719832</v>
      </c>
      <c r="AP92" s="104">
        <f ca="1">IFERROR(OFFSET(ITEM_RES!$A$5,MATCH(AQ92,ITEM_RES!$M$5:$M$84,0)-1,0),0)</f>
        <v>220000210</v>
      </c>
      <c r="AQ92" s="103" t="s">
        <v>600</v>
      </c>
      <c r="AR92" s="104">
        <f t="shared" si="50"/>
        <v>3600</v>
      </c>
      <c r="AS92" s="103">
        <v>3644.3870697431903</v>
      </c>
      <c r="AU92" s="104">
        <f ca="1">IFERROR(OFFSET(ITEM_RES!$A$5,MATCH(AV92,ITEM_RES!$M$5:$M$84,0)-1,0),0)</f>
        <v>220000310</v>
      </c>
      <c r="AV92" s="103" t="s">
        <v>618</v>
      </c>
      <c r="AW92" s="104">
        <f t="shared" si="51"/>
        <v>2400</v>
      </c>
      <c r="AX92" s="103">
        <v>2429.5913798287934</v>
      </c>
      <c r="AZ92" s="104">
        <f ca="1">IFERROR(OFFSET(ITEM_RES!$A$5,MATCH(BA92,ITEM_RES!$M$5:$M$84,0)-1,0),0)</f>
        <v>220000410</v>
      </c>
      <c r="BA92" s="103" t="s">
        <v>636</v>
      </c>
      <c r="BB92" s="104">
        <f t="shared" si="52"/>
        <v>1200</v>
      </c>
      <c r="BC92" s="103">
        <v>1214.7956899143967</v>
      </c>
      <c r="BE92" s="104">
        <f ca="1">IFERROR(OFFSET(ITEM_RES!$A$5,MATCH(BF92,ITEM_RES!$M$5:$M$84,0)-1,0),0)</f>
        <v>0</v>
      </c>
      <c r="BG92" s="104">
        <f t="shared" si="53"/>
        <v>0</v>
      </c>
    </row>
    <row r="93" spans="1:60" x14ac:dyDescent="0.3">
      <c r="A93" s="107">
        <f t="shared" si="47"/>
        <v>111030029</v>
      </c>
      <c r="B93" s="106">
        <v>11</v>
      </c>
      <c r="C93" s="105">
        <f t="shared" si="48"/>
        <v>1</v>
      </c>
      <c r="D93" s="106">
        <v>3</v>
      </c>
      <c r="E93" s="106">
        <v>0</v>
      </c>
      <c r="F93" s="105">
        <f t="shared" si="29"/>
        <v>29</v>
      </c>
      <c r="H93" s="102">
        <v>1</v>
      </c>
      <c r="I93" s="102">
        <v>29</v>
      </c>
      <c r="K93" s="102" t="s">
        <v>1041</v>
      </c>
      <c r="L93" s="102" t="s">
        <v>771</v>
      </c>
      <c r="M93" s="103" t="s">
        <v>738</v>
      </c>
      <c r="N93" s="102">
        <v>0</v>
      </c>
      <c r="O93" s="102">
        <v>12</v>
      </c>
      <c r="P93" s="102" t="s">
        <v>763</v>
      </c>
      <c r="Q93" s="103" t="s">
        <v>1160</v>
      </c>
      <c r="R93" s="103">
        <v>111030029</v>
      </c>
      <c r="S93" s="104" t="str">
        <f t="shared" si="33"/>
        <v>UITexture/Bldg/111030029.png</v>
      </c>
      <c r="T93" s="102" t="s">
        <v>1043</v>
      </c>
      <c r="U93" s="102">
        <v>3</v>
      </c>
      <c r="V93" s="102">
        <v>2</v>
      </c>
      <c r="W93" s="102">
        <v>3</v>
      </c>
      <c r="Y93" s="104">
        <f t="shared" si="30"/>
        <v>103</v>
      </c>
      <c r="Z93" s="102">
        <v>290</v>
      </c>
      <c r="AA93" s="102">
        <v>1</v>
      </c>
      <c r="AB93" s="102">
        <v>1</v>
      </c>
      <c r="AC93" s="102">
        <v>0</v>
      </c>
      <c r="AD93" s="102" t="s">
        <v>538</v>
      </c>
      <c r="AE93" s="102">
        <v>29</v>
      </c>
      <c r="AG93" s="104">
        <f t="shared" si="34"/>
        <v>280438</v>
      </c>
      <c r="AH93" s="103">
        <v>280437.74578651245</v>
      </c>
      <c r="AI93" s="172">
        <v>4</v>
      </c>
      <c r="AK93" s="104">
        <f ca="1">IFERROR(OFFSET(ITEM_RES!$A$5,MATCH(AL93,ITEM_RES!$M$5:$M$84,0)-1,0),0)</f>
        <v>220000110</v>
      </c>
      <c r="AL93" s="103" t="s">
        <v>582</v>
      </c>
      <c r="AM93" s="104">
        <f t="shared" si="49"/>
        <v>7500</v>
      </c>
      <c r="AN93" s="103">
        <v>7507.4373636709706</v>
      </c>
      <c r="AP93" s="104">
        <f ca="1">IFERROR(OFFSET(ITEM_RES!$A$5,MATCH(AQ93,ITEM_RES!$M$5:$M$84,0)-1,0),0)</f>
        <v>220000210</v>
      </c>
      <c r="AQ93" s="103" t="s">
        <v>600</v>
      </c>
      <c r="AR93" s="104">
        <f t="shared" si="50"/>
        <v>4500</v>
      </c>
      <c r="AS93" s="103">
        <v>4504.4624182025827</v>
      </c>
      <c r="AU93" s="104">
        <f ca="1">IFERROR(OFFSET(ITEM_RES!$A$5,MATCH(AV93,ITEM_RES!$M$5:$M$84,0)-1,0),0)</f>
        <v>220000310</v>
      </c>
      <c r="AV93" s="103" t="s">
        <v>618</v>
      </c>
      <c r="AW93" s="104">
        <f t="shared" si="51"/>
        <v>3000</v>
      </c>
      <c r="AX93" s="103">
        <v>3002.9749454683883</v>
      </c>
      <c r="AZ93" s="104">
        <f ca="1">IFERROR(OFFSET(ITEM_RES!$A$5,MATCH(BA93,ITEM_RES!$M$5:$M$84,0)-1,0),0)</f>
        <v>220000410</v>
      </c>
      <c r="BA93" s="103" t="s">
        <v>636</v>
      </c>
      <c r="BB93" s="104">
        <f t="shared" si="52"/>
        <v>1500</v>
      </c>
      <c r="BC93" s="103">
        <v>1501.4874727341942</v>
      </c>
      <c r="BE93" s="104">
        <f ca="1">IFERROR(OFFSET(ITEM_RES!$A$5,MATCH(BF93,ITEM_RES!$M$5:$M$84,0)-1,0),0)</f>
        <v>0</v>
      </c>
      <c r="BG93" s="104">
        <f t="shared" si="53"/>
        <v>0</v>
      </c>
    </row>
    <row r="94" spans="1:60" s="108" customFormat="1" ht="17.25" thickBot="1" x14ac:dyDescent="0.35">
      <c r="A94" s="114">
        <f t="shared" si="47"/>
        <v>111030030</v>
      </c>
      <c r="B94" s="113">
        <v>11</v>
      </c>
      <c r="C94" s="112">
        <f t="shared" si="48"/>
        <v>1</v>
      </c>
      <c r="D94" s="113">
        <v>3</v>
      </c>
      <c r="E94" s="113">
        <v>0</v>
      </c>
      <c r="F94" s="112">
        <f t="shared" si="29"/>
        <v>30</v>
      </c>
      <c r="G94" s="256"/>
      <c r="H94" s="109">
        <v>1</v>
      </c>
      <c r="I94" s="109">
        <v>30</v>
      </c>
      <c r="J94" s="256"/>
      <c r="K94" s="109" t="s">
        <v>1041</v>
      </c>
      <c r="L94" s="109" t="s">
        <v>772</v>
      </c>
      <c r="M94" s="110" t="s">
        <v>738</v>
      </c>
      <c r="N94" s="109">
        <v>0</v>
      </c>
      <c r="O94" s="109">
        <v>12</v>
      </c>
      <c r="P94" s="109" t="s">
        <v>763</v>
      </c>
      <c r="Q94" s="110" t="s">
        <v>1160</v>
      </c>
      <c r="R94" s="110">
        <v>111030030</v>
      </c>
      <c r="S94" s="111" t="str">
        <f t="shared" si="33"/>
        <v>UITexture/Bldg/111030030.png</v>
      </c>
      <c r="T94" s="109" t="s">
        <v>1043</v>
      </c>
      <c r="U94" s="109">
        <v>3</v>
      </c>
      <c r="V94" s="109">
        <v>2</v>
      </c>
      <c r="W94" s="109">
        <v>3</v>
      </c>
      <c r="X94" s="256"/>
      <c r="Y94" s="111">
        <f t="shared" si="30"/>
        <v>103</v>
      </c>
      <c r="Z94" s="109">
        <v>300</v>
      </c>
      <c r="AA94" s="109">
        <v>1</v>
      </c>
      <c r="AB94" s="109">
        <v>1</v>
      </c>
      <c r="AC94" s="109">
        <v>0</v>
      </c>
      <c r="AD94" s="109" t="s">
        <v>538</v>
      </c>
      <c r="AE94" s="109">
        <v>30</v>
      </c>
      <c r="AF94" s="256"/>
      <c r="AG94" s="111">
        <f t="shared" si="34"/>
        <v>286047</v>
      </c>
      <c r="AH94" s="110">
        <v>286046.50070224266</v>
      </c>
      <c r="AI94" s="175">
        <v>4</v>
      </c>
      <c r="AJ94" s="111"/>
      <c r="AK94" s="111">
        <f ca="1">IFERROR(OFFSET(ITEM_RES!$A$5,MATCH(AL94,ITEM_RES!$M$5:$M$84,0)-1,0),0)</f>
        <v>220000110</v>
      </c>
      <c r="AL94" s="110" t="s">
        <v>582</v>
      </c>
      <c r="AM94" s="111">
        <f t="shared" si="49"/>
        <v>9200</v>
      </c>
      <c r="AN94" s="110">
        <v>9189.103333133271</v>
      </c>
      <c r="AO94" s="111"/>
      <c r="AP94" s="111">
        <f ca="1">IFERROR(OFFSET(ITEM_RES!$A$5,MATCH(AQ94,ITEM_RES!$M$5:$M$84,0)-1,0),0)</f>
        <v>220000210</v>
      </c>
      <c r="AQ94" s="110" t="s">
        <v>600</v>
      </c>
      <c r="AR94" s="111">
        <f t="shared" si="50"/>
        <v>5500</v>
      </c>
      <c r="AS94" s="110">
        <v>5513.4619998799626</v>
      </c>
      <c r="AT94" s="111"/>
      <c r="AU94" s="111">
        <f ca="1">IFERROR(OFFSET(ITEM_RES!$A$5,MATCH(AV94,ITEM_RES!$M$5:$M$84,0)-1,0),0)</f>
        <v>220000310</v>
      </c>
      <c r="AV94" s="110" t="s">
        <v>618</v>
      </c>
      <c r="AW94" s="111">
        <f t="shared" si="51"/>
        <v>3700</v>
      </c>
      <c r="AX94" s="110">
        <v>3675.6413332533084</v>
      </c>
      <c r="AY94" s="111"/>
      <c r="AZ94" s="111">
        <f ca="1">IFERROR(OFFSET(ITEM_RES!$A$5,MATCH(BA94,ITEM_RES!$M$5:$M$84,0)-1,0),0)</f>
        <v>220000410</v>
      </c>
      <c r="BA94" s="110" t="s">
        <v>636</v>
      </c>
      <c r="BB94" s="111">
        <f t="shared" si="52"/>
        <v>1800</v>
      </c>
      <c r="BC94" s="110">
        <v>1837.8206666266542</v>
      </c>
      <c r="BD94" s="111"/>
      <c r="BE94" s="111">
        <f ca="1">IFERROR(OFFSET(ITEM_RES!$A$5,MATCH(BF94,ITEM_RES!$M$5:$M$84,0)-1,0),0)</f>
        <v>0</v>
      </c>
      <c r="BF94" s="110"/>
      <c r="BG94" s="111">
        <f t="shared" si="53"/>
        <v>0</v>
      </c>
      <c r="BH94" s="110"/>
    </row>
    <row r="95" spans="1:60" x14ac:dyDescent="0.3">
      <c r="A95" s="107">
        <f t="shared" si="22"/>
        <v>111040001</v>
      </c>
      <c r="B95" s="106">
        <v>11</v>
      </c>
      <c r="C95" s="105">
        <f t="shared" si="23"/>
        <v>1</v>
      </c>
      <c r="D95" s="106">
        <v>4</v>
      </c>
      <c r="E95" s="106">
        <v>0</v>
      </c>
      <c r="F95" s="105">
        <f t="shared" si="29"/>
        <v>1</v>
      </c>
      <c r="H95" s="102">
        <v>1</v>
      </c>
      <c r="I95" s="102">
        <v>1</v>
      </c>
      <c r="K95" s="102" t="s">
        <v>1041</v>
      </c>
      <c r="L95" s="102" t="s">
        <v>773</v>
      </c>
      <c r="M95" s="103" t="s">
        <v>379</v>
      </c>
      <c r="N95" s="102">
        <v>1</v>
      </c>
      <c r="O95" s="102">
        <v>12</v>
      </c>
      <c r="P95" s="102" t="s">
        <v>524</v>
      </c>
      <c r="Q95" s="103" t="s">
        <v>1160</v>
      </c>
      <c r="R95" s="103">
        <v>111040001</v>
      </c>
      <c r="S95" s="104" t="str">
        <f t="shared" si="33"/>
        <v>UITexture/Bldg/111040001.png</v>
      </c>
      <c r="T95" s="102" t="s">
        <v>1045</v>
      </c>
      <c r="U95" s="102">
        <v>2</v>
      </c>
      <c r="V95" s="102">
        <v>2</v>
      </c>
      <c r="W95" s="102">
        <v>3</v>
      </c>
      <c r="Y95" s="104">
        <f t="shared" si="30"/>
        <v>104</v>
      </c>
      <c r="Z95" s="102">
        <v>10</v>
      </c>
      <c r="AA95" s="102">
        <v>1</v>
      </c>
      <c r="AB95" s="102">
        <v>3</v>
      </c>
      <c r="AC95" s="102">
        <v>0</v>
      </c>
      <c r="AE95" s="102">
        <v>1</v>
      </c>
      <c r="AG95" s="104">
        <f t="shared" si="34"/>
        <v>14</v>
      </c>
      <c r="AH95" s="103">
        <v>14.035087719298245</v>
      </c>
      <c r="AI95" s="172">
        <v>2</v>
      </c>
      <c r="AK95" s="104">
        <f ca="1">IFERROR(OFFSET(ITEM_RES!$A$5,MATCH(AL95,ITEM_RES!$M$5:$M$84,0)-1,0),0)</f>
        <v>220000101</v>
      </c>
      <c r="AL95" s="103" t="s">
        <v>573</v>
      </c>
      <c r="AM95" s="104">
        <f t="shared" si="24"/>
        <v>30</v>
      </c>
      <c r="AN95" s="103">
        <v>28.07017543859649</v>
      </c>
      <c r="AP95" s="104">
        <f ca="1">IFERROR(OFFSET(ITEM_RES!$A$5,MATCH(AQ95,ITEM_RES!$M$5:$M$84,0)-1,0),0)</f>
        <v>220000201</v>
      </c>
      <c r="AQ95" s="103" t="s">
        <v>591</v>
      </c>
      <c r="AR95" s="104">
        <f t="shared" si="25"/>
        <v>20</v>
      </c>
      <c r="AS95" s="103">
        <v>16.842105263157894</v>
      </c>
      <c r="AU95" s="104">
        <f ca="1">IFERROR(OFFSET(ITEM_RES!$A$5,MATCH(AV95,ITEM_RES!$M$5:$M$84,0)-1,0),0)</f>
        <v>220000301</v>
      </c>
      <c r="AV95" s="103" t="s">
        <v>609</v>
      </c>
      <c r="AW95" s="104">
        <f t="shared" si="26"/>
        <v>0</v>
      </c>
      <c r="AX95" s="103">
        <v>0</v>
      </c>
      <c r="AZ95" s="104">
        <f ca="1">IFERROR(OFFSET(ITEM_RES!$A$5,MATCH(BA95,ITEM_RES!$M$5:$M$84,0)-1,0),0)</f>
        <v>220000401</v>
      </c>
      <c r="BA95" s="103" t="s">
        <v>627</v>
      </c>
      <c r="BB95" s="104">
        <f t="shared" si="27"/>
        <v>0</v>
      </c>
      <c r="BC95" s="103">
        <v>0</v>
      </c>
      <c r="BE95" s="104">
        <f ca="1">IFERROR(OFFSET(ITEM_RES!$A$5,MATCH(BF95,ITEM_RES!$M$5:$M$84,0)-1,0),0)</f>
        <v>0</v>
      </c>
      <c r="BG95" s="104">
        <f t="shared" si="28"/>
        <v>0</v>
      </c>
    </row>
    <row r="96" spans="1:60" x14ac:dyDescent="0.3">
      <c r="A96" s="107">
        <f t="shared" si="22"/>
        <v>111040002</v>
      </c>
      <c r="B96" s="106">
        <v>11</v>
      </c>
      <c r="C96" s="105">
        <f t="shared" si="23"/>
        <v>1</v>
      </c>
      <c r="D96" s="106">
        <v>4</v>
      </c>
      <c r="E96" s="106">
        <v>0</v>
      </c>
      <c r="F96" s="105">
        <f t="shared" si="29"/>
        <v>2</v>
      </c>
      <c r="H96" s="102">
        <v>1</v>
      </c>
      <c r="I96" s="102">
        <v>2</v>
      </c>
      <c r="K96" s="102" t="s">
        <v>1041</v>
      </c>
      <c r="L96" s="102" t="s">
        <v>773</v>
      </c>
      <c r="M96" s="103" t="s">
        <v>379</v>
      </c>
      <c r="N96" s="102">
        <v>1</v>
      </c>
      <c r="O96" s="102">
        <v>12</v>
      </c>
      <c r="P96" s="102" t="s">
        <v>524</v>
      </c>
      <c r="Q96" s="103" t="s">
        <v>1160</v>
      </c>
      <c r="R96" s="103">
        <v>111040002</v>
      </c>
      <c r="S96" s="104" t="str">
        <f t="shared" si="33"/>
        <v>UITexture/Bldg/111040002.png</v>
      </c>
      <c r="T96" s="102" t="s">
        <v>1045</v>
      </c>
      <c r="U96" s="102">
        <v>2</v>
      </c>
      <c r="V96" s="102">
        <v>2</v>
      </c>
      <c r="W96" s="102">
        <v>3</v>
      </c>
      <c r="Y96" s="104">
        <f t="shared" si="30"/>
        <v>104</v>
      </c>
      <c r="Z96" s="102">
        <v>20</v>
      </c>
      <c r="AA96" s="102">
        <v>1</v>
      </c>
      <c r="AB96" s="102">
        <v>3</v>
      </c>
      <c r="AC96" s="102">
        <v>0</v>
      </c>
      <c r="AE96" s="102">
        <v>2</v>
      </c>
      <c r="AG96" s="104">
        <f t="shared" si="34"/>
        <v>56</v>
      </c>
      <c r="AH96" s="103">
        <v>56.140350877192979</v>
      </c>
      <c r="AI96" s="172">
        <v>2</v>
      </c>
      <c r="AK96" s="104">
        <f ca="1">IFERROR(OFFSET(ITEM_RES!$A$5,MATCH(AL96,ITEM_RES!$M$5:$M$84,0)-1,0),0)</f>
        <v>220000101</v>
      </c>
      <c r="AL96" s="103" t="s">
        <v>573</v>
      </c>
      <c r="AM96" s="104">
        <f t="shared" si="24"/>
        <v>140</v>
      </c>
      <c r="AN96" s="103">
        <v>140.35087719298244</v>
      </c>
      <c r="AP96" s="104">
        <f ca="1">IFERROR(OFFSET(ITEM_RES!$A$5,MATCH(AQ96,ITEM_RES!$M$5:$M$84,0)-1,0),0)</f>
        <v>220000201</v>
      </c>
      <c r="AQ96" s="103" t="s">
        <v>591</v>
      </c>
      <c r="AR96" s="104">
        <f t="shared" si="25"/>
        <v>80</v>
      </c>
      <c r="AS96" s="103">
        <v>84.210526315789465</v>
      </c>
      <c r="AU96" s="104">
        <f ca="1">IFERROR(OFFSET(ITEM_RES!$A$5,MATCH(AV96,ITEM_RES!$M$5:$M$84,0)-1,0),0)</f>
        <v>220000301</v>
      </c>
      <c r="AV96" s="103" t="s">
        <v>609</v>
      </c>
      <c r="AW96" s="104">
        <f t="shared" si="26"/>
        <v>0</v>
      </c>
      <c r="AX96" s="103">
        <v>0</v>
      </c>
      <c r="AZ96" s="104">
        <f ca="1">IFERROR(OFFSET(ITEM_RES!$A$5,MATCH(BA96,ITEM_RES!$M$5:$M$84,0)-1,0),0)</f>
        <v>220000401</v>
      </c>
      <c r="BA96" s="103" t="s">
        <v>627</v>
      </c>
      <c r="BB96" s="104">
        <f t="shared" si="27"/>
        <v>0</v>
      </c>
      <c r="BC96" s="103">
        <v>0</v>
      </c>
      <c r="BE96" s="104">
        <f ca="1">IFERROR(OFFSET(ITEM_RES!$A$5,MATCH(BF96,ITEM_RES!$M$5:$M$84,0)-1,0),0)</f>
        <v>0</v>
      </c>
      <c r="BG96" s="104">
        <f t="shared" si="28"/>
        <v>0</v>
      </c>
    </row>
    <row r="97" spans="1:59" x14ac:dyDescent="0.3">
      <c r="A97" s="107">
        <f t="shared" si="22"/>
        <v>111040003</v>
      </c>
      <c r="B97" s="106">
        <v>11</v>
      </c>
      <c r="C97" s="105">
        <f t="shared" si="23"/>
        <v>1</v>
      </c>
      <c r="D97" s="106">
        <v>4</v>
      </c>
      <c r="E97" s="106">
        <v>0</v>
      </c>
      <c r="F97" s="105">
        <f t="shared" si="29"/>
        <v>3</v>
      </c>
      <c r="H97" s="102">
        <v>1</v>
      </c>
      <c r="I97" s="102">
        <v>3</v>
      </c>
      <c r="K97" s="102" t="s">
        <v>1041</v>
      </c>
      <c r="L97" s="102" t="s">
        <v>773</v>
      </c>
      <c r="M97" s="103" t="s">
        <v>379</v>
      </c>
      <c r="N97" s="102">
        <v>1</v>
      </c>
      <c r="O97" s="102">
        <v>12</v>
      </c>
      <c r="P97" s="102" t="s">
        <v>524</v>
      </c>
      <c r="Q97" s="103" t="s">
        <v>1160</v>
      </c>
      <c r="R97" s="103">
        <v>111040003</v>
      </c>
      <c r="S97" s="104" t="str">
        <f t="shared" si="33"/>
        <v>UITexture/Bldg/111040003.png</v>
      </c>
      <c r="T97" s="102" t="s">
        <v>1045</v>
      </c>
      <c r="U97" s="102">
        <v>2</v>
      </c>
      <c r="V97" s="102">
        <v>2</v>
      </c>
      <c r="W97" s="102">
        <v>3</v>
      </c>
      <c r="Y97" s="104">
        <f t="shared" si="30"/>
        <v>104</v>
      </c>
      <c r="Z97" s="102">
        <v>30</v>
      </c>
      <c r="AA97" s="102">
        <v>1</v>
      </c>
      <c r="AB97" s="102">
        <v>3</v>
      </c>
      <c r="AC97" s="102">
        <v>0</v>
      </c>
      <c r="AE97" s="102">
        <v>3</v>
      </c>
      <c r="AG97" s="104">
        <f t="shared" si="34"/>
        <v>225</v>
      </c>
      <c r="AH97" s="103">
        <v>224.56140350877192</v>
      </c>
      <c r="AI97" s="172">
        <v>2</v>
      </c>
      <c r="AK97" s="104">
        <f ca="1">IFERROR(OFFSET(ITEM_RES!$A$5,MATCH(AL97,ITEM_RES!$M$5:$M$84,0)-1,0),0)</f>
        <v>220000101</v>
      </c>
      <c r="AL97" s="103" t="s">
        <v>573</v>
      </c>
      <c r="AM97" s="104">
        <f t="shared" si="24"/>
        <v>700</v>
      </c>
      <c r="AN97" s="103">
        <v>701.75438596491233</v>
      </c>
      <c r="AP97" s="104">
        <f ca="1">IFERROR(OFFSET(ITEM_RES!$A$5,MATCH(AQ97,ITEM_RES!$M$5:$M$84,0)-1,0),0)</f>
        <v>220000201</v>
      </c>
      <c r="AQ97" s="103" t="s">
        <v>591</v>
      </c>
      <c r="AR97" s="104">
        <f t="shared" si="25"/>
        <v>420</v>
      </c>
      <c r="AS97" s="103">
        <v>421.0526315789474</v>
      </c>
      <c r="AU97" s="104">
        <f ca="1">IFERROR(OFFSET(ITEM_RES!$A$5,MATCH(AV97,ITEM_RES!$M$5:$M$84,0)-1,0),0)</f>
        <v>220000301</v>
      </c>
      <c r="AV97" s="103" t="s">
        <v>609</v>
      </c>
      <c r="AW97" s="104">
        <f t="shared" si="26"/>
        <v>0</v>
      </c>
      <c r="AX97" s="103">
        <v>0</v>
      </c>
      <c r="AZ97" s="104">
        <f ca="1">IFERROR(OFFSET(ITEM_RES!$A$5,MATCH(BA97,ITEM_RES!$M$5:$M$84,0)-1,0),0)</f>
        <v>220000401</v>
      </c>
      <c r="BA97" s="103" t="s">
        <v>627</v>
      </c>
      <c r="BB97" s="104">
        <f t="shared" si="27"/>
        <v>0</v>
      </c>
      <c r="BC97" s="103">
        <v>0</v>
      </c>
      <c r="BE97" s="104">
        <f ca="1">IFERROR(OFFSET(ITEM_RES!$A$5,MATCH(BF97,ITEM_RES!$M$5:$M$84,0)-1,0),0)</f>
        <v>0</v>
      </c>
      <c r="BG97" s="104">
        <f t="shared" si="28"/>
        <v>0</v>
      </c>
    </row>
    <row r="98" spans="1:59" x14ac:dyDescent="0.3">
      <c r="A98" s="107">
        <f t="shared" si="22"/>
        <v>111040004</v>
      </c>
      <c r="B98" s="106">
        <v>11</v>
      </c>
      <c r="C98" s="105">
        <f t="shared" si="23"/>
        <v>1</v>
      </c>
      <c r="D98" s="106">
        <v>4</v>
      </c>
      <c r="E98" s="106">
        <v>0</v>
      </c>
      <c r="F98" s="105">
        <f t="shared" si="29"/>
        <v>4</v>
      </c>
      <c r="H98" s="102">
        <v>1</v>
      </c>
      <c r="I98" s="102">
        <v>4</v>
      </c>
      <c r="K98" s="102" t="s">
        <v>1041</v>
      </c>
      <c r="L98" s="102" t="s">
        <v>773</v>
      </c>
      <c r="M98" s="103" t="s">
        <v>379</v>
      </c>
      <c r="N98" s="102">
        <v>1</v>
      </c>
      <c r="O98" s="102">
        <v>12</v>
      </c>
      <c r="P98" s="102" t="s">
        <v>524</v>
      </c>
      <c r="Q98" s="103" t="s">
        <v>1160</v>
      </c>
      <c r="R98" s="103">
        <v>111040004</v>
      </c>
      <c r="S98" s="104" t="str">
        <f t="shared" si="33"/>
        <v>UITexture/Bldg/111040004.png</v>
      </c>
      <c r="T98" s="102" t="s">
        <v>1045</v>
      </c>
      <c r="U98" s="102">
        <v>2</v>
      </c>
      <c r="V98" s="102">
        <v>2</v>
      </c>
      <c r="W98" s="102">
        <v>3</v>
      </c>
      <c r="Y98" s="104">
        <f t="shared" si="30"/>
        <v>104</v>
      </c>
      <c r="Z98" s="102">
        <v>40</v>
      </c>
      <c r="AA98" s="102">
        <v>1</v>
      </c>
      <c r="AB98" s="102">
        <v>3</v>
      </c>
      <c r="AC98" s="102">
        <v>0</v>
      </c>
      <c r="AE98" s="102">
        <v>4</v>
      </c>
      <c r="AG98" s="104">
        <f t="shared" si="34"/>
        <v>898</v>
      </c>
      <c r="AH98" s="103">
        <v>898.24561403508767</v>
      </c>
      <c r="AI98" s="172">
        <v>2</v>
      </c>
      <c r="AK98" s="104">
        <f ca="1">IFERROR(OFFSET(ITEM_RES!$A$5,MATCH(AL98,ITEM_RES!$M$5:$M$84,0)-1,0),0)</f>
        <v>220000102</v>
      </c>
      <c r="AL98" s="103" t="s">
        <v>574</v>
      </c>
      <c r="AM98" s="104">
        <f t="shared" si="24"/>
        <v>1200</v>
      </c>
      <c r="AN98" s="103">
        <v>1169.5906432748538</v>
      </c>
      <c r="AP98" s="104">
        <f ca="1">IFERROR(OFFSET(ITEM_RES!$A$5,MATCH(AQ98,ITEM_RES!$M$5:$M$84,0)-1,0),0)</f>
        <v>220000202</v>
      </c>
      <c r="AQ98" s="103" t="s">
        <v>592</v>
      </c>
      <c r="AR98" s="104">
        <f t="shared" si="25"/>
        <v>700</v>
      </c>
      <c r="AS98" s="103">
        <v>701.75438596491233</v>
      </c>
      <c r="AU98" s="104">
        <f ca="1">IFERROR(OFFSET(ITEM_RES!$A$5,MATCH(AV98,ITEM_RES!$M$5:$M$84,0)-1,0),0)</f>
        <v>220000302</v>
      </c>
      <c r="AV98" s="103" t="s">
        <v>610</v>
      </c>
      <c r="AW98" s="104">
        <f t="shared" si="26"/>
        <v>0</v>
      </c>
      <c r="AX98" s="103">
        <v>0</v>
      </c>
      <c r="AZ98" s="104">
        <f ca="1">IFERROR(OFFSET(ITEM_RES!$A$5,MATCH(BA98,ITEM_RES!$M$5:$M$84,0)-1,0),0)</f>
        <v>220000402</v>
      </c>
      <c r="BA98" s="103" t="s">
        <v>628</v>
      </c>
      <c r="BB98" s="104">
        <f t="shared" si="27"/>
        <v>0</v>
      </c>
      <c r="BC98" s="103">
        <v>0</v>
      </c>
      <c r="BE98" s="104">
        <f ca="1">IFERROR(OFFSET(ITEM_RES!$A$5,MATCH(BF98,ITEM_RES!$M$5:$M$84,0)-1,0),0)</f>
        <v>0</v>
      </c>
      <c r="BG98" s="104">
        <f t="shared" si="28"/>
        <v>0</v>
      </c>
    </row>
    <row r="99" spans="1:59" x14ac:dyDescent="0.3">
      <c r="A99" s="107">
        <f t="shared" si="22"/>
        <v>111040005</v>
      </c>
      <c r="B99" s="106">
        <v>11</v>
      </c>
      <c r="C99" s="105">
        <f t="shared" si="23"/>
        <v>1</v>
      </c>
      <c r="D99" s="106">
        <v>4</v>
      </c>
      <c r="E99" s="106">
        <v>0</v>
      </c>
      <c r="F99" s="105">
        <f t="shared" si="29"/>
        <v>5</v>
      </c>
      <c r="H99" s="102">
        <v>1</v>
      </c>
      <c r="I99" s="102">
        <v>5</v>
      </c>
      <c r="K99" s="102" t="s">
        <v>1041</v>
      </c>
      <c r="L99" s="102" t="s">
        <v>773</v>
      </c>
      <c r="M99" s="103" t="s">
        <v>379</v>
      </c>
      <c r="N99" s="102">
        <v>1</v>
      </c>
      <c r="O99" s="102">
        <v>12</v>
      </c>
      <c r="P99" s="102" t="s">
        <v>524</v>
      </c>
      <c r="Q99" s="103" t="s">
        <v>1160</v>
      </c>
      <c r="R99" s="103">
        <v>111040005</v>
      </c>
      <c r="S99" s="104" t="str">
        <f t="shared" si="33"/>
        <v>UITexture/Bldg/111040005.png</v>
      </c>
      <c r="T99" s="102" t="s">
        <v>1045</v>
      </c>
      <c r="U99" s="102">
        <v>2</v>
      </c>
      <c r="V99" s="102">
        <v>2</v>
      </c>
      <c r="W99" s="102">
        <v>3</v>
      </c>
      <c r="Y99" s="104">
        <f t="shared" si="30"/>
        <v>104</v>
      </c>
      <c r="Z99" s="102">
        <v>50</v>
      </c>
      <c r="AA99" s="102">
        <v>1</v>
      </c>
      <c r="AB99" s="102">
        <v>3</v>
      </c>
      <c r="AC99" s="102">
        <v>0</v>
      </c>
      <c r="AE99" s="102">
        <v>5</v>
      </c>
      <c r="AG99" s="104">
        <f t="shared" si="34"/>
        <v>2695</v>
      </c>
      <c r="AH99" s="103">
        <v>2694.7368421052633</v>
      </c>
      <c r="AI99" s="172">
        <v>2</v>
      </c>
      <c r="AK99" s="104">
        <f ca="1">IFERROR(OFFSET(ITEM_RES!$A$5,MATCH(AL99,ITEM_RES!$M$5:$M$84,0)-1,0),0)</f>
        <v>220000102</v>
      </c>
      <c r="AL99" s="103" t="s">
        <v>574</v>
      </c>
      <c r="AM99" s="104">
        <f t="shared" si="24"/>
        <v>4400</v>
      </c>
      <c r="AN99" s="103">
        <v>4385.9649122807023</v>
      </c>
      <c r="AP99" s="104">
        <f ca="1">IFERROR(OFFSET(ITEM_RES!$A$5,MATCH(AQ99,ITEM_RES!$M$5:$M$84,0)-1,0),0)</f>
        <v>220000202</v>
      </c>
      <c r="AQ99" s="103" t="s">
        <v>592</v>
      </c>
      <c r="AR99" s="104">
        <f t="shared" si="25"/>
        <v>2600</v>
      </c>
      <c r="AS99" s="103">
        <v>2631.5789473684213</v>
      </c>
      <c r="AU99" s="104">
        <f ca="1">IFERROR(OFFSET(ITEM_RES!$A$5,MATCH(AV99,ITEM_RES!$M$5:$M$84,0)-1,0),0)</f>
        <v>220000302</v>
      </c>
      <c r="AV99" s="103" t="s">
        <v>610</v>
      </c>
      <c r="AW99" s="104">
        <f t="shared" si="26"/>
        <v>0</v>
      </c>
      <c r="AX99" s="103">
        <v>0</v>
      </c>
      <c r="AZ99" s="104">
        <f ca="1">IFERROR(OFFSET(ITEM_RES!$A$5,MATCH(BA99,ITEM_RES!$M$5:$M$84,0)-1,0),0)</f>
        <v>220000402</v>
      </c>
      <c r="BA99" s="103" t="s">
        <v>628</v>
      </c>
      <c r="BB99" s="104">
        <f t="shared" si="27"/>
        <v>0</v>
      </c>
      <c r="BC99" s="103">
        <v>0</v>
      </c>
      <c r="BE99" s="104">
        <f ca="1">IFERROR(OFFSET(ITEM_RES!$A$5,MATCH(BF99,ITEM_RES!$M$5:$M$84,0)-1,0),0)</f>
        <v>0</v>
      </c>
      <c r="BG99" s="104">
        <f t="shared" si="28"/>
        <v>0</v>
      </c>
    </row>
    <row r="100" spans="1:59" x14ac:dyDescent="0.3">
      <c r="A100" s="107">
        <f t="shared" ref="A100:A104" si="54">B100*10000000+C100*1000000+D100*10000+E100*100+F100</f>
        <v>111040006</v>
      </c>
      <c r="B100" s="106">
        <v>11</v>
      </c>
      <c r="C100" s="105">
        <f t="shared" ref="C100:C104" si="55">H100</f>
        <v>1</v>
      </c>
      <c r="D100" s="106">
        <v>4</v>
      </c>
      <c r="E100" s="106">
        <v>0</v>
      </c>
      <c r="F100" s="105">
        <f t="shared" si="29"/>
        <v>6</v>
      </c>
      <c r="H100" s="102">
        <v>1</v>
      </c>
      <c r="I100" s="102">
        <v>6</v>
      </c>
      <c r="K100" s="102" t="s">
        <v>1041</v>
      </c>
      <c r="L100" s="102" t="s">
        <v>773</v>
      </c>
      <c r="M100" s="103" t="s">
        <v>379</v>
      </c>
      <c r="N100" s="102">
        <v>1</v>
      </c>
      <c r="O100" s="102">
        <v>12</v>
      </c>
      <c r="P100" s="102" t="s">
        <v>524</v>
      </c>
      <c r="Q100" s="103" t="s">
        <v>1160</v>
      </c>
      <c r="R100" s="103">
        <v>111040006</v>
      </c>
      <c r="S100" s="104" t="str">
        <f t="shared" si="33"/>
        <v>UITexture/Bldg/111040006.png</v>
      </c>
      <c r="T100" s="102" t="s">
        <v>1045</v>
      </c>
      <c r="U100" s="102">
        <v>2</v>
      </c>
      <c r="V100" s="102">
        <v>2</v>
      </c>
      <c r="W100" s="102">
        <v>3</v>
      </c>
      <c r="Y100" s="104">
        <f t="shared" si="30"/>
        <v>104</v>
      </c>
      <c r="Z100" s="102">
        <v>60</v>
      </c>
      <c r="AA100" s="102">
        <v>1</v>
      </c>
      <c r="AB100" s="102">
        <v>3</v>
      </c>
      <c r="AC100" s="102">
        <v>0</v>
      </c>
      <c r="AE100" s="102">
        <v>6</v>
      </c>
      <c r="AG100" s="104">
        <f t="shared" si="34"/>
        <v>5389</v>
      </c>
      <c r="AH100" s="103">
        <v>5389.4736842105267</v>
      </c>
      <c r="AI100" s="172">
        <v>3</v>
      </c>
      <c r="AK100" s="104">
        <f ca="1">IFERROR(OFFSET(ITEM_RES!$A$5,MATCH(AL100,ITEM_RES!$M$5:$M$84,0)-1,0),0)</f>
        <v>220000102</v>
      </c>
      <c r="AL100" s="103" t="s">
        <v>574</v>
      </c>
      <c r="AM100" s="104">
        <f t="shared" ref="AM100:AM104" si="56">IF(AN100&lt;100,ROUND(AN100,1-LEN(ROUND(AN100,0))),ROUND(AN100,2-LEN(ROUND(AN100,0))))</f>
        <v>8800</v>
      </c>
      <c r="AN100" s="103">
        <v>8771.9298245614027</v>
      </c>
      <c r="AP100" s="104">
        <f ca="1">IFERROR(OFFSET(ITEM_RES!$A$5,MATCH(AQ100,ITEM_RES!$M$5:$M$84,0)-1,0),0)</f>
        <v>220000202</v>
      </c>
      <c r="AQ100" s="103" t="s">
        <v>592</v>
      </c>
      <c r="AR100" s="104">
        <f t="shared" ref="AR100:AR104" si="57">IF(AS100&lt;100,ROUND(AS100,1-LEN(ROUND(AS100,0))),ROUND(AS100,2-LEN(ROUND(AS100,0))))</f>
        <v>5300</v>
      </c>
      <c r="AS100" s="103">
        <v>5263.1578947368416</v>
      </c>
      <c r="AU100" s="104">
        <f ca="1">IFERROR(OFFSET(ITEM_RES!$A$5,MATCH(AV100,ITEM_RES!$M$5:$M$84,0)-1,0),0)</f>
        <v>220000302</v>
      </c>
      <c r="AV100" s="103" t="s">
        <v>610</v>
      </c>
      <c r="AW100" s="104">
        <f t="shared" ref="AW100:AW104" si="58">IF(AX100&lt;100,ROUND(AX100,1-LEN(ROUND(AX100,0))),ROUND(AX100,2-LEN(ROUND(AX100,0))))</f>
        <v>1800</v>
      </c>
      <c r="AX100" s="103">
        <v>1754.3859649122805</v>
      </c>
      <c r="AZ100" s="104">
        <f ca="1">IFERROR(OFFSET(ITEM_RES!$A$5,MATCH(BA100,ITEM_RES!$M$5:$M$84,0)-1,0),0)</f>
        <v>220000402</v>
      </c>
      <c r="BA100" s="103" t="s">
        <v>628</v>
      </c>
      <c r="BB100" s="104">
        <f t="shared" ref="BB100:BB104" si="59">IF(BC100&lt;100,ROUND(BC100,1-LEN(ROUND(BC100,0))),ROUND(BC100,2-LEN(ROUND(BC100,0))))</f>
        <v>0</v>
      </c>
      <c r="BC100" s="103">
        <v>0</v>
      </c>
      <c r="BE100" s="104">
        <f ca="1">IFERROR(OFFSET(ITEM_RES!$A$5,MATCH(BF100,ITEM_RES!$M$5:$M$84,0)-1,0),0)</f>
        <v>0</v>
      </c>
      <c r="BG100" s="104">
        <f t="shared" ref="BG100:BG104" si="60">IF(BH100&lt;100,ROUND(BH100,1-LEN(ROUND(BH100,0))),ROUND(BH100,2-LEN(ROUND(BH100,0))))</f>
        <v>0</v>
      </c>
    </row>
    <row r="101" spans="1:59" x14ac:dyDescent="0.3">
      <c r="A101" s="107">
        <f t="shared" si="54"/>
        <v>111040007</v>
      </c>
      <c r="B101" s="106">
        <v>11</v>
      </c>
      <c r="C101" s="105">
        <f t="shared" si="55"/>
        <v>1</v>
      </c>
      <c r="D101" s="106">
        <v>4</v>
      </c>
      <c r="E101" s="106">
        <v>0</v>
      </c>
      <c r="F101" s="105">
        <f t="shared" si="29"/>
        <v>7</v>
      </c>
      <c r="H101" s="102">
        <v>1</v>
      </c>
      <c r="I101" s="102">
        <v>7</v>
      </c>
      <c r="K101" s="102" t="s">
        <v>1041</v>
      </c>
      <c r="L101" s="102" t="s">
        <v>773</v>
      </c>
      <c r="M101" s="103" t="s">
        <v>379</v>
      </c>
      <c r="N101" s="102">
        <v>1</v>
      </c>
      <c r="O101" s="102">
        <v>12</v>
      </c>
      <c r="P101" s="102" t="s">
        <v>524</v>
      </c>
      <c r="Q101" s="103" t="s">
        <v>1160</v>
      </c>
      <c r="R101" s="103">
        <v>111040007</v>
      </c>
      <c r="S101" s="104" t="str">
        <f t="shared" si="33"/>
        <v>UITexture/Bldg/111040007.png</v>
      </c>
      <c r="T101" s="102" t="s">
        <v>1045</v>
      </c>
      <c r="U101" s="102">
        <v>2</v>
      </c>
      <c r="V101" s="102">
        <v>2</v>
      </c>
      <c r="W101" s="102">
        <v>3</v>
      </c>
      <c r="Y101" s="104">
        <f t="shared" si="30"/>
        <v>104</v>
      </c>
      <c r="Z101" s="102">
        <v>70</v>
      </c>
      <c r="AA101" s="102">
        <v>1</v>
      </c>
      <c r="AB101" s="102">
        <v>3</v>
      </c>
      <c r="AC101" s="102">
        <v>0</v>
      </c>
      <c r="AE101" s="102">
        <v>7</v>
      </c>
      <c r="AG101" s="104">
        <f t="shared" si="34"/>
        <v>10779</v>
      </c>
      <c r="AH101" s="103">
        <v>10778.947368421053</v>
      </c>
      <c r="AI101" s="172">
        <v>3</v>
      </c>
      <c r="AK101" s="104">
        <f ca="1">IFERROR(OFFSET(ITEM_RES!$A$5,MATCH(AL101,ITEM_RES!$M$5:$M$84,0)-1,0),0)</f>
        <v>220000103</v>
      </c>
      <c r="AL101" s="103" t="s">
        <v>575</v>
      </c>
      <c r="AM101" s="104">
        <f t="shared" si="56"/>
        <v>7300</v>
      </c>
      <c r="AN101" s="103">
        <v>7309.9415204678353</v>
      </c>
      <c r="AP101" s="104">
        <f ca="1">IFERROR(OFFSET(ITEM_RES!$A$5,MATCH(AQ101,ITEM_RES!$M$5:$M$84,0)-1,0),0)</f>
        <v>220000203</v>
      </c>
      <c r="AQ101" s="103" t="s">
        <v>593</v>
      </c>
      <c r="AR101" s="104">
        <f t="shared" si="57"/>
        <v>4400</v>
      </c>
      <c r="AS101" s="103">
        <v>4385.9649122807004</v>
      </c>
      <c r="AU101" s="104">
        <f ca="1">IFERROR(OFFSET(ITEM_RES!$A$5,MATCH(AV101,ITEM_RES!$M$5:$M$84,0)-1,0),0)</f>
        <v>220000303</v>
      </c>
      <c r="AV101" s="103" t="s">
        <v>611</v>
      </c>
      <c r="AW101" s="104">
        <f t="shared" si="58"/>
        <v>1500</v>
      </c>
      <c r="AX101" s="103">
        <v>1461.988304093567</v>
      </c>
      <c r="AZ101" s="104">
        <f ca="1">IFERROR(OFFSET(ITEM_RES!$A$5,MATCH(BA101,ITEM_RES!$M$5:$M$84,0)-1,0),0)</f>
        <v>220000403</v>
      </c>
      <c r="BA101" s="103" t="s">
        <v>629</v>
      </c>
      <c r="BB101" s="104">
        <f t="shared" si="59"/>
        <v>0</v>
      </c>
      <c r="BC101" s="103">
        <v>0</v>
      </c>
      <c r="BE101" s="104">
        <f ca="1">IFERROR(OFFSET(ITEM_RES!$A$5,MATCH(BF101,ITEM_RES!$M$5:$M$84,0)-1,0),0)</f>
        <v>0</v>
      </c>
      <c r="BG101" s="104">
        <f t="shared" si="60"/>
        <v>0</v>
      </c>
    </row>
    <row r="102" spans="1:59" x14ac:dyDescent="0.3">
      <c r="A102" s="107">
        <f t="shared" si="54"/>
        <v>111040008</v>
      </c>
      <c r="B102" s="106">
        <v>11</v>
      </c>
      <c r="C102" s="105">
        <f t="shared" si="55"/>
        <v>1</v>
      </c>
      <c r="D102" s="106">
        <v>4</v>
      </c>
      <c r="E102" s="106">
        <v>0</v>
      </c>
      <c r="F102" s="105">
        <f t="shared" si="29"/>
        <v>8</v>
      </c>
      <c r="H102" s="102">
        <v>1</v>
      </c>
      <c r="I102" s="102">
        <v>8</v>
      </c>
      <c r="K102" s="102" t="s">
        <v>1041</v>
      </c>
      <c r="L102" s="102" t="s">
        <v>773</v>
      </c>
      <c r="M102" s="103" t="s">
        <v>379</v>
      </c>
      <c r="N102" s="102">
        <v>1</v>
      </c>
      <c r="O102" s="102">
        <v>12</v>
      </c>
      <c r="P102" s="102" t="s">
        <v>524</v>
      </c>
      <c r="Q102" s="103" t="s">
        <v>1160</v>
      </c>
      <c r="R102" s="103">
        <v>111040008</v>
      </c>
      <c r="S102" s="104" t="str">
        <f t="shared" si="33"/>
        <v>UITexture/Bldg/111040008.png</v>
      </c>
      <c r="T102" s="102" t="s">
        <v>1045</v>
      </c>
      <c r="U102" s="102">
        <v>2</v>
      </c>
      <c r="V102" s="102">
        <v>2</v>
      </c>
      <c r="W102" s="102">
        <v>3</v>
      </c>
      <c r="Y102" s="104">
        <f t="shared" si="30"/>
        <v>104</v>
      </c>
      <c r="Z102" s="102">
        <v>80</v>
      </c>
      <c r="AA102" s="102">
        <v>1</v>
      </c>
      <c r="AB102" s="102">
        <v>3</v>
      </c>
      <c r="AC102" s="102">
        <v>0</v>
      </c>
      <c r="AE102" s="102">
        <v>8</v>
      </c>
      <c r="AG102" s="104">
        <f t="shared" si="34"/>
        <v>11857</v>
      </c>
      <c r="AH102" s="103">
        <v>11856.842105263158</v>
      </c>
      <c r="AI102" s="172">
        <v>3</v>
      </c>
      <c r="AK102" s="104">
        <f ca="1">IFERROR(OFFSET(ITEM_RES!$A$5,MATCH(AL102,ITEM_RES!$M$5:$M$84,0)-1,0),0)</f>
        <v>220000103</v>
      </c>
      <c r="AL102" s="103" t="s">
        <v>575</v>
      </c>
      <c r="AM102" s="104">
        <f t="shared" si="56"/>
        <v>10000</v>
      </c>
      <c r="AN102" s="103">
        <v>10051.169590643276</v>
      </c>
      <c r="AP102" s="104">
        <f ca="1">IFERROR(OFFSET(ITEM_RES!$A$5,MATCH(AQ102,ITEM_RES!$M$5:$M$84,0)-1,0),0)</f>
        <v>220000203</v>
      </c>
      <c r="AQ102" s="103" t="s">
        <v>593</v>
      </c>
      <c r="AR102" s="104">
        <f t="shared" si="57"/>
        <v>6000</v>
      </c>
      <c r="AS102" s="103">
        <v>6030.7017543859656</v>
      </c>
      <c r="AU102" s="104">
        <f ca="1">IFERROR(OFFSET(ITEM_RES!$A$5,MATCH(AV102,ITEM_RES!$M$5:$M$84,0)-1,0),0)</f>
        <v>220000303</v>
      </c>
      <c r="AV102" s="103" t="s">
        <v>611</v>
      </c>
      <c r="AW102" s="104">
        <f t="shared" si="58"/>
        <v>2000</v>
      </c>
      <c r="AX102" s="103">
        <v>2010.2339181286552</v>
      </c>
      <c r="AZ102" s="104">
        <f ca="1">IFERROR(OFFSET(ITEM_RES!$A$5,MATCH(BA102,ITEM_RES!$M$5:$M$84,0)-1,0),0)</f>
        <v>220000403</v>
      </c>
      <c r="BA102" s="103" t="s">
        <v>629</v>
      </c>
      <c r="BB102" s="104">
        <f t="shared" si="59"/>
        <v>0</v>
      </c>
      <c r="BC102" s="103">
        <v>0</v>
      </c>
      <c r="BE102" s="104">
        <f ca="1">IFERROR(OFFSET(ITEM_RES!$A$5,MATCH(BF102,ITEM_RES!$M$5:$M$84,0)-1,0),0)</f>
        <v>0</v>
      </c>
      <c r="BG102" s="104">
        <f t="shared" si="60"/>
        <v>0</v>
      </c>
    </row>
    <row r="103" spans="1:59" x14ac:dyDescent="0.3">
      <c r="A103" s="107">
        <f t="shared" si="54"/>
        <v>111040009</v>
      </c>
      <c r="B103" s="106">
        <v>11</v>
      </c>
      <c r="C103" s="105">
        <f t="shared" si="55"/>
        <v>1</v>
      </c>
      <c r="D103" s="106">
        <v>4</v>
      </c>
      <c r="E103" s="106">
        <v>0</v>
      </c>
      <c r="F103" s="105">
        <f t="shared" si="29"/>
        <v>9</v>
      </c>
      <c r="H103" s="102">
        <v>1</v>
      </c>
      <c r="I103" s="102">
        <v>9</v>
      </c>
      <c r="K103" s="102" t="s">
        <v>1041</v>
      </c>
      <c r="L103" s="102" t="s">
        <v>773</v>
      </c>
      <c r="M103" s="103" t="s">
        <v>379</v>
      </c>
      <c r="N103" s="102">
        <v>1</v>
      </c>
      <c r="O103" s="102">
        <v>12</v>
      </c>
      <c r="P103" s="102" t="s">
        <v>524</v>
      </c>
      <c r="Q103" s="103" t="s">
        <v>1160</v>
      </c>
      <c r="R103" s="103">
        <v>111040009</v>
      </c>
      <c r="S103" s="104" t="str">
        <f t="shared" si="33"/>
        <v>UITexture/Bldg/111040009.png</v>
      </c>
      <c r="T103" s="102" t="s">
        <v>1045</v>
      </c>
      <c r="U103" s="102">
        <v>2</v>
      </c>
      <c r="V103" s="102">
        <v>2</v>
      </c>
      <c r="W103" s="102">
        <v>3</v>
      </c>
      <c r="Y103" s="104">
        <f t="shared" si="30"/>
        <v>104</v>
      </c>
      <c r="Z103" s="102">
        <v>90</v>
      </c>
      <c r="AA103" s="102">
        <v>1</v>
      </c>
      <c r="AB103" s="102">
        <v>3</v>
      </c>
      <c r="AC103" s="102">
        <v>0</v>
      </c>
      <c r="AE103" s="102">
        <v>9</v>
      </c>
      <c r="AG103" s="104">
        <f t="shared" si="34"/>
        <v>13043</v>
      </c>
      <c r="AH103" s="103">
        <v>13042.526315789475</v>
      </c>
      <c r="AI103" s="172">
        <v>3</v>
      </c>
      <c r="AK103" s="104">
        <f ca="1">IFERROR(OFFSET(ITEM_RES!$A$5,MATCH(AL103,ITEM_RES!$M$5:$M$84,0)-1,0),0)</f>
        <v>220000103</v>
      </c>
      <c r="AL103" s="103" t="s">
        <v>575</v>
      </c>
      <c r="AM103" s="104">
        <f t="shared" si="56"/>
        <v>14000</v>
      </c>
      <c r="AN103" s="103">
        <v>13820.358187134507</v>
      </c>
      <c r="AP103" s="104">
        <f ca="1">IFERROR(OFFSET(ITEM_RES!$A$5,MATCH(AQ103,ITEM_RES!$M$5:$M$84,0)-1,0),0)</f>
        <v>220000203</v>
      </c>
      <c r="AQ103" s="103" t="s">
        <v>593</v>
      </c>
      <c r="AR103" s="104">
        <f t="shared" si="57"/>
        <v>8300</v>
      </c>
      <c r="AS103" s="103">
        <v>8292.2149122807041</v>
      </c>
      <c r="AU103" s="104">
        <f ca="1">IFERROR(OFFSET(ITEM_RES!$A$5,MATCH(AV103,ITEM_RES!$M$5:$M$84,0)-1,0),0)</f>
        <v>220000303</v>
      </c>
      <c r="AV103" s="103" t="s">
        <v>611</v>
      </c>
      <c r="AW103" s="104">
        <f t="shared" si="58"/>
        <v>2800</v>
      </c>
      <c r="AX103" s="103">
        <v>2764.0716374269014</v>
      </c>
      <c r="AZ103" s="104">
        <f ca="1">IFERROR(OFFSET(ITEM_RES!$A$5,MATCH(BA103,ITEM_RES!$M$5:$M$84,0)-1,0),0)</f>
        <v>220000403</v>
      </c>
      <c r="BA103" s="103" t="s">
        <v>629</v>
      </c>
      <c r="BB103" s="104">
        <f t="shared" si="59"/>
        <v>0</v>
      </c>
      <c r="BC103" s="103">
        <v>0</v>
      </c>
      <c r="BE103" s="104">
        <f ca="1">IFERROR(OFFSET(ITEM_RES!$A$5,MATCH(BF103,ITEM_RES!$M$5:$M$84,0)-1,0),0)</f>
        <v>0</v>
      </c>
      <c r="BG103" s="104">
        <f t="shared" si="60"/>
        <v>0</v>
      </c>
    </row>
    <row r="104" spans="1:59" x14ac:dyDescent="0.3">
      <c r="A104" s="107">
        <f t="shared" si="54"/>
        <v>111040010</v>
      </c>
      <c r="B104" s="106">
        <v>11</v>
      </c>
      <c r="C104" s="105">
        <f t="shared" si="55"/>
        <v>1</v>
      </c>
      <c r="D104" s="106">
        <v>4</v>
      </c>
      <c r="E104" s="106">
        <v>0</v>
      </c>
      <c r="F104" s="105">
        <f t="shared" si="29"/>
        <v>10</v>
      </c>
      <c r="H104" s="102">
        <v>1</v>
      </c>
      <c r="I104" s="102">
        <v>10</v>
      </c>
      <c r="K104" s="102" t="s">
        <v>1041</v>
      </c>
      <c r="L104" s="102" t="s">
        <v>773</v>
      </c>
      <c r="M104" s="103" t="s">
        <v>379</v>
      </c>
      <c r="N104" s="102">
        <v>1</v>
      </c>
      <c r="O104" s="102">
        <v>12</v>
      </c>
      <c r="P104" s="102" t="s">
        <v>524</v>
      </c>
      <c r="Q104" s="103" t="s">
        <v>1160</v>
      </c>
      <c r="R104" s="103">
        <v>111040010</v>
      </c>
      <c r="S104" s="104" t="str">
        <f t="shared" si="33"/>
        <v>UITexture/Bldg/111040010.png</v>
      </c>
      <c r="T104" s="102" t="s">
        <v>1045</v>
      </c>
      <c r="U104" s="102">
        <v>2</v>
      </c>
      <c r="V104" s="102">
        <v>2</v>
      </c>
      <c r="W104" s="102">
        <v>3</v>
      </c>
      <c r="Y104" s="104">
        <f t="shared" si="30"/>
        <v>104</v>
      </c>
      <c r="Z104" s="102">
        <v>100</v>
      </c>
      <c r="AA104" s="102">
        <v>1</v>
      </c>
      <c r="AB104" s="102">
        <v>3</v>
      </c>
      <c r="AC104" s="102">
        <v>0</v>
      </c>
      <c r="AE104" s="102">
        <v>10</v>
      </c>
      <c r="AG104" s="104">
        <f t="shared" si="34"/>
        <v>15651</v>
      </c>
      <c r="AH104" s="103">
        <v>15651.031578947372</v>
      </c>
      <c r="AI104" s="172">
        <v>3</v>
      </c>
      <c r="AK104" s="104">
        <f ca="1">IFERROR(OFFSET(ITEM_RES!$A$5,MATCH(AL104,ITEM_RES!$M$5:$M$84,0)-1,0),0)</f>
        <v>220000104</v>
      </c>
      <c r="AL104" s="103" t="s">
        <v>576</v>
      </c>
      <c r="AM104" s="104">
        <f t="shared" si="56"/>
        <v>8300</v>
      </c>
      <c r="AN104" s="103">
        <v>8292.2149122807041</v>
      </c>
      <c r="AP104" s="104">
        <f ca="1">IFERROR(OFFSET(ITEM_RES!$A$5,MATCH(AQ104,ITEM_RES!$M$5:$M$84,0)-1,0),0)</f>
        <v>220000204</v>
      </c>
      <c r="AQ104" s="103" t="s">
        <v>594</v>
      </c>
      <c r="AR104" s="104">
        <f t="shared" si="57"/>
        <v>5000</v>
      </c>
      <c r="AS104" s="103">
        <v>4975.3289473684217</v>
      </c>
      <c r="AU104" s="104">
        <f ca="1">IFERROR(OFFSET(ITEM_RES!$A$5,MATCH(AV104,ITEM_RES!$M$5:$M$84,0)-1,0),0)</f>
        <v>220000304</v>
      </c>
      <c r="AV104" s="103" t="s">
        <v>612</v>
      </c>
      <c r="AW104" s="104">
        <f t="shared" si="58"/>
        <v>1700</v>
      </c>
      <c r="AX104" s="103">
        <v>1658.4429824561407</v>
      </c>
      <c r="AZ104" s="104">
        <f ca="1">IFERROR(OFFSET(ITEM_RES!$A$5,MATCH(BA104,ITEM_RES!$M$5:$M$84,0)-1,0),0)</f>
        <v>220000404</v>
      </c>
      <c r="BA104" s="103" t="s">
        <v>630</v>
      </c>
      <c r="BB104" s="104">
        <f t="shared" si="59"/>
        <v>0</v>
      </c>
      <c r="BC104" s="103">
        <v>0</v>
      </c>
      <c r="BE104" s="104">
        <f ca="1">IFERROR(OFFSET(ITEM_RES!$A$5,MATCH(BF104,ITEM_RES!$M$5:$M$84,0)-1,0),0)</f>
        <v>0</v>
      </c>
      <c r="BG104" s="104">
        <f t="shared" si="60"/>
        <v>0</v>
      </c>
    </row>
    <row r="105" spans="1:59" x14ac:dyDescent="0.3">
      <c r="A105" s="107">
        <f t="shared" ref="A105:A119" si="61">B105*10000000+C105*1000000+D105*10000+E105*100+F105</f>
        <v>111040011</v>
      </c>
      <c r="B105" s="106">
        <v>11</v>
      </c>
      <c r="C105" s="105">
        <f t="shared" ref="C105:C119" si="62">H105</f>
        <v>1</v>
      </c>
      <c r="D105" s="106">
        <v>4</v>
      </c>
      <c r="E105" s="106">
        <v>0</v>
      </c>
      <c r="F105" s="105">
        <f t="shared" si="29"/>
        <v>11</v>
      </c>
      <c r="H105" s="102">
        <v>1</v>
      </c>
      <c r="I105" s="102">
        <v>11</v>
      </c>
      <c r="K105" s="102" t="s">
        <v>1041</v>
      </c>
      <c r="L105" s="102" t="s">
        <v>773</v>
      </c>
      <c r="M105" s="103" t="s">
        <v>379</v>
      </c>
      <c r="N105" s="102">
        <v>1</v>
      </c>
      <c r="O105" s="102">
        <v>12</v>
      </c>
      <c r="P105" s="102" t="s">
        <v>524</v>
      </c>
      <c r="Q105" s="103" t="s">
        <v>1160</v>
      </c>
      <c r="R105" s="103">
        <v>111040011</v>
      </c>
      <c r="S105" s="104" t="str">
        <f t="shared" si="33"/>
        <v>UITexture/Bldg/111040011.png</v>
      </c>
      <c r="T105" s="102" t="s">
        <v>1045</v>
      </c>
      <c r="U105" s="102">
        <v>2</v>
      </c>
      <c r="V105" s="102">
        <v>2</v>
      </c>
      <c r="W105" s="102">
        <v>3</v>
      </c>
      <c r="Y105" s="104">
        <f t="shared" si="30"/>
        <v>104</v>
      </c>
      <c r="Z105" s="102">
        <v>110</v>
      </c>
      <c r="AA105" s="102">
        <v>1</v>
      </c>
      <c r="AB105" s="102">
        <v>3</v>
      </c>
      <c r="AC105" s="102">
        <v>0</v>
      </c>
      <c r="AE105" s="102">
        <v>11</v>
      </c>
      <c r="AG105" s="104">
        <f t="shared" si="34"/>
        <v>23477</v>
      </c>
      <c r="AH105" s="103">
        <v>23476.547368421056</v>
      </c>
      <c r="AI105" s="172">
        <v>4</v>
      </c>
      <c r="AK105" s="104">
        <f ca="1">IFERROR(OFFSET(ITEM_RES!$A$5,MATCH(AL105,ITEM_RES!$M$5:$M$84,0)-1,0),0)</f>
        <v>220000104</v>
      </c>
      <c r="AL105" s="103" t="s">
        <v>576</v>
      </c>
      <c r="AM105" s="104">
        <f t="shared" ref="AM105:AM119" si="63">IF(AN105&lt;100,ROUND(AN105,1-LEN(ROUND(AN105,0))),ROUND(AN105,2-LEN(ROUND(AN105,0))))</f>
        <v>16000</v>
      </c>
      <c r="AN105" s="103">
        <v>15547.902960526317</v>
      </c>
      <c r="AP105" s="104">
        <f ca="1">IFERROR(OFFSET(ITEM_RES!$A$5,MATCH(AQ105,ITEM_RES!$M$5:$M$84,0)-1,0),0)</f>
        <v>220000204</v>
      </c>
      <c r="AQ105" s="103" t="s">
        <v>594</v>
      </c>
      <c r="AR105" s="104">
        <f t="shared" ref="AR105:AR119" si="64">IF(AS105&lt;100,ROUND(AS105,1-LEN(ROUND(AS105,0))),ROUND(AS105,2-LEN(ROUND(AS105,0))))</f>
        <v>7000</v>
      </c>
      <c r="AS105" s="103">
        <v>6996.5563322368425</v>
      </c>
      <c r="AU105" s="104">
        <f ca="1">IFERROR(OFFSET(ITEM_RES!$A$5,MATCH(AV105,ITEM_RES!$M$5:$M$84,0)-1,0),0)</f>
        <v>220000304</v>
      </c>
      <c r="AV105" s="103" t="s">
        <v>612</v>
      </c>
      <c r="AW105" s="104">
        <f t="shared" ref="AW105:AW119" si="65">IF(AX105&lt;100,ROUND(AX105,1-LEN(ROUND(AX105,0))),ROUND(AX105,2-LEN(ROUND(AX105,0))))</f>
        <v>3100</v>
      </c>
      <c r="AX105" s="103">
        <v>3109.5805921052633</v>
      </c>
      <c r="AZ105" s="104">
        <f ca="1">IFERROR(OFFSET(ITEM_RES!$A$5,MATCH(BA105,ITEM_RES!$M$5:$M$84,0)-1,0),0)</f>
        <v>220000404</v>
      </c>
      <c r="BA105" s="103" t="s">
        <v>630</v>
      </c>
      <c r="BB105" s="104">
        <f t="shared" ref="BB105:BB119" si="66">IF(BC105&lt;100,ROUND(BC105,1-LEN(ROUND(BC105,0))),ROUND(BC105,2-LEN(ROUND(BC105,0))))</f>
        <v>780</v>
      </c>
      <c r="BC105" s="103">
        <v>777.39514802631584</v>
      </c>
      <c r="BE105" s="104">
        <f ca="1">IFERROR(OFFSET(ITEM_RES!$A$5,MATCH(BF105,ITEM_RES!$M$5:$M$84,0)-1,0),0)</f>
        <v>0</v>
      </c>
      <c r="BG105" s="104">
        <f t="shared" ref="BG105:BG119" si="67">IF(BH105&lt;100,ROUND(BH105,1-LEN(ROUND(BH105,0))),ROUND(BH105,2-LEN(ROUND(BH105,0))))</f>
        <v>0</v>
      </c>
    </row>
    <row r="106" spans="1:59" x14ac:dyDescent="0.3">
      <c r="A106" s="107">
        <f t="shared" si="61"/>
        <v>111040012</v>
      </c>
      <c r="B106" s="106">
        <v>11</v>
      </c>
      <c r="C106" s="105">
        <f t="shared" si="62"/>
        <v>1</v>
      </c>
      <c r="D106" s="106">
        <v>4</v>
      </c>
      <c r="E106" s="106">
        <v>0</v>
      </c>
      <c r="F106" s="105">
        <f t="shared" si="29"/>
        <v>12</v>
      </c>
      <c r="H106" s="102">
        <v>1</v>
      </c>
      <c r="I106" s="102">
        <v>12</v>
      </c>
      <c r="K106" s="102" t="s">
        <v>1041</v>
      </c>
      <c r="L106" s="102" t="s">
        <v>773</v>
      </c>
      <c r="M106" s="103" t="s">
        <v>379</v>
      </c>
      <c r="N106" s="102">
        <v>1</v>
      </c>
      <c r="O106" s="102">
        <v>12</v>
      </c>
      <c r="P106" s="102" t="s">
        <v>524</v>
      </c>
      <c r="Q106" s="103" t="s">
        <v>1160</v>
      </c>
      <c r="R106" s="103">
        <v>111040012</v>
      </c>
      <c r="S106" s="104" t="str">
        <f t="shared" si="33"/>
        <v>UITexture/Bldg/111040012.png</v>
      </c>
      <c r="T106" s="102" t="s">
        <v>1045</v>
      </c>
      <c r="U106" s="102">
        <v>2</v>
      </c>
      <c r="V106" s="102">
        <v>2</v>
      </c>
      <c r="W106" s="102">
        <v>3</v>
      </c>
      <c r="Y106" s="104">
        <f t="shared" si="30"/>
        <v>104</v>
      </c>
      <c r="Z106" s="102">
        <v>120</v>
      </c>
      <c r="AA106" s="102">
        <v>1</v>
      </c>
      <c r="AB106" s="102">
        <v>3</v>
      </c>
      <c r="AC106" s="102">
        <v>0</v>
      </c>
      <c r="AE106" s="102">
        <v>12</v>
      </c>
      <c r="AG106" s="104">
        <f t="shared" si="34"/>
        <v>35215</v>
      </c>
      <c r="AH106" s="103">
        <v>35214.821052631582</v>
      </c>
      <c r="AI106" s="172">
        <v>4</v>
      </c>
      <c r="AK106" s="104">
        <f ca="1">IFERROR(OFFSET(ITEM_RES!$A$5,MATCH(AL106,ITEM_RES!$M$5:$M$84,0)-1,0),0)</f>
        <v>220000104</v>
      </c>
      <c r="AL106" s="103" t="s">
        <v>576</v>
      </c>
      <c r="AM106" s="104">
        <f t="shared" si="63"/>
        <v>29000</v>
      </c>
      <c r="AN106" s="103">
        <v>29152.318050986847</v>
      </c>
      <c r="AP106" s="104">
        <f ca="1">IFERROR(OFFSET(ITEM_RES!$A$5,MATCH(AQ106,ITEM_RES!$M$5:$M$84,0)-1,0),0)</f>
        <v>220000204</v>
      </c>
      <c r="AQ106" s="103" t="s">
        <v>594</v>
      </c>
      <c r="AR106" s="104">
        <f t="shared" si="64"/>
        <v>13000</v>
      </c>
      <c r="AS106" s="103">
        <v>13118.54312294408</v>
      </c>
      <c r="AU106" s="104">
        <f ca="1">IFERROR(OFFSET(ITEM_RES!$A$5,MATCH(AV106,ITEM_RES!$M$5:$M$84,0)-1,0),0)</f>
        <v>220000304</v>
      </c>
      <c r="AV106" s="103" t="s">
        <v>612</v>
      </c>
      <c r="AW106" s="104">
        <f t="shared" si="65"/>
        <v>5800</v>
      </c>
      <c r="AX106" s="103">
        <v>5830.4636101973692</v>
      </c>
      <c r="AZ106" s="104">
        <f ca="1">IFERROR(OFFSET(ITEM_RES!$A$5,MATCH(BA106,ITEM_RES!$M$5:$M$84,0)-1,0),0)</f>
        <v>220000404</v>
      </c>
      <c r="BA106" s="103" t="s">
        <v>630</v>
      </c>
      <c r="BB106" s="104">
        <f t="shared" si="66"/>
        <v>1500</v>
      </c>
      <c r="BC106" s="103">
        <v>1457.6159025493423</v>
      </c>
      <c r="BE106" s="104">
        <f ca="1">IFERROR(OFFSET(ITEM_RES!$A$5,MATCH(BF106,ITEM_RES!$M$5:$M$84,0)-1,0),0)</f>
        <v>0</v>
      </c>
      <c r="BG106" s="104">
        <f t="shared" si="67"/>
        <v>0</v>
      </c>
    </row>
    <row r="107" spans="1:59" x14ac:dyDescent="0.3">
      <c r="A107" s="107">
        <f t="shared" si="61"/>
        <v>111040013</v>
      </c>
      <c r="B107" s="106">
        <v>11</v>
      </c>
      <c r="C107" s="105">
        <f t="shared" si="62"/>
        <v>1</v>
      </c>
      <c r="D107" s="106">
        <v>4</v>
      </c>
      <c r="E107" s="106">
        <v>0</v>
      </c>
      <c r="F107" s="105">
        <f t="shared" si="29"/>
        <v>13</v>
      </c>
      <c r="H107" s="102">
        <v>1</v>
      </c>
      <c r="I107" s="102">
        <v>13</v>
      </c>
      <c r="K107" s="102" t="s">
        <v>1041</v>
      </c>
      <c r="L107" s="102" t="s">
        <v>773</v>
      </c>
      <c r="M107" s="103" t="s">
        <v>379</v>
      </c>
      <c r="N107" s="102">
        <v>0</v>
      </c>
      <c r="O107" s="102">
        <v>12</v>
      </c>
      <c r="P107" s="102" t="s">
        <v>524</v>
      </c>
      <c r="Q107" s="103" t="s">
        <v>1160</v>
      </c>
      <c r="R107" s="103">
        <v>111040013</v>
      </c>
      <c r="S107" s="104" t="str">
        <f t="shared" si="33"/>
        <v>UITexture/Bldg/111040013.png</v>
      </c>
      <c r="T107" s="102" t="s">
        <v>1045</v>
      </c>
      <c r="U107" s="102">
        <v>2</v>
      </c>
      <c r="V107" s="102">
        <v>2</v>
      </c>
      <c r="W107" s="102">
        <v>3</v>
      </c>
      <c r="Y107" s="104">
        <f t="shared" si="30"/>
        <v>104</v>
      </c>
      <c r="Z107" s="102">
        <v>130</v>
      </c>
      <c r="AA107" s="102">
        <v>1</v>
      </c>
      <c r="AB107" s="102">
        <v>3</v>
      </c>
      <c r="AC107" s="102">
        <v>0</v>
      </c>
      <c r="AE107" s="102">
        <v>13</v>
      </c>
      <c r="AG107" s="104">
        <f t="shared" si="34"/>
        <v>45779</v>
      </c>
      <c r="AH107" s="103">
        <v>45779.267368421053</v>
      </c>
      <c r="AI107" s="172">
        <v>4</v>
      </c>
      <c r="AK107" s="104">
        <f ca="1">IFERROR(OFFSET(ITEM_RES!$A$5,MATCH(AL107,ITEM_RES!$M$5:$M$84,0)-1,0),0)</f>
        <v>220000105</v>
      </c>
      <c r="AL107" s="103" t="s">
        <v>577</v>
      </c>
      <c r="AM107" s="104">
        <f t="shared" si="63"/>
        <v>16000</v>
      </c>
      <c r="AN107" s="103">
        <v>15790.838944284542</v>
      </c>
      <c r="AP107" s="104">
        <f ca="1">IFERROR(OFFSET(ITEM_RES!$A$5,MATCH(AQ107,ITEM_RES!$M$5:$M$84,0)-1,0),0)</f>
        <v>220000205</v>
      </c>
      <c r="AQ107" s="103" t="s">
        <v>595</v>
      </c>
      <c r="AR107" s="104">
        <f t="shared" si="64"/>
        <v>7100</v>
      </c>
      <c r="AS107" s="103">
        <v>7105.8775249280443</v>
      </c>
      <c r="AU107" s="104">
        <f ca="1">IFERROR(OFFSET(ITEM_RES!$A$5,MATCH(AV107,ITEM_RES!$M$5:$M$84,0)-1,0),0)</f>
        <v>220000305</v>
      </c>
      <c r="AV107" s="103" t="s">
        <v>613</v>
      </c>
      <c r="AW107" s="104">
        <f t="shared" si="65"/>
        <v>3200</v>
      </c>
      <c r="AX107" s="103">
        <v>3158.1677888569084</v>
      </c>
      <c r="AZ107" s="104">
        <f ca="1">IFERROR(OFFSET(ITEM_RES!$A$5,MATCH(BA107,ITEM_RES!$M$5:$M$84,0)-1,0),0)</f>
        <v>220000405</v>
      </c>
      <c r="BA107" s="103" t="s">
        <v>631</v>
      </c>
      <c r="BB107" s="104">
        <f t="shared" si="66"/>
        <v>790</v>
      </c>
      <c r="BC107" s="103">
        <v>789.54194721422709</v>
      </c>
      <c r="BE107" s="104">
        <f ca="1">IFERROR(OFFSET(ITEM_RES!$A$5,MATCH(BF107,ITEM_RES!$M$5:$M$84,0)-1,0),0)</f>
        <v>0</v>
      </c>
      <c r="BG107" s="104">
        <f t="shared" si="67"/>
        <v>0</v>
      </c>
    </row>
    <row r="108" spans="1:59" x14ac:dyDescent="0.3">
      <c r="A108" s="107">
        <f t="shared" si="61"/>
        <v>111040014</v>
      </c>
      <c r="B108" s="106">
        <v>11</v>
      </c>
      <c r="C108" s="105">
        <f t="shared" si="62"/>
        <v>1</v>
      </c>
      <c r="D108" s="106">
        <v>4</v>
      </c>
      <c r="E108" s="106">
        <v>0</v>
      </c>
      <c r="F108" s="105">
        <f t="shared" si="29"/>
        <v>14</v>
      </c>
      <c r="H108" s="102">
        <v>1</v>
      </c>
      <c r="I108" s="102">
        <v>14</v>
      </c>
      <c r="K108" s="102" t="s">
        <v>1041</v>
      </c>
      <c r="L108" s="102" t="s">
        <v>773</v>
      </c>
      <c r="M108" s="103" t="s">
        <v>379</v>
      </c>
      <c r="N108" s="102">
        <v>0</v>
      </c>
      <c r="O108" s="102">
        <v>12</v>
      </c>
      <c r="P108" s="102" t="s">
        <v>524</v>
      </c>
      <c r="Q108" s="103" t="s">
        <v>1160</v>
      </c>
      <c r="R108" s="103">
        <v>111040014</v>
      </c>
      <c r="S108" s="104" t="str">
        <f t="shared" si="33"/>
        <v>UITexture/Bldg/111040014.png</v>
      </c>
      <c r="T108" s="102" t="s">
        <v>1045</v>
      </c>
      <c r="U108" s="102">
        <v>2</v>
      </c>
      <c r="V108" s="102">
        <v>2</v>
      </c>
      <c r="W108" s="102">
        <v>3</v>
      </c>
      <c r="Y108" s="104">
        <f t="shared" si="30"/>
        <v>104</v>
      </c>
      <c r="Z108" s="102">
        <v>140</v>
      </c>
      <c r="AA108" s="102">
        <v>1</v>
      </c>
      <c r="AB108" s="102">
        <v>3</v>
      </c>
      <c r="AC108" s="102">
        <v>0</v>
      </c>
      <c r="AE108" s="102">
        <v>14</v>
      </c>
      <c r="AG108" s="104">
        <f t="shared" si="34"/>
        <v>50357</v>
      </c>
      <c r="AH108" s="103">
        <v>50357.194105263159</v>
      </c>
      <c r="AI108" s="172">
        <v>4</v>
      </c>
      <c r="AK108" s="104">
        <f ca="1">IFERROR(OFFSET(ITEM_RES!$A$5,MATCH(AL108,ITEM_RES!$M$5:$M$84,0)-1,0),0)</f>
        <v>220000105</v>
      </c>
      <c r="AL108" s="103" t="s">
        <v>577</v>
      </c>
      <c r="AM108" s="104">
        <f t="shared" si="63"/>
        <v>22000</v>
      </c>
      <c r="AN108" s="103">
        <v>21712.403548391245</v>
      </c>
      <c r="AP108" s="104">
        <f ca="1">IFERROR(OFFSET(ITEM_RES!$A$5,MATCH(AQ108,ITEM_RES!$M$5:$M$84,0)-1,0),0)</f>
        <v>220000205</v>
      </c>
      <c r="AQ108" s="103" t="s">
        <v>595</v>
      </c>
      <c r="AR108" s="104">
        <f t="shared" si="64"/>
        <v>9800</v>
      </c>
      <c r="AS108" s="103">
        <v>9770.5815967760609</v>
      </c>
      <c r="AU108" s="104">
        <f ca="1">IFERROR(OFFSET(ITEM_RES!$A$5,MATCH(AV108,ITEM_RES!$M$5:$M$84,0)-1,0),0)</f>
        <v>220000305</v>
      </c>
      <c r="AV108" s="103" t="s">
        <v>613</v>
      </c>
      <c r="AW108" s="104">
        <f t="shared" si="65"/>
        <v>4300</v>
      </c>
      <c r="AX108" s="103">
        <v>4342.4807096782488</v>
      </c>
      <c r="AZ108" s="104">
        <f ca="1">IFERROR(OFFSET(ITEM_RES!$A$5,MATCH(BA108,ITEM_RES!$M$5:$M$84,0)-1,0),0)</f>
        <v>220000405</v>
      </c>
      <c r="BA108" s="103" t="s">
        <v>631</v>
      </c>
      <c r="BB108" s="104">
        <f t="shared" si="66"/>
        <v>1100</v>
      </c>
      <c r="BC108" s="103">
        <v>1085.6201774195622</v>
      </c>
      <c r="BE108" s="104">
        <f ca="1">IFERROR(OFFSET(ITEM_RES!$A$5,MATCH(BF108,ITEM_RES!$M$5:$M$84,0)-1,0),0)</f>
        <v>0</v>
      </c>
      <c r="BG108" s="104">
        <f t="shared" si="67"/>
        <v>0</v>
      </c>
    </row>
    <row r="109" spans="1:59" x14ac:dyDescent="0.3">
      <c r="A109" s="107">
        <f t="shared" si="61"/>
        <v>111040015</v>
      </c>
      <c r="B109" s="106">
        <v>11</v>
      </c>
      <c r="C109" s="105">
        <f t="shared" si="62"/>
        <v>1</v>
      </c>
      <c r="D109" s="106">
        <v>4</v>
      </c>
      <c r="E109" s="106">
        <v>0</v>
      </c>
      <c r="F109" s="105">
        <f t="shared" si="29"/>
        <v>15</v>
      </c>
      <c r="H109" s="102">
        <v>1</v>
      </c>
      <c r="I109" s="102">
        <v>15</v>
      </c>
      <c r="K109" s="102" t="s">
        <v>1041</v>
      </c>
      <c r="L109" s="102" t="s">
        <v>773</v>
      </c>
      <c r="M109" s="103" t="s">
        <v>379</v>
      </c>
      <c r="N109" s="102">
        <v>0</v>
      </c>
      <c r="O109" s="102">
        <v>12</v>
      </c>
      <c r="P109" s="102" t="s">
        <v>524</v>
      </c>
      <c r="Q109" s="103" t="s">
        <v>1160</v>
      </c>
      <c r="R109" s="103">
        <v>111040015</v>
      </c>
      <c r="S109" s="104" t="str">
        <f t="shared" si="33"/>
        <v>UITexture/Bldg/111040015.png</v>
      </c>
      <c r="T109" s="102" t="s">
        <v>1045</v>
      </c>
      <c r="U109" s="102">
        <v>2</v>
      </c>
      <c r="V109" s="102">
        <v>2</v>
      </c>
      <c r="W109" s="102">
        <v>3</v>
      </c>
      <c r="Y109" s="104">
        <f t="shared" si="30"/>
        <v>104</v>
      </c>
      <c r="Z109" s="102">
        <v>150</v>
      </c>
      <c r="AA109" s="102">
        <v>1</v>
      </c>
      <c r="AB109" s="102">
        <v>3</v>
      </c>
      <c r="AC109" s="102">
        <v>0</v>
      </c>
      <c r="AE109" s="102">
        <v>15</v>
      </c>
      <c r="AG109" s="104">
        <f t="shared" si="34"/>
        <v>55393</v>
      </c>
      <c r="AH109" s="103">
        <v>55392.913515789485</v>
      </c>
      <c r="AI109" s="172">
        <v>4</v>
      </c>
      <c r="AK109" s="104">
        <f ca="1">IFERROR(OFFSET(ITEM_RES!$A$5,MATCH(AL109,ITEM_RES!$M$5:$M$84,0)-1,0),0)</f>
        <v>220000105</v>
      </c>
      <c r="AL109" s="103" t="s">
        <v>577</v>
      </c>
      <c r="AM109" s="104">
        <f t="shared" si="63"/>
        <v>30000</v>
      </c>
      <c r="AN109" s="103">
        <v>29854.554879037962</v>
      </c>
      <c r="AP109" s="104">
        <f ca="1">IFERROR(OFFSET(ITEM_RES!$A$5,MATCH(AQ109,ITEM_RES!$M$5:$M$84,0)-1,0),0)</f>
        <v>220000205</v>
      </c>
      <c r="AQ109" s="103" t="s">
        <v>595</v>
      </c>
      <c r="AR109" s="104">
        <f t="shared" si="64"/>
        <v>13000</v>
      </c>
      <c r="AS109" s="103">
        <v>13434.549695567082</v>
      </c>
      <c r="AU109" s="104">
        <f ca="1">IFERROR(OFFSET(ITEM_RES!$A$5,MATCH(AV109,ITEM_RES!$M$5:$M$84,0)-1,0),0)</f>
        <v>220000305</v>
      </c>
      <c r="AV109" s="103" t="s">
        <v>613</v>
      </c>
      <c r="AW109" s="104">
        <f t="shared" si="65"/>
        <v>6000</v>
      </c>
      <c r="AX109" s="103">
        <v>5970.910975807592</v>
      </c>
      <c r="AZ109" s="104">
        <f ca="1">IFERROR(OFFSET(ITEM_RES!$A$5,MATCH(BA109,ITEM_RES!$M$5:$M$84,0)-1,0),0)</f>
        <v>220000405</v>
      </c>
      <c r="BA109" s="103" t="s">
        <v>631</v>
      </c>
      <c r="BB109" s="104">
        <f t="shared" si="66"/>
        <v>1500</v>
      </c>
      <c r="BC109" s="103">
        <v>1492.727743951898</v>
      </c>
      <c r="BE109" s="104">
        <f ca="1">IFERROR(OFFSET(ITEM_RES!$A$5,MATCH(BF109,ITEM_RES!$M$5:$M$84,0)-1,0),0)</f>
        <v>0</v>
      </c>
      <c r="BG109" s="104">
        <f t="shared" si="67"/>
        <v>0</v>
      </c>
    </row>
    <row r="110" spans="1:59" x14ac:dyDescent="0.3">
      <c r="A110" s="107">
        <f t="shared" si="61"/>
        <v>111040016</v>
      </c>
      <c r="B110" s="106">
        <v>11</v>
      </c>
      <c r="C110" s="105">
        <f t="shared" si="62"/>
        <v>1</v>
      </c>
      <c r="D110" s="106">
        <v>4</v>
      </c>
      <c r="E110" s="106">
        <v>0</v>
      </c>
      <c r="F110" s="105">
        <f t="shared" si="29"/>
        <v>16</v>
      </c>
      <c r="H110" s="102">
        <v>1</v>
      </c>
      <c r="I110" s="102">
        <v>16</v>
      </c>
      <c r="K110" s="102" t="s">
        <v>1041</v>
      </c>
      <c r="L110" s="102" t="s">
        <v>773</v>
      </c>
      <c r="M110" s="103" t="s">
        <v>379</v>
      </c>
      <c r="N110" s="102">
        <v>0</v>
      </c>
      <c r="O110" s="102">
        <v>12</v>
      </c>
      <c r="P110" s="102" t="s">
        <v>524</v>
      </c>
      <c r="Q110" s="103" t="s">
        <v>1160</v>
      </c>
      <c r="R110" s="103">
        <v>111040016</v>
      </c>
      <c r="S110" s="104" t="str">
        <f t="shared" si="33"/>
        <v>UITexture/Bldg/111040016.png</v>
      </c>
      <c r="T110" s="102" t="s">
        <v>1045</v>
      </c>
      <c r="U110" s="102">
        <v>2</v>
      </c>
      <c r="V110" s="102">
        <v>2</v>
      </c>
      <c r="W110" s="102">
        <v>3</v>
      </c>
      <c r="Y110" s="104">
        <f t="shared" si="30"/>
        <v>104</v>
      </c>
      <c r="Z110" s="102">
        <v>160</v>
      </c>
      <c r="AA110" s="102">
        <v>1</v>
      </c>
      <c r="AB110" s="102">
        <v>3</v>
      </c>
      <c r="AC110" s="102">
        <v>0</v>
      </c>
      <c r="AE110" s="102">
        <v>16</v>
      </c>
      <c r="AG110" s="104">
        <f t="shared" si="34"/>
        <v>60932</v>
      </c>
      <c r="AH110" s="103">
        <v>60932.204867368433</v>
      </c>
      <c r="AI110" s="172">
        <v>4</v>
      </c>
      <c r="AK110" s="104">
        <f ca="1">IFERROR(OFFSET(ITEM_RES!$A$5,MATCH(AL110,ITEM_RES!$M$5:$M$84,0)-1,0),0)</f>
        <v>220000106</v>
      </c>
      <c r="AL110" s="103" t="s">
        <v>578</v>
      </c>
      <c r="AM110" s="104">
        <f t="shared" si="63"/>
        <v>8600</v>
      </c>
      <c r="AN110" s="103">
        <v>8552.0860330577507</v>
      </c>
      <c r="AP110" s="104">
        <f ca="1">IFERROR(OFFSET(ITEM_RES!$A$5,MATCH(AQ110,ITEM_RES!$M$5:$M$84,0)-1,0),0)</f>
        <v>220000206</v>
      </c>
      <c r="AQ110" s="103" t="s">
        <v>596</v>
      </c>
      <c r="AR110" s="104">
        <f t="shared" si="64"/>
        <v>5100</v>
      </c>
      <c r="AS110" s="103">
        <v>5131.2516198346511</v>
      </c>
      <c r="AU110" s="104">
        <f ca="1">IFERROR(OFFSET(ITEM_RES!$A$5,MATCH(AV110,ITEM_RES!$M$5:$M$84,0)-1,0),0)</f>
        <v>220000306</v>
      </c>
      <c r="AV110" s="103" t="s">
        <v>614</v>
      </c>
      <c r="AW110" s="104">
        <f t="shared" si="65"/>
        <v>3400</v>
      </c>
      <c r="AX110" s="103">
        <v>3420.8344132231005</v>
      </c>
      <c r="AZ110" s="104">
        <f ca="1">IFERROR(OFFSET(ITEM_RES!$A$5,MATCH(BA110,ITEM_RES!$M$5:$M$84,0)-1,0),0)</f>
        <v>220000406</v>
      </c>
      <c r="BA110" s="103" t="s">
        <v>632</v>
      </c>
      <c r="BB110" s="104">
        <f t="shared" si="66"/>
        <v>1700</v>
      </c>
      <c r="BC110" s="103">
        <v>1710.4172066115502</v>
      </c>
      <c r="BE110" s="104">
        <f ca="1">IFERROR(OFFSET(ITEM_RES!$A$5,MATCH(BF110,ITEM_RES!$M$5:$M$84,0)-1,0),0)</f>
        <v>0</v>
      </c>
      <c r="BG110" s="104">
        <f t="shared" si="67"/>
        <v>0</v>
      </c>
    </row>
    <row r="111" spans="1:59" x14ac:dyDescent="0.3">
      <c r="A111" s="107">
        <f t="shared" si="61"/>
        <v>111040017</v>
      </c>
      <c r="B111" s="106">
        <v>11</v>
      </c>
      <c r="C111" s="105">
        <f t="shared" si="62"/>
        <v>1</v>
      </c>
      <c r="D111" s="106">
        <v>4</v>
      </c>
      <c r="E111" s="106">
        <v>0</v>
      </c>
      <c r="F111" s="105">
        <f t="shared" si="29"/>
        <v>17</v>
      </c>
      <c r="H111" s="102">
        <v>1</v>
      </c>
      <c r="I111" s="102">
        <v>17</v>
      </c>
      <c r="K111" s="102" t="s">
        <v>1041</v>
      </c>
      <c r="L111" s="102" t="s">
        <v>773</v>
      </c>
      <c r="M111" s="103" t="s">
        <v>379</v>
      </c>
      <c r="N111" s="102">
        <v>0</v>
      </c>
      <c r="O111" s="102">
        <v>12</v>
      </c>
      <c r="P111" s="102" t="s">
        <v>524</v>
      </c>
      <c r="Q111" s="103" t="s">
        <v>1160</v>
      </c>
      <c r="R111" s="103">
        <v>111040017</v>
      </c>
      <c r="S111" s="104" t="str">
        <f t="shared" si="33"/>
        <v>UITexture/Bldg/111040017.png</v>
      </c>
      <c r="T111" s="102" t="s">
        <v>1045</v>
      </c>
      <c r="U111" s="102">
        <v>2</v>
      </c>
      <c r="V111" s="102">
        <v>2</v>
      </c>
      <c r="W111" s="102">
        <v>3</v>
      </c>
      <c r="Y111" s="104">
        <f t="shared" si="30"/>
        <v>104</v>
      </c>
      <c r="Z111" s="102">
        <v>170</v>
      </c>
      <c r="AA111" s="102">
        <v>1</v>
      </c>
      <c r="AB111" s="102">
        <v>3</v>
      </c>
      <c r="AC111" s="102">
        <v>0</v>
      </c>
      <c r="AE111" s="102">
        <v>17</v>
      </c>
      <c r="AG111" s="104">
        <f t="shared" si="34"/>
        <v>91398</v>
      </c>
      <c r="AH111" s="103">
        <v>91398.307301052657</v>
      </c>
      <c r="AI111" s="172">
        <v>4</v>
      </c>
      <c r="AK111" s="104">
        <f ca="1">IFERROR(OFFSET(ITEM_RES!$A$5,MATCH(AL111,ITEM_RES!$M$5:$M$84,0)-1,0),0)</f>
        <v>220000106</v>
      </c>
      <c r="AL111" s="103" t="s">
        <v>578</v>
      </c>
      <c r="AM111" s="104">
        <f t="shared" si="63"/>
        <v>16000</v>
      </c>
      <c r="AN111" s="103">
        <v>16035.161311983284</v>
      </c>
      <c r="AP111" s="104">
        <f ca="1">IFERROR(OFFSET(ITEM_RES!$A$5,MATCH(AQ111,ITEM_RES!$M$5:$M$84,0)-1,0),0)</f>
        <v>220000206</v>
      </c>
      <c r="AQ111" s="103" t="s">
        <v>596</v>
      </c>
      <c r="AR111" s="104">
        <f t="shared" si="64"/>
        <v>9600</v>
      </c>
      <c r="AS111" s="103">
        <v>9621.0967871899702</v>
      </c>
      <c r="AU111" s="104">
        <f ca="1">IFERROR(OFFSET(ITEM_RES!$A$5,MATCH(AV111,ITEM_RES!$M$5:$M$84,0)-1,0),0)</f>
        <v>220000306</v>
      </c>
      <c r="AV111" s="103" t="s">
        <v>614</v>
      </c>
      <c r="AW111" s="104">
        <f t="shared" si="65"/>
        <v>6400</v>
      </c>
      <c r="AX111" s="103">
        <v>6414.0645247933135</v>
      </c>
      <c r="AZ111" s="104">
        <f ca="1">IFERROR(OFFSET(ITEM_RES!$A$5,MATCH(BA111,ITEM_RES!$M$5:$M$84,0)-1,0),0)</f>
        <v>220000406</v>
      </c>
      <c r="BA111" s="103" t="s">
        <v>632</v>
      </c>
      <c r="BB111" s="104">
        <f t="shared" si="66"/>
        <v>3200</v>
      </c>
      <c r="BC111" s="103">
        <v>3207.0322623966567</v>
      </c>
      <c r="BE111" s="104">
        <f ca="1">IFERROR(OFFSET(ITEM_RES!$A$5,MATCH(BF111,ITEM_RES!$M$5:$M$84,0)-1,0),0)</f>
        <v>0</v>
      </c>
      <c r="BG111" s="104">
        <f t="shared" si="67"/>
        <v>0</v>
      </c>
    </row>
    <row r="112" spans="1:59" x14ac:dyDescent="0.3">
      <c r="A112" s="107">
        <f t="shared" si="61"/>
        <v>111040018</v>
      </c>
      <c r="B112" s="106">
        <v>11</v>
      </c>
      <c r="C112" s="105">
        <f t="shared" si="62"/>
        <v>1</v>
      </c>
      <c r="D112" s="106">
        <v>4</v>
      </c>
      <c r="E112" s="106">
        <v>0</v>
      </c>
      <c r="F112" s="105">
        <f t="shared" si="29"/>
        <v>18</v>
      </c>
      <c r="H112" s="102">
        <v>1</v>
      </c>
      <c r="I112" s="102">
        <v>18</v>
      </c>
      <c r="K112" s="102" t="s">
        <v>1041</v>
      </c>
      <c r="L112" s="102" t="s">
        <v>773</v>
      </c>
      <c r="M112" s="103" t="s">
        <v>379</v>
      </c>
      <c r="N112" s="102">
        <v>0</v>
      </c>
      <c r="O112" s="102">
        <v>12</v>
      </c>
      <c r="P112" s="102" t="s">
        <v>524</v>
      </c>
      <c r="Q112" s="103" t="s">
        <v>1160</v>
      </c>
      <c r="R112" s="103">
        <v>111040018</v>
      </c>
      <c r="S112" s="104" t="str">
        <f t="shared" si="33"/>
        <v>UITexture/Bldg/111040018.png</v>
      </c>
      <c r="T112" s="102" t="s">
        <v>1045</v>
      </c>
      <c r="U112" s="102">
        <v>2</v>
      </c>
      <c r="V112" s="102">
        <v>2</v>
      </c>
      <c r="W112" s="102">
        <v>3</v>
      </c>
      <c r="Y112" s="104">
        <f t="shared" si="30"/>
        <v>104</v>
      </c>
      <c r="Z112" s="102">
        <v>180</v>
      </c>
      <c r="AA112" s="102">
        <v>1</v>
      </c>
      <c r="AB112" s="102">
        <v>3</v>
      </c>
      <c r="AC112" s="102">
        <v>0</v>
      </c>
      <c r="AE112" s="102">
        <v>18</v>
      </c>
      <c r="AG112" s="104">
        <f t="shared" si="34"/>
        <v>137097</v>
      </c>
      <c r="AH112" s="103">
        <v>137097.46095157898</v>
      </c>
      <c r="AI112" s="172">
        <v>4</v>
      </c>
      <c r="AK112" s="104">
        <f ca="1">IFERROR(OFFSET(ITEM_RES!$A$5,MATCH(AL112,ITEM_RES!$M$5:$M$84,0)-1,0),0)</f>
        <v>220000106</v>
      </c>
      <c r="AL112" s="103" t="s">
        <v>578</v>
      </c>
      <c r="AM112" s="104">
        <f t="shared" si="63"/>
        <v>30000</v>
      </c>
      <c r="AN112" s="103">
        <v>30065.927459968658</v>
      </c>
      <c r="AP112" s="104">
        <f ca="1">IFERROR(OFFSET(ITEM_RES!$A$5,MATCH(AQ112,ITEM_RES!$M$5:$M$84,0)-1,0),0)</f>
        <v>220000206</v>
      </c>
      <c r="AQ112" s="103" t="s">
        <v>596</v>
      </c>
      <c r="AR112" s="104">
        <f t="shared" si="64"/>
        <v>18000</v>
      </c>
      <c r="AS112" s="103">
        <v>18039.556475981193</v>
      </c>
      <c r="AU112" s="104">
        <f ca="1">IFERROR(OFFSET(ITEM_RES!$A$5,MATCH(AV112,ITEM_RES!$M$5:$M$84,0)-1,0),0)</f>
        <v>220000306</v>
      </c>
      <c r="AV112" s="103" t="s">
        <v>614</v>
      </c>
      <c r="AW112" s="104">
        <f t="shared" si="65"/>
        <v>12000</v>
      </c>
      <c r="AX112" s="103">
        <v>12026.370983987463</v>
      </c>
      <c r="AZ112" s="104">
        <f ca="1">IFERROR(OFFSET(ITEM_RES!$A$5,MATCH(BA112,ITEM_RES!$M$5:$M$84,0)-1,0),0)</f>
        <v>220000406</v>
      </c>
      <c r="BA112" s="103" t="s">
        <v>632</v>
      </c>
      <c r="BB112" s="104">
        <f t="shared" si="66"/>
        <v>6000</v>
      </c>
      <c r="BC112" s="103">
        <v>6013.1854919937314</v>
      </c>
      <c r="BE112" s="104">
        <f ca="1">IFERROR(OFFSET(ITEM_RES!$A$5,MATCH(BF112,ITEM_RES!$M$5:$M$84,0)-1,0),0)</f>
        <v>0</v>
      </c>
      <c r="BG112" s="104">
        <f t="shared" si="67"/>
        <v>0</v>
      </c>
    </row>
    <row r="113" spans="1:60" x14ac:dyDescent="0.3">
      <c r="A113" s="107">
        <f t="shared" si="61"/>
        <v>111040019</v>
      </c>
      <c r="B113" s="106">
        <v>11</v>
      </c>
      <c r="C113" s="105">
        <f t="shared" si="62"/>
        <v>1</v>
      </c>
      <c r="D113" s="106">
        <v>4</v>
      </c>
      <c r="E113" s="106">
        <v>0</v>
      </c>
      <c r="F113" s="105">
        <f t="shared" si="29"/>
        <v>19</v>
      </c>
      <c r="H113" s="102">
        <v>1</v>
      </c>
      <c r="I113" s="102">
        <v>19</v>
      </c>
      <c r="K113" s="102" t="s">
        <v>1041</v>
      </c>
      <c r="L113" s="102" t="s">
        <v>773</v>
      </c>
      <c r="M113" s="103" t="s">
        <v>379</v>
      </c>
      <c r="N113" s="102">
        <v>0</v>
      </c>
      <c r="O113" s="102">
        <v>12</v>
      </c>
      <c r="P113" s="102" t="s">
        <v>524</v>
      </c>
      <c r="Q113" s="103" t="s">
        <v>1160</v>
      </c>
      <c r="R113" s="103">
        <v>111040019</v>
      </c>
      <c r="S113" s="104" t="str">
        <f t="shared" si="33"/>
        <v>UITexture/Bldg/111040019.png</v>
      </c>
      <c r="T113" s="102" t="s">
        <v>1045</v>
      </c>
      <c r="U113" s="102">
        <v>2</v>
      </c>
      <c r="V113" s="102">
        <v>2</v>
      </c>
      <c r="W113" s="102">
        <v>3</v>
      </c>
      <c r="Y113" s="104">
        <f t="shared" si="30"/>
        <v>104</v>
      </c>
      <c r="Z113" s="102">
        <v>190</v>
      </c>
      <c r="AA113" s="102">
        <v>1</v>
      </c>
      <c r="AB113" s="102">
        <v>3</v>
      </c>
      <c r="AC113" s="102">
        <v>0</v>
      </c>
      <c r="AE113" s="102">
        <v>19</v>
      </c>
      <c r="AG113" s="104">
        <f t="shared" si="34"/>
        <v>164517</v>
      </c>
      <c r="AH113" s="103">
        <v>164516.95314189477</v>
      </c>
      <c r="AI113" s="172">
        <v>4</v>
      </c>
      <c r="AK113" s="104">
        <f ca="1">IFERROR(OFFSET(ITEM_RES!$A$5,MATCH(AL113,ITEM_RES!$M$5:$M$84,0)-1,0),0)</f>
        <v>220000107</v>
      </c>
      <c r="AL113" s="103" t="s">
        <v>579</v>
      </c>
      <c r="AM113" s="104">
        <f t="shared" si="63"/>
        <v>15000</v>
      </c>
      <c r="AN113" s="103">
        <v>15032.963729984327</v>
      </c>
      <c r="AP113" s="104">
        <f ca="1">IFERROR(OFFSET(ITEM_RES!$A$5,MATCH(AQ113,ITEM_RES!$M$5:$M$84,0)-1,0),0)</f>
        <v>220000207</v>
      </c>
      <c r="AQ113" s="103" t="s">
        <v>597</v>
      </c>
      <c r="AR113" s="104">
        <f t="shared" si="64"/>
        <v>9000</v>
      </c>
      <c r="AS113" s="103">
        <v>9019.7782379905948</v>
      </c>
      <c r="AU113" s="104">
        <f ca="1">IFERROR(OFFSET(ITEM_RES!$A$5,MATCH(AV113,ITEM_RES!$M$5:$M$84,0)-1,0),0)</f>
        <v>220000307</v>
      </c>
      <c r="AV113" s="103" t="s">
        <v>615</v>
      </c>
      <c r="AW113" s="104">
        <f t="shared" si="65"/>
        <v>6000</v>
      </c>
      <c r="AX113" s="103">
        <v>6013.1854919937305</v>
      </c>
      <c r="AZ113" s="104">
        <f ca="1">IFERROR(OFFSET(ITEM_RES!$A$5,MATCH(BA113,ITEM_RES!$M$5:$M$84,0)-1,0),0)</f>
        <v>220000407</v>
      </c>
      <c r="BA113" s="103" t="s">
        <v>633</v>
      </c>
      <c r="BB113" s="104">
        <f t="shared" si="66"/>
        <v>3000</v>
      </c>
      <c r="BC113" s="103">
        <v>3006.5927459968652</v>
      </c>
      <c r="BE113" s="104">
        <f ca="1">IFERROR(OFFSET(ITEM_RES!$A$5,MATCH(BF113,ITEM_RES!$M$5:$M$84,0)-1,0),0)</f>
        <v>0</v>
      </c>
      <c r="BG113" s="104">
        <f t="shared" si="67"/>
        <v>0</v>
      </c>
    </row>
    <row r="114" spans="1:60" x14ac:dyDescent="0.3">
      <c r="A114" s="107">
        <f t="shared" si="61"/>
        <v>111040020</v>
      </c>
      <c r="B114" s="106">
        <v>11</v>
      </c>
      <c r="C114" s="105">
        <f t="shared" si="62"/>
        <v>1</v>
      </c>
      <c r="D114" s="106">
        <v>4</v>
      </c>
      <c r="E114" s="106">
        <v>0</v>
      </c>
      <c r="F114" s="105">
        <f t="shared" si="29"/>
        <v>20</v>
      </c>
      <c r="H114" s="102">
        <v>1</v>
      </c>
      <c r="I114" s="102">
        <v>20</v>
      </c>
      <c r="K114" s="102" t="s">
        <v>1041</v>
      </c>
      <c r="L114" s="102" t="s">
        <v>773</v>
      </c>
      <c r="M114" s="103" t="s">
        <v>379</v>
      </c>
      <c r="N114" s="102">
        <v>0</v>
      </c>
      <c r="O114" s="102">
        <v>12</v>
      </c>
      <c r="P114" s="102" t="s">
        <v>524</v>
      </c>
      <c r="Q114" s="103" t="s">
        <v>1160</v>
      </c>
      <c r="R114" s="103">
        <v>111040020</v>
      </c>
      <c r="S114" s="104" t="str">
        <f t="shared" si="33"/>
        <v>UITexture/Bldg/111040020.png</v>
      </c>
      <c r="T114" s="102" t="s">
        <v>1045</v>
      </c>
      <c r="U114" s="102">
        <v>2</v>
      </c>
      <c r="V114" s="102">
        <v>2</v>
      </c>
      <c r="W114" s="102">
        <v>3</v>
      </c>
      <c r="Y114" s="104">
        <f t="shared" si="30"/>
        <v>104</v>
      </c>
      <c r="Z114" s="102">
        <v>200</v>
      </c>
      <c r="AA114" s="102">
        <v>1</v>
      </c>
      <c r="AB114" s="102">
        <v>3</v>
      </c>
      <c r="AC114" s="102">
        <v>0</v>
      </c>
      <c r="AE114" s="102">
        <v>20</v>
      </c>
      <c r="AG114" s="104">
        <f t="shared" si="34"/>
        <v>180969</v>
      </c>
      <c r="AH114" s="103">
        <v>180968.64845608425</v>
      </c>
      <c r="AI114" s="172">
        <v>4</v>
      </c>
      <c r="AK114" s="104">
        <f ca="1">IFERROR(OFFSET(ITEM_RES!$A$5,MATCH(AL114,ITEM_RES!$M$5:$M$84,0)-1,0),0)</f>
        <v>220000107</v>
      </c>
      <c r="AL114" s="103" t="s">
        <v>579</v>
      </c>
      <c r="AM114" s="104">
        <f t="shared" si="63"/>
        <v>21000</v>
      </c>
      <c r="AN114" s="103">
        <v>20670.325128728451</v>
      </c>
      <c r="AP114" s="104">
        <f ca="1">IFERROR(OFFSET(ITEM_RES!$A$5,MATCH(AQ114,ITEM_RES!$M$5:$M$84,0)-1,0),0)</f>
        <v>220000207</v>
      </c>
      <c r="AQ114" s="103" t="s">
        <v>597</v>
      </c>
      <c r="AR114" s="104">
        <f t="shared" si="64"/>
        <v>12000</v>
      </c>
      <c r="AS114" s="103">
        <v>12402.195077237069</v>
      </c>
      <c r="AU114" s="104">
        <f ca="1">IFERROR(OFFSET(ITEM_RES!$A$5,MATCH(AV114,ITEM_RES!$M$5:$M$84,0)-1,0),0)</f>
        <v>220000307</v>
      </c>
      <c r="AV114" s="103" t="s">
        <v>615</v>
      </c>
      <c r="AW114" s="104">
        <f t="shared" si="65"/>
        <v>8300</v>
      </c>
      <c r="AX114" s="103">
        <v>8268.1300514913801</v>
      </c>
      <c r="AZ114" s="104">
        <f ca="1">IFERROR(OFFSET(ITEM_RES!$A$5,MATCH(BA114,ITEM_RES!$M$5:$M$84,0)-1,0),0)</f>
        <v>220000407</v>
      </c>
      <c r="BA114" s="103" t="s">
        <v>633</v>
      </c>
      <c r="BB114" s="104">
        <f t="shared" si="66"/>
        <v>4100</v>
      </c>
      <c r="BC114" s="103">
        <v>4134.06502574569</v>
      </c>
      <c r="BE114" s="104">
        <f ca="1">IFERROR(OFFSET(ITEM_RES!$A$5,MATCH(BF114,ITEM_RES!$M$5:$M$84,0)-1,0),0)</f>
        <v>0</v>
      </c>
      <c r="BG114" s="104">
        <f t="shared" si="67"/>
        <v>0</v>
      </c>
    </row>
    <row r="115" spans="1:60" x14ac:dyDescent="0.3">
      <c r="A115" s="107">
        <f t="shared" si="61"/>
        <v>111040021</v>
      </c>
      <c r="B115" s="106">
        <v>11</v>
      </c>
      <c r="C115" s="105">
        <f t="shared" si="62"/>
        <v>1</v>
      </c>
      <c r="D115" s="106">
        <v>4</v>
      </c>
      <c r="E115" s="106">
        <v>0</v>
      </c>
      <c r="F115" s="105">
        <f t="shared" si="29"/>
        <v>21</v>
      </c>
      <c r="H115" s="102">
        <v>1</v>
      </c>
      <c r="I115" s="102">
        <v>21</v>
      </c>
      <c r="K115" s="102" t="s">
        <v>1041</v>
      </c>
      <c r="L115" s="102" t="s">
        <v>773</v>
      </c>
      <c r="M115" s="103" t="s">
        <v>379</v>
      </c>
      <c r="N115" s="102">
        <v>0</v>
      </c>
      <c r="O115" s="102">
        <v>12</v>
      </c>
      <c r="P115" s="102" t="s">
        <v>524</v>
      </c>
      <c r="Q115" s="103" t="s">
        <v>1160</v>
      </c>
      <c r="R115" s="103">
        <v>111040021</v>
      </c>
      <c r="S115" s="104" t="str">
        <f t="shared" si="33"/>
        <v>UITexture/Bldg/111040021.png</v>
      </c>
      <c r="T115" s="102" t="s">
        <v>1045</v>
      </c>
      <c r="U115" s="102">
        <v>2</v>
      </c>
      <c r="V115" s="102">
        <v>2</v>
      </c>
      <c r="W115" s="102">
        <v>3</v>
      </c>
      <c r="Y115" s="104">
        <f t="shared" si="30"/>
        <v>104</v>
      </c>
      <c r="Z115" s="102">
        <v>210</v>
      </c>
      <c r="AA115" s="102">
        <v>1</v>
      </c>
      <c r="AB115" s="102">
        <v>3</v>
      </c>
      <c r="AC115" s="102">
        <v>0</v>
      </c>
      <c r="AE115" s="102">
        <v>21</v>
      </c>
      <c r="AG115" s="104">
        <f t="shared" si="34"/>
        <v>195446</v>
      </c>
      <c r="AH115" s="103">
        <v>195446.14033257103</v>
      </c>
      <c r="AI115" s="172">
        <v>4</v>
      </c>
      <c r="AK115" s="104">
        <f ca="1">IFERROR(OFFSET(ITEM_RES!$A$5,MATCH(AL115,ITEM_RES!$M$5:$M$84,0)-1,0),0)</f>
        <v>220000107</v>
      </c>
      <c r="AL115" s="103" t="s">
        <v>579</v>
      </c>
      <c r="AM115" s="104">
        <f t="shared" si="63"/>
        <v>28000</v>
      </c>
      <c r="AN115" s="103">
        <v>27904.938923783411</v>
      </c>
      <c r="AP115" s="104">
        <f ca="1">IFERROR(OFFSET(ITEM_RES!$A$5,MATCH(AQ115,ITEM_RES!$M$5:$M$84,0)-1,0),0)</f>
        <v>220000207</v>
      </c>
      <c r="AQ115" s="103" t="s">
        <v>597</v>
      </c>
      <c r="AR115" s="104">
        <f t="shared" si="64"/>
        <v>17000</v>
      </c>
      <c r="AS115" s="103">
        <v>16742.963354270047</v>
      </c>
      <c r="AU115" s="104">
        <f ca="1">IFERROR(OFFSET(ITEM_RES!$A$5,MATCH(AV115,ITEM_RES!$M$5:$M$84,0)-1,0),0)</f>
        <v>220000307</v>
      </c>
      <c r="AV115" s="103" t="s">
        <v>615</v>
      </c>
      <c r="AW115" s="104">
        <f t="shared" si="65"/>
        <v>11000</v>
      </c>
      <c r="AX115" s="103">
        <v>11161.975569513364</v>
      </c>
      <c r="AZ115" s="104">
        <f ca="1">IFERROR(OFFSET(ITEM_RES!$A$5,MATCH(BA115,ITEM_RES!$M$5:$M$84,0)-1,0),0)</f>
        <v>220000407</v>
      </c>
      <c r="BA115" s="103" t="s">
        <v>633</v>
      </c>
      <c r="BB115" s="104">
        <f t="shared" si="66"/>
        <v>5600</v>
      </c>
      <c r="BC115" s="103">
        <v>5580.9877847566822</v>
      </c>
      <c r="BE115" s="104">
        <f ca="1">IFERROR(OFFSET(ITEM_RES!$A$5,MATCH(BF115,ITEM_RES!$M$5:$M$84,0)-1,0),0)</f>
        <v>0</v>
      </c>
      <c r="BG115" s="104">
        <f t="shared" si="67"/>
        <v>0</v>
      </c>
    </row>
    <row r="116" spans="1:60" x14ac:dyDescent="0.3">
      <c r="A116" s="107">
        <f t="shared" si="61"/>
        <v>111040022</v>
      </c>
      <c r="B116" s="106">
        <v>11</v>
      </c>
      <c r="C116" s="105">
        <f t="shared" si="62"/>
        <v>1</v>
      </c>
      <c r="D116" s="106">
        <v>4</v>
      </c>
      <c r="E116" s="106">
        <v>0</v>
      </c>
      <c r="F116" s="105">
        <f t="shared" si="29"/>
        <v>22</v>
      </c>
      <c r="H116" s="102">
        <v>1</v>
      </c>
      <c r="I116" s="102">
        <v>22</v>
      </c>
      <c r="K116" s="102" t="s">
        <v>1041</v>
      </c>
      <c r="L116" s="102" t="s">
        <v>773</v>
      </c>
      <c r="M116" s="103" t="s">
        <v>379</v>
      </c>
      <c r="N116" s="102">
        <v>0</v>
      </c>
      <c r="O116" s="102">
        <v>12</v>
      </c>
      <c r="P116" s="102" t="s">
        <v>524</v>
      </c>
      <c r="Q116" s="103" t="s">
        <v>1160</v>
      </c>
      <c r="R116" s="103">
        <v>111040022</v>
      </c>
      <c r="S116" s="104" t="str">
        <f t="shared" si="33"/>
        <v>UITexture/Bldg/111040022.png</v>
      </c>
      <c r="T116" s="102" t="s">
        <v>1045</v>
      </c>
      <c r="U116" s="102">
        <v>2</v>
      </c>
      <c r="V116" s="102">
        <v>2</v>
      </c>
      <c r="W116" s="102">
        <v>3</v>
      </c>
      <c r="Y116" s="104">
        <f t="shared" si="30"/>
        <v>104</v>
      </c>
      <c r="Z116" s="102">
        <v>220</v>
      </c>
      <c r="AA116" s="102">
        <v>1</v>
      </c>
      <c r="AB116" s="102">
        <v>3</v>
      </c>
      <c r="AC116" s="102">
        <v>0</v>
      </c>
      <c r="AE116" s="102">
        <v>22</v>
      </c>
      <c r="AG116" s="104">
        <f t="shared" si="34"/>
        <v>209127</v>
      </c>
      <c r="AH116" s="103">
        <v>209127.37015585101</v>
      </c>
      <c r="AI116" s="172">
        <v>4</v>
      </c>
      <c r="AK116" s="104">
        <f ca="1">IFERROR(OFFSET(ITEM_RES!$A$5,MATCH(AL116,ITEM_RES!$M$5:$M$84,0)-1,0),0)</f>
        <v>220000108</v>
      </c>
      <c r="AL116" s="103" t="s">
        <v>580</v>
      </c>
      <c r="AM116" s="104">
        <f t="shared" si="63"/>
        <v>12000</v>
      </c>
      <c r="AN116" s="103">
        <v>12440.951936853437</v>
      </c>
      <c r="AP116" s="104">
        <f ca="1">IFERROR(OFFSET(ITEM_RES!$A$5,MATCH(AQ116,ITEM_RES!$M$5:$M$84,0)-1,0),0)</f>
        <v>220000208</v>
      </c>
      <c r="AQ116" s="103" t="s">
        <v>598</v>
      </c>
      <c r="AR116" s="104">
        <f t="shared" si="64"/>
        <v>7500</v>
      </c>
      <c r="AS116" s="103">
        <v>7464.5711621120627</v>
      </c>
      <c r="AU116" s="104">
        <f ca="1">IFERROR(OFFSET(ITEM_RES!$A$5,MATCH(AV116,ITEM_RES!$M$5:$M$84,0)-1,0),0)</f>
        <v>220000308</v>
      </c>
      <c r="AV116" s="103" t="s">
        <v>616</v>
      </c>
      <c r="AW116" s="104">
        <f t="shared" si="65"/>
        <v>5000</v>
      </c>
      <c r="AX116" s="103">
        <v>4976.3807747413748</v>
      </c>
      <c r="AZ116" s="104">
        <f ca="1">IFERROR(OFFSET(ITEM_RES!$A$5,MATCH(BA116,ITEM_RES!$M$5:$M$84,0)-1,0),0)</f>
        <v>220000408</v>
      </c>
      <c r="BA116" s="103" t="s">
        <v>634</v>
      </c>
      <c r="BB116" s="104">
        <f t="shared" si="66"/>
        <v>2500</v>
      </c>
      <c r="BC116" s="103">
        <v>2488.1903873706874</v>
      </c>
      <c r="BE116" s="104">
        <f ca="1">IFERROR(OFFSET(ITEM_RES!$A$5,MATCH(BF116,ITEM_RES!$M$5:$M$84,0)-1,0),0)</f>
        <v>0</v>
      </c>
      <c r="BG116" s="104">
        <f t="shared" si="67"/>
        <v>0</v>
      </c>
    </row>
    <row r="117" spans="1:60" x14ac:dyDescent="0.3">
      <c r="A117" s="107">
        <f t="shared" si="61"/>
        <v>111040023</v>
      </c>
      <c r="B117" s="106">
        <v>11</v>
      </c>
      <c r="C117" s="105">
        <f t="shared" si="62"/>
        <v>1</v>
      </c>
      <c r="D117" s="106">
        <v>4</v>
      </c>
      <c r="E117" s="106">
        <v>0</v>
      </c>
      <c r="F117" s="105">
        <f t="shared" si="29"/>
        <v>23</v>
      </c>
      <c r="H117" s="102">
        <v>1</v>
      </c>
      <c r="I117" s="102">
        <v>23</v>
      </c>
      <c r="K117" s="102" t="s">
        <v>1041</v>
      </c>
      <c r="L117" s="102" t="s">
        <v>773</v>
      </c>
      <c r="M117" s="103" t="s">
        <v>379</v>
      </c>
      <c r="N117" s="102">
        <v>0</v>
      </c>
      <c r="O117" s="102">
        <v>12</v>
      </c>
      <c r="P117" s="102" t="s">
        <v>524</v>
      </c>
      <c r="Q117" s="103" t="s">
        <v>1160</v>
      </c>
      <c r="R117" s="103">
        <v>111040023</v>
      </c>
      <c r="S117" s="104" t="str">
        <f t="shared" si="33"/>
        <v>UITexture/Bldg/111040023.png</v>
      </c>
      <c r="T117" s="102" t="s">
        <v>1045</v>
      </c>
      <c r="U117" s="102">
        <v>2</v>
      </c>
      <c r="V117" s="102">
        <v>2</v>
      </c>
      <c r="W117" s="102">
        <v>3</v>
      </c>
      <c r="Y117" s="104">
        <f t="shared" si="30"/>
        <v>104</v>
      </c>
      <c r="Z117" s="102">
        <v>230</v>
      </c>
      <c r="AA117" s="102">
        <v>1</v>
      </c>
      <c r="AB117" s="102">
        <v>3</v>
      </c>
      <c r="AC117" s="102">
        <v>0</v>
      </c>
      <c r="AE117" s="102">
        <v>23</v>
      </c>
      <c r="AG117" s="104">
        <f t="shared" si="34"/>
        <v>221675</v>
      </c>
      <c r="AH117" s="103">
        <v>221675.01236520207</v>
      </c>
      <c r="AI117" s="172">
        <v>4</v>
      </c>
      <c r="AK117" s="104">
        <f ca="1">IFERROR(OFFSET(ITEM_RES!$A$5,MATCH(AL117,ITEM_RES!$M$5:$M$84,0)-1,0),0)</f>
        <v>220000108</v>
      </c>
      <c r="AL117" s="103" t="s">
        <v>580</v>
      </c>
      <c r="AM117" s="104">
        <f t="shared" si="63"/>
        <v>16000</v>
      </c>
      <c r="AN117" s="103">
        <v>16484.261316330809</v>
      </c>
      <c r="AP117" s="104">
        <f ca="1">IFERROR(OFFSET(ITEM_RES!$A$5,MATCH(AQ117,ITEM_RES!$M$5:$M$84,0)-1,0),0)</f>
        <v>220000208</v>
      </c>
      <c r="AQ117" s="103" t="s">
        <v>598</v>
      </c>
      <c r="AR117" s="104">
        <f t="shared" si="64"/>
        <v>9900</v>
      </c>
      <c r="AS117" s="103">
        <v>9890.5567897984838</v>
      </c>
      <c r="AU117" s="104">
        <f ca="1">IFERROR(OFFSET(ITEM_RES!$A$5,MATCH(AV117,ITEM_RES!$M$5:$M$84,0)-1,0),0)</f>
        <v>220000308</v>
      </c>
      <c r="AV117" s="103" t="s">
        <v>616</v>
      </c>
      <c r="AW117" s="104">
        <f t="shared" si="65"/>
        <v>6600</v>
      </c>
      <c r="AX117" s="103">
        <v>6593.7045265323231</v>
      </c>
      <c r="AZ117" s="104">
        <f ca="1">IFERROR(OFFSET(ITEM_RES!$A$5,MATCH(BA117,ITEM_RES!$M$5:$M$84,0)-1,0),0)</f>
        <v>220000408</v>
      </c>
      <c r="BA117" s="103" t="s">
        <v>634</v>
      </c>
      <c r="BB117" s="104">
        <f t="shared" si="66"/>
        <v>3300</v>
      </c>
      <c r="BC117" s="103">
        <v>3296.8522632661616</v>
      </c>
      <c r="BE117" s="104">
        <f ca="1">IFERROR(OFFSET(ITEM_RES!$A$5,MATCH(BF117,ITEM_RES!$M$5:$M$84,0)-1,0),0)</f>
        <v>0</v>
      </c>
      <c r="BG117" s="104">
        <f t="shared" si="67"/>
        <v>0</v>
      </c>
    </row>
    <row r="118" spans="1:60" x14ac:dyDescent="0.3">
      <c r="A118" s="107">
        <f t="shared" si="61"/>
        <v>111040024</v>
      </c>
      <c r="B118" s="106">
        <v>11</v>
      </c>
      <c r="C118" s="105">
        <f t="shared" si="62"/>
        <v>1</v>
      </c>
      <c r="D118" s="106">
        <v>4</v>
      </c>
      <c r="E118" s="106">
        <v>0</v>
      </c>
      <c r="F118" s="105">
        <f t="shared" si="29"/>
        <v>24</v>
      </c>
      <c r="H118" s="102">
        <v>1</v>
      </c>
      <c r="I118" s="102">
        <v>24</v>
      </c>
      <c r="K118" s="102" t="s">
        <v>1041</v>
      </c>
      <c r="L118" s="102" t="s">
        <v>773</v>
      </c>
      <c r="M118" s="103" t="s">
        <v>379</v>
      </c>
      <c r="N118" s="102">
        <v>0</v>
      </c>
      <c r="O118" s="102">
        <v>12</v>
      </c>
      <c r="P118" s="102" t="s">
        <v>524</v>
      </c>
      <c r="Q118" s="103" t="s">
        <v>1160</v>
      </c>
      <c r="R118" s="103">
        <v>111040024</v>
      </c>
      <c r="S118" s="104" t="str">
        <f t="shared" si="33"/>
        <v>UITexture/Bldg/111040024.png</v>
      </c>
      <c r="T118" s="102" t="s">
        <v>1045</v>
      </c>
      <c r="U118" s="102">
        <v>2</v>
      </c>
      <c r="V118" s="102">
        <v>2</v>
      </c>
      <c r="W118" s="102">
        <v>3</v>
      </c>
      <c r="Y118" s="104">
        <f t="shared" si="30"/>
        <v>104</v>
      </c>
      <c r="Z118" s="102">
        <v>240</v>
      </c>
      <c r="AA118" s="102">
        <v>1</v>
      </c>
      <c r="AB118" s="102">
        <v>3</v>
      </c>
      <c r="AC118" s="102">
        <v>0</v>
      </c>
      <c r="AE118" s="102">
        <v>24</v>
      </c>
      <c r="AG118" s="104">
        <f t="shared" si="34"/>
        <v>232759</v>
      </c>
      <c r="AH118" s="103">
        <v>232758.76298346219</v>
      </c>
      <c r="AI118" s="172">
        <v>4</v>
      </c>
      <c r="AK118" s="104">
        <f ca="1">IFERROR(OFFSET(ITEM_RES!$A$5,MATCH(AL118,ITEM_RES!$M$5:$M$84,0)-1,0),0)</f>
        <v>220000108</v>
      </c>
      <c r="AL118" s="103" t="s">
        <v>580</v>
      </c>
      <c r="AM118" s="104">
        <f t="shared" si="63"/>
        <v>22000</v>
      </c>
      <c r="AN118" s="103">
        <v>21635.59297768418</v>
      </c>
      <c r="AP118" s="104">
        <f ca="1">IFERROR(OFFSET(ITEM_RES!$A$5,MATCH(AQ118,ITEM_RES!$M$5:$M$84,0)-1,0),0)</f>
        <v>220000208</v>
      </c>
      <c r="AQ118" s="103" t="s">
        <v>598</v>
      </c>
      <c r="AR118" s="104">
        <f t="shared" si="64"/>
        <v>13000</v>
      </c>
      <c r="AS118" s="103">
        <v>12981.355786610509</v>
      </c>
      <c r="AU118" s="104">
        <f ca="1">IFERROR(OFFSET(ITEM_RES!$A$5,MATCH(AV118,ITEM_RES!$M$5:$M$84,0)-1,0),0)</f>
        <v>220000308</v>
      </c>
      <c r="AV118" s="103" t="s">
        <v>616</v>
      </c>
      <c r="AW118" s="104">
        <f t="shared" si="65"/>
        <v>8700</v>
      </c>
      <c r="AX118" s="103">
        <v>8654.2371910736729</v>
      </c>
      <c r="AZ118" s="104">
        <f ca="1">IFERROR(OFFSET(ITEM_RES!$A$5,MATCH(BA118,ITEM_RES!$M$5:$M$84,0)-1,0),0)</f>
        <v>220000408</v>
      </c>
      <c r="BA118" s="103" t="s">
        <v>634</v>
      </c>
      <c r="BB118" s="104">
        <f t="shared" si="66"/>
        <v>4300</v>
      </c>
      <c r="BC118" s="103">
        <v>4327.1185955368364</v>
      </c>
      <c r="BE118" s="104">
        <f ca="1">IFERROR(OFFSET(ITEM_RES!$A$5,MATCH(BF118,ITEM_RES!$M$5:$M$84,0)-1,0),0)</f>
        <v>0</v>
      </c>
      <c r="BG118" s="104">
        <f t="shared" si="67"/>
        <v>0</v>
      </c>
    </row>
    <row r="119" spans="1:60" x14ac:dyDescent="0.3">
      <c r="A119" s="107">
        <f t="shared" si="61"/>
        <v>111040025</v>
      </c>
      <c r="B119" s="106">
        <v>11</v>
      </c>
      <c r="C119" s="105">
        <f t="shared" si="62"/>
        <v>1</v>
      </c>
      <c r="D119" s="106">
        <v>4</v>
      </c>
      <c r="E119" s="106">
        <v>0</v>
      </c>
      <c r="F119" s="105">
        <f t="shared" si="29"/>
        <v>25</v>
      </c>
      <c r="H119" s="102">
        <v>1</v>
      </c>
      <c r="I119" s="102">
        <v>25</v>
      </c>
      <c r="K119" s="102" t="s">
        <v>1041</v>
      </c>
      <c r="L119" s="102" t="s">
        <v>773</v>
      </c>
      <c r="M119" s="103" t="s">
        <v>379</v>
      </c>
      <c r="N119" s="102">
        <v>0</v>
      </c>
      <c r="O119" s="102">
        <v>12</v>
      </c>
      <c r="P119" s="102" t="s">
        <v>524</v>
      </c>
      <c r="Q119" s="103" t="s">
        <v>1160</v>
      </c>
      <c r="R119" s="103">
        <v>111040025</v>
      </c>
      <c r="S119" s="104" t="str">
        <f t="shared" si="33"/>
        <v>UITexture/Bldg/111040025.png</v>
      </c>
      <c r="T119" s="102" t="s">
        <v>1045</v>
      </c>
      <c r="U119" s="102">
        <v>2</v>
      </c>
      <c r="V119" s="102">
        <v>2</v>
      </c>
      <c r="W119" s="102">
        <v>3</v>
      </c>
      <c r="Y119" s="104">
        <f t="shared" si="30"/>
        <v>104</v>
      </c>
      <c r="Z119" s="102">
        <v>250</v>
      </c>
      <c r="AA119" s="102">
        <v>1</v>
      </c>
      <c r="AB119" s="102">
        <v>3</v>
      </c>
      <c r="AC119" s="102">
        <v>0</v>
      </c>
      <c r="AE119" s="102">
        <v>25</v>
      </c>
      <c r="AG119" s="104">
        <f t="shared" si="34"/>
        <v>244397</v>
      </c>
      <c r="AH119" s="103">
        <v>244396.70113263529</v>
      </c>
      <c r="AI119" s="172">
        <v>4</v>
      </c>
      <c r="AK119" s="104">
        <f ca="1">IFERROR(OFFSET(ITEM_RES!$A$5,MATCH(AL119,ITEM_RES!$M$5:$M$84,0)-1,0),0)</f>
        <v>220000109</v>
      </c>
      <c r="AL119" s="103" t="s">
        <v>581</v>
      </c>
      <c r="AM119" s="104">
        <f t="shared" si="63"/>
        <v>9500</v>
      </c>
      <c r="AN119" s="103">
        <v>9465.5719277368316</v>
      </c>
      <c r="AP119" s="104">
        <f ca="1">IFERROR(OFFSET(ITEM_RES!$A$5,MATCH(AQ119,ITEM_RES!$M$5:$M$84,0)-1,0),0)</f>
        <v>220000209</v>
      </c>
      <c r="AQ119" s="103" t="s">
        <v>599</v>
      </c>
      <c r="AR119" s="104">
        <f t="shared" si="64"/>
        <v>5700</v>
      </c>
      <c r="AS119" s="103">
        <v>5679.3431566420986</v>
      </c>
      <c r="AU119" s="104">
        <f ca="1">IFERROR(OFFSET(ITEM_RES!$A$5,MATCH(AV119,ITEM_RES!$M$5:$M$84,0)-1,0),0)</f>
        <v>220000309</v>
      </c>
      <c r="AV119" s="103" t="s">
        <v>617</v>
      </c>
      <c r="AW119" s="104">
        <f t="shared" si="65"/>
        <v>3800</v>
      </c>
      <c r="AX119" s="103">
        <v>3786.2287710947326</v>
      </c>
      <c r="AZ119" s="104">
        <f ca="1">IFERROR(OFFSET(ITEM_RES!$A$5,MATCH(BA119,ITEM_RES!$M$5:$M$84,0)-1,0),0)</f>
        <v>220000409</v>
      </c>
      <c r="BA119" s="103" t="s">
        <v>635</v>
      </c>
      <c r="BB119" s="104">
        <f t="shared" si="66"/>
        <v>1900</v>
      </c>
      <c r="BC119" s="103">
        <v>1893.1143855473663</v>
      </c>
      <c r="BE119" s="104">
        <f ca="1">IFERROR(OFFSET(ITEM_RES!$A$5,MATCH(BF119,ITEM_RES!$M$5:$M$84,0)-1,0),0)</f>
        <v>0</v>
      </c>
      <c r="BG119" s="104">
        <f t="shared" si="67"/>
        <v>0</v>
      </c>
    </row>
    <row r="120" spans="1:60" x14ac:dyDescent="0.3">
      <c r="A120" s="107">
        <f t="shared" ref="A120:A124" si="68">B120*10000000+C120*1000000+D120*10000+E120*100+F120</f>
        <v>111040026</v>
      </c>
      <c r="B120" s="106">
        <v>11</v>
      </c>
      <c r="C120" s="105">
        <f t="shared" ref="C120:C124" si="69">H120</f>
        <v>1</v>
      </c>
      <c r="D120" s="106">
        <v>4</v>
      </c>
      <c r="E120" s="106">
        <v>0</v>
      </c>
      <c r="F120" s="105">
        <f t="shared" si="29"/>
        <v>26</v>
      </c>
      <c r="H120" s="102">
        <v>1</v>
      </c>
      <c r="I120" s="102">
        <v>26</v>
      </c>
      <c r="K120" s="102" t="s">
        <v>1041</v>
      </c>
      <c r="L120" s="102" t="s">
        <v>773</v>
      </c>
      <c r="M120" s="103" t="s">
        <v>379</v>
      </c>
      <c r="N120" s="102">
        <v>0</v>
      </c>
      <c r="O120" s="102">
        <v>12</v>
      </c>
      <c r="P120" s="102" t="s">
        <v>524</v>
      </c>
      <c r="Q120" s="103" t="s">
        <v>1160</v>
      </c>
      <c r="R120" s="103">
        <v>111040026</v>
      </c>
      <c r="S120" s="104" t="str">
        <f t="shared" si="33"/>
        <v>UITexture/Bldg/111040026.png</v>
      </c>
      <c r="T120" s="102" t="s">
        <v>1045</v>
      </c>
      <c r="U120" s="102">
        <v>2</v>
      </c>
      <c r="V120" s="102">
        <v>2</v>
      </c>
      <c r="W120" s="102">
        <v>3</v>
      </c>
      <c r="Y120" s="104">
        <f t="shared" si="30"/>
        <v>104</v>
      </c>
      <c r="Z120" s="102">
        <v>260</v>
      </c>
      <c r="AA120" s="102">
        <v>1</v>
      </c>
      <c r="AB120" s="102">
        <v>3</v>
      </c>
      <c r="AC120" s="102">
        <v>0</v>
      </c>
      <c r="AE120" s="102">
        <v>26</v>
      </c>
      <c r="AG120" s="104">
        <f t="shared" si="34"/>
        <v>254173</v>
      </c>
      <c r="AH120" s="103">
        <v>254172.56917794072</v>
      </c>
      <c r="AI120" s="172">
        <v>4</v>
      </c>
      <c r="AK120" s="104">
        <f ca="1">IFERROR(OFFSET(ITEM_RES!$A$5,MATCH(AL120,ITEM_RES!$M$5:$M$84,0)-1,0),0)</f>
        <v>220000109</v>
      </c>
      <c r="AL120" s="103" t="s">
        <v>581</v>
      </c>
      <c r="AM120" s="104">
        <f t="shared" ref="AM120:AM124" si="70">IF(AN120&lt;100,ROUND(AN120,1-LEN(ROUND(AN120,0))),ROUND(AN120,2-LEN(ROUND(AN120,0))))</f>
        <v>12000</v>
      </c>
      <c r="AN120" s="103">
        <v>11813.033765815562</v>
      </c>
      <c r="AP120" s="104">
        <f ca="1">IFERROR(OFFSET(ITEM_RES!$A$5,MATCH(AQ120,ITEM_RES!$M$5:$M$84,0)-1,0),0)</f>
        <v>220000209</v>
      </c>
      <c r="AQ120" s="103" t="s">
        <v>599</v>
      </c>
      <c r="AR120" s="104">
        <f t="shared" ref="AR120:AR124" si="71">IF(AS120&lt;100,ROUND(AS120,1-LEN(ROUND(AS120,0))),ROUND(AS120,2-LEN(ROUND(AS120,0))))</f>
        <v>7100</v>
      </c>
      <c r="AS120" s="103">
        <v>7087.8202594893373</v>
      </c>
      <c r="AU120" s="104">
        <f ca="1">IFERROR(OFFSET(ITEM_RES!$A$5,MATCH(AV120,ITEM_RES!$M$5:$M$84,0)-1,0),0)</f>
        <v>220000309</v>
      </c>
      <c r="AV120" s="103" t="s">
        <v>617</v>
      </c>
      <c r="AW120" s="104">
        <f t="shared" ref="AW120:AW124" si="72">IF(AX120&lt;100,ROUND(AX120,1-LEN(ROUND(AX120,0))),ROUND(AX120,2-LEN(ROUND(AX120,0))))</f>
        <v>4700</v>
      </c>
      <c r="AX120" s="103">
        <v>4725.2135063262249</v>
      </c>
      <c r="AZ120" s="104">
        <f ca="1">IFERROR(OFFSET(ITEM_RES!$A$5,MATCH(BA120,ITEM_RES!$M$5:$M$84,0)-1,0),0)</f>
        <v>220000409</v>
      </c>
      <c r="BA120" s="103" t="s">
        <v>635</v>
      </c>
      <c r="BB120" s="104">
        <f t="shared" ref="BB120:BB124" si="73">IF(BC120&lt;100,ROUND(BC120,1-LEN(ROUND(BC120,0))),ROUND(BC120,2-LEN(ROUND(BC120,0))))</f>
        <v>2400</v>
      </c>
      <c r="BC120" s="103">
        <v>2362.6067531631124</v>
      </c>
      <c r="BE120" s="104">
        <f ca="1">IFERROR(OFFSET(ITEM_RES!$A$5,MATCH(BF120,ITEM_RES!$M$5:$M$84,0)-1,0),0)</f>
        <v>0</v>
      </c>
      <c r="BG120" s="104">
        <f t="shared" ref="BG120:BG124" si="74">IF(BH120&lt;100,ROUND(BH120,1-LEN(ROUND(BH120,0))),ROUND(BH120,2-LEN(ROUND(BH120,0))))</f>
        <v>0</v>
      </c>
    </row>
    <row r="121" spans="1:60" x14ac:dyDescent="0.3">
      <c r="A121" s="107">
        <f t="shared" si="68"/>
        <v>111040027</v>
      </c>
      <c r="B121" s="106">
        <v>11</v>
      </c>
      <c r="C121" s="105">
        <f t="shared" si="69"/>
        <v>1</v>
      </c>
      <c r="D121" s="106">
        <v>4</v>
      </c>
      <c r="E121" s="106">
        <v>0</v>
      </c>
      <c r="F121" s="105">
        <f t="shared" si="29"/>
        <v>27</v>
      </c>
      <c r="H121" s="102">
        <v>1</v>
      </c>
      <c r="I121" s="102">
        <v>27</v>
      </c>
      <c r="K121" s="102" t="s">
        <v>1041</v>
      </c>
      <c r="L121" s="102" t="s">
        <v>773</v>
      </c>
      <c r="M121" s="103" t="s">
        <v>379</v>
      </c>
      <c r="N121" s="102">
        <v>0</v>
      </c>
      <c r="O121" s="102">
        <v>12</v>
      </c>
      <c r="P121" s="102" t="s">
        <v>524</v>
      </c>
      <c r="Q121" s="103" t="s">
        <v>1160</v>
      </c>
      <c r="R121" s="103">
        <v>111040027</v>
      </c>
      <c r="S121" s="104" t="str">
        <f t="shared" si="33"/>
        <v>UITexture/Bldg/111040027.png</v>
      </c>
      <c r="T121" s="102" t="s">
        <v>1045</v>
      </c>
      <c r="U121" s="102">
        <v>2</v>
      </c>
      <c r="V121" s="102">
        <v>2</v>
      </c>
      <c r="W121" s="102">
        <v>3</v>
      </c>
      <c r="Y121" s="104">
        <f t="shared" si="30"/>
        <v>104</v>
      </c>
      <c r="Z121" s="102">
        <v>270</v>
      </c>
      <c r="AA121" s="102">
        <v>1</v>
      </c>
      <c r="AB121" s="102">
        <v>3</v>
      </c>
      <c r="AC121" s="102">
        <v>0</v>
      </c>
      <c r="AE121" s="102">
        <v>27</v>
      </c>
      <c r="AG121" s="104">
        <f t="shared" si="34"/>
        <v>264339</v>
      </c>
      <c r="AH121" s="103">
        <v>264339.47194505838</v>
      </c>
      <c r="AI121" s="172">
        <v>4</v>
      </c>
      <c r="AK121" s="104">
        <f ca="1">IFERROR(OFFSET(ITEM_RES!$A$5,MATCH(AL121,ITEM_RES!$M$5:$M$84,0)-1,0),0)</f>
        <v>220000109</v>
      </c>
      <c r="AL121" s="103" t="s">
        <v>581</v>
      </c>
      <c r="AM121" s="104">
        <f t="shared" si="70"/>
        <v>15000</v>
      </c>
      <c r="AN121" s="103">
        <v>14742.666139737823</v>
      </c>
      <c r="AP121" s="104">
        <f ca="1">IFERROR(OFFSET(ITEM_RES!$A$5,MATCH(AQ121,ITEM_RES!$M$5:$M$84,0)-1,0),0)</f>
        <v>220000209</v>
      </c>
      <c r="AQ121" s="103" t="s">
        <v>599</v>
      </c>
      <c r="AR121" s="104">
        <f t="shared" si="71"/>
        <v>8800</v>
      </c>
      <c r="AS121" s="103">
        <v>8845.5996838426945</v>
      </c>
      <c r="AU121" s="104">
        <f ca="1">IFERROR(OFFSET(ITEM_RES!$A$5,MATCH(AV121,ITEM_RES!$M$5:$M$84,0)-1,0),0)</f>
        <v>220000309</v>
      </c>
      <c r="AV121" s="103" t="s">
        <v>617</v>
      </c>
      <c r="AW121" s="104">
        <f t="shared" si="72"/>
        <v>5900</v>
      </c>
      <c r="AX121" s="103">
        <v>5897.0664558951294</v>
      </c>
      <c r="AZ121" s="104">
        <f ca="1">IFERROR(OFFSET(ITEM_RES!$A$5,MATCH(BA121,ITEM_RES!$M$5:$M$84,0)-1,0),0)</f>
        <v>220000409</v>
      </c>
      <c r="BA121" s="103" t="s">
        <v>635</v>
      </c>
      <c r="BB121" s="104">
        <f t="shared" si="73"/>
        <v>2900</v>
      </c>
      <c r="BC121" s="103">
        <v>2948.5332279475647</v>
      </c>
      <c r="BE121" s="104">
        <f ca="1">IFERROR(OFFSET(ITEM_RES!$A$5,MATCH(BF121,ITEM_RES!$M$5:$M$84,0)-1,0),0)</f>
        <v>0</v>
      </c>
      <c r="BG121" s="104">
        <f t="shared" si="74"/>
        <v>0</v>
      </c>
    </row>
    <row r="122" spans="1:60" x14ac:dyDescent="0.3">
      <c r="A122" s="107">
        <f t="shared" si="68"/>
        <v>111040028</v>
      </c>
      <c r="B122" s="106">
        <v>11</v>
      </c>
      <c r="C122" s="105">
        <f t="shared" si="69"/>
        <v>1</v>
      </c>
      <c r="D122" s="106">
        <v>4</v>
      </c>
      <c r="E122" s="106">
        <v>0</v>
      </c>
      <c r="F122" s="105">
        <f t="shared" si="29"/>
        <v>28</v>
      </c>
      <c r="H122" s="102">
        <v>1</v>
      </c>
      <c r="I122" s="102">
        <v>28</v>
      </c>
      <c r="K122" s="102" t="s">
        <v>1041</v>
      </c>
      <c r="L122" s="102" t="s">
        <v>773</v>
      </c>
      <c r="M122" s="103" t="s">
        <v>379</v>
      </c>
      <c r="N122" s="102">
        <v>0</v>
      </c>
      <c r="O122" s="102">
        <v>12</v>
      </c>
      <c r="P122" s="102" t="s">
        <v>524</v>
      </c>
      <c r="Q122" s="103" t="s">
        <v>1160</v>
      </c>
      <c r="R122" s="103">
        <v>111040028</v>
      </c>
      <c r="S122" s="104" t="str">
        <f t="shared" si="33"/>
        <v>UITexture/Bldg/111040028.png</v>
      </c>
      <c r="T122" s="102" t="s">
        <v>1045</v>
      </c>
      <c r="U122" s="102">
        <v>2</v>
      </c>
      <c r="V122" s="102">
        <v>2</v>
      </c>
      <c r="W122" s="102">
        <v>3</v>
      </c>
      <c r="Y122" s="104">
        <f t="shared" si="30"/>
        <v>104</v>
      </c>
      <c r="Z122" s="102">
        <v>280</v>
      </c>
      <c r="AA122" s="102">
        <v>1</v>
      </c>
      <c r="AB122" s="102">
        <v>3</v>
      </c>
      <c r="AC122" s="102">
        <v>0</v>
      </c>
      <c r="AE122" s="102">
        <v>28</v>
      </c>
      <c r="AG122" s="104">
        <f t="shared" si="34"/>
        <v>272270</v>
      </c>
      <c r="AH122" s="103">
        <v>272269.65610341012</v>
      </c>
      <c r="AI122" s="172">
        <v>4</v>
      </c>
      <c r="AK122" s="104">
        <f ca="1">IFERROR(OFFSET(ITEM_RES!$A$5,MATCH(AL122,ITEM_RES!$M$5:$M$84,0)-1,0),0)</f>
        <v>220000110</v>
      </c>
      <c r="AL122" s="103" t="s">
        <v>582</v>
      </c>
      <c r="AM122" s="104">
        <f t="shared" si="70"/>
        <v>6100</v>
      </c>
      <c r="AN122" s="103">
        <v>6073.9784495719832</v>
      </c>
      <c r="AP122" s="104">
        <f ca="1">IFERROR(OFFSET(ITEM_RES!$A$5,MATCH(AQ122,ITEM_RES!$M$5:$M$84,0)-1,0),0)</f>
        <v>220000210</v>
      </c>
      <c r="AQ122" s="103" t="s">
        <v>600</v>
      </c>
      <c r="AR122" s="104">
        <f t="shared" si="71"/>
        <v>3600</v>
      </c>
      <c r="AS122" s="103">
        <v>3644.3870697431903</v>
      </c>
      <c r="AU122" s="104">
        <f ca="1">IFERROR(OFFSET(ITEM_RES!$A$5,MATCH(AV122,ITEM_RES!$M$5:$M$84,0)-1,0),0)</f>
        <v>220000310</v>
      </c>
      <c r="AV122" s="103" t="s">
        <v>618</v>
      </c>
      <c r="AW122" s="104">
        <f t="shared" si="72"/>
        <v>2400</v>
      </c>
      <c r="AX122" s="103">
        <v>2429.5913798287934</v>
      </c>
      <c r="AZ122" s="104">
        <f ca="1">IFERROR(OFFSET(ITEM_RES!$A$5,MATCH(BA122,ITEM_RES!$M$5:$M$84,0)-1,0),0)</f>
        <v>220000410</v>
      </c>
      <c r="BA122" s="103" t="s">
        <v>636</v>
      </c>
      <c r="BB122" s="104">
        <f t="shared" si="73"/>
        <v>1200</v>
      </c>
      <c r="BC122" s="103">
        <v>1214.7956899143967</v>
      </c>
      <c r="BE122" s="104">
        <f ca="1">IFERROR(OFFSET(ITEM_RES!$A$5,MATCH(BF122,ITEM_RES!$M$5:$M$84,0)-1,0),0)</f>
        <v>0</v>
      </c>
      <c r="BG122" s="104">
        <f t="shared" si="74"/>
        <v>0</v>
      </c>
    </row>
    <row r="123" spans="1:60" x14ac:dyDescent="0.3">
      <c r="A123" s="107">
        <f t="shared" si="68"/>
        <v>111040029</v>
      </c>
      <c r="B123" s="106">
        <v>11</v>
      </c>
      <c r="C123" s="105">
        <f t="shared" si="69"/>
        <v>1</v>
      </c>
      <c r="D123" s="106">
        <v>4</v>
      </c>
      <c r="E123" s="106">
        <v>0</v>
      </c>
      <c r="F123" s="105">
        <f t="shared" si="29"/>
        <v>29</v>
      </c>
      <c r="H123" s="102">
        <v>1</v>
      </c>
      <c r="I123" s="102">
        <v>29</v>
      </c>
      <c r="K123" s="102" t="s">
        <v>1041</v>
      </c>
      <c r="L123" s="102" t="s">
        <v>773</v>
      </c>
      <c r="M123" s="103" t="s">
        <v>379</v>
      </c>
      <c r="N123" s="102">
        <v>0</v>
      </c>
      <c r="O123" s="102">
        <v>12</v>
      </c>
      <c r="P123" s="102" t="s">
        <v>524</v>
      </c>
      <c r="Q123" s="103" t="s">
        <v>1160</v>
      </c>
      <c r="R123" s="103">
        <v>111040029</v>
      </c>
      <c r="S123" s="104" t="str">
        <f t="shared" si="33"/>
        <v>UITexture/Bldg/111040029.png</v>
      </c>
      <c r="T123" s="102" t="s">
        <v>1045</v>
      </c>
      <c r="U123" s="102">
        <v>2</v>
      </c>
      <c r="V123" s="102">
        <v>2</v>
      </c>
      <c r="W123" s="102">
        <v>3</v>
      </c>
      <c r="Y123" s="104">
        <f t="shared" si="30"/>
        <v>104</v>
      </c>
      <c r="Z123" s="102">
        <v>290</v>
      </c>
      <c r="AA123" s="102">
        <v>1</v>
      </c>
      <c r="AB123" s="102">
        <v>3</v>
      </c>
      <c r="AC123" s="102">
        <v>0</v>
      </c>
      <c r="AE123" s="102">
        <v>29</v>
      </c>
      <c r="AG123" s="104">
        <f t="shared" si="34"/>
        <v>280438</v>
      </c>
      <c r="AH123" s="103">
        <v>280437.74578651245</v>
      </c>
      <c r="AI123" s="172">
        <v>4</v>
      </c>
      <c r="AK123" s="104">
        <f ca="1">IFERROR(OFFSET(ITEM_RES!$A$5,MATCH(AL123,ITEM_RES!$M$5:$M$84,0)-1,0),0)</f>
        <v>220000110</v>
      </c>
      <c r="AL123" s="103" t="s">
        <v>582</v>
      </c>
      <c r="AM123" s="104">
        <f t="shared" si="70"/>
        <v>7500</v>
      </c>
      <c r="AN123" s="103">
        <v>7507.4373636709706</v>
      </c>
      <c r="AP123" s="104">
        <f ca="1">IFERROR(OFFSET(ITEM_RES!$A$5,MATCH(AQ123,ITEM_RES!$M$5:$M$84,0)-1,0),0)</f>
        <v>220000210</v>
      </c>
      <c r="AQ123" s="103" t="s">
        <v>600</v>
      </c>
      <c r="AR123" s="104">
        <f t="shared" si="71"/>
        <v>4500</v>
      </c>
      <c r="AS123" s="103">
        <v>4504.4624182025827</v>
      </c>
      <c r="AU123" s="104">
        <f ca="1">IFERROR(OFFSET(ITEM_RES!$A$5,MATCH(AV123,ITEM_RES!$M$5:$M$84,0)-1,0),0)</f>
        <v>220000310</v>
      </c>
      <c r="AV123" s="103" t="s">
        <v>618</v>
      </c>
      <c r="AW123" s="104">
        <f t="shared" si="72"/>
        <v>3000</v>
      </c>
      <c r="AX123" s="103">
        <v>3002.9749454683883</v>
      </c>
      <c r="AZ123" s="104">
        <f ca="1">IFERROR(OFFSET(ITEM_RES!$A$5,MATCH(BA123,ITEM_RES!$M$5:$M$84,0)-1,0),0)</f>
        <v>220000410</v>
      </c>
      <c r="BA123" s="103" t="s">
        <v>636</v>
      </c>
      <c r="BB123" s="104">
        <f t="shared" si="73"/>
        <v>1500</v>
      </c>
      <c r="BC123" s="103">
        <v>1501.4874727341942</v>
      </c>
      <c r="BE123" s="104">
        <f ca="1">IFERROR(OFFSET(ITEM_RES!$A$5,MATCH(BF123,ITEM_RES!$M$5:$M$84,0)-1,0),0)</f>
        <v>0</v>
      </c>
      <c r="BG123" s="104">
        <f t="shared" si="74"/>
        <v>0</v>
      </c>
    </row>
    <row r="124" spans="1:60" ht="17.25" thickBot="1" x14ac:dyDescent="0.35">
      <c r="A124" s="107">
        <f t="shared" si="68"/>
        <v>111040030</v>
      </c>
      <c r="B124" s="106">
        <v>11</v>
      </c>
      <c r="C124" s="105">
        <f t="shared" si="69"/>
        <v>1</v>
      </c>
      <c r="D124" s="106">
        <v>4</v>
      </c>
      <c r="E124" s="106">
        <v>0</v>
      </c>
      <c r="F124" s="105">
        <f t="shared" si="29"/>
        <v>30</v>
      </c>
      <c r="H124" s="102">
        <v>1</v>
      </c>
      <c r="I124" s="102">
        <v>30</v>
      </c>
      <c r="K124" s="102" t="s">
        <v>1041</v>
      </c>
      <c r="L124" s="102" t="s">
        <v>774</v>
      </c>
      <c r="M124" s="103" t="s">
        <v>379</v>
      </c>
      <c r="N124" s="102">
        <v>0</v>
      </c>
      <c r="O124" s="102">
        <v>12</v>
      </c>
      <c r="P124" s="102" t="s">
        <v>524</v>
      </c>
      <c r="Q124" s="103" t="s">
        <v>1160</v>
      </c>
      <c r="R124" s="103">
        <v>111040030</v>
      </c>
      <c r="S124" s="104" t="str">
        <f t="shared" si="33"/>
        <v>UITexture/Bldg/111040030.png</v>
      </c>
      <c r="T124" s="102" t="s">
        <v>1045</v>
      </c>
      <c r="U124" s="102">
        <v>2</v>
      </c>
      <c r="V124" s="102">
        <v>2</v>
      </c>
      <c r="W124" s="102">
        <v>3</v>
      </c>
      <c r="Y124" s="104">
        <f t="shared" si="30"/>
        <v>104</v>
      </c>
      <c r="Z124" s="102">
        <v>300</v>
      </c>
      <c r="AA124" s="102">
        <v>1</v>
      </c>
      <c r="AB124" s="102">
        <v>3</v>
      </c>
      <c r="AC124" s="102">
        <v>0</v>
      </c>
      <c r="AE124" s="102">
        <v>30</v>
      </c>
      <c r="AG124" s="104">
        <f t="shared" si="34"/>
        <v>286047</v>
      </c>
      <c r="AH124" s="103">
        <v>286046.50070224266</v>
      </c>
      <c r="AI124" s="172">
        <v>4</v>
      </c>
      <c r="AK124" s="104">
        <f ca="1">IFERROR(OFFSET(ITEM_RES!$A$5,MATCH(AL124,ITEM_RES!$M$5:$M$84,0)-1,0),0)</f>
        <v>220000110</v>
      </c>
      <c r="AL124" s="103" t="s">
        <v>582</v>
      </c>
      <c r="AM124" s="104">
        <f t="shared" si="70"/>
        <v>9200</v>
      </c>
      <c r="AN124" s="103">
        <v>9189.103333133271</v>
      </c>
      <c r="AP124" s="104">
        <f ca="1">IFERROR(OFFSET(ITEM_RES!$A$5,MATCH(AQ124,ITEM_RES!$M$5:$M$84,0)-1,0),0)</f>
        <v>220000210</v>
      </c>
      <c r="AQ124" s="103" t="s">
        <v>600</v>
      </c>
      <c r="AR124" s="104">
        <f t="shared" si="71"/>
        <v>5500</v>
      </c>
      <c r="AS124" s="103">
        <v>5513.4619998799626</v>
      </c>
      <c r="AU124" s="104">
        <f ca="1">IFERROR(OFFSET(ITEM_RES!$A$5,MATCH(AV124,ITEM_RES!$M$5:$M$84,0)-1,0),0)</f>
        <v>220000310</v>
      </c>
      <c r="AV124" s="103" t="s">
        <v>618</v>
      </c>
      <c r="AW124" s="104">
        <f t="shared" si="72"/>
        <v>3700</v>
      </c>
      <c r="AX124" s="103">
        <v>3675.6413332533084</v>
      </c>
      <c r="AZ124" s="104">
        <f ca="1">IFERROR(OFFSET(ITEM_RES!$A$5,MATCH(BA124,ITEM_RES!$M$5:$M$84,0)-1,0),0)</f>
        <v>220000410</v>
      </c>
      <c r="BA124" s="103" t="s">
        <v>636</v>
      </c>
      <c r="BB124" s="104">
        <f t="shared" si="73"/>
        <v>1800</v>
      </c>
      <c r="BC124" s="103">
        <v>1837.8206666266542</v>
      </c>
      <c r="BE124" s="104">
        <f ca="1">IFERROR(OFFSET(ITEM_RES!$A$5,MATCH(BF124,ITEM_RES!$M$5:$M$84,0)-1,0),0)</f>
        <v>0</v>
      </c>
      <c r="BG124" s="104">
        <f t="shared" si="74"/>
        <v>0</v>
      </c>
    </row>
    <row r="125" spans="1:60" s="115" customFormat="1" x14ac:dyDescent="0.3">
      <c r="A125" s="121">
        <f>B125*10000000+C125*1000000+D125*10000+E125*100+F125</f>
        <v>111050001</v>
      </c>
      <c r="B125" s="120">
        <v>11</v>
      </c>
      <c r="C125" s="119">
        <f>H125</f>
        <v>1</v>
      </c>
      <c r="D125" s="120">
        <v>5</v>
      </c>
      <c r="E125" s="120">
        <v>0</v>
      </c>
      <c r="F125" s="119">
        <f t="shared" si="29"/>
        <v>1</v>
      </c>
      <c r="G125" s="255"/>
      <c r="H125" s="116">
        <v>1</v>
      </c>
      <c r="I125" s="116">
        <v>1</v>
      </c>
      <c r="J125" s="255"/>
      <c r="K125" s="208" t="s">
        <v>1041</v>
      </c>
      <c r="L125" s="208" t="s">
        <v>775</v>
      </c>
      <c r="M125" s="264" t="s">
        <v>380</v>
      </c>
      <c r="N125" s="116">
        <v>1</v>
      </c>
      <c r="O125" s="116">
        <v>12</v>
      </c>
      <c r="P125" s="116" t="s">
        <v>740</v>
      </c>
      <c r="Q125" s="117" t="s">
        <v>1160</v>
      </c>
      <c r="R125" s="117">
        <v>111050001</v>
      </c>
      <c r="S125" s="118" t="str">
        <f t="shared" si="33"/>
        <v>UITexture/Bldg/111050001.png</v>
      </c>
      <c r="T125" s="116" t="s">
        <v>1046</v>
      </c>
      <c r="U125" s="116">
        <v>4</v>
      </c>
      <c r="V125" s="116">
        <v>1</v>
      </c>
      <c r="W125" s="116">
        <v>2</v>
      </c>
      <c r="X125" s="255"/>
      <c r="Y125" s="118">
        <f t="shared" si="30"/>
        <v>105</v>
      </c>
      <c r="Z125" s="116">
        <v>10</v>
      </c>
      <c r="AA125" s="116">
        <v>1</v>
      </c>
      <c r="AB125" s="116">
        <v>1</v>
      </c>
      <c r="AC125" s="116">
        <v>0</v>
      </c>
      <c r="AD125" s="116" t="s">
        <v>728</v>
      </c>
      <c r="AE125" s="116">
        <v>1</v>
      </c>
      <c r="AF125" s="255"/>
      <c r="AG125" s="118">
        <f t="shared" si="34"/>
        <v>14</v>
      </c>
      <c r="AH125" s="117">
        <v>14.035087719298245</v>
      </c>
      <c r="AI125" s="174">
        <v>2</v>
      </c>
      <c r="AJ125" s="118"/>
      <c r="AK125" s="118">
        <f ca="1">IFERROR(OFFSET(ITEM_RES!$A$5,MATCH(AL125,ITEM_RES!$M$5:$M$84,0)-1,0),0)</f>
        <v>220000101</v>
      </c>
      <c r="AL125" s="117" t="s">
        <v>573</v>
      </c>
      <c r="AM125" s="118">
        <f>IF(AN125&lt;100,ROUND(AN125,1-LEN(ROUND(AN125,0))),ROUND(AN125,2-LEN(ROUND(AN125,0))))</f>
        <v>30</v>
      </c>
      <c r="AN125" s="117">
        <v>28.07017543859649</v>
      </c>
      <c r="AO125" s="118"/>
      <c r="AP125" s="118">
        <f ca="1">IFERROR(OFFSET(ITEM_RES!$A$5,MATCH(AQ125,ITEM_RES!$M$5:$M$84,0)-1,0),0)</f>
        <v>220000201</v>
      </c>
      <c r="AQ125" s="117" t="s">
        <v>591</v>
      </c>
      <c r="AR125" s="118">
        <f>IF(AS125&lt;100,ROUND(AS125,1-LEN(ROUND(AS125,0))),ROUND(AS125,2-LEN(ROUND(AS125,0))))</f>
        <v>20</v>
      </c>
      <c r="AS125" s="117">
        <v>16.842105263157894</v>
      </c>
      <c r="AT125" s="118"/>
      <c r="AU125" s="118">
        <f ca="1">IFERROR(OFFSET(ITEM_RES!$A$5,MATCH(AV125,ITEM_RES!$M$5:$M$84,0)-1,0),0)</f>
        <v>220000301</v>
      </c>
      <c r="AV125" s="117" t="s">
        <v>609</v>
      </c>
      <c r="AW125" s="118">
        <f>IF(AX125&lt;100,ROUND(AX125,1-LEN(ROUND(AX125,0))),ROUND(AX125,2-LEN(ROUND(AX125,0))))</f>
        <v>0</v>
      </c>
      <c r="AX125" s="117">
        <v>0</v>
      </c>
      <c r="AY125" s="118"/>
      <c r="AZ125" s="118">
        <f ca="1">IFERROR(OFFSET(ITEM_RES!$A$5,MATCH(BA125,ITEM_RES!$M$5:$M$84,0)-1,0),0)</f>
        <v>220000401</v>
      </c>
      <c r="BA125" s="117" t="s">
        <v>627</v>
      </c>
      <c r="BB125" s="118">
        <f>IF(BC125&lt;100,ROUND(BC125,1-LEN(ROUND(BC125,0))),ROUND(BC125,2-LEN(ROUND(BC125,0))))</f>
        <v>0</v>
      </c>
      <c r="BC125" s="117">
        <v>0</v>
      </c>
      <c r="BD125" s="118"/>
      <c r="BE125" s="118">
        <f ca="1">IFERROR(OFFSET(ITEM_RES!$A$5,MATCH(BF125,ITEM_RES!$M$5:$M$84,0)-1,0),0)</f>
        <v>0</v>
      </c>
      <c r="BF125" s="117"/>
      <c r="BG125" s="118">
        <f>IF(BH125&lt;100,ROUND(BH125,1-LEN(ROUND(BH125,0))),ROUND(BH125,2-LEN(ROUND(BH125,0))))</f>
        <v>0</v>
      </c>
      <c r="BH125" s="117"/>
    </row>
    <row r="126" spans="1:60" x14ac:dyDescent="0.3">
      <c r="A126" s="107">
        <f>B126*10000000+C126*1000000+D126*10000+E126*100+F126</f>
        <v>111050002</v>
      </c>
      <c r="B126" s="106">
        <v>11</v>
      </c>
      <c r="C126" s="105">
        <f>H126</f>
        <v>1</v>
      </c>
      <c r="D126" s="106">
        <v>5</v>
      </c>
      <c r="E126" s="106">
        <v>0</v>
      </c>
      <c r="F126" s="105">
        <f t="shared" si="29"/>
        <v>2</v>
      </c>
      <c r="H126" s="102">
        <v>1</v>
      </c>
      <c r="I126" s="102">
        <v>2</v>
      </c>
      <c r="K126" s="102" t="s">
        <v>1041</v>
      </c>
      <c r="L126" s="102" t="s">
        <v>775</v>
      </c>
      <c r="M126" s="103" t="s">
        <v>380</v>
      </c>
      <c r="N126" s="102">
        <v>1</v>
      </c>
      <c r="O126" s="102">
        <v>12</v>
      </c>
      <c r="P126" s="102" t="s">
        <v>740</v>
      </c>
      <c r="Q126" s="103" t="s">
        <v>1160</v>
      </c>
      <c r="R126" s="103">
        <v>111050002</v>
      </c>
      <c r="S126" s="104" t="str">
        <f t="shared" si="33"/>
        <v>UITexture/Bldg/111050002.png</v>
      </c>
      <c r="T126" s="102" t="s">
        <v>1046</v>
      </c>
      <c r="U126" s="102">
        <v>4</v>
      </c>
      <c r="V126" s="102">
        <v>1</v>
      </c>
      <c r="W126" s="102">
        <v>2</v>
      </c>
      <c r="Y126" s="104">
        <f t="shared" si="30"/>
        <v>105</v>
      </c>
      <c r="Z126" s="102">
        <v>20</v>
      </c>
      <c r="AA126" s="102">
        <v>1</v>
      </c>
      <c r="AB126" s="102">
        <v>1</v>
      </c>
      <c r="AC126" s="102">
        <v>0</v>
      </c>
      <c r="AD126" s="102" t="s">
        <v>728</v>
      </c>
      <c r="AE126" s="102">
        <v>2</v>
      </c>
      <c r="AG126" s="104">
        <f t="shared" si="34"/>
        <v>56</v>
      </c>
      <c r="AH126" s="103">
        <v>56.140350877192979</v>
      </c>
      <c r="AI126" s="172">
        <v>2</v>
      </c>
      <c r="AK126" s="104">
        <f ca="1">IFERROR(OFFSET(ITEM_RES!$A$5,MATCH(AL126,ITEM_RES!$M$5:$M$84,0)-1,0),0)</f>
        <v>220000101</v>
      </c>
      <c r="AL126" s="103" t="s">
        <v>573</v>
      </c>
      <c r="AM126" s="104">
        <f>IF(AN126&lt;100,ROUND(AN126,1-LEN(ROUND(AN126,0))),ROUND(AN126,2-LEN(ROUND(AN126,0))))</f>
        <v>140</v>
      </c>
      <c r="AN126" s="103">
        <v>140.35087719298244</v>
      </c>
      <c r="AP126" s="104">
        <f ca="1">IFERROR(OFFSET(ITEM_RES!$A$5,MATCH(AQ126,ITEM_RES!$M$5:$M$84,0)-1,0),0)</f>
        <v>220000201</v>
      </c>
      <c r="AQ126" s="103" t="s">
        <v>591</v>
      </c>
      <c r="AR126" s="104">
        <f>IF(AS126&lt;100,ROUND(AS126,1-LEN(ROUND(AS126,0))),ROUND(AS126,2-LEN(ROUND(AS126,0))))</f>
        <v>80</v>
      </c>
      <c r="AS126" s="103">
        <v>84.210526315789465</v>
      </c>
      <c r="AU126" s="104">
        <f ca="1">IFERROR(OFFSET(ITEM_RES!$A$5,MATCH(AV126,ITEM_RES!$M$5:$M$84,0)-1,0),0)</f>
        <v>220000301</v>
      </c>
      <c r="AV126" s="103" t="s">
        <v>609</v>
      </c>
      <c r="AW126" s="104">
        <f>IF(AX126&lt;100,ROUND(AX126,1-LEN(ROUND(AX126,0))),ROUND(AX126,2-LEN(ROUND(AX126,0))))</f>
        <v>0</v>
      </c>
      <c r="AX126" s="103">
        <v>0</v>
      </c>
      <c r="AZ126" s="104">
        <f ca="1">IFERROR(OFFSET(ITEM_RES!$A$5,MATCH(BA126,ITEM_RES!$M$5:$M$84,0)-1,0),0)</f>
        <v>220000401</v>
      </c>
      <c r="BA126" s="103" t="s">
        <v>627</v>
      </c>
      <c r="BB126" s="104">
        <f>IF(BC126&lt;100,ROUND(BC126,1-LEN(ROUND(BC126,0))),ROUND(BC126,2-LEN(ROUND(BC126,0))))</f>
        <v>0</v>
      </c>
      <c r="BC126" s="103">
        <v>0</v>
      </c>
      <c r="BE126" s="104">
        <f ca="1">IFERROR(OFFSET(ITEM_RES!$A$5,MATCH(BF126,ITEM_RES!$M$5:$M$84,0)-1,0),0)</f>
        <v>0</v>
      </c>
      <c r="BG126" s="104">
        <f>IF(BH126&lt;100,ROUND(BH126,1-LEN(ROUND(BH126,0))),ROUND(BH126,2-LEN(ROUND(BH126,0))))</f>
        <v>0</v>
      </c>
    </row>
    <row r="127" spans="1:60" x14ac:dyDescent="0.3">
      <c r="A127" s="107">
        <f>B127*10000000+C127*1000000+D127*10000+E127*100+F127</f>
        <v>111050003</v>
      </c>
      <c r="B127" s="106">
        <v>11</v>
      </c>
      <c r="C127" s="105">
        <f>H127</f>
        <v>1</v>
      </c>
      <c r="D127" s="106">
        <v>5</v>
      </c>
      <c r="E127" s="106">
        <v>0</v>
      </c>
      <c r="F127" s="105">
        <f t="shared" si="29"/>
        <v>3</v>
      </c>
      <c r="H127" s="102">
        <v>1</v>
      </c>
      <c r="I127" s="102">
        <v>3</v>
      </c>
      <c r="K127" s="102" t="s">
        <v>1041</v>
      </c>
      <c r="L127" s="102" t="s">
        <v>775</v>
      </c>
      <c r="M127" s="103" t="s">
        <v>380</v>
      </c>
      <c r="N127" s="102">
        <v>1</v>
      </c>
      <c r="O127" s="102">
        <v>12</v>
      </c>
      <c r="P127" s="102" t="s">
        <v>740</v>
      </c>
      <c r="Q127" s="103" t="s">
        <v>1160</v>
      </c>
      <c r="R127" s="103">
        <v>111050003</v>
      </c>
      <c r="S127" s="104" t="str">
        <f t="shared" si="33"/>
        <v>UITexture/Bldg/111050003.png</v>
      </c>
      <c r="T127" s="102" t="s">
        <v>1046</v>
      </c>
      <c r="U127" s="102">
        <v>4</v>
      </c>
      <c r="V127" s="102">
        <v>1</v>
      </c>
      <c r="W127" s="102">
        <v>2</v>
      </c>
      <c r="Y127" s="104">
        <f t="shared" si="30"/>
        <v>105</v>
      </c>
      <c r="Z127" s="102">
        <v>30</v>
      </c>
      <c r="AA127" s="102">
        <v>1</v>
      </c>
      <c r="AB127" s="102">
        <v>1</v>
      </c>
      <c r="AC127" s="102">
        <v>0</v>
      </c>
      <c r="AD127" s="102" t="s">
        <v>728</v>
      </c>
      <c r="AE127" s="102">
        <v>3</v>
      </c>
      <c r="AG127" s="104">
        <f t="shared" si="34"/>
        <v>225</v>
      </c>
      <c r="AH127" s="103">
        <v>224.56140350877192</v>
      </c>
      <c r="AI127" s="172">
        <v>2</v>
      </c>
      <c r="AK127" s="104">
        <f ca="1">IFERROR(OFFSET(ITEM_RES!$A$5,MATCH(AL127,ITEM_RES!$M$5:$M$84,0)-1,0),0)</f>
        <v>220000101</v>
      </c>
      <c r="AL127" s="103" t="s">
        <v>573</v>
      </c>
      <c r="AM127" s="104">
        <f>IF(AN127&lt;100,ROUND(AN127,1-LEN(ROUND(AN127,0))),ROUND(AN127,2-LEN(ROUND(AN127,0))))</f>
        <v>700</v>
      </c>
      <c r="AN127" s="103">
        <v>701.75438596491233</v>
      </c>
      <c r="AP127" s="104">
        <f ca="1">IFERROR(OFFSET(ITEM_RES!$A$5,MATCH(AQ127,ITEM_RES!$M$5:$M$84,0)-1,0),0)</f>
        <v>220000201</v>
      </c>
      <c r="AQ127" s="103" t="s">
        <v>591</v>
      </c>
      <c r="AR127" s="104">
        <f>IF(AS127&lt;100,ROUND(AS127,1-LEN(ROUND(AS127,0))),ROUND(AS127,2-LEN(ROUND(AS127,0))))</f>
        <v>420</v>
      </c>
      <c r="AS127" s="103">
        <v>421.0526315789474</v>
      </c>
      <c r="AU127" s="104">
        <f ca="1">IFERROR(OFFSET(ITEM_RES!$A$5,MATCH(AV127,ITEM_RES!$M$5:$M$84,0)-1,0),0)</f>
        <v>220000301</v>
      </c>
      <c r="AV127" s="103" t="s">
        <v>609</v>
      </c>
      <c r="AW127" s="104">
        <f>IF(AX127&lt;100,ROUND(AX127,1-LEN(ROUND(AX127,0))),ROUND(AX127,2-LEN(ROUND(AX127,0))))</f>
        <v>0</v>
      </c>
      <c r="AX127" s="103">
        <v>0</v>
      </c>
      <c r="AZ127" s="104">
        <f ca="1">IFERROR(OFFSET(ITEM_RES!$A$5,MATCH(BA127,ITEM_RES!$M$5:$M$84,0)-1,0),0)</f>
        <v>220000401</v>
      </c>
      <c r="BA127" s="103" t="s">
        <v>627</v>
      </c>
      <c r="BB127" s="104">
        <f>IF(BC127&lt;100,ROUND(BC127,1-LEN(ROUND(BC127,0))),ROUND(BC127,2-LEN(ROUND(BC127,0))))</f>
        <v>0</v>
      </c>
      <c r="BC127" s="103">
        <v>0</v>
      </c>
      <c r="BE127" s="104">
        <f ca="1">IFERROR(OFFSET(ITEM_RES!$A$5,MATCH(BF127,ITEM_RES!$M$5:$M$84,0)-1,0),0)</f>
        <v>0</v>
      </c>
      <c r="BG127" s="104">
        <f>IF(BH127&lt;100,ROUND(BH127,1-LEN(ROUND(BH127,0))),ROUND(BH127,2-LEN(ROUND(BH127,0))))</f>
        <v>0</v>
      </c>
    </row>
    <row r="128" spans="1:60" x14ac:dyDescent="0.3">
      <c r="A128" s="107">
        <f>B128*10000000+C128*1000000+D128*10000+E128*100+F128</f>
        <v>111050004</v>
      </c>
      <c r="B128" s="106">
        <v>11</v>
      </c>
      <c r="C128" s="105">
        <f>H128</f>
        <v>1</v>
      </c>
      <c r="D128" s="106">
        <v>5</v>
      </c>
      <c r="E128" s="106">
        <v>0</v>
      </c>
      <c r="F128" s="105">
        <f t="shared" si="29"/>
        <v>4</v>
      </c>
      <c r="H128" s="102">
        <v>1</v>
      </c>
      <c r="I128" s="102">
        <v>4</v>
      </c>
      <c r="K128" s="102" t="s">
        <v>1041</v>
      </c>
      <c r="L128" s="102" t="s">
        <v>775</v>
      </c>
      <c r="M128" s="103" t="s">
        <v>380</v>
      </c>
      <c r="N128" s="102">
        <v>1</v>
      </c>
      <c r="O128" s="102">
        <v>12</v>
      </c>
      <c r="P128" s="102" t="s">
        <v>740</v>
      </c>
      <c r="Q128" s="103" t="s">
        <v>1160</v>
      </c>
      <c r="R128" s="103">
        <v>111050004</v>
      </c>
      <c r="S128" s="104" t="str">
        <f t="shared" si="33"/>
        <v>UITexture/Bldg/111050004.png</v>
      </c>
      <c r="T128" s="102" t="s">
        <v>1046</v>
      </c>
      <c r="U128" s="102">
        <v>4</v>
      </c>
      <c r="V128" s="102">
        <v>1</v>
      </c>
      <c r="W128" s="102">
        <v>2</v>
      </c>
      <c r="Y128" s="104">
        <f t="shared" si="30"/>
        <v>105</v>
      </c>
      <c r="Z128" s="102">
        <v>40</v>
      </c>
      <c r="AA128" s="102">
        <v>1</v>
      </c>
      <c r="AB128" s="102">
        <v>1</v>
      </c>
      <c r="AC128" s="102">
        <v>0</v>
      </c>
      <c r="AD128" s="102" t="s">
        <v>728</v>
      </c>
      <c r="AE128" s="102">
        <v>4</v>
      </c>
      <c r="AG128" s="104">
        <f t="shared" si="34"/>
        <v>898</v>
      </c>
      <c r="AH128" s="103">
        <v>898.24561403508767</v>
      </c>
      <c r="AI128" s="172">
        <v>2</v>
      </c>
      <c r="AK128" s="104">
        <f ca="1">IFERROR(OFFSET(ITEM_RES!$A$5,MATCH(AL128,ITEM_RES!$M$5:$M$84,0)-1,0),0)</f>
        <v>220000102</v>
      </c>
      <c r="AL128" s="103" t="s">
        <v>574</v>
      </c>
      <c r="AM128" s="104">
        <f>IF(AN128&lt;100,ROUND(AN128,1-LEN(ROUND(AN128,0))),ROUND(AN128,2-LEN(ROUND(AN128,0))))</f>
        <v>1200</v>
      </c>
      <c r="AN128" s="103">
        <v>1169.5906432748538</v>
      </c>
      <c r="AP128" s="104">
        <f ca="1">IFERROR(OFFSET(ITEM_RES!$A$5,MATCH(AQ128,ITEM_RES!$M$5:$M$84,0)-1,0),0)</f>
        <v>220000202</v>
      </c>
      <c r="AQ128" s="103" t="s">
        <v>592</v>
      </c>
      <c r="AR128" s="104">
        <f>IF(AS128&lt;100,ROUND(AS128,1-LEN(ROUND(AS128,0))),ROUND(AS128,2-LEN(ROUND(AS128,0))))</f>
        <v>700</v>
      </c>
      <c r="AS128" s="103">
        <v>701.75438596491233</v>
      </c>
      <c r="AU128" s="104">
        <f ca="1">IFERROR(OFFSET(ITEM_RES!$A$5,MATCH(AV128,ITEM_RES!$M$5:$M$84,0)-1,0),0)</f>
        <v>220000302</v>
      </c>
      <c r="AV128" s="103" t="s">
        <v>610</v>
      </c>
      <c r="AW128" s="104">
        <f>IF(AX128&lt;100,ROUND(AX128,1-LEN(ROUND(AX128,0))),ROUND(AX128,2-LEN(ROUND(AX128,0))))</f>
        <v>0</v>
      </c>
      <c r="AX128" s="103">
        <v>0</v>
      </c>
      <c r="AZ128" s="104">
        <f ca="1">IFERROR(OFFSET(ITEM_RES!$A$5,MATCH(BA128,ITEM_RES!$M$5:$M$84,0)-1,0),0)</f>
        <v>220000402</v>
      </c>
      <c r="BA128" s="103" t="s">
        <v>628</v>
      </c>
      <c r="BB128" s="104">
        <f>IF(BC128&lt;100,ROUND(BC128,1-LEN(ROUND(BC128,0))),ROUND(BC128,2-LEN(ROUND(BC128,0))))</f>
        <v>0</v>
      </c>
      <c r="BC128" s="103">
        <v>0</v>
      </c>
      <c r="BE128" s="104">
        <f ca="1">IFERROR(OFFSET(ITEM_RES!$A$5,MATCH(BF128,ITEM_RES!$M$5:$M$84,0)-1,0),0)</f>
        <v>0</v>
      </c>
      <c r="BG128" s="104">
        <f>IF(BH128&lt;100,ROUND(BH128,1-LEN(ROUND(BH128,0))),ROUND(BH128,2-LEN(ROUND(BH128,0))))</f>
        <v>0</v>
      </c>
    </row>
    <row r="129" spans="1:59" x14ac:dyDescent="0.3">
      <c r="A129" s="107">
        <f>B129*10000000+C129*1000000+D129*10000+E129*100+F129</f>
        <v>111050005</v>
      </c>
      <c r="B129" s="106">
        <v>11</v>
      </c>
      <c r="C129" s="105">
        <f>H129</f>
        <v>1</v>
      </c>
      <c r="D129" s="106">
        <v>5</v>
      </c>
      <c r="E129" s="106">
        <v>0</v>
      </c>
      <c r="F129" s="105">
        <f t="shared" si="29"/>
        <v>5</v>
      </c>
      <c r="H129" s="102">
        <v>1</v>
      </c>
      <c r="I129" s="102">
        <v>5</v>
      </c>
      <c r="K129" s="102" t="s">
        <v>1041</v>
      </c>
      <c r="L129" s="102" t="s">
        <v>775</v>
      </c>
      <c r="M129" s="103" t="s">
        <v>380</v>
      </c>
      <c r="N129" s="102">
        <v>1</v>
      </c>
      <c r="O129" s="102">
        <v>12</v>
      </c>
      <c r="P129" s="102" t="s">
        <v>740</v>
      </c>
      <c r="Q129" s="103" t="s">
        <v>1160</v>
      </c>
      <c r="R129" s="103">
        <v>111050005</v>
      </c>
      <c r="S129" s="104" t="str">
        <f t="shared" si="33"/>
        <v>UITexture/Bldg/111050005.png</v>
      </c>
      <c r="T129" s="102" t="s">
        <v>1046</v>
      </c>
      <c r="U129" s="102">
        <v>4</v>
      </c>
      <c r="V129" s="102">
        <v>1</v>
      </c>
      <c r="W129" s="102">
        <v>2</v>
      </c>
      <c r="Y129" s="104">
        <f t="shared" si="30"/>
        <v>105</v>
      </c>
      <c r="Z129" s="102">
        <v>50</v>
      </c>
      <c r="AA129" s="102">
        <v>1</v>
      </c>
      <c r="AB129" s="102">
        <v>1</v>
      </c>
      <c r="AC129" s="102">
        <v>0</v>
      </c>
      <c r="AD129" s="102" t="s">
        <v>728</v>
      </c>
      <c r="AE129" s="102">
        <v>5</v>
      </c>
      <c r="AG129" s="104">
        <f t="shared" si="34"/>
        <v>2695</v>
      </c>
      <c r="AH129" s="103">
        <v>2694.7368421052633</v>
      </c>
      <c r="AI129" s="172">
        <v>2</v>
      </c>
      <c r="AK129" s="104">
        <f ca="1">IFERROR(OFFSET(ITEM_RES!$A$5,MATCH(AL129,ITEM_RES!$M$5:$M$84,0)-1,0),0)</f>
        <v>220000102</v>
      </c>
      <c r="AL129" s="103" t="s">
        <v>574</v>
      </c>
      <c r="AM129" s="104">
        <f>IF(AN129&lt;100,ROUND(AN129,1-LEN(ROUND(AN129,0))),ROUND(AN129,2-LEN(ROUND(AN129,0))))</f>
        <v>4400</v>
      </c>
      <c r="AN129" s="103">
        <v>4385.9649122807023</v>
      </c>
      <c r="AP129" s="104">
        <f ca="1">IFERROR(OFFSET(ITEM_RES!$A$5,MATCH(AQ129,ITEM_RES!$M$5:$M$84,0)-1,0),0)</f>
        <v>220000202</v>
      </c>
      <c r="AQ129" s="103" t="s">
        <v>592</v>
      </c>
      <c r="AR129" s="104">
        <f>IF(AS129&lt;100,ROUND(AS129,1-LEN(ROUND(AS129,0))),ROUND(AS129,2-LEN(ROUND(AS129,0))))</f>
        <v>2600</v>
      </c>
      <c r="AS129" s="103">
        <v>2631.5789473684213</v>
      </c>
      <c r="AU129" s="104">
        <f ca="1">IFERROR(OFFSET(ITEM_RES!$A$5,MATCH(AV129,ITEM_RES!$M$5:$M$84,0)-1,0),0)</f>
        <v>220000302</v>
      </c>
      <c r="AV129" s="103" t="s">
        <v>610</v>
      </c>
      <c r="AW129" s="104">
        <f>IF(AX129&lt;100,ROUND(AX129,1-LEN(ROUND(AX129,0))),ROUND(AX129,2-LEN(ROUND(AX129,0))))</f>
        <v>0</v>
      </c>
      <c r="AX129" s="103">
        <v>0</v>
      </c>
      <c r="AZ129" s="104">
        <f ca="1">IFERROR(OFFSET(ITEM_RES!$A$5,MATCH(BA129,ITEM_RES!$M$5:$M$84,0)-1,0),0)</f>
        <v>220000402</v>
      </c>
      <c r="BA129" s="103" t="s">
        <v>628</v>
      </c>
      <c r="BB129" s="104">
        <f>IF(BC129&lt;100,ROUND(BC129,1-LEN(ROUND(BC129,0))),ROUND(BC129,2-LEN(ROUND(BC129,0))))</f>
        <v>0</v>
      </c>
      <c r="BC129" s="103">
        <v>0</v>
      </c>
      <c r="BE129" s="104">
        <f ca="1">IFERROR(OFFSET(ITEM_RES!$A$5,MATCH(BF129,ITEM_RES!$M$5:$M$84,0)-1,0),0)</f>
        <v>0</v>
      </c>
      <c r="BG129" s="104">
        <f>IF(BH129&lt;100,ROUND(BH129,1-LEN(ROUND(BH129,0))),ROUND(BH129,2-LEN(ROUND(BH129,0))))</f>
        <v>0</v>
      </c>
    </row>
    <row r="130" spans="1:59" x14ac:dyDescent="0.3">
      <c r="A130" s="107">
        <f t="shared" ref="A130:A134" si="75">B130*10000000+C130*1000000+D130*10000+E130*100+F130</f>
        <v>111050006</v>
      </c>
      <c r="B130" s="106">
        <v>11</v>
      </c>
      <c r="C130" s="105">
        <f t="shared" ref="C130:C134" si="76">H130</f>
        <v>1</v>
      </c>
      <c r="D130" s="106">
        <v>5</v>
      </c>
      <c r="E130" s="106">
        <v>0</v>
      </c>
      <c r="F130" s="105">
        <f t="shared" si="29"/>
        <v>6</v>
      </c>
      <c r="H130" s="102">
        <v>1</v>
      </c>
      <c r="I130" s="102">
        <v>6</v>
      </c>
      <c r="K130" s="102" t="s">
        <v>1041</v>
      </c>
      <c r="L130" s="102" t="s">
        <v>775</v>
      </c>
      <c r="M130" s="103" t="s">
        <v>380</v>
      </c>
      <c r="N130" s="102">
        <v>1</v>
      </c>
      <c r="O130" s="102">
        <v>12</v>
      </c>
      <c r="P130" s="102" t="s">
        <v>740</v>
      </c>
      <c r="Q130" s="103" t="s">
        <v>1160</v>
      </c>
      <c r="R130" s="103">
        <v>111050006</v>
      </c>
      <c r="S130" s="104" t="str">
        <f t="shared" si="33"/>
        <v>UITexture/Bldg/111050006.png</v>
      </c>
      <c r="T130" s="102" t="s">
        <v>1046</v>
      </c>
      <c r="U130" s="102">
        <v>4</v>
      </c>
      <c r="V130" s="102">
        <v>1</v>
      </c>
      <c r="W130" s="102">
        <v>2</v>
      </c>
      <c r="Y130" s="104">
        <f t="shared" si="30"/>
        <v>105</v>
      </c>
      <c r="Z130" s="102">
        <v>60</v>
      </c>
      <c r="AA130" s="102">
        <v>1</v>
      </c>
      <c r="AB130" s="102">
        <v>1</v>
      </c>
      <c r="AC130" s="102">
        <v>0</v>
      </c>
      <c r="AD130" s="102" t="s">
        <v>728</v>
      </c>
      <c r="AE130" s="102">
        <v>6</v>
      </c>
      <c r="AG130" s="104">
        <f t="shared" si="34"/>
        <v>5389</v>
      </c>
      <c r="AH130" s="103">
        <v>5389.4736842105267</v>
      </c>
      <c r="AI130" s="172">
        <v>3</v>
      </c>
      <c r="AK130" s="104">
        <f ca="1">IFERROR(OFFSET(ITEM_RES!$A$5,MATCH(AL130,ITEM_RES!$M$5:$M$84,0)-1,0),0)</f>
        <v>220000102</v>
      </c>
      <c r="AL130" s="103" t="s">
        <v>574</v>
      </c>
      <c r="AM130" s="104">
        <f t="shared" ref="AM130:AM134" si="77">IF(AN130&lt;100,ROUND(AN130,1-LEN(ROUND(AN130,0))),ROUND(AN130,2-LEN(ROUND(AN130,0))))</f>
        <v>8800</v>
      </c>
      <c r="AN130" s="103">
        <v>8771.9298245614027</v>
      </c>
      <c r="AP130" s="104">
        <f ca="1">IFERROR(OFFSET(ITEM_RES!$A$5,MATCH(AQ130,ITEM_RES!$M$5:$M$84,0)-1,0),0)</f>
        <v>220000202</v>
      </c>
      <c r="AQ130" s="103" t="s">
        <v>592</v>
      </c>
      <c r="AR130" s="104">
        <f t="shared" ref="AR130:AR134" si="78">IF(AS130&lt;100,ROUND(AS130,1-LEN(ROUND(AS130,0))),ROUND(AS130,2-LEN(ROUND(AS130,0))))</f>
        <v>5300</v>
      </c>
      <c r="AS130" s="103">
        <v>5263.1578947368416</v>
      </c>
      <c r="AU130" s="104">
        <f ca="1">IFERROR(OFFSET(ITEM_RES!$A$5,MATCH(AV130,ITEM_RES!$M$5:$M$84,0)-1,0),0)</f>
        <v>220000302</v>
      </c>
      <c r="AV130" s="103" t="s">
        <v>610</v>
      </c>
      <c r="AW130" s="104">
        <f t="shared" ref="AW130:AW134" si="79">IF(AX130&lt;100,ROUND(AX130,1-LEN(ROUND(AX130,0))),ROUND(AX130,2-LEN(ROUND(AX130,0))))</f>
        <v>1800</v>
      </c>
      <c r="AX130" s="103">
        <v>1754.3859649122805</v>
      </c>
      <c r="AZ130" s="104">
        <f ca="1">IFERROR(OFFSET(ITEM_RES!$A$5,MATCH(BA130,ITEM_RES!$M$5:$M$84,0)-1,0),0)</f>
        <v>220000402</v>
      </c>
      <c r="BA130" s="103" t="s">
        <v>628</v>
      </c>
      <c r="BB130" s="104">
        <f t="shared" ref="BB130:BB134" si="80">IF(BC130&lt;100,ROUND(BC130,1-LEN(ROUND(BC130,0))),ROUND(BC130,2-LEN(ROUND(BC130,0))))</f>
        <v>0</v>
      </c>
      <c r="BC130" s="103">
        <v>0</v>
      </c>
      <c r="BE130" s="104">
        <f ca="1">IFERROR(OFFSET(ITEM_RES!$A$5,MATCH(BF130,ITEM_RES!$M$5:$M$84,0)-1,0),0)</f>
        <v>0</v>
      </c>
      <c r="BG130" s="104">
        <f t="shared" ref="BG130:BG134" si="81">IF(BH130&lt;100,ROUND(BH130,1-LEN(ROUND(BH130,0))),ROUND(BH130,2-LEN(ROUND(BH130,0))))</f>
        <v>0</v>
      </c>
    </row>
    <row r="131" spans="1:59" x14ac:dyDescent="0.3">
      <c r="A131" s="107">
        <f t="shared" si="75"/>
        <v>111050007</v>
      </c>
      <c r="B131" s="106">
        <v>11</v>
      </c>
      <c r="C131" s="105">
        <f t="shared" si="76"/>
        <v>1</v>
      </c>
      <c r="D131" s="106">
        <v>5</v>
      </c>
      <c r="E131" s="106">
        <v>0</v>
      </c>
      <c r="F131" s="105">
        <f t="shared" si="29"/>
        <v>7</v>
      </c>
      <c r="H131" s="102">
        <v>1</v>
      </c>
      <c r="I131" s="102">
        <v>7</v>
      </c>
      <c r="K131" s="102" t="s">
        <v>1041</v>
      </c>
      <c r="L131" s="102" t="s">
        <v>775</v>
      </c>
      <c r="M131" s="103" t="s">
        <v>380</v>
      </c>
      <c r="N131" s="102">
        <v>1</v>
      </c>
      <c r="O131" s="102">
        <v>12</v>
      </c>
      <c r="P131" s="102" t="s">
        <v>740</v>
      </c>
      <c r="Q131" s="103" t="s">
        <v>1160</v>
      </c>
      <c r="R131" s="103">
        <v>111050007</v>
      </c>
      <c r="S131" s="104" t="str">
        <f t="shared" si="33"/>
        <v>UITexture/Bldg/111050007.png</v>
      </c>
      <c r="T131" s="102" t="s">
        <v>1046</v>
      </c>
      <c r="U131" s="102">
        <v>4</v>
      </c>
      <c r="V131" s="102">
        <v>1</v>
      </c>
      <c r="W131" s="102">
        <v>2</v>
      </c>
      <c r="Y131" s="104">
        <f t="shared" si="30"/>
        <v>105</v>
      </c>
      <c r="Z131" s="102">
        <v>70</v>
      </c>
      <c r="AA131" s="102">
        <v>1</v>
      </c>
      <c r="AB131" s="102">
        <v>1</v>
      </c>
      <c r="AC131" s="102">
        <v>0</v>
      </c>
      <c r="AD131" s="102" t="s">
        <v>728</v>
      </c>
      <c r="AE131" s="102">
        <v>7</v>
      </c>
      <c r="AG131" s="104">
        <f t="shared" si="34"/>
        <v>10779</v>
      </c>
      <c r="AH131" s="103">
        <v>10778.947368421053</v>
      </c>
      <c r="AI131" s="172">
        <v>3</v>
      </c>
      <c r="AK131" s="104">
        <f ca="1">IFERROR(OFFSET(ITEM_RES!$A$5,MATCH(AL131,ITEM_RES!$M$5:$M$84,0)-1,0),0)</f>
        <v>220000103</v>
      </c>
      <c r="AL131" s="103" t="s">
        <v>575</v>
      </c>
      <c r="AM131" s="104">
        <f t="shared" si="77"/>
        <v>7300</v>
      </c>
      <c r="AN131" s="103">
        <v>7309.9415204678353</v>
      </c>
      <c r="AP131" s="104">
        <f ca="1">IFERROR(OFFSET(ITEM_RES!$A$5,MATCH(AQ131,ITEM_RES!$M$5:$M$84,0)-1,0),0)</f>
        <v>220000203</v>
      </c>
      <c r="AQ131" s="103" t="s">
        <v>593</v>
      </c>
      <c r="AR131" s="104">
        <f t="shared" si="78"/>
        <v>4400</v>
      </c>
      <c r="AS131" s="103">
        <v>4385.9649122807004</v>
      </c>
      <c r="AU131" s="104">
        <f ca="1">IFERROR(OFFSET(ITEM_RES!$A$5,MATCH(AV131,ITEM_RES!$M$5:$M$84,0)-1,0),0)</f>
        <v>220000303</v>
      </c>
      <c r="AV131" s="103" t="s">
        <v>611</v>
      </c>
      <c r="AW131" s="104">
        <f t="shared" si="79"/>
        <v>1500</v>
      </c>
      <c r="AX131" s="103">
        <v>1461.988304093567</v>
      </c>
      <c r="AZ131" s="104">
        <f ca="1">IFERROR(OFFSET(ITEM_RES!$A$5,MATCH(BA131,ITEM_RES!$M$5:$M$84,0)-1,0),0)</f>
        <v>220000403</v>
      </c>
      <c r="BA131" s="103" t="s">
        <v>629</v>
      </c>
      <c r="BB131" s="104">
        <f t="shared" si="80"/>
        <v>0</v>
      </c>
      <c r="BC131" s="103">
        <v>0</v>
      </c>
      <c r="BE131" s="104">
        <f ca="1">IFERROR(OFFSET(ITEM_RES!$A$5,MATCH(BF131,ITEM_RES!$M$5:$M$84,0)-1,0),0)</f>
        <v>0</v>
      </c>
      <c r="BG131" s="104">
        <f t="shared" si="81"/>
        <v>0</v>
      </c>
    </row>
    <row r="132" spans="1:59" x14ac:dyDescent="0.3">
      <c r="A132" s="107">
        <f t="shared" si="75"/>
        <v>111050008</v>
      </c>
      <c r="B132" s="106">
        <v>11</v>
      </c>
      <c r="C132" s="105">
        <f t="shared" si="76"/>
        <v>1</v>
      </c>
      <c r="D132" s="106">
        <v>5</v>
      </c>
      <c r="E132" s="106">
        <v>0</v>
      </c>
      <c r="F132" s="105">
        <f t="shared" si="29"/>
        <v>8</v>
      </c>
      <c r="H132" s="102">
        <v>1</v>
      </c>
      <c r="I132" s="102">
        <v>8</v>
      </c>
      <c r="K132" s="102" t="s">
        <v>1041</v>
      </c>
      <c r="L132" s="102" t="s">
        <v>775</v>
      </c>
      <c r="M132" s="103" t="s">
        <v>380</v>
      </c>
      <c r="N132" s="102">
        <v>1</v>
      </c>
      <c r="O132" s="102">
        <v>12</v>
      </c>
      <c r="P132" s="102" t="s">
        <v>740</v>
      </c>
      <c r="Q132" s="103" t="s">
        <v>1160</v>
      </c>
      <c r="R132" s="103">
        <v>111050008</v>
      </c>
      <c r="S132" s="104" t="str">
        <f t="shared" si="33"/>
        <v>UITexture/Bldg/111050008.png</v>
      </c>
      <c r="T132" s="102" t="s">
        <v>1046</v>
      </c>
      <c r="U132" s="102">
        <v>4</v>
      </c>
      <c r="V132" s="102">
        <v>1</v>
      </c>
      <c r="W132" s="102">
        <v>2</v>
      </c>
      <c r="Y132" s="104">
        <f t="shared" si="30"/>
        <v>105</v>
      </c>
      <c r="Z132" s="102">
        <v>80</v>
      </c>
      <c r="AA132" s="102">
        <v>1</v>
      </c>
      <c r="AB132" s="102">
        <v>1</v>
      </c>
      <c r="AC132" s="102">
        <v>0</v>
      </c>
      <c r="AD132" s="102" t="s">
        <v>728</v>
      </c>
      <c r="AE132" s="102">
        <v>8</v>
      </c>
      <c r="AG132" s="104">
        <f t="shared" si="34"/>
        <v>11857</v>
      </c>
      <c r="AH132" s="103">
        <v>11856.842105263158</v>
      </c>
      <c r="AI132" s="172">
        <v>3</v>
      </c>
      <c r="AK132" s="104">
        <f ca="1">IFERROR(OFFSET(ITEM_RES!$A$5,MATCH(AL132,ITEM_RES!$M$5:$M$84,0)-1,0),0)</f>
        <v>220000103</v>
      </c>
      <c r="AL132" s="103" t="s">
        <v>575</v>
      </c>
      <c r="AM132" s="104">
        <f t="shared" si="77"/>
        <v>10000</v>
      </c>
      <c r="AN132" s="103">
        <v>10051.169590643276</v>
      </c>
      <c r="AP132" s="104">
        <f ca="1">IFERROR(OFFSET(ITEM_RES!$A$5,MATCH(AQ132,ITEM_RES!$M$5:$M$84,0)-1,0),0)</f>
        <v>220000203</v>
      </c>
      <c r="AQ132" s="103" t="s">
        <v>593</v>
      </c>
      <c r="AR132" s="104">
        <f t="shared" si="78"/>
        <v>6000</v>
      </c>
      <c r="AS132" s="103">
        <v>6030.7017543859656</v>
      </c>
      <c r="AU132" s="104">
        <f ca="1">IFERROR(OFFSET(ITEM_RES!$A$5,MATCH(AV132,ITEM_RES!$M$5:$M$84,0)-1,0),0)</f>
        <v>220000303</v>
      </c>
      <c r="AV132" s="103" t="s">
        <v>611</v>
      </c>
      <c r="AW132" s="104">
        <f t="shared" si="79"/>
        <v>2000</v>
      </c>
      <c r="AX132" s="103">
        <v>2010.2339181286552</v>
      </c>
      <c r="AZ132" s="104">
        <f ca="1">IFERROR(OFFSET(ITEM_RES!$A$5,MATCH(BA132,ITEM_RES!$M$5:$M$84,0)-1,0),0)</f>
        <v>220000403</v>
      </c>
      <c r="BA132" s="103" t="s">
        <v>629</v>
      </c>
      <c r="BB132" s="104">
        <f t="shared" si="80"/>
        <v>0</v>
      </c>
      <c r="BC132" s="103">
        <v>0</v>
      </c>
      <c r="BE132" s="104">
        <f ca="1">IFERROR(OFFSET(ITEM_RES!$A$5,MATCH(BF132,ITEM_RES!$M$5:$M$84,0)-1,0),0)</f>
        <v>0</v>
      </c>
      <c r="BG132" s="104">
        <f t="shared" si="81"/>
        <v>0</v>
      </c>
    </row>
    <row r="133" spans="1:59" x14ac:dyDescent="0.3">
      <c r="A133" s="107">
        <f t="shared" si="75"/>
        <v>111050009</v>
      </c>
      <c r="B133" s="106">
        <v>11</v>
      </c>
      <c r="C133" s="105">
        <f t="shared" si="76"/>
        <v>1</v>
      </c>
      <c r="D133" s="106">
        <v>5</v>
      </c>
      <c r="E133" s="106">
        <v>0</v>
      </c>
      <c r="F133" s="105">
        <f t="shared" ref="F133:F191" si="82">I133</f>
        <v>9</v>
      </c>
      <c r="H133" s="102">
        <v>1</v>
      </c>
      <c r="I133" s="102">
        <v>9</v>
      </c>
      <c r="K133" s="102" t="s">
        <v>1041</v>
      </c>
      <c r="L133" s="102" t="s">
        <v>775</v>
      </c>
      <c r="M133" s="103" t="s">
        <v>380</v>
      </c>
      <c r="N133" s="102">
        <v>1</v>
      </c>
      <c r="O133" s="102">
        <v>12</v>
      </c>
      <c r="P133" s="102" t="s">
        <v>740</v>
      </c>
      <c r="Q133" s="103" t="s">
        <v>1160</v>
      </c>
      <c r="R133" s="103">
        <v>111050009</v>
      </c>
      <c r="S133" s="104" t="str">
        <f t="shared" si="33"/>
        <v>UITexture/Bldg/111050009.png</v>
      </c>
      <c r="T133" s="102" t="s">
        <v>1046</v>
      </c>
      <c r="U133" s="102">
        <v>4</v>
      </c>
      <c r="V133" s="102">
        <v>1</v>
      </c>
      <c r="W133" s="102">
        <v>2</v>
      </c>
      <c r="Y133" s="104">
        <f t="shared" ref="Y133:Y196" si="83">C133*100+D133</f>
        <v>105</v>
      </c>
      <c r="Z133" s="102">
        <v>90</v>
      </c>
      <c r="AA133" s="102">
        <v>1</v>
      </c>
      <c r="AB133" s="102">
        <v>1</v>
      </c>
      <c r="AC133" s="102">
        <v>0</v>
      </c>
      <c r="AD133" s="102" t="s">
        <v>728</v>
      </c>
      <c r="AE133" s="102">
        <v>9</v>
      </c>
      <c r="AG133" s="104">
        <f t="shared" si="34"/>
        <v>13043</v>
      </c>
      <c r="AH133" s="103">
        <v>13042.526315789475</v>
      </c>
      <c r="AI133" s="172">
        <v>3</v>
      </c>
      <c r="AK133" s="104">
        <f ca="1">IFERROR(OFFSET(ITEM_RES!$A$5,MATCH(AL133,ITEM_RES!$M$5:$M$84,0)-1,0),0)</f>
        <v>220000103</v>
      </c>
      <c r="AL133" s="103" t="s">
        <v>575</v>
      </c>
      <c r="AM133" s="104">
        <f t="shared" si="77"/>
        <v>14000</v>
      </c>
      <c r="AN133" s="103">
        <v>13820.358187134507</v>
      </c>
      <c r="AP133" s="104">
        <f ca="1">IFERROR(OFFSET(ITEM_RES!$A$5,MATCH(AQ133,ITEM_RES!$M$5:$M$84,0)-1,0),0)</f>
        <v>220000203</v>
      </c>
      <c r="AQ133" s="103" t="s">
        <v>593</v>
      </c>
      <c r="AR133" s="104">
        <f t="shared" si="78"/>
        <v>8300</v>
      </c>
      <c r="AS133" s="103">
        <v>8292.2149122807041</v>
      </c>
      <c r="AU133" s="104">
        <f ca="1">IFERROR(OFFSET(ITEM_RES!$A$5,MATCH(AV133,ITEM_RES!$M$5:$M$84,0)-1,0),0)</f>
        <v>220000303</v>
      </c>
      <c r="AV133" s="103" t="s">
        <v>611</v>
      </c>
      <c r="AW133" s="104">
        <f t="shared" si="79"/>
        <v>2800</v>
      </c>
      <c r="AX133" s="103">
        <v>2764.0716374269014</v>
      </c>
      <c r="AZ133" s="104">
        <f ca="1">IFERROR(OFFSET(ITEM_RES!$A$5,MATCH(BA133,ITEM_RES!$M$5:$M$84,0)-1,0),0)</f>
        <v>220000403</v>
      </c>
      <c r="BA133" s="103" t="s">
        <v>629</v>
      </c>
      <c r="BB133" s="104">
        <f t="shared" si="80"/>
        <v>0</v>
      </c>
      <c r="BC133" s="103">
        <v>0</v>
      </c>
      <c r="BE133" s="104">
        <f ca="1">IFERROR(OFFSET(ITEM_RES!$A$5,MATCH(BF133,ITEM_RES!$M$5:$M$84,0)-1,0),0)</f>
        <v>0</v>
      </c>
      <c r="BG133" s="104">
        <f t="shared" si="81"/>
        <v>0</v>
      </c>
    </row>
    <row r="134" spans="1:59" x14ac:dyDescent="0.3">
      <c r="A134" s="107">
        <f t="shared" si="75"/>
        <v>111050010</v>
      </c>
      <c r="B134" s="106">
        <v>11</v>
      </c>
      <c r="C134" s="105">
        <f t="shared" si="76"/>
        <v>1</v>
      </c>
      <c r="D134" s="106">
        <v>5</v>
      </c>
      <c r="E134" s="106">
        <v>0</v>
      </c>
      <c r="F134" s="105">
        <f t="shared" si="82"/>
        <v>10</v>
      </c>
      <c r="H134" s="102">
        <v>1</v>
      </c>
      <c r="I134" s="102">
        <v>10</v>
      </c>
      <c r="K134" s="102" t="s">
        <v>1041</v>
      </c>
      <c r="L134" s="102" t="s">
        <v>775</v>
      </c>
      <c r="M134" s="103" t="s">
        <v>380</v>
      </c>
      <c r="N134" s="102">
        <v>1</v>
      </c>
      <c r="O134" s="102">
        <v>12</v>
      </c>
      <c r="P134" s="102" t="s">
        <v>740</v>
      </c>
      <c r="Q134" s="103" t="s">
        <v>1160</v>
      </c>
      <c r="R134" s="103">
        <v>111050010</v>
      </c>
      <c r="S134" s="104" t="str">
        <f t="shared" ref="S134:S197" si="84">CONCATENATE(Q134,R134,".png")</f>
        <v>UITexture/Bldg/111050010.png</v>
      </c>
      <c r="T134" s="102" t="s">
        <v>1046</v>
      </c>
      <c r="U134" s="102">
        <v>4</v>
      </c>
      <c r="V134" s="102">
        <v>1</v>
      </c>
      <c r="W134" s="102">
        <v>2</v>
      </c>
      <c r="Y134" s="104">
        <f t="shared" si="83"/>
        <v>105</v>
      </c>
      <c r="Z134" s="102">
        <v>100</v>
      </c>
      <c r="AA134" s="102">
        <v>1</v>
      </c>
      <c r="AB134" s="102">
        <v>1</v>
      </c>
      <c r="AC134" s="102">
        <v>0</v>
      </c>
      <c r="AD134" s="102" t="s">
        <v>728</v>
      </c>
      <c r="AE134" s="102">
        <v>10</v>
      </c>
      <c r="AG134" s="104">
        <f t="shared" ref="AG134:AG192" si="85">ROUND(AH134,0)</f>
        <v>15651</v>
      </c>
      <c r="AH134" s="103">
        <v>15651.031578947372</v>
      </c>
      <c r="AI134" s="172">
        <v>3</v>
      </c>
      <c r="AK134" s="104">
        <f ca="1">IFERROR(OFFSET(ITEM_RES!$A$5,MATCH(AL134,ITEM_RES!$M$5:$M$84,0)-1,0),0)</f>
        <v>220000104</v>
      </c>
      <c r="AL134" s="103" t="s">
        <v>576</v>
      </c>
      <c r="AM134" s="104">
        <f t="shared" si="77"/>
        <v>8300</v>
      </c>
      <c r="AN134" s="103">
        <v>8292.2149122807041</v>
      </c>
      <c r="AP134" s="104">
        <f ca="1">IFERROR(OFFSET(ITEM_RES!$A$5,MATCH(AQ134,ITEM_RES!$M$5:$M$84,0)-1,0),0)</f>
        <v>220000204</v>
      </c>
      <c r="AQ134" s="103" t="s">
        <v>594</v>
      </c>
      <c r="AR134" s="104">
        <f t="shared" si="78"/>
        <v>5000</v>
      </c>
      <c r="AS134" s="103">
        <v>4975.3289473684217</v>
      </c>
      <c r="AU134" s="104">
        <f ca="1">IFERROR(OFFSET(ITEM_RES!$A$5,MATCH(AV134,ITEM_RES!$M$5:$M$84,0)-1,0),0)</f>
        <v>220000304</v>
      </c>
      <c r="AV134" s="103" t="s">
        <v>612</v>
      </c>
      <c r="AW134" s="104">
        <f t="shared" si="79"/>
        <v>1700</v>
      </c>
      <c r="AX134" s="103">
        <v>1658.4429824561407</v>
      </c>
      <c r="AZ134" s="104">
        <f ca="1">IFERROR(OFFSET(ITEM_RES!$A$5,MATCH(BA134,ITEM_RES!$M$5:$M$84,0)-1,0),0)</f>
        <v>220000404</v>
      </c>
      <c r="BA134" s="103" t="s">
        <v>630</v>
      </c>
      <c r="BB134" s="104">
        <f t="shared" si="80"/>
        <v>0</v>
      </c>
      <c r="BC134" s="103">
        <v>0</v>
      </c>
      <c r="BE134" s="104">
        <f ca="1">IFERROR(OFFSET(ITEM_RES!$A$5,MATCH(BF134,ITEM_RES!$M$5:$M$84,0)-1,0),0)</f>
        <v>0</v>
      </c>
      <c r="BG134" s="104">
        <f t="shared" si="81"/>
        <v>0</v>
      </c>
    </row>
    <row r="135" spans="1:59" x14ac:dyDescent="0.3">
      <c r="A135" s="107">
        <f t="shared" ref="A135:A149" si="86">B135*10000000+C135*1000000+D135*10000+E135*100+F135</f>
        <v>111050011</v>
      </c>
      <c r="B135" s="106">
        <v>11</v>
      </c>
      <c r="C135" s="105">
        <f t="shared" ref="C135:C149" si="87">H135</f>
        <v>1</v>
      </c>
      <c r="D135" s="106">
        <v>5</v>
      </c>
      <c r="E135" s="106">
        <v>0</v>
      </c>
      <c r="F135" s="105">
        <f t="shared" si="82"/>
        <v>11</v>
      </c>
      <c r="H135" s="102">
        <v>1</v>
      </c>
      <c r="I135" s="102">
        <v>11</v>
      </c>
      <c r="K135" s="102" t="s">
        <v>1041</v>
      </c>
      <c r="L135" s="102" t="s">
        <v>775</v>
      </c>
      <c r="M135" s="103" t="s">
        <v>380</v>
      </c>
      <c r="N135" s="102">
        <v>1</v>
      </c>
      <c r="O135" s="102">
        <v>12</v>
      </c>
      <c r="P135" s="102" t="s">
        <v>740</v>
      </c>
      <c r="Q135" s="103" t="s">
        <v>1160</v>
      </c>
      <c r="R135" s="103">
        <v>111050011</v>
      </c>
      <c r="S135" s="104" t="str">
        <f t="shared" si="84"/>
        <v>UITexture/Bldg/111050011.png</v>
      </c>
      <c r="T135" s="102" t="s">
        <v>1046</v>
      </c>
      <c r="U135" s="102">
        <v>4</v>
      </c>
      <c r="V135" s="102">
        <v>1</v>
      </c>
      <c r="W135" s="102">
        <v>2</v>
      </c>
      <c r="Y135" s="104">
        <f t="shared" si="83"/>
        <v>105</v>
      </c>
      <c r="Z135" s="102">
        <v>110</v>
      </c>
      <c r="AA135" s="102">
        <v>1</v>
      </c>
      <c r="AB135" s="102">
        <v>1</v>
      </c>
      <c r="AC135" s="102">
        <v>0</v>
      </c>
      <c r="AD135" s="102" t="s">
        <v>728</v>
      </c>
      <c r="AE135" s="102">
        <v>11</v>
      </c>
      <c r="AG135" s="104">
        <f t="shared" si="85"/>
        <v>23477</v>
      </c>
      <c r="AH135" s="103">
        <v>23476.547368421056</v>
      </c>
      <c r="AI135" s="172">
        <v>4</v>
      </c>
      <c r="AK135" s="104">
        <f ca="1">IFERROR(OFFSET(ITEM_RES!$A$5,MATCH(AL135,ITEM_RES!$M$5:$M$84,0)-1,0),0)</f>
        <v>220000104</v>
      </c>
      <c r="AL135" s="103" t="s">
        <v>576</v>
      </c>
      <c r="AM135" s="104">
        <f t="shared" ref="AM135:AM149" si="88">IF(AN135&lt;100,ROUND(AN135,1-LEN(ROUND(AN135,0))),ROUND(AN135,2-LEN(ROUND(AN135,0))))</f>
        <v>16000</v>
      </c>
      <c r="AN135" s="103">
        <v>15547.902960526317</v>
      </c>
      <c r="AP135" s="104">
        <f ca="1">IFERROR(OFFSET(ITEM_RES!$A$5,MATCH(AQ135,ITEM_RES!$M$5:$M$84,0)-1,0),0)</f>
        <v>220000204</v>
      </c>
      <c r="AQ135" s="103" t="s">
        <v>594</v>
      </c>
      <c r="AR135" s="104">
        <f t="shared" ref="AR135:AR149" si="89">IF(AS135&lt;100,ROUND(AS135,1-LEN(ROUND(AS135,0))),ROUND(AS135,2-LEN(ROUND(AS135,0))))</f>
        <v>7000</v>
      </c>
      <c r="AS135" s="103">
        <v>6996.5563322368425</v>
      </c>
      <c r="AU135" s="104">
        <f ca="1">IFERROR(OFFSET(ITEM_RES!$A$5,MATCH(AV135,ITEM_RES!$M$5:$M$84,0)-1,0),0)</f>
        <v>220000304</v>
      </c>
      <c r="AV135" s="103" t="s">
        <v>612</v>
      </c>
      <c r="AW135" s="104">
        <f t="shared" ref="AW135:AW149" si="90">IF(AX135&lt;100,ROUND(AX135,1-LEN(ROUND(AX135,0))),ROUND(AX135,2-LEN(ROUND(AX135,0))))</f>
        <v>3100</v>
      </c>
      <c r="AX135" s="103">
        <v>3109.5805921052633</v>
      </c>
      <c r="AZ135" s="104">
        <f ca="1">IFERROR(OFFSET(ITEM_RES!$A$5,MATCH(BA135,ITEM_RES!$M$5:$M$84,0)-1,0),0)</f>
        <v>220000404</v>
      </c>
      <c r="BA135" s="103" t="s">
        <v>630</v>
      </c>
      <c r="BB135" s="104">
        <f t="shared" ref="BB135:BB149" si="91">IF(BC135&lt;100,ROUND(BC135,1-LEN(ROUND(BC135,0))),ROUND(BC135,2-LEN(ROUND(BC135,0))))</f>
        <v>780</v>
      </c>
      <c r="BC135" s="103">
        <v>777.39514802631584</v>
      </c>
      <c r="BE135" s="104">
        <f ca="1">IFERROR(OFFSET(ITEM_RES!$A$5,MATCH(BF135,ITEM_RES!$M$5:$M$84,0)-1,0),0)</f>
        <v>0</v>
      </c>
      <c r="BG135" s="104">
        <f t="shared" ref="BG135:BG149" si="92">IF(BH135&lt;100,ROUND(BH135,1-LEN(ROUND(BH135,0))),ROUND(BH135,2-LEN(ROUND(BH135,0))))</f>
        <v>0</v>
      </c>
    </row>
    <row r="136" spans="1:59" x14ac:dyDescent="0.3">
      <c r="A136" s="107">
        <f t="shared" si="86"/>
        <v>111050012</v>
      </c>
      <c r="B136" s="106">
        <v>11</v>
      </c>
      <c r="C136" s="105">
        <f t="shared" si="87"/>
        <v>1</v>
      </c>
      <c r="D136" s="106">
        <v>5</v>
      </c>
      <c r="E136" s="106">
        <v>0</v>
      </c>
      <c r="F136" s="105">
        <f t="shared" si="82"/>
        <v>12</v>
      </c>
      <c r="H136" s="102">
        <v>1</v>
      </c>
      <c r="I136" s="102">
        <v>12</v>
      </c>
      <c r="K136" s="102" t="s">
        <v>1041</v>
      </c>
      <c r="L136" s="102" t="s">
        <v>775</v>
      </c>
      <c r="M136" s="103" t="s">
        <v>380</v>
      </c>
      <c r="N136" s="102">
        <v>1</v>
      </c>
      <c r="O136" s="102">
        <v>12</v>
      </c>
      <c r="P136" s="102" t="s">
        <v>740</v>
      </c>
      <c r="Q136" s="103" t="s">
        <v>1160</v>
      </c>
      <c r="R136" s="103">
        <v>111050012</v>
      </c>
      <c r="S136" s="104" t="str">
        <f t="shared" si="84"/>
        <v>UITexture/Bldg/111050012.png</v>
      </c>
      <c r="T136" s="102" t="s">
        <v>1046</v>
      </c>
      <c r="U136" s="102">
        <v>4</v>
      </c>
      <c r="V136" s="102">
        <v>1</v>
      </c>
      <c r="W136" s="102">
        <v>2</v>
      </c>
      <c r="Y136" s="104">
        <f t="shared" si="83"/>
        <v>105</v>
      </c>
      <c r="Z136" s="102">
        <v>120</v>
      </c>
      <c r="AA136" s="102">
        <v>1</v>
      </c>
      <c r="AB136" s="102">
        <v>1</v>
      </c>
      <c r="AC136" s="102">
        <v>0</v>
      </c>
      <c r="AD136" s="102" t="s">
        <v>728</v>
      </c>
      <c r="AE136" s="102">
        <v>12</v>
      </c>
      <c r="AG136" s="104">
        <f t="shared" si="85"/>
        <v>35215</v>
      </c>
      <c r="AH136" s="103">
        <v>35214.821052631582</v>
      </c>
      <c r="AI136" s="172">
        <v>4</v>
      </c>
      <c r="AK136" s="104">
        <f ca="1">IFERROR(OFFSET(ITEM_RES!$A$5,MATCH(AL136,ITEM_RES!$M$5:$M$84,0)-1,0),0)</f>
        <v>220000104</v>
      </c>
      <c r="AL136" s="103" t="s">
        <v>576</v>
      </c>
      <c r="AM136" s="104">
        <f t="shared" si="88"/>
        <v>29000</v>
      </c>
      <c r="AN136" s="103">
        <v>29152.318050986847</v>
      </c>
      <c r="AP136" s="104">
        <f ca="1">IFERROR(OFFSET(ITEM_RES!$A$5,MATCH(AQ136,ITEM_RES!$M$5:$M$84,0)-1,0),0)</f>
        <v>220000204</v>
      </c>
      <c r="AQ136" s="103" t="s">
        <v>594</v>
      </c>
      <c r="AR136" s="104">
        <f t="shared" si="89"/>
        <v>13000</v>
      </c>
      <c r="AS136" s="103">
        <v>13118.54312294408</v>
      </c>
      <c r="AU136" s="104">
        <f ca="1">IFERROR(OFFSET(ITEM_RES!$A$5,MATCH(AV136,ITEM_RES!$M$5:$M$84,0)-1,0),0)</f>
        <v>220000304</v>
      </c>
      <c r="AV136" s="103" t="s">
        <v>612</v>
      </c>
      <c r="AW136" s="104">
        <f t="shared" si="90"/>
        <v>5800</v>
      </c>
      <c r="AX136" s="103">
        <v>5830.4636101973692</v>
      </c>
      <c r="AZ136" s="104">
        <f ca="1">IFERROR(OFFSET(ITEM_RES!$A$5,MATCH(BA136,ITEM_RES!$M$5:$M$84,0)-1,0),0)</f>
        <v>220000404</v>
      </c>
      <c r="BA136" s="103" t="s">
        <v>630</v>
      </c>
      <c r="BB136" s="104">
        <f t="shared" si="91"/>
        <v>1500</v>
      </c>
      <c r="BC136" s="103">
        <v>1457.6159025493423</v>
      </c>
      <c r="BE136" s="104">
        <f ca="1">IFERROR(OFFSET(ITEM_RES!$A$5,MATCH(BF136,ITEM_RES!$M$5:$M$84,0)-1,0),0)</f>
        <v>0</v>
      </c>
      <c r="BG136" s="104">
        <f t="shared" si="92"/>
        <v>0</v>
      </c>
    </row>
    <row r="137" spans="1:59" x14ac:dyDescent="0.3">
      <c r="A137" s="107">
        <f t="shared" si="86"/>
        <v>111050013</v>
      </c>
      <c r="B137" s="106">
        <v>11</v>
      </c>
      <c r="C137" s="105">
        <f t="shared" si="87"/>
        <v>1</v>
      </c>
      <c r="D137" s="106">
        <v>5</v>
      </c>
      <c r="E137" s="106">
        <v>0</v>
      </c>
      <c r="F137" s="105">
        <f t="shared" si="82"/>
        <v>13</v>
      </c>
      <c r="H137" s="102">
        <v>1</v>
      </c>
      <c r="I137" s="102">
        <v>13</v>
      </c>
      <c r="K137" s="102" t="s">
        <v>1041</v>
      </c>
      <c r="L137" s="102" t="s">
        <v>775</v>
      </c>
      <c r="M137" s="103" t="s">
        <v>380</v>
      </c>
      <c r="N137" s="102">
        <v>0</v>
      </c>
      <c r="O137" s="102">
        <v>12</v>
      </c>
      <c r="P137" s="102" t="s">
        <v>740</v>
      </c>
      <c r="Q137" s="103" t="s">
        <v>1160</v>
      </c>
      <c r="R137" s="103">
        <v>111050013</v>
      </c>
      <c r="S137" s="104" t="str">
        <f t="shared" si="84"/>
        <v>UITexture/Bldg/111050013.png</v>
      </c>
      <c r="T137" s="102" t="s">
        <v>1046</v>
      </c>
      <c r="U137" s="102">
        <v>4</v>
      </c>
      <c r="V137" s="102">
        <v>1</v>
      </c>
      <c r="W137" s="102">
        <v>2</v>
      </c>
      <c r="Y137" s="104">
        <f t="shared" si="83"/>
        <v>105</v>
      </c>
      <c r="Z137" s="102">
        <v>130</v>
      </c>
      <c r="AA137" s="102">
        <v>1</v>
      </c>
      <c r="AB137" s="102">
        <v>1</v>
      </c>
      <c r="AC137" s="102">
        <v>0</v>
      </c>
      <c r="AD137" s="102" t="s">
        <v>728</v>
      </c>
      <c r="AE137" s="102">
        <v>13</v>
      </c>
      <c r="AG137" s="104">
        <f t="shared" si="85"/>
        <v>45779</v>
      </c>
      <c r="AH137" s="103">
        <v>45779.267368421053</v>
      </c>
      <c r="AI137" s="172">
        <v>4</v>
      </c>
      <c r="AK137" s="104">
        <f ca="1">IFERROR(OFFSET(ITEM_RES!$A$5,MATCH(AL137,ITEM_RES!$M$5:$M$84,0)-1,0),0)</f>
        <v>220000105</v>
      </c>
      <c r="AL137" s="103" t="s">
        <v>577</v>
      </c>
      <c r="AM137" s="104">
        <f t="shared" si="88"/>
        <v>16000</v>
      </c>
      <c r="AN137" s="103">
        <v>15790.838944284542</v>
      </c>
      <c r="AP137" s="104">
        <f ca="1">IFERROR(OFFSET(ITEM_RES!$A$5,MATCH(AQ137,ITEM_RES!$M$5:$M$84,0)-1,0),0)</f>
        <v>220000205</v>
      </c>
      <c r="AQ137" s="103" t="s">
        <v>595</v>
      </c>
      <c r="AR137" s="104">
        <f t="shared" si="89"/>
        <v>7100</v>
      </c>
      <c r="AS137" s="103">
        <v>7105.8775249280443</v>
      </c>
      <c r="AU137" s="104">
        <f ca="1">IFERROR(OFFSET(ITEM_RES!$A$5,MATCH(AV137,ITEM_RES!$M$5:$M$84,0)-1,0),0)</f>
        <v>220000305</v>
      </c>
      <c r="AV137" s="103" t="s">
        <v>613</v>
      </c>
      <c r="AW137" s="104">
        <f t="shared" si="90"/>
        <v>3200</v>
      </c>
      <c r="AX137" s="103">
        <v>3158.1677888569084</v>
      </c>
      <c r="AZ137" s="104">
        <f ca="1">IFERROR(OFFSET(ITEM_RES!$A$5,MATCH(BA137,ITEM_RES!$M$5:$M$84,0)-1,0),0)</f>
        <v>220000405</v>
      </c>
      <c r="BA137" s="103" t="s">
        <v>631</v>
      </c>
      <c r="BB137" s="104">
        <f t="shared" si="91"/>
        <v>790</v>
      </c>
      <c r="BC137" s="103">
        <v>789.54194721422709</v>
      </c>
      <c r="BE137" s="104">
        <f ca="1">IFERROR(OFFSET(ITEM_RES!$A$5,MATCH(BF137,ITEM_RES!$M$5:$M$84,0)-1,0),0)</f>
        <v>0</v>
      </c>
      <c r="BG137" s="104">
        <f t="shared" si="92"/>
        <v>0</v>
      </c>
    </row>
    <row r="138" spans="1:59" x14ac:dyDescent="0.3">
      <c r="A138" s="107">
        <f t="shared" si="86"/>
        <v>111050014</v>
      </c>
      <c r="B138" s="106">
        <v>11</v>
      </c>
      <c r="C138" s="105">
        <f t="shared" si="87"/>
        <v>1</v>
      </c>
      <c r="D138" s="106">
        <v>5</v>
      </c>
      <c r="E138" s="106">
        <v>0</v>
      </c>
      <c r="F138" s="105">
        <f t="shared" si="82"/>
        <v>14</v>
      </c>
      <c r="H138" s="102">
        <v>1</v>
      </c>
      <c r="I138" s="102">
        <v>14</v>
      </c>
      <c r="K138" s="102" t="s">
        <v>1041</v>
      </c>
      <c r="L138" s="102" t="s">
        <v>775</v>
      </c>
      <c r="M138" s="103" t="s">
        <v>380</v>
      </c>
      <c r="N138" s="102">
        <v>0</v>
      </c>
      <c r="O138" s="102">
        <v>12</v>
      </c>
      <c r="P138" s="102" t="s">
        <v>740</v>
      </c>
      <c r="Q138" s="103" t="s">
        <v>1160</v>
      </c>
      <c r="R138" s="103">
        <v>111050014</v>
      </c>
      <c r="S138" s="104" t="str">
        <f t="shared" si="84"/>
        <v>UITexture/Bldg/111050014.png</v>
      </c>
      <c r="T138" s="102" t="s">
        <v>1046</v>
      </c>
      <c r="U138" s="102">
        <v>4</v>
      </c>
      <c r="V138" s="102">
        <v>1</v>
      </c>
      <c r="W138" s="102">
        <v>2</v>
      </c>
      <c r="Y138" s="104">
        <f t="shared" si="83"/>
        <v>105</v>
      </c>
      <c r="Z138" s="102">
        <v>140</v>
      </c>
      <c r="AA138" s="102">
        <v>1</v>
      </c>
      <c r="AB138" s="102">
        <v>1</v>
      </c>
      <c r="AC138" s="102">
        <v>0</v>
      </c>
      <c r="AD138" s="102" t="s">
        <v>728</v>
      </c>
      <c r="AE138" s="102">
        <v>14</v>
      </c>
      <c r="AG138" s="104">
        <f t="shared" si="85"/>
        <v>50357</v>
      </c>
      <c r="AH138" s="103">
        <v>50357.194105263159</v>
      </c>
      <c r="AI138" s="172">
        <v>4</v>
      </c>
      <c r="AK138" s="104">
        <f ca="1">IFERROR(OFFSET(ITEM_RES!$A$5,MATCH(AL138,ITEM_RES!$M$5:$M$84,0)-1,0),0)</f>
        <v>220000105</v>
      </c>
      <c r="AL138" s="103" t="s">
        <v>577</v>
      </c>
      <c r="AM138" s="104">
        <f t="shared" si="88"/>
        <v>22000</v>
      </c>
      <c r="AN138" s="103">
        <v>21712.403548391245</v>
      </c>
      <c r="AP138" s="104">
        <f ca="1">IFERROR(OFFSET(ITEM_RES!$A$5,MATCH(AQ138,ITEM_RES!$M$5:$M$84,0)-1,0),0)</f>
        <v>220000205</v>
      </c>
      <c r="AQ138" s="103" t="s">
        <v>595</v>
      </c>
      <c r="AR138" s="104">
        <f t="shared" si="89"/>
        <v>9800</v>
      </c>
      <c r="AS138" s="103">
        <v>9770.5815967760609</v>
      </c>
      <c r="AU138" s="104">
        <f ca="1">IFERROR(OFFSET(ITEM_RES!$A$5,MATCH(AV138,ITEM_RES!$M$5:$M$84,0)-1,0),0)</f>
        <v>220000305</v>
      </c>
      <c r="AV138" s="103" t="s">
        <v>613</v>
      </c>
      <c r="AW138" s="104">
        <f t="shared" si="90"/>
        <v>4300</v>
      </c>
      <c r="AX138" s="103">
        <v>4342.4807096782488</v>
      </c>
      <c r="AZ138" s="104">
        <f ca="1">IFERROR(OFFSET(ITEM_RES!$A$5,MATCH(BA138,ITEM_RES!$M$5:$M$84,0)-1,0),0)</f>
        <v>220000405</v>
      </c>
      <c r="BA138" s="103" t="s">
        <v>631</v>
      </c>
      <c r="BB138" s="104">
        <f t="shared" si="91"/>
        <v>1100</v>
      </c>
      <c r="BC138" s="103">
        <v>1085.6201774195622</v>
      </c>
      <c r="BE138" s="104">
        <f ca="1">IFERROR(OFFSET(ITEM_RES!$A$5,MATCH(BF138,ITEM_RES!$M$5:$M$84,0)-1,0),0)</f>
        <v>0</v>
      </c>
      <c r="BG138" s="104">
        <f t="shared" si="92"/>
        <v>0</v>
      </c>
    </row>
    <row r="139" spans="1:59" x14ac:dyDescent="0.3">
      <c r="A139" s="107">
        <f t="shared" si="86"/>
        <v>111050015</v>
      </c>
      <c r="B139" s="106">
        <v>11</v>
      </c>
      <c r="C139" s="105">
        <f t="shared" si="87"/>
        <v>1</v>
      </c>
      <c r="D139" s="106">
        <v>5</v>
      </c>
      <c r="E139" s="106">
        <v>0</v>
      </c>
      <c r="F139" s="105">
        <f t="shared" si="82"/>
        <v>15</v>
      </c>
      <c r="H139" s="102">
        <v>1</v>
      </c>
      <c r="I139" s="102">
        <v>15</v>
      </c>
      <c r="K139" s="102" t="s">
        <v>1041</v>
      </c>
      <c r="L139" s="102" t="s">
        <v>775</v>
      </c>
      <c r="M139" s="103" t="s">
        <v>380</v>
      </c>
      <c r="N139" s="102">
        <v>0</v>
      </c>
      <c r="O139" s="102">
        <v>12</v>
      </c>
      <c r="P139" s="102" t="s">
        <v>740</v>
      </c>
      <c r="Q139" s="103" t="s">
        <v>1160</v>
      </c>
      <c r="R139" s="103">
        <v>111050015</v>
      </c>
      <c r="S139" s="104" t="str">
        <f t="shared" si="84"/>
        <v>UITexture/Bldg/111050015.png</v>
      </c>
      <c r="T139" s="102" t="s">
        <v>1046</v>
      </c>
      <c r="U139" s="102">
        <v>4</v>
      </c>
      <c r="V139" s="102">
        <v>1</v>
      </c>
      <c r="W139" s="102">
        <v>2</v>
      </c>
      <c r="Y139" s="104">
        <f t="shared" si="83"/>
        <v>105</v>
      </c>
      <c r="Z139" s="102">
        <v>150</v>
      </c>
      <c r="AA139" s="102">
        <v>1</v>
      </c>
      <c r="AB139" s="102">
        <v>1</v>
      </c>
      <c r="AC139" s="102">
        <v>0</v>
      </c>
      <c r="AD139" s="102" t="s">
        <v>728</v>
      </c>
      <c r="AE139" s="102">
        <v>15</v>
      </c>
      <c r="AG139" s="104">
        <f t="shared" si="85"/>
        <v>55393</v>
      </c>
      <c r="AH139" s="103">
        <v>55392.913515789485</v>
      </c>
      <c r="AI139" s="172">
        <v>4</v>
      </c>
      <c r="AK139" s="104">
        <f ca="1">IFERROR(OFFSET(ITEM_RES!$A$5,MATCH(AL139,ITEM_RES!$M$5:$M$84,0)-1,0),0)</f>
        <v>220000105</v>
      </c>
      <c r="AL139" s="103" t="s">
        <v>577</v>
      </c>
      <c r="AM139" s="104">
        <f t="shared" si="88"/>
        <v>30000</v>
      </c>
      <c r="AN139" s="103">
        <v>29854.554879037962</v>
      </c>
      <c r="AP139" s="104">
        <f ca="1">IFERROR(OFFSET(ITEM_RES!$A$5,MATCH(AQ139,ITEM_RES!$M$5:$M$84,0)-1,0),0)</f>
        <v>220000205</v>
      </c>
      <c r="AQ139" s="103" t="s">
        <v>595</v>
      </c>
      <c r="AR139" s="104">
        <f t="shared" si="89"/>
        <v>13000</v>
      </c>
      <c r="AS139" s="103">
        <v>13434.549695567082</v>
      </c>
      <c r="AU139" s="104">
        <f ca="1">IFERROR(OFFSET(ITEM_RES!$A$5,MATCH(AV139,ITEM_RES!$M$5:$M$84,0)-1,0),0)</f>
        <v>220000305</v>
      </c>
      <c r="AV139" s="103" t="s">
        <v>613</v>
      </c>
      <c r="AW139" s="104">
        <f t="shared" si="90"/>
        <v>6000</v>
      </c>
      <c r="AX139" s="103">
        <v>5970.910975807592</v>
      </c>
      <c r="AZ139" s="104">
        <f ca="1">IFERROR(OFFSET(ITEM_RES!$A$5,MATCH(BA139,ITEM_RES!$M$5:$M$84,0)-1,0),0)</f>
        <v>220000405</v>
      </c>
      <c r="BA139" s="103" t="s">
        <v>631</v>
      </c>
      <c r="BB139" s="104">
        <f t="shared" si="91"/>
        <v>1500</v>
      </c>
      <c r="BC139" s="103">
        <v>1492.727743951898</v>
      </c>
      <c r="BE139" s="104">
        <f ca="1">IFERROR(OFFSET(ITEM_RES!$A$5,MATCH(BF139,ITEM_RES!$M$5:$M$84,0)-1,0),0)</f>
        <v>0</v>
      </c>
      <c r="BG139" s="104">
        <f t="shared" si="92"/>
        <v>0</v>
      </c>
    </row>
    <row r="140" spans="1:59" x14ac:dyDescent="0.3">
      <c r="A140" s="107">
        <f t="shared" si="86"/>
        <v>111050016</v>
      </c>
      <c r="B140" s="106">
        <v>11</v>
      </c>
      <c r="C140" s="105">
        <f t="shared" si="87"/>
        <v>1</v>
      </c>
      <c r="D140" s="106">
        <v>5</v>
      </c>
      <c r="E140" s="106">
        <v>0</v>
      </c>
      <c r="F140" s="105">
        <f t="shared" si="82"/>
        <v>16</v>
      </c>
      <c r="H140" s="102">
        <v>1</v>
      </c>
      <c r="I140" s="102">
        <v>16</v>
      </c>
      <c r="K140" s="102" t="s">
        <v>1041</v>
      </c>
      <c r="L140" s="102" t="s">
        <v>775</v>
      </c>
      <c r="M140" s="103" t="s">
        <v>380</v>
      </c>
      <c r="N140" s="102">
        <v>0</v>
      </c>
      <c r="O140" s="102">
        <v>12</v>
      </c>
      <c r="P140" s="102" t="s">
        <v>740</v>
      </c>
      <c r="Q140" s="103" t="s">
        <v>1160</v>
      </c>
      <c r="R140" s="103">
        <v>111050016</v>
      </c>
      <c r="S140" s="104" t="str">
        <f t="shared" si="84"/>
        <v>UITexture/Bldg/111050016.png</v>
      </c>
      <c r="T140" s="102" t="s">
        <v>1046</v>
      </c>
      <c r="U140" s="102">
        <v>4</v>
      </c>
      <c r="V140" s="102">
        <v>1</v>
      </c>
      <c r="W140" s="102">
        <v>2</v>
      </c>
      <c r="Y140" s="104">
        <f t="shared" si="83"/>
        <v>105</v>
      </c>
      <c r="Z140" s="102">
        <v>160</v>
      </c>
      <c r="AA140" s="102">
        <v>1</v>
      </c>
      <c r="AB140" s="102">
        <v>1</v>
      </c>
      <c r="AC140" s="102">
        <v>0</v>
      </c>
      <c r="AD140" s="102" t="s">
        <v>728</v>
      </c>
      <c r="AE140" s="102">
        <v>16</v>
      </c>
      <c r="AG140" s="104">
        <f t="shared" si="85"/>
        <v>60932</v>
      </c>
      <c r="AH140" s="103">
        <v>60932.204867368433</v>
      </c>
      <c r="AI140" s="172">
        <v>4</v>
      </c>
      <c r="AK140" s="104">
        <f ca="1">IFERROR(OFFSET(ITEM_RES!$A$5,MATCH(AL140,ITEM_RES!$M$5:$M$84,0)-1,0),0)</f>
        <v>220000106</v>
      </c>
      <c r="AL140" s="103" t="s">
        <v>578</v>
      </c>
      <c r="AM140" s="104">
        <f t="shared" si="88"/>
        <v>8600</v>
      </c>
      <c r="AN140" s="103">
        <v>8552.0860330577507</v>
      </c>
      <c r="AP140" s="104">
        <f ca="1">IFERROR(OFFSET(ITEM_RES!$A$5,MATCH(AQ140,ITEM_RES!$M$5:$M$84,0)-1,0),0)</f>
        <v>220000206</v>
      </c>
      <c r="AQ140" s="103" t="s">
        <v>596</v>
      </c>
      <c r="AR140" s="104">
        <f t="shared" si="89"/>
        <v>5100</v>
      </c>
      <c r="AS140" s="103">
        <v>5131.2516198346511</v>
      </c>
      <c r="AU140" s="104">
        <f ca="1">IFERROR(OFFSET(ITEM_RES!$A$5,MATCH(AV140,ITEM_RES!$M$5:$M$84,0)-1,0),0)</f>
        <v>220000306</v>
      </c>
      <c r="AV140" s="103" t="s">
        <v>614</v>
      </c>
      <c r="AW140" s="104">
        <f t="shared" si="90"/>
        <v>3400</v>
      </c>
      <c r="AX140" s="103">
        <v>3420.8344132231005</v>
      </c>
      <c r="AZ140" s="104">
        <f ca="1">IFERROR(OFFSET(ITEM_RES!$A$5,MATCH(BA140,ITEM_RES!$M$5:$M$84,0)-1,0),0)</f>
        <v>220000406</v>
      </c>
      <c r="BA140" s="103" t="s">
        <v>632</v>
      </c>
      <c r="BB140" s="104">
        <f t="shared" si="91"/>
        <v>1700</v>
      </c>
      <c r="BC140" s="103">
        <v>1710.4172066115502</v>
      </c>
      <c r="BE140" s="104">
        <f ca="1">IFERROR(OFFSET(ITEM_RES!$A$5,MATCH(BF140,ITEM_RES!$M$5:$M$84,0)-1,0),0)</f>
        <v>0</v>
      </c>
      <c r="BG140" s="104">
        <f t="shared" si="92"/>
        <v>0</v>
      </c>
    </row>
    <row r="141" spans="1:59" x14ac:dyDescent="0.3">
      <c r="A141" s="107">
        <f t="shared" si="86"/>
        <v>111050017</v>
      </c>
      <c r="B141" s="106">
        <v>11</v>
      </c>
      <c r="C141" s="105">
        <f t="shared" si="87"/>
        <v>1</v>
      </c>
      <c r="D141" s="106">
        <v>5</v>
      </c>
      <c r="E141" s="106">
        <v>0</v>
      </c>
      <c r="F141" s="105">
        <f t="shared" si="82"/>
        <v>17</v>
      </c>
      <c r="H141" s="102">
        <v>1</v>
      </c>
      <c r="I141" s="102">
        <v>17</v>
      </c>
      <c r="K141" s="102" t="s">
        <v>1041</v>
      </c>
      <c r="L141" s="102" t="s">
        <v>775</v>
      </c>
      <c r="M141" s="103" t="s">
        <v>380</v>
      </c>
      <c r="N141" s="102">
        <v>0</v>
      </c>
      <c r="O141" s="102">
        <v>12</v>
      </c>
      <c r="P141" s="102" t="s">
        <v>740</v>
      </c>
      <c r="Q141" s="103" t="s">
        <v>1160</v>
      </c>
      <c r="R141" s="103">
        <v>111050017</v>
      </c>
      <c r="S141" s="104" t="str">
        <f t="shared" si="84"/>
        <v>UITexture/Bldg/111050017.png</v>
      </c>
      <c r="T141" s="102" t="s">
        <v>1046</v>
      </c>
      <c r="U141" s="102">
        <v>4</v>
      </c>
      <c r="V141" s="102">
        <v>1</v>
      </c>
      <c r="W141" s="102">
        <v>2</v>
      </c>
      <c r="Y141" s="104">
        <f t="shared" si="83"/>
        <v>105</v>
      </c>
      <c r="Z141" s="102">
        <v>170</v>
      </c>
      <c r="AA141" s="102">
        <v>1</v>
      </c>
      <c r="AB141" s="102">
        <v>1</v>
      </c>
      <c r="AC141" s="102">
        <v>0</v>
      </c>
      <c r="AD141" s="102" t="s">
        <v>728</v>
      </c>
      <c r="AE141" s="102">
        <v>17</v>
      </c>
      <c r="AG141" s="104">
        <f t="shared" si="85"/>
        <v>91398</v>
      </c>
      <c r="AH141" s="103">
        <v>91398.307301052657</v>
      </c>
      <c r="AI141" s="172">
        <v>4</v>
      </c>
      <c r="AK141" s="104">
        <f ca="1">IFERROR(OFFSET(ITEM_RES!$A$5,MATCH(AL141,ITEM_RES!$M$5:$M$84,0)-1,0),0)</f>
        <v>220000106</v>
      </c>
      <c r="AL141" s="103" t="s">
        <v>578</v>
      </c>
      <c r="AM141" s="104">
        <f t="shared" si="88"/>
        <v>16000</v>
      </c>
      <c r="AN141" s="103">
        <v>16035.161311983284</v>
      </c>
      <c r="AP141" s="104">
        <f ca="1">IFERROR(OFFSET(ITEM_RES!$A$5,MATCH(AQ141,ITEM_RES!$M$5:$M$84,0)-1,0),0)</f>
        <v>220000206</v>
      </c>
      <c r="AQ141" s="103" t="s">
        <v>596</v>
      </c>
      <c r="AR141" s="104">
        <f t="shared" si="89"/>
        <v>9600</v>
      </c>
      <c r="AS141" s="103">
        <v>9621.0967871899702</v>
      </c>
      <c r="AU141" s="104">
        <f ca="1">IFERROR(OFFSET(ITEM_RES!$A$5,MATCH(AV141,ITEM_RES!$M$5:$M$84,0)-1,0),0)</f>
        <v>220000306</v>
      </c>
      <c r="AV141" s="103" t="s">
        <v>614</v>
      </c>
      <c r="AW141" s="104">
        <f t="shared" si="90"/>
        <v>6400</v>
      </c>
      <c r="AX141" s="103">
        <v>6414.0645247933135</v>
      </c>
      <c r="AZ141" s="104">
        <f ca="1">IFERROR(OFFSET(ITEM_RES!$A$5,MATCH(BA141,ITEM_RES!$M$5:$M$84,0)-1,0),0)</f>
        <v>220000406</v>
      </c>
      <c r="BA141" s="103" t="s">
        <v>632</v>
      </c>
      <c r="BB141" s="104">
        <f t="shared" si="91"/>
        <v>3200</v>
      </c>
      <c r="BC141" s="103">
        <v>3207.0322623966567</v>
      </c>
      <c r="BE141" s="104">
        <f ca="1">IFERROR(OFFSET(ITEM_RES!$A$5,MATCH(BF141,ITEM_RES!$M$5:$M$84,0)-1,0),0)</f>
        <v>0</v>
      </c>
      <c r="BG141" s="104">
        <f t="shared" si="92"/>
        <v>0</v>
      </c>
    </row>
    <row r="142" spans="1:59" x14ac:dyDescent="0.3">
      <c r="A142" s="107">
        <f t="shared" si="86"/>
        <v>111050018</v>
      </c>
      <c r="B142" s="106">
        <v>11</v>
      </c>
      <c r="C142" s="105">
        <f t="shared" si="87"/>
        <v>1</v>
      </c>
      <c r="D142" s="106">
        <v>5</v>
      </c>
      <c r="E142" s="106">
        <v>0</v>
      </c>
      <c r="F142" s="105">
        <f t="shared" si="82"/>
        <v>18</v>
      </c>
      <c r="H142" s="102">
        <v>1</v>
      </c>
      <c r="I142" s="102">
        <v>18</v>
      </c>
      <c r="K142" s="102" t="s">
        <v>1041</v>
      </c>
      <c r="L142" s="102" t="s">
        <v>775</v>
      </c>
      <c r="M142" s="103" t="s">
        <v>380</v>
      </c>
      <c r="N142" s="102">
        <v>0</v>
      </c>
      <c r="O142" s="102">
        <v>12</v>
      </c>
      <c r="P142" s="102" t="s">
        <v>740</v>
      </c>
      <c r="Q142" s="103" t="s">
        <v>1160</v>
      </c>
      <c r="R142" s="103">
        <v>111050018</v>
      </c>
      <c r="S142" s="104" t="str">
        <f t="shared" si="84"/>
        <v>UITexture/Bldg/111050018.png</v>
      </c>
      <c r="T142" s="102" t="s">
        <v>1046</v>
      </c>
      <c r="U142" s="102">
        <v>4</v>
      </c>
      <c r="V142" s="102">
        <v>1</v>
      </c>
      <c r="W142" s="102">
        <v>2</v>
      </c>
      <c r="Y142" s="104">
        <f t="shared" si="83"/>
        <v>105</v>
      </c>
      <c r="Z142" s="102">
        <v>180</v>
      </c>
      <c r="AA142" s="102">
        <v>1</v>
      </c>
      <c r="AB142" s="102">
        <v>1</v>
      </c>
      <c r="AC142" s="102">
        <v>0</v>
      </c>
      <c r="AD142" s="102" t="s">
        <v>728</v>
      </c>
      <c r="AE142" s="102">
        <v>18</v>
      </c>
      <c r="AG142" s="104">
        <f t="shared" si="85"/>
        <v>137097</v>
      </c>
      <c r="AH142" s="103">
        <v>137097.46095157898</v>
      </c>
      <c r="AI142" s="172">
        <v>4</v>
      </c>
      <c r="AK142" s="104">
        <f ca="1">IFERROR(OFFSET(ITEM_RES!$A$5,MATCH(AL142,ITEM_RES!$M$5:$M$84,0)-1,0),0)</f>
        <v>220000106</v>
      </c>
      <c r="AL142" s="103" t="s">
        <v>578</v>
      </c>
      <c r="AM142" s="104">
        <f t="shared" si="88"/>
        <v>30000</v>
      </c>
      <c r="AN142" s="103">
        <v>30065.927459968658</v>
      </c>
      <c r="AP142" s="104">
        <f ca="1">IFERROR(OFFSET(ITEM_RES!$A$5,MATCH(AQ142,ITEM_RES!$M$5:$M$84,0)-1,0),0)</f>
        <v>220000206</v>
      </c>
      <c r="AQ142" s="103" t="s">
        <v>596</v>
      </c>
      <c r="AR142" s="104">
        <f t="shared" si="89"/>
        <v>18000</v>
      </c>
      <c r="AS142" s="103">
        <v>18039.556475981193</v>
      </c>
      <c r="AU142" s="104">
        <f ca="1">IFERROR(OFFSET(ITEM_RES!$A$5,MATCH(AV142,ITEM_RES!$M$5:$M$84,0)-1,0),0)</f>
        <v>220000306</v>
      </c>
      <c r="AV142" s="103" t="s">
        <v>614</v>
      </c>
      <c r="AW142" s="104">
        <f t="shared" si="90"/>
        <v>12000</v>
      </c>
      <c r="AX142" s="103">
        <v>12026.370983987463</v>
      </c>
      <c r="AZ142" s="104">
        <f ca="1">IFERROR(OFFSET(ITEM_RES!$A$5,MATCH(BA142,ITEM_RES!$M$5:$M$84,0)-1,0),0)</f>
        <v>220000406</v>
      </c>
      <c r="BA142" s="103" t="s">
        <v>632</v>
      </c>
      <c r="BB142" s="104">
        <f t="shared" si="91"/>
        <v>6000</v>
      </c>
      <c r="BC142" s="103">
        <v>6013.1854919937314</v>
      </c>
      <c r="BE142" s="104">
        <f ca="1">IFERROR(OFFSET(ITEM_RES!$A$5,MATCH(BF142,ITEM_RES!$M$5:$M$84,0)-1,0),0)</f>
        <v>0</v>
      </c>
      <c r="BG142" s="104">
        <f t="shared" si="92"/>
        <v>0</v>
      </c>
    </row>
    <row r="143" spans="1:59" x14ac:dyDescent="0.3">
      <c r="A143" s="107">
        <f t="shared" si="86"/>
        <v>111050019</v>
      </c>
      <c r="B143" s="106">
        <v>11</v>
      </c>
      <c r="C143" s="105">
        <f t="shared" si="87"/>
        <v>1</v>
      </c>
      <c r="D143" s="106">
        <v>5</v>
      </c>
      <c r="E143" s="106">
        <v>0</v>
      </c>
      <c r="F143" s="105">
        <f t="shared" si="82"/>
        <v>19</v>
      </c>
      <c r="H143" s="102">
        <v>1</v>
      </c>
      <c r="I143" s="102">
        <v>19</v>
      </c>
      <c r="K143" s="102" t="s">
        <v>1041</v>
      </c>
      <c r="L143" s="102" t="s">
        <v>775</v>
      </c>
      <c r="M143" s="103" t="s">
        <v>380</v>
      </c>
      <c r="N143" s="102">
        <v>0</v>
      </c>
      <c r="O143" s="102">
        <v>12</v>
      </c>
      <c r="P143" s="102" t="s">
        <v>740</v>
      </c>
      <c r="Q143" s="103" t="s">
        <v>1160</v>
      </c>
      <c r="R143" s="103">
        <v>111050019</v>
      </c>
      <c r="S143" s="104" t="str">
        <f t="shared" si="84"/>
        <v>UITexture/Bldg/111050019.png</v>
      </c>
      <c r="T143" s="102" t="s">
        <v>1046</v>
      </c>
      <c r="U143" s="102">
        <v>4</v>
      </c>
      <c r="V143" s="102">
        <v>1</v>
      </c>
      <c r="W143" s="102">
        <v>2</v>
      </c>
      <c r="Y143" s="104">
        <f t="shared" si="83"/>
        <v>105</v>
      </c>
      <c r="Z143" s="102">
        <v>190</v>
      </c>
      <c r="AA143" s="102">
        <v>1</v>
      </c>
      <c r="AB143" s="102">
        <v>1</v>
      </c>
      <c r="AC143" s="102">
        <v>0</v>
      </c>
      <c r="AD143" s="102" t="s">
        <v>728</v>
      </c>
      <c r="AE143" s="102">
        <v>19</v>
      </c>
      <c r="AG143" s="104">
        <f t="shared" si="85"/>
        <v>164517</v>
      </c>
      <c r="AH143" s="103">
        <v>164516.95314189477</v>
      </c>
      <c r="AI143" s="172">
        <v>4</v>
      </c>
      <c r="AK143" s="104">
        <f ca="1">IFERROR(OFFSET(ITEM_RES!$A$5,MATCH(AL143,ITEM_RES!$M$5:$M$84,0)-1,0),0)</f>
        <v>220000107</v>
      </c>
      <c r="AL143" s="103" t="s">
        <v>579</v>
      </c>
      <c r="AM143" s="104">
        <f t="shared" si="88"/>
        <v>15000</v>
      </c>
      <c r="AN143" s="103">
        <v>15032.963729984327</v>
      </c>
      <c r="AP143" s="104">
        <f ca="1">IFERROR(OFFSET(ITEM_RES!$A$5,MATCH(AQ143,ITEM_RES!$M$5:$M$84,0)-1,0),0)</f>
        <v>220000207</v>
      </c>
      <c r="AQ143" s="103" t="s">
        <v>597</v>
      </c>
      <c r="AR143" s="104">
        <f t="shared" si="89"/>
        <v>9000</v>
      </c>
      <c r="AS143" s="103">
        <v>9019.7782379905948</v>
      </c>
      <c r="AU143" s="104">
        <f ca="1">IFERROR(OFFSET(ITEM_RES!$A$5,MATCH(AV143,ITEM_RES!$M$5:$M$84,0)-1,0),0)</f>
        <v>220000307</v>
      </c>
      <c r="AV143" s="103" t="s">
        <v>615</v>
      </c>
      <c r="AW143" s="104">
        <f t="shared" si="90"/>
        <v>6000</v>
      </c>
      <c r="AX143" s="103">
        <v>6013.1854919937305</v>
      </c>
      <c r="AZ143" s="104">
        <f ca="1">IFERROR(OFFSET(ITEM_RES!$A$5,MATCH(BA143,ITEM_RES!$M$5:$M$84,0)-1,0),0)</f>
        <v>220000407</v>
      </c>
      <c r="BA143" s="103" t="s">
        <v>633</v>
      </c>
      <c r="BB143" s="104">
        <f t="shared" si="91"/>
        <v>3000</v>
      </c>
      <c r="BC143" s="103">
        <v>3006.5927459968652</v>
      </c>
      <c r="BE143" s="104">
        <f ca="1">IFERROR(OFFSET(ITEM_RES!$A$5,MATCH(BF143,ITEM_RES!$M$5:$M$84,0)-1,0),0)</f>
        <v>0</v>
      </c>
      <c r="BG143" s="104">
        <f t="shared" si="92"/>
        <v>0</v>
      </c>
    </row>
    <row r="144" spans="1:59" x14ac:dyDescent="0.3">
      <c r="A144" s="107">
        <f t="shared" si="86"/>
        <v>111050020</v>
      </c>
      <c r="B144" s="106">
        <v>11</v>
      </c>
      <c r="C144" s="105">
        <f t="shared" si="87"/>
        <v>1</v>
      </c>
      <c r="D144" s="106">
        <v>5</v>
      </c>
      <c r="E144" s="106">
        <v>0</v>
      </c>
      <c r="F144" s="105">
        <f t="shared" si="82"/>
        <v>20</v>
      </c>
      <c r="H144" s="102">
        <v>1</v>
      </c>
      <c r="I144" s="102">
        <v>20</v>
      </c>
      <c r="K144" s="102" t="s">
        <v>1041</v>
      </c>
      <c r="L144" s="102" t="s">
        <v>775</v>
      </c>
      <c r="M144" s="103" t="s">
        <v>380</v>
      </c>
      <c r="N144" s="102">
        <v>0</v>
      </c>
      <c r="O144" s="102">
        <v>12</v>
      </c>
      <c r="P144" s="102" t="s">
        <v>740</v>
      </c>
      <c r="Q144" s="103" t="s">
        <v>1160</v>
      </c>
      <c r="R144" s="103">
        <v>111050020</v>
      </c>
      <c r="S144" s="104" t="str">
        <f t="shared" si="84"/>
        <v>UITexture/Bldg/111050020.png</v>
      </c>
      <c r="T144" s="102" t="s">
        <v>1046</v>
      </c>
      <c r="U144" s="102">
        <v>4</v>
      </c>
      <c r="V144" s="102">
        <v>1</v>
      </c>
      <c r="W144" s="102">
        <v>2</v>
      </c>
      <c r="Y144" s="104">
        <f t="shared" si="83"/>
        <v>105</v>
      </c>
      <c r="Z144" s="102">
        <v>200</v>
      </c>
      <c r="AA144" s="102">
        <v>1</v>
      </c>
      <c r="AB144" s="102">
        <v>1</v>
      </c>
      <c r="AC144" s="102">
        <v>0</v>
      </c>
      <c r="AD144" s="102" t="s">
        <v>728</v>
      </c>
      <c r="AE144" s="102">
        <v>20</v>
      </c>
      <c r="AG144" s="104">
        <f t="shared" si="85"/>
        <v>180969</v>
      </c>
      <c r="AH144" s="103">
        <v>180968.64845608425</v>
      </c>
      <c r="AI144" s="172">
        <v>4</v>
      </c>
      <c r="AK144" s="104">
        <f ca="1">IFERROR(OFFSET(ITEM_RES!$A$5,MATCH(AL144,ITEM_RES!$M$5:$M$84,0)-1,0),0)</f>
        <v>220000107</v>
      </c>
      <c r="AL144" s="103" t="s">
        <v>579</v>
      </c>
      <c r="AM144" s="104">
        <f t="shared" si="88"/>
        <v>21000</v>
      </c>
      <c r="AN144" s="103">
        <v>20670.325128728451</v>
      </c>
      <c r="AP144" s="104">
        <f ca="1">IFERROR(OFFSET(ITEM_RES!$A$5,MATCH(AQ144,ITEM_RES!$M$5:$M$84,0)-1,0),0)</f>
        <v>220000207</v>
      </c>
      <c r="AQ144" s="103" t="s">
        <v>597</v>
      </c>
      <c r="AR144" s="104">
        <f t="shared" si="89"/>
        <v>12000</v>
      </c>
      <c r="AS144" s="103">
        <v>12402.195077237069</v>
      </c>
      <c r="AU144" s="104">
        <f ca="1">IFERROR(OFFSET(ITEM_RES!$A$5,MATCH(AV144,ITEM_RES!$M$5:$M$84,0)-1,0),0)</f>
        <v>220000307</v>
      </c>
      <c r="AV144" s="103" t="s">
        <v>615</v>
      </c>
      <c r="AW144" s="104">
        <f t="shared" si="90"/>
        <v>8300</v>
      </c>
      <c r="AX144" s="103">
        <v>8268.1300514913801</v>
      </c>
      <c r="AZ144" s="104">
        <f ca="1">IFERROR(OFFSET(ITEM_RES!$A$5,MATCH(BA144,ITEM_RES!$M$5:$M$84,0)-1,0),0)</f>
        <v>220000407</v>
      </c>
      <c r="BA144" s="103" t="s">
        <v>633</v>
      </c>
      <c r="BB144" s="104">
        <f t="shared" si="91"/>
        <v>4100</v>
      </c>
      <c r="BC144" s="103">
        <v>4134.06502574569</v>
      </c>
      <c r="BE144" s="104">
        <f ca="1">IFERROR(OFFSET(ITEM_RES!$A$5,MATCH(BF144,ITEM_RES!$M$5:$M$84,0)-1,0),0)</f>
        <v>0</v>
      </c>
      <c r="BG144" s="104">
        <f t="shared" si="92"/>
        <v>0</v>
      </c>
    </row>
    <row r="145" spans="1:60" x14ac:dyDescent="0.3">
      <c r="A145" s="107">
        <f t="shared" si="86"/>
        <v>111050021</v>
      </c>
      <c r="B145" s="106">
        <v>11</v>
      </c>
      <c r="C145" s="105">
        <f t="shared" si="87"/>
        <v>1</v>
      </c>
      <c r="D145" s="106">
        <v>5</v>
      </c>
      <c r="E145" s="106">
        <v>0</v>
      </c>
      <c r="F145" s="105">
        <f t="shared" si="82"/>
        <v>21</v>
      </c>
      <c r="H145" s="102">
        <v>1</v>
      </c>
      <c r="I145" s="102">
        <v>21</v>
      </c>
      <c r="K145" s="102" t="s">
        <v>1041</v>
      </c>
      <c r="L145" s="102" t="s">
        <v>775</v>
      </c>
      <c r="M145" s="103" t="s">
        <v>380</v>
      </c>
      <c r="N145" s="102">
        <v>0</v>
      </c>
      <c r="O145" s="102">
        <v>12</v>
      </c>
      <c r="P145" s="102" t="s">
        <v>740</v>
      </c>
      <c r="Q145" s="103" t="s">
        <v>1160</v>
      </c>
      <c r="R145" s="103">
        <v>111050021</v>
      </c>
      <c r="S145" s="104" t="str">
        <f t="shared" si="84"/>
        <v>UITexture/Bldg/111050021.png</v>
      </c>
      <c r="T145" s="102" t="s">
        <v>1046</v>
      </c>
      <c r="U145" s="102">
        <v>4</v>
      </c>
      <c r="V145" s="102">
        <v>1</v>
      </c>
      <c r="W145" s="102">
        <v>2</v>
      </c>
      <c r="Y145" s="104">
        <f t="shared" si="83"/>
        <v>105</v>
      </c>
      <c r="Z145" s="102">
        <v>210</v>
      </c>
      <c r="AA145" s="102">
        <v>1</v>
      </c>
      <c r="AB145" s="102">
        <v>1</v>
      </c>
      <c r="AC145" s="102">
        <v>0</v>
      </c>
      <c r="AD145" s="102" t="s">
        <v>728</v>
      </c>
      <c r="AE145" s="102">
        <v>21</v>
      </c>
      <c r="AG145" s="104">
        <f t="shared" si="85"/>
        <v>195446</v>
      </c>
      <c r="AH145" s="103">
        <v>195446.14033257103</v>
      </c>
      <c r="AI145" s="172">
        <v>4</v>
      </c>
      <c r="AK145" s="104">
        <f ca="1">IFERROR(OFFSET(ITEM_RES!$A$5,MATCH(AL145,ITEM_RES!$M$5:$M$84,0)-1,0),0)</f>
        <v>220000107</v>
      </c>
      <c r="AL145" s="103" t="s">
        <v>579</v>
      </c>
      <c r="AM145" s="104">
        <f t="shared" si="88"/>
        <v>28000</v>
      </c>
      <c r="AN145" s="103">
        <v>27904.938923783411</v>
      </c>
      <c r="AP145" s="104">
        <f ca="1">IFERROR(OFFSET(ITEM_RES!$A$5,MATCH(AQ145,ITEM_RES!$M$5:$M$84,0)-1,0),0)</f>
        <v>220000207</v>
      </c>
      <c r="AQ145" s="103" t="s">
        <v>597</v>
      </c>
      <c r="AR145" s="104">
        <f t="shared" si="89"/>
        <v>17000</v>
      </c>
      <c r="AS145" s="103">
        <v>16742.963354270047</v>
      </c>
      <c r="AU145" s="104">
        <f ca="1">IFERROR(OFFSET(ITEM_RES!$A$5,MATCH(AV145,ITEM_RES!$M$5:$M$84,0)-1,0),0)</f>
        <v>220000307</v>
      </c>
      <c r="AV145" s="103" t="s">
        <v>615</v>
      </c>
      <c r="AW145" s="104">
        <f t="shared" si="90"/>
        <v>11000</v>
      </c>
      <c r="AX145" s="103">
        <v>11161.975569513364</v>
      </c>
      <c r="AZ145" s="104">
        <f ca="1">IFERROR(OFFSET(ITEM_RES!$A$5,MATCH(BA145,ITEM_RES!$M$5:$M$84,0)-1,0),0)</f>
        <v>220000407</v>
      </c>
      <c r="BA145" s="103" t="s">
        <v>633</v>
      </c>
      <c r="BB145" s="104">
        <f t="shared" si="91"/>
        <v>5600</v>
      </c>
      <c r="BC145" s="103">
        <v>5580.9877847566822</v>
      </c>
      <c r="BE145" s="104">
        <f ca="1">IFERROR(OFFSET(ITEM_RES!$A$5,MATCH(BF145,ITEM_RES!$M$5:$M$84,0)-1,0),0)</f>
        <v>0</v>
      </c>
      <c r="BG145" s="104">
        <f t="shared" si="92"/>
        <v>0</v>
      </c>
    </row>
    <row r="146" spans="1:60" x14ac:dyDescent="0.3">
      <c r="A146" s="107">
        <f t="shared" si="86"/>
        <v>111050022</v>
      </c>
      <c r="B146" s="106">
        <v>11</v>
      </c>
      <c r="C146" s="105">
        <f t="shared" si="87"/>
        <v>1</v>
      </c>
      <c r="D146" s="106">
        <v>5</v>
      </c>
      <c r="E146" s="106">
        <v>0</v>
      </c>
      <c r="F146" s="105">
        <f t="shared" si="82"/>
        <v>22</v>
      </c>
      <c r="H146" s="102">
        <v>1</v>
      </c>
      <c r="I146" s="102">
        <v>22</v>
      </c>
      <c r="K146" s="102" t="s">
        <v>1041</v>
      </c>
      <c r="L146" s="102" t="s">
        <v>775</v>
      </c>
      <c r="M146" s="103" t="s">
        <v>380</v>
      </c>
      <c r="N146" s="102">
        <v>0</v>
      </c>
      <c r="O146" s="102">
        <v>12</v>
      </c>
      <c r="P146" s="102" t="s">
        <v>740</v>
      </c>
      <c r="Q146" s="103" t="s">
        <v>1160</v>
      </c>
      <c r="R146" s="103">
        <v>111050022</v>
      </c>
      <c r="S146" s="104" t="str">
        <f t="shared" si="84"/>
        <v>UITexture/Bldg/111050022.png</v>
      </c>
      <c r="T146" s="102" t="s">
        <v>1046</v>
      </c>
      <c r="U146" s="102">
        <v>4</v>
      </c>
      <c r="V146" s="102">
        <v>1</v>
      </c>
      <c r="W146" s="102">
        <v>2</v>
      </c>
      <c r="Y146" s="104">
        <f t="shared" si="83"/>
        <v>105</v>
      </c>
      <c r="Z146" s="102">
        <v>220</v>
      </c>
      <c r="AA146" s="102">
        <v>1</v>
      </c>
      <c r="AB146" s="102">
        <v>1</v>
      </c>
      <c r="AC146" s="102">
        <v>0</v>
      </c>
      <c r="AD146" s="102" t="s">
        <v>728</v>
      </c>
      <c r="AE146" s="102">
        <v>22</v>
      </c>
      <c r="AG146" s="104">
        <f t="shared" si="85"/>
        <v>209127</v>
      </c>
      <c r="AH146" s="103">
        <v>209127.37015585101</v>
      </c>
      <c r="AI146" s="172">
        <v>4</v>
      </c>
      <c r="AK146" s="104">
        <f ca="1">IFERROR(OFFSET(ITEM_RES!$A$5,MATCH(AL146,ITEM_RES!$M$5:$M$84,0)-1,0),0)</f>
        <v>220000108</v>
      </c>
      <c r="AL146" s="103" t="s">
        <v>580</v>
      </c>
      <c r="AM146" s="104">
        <f t="shared" si="88"/>
        <v>12000</v>
      </c>
      <c r="AN146" s="103">
        <v>12440.951936853437</v>
      </c>
      <c r="AP146" s="104">
        <f ca="1">IFERROR(OFFSET(ITEM_RES!$A$5,MATCH(AQ146,ITEM_RES!$M$5:$M$84,0)-1,0),0)</f>
        <v>220000208</v>
      </c>
      <c r="AQ146" s="103" t="s">
        <v>598</v>
      </c>
      <c r="AR146" s="104">
        <f t="shared" si="89"/>
        <v>7500</v>
      </c>
      <c r="AS146" s="103">
        <v>7464.5711621120627</v>
      </c>
      <c r="AU146" s="104">
        <f ca="1">IFERROR(OFFSET(ITEM_RES!$A$5,MATCH(AV146,ITEM_RES!$M$5:$M$84,0)-1,0),0)</f>
        <v>220000308</v>
      </c>
      <c r="AV146" s="103" t="s">
        <v>616</v>
      </c>
      <c r="AW146" s="104">
        <f t="shared" si="90"/>
        <v>5000</v>
      </c>
      <c r="AX146" s="103">
        <v>4976.3807747413748</v>
      </c>
      <c r="AZ146" s="104">
        <f ca="1">IFERROR(OFFSET(ITEM_RES!$A$5,MATCH(BA146,ITEM_RES!$M$5:$M$84,0)-1,0),0)</f>
        <v>220000408</v>
      </c>
      <c r="BA146" s="103" t="s">
        <v>634</v>
      </c>
      <c r="BB146" s="104">
        <f t="shared" si="91"/>
        <v>2500</v>
      </c>
      <c r="BC146" s="103">
        <v>2488.1903873706874</v>
      </c>
      <c r="BE146" s="104">
        <f ca="1">IFERROR(OFFSET(ITEM_RES!$A$5,MATCH(BF146,ITEM_RES!$M$5:$M$84,0)-1,0),0)</f>
        <v>0</v>
      </c>
      <c r="BG146" s="104">
        <f t="shared" si="92"/>
        <v>0</v>
      </c>
    </row>
    <row r="147" spans="1:60" x14ac:dyDescent="0.3">
      <c r="A147" s="107">
        <f t="shared" si="86"/>
        <v>111050023</v>
      </c>
      <c r="B147" s="106">
        <v>11</v>
      </c>
      <c r="C147" s="105">
        <f t="shared" si="87"/>
        <v>1</v>
      </c>
      <c r="D147" s="106">
        <v>5</v>
      </c>
      <c r="E147" s="106">
        <v>0</v>
      </c>
      <c r="F147" s="105">
        <f t="shared" si="82"/>
        <v>23</v>
      </c>
      <c r="H147" s="102">
        <v>1</v>
      </c>
      <c r="I147" s="102">
        <v>23</v>
      </c>
      <c r="K147" s="102" t="s">
        <v>1041</v>
      </c>
      <c r="L147" s="102" t="s">
        <v>775</v>
      </c>
      <c r="M147" s="103" t="s">
        <v>380</v>
      </c>
      <c r="N147" s="102">
        <v>0</v>
      </c>
      <c r="O147" s="102">
        <v>12</v>
      </c>
      <c r="P147" s="102" t="s">
        <v>740</v>
      </c>
      <c r="Q147" s="103" t="s">
        <v>1160</v>
      </c>
      <c r="R147" s="103">
        <v>111050023</v>
      </c>
      <c r="S147" s="104" t="str">
        <f t="shared" si="84"/>
        <v>UITexture/Bldg/111050023.png</v>
      </c>
      <c r="T147" s="102" t="s">
        <v>1046</v>
      </c>
      <c r="U147" s="102">
        <v>4</v>
      </c>
      <c r="V147" s="102">
        <v>1</v>
      </c>
      <c r="W147" s="102">
        <v>2</v>
      </c>
      <c r="Y147" s="104">
        <f t="shared" si="83"/>
        <v>105</v>
      </c>
      <c r="Z147" s="102">
        <v>230</v>
      </c>
      <c r="AA147" s="102">
        <v>1</v>
      </c>
      <c r="AB147" s="102">
        <v>1</v>
      </c>
      <c r="AC147" s="102">
        <v>0</v>
      </c>
      <c r="AD147" s="102" t="s">
        <v>728</v>
      </c>
      <c r="AE147" s="102">
        <v>23</v>
      </c>
      <c r="AG147" s="104">
        <f t="shared" si="85"/>
        <v>221675</v>
      </c>
      <c r="AH147" s="103">
        <v>221675.01236520207</v>
      </c>
      <c r="AI147" s="172">
        <v>4</v>
      </c>
      <c r="AK147" s="104">
        <f ca="1">IFERROR(OFFSET(ITEM_RES!$A$5,MATCH(AL147,ITEM_RES!$M$5:$M$84,0)-1,0),0)</f>
        <v>220000108</v>
      </c>
      <c r="AL147" s="103" t="s">
        <v>580</v>
      </c>
      <c r="AM147" s="104">
        <f t="shared" si="88"/>
        <v>16000</v>
      </c>
      <c r="AN147" s="103">
        <v>16484.261316330809</v>
      </c>
      <c r="AP147" s="104">
        <f ca="1">IFERROR(OFFSET(ITEM_RES!$A$5,MATCH(AQ147,ITEM_RES!$M$5:$M$84,0)-1,0),0)</f>
        <v>220000208</v>
      </c>
      <c r="AQ147" s="103" t="s">
        <v>598</v>
      </c>
      <c r="AR147" s="104">
        <f t="shared" si="89"/>
        <v>9900</v>
      </c>
      <c r="AS147" s="103">
        <v>9890.5567897984838</v>
      </c>
      <c r="AU147" s="104">
        <f ca="1">IFERROR(OFFSET(ITEM_RES!$A$5,MATCH(AV147,ITEM_RES!$M$5:$M$84,0)-1,0),0)</f>
        <v>220000308</v>
      </c>
      <c r="AV147" s="103" t="s">
        <v>616</v>
      </c>
      <c r="AW147" s="104">
        <f t="shared" si="90"/>
        <v>6600</v>
      </c>
      <c r="AX147" s="103">
        <v>6593.7045265323231</v>
      </c>
      <c r="AZ147" s="104">
        <f ca="1">IFERROR(OFFSET(ITEM_RES!$A$5,MATCH(BA147,ITEM_RES!$M$5:$M$84,0)-1,0),0)</f>
        <v>220000408</v>
      </c>
      <c r="BA147" s="103" t="s">
        <v>634</v>
      </c>
      <c r="BB147" s="104">
        <f t="shared" si="91"/>
        <v>3300</v>
      </c>
      <c r="BC147" s="103">
        <v>3296.8522632661616</v>
      </c>
      <c r="BE147" s="104">
        <f ca="1">IFERROR(OFFSET(ITEM_RES!$A$5,MATCH(BF147,ITEM_RES!$M$5:$M$84,0)-1,0),0)</f>
        <v>0</v>
      </c>
      <c r="BG147" s="104">
        <f t="shared" si="92"/>
        <v>0</v>
      </c>
    </row>
    <row r="148" spans="1:60" x14ac:dyDescent="0.3">
      <c r="A148" s="107">
        <f t="shared" si="86"/>
        <v>111050024</v>
      </c>
      <c r="B148" s="106">
        <v>11</v>
      </c>
      <c r="C148" s="105">
        <f t="shared" si="87"/>
        <v>1</v>
      </c>
      <c r="D148" s="106">
        <v>5</v>
      </c>
      <c r="E148" s="106">
        <v>0</v>
      </c>
      <c r="F148" s="105">
        <f t="shared" si="82"/>
        <v>24</v>
      </c>
      <c r="H148" s="102">
        <v>1</v>
      </c>
      <c r="I148" s="102">
        <v>24</v>
      </c>
      <c r="K148" s="102" t="s">
        <v>1041</v>
      </c>
      <c r="L148" s="102" t="s">
        <v>775</v>
      </c>
      <c r="M148" s="103" t="s">
        <v>380</v>
      </c>
      <c r="N148" s="102">
        <v>0</v>
      </c>
      <c r="O148" s="102">
        <v>12</v>
      </c>
      <c r="P148" s="102" t="s">
        <v>740</v>
      </c>
      <c r="Q148" s="103" t="s">
        <v>1160</v>
      </c>
      <c r="R148" s="103">
        <v>111050024</v>
      </c>
      <c r="S148" s="104" t="str">
        <f t="shared" si="84"/>
        <v>UITexture/Bldg/111050024.png</v>
      </c>
      <c r="T148" s="102" t="s">
        <v>1046</v>
      </c>
      <c r="U148" s="102">
        <v>4</v>
      </c>
      <c r="V148" s="102">
        <v>1</v>
      </c>
      <c r="W148" s="102">
        <v>2</v>
      </c>
      <c r="Y148" s="104">
        <f t="shared" si="83"/>
        <v>105</v>
      </c>
      <c r="Z148" s="102">
        <v>240</v>
      </c>
      <c r="AA148" s="102">
        <v>1</v>
      </c>
      <c r="AB148" s="102">
        <v>1</v>
      </c>
      <c r="AC148" s="102">
        <v>0</v>
      </c>
      <c r="AD148" s="102" t="s">
        <v>728</v>
      </c>
      <c r="AE148" s="102">
        <v>24</v>
      </c>
      <c r="AG148" s="104">
        <f t="shared" si="85"/>
        <v>232759</v>
      </c>
      <c r="AH148" s="103">
        <v>232758.76298346219</v>
      </c>
      <c r="AI148" s="172">
        <v>4</v>
      </c>
      <c r="AK148" s="104">
        <f ca="1">IFERROR(OFFSET(ITEM_RES!$A$5,MATCH(AL148,ITEM_RES!$M$5:$M$84,0)-1,0),0)</f>
        <v>220000108</v>
      </c>
      <c r="AL148" s="103" t="s">
        <v>580</v>
      </c>
      <c r="AM148" s="104">
        <f t="shared" si="88"/>
        <v>22000</v>
      </c>
      <c r="AN148" s="103">
        <v>21635.59297768418</v>
      </c>
      <c r="AP148" s="104">
        <f ca="1">IFERROR(OFFSET(ITEM_RES!$A$5,MATCH(AQ148,ITEM_RES!$M$5:$M$84,0)-1,0),0)</f>
        <v>220000208</v>
      </c>
      <c r="AQ148" s="103" t="s">
        <v>598</v>
      </c>
      <c r="AR148" s="104">
        <f t="shared" si="89"/>
        <v>13000</v>
      </c>
      <c r="AS148" s="103">
        <v>12981.355786610509</v>
      </c>
      <c r="AU148" s="104">
        <f ca="1">IFERROR(OFFSET(ITEM_RES!$A$5,MATCH(AV148,ITEM_RES!$M$5:$M$84,0)-1,0),0)</f>
        <v>220000308</v>
      </c>
      <c r="AV148" s="103" t="s">
        <v>616</v>
      </c>
      <c r="AW148" s="104">
        <f t="shared" si="90"/>
        <v>8700</v>
      </c>
      <c r="AX148" s="103">
        <v>8654.2371910736729</v>
      </c>
      <c r="AZ148" s="104">
        <f ca="1">IFERROR(OFFSET(ITEM_RES!$A$5,MATCH(BA148,ITEM_RES!$M$5:$M$84,0)-1,0),0)</f>
        <v>220000408</v>
      </c>
      <c r="BA148" s="103" t="s">
        <v>634</v>
      </c>
      <c r="BB148" s="104">
        <f t="shared" si="91"/>
        <v>4300</v>
      </c>
      <c r="BC148" s="103">
        <v>4327.1185955368364</v>
      </c>
      <c r="BE148" s="104">
        <f ca="1">IFERROR(OFFSET(ITEM_RES!$A$5,MATCH(BF148,ITEM_RES!$M$5:$M$84,0)-1,0),0)</f>
        <v>0</v>
      </c>
      <c r="BG148" s="104">
        <f t="shared" si="92"/>
        <v>0</v>
      </c>
    </row>
    <row r="149" spans="1:60" x14ac:dyDescent="0.3">
      <c r="A149" s="107">
        <f t="shared" si="86"/>
        <v>111050025</v>
      </c>
      <c r="B149" s="106">
        <v>11</v>
      </c>
      <c r="C149" s="105">
        <f t="shared" si="87"/>
        <v>1</v>
      </c>
      <c r="D149" s="106">
        <v>5</v>
      </c>
      <c r="E149" s="106">
        <v>0</v>
      </c>
      <c r="F149" s="105">
        <f t="shared" si="82"/>
        <v>25</v>
      </c>
      <c r="H149" s="102">
        <v>1</v>
      </c>
      <c r="I149" s="102">
        <v>25</v>
      </c>
      <c r="K149" s="102" t="s">
        <v>1041</v>
      </c>
      <c r="L149" s="102" t="s">
        <v>775</v>
      </c>
      <c r="M149" s="103" t="s">
        <v>380</v>
      </c>
      <c r="N149" s="102">
        <v>0</v>
      </c>
      <c r="O149" s="102">
        <v>12</v>
      </c>
      <c r="P149" s="102" t="s">
        <v>740</v>
      </c>
      <c r="Q149" s="103" t="s">
        <v>1160</v>
      </c>
      <c r="R149" s="103">
        <v>111050025</v>
      </c>
      <c r="S149" s="104" t="str">
        <f t="shared" si="84"/>
        <v>UITexture/Bldg/111050025.png</v>
      </c>
      <c r="T149" s="102" t="s">
        <v>1046</v>
      </c>
      <c r="U149" s="102">
        <v>4</v>
      </c>
      <c r="V149" s="102">
        <v>1</v>
      </c>
      <c r="W149" s="102">
        <v>2</v>
      </c>
      <c r="Y149" s="104">
        <f t="shared" si="83"/>
        <v>105</v>
      </c>
      <c r="Z149" s="102">
        <v>250</v>
      </c>
      <c r="AA149" s="102">
        <v>1</v>
      </c>
      <c r="AB149" s="102">
        <v>1</v>
      </c>
      <c r="AC149" s="102">
        <v>0</v>
      </c>
      <c r="AD149" s="102" t="s">
        <v>728</v>
      </c>
      <c r="AE149" s="102">
        <v>25</v>
      </c>
      <c r="AG149" s="104">
        <f t="shared" si="85"/>
        <v>244397</v>
      </c>
      <c r="AH149" s="103">
        <v>244396.70113263529</v>
      </c>
      <c r="AI149" s="172">
        <v>4</v>
      </c>
      <c r="AK149" s="104">
        <f ca="1">IFERROR(OFFSET(ITEM_RES!$A$5,MATCH(AL149,ITEM_RES!$M$5:$M$84,0)-1,0),0)</f>
        <v>220000109</v>
      </c>
      <c r="AL149" s="103" t="s">
        <v>581</v>
      </c>
      <c r="AM149" s="104">
        <f t="shared" si="88"/>
        <v>9500</v>
      </c>
      <c r="AN149" s="103">
        <v>9465.5719277368316</v>
      </c>
      <c r="AP149" s="104">
        <f ca="1">IFERROR(OFFSET(ITEM_RES!$A$5,MATCH(AQ149,ITEM_RES!$M$5:$M$84,0)-1,0),0)</f>
        <v>220000209</v>
      </c>
      <c r="AQ149" s="103" t="s">
        <v>599</v>
      </c>
      <c r="AR149" s="104">
        <f t="shared" si="89"/>
        <v>5700</v>
      </c>
      <c r="AS149" s="103">
        <v>5679.3431566420986</v>
      </c>
      <c r="AU149" s="104">
        <f ca="1">IFERROR(OFFSET(ITEM_RES!$A$5,MATCH(AV149,ITEM_RES!$M$5:$M$84,0)-1,0),0)</f>
        <v>220000309</v>
      </c>
      <c r="AV149" s="103" t="s">
        <v>617</v>
      </c>
      <c r="AW149" s="104">
        <f t="shared" si="90"/>
        <v>3800</v>
      </c>
      <c r="AX149" s="103">
        <v>3786.2287710947326</v>
      </c>
      <c r="AZ149" s="104">
        <f ca="1">IFERROR(OFFSET(ITEM_RES!$A$5,MATCH(BA149,ITEM_RES!$M$5:$M$84,0)-1,0),0)</f>
        <v>220000409</v>
      </c>
      <c r="BA149" s="103" t="s">
        <v>635</v>
      </c>
      <c r="BB149" s="104">
        <f t="shared" si="91"/>
        <v>1900</v>
      </c>
      <c r="BC149" s="103">
        <v>1893.1143855473663</v>
      </c>
      <c r="BE149" s="104">
        <f ca="1">IFERROR(OFFSET(ITEM_RES!$A$5,MATCH(BF149,ITEM_RES!$M$5:$M$84,0)-1,0),0)</f>
        <v>0</v>
      </c>
      <c r="BG149" s="104">
        <f t="shared" si="92"/>
        <v>0</v>
      </c>
    </row>
    <row r="150" spans="1:60" x14ac:dyDescent="0.3">
      <c r="A150" s="107">
        <f t="shared" ref="A150:A154" si="93">B150*10000000+C150*1000000+D150*10000+E150*100+F150</f>
        <v>111050026</v>
      </c>
      <c r="B150" s="106">
        <v>11</v>
      </c>
      <c r="C150" s="105">
        <f t="shared" ref="C150:C154" si="94">H150</f>
        <v>1</v>
      </c>
      <c r="D150" s="106">
        <v>5</v>
      </c>
      <c r="E150" s="106">
        <v>0</v>
      </c>
      <c r="F150" s="105">
        <f t="shared" si="82"/>
        <v>26</v>
      </c>
      <c r="H150" s="102">
        <v>1</v>
      </c>
      <c r="I150" s="102">
        <v>26</v>
      </c>
      <c r="K150" s="102" t="s">
        <v>1041</v>
      </c>
      <c r="L150" s="102" t="s">
        <v>775</v>
      </c>
      <c r="M150" s="103" t="s">
        <v>380</v>
      </c>
      <c r="N150" s="102">
        <v>0</v>
      </c>
      <c r="O150" s="102">
        <v>12</v>
      </c>
      <c r="P150" s="102" t="s">
        <v>740</v>
      </c>
      <c r="Q150" s="103" t="s">
        <v>1160</v>
      </c>
      <c r="R150" s="103">
        <v>111050026</v>
      </c>
      <c r="S150" s="104" t="str">
        <f t="shared" si="84"/>
        <v>UITexture/Bldg/111050026.png</v>
      </c>
      <c r="T150" s="102" t="s">
        <v>1046</v>
      </c>
      <c r="U150" s="102">
        <v>4</v>
      </c>
      <c r="V150" s="102">
        <v>1</v>
      </c>
      <c r="W150" s="102">
        <v>2</v>
      </c>
      <c r="Y150" s="104">
        <f t="shared" si="83"/>
        <v>105</v>
      </c>
      <c r="Z150" s="102">
        <v>260</v>
      </c>
      <c r="AA150" s="102">
        <v>1</v>
      </c>
      <c r="AB150" s="102">
        <v>1</v>
      </c>
      <c r="AC150" s="102">
        <v>0</v>
      </c>
      <c r="AD150" s="102" t="s">
        <v>728</v>
      </c>
      <c r="AE150" s="102">
        <v>26</v>
      </c>
      <c r="AG150" s="104">
        <f t="shared" si="85"/>
        <v>254173</v>
      </c>
      <c r="AH150" s="103">
        <v>254172.56917794072</v>
      </c>
      <c r="AI150" s="172">
        <v>4</v>
      </c>
      <c r="AK150" s="104">
        <f ca="1">IFERROR(OFFSET(ITEM_RES!$A$5,MATCH(AL150,ITEM_RES!$M$5:$M$84,0)-1,0),0)</f>
        <v>220000109</v>
      </c>
      <c r="AL150" s="103" t="s">
        <v>581</v>
      </c>
      <c r="AM150" s="104">
        <f t="shared" ref="AM150:AM154" si="95">IF(AN150&lt;100,ROUND(AN150,1-LEN(ROUND(AN150,0))),ROUND(AN150,2-LEN(ROUND(AN150,0))))</f>
        <v>12000</v>
      </c>
      <c r="AN150" s="103">
        <v>11813.033765815562</v>
      </c>
      <c r="AP150" s="104">
        <f ca="1">IFERROR(OFFSET(ITEM_RES!$A$5,MATCH(AQ150,ITEM_RES!$M$5:$M$84,0)-1,0),0)</f>
        <v>220000209</v>
      </c>
      <c r="AQ150" s="103" t="s">
        <v>599</v>
      </c>
      <c r="AR150" s="104">
        <f t="shared" ref="AR150:AR154" si="96">IF(AS150&lt;100,ROUND(AS150,1-LEN(ROUND(AS150,0))),ROUND(AS150,2-LEN(ROUND(AS150,0))))</f>
        <v>7100</v>
      </c>
      <c r="AS150" s="103">
        <v>7087.8202594893373</v>
      </c>
      <c r="AU150" s="104">
        <f ca="1">IFERROR(OFFSET(ITEM_RES!$A$5,MATCH(AV150,ITEM_RES!$M$5:$M$84,0)-1,0),0)</f>
        <v>220000309</v>
      </c>
      <c r="AV150" s="103" t="s">
        <v>617</v>
      </c>
      <c r="AW150" s="104">
        <f t="shared" ref="AW150:AW154" si="97">IF(AX150&lt;100,ROUND(AX150,1-LEN(ROUND(AX150,0))),ROUND(AX150,2-LEN(ROUND(AX150,0))))</f>
        <v>4700</v>
      </c>
      <c r="AX150" s="103">
        <v>4725.2135063262249</v>
      </c>
      <c r="AZ150" s="104">
        <f ca="1">IFERROR(OFFSET(ITEM_RES!$A$5,MATCH(BA150,ITEM_RES!$M$5:$M$84,0)-1,0),0)</f>
        <v>220000409</v>
      </c>
      <c r="BA150" s="103" t="s">
        <v>635</v>
      </c>
      <c r="BB150" s="104">
        <f t="shared" ref="BB150:BB154" si="98">IF(BC150&lt;100,ROUND(BC150,1-LEN(ROUND(BC150,0))),ROUND(BC150,2-LEN(ROUND(BC150,0))))</f>
        <v>2400</v>
      </c>
      <c r="BC150" s="103">
        <v>2362.6067531631124</v>
      </c>
      <c r="BE150" s="104">
        <f ca="1">IFERROR(OFFSET(ITEM_RES!$A$5,MATCH(BF150,ITEM_RES!$M$5:$M$84,0)-1,0),0)</f>
        <v>0</v>
      </c>
      <c r="BG150" s="104">
        <f t="shared" ref="BG150:BG154" si="99">IF(BH150&lt;100,ROUND(BH150,1-LEN(ROUND(BH150,0))),ROUND(BH150,2-LEN(ROUND(BH150,0))))</f>
        <v>0</v>
      </c>
    </row>
    <row r="151" spans="1:60" x14ac:dyDescent="0.3">
      <c r="A151" s="107">
        <f t="shared" si="93"/>
        <v>111050027</v>
      </c>
      <c r="B151" s="106">
        <v>11</v>
      </c>
      <c r="C151" s="105">
        <f t="shared" si="94"/>
        <v>1</v>
      </c>
      <c r="D151" s="106">
        <v>5</v>
      </c>
      <c r="E151" s="106">
        <v>0</v>
      </c>
      <c r="F151" s="105">
        <f t="shared" si="82"/>
        <v>27</v>
      </c>
      <c r="H151" s="102">
        <v>1</v>
      </c>
      <c r="I151" s="102">
        <v>27</v>
      </c>
      <c r="K151" s="102" t="s">
        <v>1041</v>
      </c>
      <c r="L151" s="102" t="s">
        <v>775</v>
      </c>
      <c r="M151" s="103" t="s">
        <v>380</v>
      </c>
      <c r="N151" s="102">
        <v>0</v>
      </c>
      <c r="O151" s="102">
        <v>12</v>
      </c>
      <c r="P151" s="102" t="s">
        <v>740</v>
      </c>
      <c r="Q151" s="103" t="s">
        <v>1160</v>
      </c>
      <c r="R151" s="103">
        <v>111050027</v>
      </c>
      <c r="S151" s="104" t="str">
        <f t="shared" si="84"/>
        <v>UITexture/Bldg/111050027.png</v>
      </c>
      <c r="T151" s="102" t="s">
        <v>1046</v>
      </c>
      <c r="U151" s="102">
        <v>4</v>
      </c>
      <c r="V151" s="102">
        <v>1</v>
      </c>
      <c r="W151" s="102">
        <v>2</v>
      </c>
      <c r="Y151" s="104">
        <f t="shared" si="83"/>
        <v>105</v>
      </c>
      <c r="Z151" s="102">
        <v>270</v>
      </c>
      <c r="AA151" s="102">
        <v>1</v>
      </c>
      <c r="AB151" s="102">
        <v>1</v>
      </c>
      <c r="AC151" s="102">
        <v>0</v>
      </c>
      <c r="AD151" s="102" t="s">
        <v>728</v>
      </c>
      <c r="AE151" s="102">
        <v>27</v>
      </c>
      <c r="AG151" s="104">
        <f t="shared" si="85"/>
        <v>264339</v>
      </c>
      <c r="AH151" s="103">
        <v>264339.47194505838</v>
      </c>
      <c r="AI151" s="172">
        <v>4</v>
      </c>
      <c r="AK151" s="104">
        <f ca="1">IFERROR(OFFSET(ITEM_RES!$A$5,MATCH(AL151,ITEM_RES!$M$5:$M$84,0)-1,0),0)</f>
        <v>220000109</v>
      </c>
      <c r="AL151" s="103" t="s">
        <v>581</v>
      </c>
      <c r="AM151" s="104">
        <f t="shared" si="95"/>
        <v>15000</v>
      </c>
      <c r="AN151" s="103">
        <v>14742.666139737823</v>
      </c>
      <c r="AP151" s="104">
        <f ca="1">IFERROR(OFFSET(ITEM_RES!$A$5,MATCH(AQ151,ITEM_RES!$M$5:$M$84,0)-1,0),0)</f>
        <v>220000209</v>
      </c>
      <c r="AQ151" s="103" t="s">
        <v>599</v>
      </c>
      <c r="AR151" s="104">
        <f t="shared" si="96"/>
        <v>8800</v>
      </c>
      <c r="AS151" s="103">
        <v>8845.5996838426945</v>
      </c>
      <c r="AU151" s="104">
        <f ca="1">IFERROR(OFFSET(ITEM_RES!$A$5,MATCH(AV151,ITEM_RES!$M$5:$M$84,0)-1,0),0)</f>
        <v>220000309</v>
      </c>
      <c r="AV151" s="103" t="s">
        <v>617</v>
      </c>
      <c r="AW151" s="104">
        <f t="shared" si="97"/>
        <v>5900</v>
      </c>
      <c r="AX151" s="103">
        <v>5897.0664558951294</v>
      </c>
      <c r="AZ151" s="104">
        <f ca="1">IFERROR(OFFSET(ITEM_RES!$A$5,MATCH(BA151,ITEM_RES!$M$5:$M$84,0)-1,0),0)</f>
        <v>220000409</v>
      </c>
      <c r="BA151" s="103" t="s">
        <v>635</v>
      </c>
      <c r="BB151" s="104">
        <f t="shared" si="98"/>
        <v>2900</v>
      </c>
      <c r="BC151" s="103">
        <v>2948.5332279475647</v>
      </c>
      <c r="BE151" s="104">
        <f ca="1">IFERROR(OFFSET(ITEM_RES!$A$5,MATCH(BF151,ITEM_RES!$M$5:$M$84,0)-1,0),0)</f>
        <v>0</v>
      </c>
      <c r="BG151" s="104">
        <f t="shared" si="99"/>
        <v>0</v>
      </c>
    </row>
    <row r="152" spans="1:60" x14ac:dyDescent="0.3">
      <c r="A152" s="107">
        <f t="shared" si="93"/>
        <v>111050028</v>
      </c>
      <c r="B152" s="106">
        <v>11</v>
      </c>
      <c r="C152" s="105">
        <f t="shared" si="94"/>
        <v>1</v>
      </c>
      <c r="D152" s="106">
        <v>5</v>
      </c>
      <c r="E152" s="106">
        <v>0</v>
      </c>
      <c r="F152" s="105">
        <f t="shared" si="82"/>
        <v>28</v>
      </c>
      <c r="H152" s="102">
        <v>1</v>
      </c>
      <c r="I152" s="102">
        <v>28</v>
      </c>
      <c r="K152" s="102" t="s">
        <v>1041</v>
      </c>
      <c r="L152" s="102" t="s">
        <v>775</v>
      </c>
      <c r="M152" s="103" t="s">
        <v>380</v>
      </c>
      <c r="N152" s="102">
        <v>0</v>
      </c>
      <c r="O152" s="102">
        <v>12</v>
      </c>
      <c r="P152" s="102" t="s">
        <v>740</v>
      </c>
      <c r="Q152" s="103" t="s">
        <v>1160</v>
      </c>
      <c r="R152" s="103">
        <v>111050028</v>
      </c>
      <c r="S152" s="104" t="str">
        <f t="shared" si="84"/>
        <v>UITexture/Bldg/111050028.png</v>
      </c>
      <c r="T152" s="102" t="s">
        <v>1046</v>
      </c>
      <c r="U152" s="102">
        <v>4</v>
      </c>
      <c r="V152" s="102">
        <v>1</v>
      </c>
      <c r="W152" s="102">
        <v>2</v>
      </c>
      <c r="Y152" s="104">
        <f t="shared" si="83"/>
        <v>105</v>
      </c>
      <c r="Z152" s="102">
        <v>280</v>
      </c>
      <c r="AA152" s="102">
        <v>1</v>
      </c>
      <c r="AB152" s="102">
        <v>1</v>
      </c>
      <c r="AC152" s="102">
        <v>0</v>
      </c>
      <c r="AD152" s="102" t="s">
        <v>728</v>
      </c>
      <c r="AE152" s="102">
        <v>28</v>
      </c>
      <c r="AG152" s="104">
        <f t="shared" si="85"/>
        <v>272270</v>
      </c>
      <c r="AH152" s="103">
        <v>272269.65610341012</v>
      </c>
      <c r="AI152" s="172">
        <v>4</v>
      </c>
      <c r="AK152" s="104">
        <f ca="1">IFERROR(OFFSET(ITEM_RES!$A$5,MATCH(AL152,ITEM_RES!$M$5:$M$84,0)-1,0),0)</f>
        <v>220000110</v>
      </c>
      <c r="AL152" s="103" t="s">
        <v>582</v>
      </c>
      <c r="AM152" s="104">
        <f t="shared" si="95"/>
        <v>6100</v>
      </c>
      <c r="AN152" s="103">
        <v>6073.9784495719832</v>
      </c>
      <c r="AP152" s="104">
        <f ca="1">IFERROR(OFFSET(ITEM_RES!$A$5,MATCH(AQ152,ITEM_RES!$M$5:$M$84,0)-1,0),0)</f>
        <v>220000210</v>
      </c>
      <c r="AQ152" s="103" t="s">
        <v>600</v>
      </c>
      <c r="AR152" s="104">
        <f t="shared" si="96"/>
        <v>3600</v>
      </c>
      <c r="AS152" s="103">
        <v>3644.3870697431903</v>
      </c>
      <c r="AU152" s="104">
        <f ca="1">IFERROR(OFFSET(ITEM_RES!$A$5,MATCH(AV152,ITEM_RES!$M$5:$M$84,0)-1,0),0)</f>
        <v>220000310</v>
      </c>
      <c r="AV152" s="103" t="s">
        <v>618</v>
      </c>
      <c r="AW152" s="104">
        <f t="shared" si="97"/>
        <v>2400</v>
      </c>
      <c r="AX152" s="103">
        <v>2429.5913798287934</v>
      </c>
      <c r="AZ152" s="104">
        <f ca="1">IFERROR(OFFSET(ITEM_RES!$A$5,MATCH(BA152,ITEM_RES!$M$5:$M$84,0)-1,0),0)</f>
        <v>220000410</v>
      </c>
      <c r="BA152" s="103" t="s">
        <v>636</v>
      </c>
      <c r="BB152" s="104">
        <f t="shared" si="98"/>
        <v>1200</v>
      </c>
      <c r="BC152" s="103">
        <v>1214.7956899143967</v>
      </c>
      <c r="BE152" s="104">
        <f ca="1">IFERROR(OFFSET(ITEM_RES!$A$5,MATCH(BF152,ITEM_RES!$M$5:$M$84,0)-1,0),0)</f>
        <v>0</v>
      </c>
      <c r="BG152" s="104">
        <f t="shared" si="99"/>
        <v>0</v>
      </c>
    </row>
    <row r="153" spans="1:60" x14ac:dyDescent="0.3">
      <c r="A153" s="107">
        <f t="shared" si="93"/>
        <v>111050029</v>
      </c>
      <c r="B153" s="106">
        <v>11</v>
      </c>
      <c r="C153" s="105">
        <f t="shared" si="94"/>
        <v>1</v>
      </c>
      <c r="D153" s="106">
        <v>5</v>
      </c>
      <c r="E153" s="106">
        <v>0</v>
      </c>
      <c r="F153" s="105">
        <f t="shared" si="82"/>
        <v>29</v>
      </c>
      <c r="H153" s="102">
        <v>1</v>
      </c>
      <c r="I153" s="102">
        <v>29</v>
      </c>
      <c r="K153" s="102" t="s">
        <v>1041</v>
      </c>
      <c r="L153" s="102" t="s">
        <v>775</v>
      </c>
      <c r="M153" s="103" t="s">
        <v>380</v>
      </c>
      <c r="N153" s="102">
        <v>0</v>
      </c>
      <c r="O153" s="102">
        <v>12</v>
      </c>
      <c r="P153" s="102" t="s">
        <v>740</v>
      </c>
      <c r="Q153" s="103" t="s">
        <v>1160</v>
      </c>
      <c r="R153" s="103">
        <v>111050029</v>
      </c>
      <c r="S153" s="104" t="str">
        <f t="shared" si="84"/>
        <v>UITexture/Bldg/111050029.png</v>
      </c>
      <c r="T153" s="102" t="s">
        <v>1046</v>
      </c>
      <c r="U153" s="102">
        <v>4</v>
      </c>
      <c r="V153" s="102">
        <v>1</v>
      </c>
      <c r="W153" s="102">
        <v>2</v>
      </c>
      <c r="Y153" s="104">
        <f t="shared" si="83"/>
        <v>105</v>
      </c>
      <c r="Z153" s="102">
        <v>290</v>
      </c>
      <c r="AA153" s="102">
        <v>1</v>
      </c>
      <c r="AB153" s="102">
        <v>1</v>
      </c>
      <c r="AC153" s="102">
        <v>0</v>
      </c>
      <c r="AD153" s="102" t="s">
        <v>728</v>
      </c>
      <c r="AE153" s="102">
        <v>29</v>
      </c>
      <c r="AG153" s="104">
        <f t="shared" si="85"/>
        <v>280438</v>
      </c>
      <c r="AH153" s="103">
        <v>280437.74578651245</v>
      </c>
      <c r="AI153" s="172">
        <v>4</v>
      </c>
      <c r="AK153" s="104">
        <f ca="1">IFERROR(OFFSET(ITEM_RES!$A$5,MATCH(AL153,ITEM_RES!$M$5:$M$84,0)-1,0),0)</f>
        <v>220000110</v>
      </c>
      <c r="AL153" s="103" t="s">
        <v>582</v>
      </c>
      <c r="AM153" s="104">
        <f t="shared" si="95"/>
        <v>7500</v>
      </c>
      <c r="AN153" s="103">
        <v>7507.4373636709706</v>
      </c>
      <c r="AP153" s="104">
        <f ca="1">IFERROR(OFFSET(ITEM_RES!$A$5,MATCH(AQ153,ITEM_RES!$M$5:$M$84,0)-1,0),0)</f>
        <v>220000210</v>
      </c>
      <c r="AQ153" s="103" t="s">
        <v>600</v>
      </c>
      <c r="AR153" s="104">
        <f t="shared" si="96"/>
        <v>4500</v>
      </c>
      <c r="AS153" s="103">
        <v>4504.4624182025827</v>
      </c>
      <c r="AU153" s="104">
        <f ca="1">IFERROR(OFFSET(ITEM_RES!$A$5,MATCH(AV153,ITEM_RES!$M$5:$M$84,0)-1,0),0)</f>
        <v>220000310</v>
      </c>
      <c r="AV153" s="103" t="s">
        <v>618</v>
      </c>
      <c r="AW153" s="104">
        <f t="shared" si="97"/>
        <v>3000</v>
      </c>
      <c r="AX153" s="103">
        <v>3002.9749454683883</v>
      </c>
      <c r="AZ153" s="104">
        <f ca="1">IFERROR(OFFSET(ITEM_RES!$A$5,MATCH(BA153,ITEM_RES!$M$5:$M$84,0)-1,0),0)</f>
        <v>220000410</v>
      </c>
      <c r="BA153" s="103" t="s">
        <v>636</v>
      </c>
      <c r="BB153" s="104">
        <f t="shared" si="98"/>
        <v>1500</v>
      </c>
      <c r="BC153" s="103">
        <v>1501.4874727341942</v>
      </c>
      <c r="BE153" s="104">
        <f ca="1">IFERROR(OFFSET(ITEM_RES!$A$5,MATCH(BF153,ITEM_RES!$M$5:$M$84,0)-1,0),0)</f>
        <v>0</v>
      </c>
      <c r="BG153" s="104">
        <f t="shared" si="99"/>
        <v>0</v>
      </c>
    </row>
    <row r="154" spans="1:60" s="108" customFormat="1" ht="17.25" thickBot="1" x14ac:dyDescent="0.35">
      <c r="A154" s="114">
        <f t="shared" si="93"/>
        <v>111050030</v>
      </c>
      <c r="B154" s="113">
        <v>11</v>
      </c>
      <c r="C154" s="112">
        <f t="shared" si="94"/>
        <v>1</v>
      </c>
      <c r="D154" s="113">
        <v>5</v>
      </c>
      <c r="E154" s="113">
        <v>0</v>
      </c>
      <c r="F154" s="112">
        <f t="shared" si="82"/>
        <v>30</v>
      </c>
      <c r="G154" s="256"/>
      <c r="H154" s="109">
        <v>1</v>
      </c>
      <c r="I154" s="109">
        <v>30</v>
      </c>
      <c r="J154" s="256"/>
      <c r="K154" s="109" t="s">
        <v>1041</v>
      </c>
      <c r="L154" s="109" t="s">
        <v>775</v>
      </c>
      <c r="M154" s="110" t="s">
        <v>380</v>
      </c>
      <c r="N154" s="109">
        <v>0</v>
      </c>
      <c r="O154" s="109">
        <v>12</v>
      </c>
      <c r="P154" s="109" t="s">
        <v>740</v>
      </c>
      <c r="Q154" s="110" t="s">
        <v>1160</v>
      </c>
      <c r="R154" s="110">
        <v>111050030</v>
      </c>
      <c r="S154" s="111" t="str">
        <f t="shared" si="84"/>
        <v>UITexture/Bldg/111050030.png</v>
      </c>
      <c r="T154" s="109" t="s">
        <v>1046</v>
      </c>
      <c r="U154" s="109">
        <v>4</v>
      </c>
      <c r="V154" s="109">
        <v>1</v>
      </c>
      <c r="W154" s="109">
        <v>2</v>
      </c>
      <c r="X154" s="256"/>
      <c r="Y154" s="111">
        <f t="shared" si="83"/>
        <v>105</v>
      </c>
      <c r="Z154" s="109">
        <v>300</v>
      </c>
      <c r="AA154" s="109">
        <v>1</v>
      </c>
      <c r="AB154" s="109">
        <v>1</v>
      </c>
      <c r="AC154" s="109">
        <v>0</v>
      </c>
      <c r="AD154" s="109" t="s">
        <v>728</v>
      </c>
      <c r="AE154" s="109">
        <v>30</v>
      </c>
      <c r="AF154" s="256"/>
      <c r="AG154" s="111">
        <f t="shared" si="85"/>
        <v>286047</v>
      </c>
      <c r="AH154" s="110">
        <v>286046.50070224266</v>
      </c>
      <c r="AI154" s="175">
        <v>4</v>
      </c>
      <c r="AJ154" s="111"/>
      <c r="AK154" s="111">
        <f ca="1">IFERROR(OFFSET(ITEM_RES!$A$5,MATCH(AL154,ITEM_RES!$M$5:$M$84,0)-1,0),0)</f>
        <v>220000110</v>
      </c>
      <c r="AL154" s="110" t="s">
        <v>582</v>
      </c>
      <c r="AM154" s="111">
        <f t="shared" si="95"/>
        <v>9200</v>
      </c>
      <c r="AN154" s="110">
        <v>9189.103333133271</v>
      </c>
      <c r="AO154" s="111"/>
      <c r="AP154" s="111">
        <f ca="1">IFERROR(OFFSET(ITEM_RES!$A$5,MATCH(AQ154,ITEM_RES!$M$5:$M$84,0)-1,0),0)</f>
        <v>220000210</v>
      </c>
      <c r="AQ154" s="110" t="s">
        <v>600</v>
      </c>
      <c r="AR154" s="111">
        <f t="shared" si="96"/>
        <v>5500</v>
      </c>
      <c r="AS154" s="110">
        <v>5513.4619998799626</v>
      </c>
      <c r="AT154" s="111"/>
      <c r="AU154" s="111">
        <f ca="1">IFERROR(OFFSET(ITEM_RES!$A$5,MATCH(AV154,ITEM_RES!$M$5:$M$84,0)-1,0),0)</f>
        <v>220000310</v>
      </c>
      <c r="AV154" s="110" t="s">
        <v>618</v>
      </c>
      <c r="AW154" s="111">
        <f t="shared" si="97"/>
        <v>3700</v>
      </c>
      <c r="AX154" s="110">
        <v>3675.6413332533084</v>
      </c>
      <c r="AY154" s="111"/>
      <c r="AZ154" s="111">
        <f ca="1">IFERROR(OFFSET(ITEM_RES!$A$5,MATCH(BA154,ITEM_RES!$M$5:$M$84,0)-1,0),0)</f>
        <v>220000410</v>
      </c>
      <c r="BA154" s="110" t="s">
        <v>636</v>
      </c>
      <c r="BB154" s="111">
        <f t="shared" si="98"/>
        <v>1800</v>
      </c>
      <c r="BC154" s="110">
        <v>1837.8206666266542</v>
      </c>
      <c r="BD154" s="111"/>
      <c r="BE154" s="111">
        <f ca="1">IFERROR(OFFSET(ITEM_RES!$A$5,MATCH(BF154,ITEM_RES!$M$5:$M$84,0)-1,0),0)</f>
        <v>0</v>
      </c>
      <c r="BF154" s="110"/>
      <c r="BG154" s="111">
        <f t="shared" si="99"/>
        <v>0</v>
      </c>
      <c r="BH154" s="110"/>
    </row>
    <row r="155" spans="1:60" s="115" customFormat="1" x14ac:dyDescent="0.3">
      <c r="A155" s="121">
        <f t="shared" si="22"/>
        <v>112010001</v>
      </c>
      <c r="B155" s="120">
        <v>11</v>
      </c>
      <c r="C155" s="119">
        <f t="shared" si="23"/>
        <v>2</v>
      </c>
      <c r="D155" s="120">
        <v>1</v>
      </c>
      <c r="E155" s="120">
        <v>0</v>
      </c>
      <c r="F155" s="119">
        <f t="shared" si="82"/>
        <v>1</v>
      </c>
      <c r="G155" s="255"/>
      <c r="H155" s="116">
        <v>2</v>
      </c>
      <c r="I155" s="116">
        <v>1</v>
      </c>
      <c r="J155" s="255"/>
      <c r="K155" s="116" t="s">
        <v>1041</v>
      </c>
      <c r="L155" s="116" t="s">
        <v>777</v>
      </c>
      <c r="M155" s="117" t="s">
        <v>737</v>
      </c>
      <c r="N155" s="116">
        <v>1</v>
      </c>
      <c r="O155" s="116">
        <v>12</v>
      </c>
      <c r="P155" s="116" t="s">
        <v>675</v>
      </c>
      <c r="Q155" s="117" t="s">
        <v>1160</v>
      </c>
      <c r="R155" s="117">
        <v>112010001</v>
      </c>
      <c r="S155" s="118" t="str">
        <f t="shared" si="84"/>
        <v>UITexture/Bldg/112010001.png</v>
      </c>
      <c r="T155" s="116" t="s">
        <v>1047</v>
      </c>
      <c r="U155" s="116">
        <v>1</v>
      </c>
      <c r="V155" s="116">
        <v>1</v>
      </c>
      <c r="W155" s="116">
        <v>2</v>
      </c>
      <c r="X155" s="255"/>
      <c r="Y155" s="118">
        <f t="shared" si="83"/>
        <v>201</v>
      </c>
      <c r="Z155" s="116">
        <v>10</v>
      </c>
      <c r="AA155" s="116">
        <v>1</v>
      </c>
      <c r="AB155" s="116">
        <v>1</v>
      </c>
      <c r="AC155" s="116">
        <v>0</v>
      </c>
      <c r="AD155" s="116" t="s">
        <v>539</v>
      </c>
      <c r="AE155" s="116">
        <v>1</v>
      </c>
      <c r="AF155" s="255"/>
      <c r="AG155" s="118">
        <f t="shared" si="85"/>
        <v>4</v>
      </c>
      <c r="AH155" s="117">
        <v>3.5087719298245612</v>
      </c>
      <c r="AI155" s="174">
        <v>2</v>
      </c>
      <c r="AJ155" s="118"/>
      <c r="AK155" s="118">
        <f ca="1">IFERROR(OFFSET(ITEM_RES!$A$5,MATCH(AL155,ITEM_RES!$M$5:$M$84,0)-1,0),0)</f>
        <v>220000101</v>
      </c>
      <c r="AL155" s="117" t="s">
        <v>573</v>
      </c>
      <c r="AM155" s="118">
        <f t="shared" si="24"/>
        <v>7</v>
      </c>
      <c r="AN155" s="117">
        <v>7.0175438596491224</v>
      </c>
      <c r="AO155" s="118"/>
      <c r="AP155" s="118">
        <f ca="1">IFERROR(OFFSET(ITEM_RES!$A$5,MATCH(AQ155,ITEM_RES!$M$5:$M$84,0)-1,0),0)</f>
        <v>220000201</v>
      </c>
      <c r="AQ155" s="117" t="s">
        <v>591</v>
      </c>
      <c r="AR155" s="118">
        <f t="shared" si="25"/>
        <v>4</v>
      </c>
      <c r="AS155" s="117">
        <v>4.2105263157894735</v>
      </c>
      <c r="AT155" s="118"/>
      <c r="AU155" s="118">
        <f ca="1">IFERROR(OFFSET(ITEM_RES!$A$5,MATCH(AV155,ITEM_RES!$M$5:$M$84,0)-1,0),0)</f>
        <v>220000301</v>
      </c>
      <c r="AV155" s="117" t="s">
        <v>609</v>
      </c>
      <c r="AW155" s="118">
        <f t="shared" si="26"/>
        <v>0</v>
      </c>
      <c r="AX155" s="117">
        <v>0</v>
      </c>
      <c r="AY155" s="118"/>
      <c r="AZ155" s="118">
        <f ca="1">IFERROR(OFFSET(ITEM_RES!$A$5,MATCH(BA155,ITEM_RES!$M$5:$M$84,0)-1,0),0)</f>
        <v>220000401</v>
      </c>
      <c r="BA155" s="117" t="s">
        <v>627</v>
      </c>
      <c r="BB155" s="118">
        <f t="shared" si="27"/>
        <v>0</v>
      </c>
      <c r="BC155" s="117">
        <v>0</v>
      </c>
      <c r="BD155" s="118"/>
      <c r="BE155" s="118">
        <f ca="1">IFERROR(OFFSET(ITEM_RES!$A$5,MATCH(BF155,ITEM_RES!$M$5:$M$84,0)-1,0),0)</f>
        <v>0</v>
      </c>
      <c r="BF155" s="117"/>
      <c r="BG155" s="118">
        <f t="shared" si="28"/>
        <v>0</v>
      </c>
      <c r="BH155" s="117"/>
    </row>
    <row r="156" spans="1:60" x14ac:dyDescent="0.3">
      <c r="A156" s="107">
        <f t="shared" si="22"/>
        <v>112010002</v>
      </c>
      <c r="B156" s="106">
        <v>11</v>
      </c>
      <c r="C156" s="105">
        <f t="shared" si="23"/>
        <v>2</v>
      </c>
      <c r="D156" s="106">
        <v>1</v>
      </c>
      <c r="E156" s="106">
        <v>0</v>
      </c>
      <c r="F156" s="105">
        <f t="shared" si="82"/>
        <v>2</v>
      </c>
      <c r="H156" s="102">
        <v>2</v>
      </c>
      <c r="I156" s="102">
        <v>2</v>
      </c>
      <c r="K156" s="102" t="s">
        <v>1041</v>
      </c>
      <c r="L156" s="102" t="s">
        <v>777</v>
      </c>
      <c r="M156" s="103" t="s">
        <v>737</v>
      </c>
      <c r="N156" s="102">
        <v>1</v>
      </c>
      <c r="O156" s="102">
        <v>12</v>
      </c>
      <c r="P156" s="102" t="s">
        <v>749</v>
      </c>
      <c r="Q156" s="103" t="s">
        <v>1160</v>
      </c>
      <c r="R156" s="103">
        <v>112010002</v>
      </c>
      <c r="S156" s="104" t="str">
        <f t="shared" si="84"/>
        <v>UITexture/Bldg/112010002.png</v>
      </c>
      <c r="T156" s="102" t="s">
        <v>1047</v>
      </c>
      <c r="U156" s="102">
        <v>1</v>
      </c>
      <c r="V156" s="102">
        <v>1</v>
      </c>
      <c r="W156" s="102">
        <v>2</v>
      </c>
      <c r="Y156" s="104">
        <f t="shared" si="83"/>
        <v>201</v>
      </c>
      <c r="Z156" s="102">
        <v>20</v>
      </c>
      <c r="AA156" s="102">
        <v>1</v>
      </c>
      <c r="AB156" s="102">
        <v>1</v>
      </c>
      <c r="AC156" s="102">
        <v>0</v>
      </c>
      <c r="AD156" s="102" t="s">
        <v>539</v>
      </c>
      <c r="AE156" s="102">
        <v>2</v>
      </c>
      <c r="AG156" s="104">
        <f t="shared" si="85"/>
        <v>14</v>
      </c>
      <c r="AH156" s="103">
        <v>14.035087719298245</v>
      </c>
      <c r="AI156" s="172">
        <v>2</v>
      </c>
      <c r="AK156" s="104">
        <f ca="1">IFERROR(OFFSET(ITEM_RES!$A$5,MATCH(AL156,ITEM_RES!$M$5:$M$84,0)-1,0),0)</f>
        <v>220000101</v>
      </c>
      <c r="AL156" s="103" t="s">
        <v>573</v>
      </c>
      <c r="AM156" s="104">
        <f t="shared" si="24"/>
        <v>40</v>
      </c>
      <c r="AN156" s="103">
        <v>35.087719298245609</v>
      </c>
      <c r="AP156" s="104">
        <f ca="1">IFERROR(OFFSET(ITEM_RES!$A$5,MATCH(AQ156,ITEM_RES!$M$5:$M$84,0)-1,0),0)</f>
        <v>220000201</v>
      </c>
      <c r="AQ156" s="103" t="s">
        <v>591</v>
      </c>
      <c r="AR156" s="104">
        <f t="shared" si="25"/>
        <v>20</v>
      </c>
      <c r="AS156" s="103">
        <v>21.052631578947366</v>
      </c>
      <c r="AU156" s="104">
        <f ca="1">IFERROR(OFFSET(ITEM_RES!$A$5,MATCH(AV156,ITEM_RES!$M$5:$M$84,0)-1,0),0)</f>
        <v>220000301</v>
      </c>
      <c r="AV156" s="103" t="s">
        <v>609</v>
      </c>
      <c r="AW156" s="104">
        <f t="shared" si="26"/>
        <v>0</v>
      </c>
      <c r="AX156" s="103">
        <v>0</v>
      </c>
      <c r="AZ156" s="104">
        <f ca="1">IFERROR(OFFSET(ITEM_RES!$A$5,MATCH(BA156,ITEM_RES!$M$5:$M$84,0)-1,0),0)</f>
        <v>220000401</v>
      </c>
      <c r="BA156" s="103" t="s">
        <v>627</v>
      </c>
      <c r="BB156" s="104">
        <f t="shared" si="27"/>
        <v>0</v>
      </c>
      <c r="BC156" s="103">
        <v>0</v>
      </c>
      <c r="BE156" s="104">
        <f ca="1">IFERROR(OFFSET(ITEM_RES!$A$5,MATCH(BF156,ITEM_RES!$M$5:$M$84,0)-1,0),0)</f>
        <v>0</v>
      </c>
      <c r="BG156" s="104">
        <f t="shared" si="28"/>
        <v>0</v>
      </c>
    </row>
    <row r="157" spans="1:60" x14ac:dyDescent="0.3">
      <c r="A157" s="107">
        <f t="shared" si="22"/>
        <v>112010003</v>
      </c>
      <c r="B157" s="106">
        <v>11</v>
      </c>
      <c r="C157" s="105">
        <f t="shared" si="23"/>
        <v>2</v>
      </c>
      <c r="D157" s="106">
        <v>1</v>
      </c>
      <c r="E157" s="106">
        <v>0</v>
      </c>
      <c r="F157" s="105">
        <f t="shared" si="82"/>
        <v>3</v>
      </c>
      <c r="H157" s="102">
        <v>2</v>
      </c>
      <c r="I157" s="102">
        <v>3</v>
      </c>
      <c r="K157" s="102" t="s">
        <v>1041</v>
      </c>
      <c r="L157" s="102" t="s">
        <v>776</v>
      </c>
      <c r="M157" s="103" t="s">
        <v>737</v>
      </c>
      <c r="N157" s="102">
        <v>1</v>
      </c>
      <c r="O157" s="102">
        <v>12</v>
      </c>
      <c r="P157" s="102" t="s">
        <v>749</v>
      </c>
      <c r="Q157" s="103" t="s">
        <v>1160</v>
      </c>
      <c r="R157" s="103">
        <v>112010003</v>
      </c>
      <c r="S157" s="104" t="str">
        <f t="shared" si="84"/>
        <v>UITexture/Bldg/112010003.png</v>
      </c>
      <c r="T157" s="102" t="s">
        <v>1047</v>
      </c>
      <c r="U157" s="102">
        <v>1</v>
      </c>
      <c r="V157" s="102">
        <v>1</v>
      </c>
      <c r="W157" s="102">
        <v>2</v>
      </c>
      <c r="Y157" s="104">
        <f t="shared" si="83"/>
        <v>201</v>
      </c>
      <c r="Z157" s="102">
        <v>30</v>
      </c>
      <c r="AA157" s="102">
        <v>1</v>
      </c>
      <c r="AB157" s="102">
        <v>1</v>
      </c>
      <c r="AC157" s="102">
        <v>0</v>
      </c>
      <c r="AD157" s="102" t="s">
        <v>539</v>
      </c>
      <c r="AE157" s="102">
        <v>3</v>
      </c>
      <c r="AG157" s="104">
        <f t="shared" si="85"/>
        <v>56</v>
      </c>
      <c r="AH157" s="103">
        <v>56.140350877192979</v>
      </c>
      <c r="AI157" s="172">
        <v>2</v>
      </c>
      <c r="AK157" s="104">
        <f ca="1">IFERROR(OFFSET(ITEM_RES!$A$5,MATCH(AL157,ITEM_RES!$M$5:$M$84,0)-1,0),0)</f>
        <v>220000101</v>
      </c>
      <c r="AL157" s="103" t="s">
        <v>573</v>
      </c>
      <c r="AM157" s="104">
        <f t="shared" si="24"/>
        <v>180</v>
      </c>
      <c r="AN157" s="103">
        <v>175.43859649122808</v>
      </c>
      <c r="AP157" s="104">
        <f ca="1">IFERROR(OFFSET(ITEM_RES!$A$5,MATCH(AQ157,ITEM_RES!$M$5:$M$84,0)-1,0),0)</f>
        <v>220000201</v>
      </c>
      <c r="AQ157" s="103" t="s">
        <v>591</v>
      </c>
      <c r="AR157" s="104">
        <f t="shared" si="25"/>
        <v>110</v>
      </c>
      <c r="AS157" s="103">
        <v>105.26315789473685</v>
      </c>
      <c r="AU157" s="104">
        <f ca="1">IFERROR(OFFSET(ITEM_RES!$A$5,MATCH(AV157,ITEM_RES!$M$5:$M$84,0)-1,0),0)</f>
        <v>220000301</v>
      </c>
      <c r="AV157" s="103" t="s">
        <v>609</v>
      </c>
      <c r="AW157" s="104">
        <f t="shared" si="26"/>
        <v>0</v>
      </c>
      <c r="AX157" s="103">
        <v>0</v>
      </c>
      <c r="AZ157" s="104">
        <f ca="1">IFERROR(OFFSET(ITEM_RES!$A$5,MATCH(BA157,ITEM_RES!$M$5:$M$84,0)-1,0),0)</f>
        <v>220000401</v>
      </c>
      <c r="BA157" s="103" t="s">
        <v>627</v>
      </c>
      <c r="BB157" s="104">
        <f t="shared" si="27"/>
        <v>0</v>
      </c>
      <c r="BC157" s="103">
        <v>0</v>
      </c>
      <c r="BE157" s="104">
        <f ca="1">IFERROR(OFFSET(ITEM_RES!$A$5,MATCH(BF157,ITEM_RES!$M$5:$M$84,0)-1,0),0)</f>
        <v>0</v>
      </c>
      <c r="BG157" s="104">
        <f t="shared" si="28"/>
        <v>0</v>
      </c>
    </row>
    <row r="158" spans="1:60" x14ac:dyDescent="0.3">
      <c r="A158" s="107">
        <f t="shared" si="22"/>
        <v>112010004</v>
      </c>
      <c r="B158" s="106">
        <v>11</v>
      </c>
      <c r="C158" s="105">
        <f t="shared" si="23"/>
        <v>2</v>
      </c>
      <c r="D158" s="106">
        <v>1</v>
      </c>
      <c r="E158" s="106">
        <v>0</v>
      </c>
      <c r="F158" s="105">
        <f t="shared" si="82"/>
        <v>4</v>
      </c>
      <c r="H158" s="102">
        <v>2</v>
      </c>
      <c r="I158" s="102">
        <v>4</v>
      </c>
      <c r="K158" s="102" t="s">
        <v>1041</v>
      </c>
      <c r="L158" s="102" t="s">
        <v>776</v>
      </c>
      <c r="M158" s="103" t="s">
        <v>737</v>
      </c>
      <c r="N158" s="102">
        <v>1</v>
      </c>
      <c r="O158" s="102">
        <v>12</v>
      </c>
      <c r="P158" s="102" t="s">
        <v>749</v>
      </c>
      <c r="Q158" s="103" t="s">
        <v>1160</v>
      </c>
      <c r="R158" s="103">
        <v>112010004</v>
      </c>
      <c r="S158" s="104" t="str">
        <f t="shared" si="84"/>
        <v>UITexture/Bldg/112010004.png</v>
      </c>
      <c r="T158" s="102" t="s">
        <v>1047</v>
      </c>
      <c r="U158" s="102">
        <v>1</v>
      </c>
      <c r="V158" s="102">
        <v>1</v>
      </c>
      <c r="W158" s="102">
        <v>2</v>
      </c>
      <c r="Y158" s="104">
        <f t="shared" si="83"/>
        <v>201</v>
      </c>
      <c r="Z158" s="102">
        <v>40</v>
      </c>
      <c r="AA158" s="102">
        <v>1</v>
      </c>
      <c r="AB158" s="102">
        <v>1</v>
      </c>
      <c r="AC158" s="102">
        <v>0</v>
      </c>
      <c r="AD158" s="102" t="s">
        <v>539</v>
      </c>
      <c r="AE158" s="102">
        <v>4</v>
      </c>
      <c r="AG158" s="104">
        <f t="shared" si="85"/>
        <v>225</v>
      </c>
      <c r="AH158" s="103">
        <v>224.56140350877192</v>
      </c>
      <c r="AI158" s="172">
        <v>2</v>
      </c>
      <c r="AK158" s="104">
        <f ca="1">IFERROR(OFFSET(ITEM_RES!$A$5,MATCH(AL158,ITEM_RES!$M$5:$M$84,0)-1,0),0)</f>
        <v>220000102</v>
      </c>
      <c r="AL158" s="103" t="s">
        <v>574</v>
      </c>
      <c r="AM158" s="104">
        <f t="shared" si="24"/>
        <v>290</v>
      </c>
      <c r="AN158" s="103">
        <v>292.39766081871346</v>
      </c>
      <c r="AP158" s="104">
        <f ca="1">IFERROR(OFFSET(ITEM_RES!$A$5,MATCH(AQ158,ITEM_RES!$M$5:$M$84,0)-1,0),0)</f>
        <v>220000202</v>
      </c>
      <c r="AQ158" s="103" t="s">
        <v>592</v>
      </c>
      <c r="AR158" s="104">
        <f t="shared" si="25"/>
        <v>180</v>
      </c>
      <c r="AS158" s="103">
        <v>175.43859649122808</v>
      </c>
      <c r="AU158" s="104">
        <f ca="1">IFERROR(OFFSET(ITEM_RES!$A$5,MATCH(AV158,ITEM_RES!$M$5:$M$84,0)-1,0),0)</f>
        <v>220000302</v>
      </c>
      <c r="AV158" s="103" t="s">
        <v>610</v>
      </c>
      <c r="AW158" s="104">
        <f t="shared" si="26"/>
        <v>0</v>
      </c>
      <c r="AX158" s="103">
        <v>0</v>
      </c>
      <c r="AZ158" s="104">
        <f ca="1">IFERROR(OFFSET(ITEM_RES!$A$5,MATCH(BA158,ITEM_RES!$M$5:$M$84,0)-1,0),0)</f>
        <v>220000402</v>
      </c>
      <c r="BA158" s="103" t="s">
        <v>628</v>
      </c>
      <c r="BB158" s="104">
        <f t="shared" si="27"/>
        <v>0</v>
      </c>
      <c r="BC158" s="103">
        <v>0</v>
      </c>
      <c r="BE158" s="104">
        <f ca="1">IFERROR(OFFSET(ITEM_RES!$A$5,MATCH(BF158,ITEM_RES!$M$5:$M$84,0)-1,0),0)</f>
        <v>0</v>
      </c>
      <c r="BG158" s="104">
        <f t="shared" si="28"/>
        <v>0</v>
      </c>
    </row>
    <row r="159" spans="1:60" x14ac:dyDescent="0.3">
      <c r="A159" s="107">
        <f t="shared" si="22"/>
        <v>112010005</v>
      </c>
      <c r="B159" s="106">
        <v>11</v>
      </c>
      <c r="C159" s="105">
        <f t="shared" si="23"/>
        <v>2</v>
      </c>
      <c r="D159" s="106">
        <v>1</v>
      </c>
      <c r="E159" s="106">
        <v>0</v>
      </c>
      <c r="F159" s="105">
        <f t="shared" si="82"/>
        <v>5</v>
      </c>
      <c r="H159" s="102">
        <v>2</v>
      </c>
      <c r="I159" s="102">
        <v>5</v>
      </c>
      <c r="K159" s="102" t="s">
        <v>1041</v>
      </c>
      <c r="L159" s="102" t="s">
        <v>776</v>
      </c>
      <c r="M159" s="103" t="s">
        <v>737</v>
      </c>
      <c r="N159" s="102">
        <v>1</v>
      </c>
      <c r="O159" s="102">
        <v>12</v>
      </c>
      <c r="P159" s="102" t="s">
        <v>749</v>
      </c>
      <c r="Q159" s="103" t="s">
        <v>1160</v>
      </c>
      <c r="R159" s="103">
        <v>112010005</v>
      </c>
      <c r="S159" s="104" t="str">
        <f t="shared" si="84"/>
        <v>UITexture/Bldg/112010005.png</v>
      </c>
      <c r="T159" s="102" t="s">
        <v>1047</v>
      </c>
      <c r="U159" s="102">
        <v>1</v>
      </c>
      <c r="V159" s="102">
        <v>1</v>
      </c>
      <c r="W159" s="102">
        <v>2</v>
      </c>
      <c r="Y159" s="104">
        <f t="shared" si="83"/>
        <v>201</v>
      </c>
      <c r="Z159" s="102">
        <v>50</v>
      </c>
      <c r="AA159" s="102">
        <v>1</v>
      </c>
      <c r="AB159" s="102">
        <v>1</v>
      </c>
      <c r="AC159" s="102">
        <v>0</v>
      </c>
      <c r="AD159" s="102" t="s">
        <v>539</v>
      </c>
      <c r="AE159" s="102">
        <v>5</v>
      </c>
      <c r="AG159" s="104">
        <f t="shared" si="85"/>
        <v>674</v>
      </c>
      <c r="AH159" s="103">
        <v>673.68421052631584</v>
      </c>
      <c r="AI159" s="172">
        <v>2</v>
      </c>
      <c r="AK159" s="104">
        <f ca="1">IFERROR(OFFSET(ITEM_RES!$A$5,MATCH(AL159,ITEM_RES!$M$5:$M$84,0)-1,0),0)</f>
        <v>220000102</v>
      </c>
      <c r="AL159" s="103" t="s">
        <v>574</v>
      </c>
      <c r="AM159" s="104">
        <f t="shared" si="24"/>
        <v>1100</v>
      </c>
      <c r="AN159" s="103">
        <v>1096.4912280701756</v>
      </c>
      <c r="AP159" s="104">
        <f ca="1">IFERROR(OFFSET(ITEM_RES!$A$5,MATCH(AQ159,ITEM_RES!$M$5:$M$84,0)-1,0),0)</f>
        <v>220000202</v>
      </c>
      <c r="AQ159" s="103" t="s">
        <v>592</v>
      </c>
      <c r="AR159" s="104">
        <f t="shared" si="25"/>
        <v>660</v>
      </c>
      <c r="AS159" s="103">
        <v>657.89473684210532</v>
      </c>
      <c r="AU159" s="104">
        <f ca="1">IFERROR(OFFSET(ITEM_RES!$A$5,MATCH(AV159,ITEM_RES!$M$5:$M$84,0)-1,0),0)</f>
        <v>220000302</v>
      </c>
      <c r="AV159" s="103" t="s">
        <v>610</v>
      </c>
      <c r="AW159" s="104">
        <f t="shared" si="26"/>
        <v>0</v>
      </c>
      <c r="AX159" s="103">
        <v>0</v>
      </c>
      <c r="AZ159" s="104">
        <f ca="1">IFERROR(OFFSET(ITEM_RES!$A$5,MATCH(BA159,ITEM_RES!$M$5:$M$84,0)-1,0),0)</f>
        <v>220000402</v>
      </c>
      <c r="BA159" s="103" t="s">
        <v>628</v>
      </c>
      <c r="BB159" s="104">
        <f t="shared" si="27"/>
        <v>0</v>
      </c>
      <c r="BC159" s="103">
        <v>0</v>
      </c>
      <c r="BE159" s="104">
        <f ca="1">IFERROR(OFFSET(ITEM_RES!$A$5,MATCH(BF159,ITEM_RES!$M$5:$M$84,0)-1,0),0)</f>
        <v>0</v>
      </c>
      <c r="BG159" s="104">
        <f t="shared" si="28"/>
        <v>0</v>
      </c>
    </row>
    <row r="160" spans="1:60" x14ac:dyDescent="0.3">
      <c r="A160" s="107">
        <f t="shared" ref="A160:A164" si="100">B160*10000000+C160*1000000+D160*10000+E160*100+F160</f>
        <v>112010006</v>
      </c>
      <c r="B160" s="106">
        <v>11</v>
      </c>
      <c r="C160" s="105">
        <f t="shared" ref="C160:C164" si="101">H160</f>
        <v>2</v>
      </c>
      <c r="D160" s="106">
        <v>1</v>
      </c>
      <c r="E160" s="106">
        <v>0</v>
      </c>
      <c r="F160" s="105">
        <f t="shared" si="82"/>
        <v>6</v>
      </c>
      <c r="H160" s="102">
        <v>2</v>
      </c>
      <c r="I160" s="102">
        <v>6</v>
      </c>
      <c r="K160" s="102" t="s">
        <v>1041</v>
      </c>
      <c r="L160" s="102" t="s">
        <v>776</v>
      </c>
      <c r="M160" s="103" t="s">
        <v>737</v>
      </c>
      <c r="N160" s="102">
        <v>1</v>
      </c>
      <c r="O160" s="102">
        <v>12</v>
      </c>
      <c r="P160" s="102" t="s">
        <v>749</v>
      </c>
      <c r="Q160" s="103" t="s">
        <v>1160</v>
      </c>
      <c r="R160" s="103">
        <v>112010006</v>
      </c>
      <c r="S160" s="104" t="str">
        <f t="shared" si="84"/>
        <v>UITexture/Bldg/112010006.png</v>
      </c>
      <c r="T160" s="102" t="s">
        <v>1047</v>
      </c>
      <c r="U160" s="102">
        <v>1</v>
      </c>
      <c r="V160" s="102">
        <v>1</v>
      </c>
      <c r="W160" s="102">
        <v>2</v>
      </c>
      <c r="Y160" s="104">
        <f t="shared" si="83"/>
        <v>201</v>
      </c>
      <c r="Z160" s="102">
        <v>60</v>
      </c>
      <c r="AA160" s="102">
        <v>1</v>
      </c>
      <c r="AB160" s="102">
        <v>1</v>
      </c>
      <c r="AC160" s="102">
        <v>0</v>
      </c>
      <c r="AD160" s="102" t="s">
        <v>539</v>
      </c>
      <c r="AE160" s="102">
        <v>6</v>
      </c>
      <c r="AG160" s="104">
        <f t="shared" si="85"/>
        <v>1347</v>
      </c>
      <c r="AH160" s="103">
        <v>1347.3684210526317</v>
      </c>
      <c r="AI160" s="172">
        <v>3</v>
      </c>
      <c r="AK160" s="104">
        <f ca="1">IFERROR(OFFSET(ITEM_RES!$A$5,MATCH(AL160,ITEM_RES!$M$5:$M$84,0)-1,0),0)</f>
        <v>220000102</v>
      </c>
      <c r="AL160" s="103" t="s">
        <v>574</v>
      </c>
      <c r="AM160" s="104">
        <f t="shared" ref="AM160:AM164" si="102">IF(AN160&lt;100,ROUND(AN160,1-LEN(ROUND(AN160,0))),ROUND(AN160,2-LEN(ROUND(AN160,0))))</f>
        <v>2200</v>
      </c>
      <c r="AN160" s="103">
        <v>2192.9824561403507</v>
      </c>
      <c r="AP160" s="104">
        <f ca="1">IFERROR(OFFSET(ITEM_RES!$A$5,MATCH(AQ160,ITEM_RES!$M$5:$M$84,0)-1,0),0)</f>
        <v>220000202</v>
      </c>
      <c r="AQ160" s="103" t="s">
        <v>592</v>
      </c>
      <c r="AR160" s="104">
        <f t="shared" ref="AR160:AR164" si="103">IF(AS160&lt;100,ROUND(AS160,1-LEN(ROUND(AS160,0))),ROUND(AS160,2-LEN(ROUND(AS160,0))))</f>
        <v>1300</v>
      </c>
      <c r="AS160" s="103">
        <v>1315.7894736842104</v>
      </c>
      <c r="AU160" s="104">
        <f ca="1">IFERROR(OFFSET(ITEM_RES!$A$5,MATCH(AV160,ITEM_RES!$M$5:$M$84,0)-1,0),0)</f>
        <v>220000302</v>
      </c>
      <c r="AV160" s="103" t="s">
        <v>610</v>
      </c>
      <c r="AW160" s="104">
        <f t="shared" ref="AW160:AW164" si="104">IF(AX160&lt;100,ROUND(AX160,1-LEN(ROUND(AX160,0))),ROUND(AX160,2-LEN(ROUND(AX160,0))))</f>
        <v>440</v>
      </c>
      <c r="AX160" s="103">
        <v>438.59649122807014</v>
      </c>
      <c r="AZ160" s="104">
        <f ca="1">IFERROR(OFFSET(ITEM_RES!$A$5,MATCH(BA160,ITEM_RES!$M$5:$M$84,0)-1,0),0)</f>
        <v>220000402</v>
      </c>
      <c r="BA160" s="103" t="s">
        <v>628</v>
      </c>
      <c r="BB160" s="104">
        <f t="shared" ref="BB160:BB164" si="105">IF(BC160&lt;100,ROUND(BC160,1-LEN(ROUND(BC160,0))),ROUND(BC160,2-LEN(ROUND(BC160,0))))</f>
        <v>0</v>
      </c>
      <c r="BC160" s="103">
        <v>0</v>
      </c>
      <c r="BE160" s="104">
        <f ca="1">IFERROR(OFFSET(ITEM_RES!$A$5,MATCH(BF160,ITEM_RES!$M$5:$M$84,0)-1,0),0)</f>
        <v>0</v>
      </c>
      <c r="BG160" s="104">
        <f t="shared" ref="BG160:BG164" si="106">IF(BH160&lt;100,ROUND(BH160,1-LEN(ROUND(BH160,0))),ROUND(BH160,2-LEN(ROUND(BH160,0))))</f>
        <v>0</v>
      </c>
    </row>
    <row r="161" spans="1:59" x14ac:dyDescent="0.3">
      <c r="A161" s="107">
        <f t="shared" si="100"/>
        <v>112010007</v>
      </c>
      <c r="B161" s="106">
        <v>11</v>
      </c>
      <c r="C161" s="105">
        <f t="shared" si="101"/>
        <v>2</v>
      </c>
      <c r="D161" s="106">
        <v>1</v>
      </c>
      <c r="E161" s="106">
        <v>0</v>
      </c>
      <c r="F161" s="105">
        <f t="shared" si="82"/>
        <v>7</v>
      </c>
      <c r="H161" s="102">
        <v>2</v>
      </c>
      <c r="I161" s="102">
        <v>7</v>
      </c>
      <c r="K161" s="102" t="s">
        <v>1041</v>
      </c>
      <c r="L161" s="102" t="s">
        <v>776</v>
      </c>
      <c r="M161" s="103" t="s">
        <v>737</v>
      </c>
      <c r="N161" s="102">
        <v>1</v>
      </c>
      <c r="O161" s="102">
        <v>12</v>
      </c>
      <c r="P161" s="102" t="s">
        <v>749</v>
      </c>
      <c r="Q161" s="103" t="s">
        <v>1160</v>
      </c>
      <c r="R161" s="103">
        <v>112010007</v>
      </c>
      <c r="S161" s="104" t="str">
        <f t="shared" si="84"/>
        <v>UITexture/Bldg/112010007.png</v>
      </c>
      <c r="T161" s="102" t="s">
        <v>1047</v>
      </c>
      <c r="U161" s="102">
        <v>1</v>
      </c>
      <c r="V161" s="102">
        <v>1</v>
      </c>
      <c r="W161" s="102">
        <v>2</v>
      </c>
      <c r="Y161" s="104">
        <f t="shared" si="83"/>
        <v>201</v>
      </c>
      <c r="Z161" s="102">
        <v>70</v>
      </c>
      <c r="AA161" s="102">
        <v>1</v>
      </c>
      <c r="AB161" s="102">
        <v>1</v>
      </c>
      <c r="AC161" s="102">
        <v>0</v>
      </c>
      <c r="AD161" s="102" t="s">
        <v>539</v>
      </c>
      <c r="AE161" s="102">
        <v>7</v>
      </c>
      <c r="AG161" s="104">
        <f t="shared" si="85"/>
        <v>2695</v>
      </c>
      <c r="AH161" s="103">
        <v>2694.7368421052633</v>
      </c>
      <c r="AI161" s="172">
        <v>3</v>
      </c>
      <c r="AK161" s="104">
        <f ca="1">IFERROR(OFFSET(ITEM_RES!$A$5,MATCH(AL161,ITEM_RES!$M$5:$M$84,0)-1,0),0)</f>
        <v>220000103</v>
      </c>
      <c r="AL161" s="103" t="s">
        <v>575</v>
      </c>
      <c r="AM161" s="104">
        <f t="shared" si="102"/>
        <v>1800</v>
      </c>
      <c r="AN161" s="103">
        <v>1827.4853801169588</v>
      </c>
      <c r="AP161" s="104">
        <f ca="1">IFERROR(OFFSET(ITEM_RES!$A$5,MATCH(AQ161,ITEM_RES!$M$5:$M$84,0)-1,0),0)</f>
        <v>220000203</v>
      </c>
      <c r="AQ161" s="103" t="s">
        <v>593</v>
      </c>
      <c r="AR161" s="104">
        <f t="shared" si="103"/>
        <v>1100</v>
      </c>
      <c r="AS161" s="103">
        <v>1096.4912280701751</v>
      </c>
      <c r="AU161" s="104">
        <f ca="1">IFERROR(OFFSET(ITEM_RES!$A$5,MATCH(AV161,ITEM_RES!$M$5:$M$84,0)-1,0),0)</f>
        <v>220000303</v>
      </c>
      <c r="AV161" s="103" t="s">
        <v>611</v>
      </c>
      <c r="AW161" s="104">
        <f t="shared" si="104"/>
        <v>370</v>
      </c>
      <c r="AX161" s="103">
        <v>365.49707602339174</v>
      </c>
      <c r="AZ161" s="104">
        <f ca="1">IFERROR(OFFSET(ITEM_RES!$A$5,MATCH(BA161,ITEM_RES!$M$5:$M$84,0)-1,0),0)</f>
        <v>220000403</v>
      </c>
      <c r="BA161" s="103" t="s">
        <v>629</v>
      </c>
      <c r="BB161" s="104">
        <f t="shared" si="105"/>
        <v>0</v>
      </c>
      <c r="BC161" s="103">
        <v>0</v>
      </c>
      <c r="BE161" s="104">
        <f ca="1">IFERROR(OFFSET(ITEM_RES!$A$5,MATCH(BF161,ITEM_RES!$M$5:$M$84,0)-1,0),0)</f>
        <v>0</v>
      </c>
      <c r="BG161" s="104">
        <f t="shared" si="106"/>
        <v>0</v>
      </c>
    </row>
    <row r="162" spans="1:59" x14ac:dyDescent="0.3">
      <c r="A162" s="107">
        <f t="shared" si="100"/>
        <v>112010008</v>
      </c>
      <c r="B162" s="106">
        <v>11</v>
      </c>
      <c r="C162" s="105">
        <f t="shared" si="101"/>
        <v>2</v>
      </c>
      <c r="D162" s="106">
        <v>1</v>
      </c>
      <c r="E162" s="106">
        <v>0</v>
      </c>
      <c r="F162" s="105">
        <f t="shared" si="82"/>
        <v>8</v>
      </c>
      <c r="H162" s="102">
        <v>2</v>
      </c>
      <c r="I162" s="102">
        <v>8</v>
      </c>
      <c r="K162" s="102" t="s">
        <v>1041</v>
      </c>
      <c r="L162" s="102" t="s">
        <v>776</v>
      </c>
      <c r="M162" s="103" t="s">
        <v>737</v>
      </c>
      <c r="N162" s="102">
        <v>1</v>
      </c>
      <c r="O162" s="102">
        <v>12</v>
      </c>
      <c r="P162" s="102" t="s">
        <v>749</v>
      </c>
      <c r="Q162" s="103" t="s">
        <v>1160</v>
      </c>
      <c r="R162" s="103">
        <v>112010008</v>
      </c>
      <c r="S162" s="104" t="str">
        <f t="shared" si="84"/>
        <v>UITexture/Bldg/112010008.png</v>
      </c>
      <c r="T162" s="102" t="s">
        <v>1047</v>
      </c>
      <c r="U162" s="102">
        <v>1</v>
      </c>
      <c r="V162" s="102">
        <v>1</v>
      </c>
      <c r="W162" s="102">
        <v>2</v>
      </c>
      <c r="Y162" s="104">
        <f t="shared" si="83"/>
        <v>201</v>
      </c>
      <c r="Z162" s="102">
        <v>80</v>
      </c>
      <c r="AA162" s="102">
        <v>1</v>
      </c>
      <c r="AB162" s="102">
        <v>1</v>
      </c>
      <c r="AC162" s="102">
        <v>0</v>
      </c>
      <c r="AD162" s="102" t="s">
        <v>539</v>
      </c>
      <c r="AE162" s="102">
        <v>8</v>
      </c>
      <c r="AG162" s="104">
        <f t="shared" si="85"/>
        <v>2964</v>
      </c>
      <c r="AH162" s="103">
        <v>2964.2105263157896</v>
      </c>
      <c r="AI162" s="172">
        <v>3</v>
      </c>
      <c r="AK162" s="104">
        <f ca="1">IFERROR(OFFSET(ITEM_RES!$A$5,MATCH(AL162,ITEM_RES!$M$5:$M$84,0)-1,0),0)</f>
        <v>220000103</v>
      </c>
      <c r="AL162" s="103" t="s">
        <v>575</v>
      </c>
      <c r="AM162" s="104">
        <f t="shared" si="102"/>
        <v>2500</v>
      </c>
      <c r="AN162" s="103">
        <v>2512.792397660819</v>
      </c>
      <c r="AP162" s="104">
        <f ca="1">IFERROR(OFFSET(ITEM_RES!$A$5,MATCH(AQ162,ITEM_RES!$M$5:$M$84,0)-1,0),0)</f>
        <v>220000203</v>
      </c>
      <c r="AQ162" s="103" t="s">
        <v>593</v>
      </c>
      <c r="AR162" s="104">
        <f t="shared" si="103"/>
        <v>1500</v>
      </c>
      <c r="AS162" s="103">
        <v>1507.6754385964914</v>
      </c>
      <c r="AU162" s="104">
        <f ca="1">IFERROR(OFFSET(ITEM_RES!$A$5,MATCH(AV162,ITEM_RES!$M$5:$M$84,0)-1,0),0)</f>
        <v>220000303</v>
      </c>
      <c r="AV162" s="103" t="s">
        <v>611</v>
      </c>
      <c r="AW162" s="104">
        <f t="shared" si="104"/>
        <v>500</v>
      </c>
      <c r="AX162" s="103">
        <v>502.5584795321638</v>
      </c>
      <c r="AZ162" s="104">
        <f ca="1">IFERROR(OFFSET(ITEM_RES!$A$5,MATCH(BA162,ITEM_RES!$M$5:$M$84,0)-1,0),0)</f>
        <v>220000403</v>
      </c>
      <c r="BA162" s="103" t="s">
        <v>629</v>
      </c>
      <c r="BB162" s="104">
        <f t="shared" si="105"/>
        <v>0</v>
      </c>
      <c r="BC162" s="103">
        <v>0</v>
      </c>
      <c r="BE162" s="104">
        <f ca="1">IFERROR(OFFSET(ITEM_RES!$A$5,MATCH(BF162,ITEM_RES!$M$5:$M$84,0)-1,0),0)</f>
        <v>0</v>
      </c>
      <c r="BG162" s="104">
        <f t="shared" si="106"/>
        <v>0</v>
      </c>
    </row>
    <row r="163" spans="1:59" x14ac:dyDescent="0.3">
      <c r="A163" s="107">
        <f t="shared" si="100"/>
        <v>112010009</v>
      </c>
      <c r="B163" s="106">
        <v>11</v>
      </c>
      <c r="C163" s="105">
        <f t="shared" si="101"/>
        <v>2</v>
      </c>
      <c r="D163" s="106">
        <v>1</v>
      </c>
      <c r="E163" s="106">
        <v>0</v>
      </c>
      <c r="F163" s="105">
        <f t="shared" si="82"/>
        <v>9</v>
      </c>
      <c r="H163" s="102">
        <v>2</v>
      </c>
      <c r="I163" s="102">
        <v>9</v>
      </c>
      <c r="K163" s="102" t="s">
        <v>1041</v>
      </c>
      <c r="L163" s="102" t="s">
        <v>776</v>
      </c>
      <c r="M163" s="103" t="s">
        <v>737</v>
      </c>
      <c r="N163" s="102">
        <v>1</v>
      </c>
      <c r="O163" s="102">
        <v>12</v>
      </c>
      <c r="P163" s="102" t="s">
        <v>749</v>
      </c>
      <c r="Q163" s="103" t="s">
        <v>1160</v>
      </c>
      <c r="R163" s="103">
        <v>112010009</v>
      </c>
      <c r="S163" s="104" t="str">
        <f t="shared" si="84"/>
        <v>UITexture/Bldg/112010009.png</v>
      </c>
      <c r="T163" s="102" t="s">
        <v>1047</v>
      </c>
      <c r="U163" s="102">
        <v>1</v>
      </c>
      <c r="V163" s="102">
        <v>1</v>
      </c>
      <c r="W163" s="102">
        <v>2</v>
      </c>
      <c r="Y163" s="104">
        <f t="shared" si="83"/>
        <v>201</v>
      </c>
      <c r="Z163" s="102">
        <v>90</v>
      </c>
      <c r="AA163" s="102">
        <v>1</v>
      </c>
      <c r="AB163" s="102">
        <v>1</v>
      </c>
      <c r="AC163" s="102">
        <v>0</v>
      </c>
      <c r="AD163" s="102" t="s">
        <v>539</v>
      </c>
      <c r="AE163" s="102">
        <v>9</v>
      </c>
      <c r="AG163" s="104">
        <f t="shared" si="85"/>
        <v>3261</v>
      </c>
      <c r="AH163" s="103">
        <v>3260.6315789473688</v>
      </c>
      <c r="AI163" s="172">
        <v>3</v>
      </c>
      <c r="AK163" s="104">
        <f ca="1">IFERROR(OFFSET(ITEM_RES!$A$5,MATCH(AL163,ITEM_RES!$M$5:$M$84,0)-1,0),0)</f>
        <v>220000103</v>
      </c>
      <c r="AL163" s="103" t="s">
        <v>575</v>
      </c>
      <c r="AM163" s="104">
        <f t="shared" si="102"/>
        <v>3500</v>
      </c>
      <c r="AN163" s="103">
        <v>3455.0895467836267</v>
      </c>
      <c r="AP163" s="104">
        <f ca="1">IFERROR(OFFSET(ITEM_RES!$A$5,MATCH(AQ163,ITEM_RES!$M$5:$M$84,0)-1,0),0)</f>
        <v>220000203</v>
      </c>
      <c r="AQ163" s="103" t="s">
        <v>593</v>
      </c>
      <c r="AR163" s="104">
        <f t="shared" si="103"/>
        <v>2100</v>
      </c>
      <c r="AS163" s="103">
        <v>2073.053728070176</v>
      </c>
      <c r="AU163" s="104">
        <f ca="1">IFERROR(OFFSET(ITEM_RES!$A$5,MATCH(AV163,ITEM_RES!$M$5:$M$84,0)-1,0),0)</f>
        <v>220000303</v>
      </c>
      <c r="AV163" s="103" t="s">
        <v>611</v>
      </c>
      <c r="AW163" s="104">
        <f t="shared" si="104"/>
        <v>690</v>
      </c>
      <c r="AX163" s="103">
        <v>691.01790935672534</v>
      </c>
      <c r="AZ163" s="104">
        <f ca="1">IFERROR(OFFSET(ITEM_RES!$A$5,MATCH(BA163,ITEM_RES!$M$5:$M$84,0)-1,0),0)</f>
        <v>220000403</v>
      </c>
      <c r="BA163" s="103" t="s">
        <v>629</v>
      </c>
      <c r="BB163" s="104">
        <f t="shared" si="105"/>
        <v>0</v>
      </c>
      <c r="BC163" s="103">
        <v>0</v>
      </c>
      <c r="BE163" s="104">
        <f ca="1">IFERROR(OFFSET(ITEM_RES!$A$5,MATCH(BF163,ITEM_RES!$M$5:$M$84,0)-1,0),0)</f>
        <v>0</v>
      </c>
      <c r="BG163" s="104">
        <f t="shared" si="106"/>
        <v>0</v>
      </c>
    </row>
    <row r="164" spans="1:59" x14ac:dyDescent="0.3">
      <c r="A164" s="107">
        <f t="shared" si="100"/>
        <v>112010010</v>
      </c>
      <c r="B164" s="106">
        <v>11</v>
      </c>
      <c r="C164" s="105">
        <f t="shared" si="101"/>
        <v>2</v>
      </c>
      <c r="D164" s="106">
        <v>1</v>
      </c>
      <c r="E164" s="106">
        <v>0</v>
      </c>
      <c r="F164" s="105">
        <f t="shared" si="82"/>
        <v>10</v>
      </c>
      <c r="H164" s="102">
        <v>2</v>
      </c>
      <c r="I164" s="102">
        <v>10</v>
      </c>
      <c r="K164" s="102" t="s">
        <v>1041</v>
      </c>
      <c r="L164" s="102" t="s">
        <v>776</v>
      </c>
      <c r="M164" s="103" t="s">
        <v>737</v>
      </c>
      <c r="N164" s="102">
        <v>1</v>
      </c>
      <c r="O164" s="102">
        <v>12</v>
      </c>
      <c r="P164" s="102" t="s">
        <v>749</v>
      </c>
      <c r="Q164" s="103" t="s">
        <v>1160</v>
      </c>
      <c r="R164" s="103">
        <v>112010010</v>
      </c>
      <c r="S164" s="104" t="str">
        <f t="shared" si="84"/>
        <v>UITexture/Bldg/112010010.png</v>
      </c>
      <c r="T164" s="102" t="s">
        <v>1047</v>
      </c>
      <c r="U164" s="102">
        <v>1</v>
      </c>
      <c r="V164" s="102">
        <v>1</v>
      </c>
      <c r="W164" s="102">
        <v>2</v>
      </c>
      <c r="Y164" s="104">
        <f t="shared" si="83"/>
        <v>201</v>
      </c>
      <c r="Z164" s="102">
        <v>100</v>
      </c>
      <c r="AA164" s="102">
        <v>1</v>
      </c>
      <c r="AB164" s="102">
        <v>1</v>
      </c>
      <c r="AC164" s="102">
        <v>0</v>
      </c>
      <c r="AD164" s="102" t="s">
        <v>539</v>
      </c>
      <c r="AE164" s="102">
        <v>10</v>
      </c>
      <c r="AG164" s="104">
        <f t="shared" si="85"/>
        <v>3913</v>
      </c>
      <c r="AH164" s="103">
        <v>3912.7578947368429</v>
      </c>
      <c r="AI164" s="172">
        <v>3</v>
      </c>
      <c r="AK164" s="104">
        <f ca="1">IFERROR(OFFSET(ITEM_RES!$A$5,MATCH(AL164,ITEM_RES!$M$5:$M$84,0)-1,0),0)</f>
        <v>220000104</v>
      </c>
      <c r="AL164" s="103" t="s">
        <v>576</v>
      </c>
      <c r="AM164" s="104">
        <f t="shared" si="102"/>
        <v>2100</v>
      </c>
      <c r="AN164" s="103">
        <v>2073.053728070176</v>
      </c>
      <c r="AP164" s="104">
        <f ca="1">IFERROR(OFFSET(ITEM_RES!$A$5,MATCH(AQ164,ITEM_RES!$M$5:$M$84,0)-1,0),0)</f>
        <v>220000204</v>
      </c>
      <c r="AQ164" s="103" t="s">
        <v>594</v>
      </c>
      <c r="AR164" s="104">
        <f t="shared" si="103"/>
        <v>1200</v>
      </c>
      <c r="AS164" s="103">
        <v>1243.8322368421054</v>
      </c>
      <c r="AU164" s="104">
        <f ca="1">IFERROR(OFFSET(ITEM_RES!$A$5,MATCH(AV164,ITEM_RES!$M$5:$M$84,0)-1,0),0)</f>
        <v>220000304</v>
      </c>
      <c r="AV164" s="103" t="s">
        <v>612</v>
      </c>
      <c r="AW164" s="104">
        <f t="shared" si="104"/>
        <v>410</v>
      </c>
      <c r="AX164" s="103">
        <v>414.61074561403518</v>
      </c>
      <c r="AZ164" s="104">
        <f ca="1">IFERROR(OFFSET(ITEM_RES!$A$5,MATCH(BA164,ITEM_RES!$M$5:$M$84,0)-1,0),0)</f>
        <v>220000404</v>
      </c>
      <c r="BA164" s="103" t="s">
        <v>630</v>
      </c>
      <c r="BB164" s="104">
        <f t="shared" si="105"/>
        <v>0</v>
      </c>
      <c r="BC164" s="103">
        <v>0</v>
      </c>
      <c r="BE164" s="104">
        <f ca="1">IFERROR(OFFSET(ITEM_RES!$A$5,MATCH(BF164,ITEM_RES!$M$5:$M$84,0)-1,0),0)</f>
        <v>0</v>
      </c>
      <c r="BG164" s="104">
        <f t="shared" si="106"/>
        <v>0</v>
      </c>
    </row>
    <row r="165" spans="1:59" x14ac:dyDescent="0.3">
      <c r="A165" s="107">
        <f t="shared" ref="A165:A179" si="107">B165*10000000+C165*1000000+D165*10000+E165*100+F165</f>
        <v>112010011</v>
      </c>
      <c r="B165" s="106">
        <v>11</v>
      </c>
      <c r="C165" s="105">
        <f t="shared" ref="C165:C179" si="108">H165</f>
        <v>2</v>
      </c>
      <c r="D165" s="106">
        <v>1</v>
      </c>
      <c r="E165" s="106">
        <v>0</v>
      </c>
      <c r="F165" s="105">
        <f t="shared" si="82"/>
        <v>11</v>
      </c>
      <c r="H165" s="102">
        <v>2</v>
      </c>
      <c r="I165" s="102">
        <v>11</v>
      </c>
      <c r="K165" s="102" t="s">
        <v>1041</v>
      </c>
      <c r="L165" s="102" t="s">
        <v>776</v>
      </c>
      <c r="M165" s="103" t="s">
        <v>737</v>
      </c>
      <c r="N165" s="102">
        <v>1</v>
      </c>
      <c r="O165" s="102">
        <v>12</v>
      </c>
      <c r="P165" s="102" t="s">
        <v>749</v>
      </c>
      <c r="Q165" s="103" t="s">
        <v>1160</v>
      </c>
      <c r="R165" s="103">
        <v>112010011</v>
      </c>
      <c r="S165" s="104" t="str">
        <f t="shared" si="84"/>
        <v>UITexture/Bldg/112010011.png</v>
      </c>
      <c r="T165" s="102" t="s">
        <v>1047</v>
      </c>
      <c r="U165" s="102">
        <v>1</v>
      </c>
      <c r="V165" s="102">
        <v>1</v>
      </c>
      <c r="W165" s="102">
        <v>2</v>
      </c>
      <c r="Y165" s="104">
        <f t="shared" si="83"/>
        <v>201</v>
      </c>
      <c r="Z165" s="102">
        <v>110</v>
      </c>
      <c r="AA165" s="102">
        <v>1</v>
      </c>
      <c r="AB165" s="102">
        <v>1</v>
      </c>
      <c r="AC165" s="102">
        <v>0</v>
      </c>
      <c r="AD165" s="102" t="s">
        <v>539</v>
      </c>
      <c r="AE165" s="102">
        <v>11</v>
      </c>
      <c r="AG165" s="104">
        <f t="shared" si="85"/>
        <v>5869</v>
      </c>
      <c r="AH165" s="103">
        <v>5869.1368421052639</v>
      </c>
      <c r="AI165" s="172">
        <v>4</v>
      </c>
      <c r="AK165" s="104">
        <f ca="1">IFERROR(OFFSET(ITEM_RES!$A$5,MATCH(AL165,ITEM_RES!$M$5:$M$84,0)-1,0),0)</f>
        <v>220000104</v>
      </c>
      <c r="AL165" s="103" t="s">
        <v>576</v>
      </c>
      <c r="AM165" s="104">
        <f t="shared" ref="AM165:AM179" si="109">IF(AN165&lt;100,ROUND(AN165,1-LEN(ROUND(AN165,0))),ROUND(AN165,2-LEN(ROUND(AN165,0))))</f>
        <v>3900</v>
      </c>
      <c r="AN165" s="103">
        <v>3886.9757401315792</v>
      </c>
      <c r="AP165" s="104">
        <f ca="1">IFERROR(OFFSET(ITEM_RES!$A$5,MATCH(AQ165,ITEM_RES!$M$5:$M$84,0)-1,0),0)</f>
        <v>220000204</v>
      </c>
      <c r="AQ165" s="103" t="s">
        <v>594</v>
      </c>
      <c r="AR165" s="104">
        <f t="shared" ref="AR165:AR179" si="110">IF(AS165&lt;100,ROUND(AS165,1-LEN(ROUND(AS165,0))),ROUND(AS165,2-LEN(ROUND(AS165,0))))</f>
        <v>1700</v>
      </c>
      <c r="AS165" s="103">
        <v>1749.1390830592106</v>
      </c>
      <c r="AU165" s="104">
        <f ca="1">IFERROR(OFFSET(ITEM_RES!$A$5,MATCH(AV165,ITEM_RES!$M$5:$M$84,0)-1,0),0)</f>
        <v>220000304</v>
      </c>
      <c r="AV165" s="103" t="s">
        <v>612</v>
      </c>
      <c r="AW165" s="104">
        <f t="shared" ref="AW165:AW179" si="111">IF(AX165&lt;100,ROUND(AX165,1-LEN(ROUND(AX165,0))),ROUND(AX165,2-LEN(ROUND(AX165,0))))</f>
        <v>780</v>
      </c>
      <c r="AX165" s="103">
        <v>777.39514802631584</v>
      </c>
      <c r="AZ165" s="104">
        <f ca="1">IFERROR(OFFSET(ITEM_RES!$A$5,MATCH(BA165,ITEM_RES!$M$5:$M$84,0)-1,0),0)</f>
        <v>220000404</v>
      </c>
      <c r="BA165" s="103" t="s">
        <v>630</v>
      </c>
      <c r="BB165" s="104">
        <f t="shared" ref="BB165:BB179" si="112">IF(BC165&lt;100,ROUND(BC165,1-LEN(ROUND(BC165,0))),ROUND(BC165,2-LEN(ROUND(BC165,0))))</f>
        <v>190</v>
      </c>
      <c r="BC165" s="103">
        <v>194.34878700657896</v>
      </c>
      <c r="BE165" s="104">
        <f ca="1">IFERROR(OFFSET(ITEM_RES!$A$5,MATCH(BF165,ITEM_RES!$M$5:$M$84,0)-1,0),0)</f>
        <v>0</v>
      </c>
      <c r="BG165" s="104">
        <f t="shared" ref="BG165:BG179" si="113">IF(BH165&lt;100,ROUND(BH165,1-LEN(ROUND(BH165,0))),ROUND(BH165,2-LEN(ROUND(BH165,0))))</f>
        <v>0</v>
      </c>
    </row>
    <row r="166" spans="1:59" x14ac:dyDescent="0.3">
      <c r="A166" s="107">
        <f t="shared" si="107"/>
        <v>112010012</v>
      </c>
      <c r="B166" s="106">
        <v>11</v>
      </c>
      <c r="C166" s="105">
        <f t="shared" si="108"/>
        <v>2</v>
      </c>
      <c r="D166" s="106">
        <v>1</v>
      </c>
      <c r="E166" s="106">
        <v>0</v>
      </c>
      <c r="F166" s="105">
        <f t="shared" si="82"/>
        <v>12</v>
      </c>
      <c r="H166" s="102">
        <v>2</v>
      </c>
      <c r="I166" s="102">
        <v>12</v>
      </c>
      <c r="K166" s="102" t="s">
        <v>1041</v>
      </c>
      <c r="L166" s="102" t="s">
        <v>776</v>
      </c>
      <c r="M166" s="103" t="s">
        <v>737</v>
      </c>
      <c r="N166" s="102">
        <v>1</v>
      </c>
      <c r="O166" s="102">
        <v>12</v>
      </c>
      <c r="P166" s="102" t="s">
        <v>749</v>
      </c>
      <c r="Q166" s="103" t="s">
        <v>1160</v>
      </c>
      <c r="R166" s="103">
        <v>112010012</v>
      </c>
      <c r="S166" s="104" t="str">
        <f t="shared" si="84"/>
        <v>UITexture/Bldg/112010012.png</v>
      </c>
      <c r="T166" s="102" t="s">
        <v>1047</v>
      </c>
      <c r="U166" s="102">
        <v>1</v>
      </c>
      <c r="V166" s="102">
        <v>1</v>
      </c>
      <c r="W166" s="102">
        <v>2</v>
      </c>
      <c r="Y166" s="104">
        <f t="shared" si="83"/>
        <v>201</v>
      </c>
      <c r="Z166" s="102">
        <v>120</v>
      </c>
      <c r="AA166" s="102">
        <v>1</v>
      </c>
      <c r="AB166" s="102">
        <v>1</v>
      </c>
      <c r="AC166" s="102">
        <v>0</v>
      </c>
      <c r="AD166" s="102" t="s">
        <v>539</v>
      </c>
      <c r="AE166" s="102">
        <v>12</v>
      </c>
      <c r="AG166" s="104">
        <f t="shared" si="85"/>
        <v>8804</v>
      </c>
      <c r="AH166" s="103">
        <v>8803.7052631578954</v>
      </c>
      <c r="AI166" s="172">
        <v>4</v>
      </c>
      <c r="AK166" s="104">
        <f ca="1">IFERROR(OFFSET(ITEM_RES!$A$5,MATCH(AL166,ITEM_RES!$M$5:$M$84,0)-1,0),0)</f>
        <v>220000104</v>
      </c>
      <c r="AL166" s="103" t="s">
        <v>576</v>
      </c>
      <c r="AM166" s="104">
        <f t="shared" si="109"/>
        <v>7300</v>
      </c>
      <c r="AN166" s="103">
        <v>7288.0795127467118</v>
      </c>
      <c r="AP166" s="104">
        <f ca="1">IFERROR(OFFSET(ITEM_RES!$A$5,MATCH(AQ166,ITEM_RES!$M$5:$M$84,0)-1,0),0)</f>
        <v>220000204</v>
      </c>
      <c r="AQ166" s="103" t="s">
        <v>594</v>
      </c>
      <c r="AR166" s="104">
        <f t="shared" si="110"/>
        <v>3300</v>
      </c>
      <c r="AS166" s="103">
        <v>3279.63578073602</v>
      </c>
      <c r="AU166" s="104">
        <f ca="1">IFERROR(OFFSET(ITEM_RES!$A$5,MATCH(AV166,ITEM_RES!$M$5:$M$84,0)-1,0),0)</f>
        <v>220000304</v>
      </c>
      <c r="AV166" s="103" t="s">
        <v>612</v>
      </c>
      <c r="AW166" s="104">
        <f t="shared" si="111"/>
        <v>1500</v>
      </c>
      <c r="AX166" s="103">
        <v>1457.6159025493423</v>
      </c>
      <c r="AZ166" s="104">
        <f ca="1">IFERROR(OFFSET(ITEM_RES!$A$5,MATCH(BA166,ITEM_RES!$M$5:$M$84,0)-1,0),0)</f>
        <v>220000404</v>
      </c>
      <c r="BA166" s="103" t="s">
        <v>630</v>
      </c>
      <c r="BB166" s="104">
        <f t="shared" si="112"/>
        <v>360</v>
      </c>
      <c r="BC166" s="103">
        <v>364.40397563733558</v>
      </c>
      <c r="BE166" s="104">
        <f ca="1">IFERROR(OFFSET(ITEM_RES!$A$5,MATCH(BF166,ITEM_RES!$M$5:$M$84,0)-1,0),0)</f>
        <v>0</v>
      </c>
      <c r="BG166" s="104">
        <f t="shared" si="113"/>
        <v>0</v>
      </c>
    </row>
    <row r="167" spans="1:59" x14ac:dyDescent="0.3">
      <c r="A167" s="107">
        <f t="shared" si="107"/>
        <v>112010013</v>
      </c>
      <c r="B167" s="106">
        <v>11</v>
      </c>
      <c r="C167" s="105">
        <f t="shared" si="108"/>
        <v>2</v>
      </c>
      <c r="D167" s="106">
        <v>1</v>
      </c>
      <c r="E167" s="106">
        <v>0</v>
      </c>
      <c r="F167" s="105">
        <f t="shared" si="82"/>
        <v>13</v>
      </c>
      <c r="H167" s="102">
        <v>2</v>
      </c>
      <c r="I167" s="102">
        <v>13</v>
      </c>
      <c r="K167" s="102" t="s">
        <v>1041</v>
      </c>
      <c r="L167" s="102" t="s">
        <v>776</v>
      </c>
      <c r="M167" s="103" t="s">
        <v>737</v>
      </c>
      <c r="N167" s="102">
        <v>0</v>
      </c>
      <c r="O167" s="102">
        <v>12</v>
      </c>
      <c r="P167" s="102" t="s">
        <v>749</v>
      </c>
      <c r="Q167" s="103" t="s">
        <v>1160</v>
      </c>
      <c r="R167" s="103">
        <v>112010013</v>
      </c>
      <c r="S167" s="104" t="str">
        <f t="shared" si="84"/>
        <v>UITexture/Bldg/112010013.png</v>
      </c>
      <c r="T167" s="102" t="s">
        <v>1047</v>
      </c>
      <c r="U167" s="102">
        <v>1</v>
      </c>
      <c r="V167" s="102">
        <v>1</v>
      </c>
      <c r="W167" s="102">
        <v>2</v>
      </c>
      <c r="Y167" s="104">
        <f t="shared" si="83"/>
        <v>201</v>
      </c>
      <c r="Z167" s="102">
        <v>130</v>
      </c>
      <c r="AA167" s="102">
        <v>1</v>
      </c>
      <c r="AB167" s="102">
        <v>1</v>
      </c>
      <c r="AC167" s="102">
        <v>0</v>
      </c>
      <c r="AD167" s="102" t="s">
        <v>539</v>
      </c>
      <c r="AE167" s="102">
        <v>13</v>
      </c>
      <c r="AG167" s="104">
        <f t="shared" si="85"/>
        <v>11445</v>
      </c>
      <c r="AH167" s="103">
        <v>11444.816842105263</v>
      </c>
      <c r="AI167" s="172">
        <v>4</v>
      </c>
      <c r="AK167" s="104">
        <f ca="1">IFERROR(OFFSET(ITEM_RES!$A$5,MATCH(AL167,ITEM_RES!$M$5:$M$84,0)-1,0),0)</f>
        <v>220000105</v>
      </c>
      <c r="AL167" s="103" t="s">
        <v>577</v>
      </c>
      <c r="AM167" s="104">
        <f t="shared" si="109"/>
        <v>3900</v>
      </c>
      <c r="AN167" s="103">
        <v>3947.7097360711355</v>
      </c>
      <c r="AP167" s="104">
        <f ca="1">IFERROR(OFFSET(ITEM_RES!$A$5,MATCH(AQ167,ITEM_RES!$M$5:$M$84,0)-1,0),0)</f>
        <v>220000205</v>
      </c>
      <c r="AQ167" s="103" t="s">
        <v>595</v>
      </c>
      <c r="AR167" s="104">
        <f t="shared" si="110"/>
        <v>1800</v>
      </c>
      <c r="AS167" s="103">
        <v>1776.4693812320111</v>
      </c>
      <c r="AU167" s="104">
        <f ca="1">IFERROR(OFFSET(ITEM_RES!$A$5,MATCH(AV167,ITEM_RES!$M$5:$M$84,0)-1,0),0)</f>
        <v>220000305</v>
      </c>
      <c r="AV167" s="103" t="s">
        <v>613</v>
      </c>
      <c r="AW167" s="104">
        <f t="shared" si="111"/>
        <v>790</v>
      </c>
      <c r="AX167" s="103">
        <v>789.54194721422709</v>
      </c>
      <c r="AZ167" s="104">
        <f ca="1">IFERROR(OFFSET(ITEM_RES!$A$5,MATCH(BA167,ITEM_RES!$M$5:$M$84,0)-1,0),0)</f>
        <v>220000405</v>
      </c>
      <c r="BA167" s="103" t="s">
        <v>631</v>
      </c>
      <c r="BB167" s="104">
        <f t="shared" si="112"/>
        <v>200</v>
      </c>
      <c r="BC167" s="103">
        <v>197.38548680355677</v>
      </c>
      <c r="BE167" s="104">
        <f ca="1">IFERROR(OFFSET(ITEM_RES!$A$5,MATCH(BF167,ITEM_RES!$M$5:$M$84,0)-1,0),0)</f>
        <v>0</v>
      </c>
      <c r="BG167" s="104">
        <f t="shared" si="113"/>
        <v>0</v>
      </c>
    </row>
    <row r="168" spans="1:59" x14ac:dyDescent="0.3">
      <c r="A168" s="107">
        <f t="shared" si="107"/>
        <v>112010014</v>
      </c>
      <c r="B168" s="106">
        <v>11</v>
      </c>
      <c r="C168" s="105">
        <f t="shared" si="108"/>
        <v>2</v>
      </c>
      <c r="D168" s="106">
        <v>1</v>
      </c>
      <c r="E168" s="106">
        <v>0</v>
      </c>
      <c r="F168" s="105">
        <f t="shared" si="82"/>
        <v>14</v>
      </c>
      <c r="H168" s="102">
        <v>2</v>
      </c>
      <c r="I168" s="102">
        <v>14</v>
      </c>
      <c r="K168" s="102" t="s">
        <v>1041</v>
      </c>
      <c r="L168" s="102" t="s">
        <v>776</v>
      </c>
      <c r="M168" s="103" t="s">
        <v>737</v>
      </c>
      <c r="N168" s="102">
        <v>0</v>
      </c>
      <c r="O168" s="102">
        <v>12</v>
      </c>
      <c r="P168" s="102" t="s">
        <v>749</v>
      </c>
      <c r="Q168" s="103" t="s">
        <v>1160</v>
      </c>
      <c r="R168" s="103">
        <v>112010014</v>
      </c>
      <c r="S168" s="104" t="str">
        <f t="shared" si="84"/>
        <v>UITexture/Bldg/112010014.png</v>
      </c>
      <c r="T168" s="102" t="s">
        <v>1047</v>
      </c>
      <c r="U168" s="102">
        <v>1</v>
      </c>
      <c r="V168" s="102">
        <v>1</v>
      </c>
      <c r="W168" s="102">
        <v>2</v>
      </c>
      <c r="Y168" s="104">
        <f t="shared" si="83"/>
        <v>201</v>
      </c>
      <c r="Z168" s="102">
        <v>140</v>
      </c>
      <c r="AA168" s="102">
        <v>1</v>
      </c>
      <c r="AB168" s="102">
        <v>1</v>
      </c>
      <c r="AC168" s="102">
        <v>0</v>
      </c>
      <c r="AD168" s="102" t="s">
        <v>539</v>
      </c>
      <c r="AE168" s="102">
        <v>14</v>
      </c>
      <c r="AG168" s="104">
        <f t="shared" si="85"/>
        <v>12589</v>
      </c>
      <c r="AH168" s="103">
        <v>12589.29852631579</v>
      </c>
      <c r="AI168" s="172">
        <v>4</v>
      </c>
      <c r="AK168" s="104">
        <f ca="1">IFERROR(OFFSET(ITEM_RES!$A$5,MATCH(AL168,ITEM_RES!$M$5:$M$84,0)-1,0),0)</f>
        <v>220000105</v>
      </c>
      <c r="AL168" s="103" t="s">
        <v>577</v>
      </c>
      <c r="AM168" s="104">
        <f t="shared" si="109"/>
        <v>5400</v>
      </c>
      <c r="AN168" s="103">
        <v>5428.1008870978112</v>
      </c>
      <c r="AP168" s="104">
        <f ca="1">IFERROR(OFFSET(ITEM_RES!$A$5,MATCH(AQ168,ITEM_RES!$M$5:$M$84,0)-1,0),0)</f>
        <v>220000205</v>
      </c>
      <c r="AQ168" s="103" t="s">
        <v>595</v>
      </c>
      <c r="AR168" s="104">
        <f t="shared" si="110"/>
        <v>2400</v>
      </c>
      <c r="AS168" s="103">
        <v>2442.6453991940152</v>
      </c>
      <c r="AU168" s="104">
        <f ca="1">IFERROR(OFFSET(ITEM_RES!$A$5,MATCH(AV168,ITEM_RES!$M$5:$M$84,0)-1,0),0)</f>
        <v>220000305</v>
      </c>
      <c r="AV168" s="103" t="s">
        <v>613</v>
      </c>
      <c r="AW168" s="104">
        <f t="shared" si="111"/>
        <v>1100</v>
      </c>
      <c r="AX168" s="103">
        <v>1085.6201774195622</v>
      </c>
      <c r="AZ168" s="104">
        <f ca="1">IFERROR(OFFSET(ITEM_RES!$A$5,MATCH(BA168,ITEM_RES!$M$5:$M$84,0)-1,0),0)</f>
        <v>220000405</v>
      </c>
      <c r="BA168" s="103" t="s">
        <v>631</v>
      </c>
      <c r="BB168" s="104">
        <f t="shared" si="112"/>
        <v>270</v>
      </c>
      <c r="BC168" s="103">
        <v>271.40504435489055</v>
      </c>
      <c r="BE168" s="104">
        <f ca="1">IFERROR(OFFSET(ITEM_RES!$A$5,MATCH(BF168,ITEM_RES!$M$5:$M$84,0)-1,0),0)</f>
        <v>0</v>
      </c>
      <c r="BG168" s="104">
        <f t="shared" si="113"/>
        <v>0</v>
      </c>
    </row>
    <row r="169" spans="1:59" x14ac:dyDescent="0.3">
      <c r="A169" s="107">
        <f t="shared" si="107"/>
        <v>112010015</v>
      </c>
      <c r="B169" s="106">
        <v>11</v>
      </c>
      <c r="C169" s="105">
        <f t="shared" si="108"/>
        <v>2</v>
      </c>
      <c r="D169" s="106">
        <v>1</v>
      </c>
      <c r="E169" s="106">
        <v>0</v>
      </c>
      <c r="F169" s="105">
        <f t="shared" si="82"/>
        <v>15</v>
      </c>
      <c r="H169" s="102">
        <v>2</v>
      </c>
      <c r="I169" s="102">
        <v>15</v>
      </c>
      <c r="K169" s="102" t="s">
        <v>1041</v>
      </c>
      <c r="L169" s="102" t="s">
        <v>776</v>
      </c>
      <c r="M169" s="103" t="s">
        <v>737</v>
      </c>
      <c r="N169" s="102">
        <v>0</v>
      </c>
      <c r="O169" s="102">
        <v>12</v>
      </c>
      <c r="P169" s="102" t="s">
        <v>749</v>
      </c>
      <c r="Q169" s="103" t="s">
        <v>1160</v>
      </c>
      <c r="R169" s="103">
        <v>112010015</v>
      </c>
      <c r="S169" s="104" t="str">
        <f t="shared" si="84"/>
        <v>UITexture/Bldg/112010015.png</v>
      </c>
      <c r="T169" s="102" t="s">
        <v>1047</v>
      </c>
      <c r="U169" s="102">
        <v>1</v>
      </c>
      <c r="V169" s="102">
        <v>1</v>
      </c>
      <c r="W169" s="102">
        <v>2</v>
      </c>
      <c r="Y169" s="104">
        <f t="shared" si="83"/>
        <v>201</v>
      </c>
      <c r="Z169" s="102">
        <v>150</v>
      </c>
      <c r="AA169" s="102">
        <v>1</v>
      </c>
      <c r="AB169" s="102">
        <v>1</v>
      </c>
      <c r="AC169" s="102">
        <v>0</v>
      </c>
      <c r="AD169" s="102" t="s">
        <v>539</v>
      </c>
      <c r="AE169" s="102">
        <v>15</v>
      </c>
      <c r="AG169" s="104">
        <f t="shared" si="85"/>
        <v>13848</v>
      </c>
      <c r="AH169" s="103">
        <v>13848.228378947371</v>
      </c>
      <c r="AI169" s="172">
        <v>4</v>
      </c>
      <c r="AK169" s="104">
        <f ca="1">IFERROR(OFFSET(ITEM_RES!$A$5,MATCH(AL169,ITEM_RES!$M$5:$M$84,0)-1,0),0)</f>
        <v>220000105</v>
      </c>
      <c r="AL169" s="103" t="s">
        <v>577</v>
      </c>
      <c r="AM169" s="104">
        <f t="shared" si="109"/>
        <v>7500</v>
      </c>
      <c r="AN169" s="103">
        <v>7463.6387197594904</v>
      </c>
      <c r="AP169" s="104">
        <f ca="1">IFERROR(OFFSET(ITEM_RES!$A$5,MATCH(AQ169,ITEM_RES!$M$5:$M$84,0)-1,0),0)</f>
        <v>220000205</v>
      </c>
      <c r="AQ169" s="103" t="s">
        <v>595</v>
      </c>
      <c r="AR169" s="104">
        <f t="shared" si="110"/>
        <v>3400</v>
      </c>
      <c r="AS169" s="103">
        <v>3358.6374238917706</v>
      </c>
      <c r="AU169" s="104">
        <f ca="1">IFERROR(OFFSET(ITEM_RES!$A$5,MATCH(AV169,ITEM_RES!$M$5:$M$84,0)-1,0),0)</f>
        <v>220000305</v>
      </c>
      <c r="AV169" s="103" t="s">
        <v>613</v>
      </c>
      <c r="AW169" s="104">
        <f t="shared" si="111"/>
        <v>1500</v>
      </c>
      <c r="AX169" s="103">
        <v>1492.727743951898</v>
      </c>
      <c r="AZ169" s="104">
        <f ca="1">IFERROR(OFFSET(ITEM_RES!$A$5,MATCH(BA169,ITEM_RES!$M$5:$M$84,0)-1,0),0)</f>
        <v>220000405</v>
      </c>
      <c r="BA169" s="103" t="s">
        <v>631</v>
      </c>
      <c r="BB169" s="104">
        <f t="shared" si="112"/>
        <v>370</v>
      </c>
      <c r="BC169" s="103">
        <v>373.1819359879745</v>
      </c>
      <c r="BE169" s="104">
        <f ca="1">IFERROR(OFFSET(ITEM_RES!$A$5,MATCH(BF169,ITEM_RES!$M$5:$M$84,0)-1,0),0)</f>
        <v>0</v>
      </c>
      <c r="BG169" s="104">
        <f t="shared" si="113"/>
        <v>0</v>
      </c>
    </row>
    <row r="170" spans="1:59" x14ac:dyDescent="0.3">
      <c r="A170" s="107">
        <f t="shared" si="107"/>
        <v>112010016</v>
      </c>
      <c r="B170" s="106">
        <v>11</v>
      </c>
      <c r="C170" s="105">
        <f t="shared" si="108"/>
        <v>2</v>
      </c>
      <c r="D170" s="106">
        <v>1</v>
      </c>
      <c r="E170" s="106">
        <v>0</v>
      </c>
      <c r="F170" s="105">
        <f t="shared" si="82"/>
        <v>16</v>
      </c>
      <c r="H170" s="102">
        <v>2</v>
      </c>
      <c r="I170" s="102">
        <v>16</v>
      </c>
      <c r="K170" s="102" t="s">
        <v>1041</v>
      </c>
      <c r="L170" s="102" t="s">
        <v>776</v>
      </c>
      <c r="M170" s="103" t="s">
        <v>737</v>
      </c>
      <c r="N170" s="102">
        <v>0</v>
      </c>
      <c r="O170" s="102">
        <v>12</v>
      </c>
      <c r="P170" s="102" t="s">
        <v>749</v>
      </c>
      <c r="Q170" s="103" t="s">
        <v>1160</v>
      </c>
      <c r="R170" s="103">
        <v>112010016</v>
      </c>
      <c r="S170" s="104" t="str">
        <f t="shared" si="84"/>
        <v>UITexture/Bldg/112010016.png</v>
      </c>
      <c r="T170" s="102" t="s">
        <v>1047</v>
      </c>
      <c r="U170" s="102">
        <v>1</v>
      </c>
      <c r="V170" s="102">
        <v>1</v>
      </c>
      <c r="W170" s="102">
        <v>2</v>
      </c>
      <c r="Y170" s="104">
        <f t="shared" si="83"/>
        <v>201</v>
      </c>
      <c r="Z170" s="102">
        <v>160</v>
      </c>
      <c r="AA170" s="102">
        <v>1</v>
      </c>
      <c r="AB170" s="102">
        <v>1</v>
      </c>
      <c r="AC170" s="102">
        <v>0</v>
      </c>
      <c r="AD170" s="102" t="s">
        <v>539</v>
      </c>
      <c r="AE170" s="102">
        <v>16</v>
      </c>
      <c r="AG170" s="104">
        <f t="shared" si="85"/>
        <v>15233</v>
      </c>
      <c r="AH170" s="103">
        <v>15233.051216842108</v>
      </c>
      <c r="AI170" s="172">
        <v>4</v>
      </c>
      <c r="AK170" s="104">
        <f ca="1">IFERROR(OFFSET(ITEM_RES!$A$5,MATCH(AL170,ITEM_RES!$M$5:$M$84,0)-1,0),0)</f>
        <v>220000106</v>
      </c>
      <c r="AL170" s="103" t="s">
        <v>578</v>
      </c>
      <c r="AM170" s="104">
        <f t="shared" si="109"/>
        <v>2100</v>
      </c>
      <c r="AN170" s="103">
        <v>2138.0215082644377</v>
      </c>
      <c r="AP170" s="104">
        <f ca="1">IFERROR(OFFSET(ITEM_RES!$A$5,MATCH(AQ170,ITEM_RES!$M$5:$M$84,0)-1,0),0)</f>
        <v>220000206</v>
      </c>
      <c r="AQ170" s="103" t="s">
        <v>596</v>
      </c>
      <c r="AR170" s="104">
        <f t="shared" si="110"/>
        <v>1300</v>
      </c>
      <c r="AS170" s="103">
        <v>1282.8129049586628</v>
      </c>
      <c r="AU170" s="104">
        <f ca="1">IFERROR(OFFSET(ITEM_RES!$A$5,MATCH(AV170,ITEM_RES!$M$5:$M$84,0)-1,0),0)</f>
        <v>220000306</v>
      </c>
      <c r="AV170" s="103" t="s">
        <v>614</v>
      </c>
      <c r="AW170" s="104">
        <f t="shared" si="111"/>
        <v>860</v>
      </c>
      <c r="AX170" s="103">
        <v>855.20860330577511</v>
      </c>
      <c r="AZ170" s="104">
        <f ca="1">IFERROR(OFFSET(ITEM_RES!$A$5,MATCH(BA170,ITEM_RES!$M$5:$M$84,0)-1,0),0)</f>
        <v>220000406</v>
      </c>
      <c r="BA170" s="103" t="s">
        <v>632</v>
      </c>
      <c r="BB170" s="104">
        <f t="shared" si="112"/>
        <v>430</v>
      </c>
      <c r="BC170" s="103">
        <v>427.60430165288756</v>
      </c>
      <c r="BE170" s="104">
        <f ca="1">IFERROR(OFFSET(ITEM_RES!$A$5,MATCH(BF170,ITEM_RES!$M$5:$M$84,0)-1,0),0)</f>
        <v>0</v>
      </c>
      <c r="BG170" s="104">
        <f t="shared" si="113"/>
        <v>0</v>
      </c>
    </row>
    <row r="171" spans="1:59" x14ac:dyDescent="0.3">
      <c r="A171" s="107">
        <f t="shared" si="107"/>
        <v>112010017</v>
      </c>
      <c r="B171" s="106">
        <v>11</v>
      </c>
      <c r="C171" s="105">
        <f t="shared" si="108"/>
        <v>2</v>
      </c>
      <c r="D171" s="106">
        <v>1</v>
      </c>
      <c r="E171" s="106">
        <v>0</v>
      </c>
      <c r="F171" s="105">
        <f t="shared" si="82"/>
        <v>17</v>
      </c>
      <c r="H171" s="102">
        <v>2</v>
      </c>
      <c r="I171" s="102">
        <v>17</v>
      </c>
      <c r="K171" s="102" t="s">
        <v>1041</v>
      </c>
      <c r="L171" s="102" t="s">
        <v>776</v>
      </c>
      <c r="M171" s="103" t="s">
        <v>737</v>
      </c>
      <c r="N171" s="102">
        <v>0</v>
      </c>
      <c r="O171" s="102">
        <v>12</v>
      </c>
      <c r="P171" s="102" t="s">
        <v>749</v>
      </c>
      <c r="Q171" s="103" t="s">
        <v>1160</v>
      </c>
      <c r="R171" s="103">
        <v>112010017</v>
      </c>
      <c r="S171" s="104" t="str">
        <f t="shared" si="84"/>
        <v>UITexture/Bldg/112010017.png</v>
      </c>
      <c r="T171" s="102" t="s">
        <v>1047</v>
      </c>
      <c r="U171" s="102">
        <v>1</v>
      </c>
      <c r="V171" s="102">
        <v>1</v>
      </c>
      <c r="W171" s="102">
        <v>2</v>
      </c>
      <c r="Y171" s="104">
        <f t="shared" si="83"/>
        <v>201</v>
      </c>
      <c r="Z171" s="102">
        <v>170</v>
      </c>
      <c r="AA171" s="102">
        <v>1</v>
      </c>
      <c r="AB171" s="102">
        <v>1</v>
      </c>
      <c r="AC171" s="102">
        <v>0</v>
      </c>
      <c r="AD171" s="102" t="s">
        <v>539</v>
      </c>
      <c r="AE171" s="102">
        <v>17</v>
      </c>
      <c r="AG171" s="104">
        <f t="shared" si="85"/>
        <v>22850</v>
      </c>
      <c r="AH171" s="103">
        <v>22849.576825263164</v>
      </c>
      <c r="AI171" s="172">
        <v>4</v>
      </c>
      <c r="AK171" s="104">
        <f ca="1">IFERROR(OFFSET(ITEM_RES!$A$5,MATCH(AL171,ITEM_RES!$M$5:$M$84,0)-1,0),0)</f>
        <v>220000106</v>
      </c>
      <c r="AL171" s="103" t="s">
        <v>578</v>
      </c>
      <c r="AM171" s="104">
        <f t="shared" si="109"/>
        <v>4000</v>
      </c>
      <c r="AN171" s="103">
        <v>4008.7903279958209</v>
      </c>
      <c r="AP171" s="104">
        <f ca="1">IFERROR(OFFSET(ITEM_RES!$A$5,MATCH(AQ171,ITEM_RES!$M$5:$M$84,0)-1,0),0)</f>
        <v>220000206</v>
      </c>
      <c r="AQ171" s="103" t="s">
        <v>596</v>
      </c>
      <c r="AR171" s="104">
        <f t="shared" si="110"/>
        <v>2400</v>
      </c>
      <c r="AS171" s="103">
        <v>2405.2741967974926</v>
      </c>
      <c r="AU171" s="104">
        <f ca="1">IFERROR(OFFSET(ITEM_RES!$A$5,MATCH(AV171,ITEM_RES!$M$5:$M$84,0)-1,0),0)</f>
        <v>220000306</v>
      </c>
      <c r="AV171" s="103" t="s">
        <v>614</v>
      </c>
      <c r="AW171" s="104">
        <f t="shared" si="111"/>
        <v>1600</v>
      </c>
      <c r="AX171" s="103">
        <v>1603.5161311983284</v>
      </c>
      <c r="AZ171" s="104">
        <f ca="1">IFERROR(OFFSET(ITEM_RES!$A$5,MATCH(BA171,ITEM_RES!$M$5:$M$84,0)-1,0),0)</f>
        <v>220000406</v>
      </c>
      <c r="BA171" s="103" t="s">
        <v>632</v>
      </c>
      <c r="BB171" s="104">
        <f t="shared" si="112"/>
        <v>800</v>
      </c>
      <c r="BC171" s="103">
        <v>801.75806559916418</v>
      </c>
      <c r="BE171" s="104">
        <f ca="1">IFERROR(OFFSET(ITEM_RES!$A$5,MATCH(BF171,ITEM_RES!$M$5:$M$84,0)-1,0),0)</f>
        <v>0</v>
      </c>
      <c r="BG171" s="104">
        <f t="shared" si="113"/>
        <v>0</v>
      </c>
    </row>
    <row r="172" spans="1:59" x14ac:dyDescent="0.3">
      <c r="A172" s="107">
        <f t="shared" si="107"/>
        <v>112010018</v>
      </c>
      <c r="B172" s="106">
        <v>11</v>
      </c>
      <c r="C172" s="105">
        <f t="shared" si="108"/>
        <v>2</v>
      </c>
      <c r="D172" s="106">
        <v>1</v>
      </c>
      <c r="E172" s="106">
        <v>0</v>
      </c>
      <c r="F172" s="105">
        <f t="shared" si="82"/>
        <v>18</v>
      </c>
      <c r="H172" s="102">
        <v>2</v>
      </c>
      <c r="I172" s="102">
        <v>18</v>
      </c>
      <c r="K172" s="102" t="s">
        <v>1041</v>
      </c>
      <c r="L172" s="102" t="s">
        <v>776</v>
      </c>
      <c r="M172" s="103" t="s">
        <v>737</v>
      </c>
      <c r="N172" s="102">
        <v>0</v>
      </c>
      <c r="O172" s="102">
        <v>12</v>
      </c>
      <c r="P172" s="102" t="s">
        <v>749</v>
      </c>
      <c r="Q172" s="103" t="s">
        <v>1160</v>
      </c>
      <c r="R172" s="103">
        <v>112010018</v>
      </c>
      <c r="S172" s="104" t="str">
        <f t="shared" si="84"/>
        <v>UITexture/Bldg/112010018.png</v>
      </c>
      <c r="T172" s="102" t="s">
        <v>1047</v>
      </c>
      <c r="U172" s="102">
        <v>1</v>
      </c>
      <c r="V172" s="102">
        <v>1</v>
      </c>
      <c r="W172" s="102">
        <v>2</v>
      </c>
      <c r="Y172" s="104">
        <f t="shared" si="83"/>
        <v>201</v>
      </c>
      <c r="Z172" s="102">
        <v>180</v>
      </c>
      <c r="AA172" s="102">
        <v>1</v>
      </c>
      <c r="AB172" s="102">
        <v>1</v>
      </c>
      <c r="AC172" s="102">
        <v>0</v>
      </c>
      <c r="AD172" s="102" t="s">
        <v>539</v>
      </c>
      <c r="AE172" s="102">
        <v>18</v>
      </c>
      <c r="AG172" s="104">
        <f t="shared" si="85"/>
        <v>34274</v>
      </c>
      <c r="AH172" s="103">
        <v>34274.365237894744</v>
      </c>
      <c r="AI172" s="172">
        <v>4</v>
      </c>
      <c r="AK172" s="104">
        <f ca="1">IFERROR(OFFSET(ITEM_RES!$A$5,MATCH(AL172,ITEM_RES!$M$5:$M$84,0)-1,0),0)</f>
        <v>220000106</v>
      </c>
      <c r="AL172" s="103" t="s">
        <v>578</v>
      </c>
      <c r="AM172" s="104">
        <f t="shared" si="109"/>
        <v>7500</v>
      </c>
      <c r="AN172" s="103">
        <v>7516.4818649921644</v>
      </c>
      <c r="AP172" s="104">
        <f ca="1">IFERROR(OFFSET(ITEM_RES!$A$5,MATCH(AQ172,ITEM_RES!$M$5:$M$84,0)-1,0),0)</f>
        <v>220000206</v>
      </c>
      <c r="AQ172" s="103" t="s">
        <v>596</v>
      </c>
      <c r="AR172" s="104">
        <f t="shared" si="110"/>
        <v>4500</v>
      </c>
      <c r="AS172" s="103">
        <v>4509.8891189952983</v>
      </c>
      <c r="AU172" s="104">
        <f ca="1">IFERROR(OFFSET(ITEM_RES!$A$5,MATCH(AV172,ITEM_RES!$M$5:$M$84,0)-1,0),0)</f>
        <v>220000306</v>
      </c>
      <c r="AV172" s="103" t="s">
        <v>614</v>
      </c>
      <c r="AW172" s="104">
        <f t="shared" si="111"/>
        <v>3000</v>
      </c>
      <c r="AX172" s="103">
        <v>3006.5927459968657</v>
      </c>
      <c r="AZ172" s="104">
        <f ca="1">IFERROR(OFFSET(ITEM_RES!$A$5,MATCH(BA172,ITEM_RES!$M$5:$M$84,0)-1,0),0)</f>
        <v>220000406</v>
      </c>
      <c r="BA172" s="103" t="s">
        <v>632</v>
      </c>
      <c r="BB172" s="104">
        <f t="shared" si="112"/>
        <v>1500</v>
      </c>
      <c r="BC172" s="103">
        <v>1503.2963729984328</v>
      </c>
      <c r="BE172" s="104">
        <f ca="1">IFERROR(OFFSET(ITEM_RES!$A$5,MATCH(BF172,ITEM_RES!$M$5:$M$84,0)-1,0),0)</f>
        <v>0</v>
      </c>
      <c r="BG172" s="104">
        <f t="shared" si="113"/>
        <v>0</v>
      </c>
    </row>
    <row r="173" spans="1:59" x14ac:dyDescent="0.3">
      <c r="A173" s="107">
        <f t="shared" si="107"/>
        <v>112010019</v>
      </c>
      <c r="B173" s="106">
        <v>11</v>
      </c>
      <c r="C173" s="105">
        <f t="shared" si="108"/>
        <v>2</v>
      </c>
      <c r="D173" s="106">
        <v>1</v>
      </c>
      <c r="E173" s="106">
        <v>0</v>
      </c>
      <c r="F173" s="105">
        <f t="shared" si="82"/>
        <v>19</v>
      </c>
      <c r="H173" s="102">
        <v>2</v>
      </c>
      <c r="I173" s="102">
        <v>19</v>
      </c>
      <c r="K173" s="102" t="s">
        <v>1041</v>
      </c>
      <c r="L173" s="102" t="s">
        <v>776</v>
      </c>
      <c r="M173" s="103" t="s">
        <v>737</v>
      </c>
      <c r="N173" s="102">
        <v>0</v>
      </c>
      <c r="O173" s="102">
        <v>12</v>
      </c>
      <c r="P173" s="102" t="s">
        <v>749</v>
      </c>
      <c r="Q173" s="103" t="s">
        <v>1160</v>
      </c>
      <c r="R173" s="103">
        <v>112010019</v>
      </c>
      <c r="S173" s="104" t="str">
        <f t="shared" si="84"/>
        <v>UITexture/Bldg/112010019.png</v>
      </c>
      <c r="T173" s="102" t="s">
        <v>1047</v>
      </c>
      <c r="U173" s="102">
        <v>1</v>
      </c>
      <c r="V173" s="102">
        <v>1</v>
      </c>
      <c r="W173" s="102">
        <v>2</v>
      </c>
      <c r="Y173" s="104">
        <f t="shared" si="83"/>
        <v>201</v>
      </c>
      <c r="Z173" s="102">
        <v>190</v>
      </c>
      <c r="AA173" s="102">
        <v>1</v>
      </c>
      <c r="AB173" s="102">
        <v>1</v>
      </c>
      <c r="AC173" s="102">
        <v>0</v>
      </c>
      <c r="AD173" s="102" t="s">
        <v>539</v>
      </c>
      <c r="AE173" s="102">
        <v>19</v>
      </c>
      <c r="AG173" s="104">
        <f t="shared" si="85"/>
        <v>41129</v>
      </c>
      <c r="AH173" s="103">
        <v>41129.238285473693</v>
      </c>
      <c r="AI173" s="172">
        <v>4</v>
      </c>
      <c r="AK173" s="104">
        <f ca="1">IFERROR(OFFSET(ITEM_RES!$A$5,MATCH(AL173,ITEM_RES!$M$5:$M$84,0)-1,0),0)</f>
        <v>220000107</v>
      </c>
      <c r="AL173" s="103" t="s">
        <v>579</v>
      </c>
      <c r="AM173" s="104">
        <f t="shared" si="109"/>
        <v>3800</v>
      </c>
      <c r="AN173" s="103">
        <v>3758.2409324960818</v>
      </c>
      <c r="AP173" s="104">
        <f ca="1">IFERROR(OFFSET(ITEM_RES!$A$5,MATCH(AQ173,ITEM_RES!$M$5:$M$84,0)-1,0),0)</f>
        <v>220000207</v>
      </c>
      <c r="AQ173" s="103" t="s">
        <v>597</v>
      </c>
      <c r="AR173" s="104">
        <f t="shared" si="110"/>
        <v>2300</v>
      </c>
      <c r="AS173" s="103">
        <v>2254.9445594976487</v>
      </c>
      <c r="AU173" s="104">
        <f ca="1">IFERROR(OFFSET(ITEM_RES!$A$5,MATCH(AV173,ITEM_RES!$M$5:$M$84,0)-1,0),0)</f>
        <v>220000307</v>
      </c>
      <c r="AV173" s="103" t="s">
        <v>615</v>
      </c>
      <c r="AW173" s="104">
        <f t="shared" si="111"/>
        <v>1500</v>
      </c>
      <c r="AX173" s="103">
        <v>1503.2963729984326</v>
      </c>
      <c r="AZ173" s="104">
        <f ca="1">IFERROR(OFFSET(ITEM_RES!$A$5,MATCH(BA173,ITEM_RES!$M$5:$M$84,0)-1,0),0)</f>
        <v>220000407</v>
      </c>
      <c r="BA173" s="103" t="s">
        <v>633</v>
      </c>
      <c r="BB173" s="104">
        <f t="shared" si="112"/>
        <v>750</v>
      </c>
      <c r="BC173" s="103">
        <v>751.64818649921631</v>
      </c>
      <c r="BE173" s="104">
        <f ca="1">IFERROR(OFFSET(ITEM_RES!$A$5,MATCH(BF173,ITEM_RES!$M$5:$M$84,0)-1,0),0)</f>
        <v>0</v>
      </c>
      <c r="BG173" s="104">
        <f t="shared" si="113"/>
        <v>0</v>
      </c>
    </row>
    <row r="174" spans="1:59" x14ac:dyDescent="0.3">
      <c r="A174" s="107">
        <f t="shared" si="107"/>
        <v>112010020</v>
      </c>
      <c r="B174" s="106">
        <v>11</v>
      </c>
      <c r="C174" s="105">
        <f t="shared" si="108"/>
        <v>2</v>
      </c>
      <c r="D174" s="106">
        <v>1</v>
      </c>
      <c r="E174" s="106">
        <v>0</v>
      </c>
      <c r="F174" s="105">
        <f t="shared" si="82"/>
        <v>20</v>
      </c>
      <c r="H174" s="102">
        <v>2</v>
      </c>
      <c r="I174" s="102">
        <v>20</v>
      </c>
      <c r="K174" s="102" t="s">
        <v>1041</v>
      </c>
      <c r="L174" s="102" t="s">
        <v>776</v>
      </c>
      <c r="M174" s="103" t="s">
        <v>737</v>
      </c>
      <c r="N174" s="102">
        <v>0</v>
      </c>
      <c r="O174" s="102">
        <v>12</v>
      </c>
      <c r="P174" s="102" t="s">
        <v>749</v>
      </c>
      <c r="Q174" s="103" t="s">
        <v>1160</v>
      </c>
      <c r="R174" s="103">
        <v>112010020</v>
      </c>
      <c r="S174" s="104" t="str">
        <f t="shared" si="84"/>
        <v>UITexture/Bldg/112010020.png</v>
      </c>
      <c r="T174" s="102" t="s">
        <v>1047</v>
      </c>
      <c r="U174" s="102">
        <v>1</v>
      </c>
      <c r="V174" s="102">
        <v>1</v>
      </c>
      <c r="W174" s="102">
        <v>2</v>
      </c>
      <c r="Y174" s="104">
        <f t="shared" si="83"/>
        <v>201</v>
      </c>
      <c r="Z174" s="102">
        <v>200</v>
      </c>
      <c r="AA174" s="102">
        <v>1</v>
      </c>
      <c r="AB174" s="102">
        <v>1</v>
      </c>
      <c r="AC174" s="102">
        <v>0</v>
      </c>
      <c r="AD174" s="102" t="s">
        <v>539</v>
      </c>
      <c r="AE174" s="102">
        <v>20</v>
      </c>
      <c r="AG174" s="104">
        <f t="shared" si="85"/>
        <v>45242</v>
      </c>
      <c r="AH174" s="103">
        <v>45242.162114021063</v>
      </c>
      <c r="AI174" s="172">
        <v>4</v>
      </c>
      <c r="AK174" s="104">
        <f ca="1">IFERROR(OFFSET(ITEM_RES!$A$5,MATCH(AL174,ITEM_RES!$M$5:$M$84,0)-1,0),0)</f>
        <v>220000107</v>
      </c>
      <c r="AL174" s="103" t="s">
        <v>579</v>
      </c>
      <c r="AM174" s="104">
        <f t="shared" si="109"/>
        <v>5200</v>
      </c>
      <c r="AN174" s="103">
        <v>5167.5812821821128</v>
      </c>
      <c r="AP174" s="104">
        <f ca="1">IFERROR(OFFSET(ITEM_RES!$A$5,MATCH(AQ174,ITEM_RES!$M$5:$M$84,0)-1,0),0)</f>
        <v>220000207</v>
      </c>
      <c r="AQ174" s="103" t="s">
        <v>597</v>
      </c>
      <c r="AR174" s="104">
        <f t="shared" si="110"/>
        <v>3100</v>
      </c>
      <c r="AS174" s="103">
        <v>3100.5487693092673</v>
      </c>
      <c r="AU174" s="104">
        <f ca="1">IFERROR(OFFSET(ITEM_RES!$A$5,MATCH(AV174,ITEM_RES!$M$5:$M$84,0)-1,0),0)</f>
        <v>220000307</v>
      </c>
      <c r="AV174" s="103" t="s">
        <v>615</v>
      </c>
      <c r="AW174" s="104">
        <f t="shared" si="111"/>
        <v>2100</v>
      </c>
      <c r="AX174" s="103">
        <v>2067.032512872845</v>
      </c>
      <c r="AZ174" s="104">
        <f ca="1">IFERROR(OFFSET(ITEM_RES!$A$5,MATCH(BA174,ITEM_RES!$M$5:$M$84,0)-1,0),0)</f>
        <v>220000407</v>
      </c>
      <c r="BA174" s="103" t="s">
        <v>633</v>
      </c>
      <c r="BB174" s="104">
        <f t="shared" si="112"/>
        <v>1000</v>
      </c>
      <c r="BC174" s="103">
        <v>1033.5162564364225</v>
      </c>
      <c r="BE174" s="104">
        <f ca="1">IFERROR(OFFSET(ITEM_RES!$A$5,MATCH(BF174,ITEM_RES!$M$5:$M$84,0)-1,0),0)</f>
        <v>0</v>
      </c>
      <c r="BG174" s="104">
        <f t="shared" si="113"/>
        <v>0</v>
      </c>
    </row>
    <row r="175" spans="1:59" x14ac:dyDescent="0.3">
      <c r="A175" s="107">
        <f t="shared" si="107"/>
        <v>112010021</v>
      </c>
      <c r="B175" s="106">
        <v>11</v>
      </c>
      <c r="C175" s="105">
        <f t="shared" si="108"/>
        <v>2</v>
      </c>
      <c r="D175" s="106">
        <v>1</v>
      </c>
      <c r="E175" s="106">
        <v>0</v>
      </c>
      <c r="F175" s="105">
        <f t="shared" si="82"/>
        <v>21</v>
      </c>
      <c r="H175" s="102">
        <v>2</v>
      </c>
      <c r="I175" s="102">
        <v>21</v>
      </c>
      <c r="K175" s="102" t="s">
        <v>1041</v>
      </c>
      <c r="L175" s="102" t="s">
        <v>776</v>
      </c>
      <c r="M175" s="103" t="s">
        <v>737</v>
      </c>
      <c r="N175" s="102">
        <v>0</v>
      </c>
      <c r="O175" s="102">
        <v>12</v>
      </c>
      <c r="P175" s="102" t="s">
        <v>749</v>
      </c>
      <c r="Q175" s="103" t="s">
        <v>1160</v>
      </c>
      <c r="R175" s="103">
        <v>112010021</v>
      </c>
      <c r="S175" s="104" t="str">
        <f t="shared" si="84"/>
        <v>UITexture/Bldg/112010021.png</v>
      </c>
      <c r="T175" s="102" t="s">
        <v>1047</v>
      </c>
      <c r="U175" s="102">
        <v>1</v>
      </c>
      <c r="V175" s="102">
        <v>1</v>
      </c>
      <c r="W175" s="102">
        <v>2</v>
      </c>
      <c r="Y175" s="104">
        <f t="shared" si="83"/>
        <v>201</v>
      </c>
      <c r="Z175" s="102">
        <v>210</v>
      </c>
      <c r="AA175" s="102">
        <v>1</v>
      </c>
      <c r="AB175" s="102">
        <v>1</v>
      </c>
      <c r="AC175" s="102">
        <v>0</v>
      </c>
      <c r="AD175" s="102" t="s">
        <v>539</v>
      </c>
      <c r="AE175" s="102">
        <v>21</v>
      </c>
      <c r="AG175" s="104">
        <f t="shared" si="85"/>
        <v>48862</v>
      </c>
      <c r="AH175" s="103">
        <v>48861.535083142757</v>
      </c>
      <c r="AI175" s="172">
        <v>4</v>
      </c>
      <c r="AK175" s="104">
        <f ca="1">IFERROR(OFFSET(ITEM_RES!$A$5,MATCH(AL175,ITEM_RES!$M$5:$M$84,0)-1,0),0)</f>
        <v>220000107</v>
      </c>
      <c r="AL175" s="103" t="s">
        <v>579</v>
      </c>
      <c r="AM175" s="104">
        <f t="shared" si="109"/>
        <v>7000</v>
      </c>
      <c r="AN175" s="103">
        <v>6976.2347309458528</v>
      </c>
      <c r="AP175" s="104">
        <f ca="1">IFERROR(OFFSET(ITEM_RES!$A$5,MATCH(AQ175,ITEM_RES!$M$5:$M$84,0)-1,0),0)</f>
        <v>220000207</v>
      </c>
      <c r="AQ175" s="103" t="s">
        <v>597</v>
      </c>
      <c r="AR175" s="104">
        <f t="shared" si="110"/>
        <v>4200</v>
      </c>
      <c r="AS175" s="103">
        <v>4185.7408385675117</v>
      </c>
      <c r="AU175" s="104">
        <f ca="1">IFERROR(OFFSET(ITEM_RES!$A$5,MATCH(AV175,ITEM_RES!$M$5:$M$84,0)-1,0),0)</f>
        <v>220000307</v>
      </c>
      <c r="AV175" s="103" t="s">
        <v>615</v>
      </c>
      <c r="AW175" s="104">
        <f t="shared" si="111"/>
        <v>2800</v>
      </c>
      <c r="AX175" s="103">
        <v>2790.4938923783411</v>
      </c>
      <c r="AZ175" s="104">
        <f ca="1">IFERROR(OFFSET(ITEM_RES!$A$5,MATCH(BA175,ITEM_RES!$M$5:$M$84,0)-1,0),0)</f>
        <v>220000407</v>
      </c>
      <c r="BA175" s="103" t="s">
        <v>633</v>
      </c>
      <c r="BB175" s="104">
        <f t="shared" si="112"/>
        <v>1400</v>
      </c>
      <c r="BC175" s="103">
        <v>1395.2469461891706</v>
      </c>
      <c r="BE175" s="104">
        <f ca="1">IFERROR(OFFSET(ITEM_RES!$A$5,MATCH(BF175,ITEM_RES!$M$5:$M$84,0)-1,0),0)</f>
        <v>0</v>
      </c>
      <c r="BG175" s="104">
        <f t="shared" si="113"/>
        <v>0</v>
      </c>
    </row>
    <row r="176" spans="1:59" x14ac:dyDescent="0.3">
      <c r="A176" s="107">
        <f t="shared" si="107"/>
        <v>112010022</v>
      </c>
      <c r="B176" s="106">
        <v>11</v>
      </c>
      <c r="C176" s="105">
        <f t="shared" si="108"/>
        <v>2</v>
      </c>
      <c r="D176" s="106">
        <v>1</v>
      </c>
      <c r="E176" s="106">
        <v>0</v>
      </c>
      <c r="F176" s="105">
        <f t="shared" si="82"/>
        <v>22</v>
      </c>
      <c r="H176" s="102">
        <v>2</v>
      </c>
      <c r="I176" s="102">
        <v>22</v>
      </c>
      <c r="K176" s="102" t="s">
        <v>1041</v>
      </c>
      <c r="L176" s="102" t="s">
        <v>776</v>
      </c>
      <c r="M176" s="103" t="s">
        <v>737</v>
      </c>
      <c r="N176" s="102">
        <v>0</v>
      </c>
      <c r="O176" s="102">
        <v>12</v>
      </c>
      <c r="P176" s="102" t="s">
        <v>749</v>
      </c>
      <c r="Q176" s="103" t="s">
        <v>1160</v>
      </c>
      <c r="R176" s="103">
        <v>112010022</v>
      </c>
      <c r="S176" s="104" t="str">
        <f t="shared" si="84"/>
        <v>UITexture/Bldg/112010022.png</v>
      </c>
      <c r="T176" s="102" t="s">
        <v>1047</v>
      </c>
      <c r="U176" s="102">
        <v>1</v>
      </c>
      <c r="V176" s="102">
        <v>1</v>
      </c>
      <c r="W176" s="102">
        <v>2</v>
      </c>
      <c r="Y176" s="104">
        <f t="shared" si="83"/>
        <v>201</v>
      </c>
      <c r="Z176" s="102">
        <v>220</v>
      </c>
      <c r="AA176" s="102">
        <v>1</v>
      </c>
      <c r="AB176" s="102">
        <v>1</v>
      </c>
      <c r="AC176" s="102">
        <v>0</v>
      </c>
      <c r="AD176" s="102" t="s">
        <v>539</v>
      </c>
      <c r="AE176" s="102">
        <v>22</v>
      </c>
      <c r="AG176" s="104">
        <f t="shared" si="85"/>
        <v>52282</v>
      </c>
      <c r="AH176" s="103">
        <v>52281.842538962752</v>
      </c>
      <c r="AI176" s="172">
        <v>4</v>
      </c>
      <c r="AK176" s="104">
        <f ca="1">IFERROR(OFFSET(ITEM_RES!$A$5,MATCH(AL176,ITEM_RES!$M$5:$M$84,0)-1,0),0)</f>
        <v>220000108</v>
      </c>
      <c r="AL176" s="103" t="s">
        <v>580</v>
      </c>
      <c r="AM176" s="104">
        <f t="shared" si="109"/>
        <v>3100</v>
      </c>
      <c r="AN176" s="103">
        <v>3110.2379842133591</v>
      </c>
      <c r="AP176" s="104">
        <f ca="1">IFERROR(OFFSET(ITEM_RES!$A$5,MATCH(AQ176,ITEM_RES!$M$5:$M$84,0)-1,0),0)</f>
        <v>220000208</v>
      </c>
      <c r="AQ176" s="103" t="s">
        <v>598</v>
      </c>
      <c r="AR176" s="104">
        <f t="shared" si="110"/>
        <v>1900</v>
      </c>
      <c r="AS176" s="103">
        <v>1866.1427905280157</v>
      </c>
      <c r="AU176" s="104">
        <f ca="1">IFERROR(OFFSET(ITEM_RES!$A$5,MATCH(AV176,ITEM_RES!$M$5:$M$84,0)-1,0),0)</f>
        <v>220000308</v>
      </c>
      <c r="AV176" s="103" t="s">
        <v>616</v>
      </c>
      <c r="AW176" s="104">
        <f t="shared" si="111"/>
        <v>1200</v>
      </c>
      <c r="AX176" s="103">
        <v>1244.0951936853437</v>
      </c>
      <c r="AZ176" s="104">
        <f ca="1">IFERROR(OFFSET(ITEM_RES!$A$5,MATCH(BA176,ITEM_RES!$M$5:$M$84,0)-1,0),0)</f>
        <v>220000408</v>
      </c>
      <c r="BA176" s="103" t="s">
        <v>634</v>
      </c>
      <c r="BB176" s="104">
        <f t="shared" si="112"/>
        <v>620</v>
      </c>
      <c r="BC176" s="103">
        <v>622.04759684267185</v>
      </c>
      <c r="BE176" s="104">
        <f ca="1">IFERROR(OFFSET(ITEM_RES!$A$5,MATCH(BF176,ITEM_RES!$M$5:$M$84,0)-1,0),0)</f>
        <v>0</v>
      </c>
      <c r="BG176" s="104">
        <f t="shared" si="113"/>
        <v>0</v>
      </c>
    </row>
    <row r="177" spans="1:60" x14ac:dyDescent="0.3">
      <c r="A177" s="107">
        <f t="shared" si="107"/>
        <v>112010023</v>
      </c>
      <c r="B177" s="106">
        <v>11</v>
      </c>
      <c r="C177" s="105">
        <f t="shared" si="108"/>
        <v>2</v>
      </c>
      <c r="D177" s="106">
        <v>1</v>
      </c>
      <c r="E177" s="106">
        <v>0</v>
      </c>
      <c r="F177" s="105">
        <f t="shared" si="82"/>
        <v>23</v>
      </c>
      <c r="H177" s="102">
        <v>2</v>
      </c>
      <c r="I177" s="102">
        <v>23</v>
      </c>
      <c r="K177" s="102" t="s">
        <v>1041</v>
      </c>
      <c r="L177" s="102" t="s">
        <v>776</v>
      </c>
      <c r="M177" s="103" t="s">
        <v>737</v>
      </c>
      <c r="N177" s="102">
        <v>0</v>
      </c>
      <c r="O177" s="102">
        <v>12</v>
      </c>
      <c r="P177" s="102" t="s">
        <v>749</v>
      </c>
      <c r="Q177" s="103" t="s">
        <v>1160</v>
      </c>
      <c r="R177" s="103">
        <v>112010023</v>
      </c>
      <c r="S177" s="104" t="str">
        <f t="shared" si="84"/>
        <v>UITexture/Bldg/112010023.png</v>
      </c>
      <c r="T177" s="102" t="s">
        <v>1047</v>
      </c>
      <c r="U177" s="102">
        <v>1</v>
      </c>
      <c r="V177" s="102">
        <v>1</v>
      </c>
      <c r="W177" s="102">
        <v>2</v>
      </c>
      <c r="Y177" s="104">
        <f t="shared" si="83"/>
        <v>201</v>
      </c>
      <c r="Z177" s="102">
        <v>230</v>
      </c>
      <c r="AA177" s="102">
        <v>1</v>
      </c>
      <c r="AB177" s="102">
        <v>1</v>
      </c>
      <c r="AC177" s="102">
        <v>0</v>
      </c>
      <c r="AD177" s="102" t="s">
        <v>539</v>
      </c>
      <c r="AE177" s="102">
        <v>23</v>
      </c>
      <c r="AG177" s="104">
        <f t="shared" si="85"/>
        <v>55419</v>
      </c>
      <c r="AH177" s="103">
        <v>55418.753091300518</v>
      </c>
      <c r="AI177" s="172">
        <v>4</v>
      </c>
      <c r="AK177" s="104">
        <f ca="1">IFERROR(OFFSET(ITEM_RES!$A$5,MATCH(AL177,ITEM_RES!$M$5:$M$84,0)-1,0),0)</f>
        <v>220000108</v>
      </c>
      <c r="AL177" s="103" t="s">
        <v>580</v>
      </c>
      <c r="AM177" s="104">
        <f t="shared" si="109"/>
        <v>4100</v>
      </c>
      <c r="AN177" s="103">
        <v>4121.0653290827022</v>
      </c>
      <c r="AP177" s="104">
        <f ca="1">IFERROR(OFFSET(ITEM_RES!$A$5,MATCH(AQ177,ITEM_RES!$M$5:$M$84,0)-1,0),0)</f>
        <v>220000208</v>
      </c>
      <c r="AQ177" s="103" t="s">
        <v>598</v>
      </c>
      <c r="AR177" s="104">
        <f t="shared" si="110"/>
        <v>2500</v>
      </c>
      <c r="AS177" s="103">
        <v>2472.639197449621</v>
      </c>
      <c r="AU177" s="104">
        <f ca="1">IFERROR(OFFSET(ITEM_RES!$A$5,MATCH(AV177,ITEM_RES!$M$5:$M$84,0)-1,0),0)</f>
        <v>220000308</v>
      </c>
      <c r="AV177" s="103" t="s">
        <v>616</v>
      </c>
      <c r="AW177" s="104">
        <f t="shared" si="111"/>
        <v>1600</v>
      </c>
      <c r="AX177" s="103">
        <v>1648.4261316330808</v>
      </c>
      <c r="AZ177" s="104">
        <f ca="1">IFERROR(OFFSET(ITEM_RES!$A$5,MATCH(BA177,ITEM_RES!$M$5:$M$84,0)-1,0),0)</f>
        <v>220000408</v>
      </c>
      <c r="BA177" s="103" t="s">
        <v>634</v>
      </c>
      <c r="BB177" s="104">
        <f t="shared" si="112"/>
        <v>820</v>
      </c>
      <c r="BC177" s="103">
        <v>824.21306581654039</v>
      </c>
      <c r="BE177" s="104">
        <f ca="1">IFERROR(OFFSET(ITEM_RES!$A$5,MATCH(BF177,ITEM_RES!$M$5:$M$84,0)-1,0),0)</f>
        <v>0</v>
      </c>
      <c r="BG177" s="104">
        <f t="shared" si="113"/>
        <v>0</v>
      </c>
    </row>
    <row r="178" spans="1:60" x14ac:dyDescent="0.3">
      <c r="A178" s="107">
        <f t="shared" si="107"/>
        <v>112010024</v>
      </c>
      <c r="B178" s="106">
        <v>11</v>
      </c>
      <c r="C178" s="105">
        <f t="shared" si="108"/>
        <v>2</v>
      </c>
      <c r="D178" s="106">
        <v>1</v>
      </c>
      <c r="E178" s="106">
        <v>0</v>
      </c>
      <c r="F178" s="105">
        <f t="shared" si="82"/>
        <v>24</v>
      </c>
      <c r="H178" s="102">
        <v>2</v>
      </c>
      <c r="I178" s="102">
        <v>24</v>
      </c>
      <c r="K178" s="102" t="s">
        <v>1041</v>
      </c>
      <c r="L178" s="102" t="s">
        <v>776</v>
      </c>
      <c r="M178" s="103" t="s">
        <v>737</v>
      </c>
      <c r="N178" s="102">
        <v>0</v>
      </c>
      <c r="O178" s="102">
        <v>12</v>
      </c>
      <c r="P178" s="102" t="s">
        <v>749</v>
      </c>
      <c r="Q178" s="103" t="s">
        <v>1160</v>
      </c>
      <c r="R178" s="103">
        <v>112010024</v>
      </c>
      <c r="S178" s="104" t="str">
        <f t="shared" si="84"/>
        <v>UITexture/Bldg/112010024.png</v>
      </c>
      <c r="T178" s="102" t="s">
        <v>1047</v>
      </c>
      <c r="U178" s="102">
        <v>1</v>
      </c>
      <c r="V178" s="102">
        <v>1</v>
      </c>
      <c r="W178" s="102">
        <v>2</v>
      </c>
      <c r="Y178" s="104">
        <f t="shared" si="83"/>
        <v>201</v>
      </c>
      <c r="Z178" s="102">
        <v>240</v>
      </c>
      <c r="AA178" s="102">
        <v>1</v>
      </c>
      <c r="AB178" s="102">
        <v>1</v>
      </c>
      <c r="AC178" s="102">
        <v>0</v>
      </c>
      <c r="AD178" s="102" t="s">
        <v>539</v>
      </c>
      <c r="AE178" s="102">
        <v>24</v>
      </c>
      <c r="AG178" s="104">
        <f t="shared" si="85"/>
        <v>58190</v>
      </c>
      <c r="AH178" s="103">
        <v>58189.690745865548</v>
      </c>
      <c r="AI178" s="172">
        <v>4</v>
      </c>
      <c r="AK178" s="104">
        <f ca="1">IFERROR(OFFSET(ITEM_RES!$A$5,MATCH(AL178,ITEM_RES!$M$5:$M$84,0)-1,0),0)</f>
        <v>220000108</v>
      </c>
      <c r="AL178" s="103" t="s">
        <v>580</v>
      </c>
      <c r="AM178" s="104">
        <f t="shared" si="109"/>
        <v>5400</v>
      </c>
      <c r="AN178" s="103">
        <v>5408.8982444210451</v>
      </c>
      <c r="AP178" s="104">
        <f ca="1">IFERROR(OFFSET(ITEM_RES!$A$5,MATCH(AQ178,ITEM_RES!$M$5:$M$84,0)-1,0),0)</f>
        <v>220000208</v>
      </c>
      <c r="AQ178" s="103" t="s">
        <v>598</v>
      </c>
      <c r="AR178" s="104">
        <f t="shared" si="110"/>
        <v>3200</v>
      </c>
      <c r="AS178" s="103">
        <v>3245.3389466526273</v>
      </c>
      <c r="AU178" s="104">
        <f ca="1">IFERROR(OFFSET(ITEM_RES!$A$5,MATCH(AV178,ITEM_RES!$M$5:$M$84,0)-1,0),0)</f>
        <v>220000308</v>
      </c>
      <c r="AV178" s="103" t="s">
        <v>616</v>
      </c>
      <c r="AW178" s="104">
        <f t="shared" si="111"/>
        <v>2200</v>
      </c>
      <c r="AX178" s="103">
        <v>2163.5592977684182</v>
      </c>
      <c r="AZ178" s="104">
        <f ca="1">IFERROR(OFFSET(ITEM_RES!$A$5,MATCH(BA178,ITEM_RES!$M$5:$M$84,0)-1,0),0)</f>
        <v>220000408</v>
      </c>
      <c r="BA178" s="103" t="s">
        <v>634</v>
      </c>
      <c r="BB178" s="104">
        <f t="shared" si="112"/>
        <v>1100</v>
      </c>
      <c r="BC178" s="103">
        <v>1081.7796488842091</v>
      </c>
      <c r="BE178" s="104">
        <f ca="1">IFERROR(OFFSET(ITEM_RES!$A$5,MATCH(BF178,ITEM_RES!$M$5:$M$84,0)-1,0),0)</f>
        <v>0</v>
      </c>
      <c r="BG178" s="104">
        <f t="shared" si="113"/>
        <v>0</v>
      </c>
    </row>
    <row r="179" spans="1:60" x14ac:dyDescent="0.3">
      <c r="A179" s="107">
        <f t="shared" si="107"/>
        <v>112010025</v>
      </c>
      <c r="B179" s="106">
        <v>11</v>
      </c>
      <c r="C179" s="105">
        <f t="shared" si="108"/>
        <v>2</v>
      </c>
      <c r="D179" s="106">
        <v>1</v>
      </c>
      <c r="E179" s="106">
        <v>0</v>
      </c>
      <c r="F179" s="105">
        <f t="shared" si="82"/>
        <v>25</v>
      </c>
      <c r="H179" s="102">
        <v>2</v>
      </c>
      <c r="I179" s="102">
        <v>25</v>
      </c>
      <c r="K179" s="102" t="s">
        <v>1041</v>
      </c>
      <c r="L179" s="102" t="s">
        <v>776</v>
      </c>
      <c r="M179" s="103" t="s">
        <v>737</v>
      </c>
      <c r="N179" s="102">
        <v>0</v>
      </c>
      <c r="O179" s="102">
        <v>12</v>
      </c>
      <c r="P179" s="102" t="s">
        <v>749</v>
      </c>
      <c r="Q179" s="103" t="s">
        <v>1160</v>
      </c>
      <c r="R179" s="103">
        <v>112010025</v>
      </c>
      <c r="S179" s="104" t="str">
        <f t="shared" si="84"/>
        <v>UITexture/Bldg/112010025.png</v>
      </c>
      <c r="T179" s="102" t="s">
        <v>1047</v>
      </c>
      <c r="U179" s="102">
        <v>1</v>
      </c>
      <c r="V179" s="102">
        <v>1</v>
      </c>
      <c r="W179" s="102">
        <v>2</v>
      </c>
      <c r="Y179" s="104">
        <f t="shared" si="83"/>
        <v>201</v>
      </c>
      <c r="Z179" s="102">
        <v>250</v>
      </c>
      <c r="AA179" s="102">
        <v>1</v>
      </c>
      <c r="AB179" s="102">
        <v>1</v>
      </c>
      <c r="AC179" s="102">
        <v>0</v>
      </c>
      <c r="AD179" s="102" t="s">
        <v>539</v>
      </c>
      <c r="AE179" s="102">
        <v>25</v>
      </c>
      <c r="AG179" s="104">
        <f t="shared" si="85"/>
        <v>61099</v>
      </c>
      <c r="AH179" s="103">
        <v>61099.175283158824</v>
      </c>
      <c r="AI179" s="172">
        <v>4</v>
      </c>
      <c r="AK179" s="104">
        <f ca="1">IFERROR(OFFSET(ITEM_RES!$A$5,MATCH(AL179,ITEM_RES!$M$5:$M$84,0)-1,0),0)</f>
        <v>220000109</v>
      </c>
      <c r="AL179" s="103" t="s">
        <v>581</v>
      </c>
      <c r="AM179" s="104">
        <f t="shared" si="109"/>
        <v>2400</v>
      </c>
      <c r="AN179" s="103">
        <v>2366.3929819342079</v>
      </c>
      <c r="AP179" s="104">
        <f ca="1">IFERROR(OFFSET(ITEM_RES!$A$5,MATCH(AQ179,ITEM_RES!$M$5:$M$84,0)-1,0),0)</f>
        <v>220000209</v>
      </c>
      <c r="AQ179" s="103" t="s">
        <v>599</v>
      </c>
      <c r="AR179" s="104">
        <f t="shared" si="110"/>
        <v>1400</v>
      </c>
      <c r="AS179" s="103">
        <v>1419.8357891605247</v>
      </c>
      <c r="AU179" s="104">
        <f ca="1">IFERROR(OFFSET(ITEM_RES!$A$5,MATCH(AV179,ITEM_RES!$M$5:$M$84,0)-1,0),0)</f>
        <v>220000309</v>
      </c>
      <c r="AV179" s="103" t="s">
        <v>617</v>
      </c>
      <c r="AW179" s="104">
        <f t="shared" si="111"/>
        <v>950</v>
      </c>
      <c r="AX179" s="103">
        <v>946.55719277368314</v>
      </c>
      <c r="AZ179" s="104">
        <f ca="1">IFERROR(OFFSET(ITEM_RES!$A$5,MATCH(BA179,ITEM_RES!$M$5:$M$84,0)-1,0),0)</f>
        <v>220000409</v>
      </c>
      <c r="BA179" s="103" t="s">
        <v>635</v>
      </c>
      <c r="BB179" s="104">
        <f t="shared" si="112"/>
        <v>470</v>
      </c>
      <c r="BC179" s="103">
        <v>473.27859638684157</v>
      </c>
      <c r="BE179" s="104">
        <f ca="1">IFERROR(OFFSET(ITEM_RES!$A$5,MATCH(BF179,ITEM_RES!$M$5:$M$84,0)-1,0),0)</f>
        <v>0</v>
      </c>
      <c r="BG179" s="104">
        <f t="shared" si="113"/>
        <v>0</v>
      </c>
    </row>
    <row r="180" spans="1:60" x14ac:dyDescent="0.3">
      <c r="A180" s="107">
        <f t="shared" ref="A180:A184" si="114">B180*10000000+C180*1000000+D180*10000+E180*100+F180</f>
        <v>112010026</v>
      </c>
      <c r="B180" s="106">
        <v>11</v>
      </c>
      <c r="C180" s="105">
        <f t="shared" ref="C180:C214" si="115">H180</f>
        <v>2</v>
      </c>
      <c r="D180" s="106">
        <v>1</v>
      </c>
      <c r="E180" s="106">
        <v>0</v>
      </c>
      <c r="F180" s="105">
        <f t="shared" si="82"/>
        <v>26</v>
      </c>
      <c r="H180" s="102">
        <v>2</v>
      </c>
      <c r="I180" s="102">
        <v>26</v>
      </c>
      <c r="K180" s="102" t="s">
        <v>1041</v>
      </c>
      <c r="L180" s="102" t="s">
        <v>776</v>
      </c>
      <c r="M180" s="103" t="s">
        <v>737</v>
      </c>
      <c r="N180" s="102">
        <v>0</v>
      </c>
      <c r="O180" s="102">
        <v>12</v>
      </c>
      <c r="P180" s="102" t="s">
        <v>749</v>
      </c>
      <c r="Q180" s="103" t="s">
        <v>1160</v>
      </c>
      <c r="R180" s="103">
        <v>112010026</v>
      </c>
      <c r="S180" s="104" t="str">
        <f t="shared" si="84"/>
        <v>UITexture/Bldg/112010026.png</v>
      </c>
      <c r="T180" s="102" t="s">
        <v>1047</v>
      </c>
      <c r="U180" s="102">
        <v>1</v>
      </c>
      <c r="V180" s="102">
        <v>1</v>
      </c>
      <c r="W180" s="102">
        <v>2</v>
      </c>
      <c r="Y180" s="104">
        <f t="shared" si="83"/>
        <v>201</v>
      </c>
      <c r="Z180" s="102">
        <v>260</v>
      </c>
      <c r="AA180" s="102">
        <v>1</v>
      </c>
      <c r="AB180" s="102">
        <v>1</v>
      </c>
      <c r="AC180" s="102">
        <v>0</v>
      </c>
      <c r="AD180" s="102" t="s">
        <v>539</v>
      </c>
      <c r="AE180" s="102">
        <v>26</v>
      </c>
      <c r="AG180" s="104">
        <f t="shared" si="85"/>
        <v>63543</v>
      </c>
      <c r="AH180" s="103">
        <v>63543.14229448518</v>
      </c>
      <c r="AI180" s="172">
        <v>4</v>
      </c>
      <c r="AK180" s="104">
        <f ca="1">IFERROR(OFFSET(ITEM_RES!$A$5,MATCH(AL180,ITEM_RES!$M$5:$M$84,0)-1,0),0)</f>
        <v>220000109</v>
      </c>
      <c r="AL180" s="103" t="s">
        <v>581</v>
      </c>
      <c r="AM180" s="104">
        <f t="shared" ref="AM180:AM214" si="116">IF(AN180&lt;100,ROUND(AN180,1-LEN(ROUND(AN180,0))),ROUND(AN180,2-LEN(ROUND(AN180,0))))</f>
        <v>3000</v>
      </c>
      <c r="AN180" s="103">
        <v>2953.2584414538906</v>
      </c>
      <c r="AP180" s="104">
        <f ca="1">IFERROR(OFFSET(ITEM_RES!$A$5,MATCH(AQ180,ITEM_RES!$M$5:$M$84,0)-1,0),0)</f>
        <v>220000209</v>
      </c>
      <c r="AQ180" s="103" t="s">
        <v>599</v>
      </c>
      <c r="AR180" s="104">
        <f t="shared" ref="AR180:AR184" si="117">IF(AS180&lt;100,ROUND(AS180,1-LEN(ROUND(AS180,0))),ROUND(AS180,2-LEN(ROUND(AS180,0))))</f>
        <v>1800</v>
      </c>
      <c r="AS180" s="103">
        <v>1771.9550648723343</v>
      </c>
      <c r="AU180" s="104">
        <f ca="1">IFERROR(OFFSET(ITEM_RES!$A$5,MATCH(AV180,ITEM_RES!$M$5:$M$84,0)-1,0),0)</f>
        <v>220000309</v>
      </c>
      <c r="AV180" s="103" t="s">
        <v>617</v>
      </c>
      <c r="AW180" s="104">
        <f t="shared" ref="AW180:AW184" si="118">IF(AX180&lt;100,ROUND(AX180,1-LEN(ROUND(AX180,0))),ROUND(AX180,2-LEN(ROUND(AX180,0))))</f>
        <v>1200</v>
      </c>
      <c r="AX180" s="103">
        <v>1181.3033765815562</v>
      </c>
      <c r="AZ180" s="104">
        <f ca="1">IFERROR(OFFSET(ITEM_RES!$A$5,MATCH(BA180,ITEM_RES!$M$5:$M$84,0)-1,0),0)</f>
        <v>220000409</v>
      </c>
      <c r="BA180" s="103" t="s">
        <v>635</v>
      </c>
      <c r="BB180" s="104">
        <f t="shared" ref="BB180:BB184" si="119">IF(BC180&lt;100,ROUND(BC180,1-LEN(ROUND(BC180,0))),ROUND(BC180,2-LEN(ROUND(BC180,0))))</f>
        <v>590</v>
      </c>
      <c r="BC180" s="103">
        <v>590.65168829077811</v>
      </c>
      <c r="BE180" s="104">
        <f ca="1">IFERROR(OFFSET(ITEM_RES!$A$5,MATCH(BF180,ITEM_RES!$M$5:$M$84,0)-1,0),0)</f>
        <v>0</v>
      </c>
      <c r="BG180" s="104">
        <f t="shared" ref="BG180:BG184" si="120">IF(BH180&lt;100,ROUND(BH180,1-LEN(ROUND(BH180,0))),ROUND(BH180,2-LEN(ROUND(BH180,0))))</f>
        <v>0</v>
      </c>
    </row>
    <row r="181" spans="1:60" x14ac:dyDescent="0.3">
      <c r="A181" s="107">
        <f t="shared" si="114"/>
        <v>112010027</v>
      </c>
      <c r="B181" s="106">
        <v>11</v>
      </c>
      <c r="C181" s="105">
        <f t="shared" si="115"/>
        <v>2</v>
      </c>
      <c r="D181" s="106">
        <v>1</v>
      </c>
      <c r="E181" s="106">
        <v>0</v>
      </c>
      <c r="F181" s="105">
        <f t="shared" si="82"/>
        <v>27</v>
      </c>
      <c r="H181" s="102">
        <v>2</v>
      </c>
      <c r="I181" s="102">
        <v>27</v>
      </c>
      <c r="K181" s="102" t="s">
        <v>1041</v>
      </c>
      <c r="L181" s="102" t="s">
        <v>776</v>
      </c>
      <c r="M181" s="103" t="s">
        <v>737</v>
      </c>
      <c r="N181" s="102">
        <v>0</v>
      </c>
      <c r="O181" s="102">
        <v>12</v>
      </c>
      <c r="P181" s="102" t="s">
        <v>749</v>
      </c>
      <c r="Q181" s="103" t="s">
        <v>1160</v>
      </c>
      <c r="R181" s="103">
        <v>112010027</v>
      </c>
      <c r="S181" s="104" t="str">
        <f t="shared" si="84"/>
        <v>UITexture/Bldg/112010027.png</v>
      </c>
      <c r="T181" s="102" t="s">
        <v>1047</v>
      </c>
      <c r="U181" s="102">
        <v>1</v>
      </c>
      <c r="V181" s="102">
        <v>1</v>
      </c>
      <c r="W181" s="102">
        <v>2</v>
      </c>
      <c r="Y181" s="104">
        <f t="shared" si="83"/>
        <v>201</v>
      </c>
      <c r="Z181" s="102">
        <v>270</v>
      </c>
      <c r="AA181" s="102">
        <v>1</v>
      </c>
      <c r="AB181" s="102">
        <v>1</v>
      </c>
      <c r="AC181" s="102">
        <v>0</v>
      </c>
      <c r="AD181" s="102" t="s">
        <v>539</v>
      </c>
      <c r="AE181" s="102">
        <v>27</v>
      </c>
      <c r="AG181" s="104">
        <f t="shared" si="85"/>
        <v>66085</v>
      </c>
      <c r="AH181" s="103">
        <v>66084.867986264595</v>
      </c>
      <c r="AI181" s="172">
        <v>4</v>
      </c>
      <c r="AK181" s="104">
        <f ca="1">IFERROR(OFFSET(ITEM_RES!$A$5,MATCH(AL181,ITEM_RES!$M$5:$M$84,0)-1,0),0)</f>
        <v>220000109</v>
      </c>
      <c r="AL181" s="103" t="s">
        <v>581</v>
      </c>
      <c r="AM181" s="104">
        <f t="shared" si="116"/>
        <v>3700</v>
      </c>
      <c r="AN181" s="103">
        <v>3685.6665349344557</v>
      </c>
      <c r="AP181" s="104">
        <f ca="1">IFERROR(OFFSET(ITEM_RES!$A$5,MATCH(AQ181,ITEM_RES!$M$5:$M$84,0)-1,0),0)</f>
        <v>220000209</v>
      </c>
      <c r="AQ181" s="103" t="s">
        <v>599</v>
      </c>
      <c r="AR181" s="104">
        <f t="shared" si="117"/>
        <v>2200</v>
      </c>
      <c r="AS181" s="103">
        <v>2211.3999209606736</v>
      </c>
      <c r="AU181" s="104">
        <f ca="1">IFERROR(OFFSET(ITEM_RES!$A$5,MATCH(AV181,ITEM_RES!$M$5:$M$84,0)-1,0),0)</f>
        <v>220000309</v>
      </c>
      <c r="AV181" s="103" t="s">
        <v>617</v>
      </c>
      <c r="AW181" s="104">
        <f t="shared" si="118"/>
        <v>1500</v>
      </c>
      <c r="AX181" s="103">
        <v>1474.2666139737823</v>
      </c>
      <c r="AZ181" s="104">
        <f ca="1">IFERROR(OFFSET(ITEM_RES!$A$5,MATCH(BA181,ITEM_RES!$M$5:$M$84,0)-1,0),0)</f>
        <v>220000409</v>
      </c>
      <c r="BA181" s="103" t="s">
        <v>635</v>
      </c>
      <c r="BB181" s="104">
        <f t="shared" si="119"/>
        <v>740</v>
      </c>
      <c r="BC181" s="103">
        <v>737.13330698689117</v>
      </c>
      <c r="BE181" s="104">
        <f ca="1">IFERROR(OFFSET(ITEM_RES!$A$5,MATCH(BF181,ITEM_RES!$M$5:$M$84,0)-1,0),0)</f>
        <v>0</v>
      </c>
      <c r="BG181" s="104">
        <f t="shared" si="120"/>
        <v>0</v>
      </c>
    </row>
    <row r="182" spans="1:60" x14ac:dyDescent="0.3">
      <c r="A182" s="107">
        <f t="shared" si="114"/>
        <v>112010028</v>
      </c>
      <c r="B182" s="106">
        <v>11</v>
      </c>
      <c r="C182" s="105">
        <f t="shared" si="115"/>
        <v>2</v>
      </c>
      <c r="D182" s="106">
        <v>1</v>
      </c>
      <c r="E182" s="106">
        <v>0</v>
      </c>
      <c r="F182" s="105">
        <f t="shared" si="82"/>
        <v>28</v>
      </c>
      <c r="H182" s="102">
        <v>2</v>
      </c>
      <c r="I182" s="102">
        <v>28</v>
      </c>
      <c r="K182" s="102" t="s">
        <v>1041</v>
      </c>
      <c r="L182" s="102" t="s">
        <v>776</v>
      </c>
      <c r="M182" s="103" t="s">
        <v>737</v>
      </c>
      <c r="N182" s="102">
        <v>0</v>
      </c>
      <c r="O182" s="102">
        <v>12</v>
      </c>
      <c r="P182" s="102" t="s">
        <v>749</v>
      </c>
      <c r="Q182" s="103" t="s">
        <v>1160</v>
      </c>
      <c r="R182" s="103">
        <v>112010028</v>
      </c>
      <c r="S182" s="104" t="str">
        <f t="shared" si="84"/>
        <v>UITexture/Bldg/112010028.png</v>
      </c>
      <c r="T182" s="102" t="s">
        <v>1047</v>
      </c>
      <c r="U182" s="102">
        <v>1</v>
      </c>
      <c r="V182" s="102">
        <v>1</v>
      </c>
      <c r="W182" s="102">
        <v>2</v>
      </c>
      <c r="Y182" s="104">
        <f t="shared" si="83"/>
        <v>201</v>
      </c>
      <c r="Z182" s="102">
        <v>280</v>
      </c>
      <c r="AA182" s="102">
        <v>1</v>
      </c>
      <c r="AB182" s="102">
        <v>1</v>
      </c>
      <c r="AC182" s="102">
        <v>0</v>
      </c>
      <c r="AD182" s="102" t="s">
        <v>539</v>
      </c>
      <c r="AE182" s="102">
        <v>28</v>
      </c>
      <c r="AG182" s="104">
        <f t="shared" si="85"/>
        <v>68067</v>
      </c>
      <c r="AH182" s="103">
        <v>68067.414025852529</v>
      </c>
      <c r="AI182" s="172">
        <v>4</v>
      </c>
      <c r="AK182" s="104">
        <f ca="1">IFERROR(OFFSET(ITEM_RES!$A$5,MATCH(AL182,ITEM_RES!$M$5:$M$84,0)-1,0),0)</f>
        <v>220000110</v>
      </c>
      <c r="AL182" s="103" t="s">
        <v>582</v>
      </c>
      <c r="AM182" s="104">
        <f t="shared" si="116"/>
        <v>1500</v>
      </c>
      <c r="AN182" s="103">
        <v>1518.4946123929958</v>
      </c>
      <c r="AP182" s="104">
        <f ca="1">IFERROR(OFFSET(ITEM_RES!$A$5,MATCH(AQ182,ITEM_RES!$M$5:$M$84,0)-1,0),0)</f>
        <v>220000210</v>
      </c>
      <c r="AQ182" s="103" t="s">
        <v>600</v>
      </c>
      <c r="AR182" s="104">
        <f t="shared" si="117"/>
        <v>910</v>
      </c>
      <c r="AS182" s="103">
        <v>911.09676743579757</v>
      </c>
      <c r="AU182" s="104">
        <f ca="1">IFERROR(OFFSET(ITEM_RES!$A$5,MATCH(AV182,ITEM_RES!$M$5:$M$84,0)-1,0),0)</f>
        <v>220000310</v>
      </c>
      <c r="AV182" s="103" t="s">
        <v>618</v>
      </c>
      <c r="AW182" s="104">
        <f t="shared" si="118"/>
        <v>610</v>
      </c>
      <c r="AX182" s="103">
        <v>607.39784495719834</v>
      </c>
      <c r="AZ182" s="104">
        <f ca="1">IFERROR(OFFSET(ITEM_RES!$A$5,MATCH(BA182,ITEM_RES!$M$5:$M$84,0)-1,0),0)</f>
        <v>220000410</v>
      </c>
      <c r="BA182" s="103" t="s">
        <v>636</v>
      </c>
      <c r="BB182" s="104">
        <f t="shared" si="119"/>
        <v>300</v>
      </c>
      <c r="BC182" s="103">
        <v>303.69892247859917</v>
      </c>
      <c r="BE182" s="104">
        <f ca="1">IFERROR(OFFSET(ITEM_RES!$A$5,MATCH(BF182,ITEM_RES!$M$5:$M$84,0)-1,0),0)</f>
        <v>0</v>
      </c>
      <c r="BG182" s="104">
        <f t="shared" si="120"/>
        <v>0</v>
      </c>
    </row>
    <row r="183" spans="1:60" x14ac:dyDescent="0.3">
      <c r="A183" s="107">
        <f t="shared" si="114"/>
        <v>112010029</v>
      </c>
      <c r="B183" s="106">
        <v>11</v>
      </c>
      <c r="C183" s="105">
        <f t="shared" si="115"/>
        <v>2</v>
      </c>
      <c r="D183" s="106">
        <v>1</v>
      </c>
      <c r="E183" s="106">
        <v>0</v>
      </c>
      <c r="F183" s="105">
        <f t="shared" si="82"/>
        <v>29</v>
      </c>
      <c r="H183" s="102">
        <v>2</v>
      </c>
      <c r="I183" s="102">
        <v>29</v>
      </c>
      <c r="K183" s="102" t="s">
        <v>1041</v>
      </c>
      <c r="L183" s="102" t="s">
        <v>776</v>
      </c>
      <c r="M183" s="103" t="s">
        <v>737</v>
      </c>
      <c r="N183" s="102">
        <v>0</v>
      </c>
      <c r="O183" s="102">
        <v>12</v>
      </c>
      <c r="P183" s="102" t="s">
        <v>749</v>
      </c>
      <c r="Q183" s="103" t="s">
        <v>1160</v>
      </c>
      <c r="R183" s="103">
        <v>112010029</v>
      </c>
      <c r="S183" s="104" t="str">
        <f t="shared" si="84"/>
        <v>UITexture/Bldg/112010029.png</v>
      </c>
      <c r="T183" s="102" t="s">
        <v>1047</v>
      </c>
      <c r="U183" s="102">
        <v>1</v>
      </c>
      <c r="V183" s="102">
        <v>1</v>
      </c>
      <c r="W183" s="102">
        <v>2</v>
      </c>
      <c r="Y183" s="104">
        <f t="shared" si="83"/>
        <v>201</v>
      </c>
      <c r="Z183" s="102">
        <v>290</v>
      </c>
      <c r="AA183" s="102">
        <v>1</v>
      </c>
      <c r="AB183" s="102">
        <v>1</v>
      </c>
      <c r="AC183" s="102">
        <v>0</v>
      </c>
      <c r="AD183" s="102" t="s">
        <v>539</v>
      </c>
      <c r="AE183" s="102">
        <v>29</v>
      </c>
      <c r="AG183" s="104">
        <f t="shared" si="85"/>
        <v>70109</v>
      </c>
      <c r="AH183" s="103">
        <v>70109.436446628111</v>
      </c>
      <c r="AI183" s="172">
        <v>4</v>
      </c>
      <c r="AK183" s="104">
        <f ca="1">IFERROR(OFFSET(ITEM_RES!$A$5,MATCH(AL183,ITEM_RES!$M$5:$M$84,0)-1,0),0)</f>
        <v>220000110</v>
      </c>
      <c r="AL183" s="103" t="s">
        <v>582</v>
      </c>
      <c r="AM183" s="104">
        <f t="shared" si="116"/>
        <v>1900</v>
      </c>
      <c r="AN183" s="103">
        <v>1876.8593409177427</v>
      </c>
      <c r="AP183" s="104">
        <f ca="1">IFERROR(OFFSET(ITEM_RES!$A$5,MATCH(AQ183,ITEM_RES!$M$5:$M$84,0)-1,0),0)</f>
        <v>220000210</v>
      </c>
      <c r="AQ183" s="103" t="s">
        <v>600</v>
      </c>
      <c r="AR183" s="104">
        <f t="shared" si="117"/>
        <v>1100</v>
      </c>
      <c r="AS183" s="103">
        <v>1126.1156045506457</v>
      </c>
      <c r="AU183" s="104">
        <f ca="1">IFERROR(OFFSET(ITEM_RES!$A$5,MATCH(AV183,ITEM_RES!$M$5:$M$84,0)-1,0),0)</f>
        <v>220000310</v>
      </c>
      <c r="AV183" s="103" t="s">
        <v>618</v>
      </c>
      <c r="AW183" s="104">
        <f t="shared" si="118"/>
        <v>750</v>
      </c>
      <c r="AX183" s="103">
        <v>750.74373636709709</v>
      </c>
      <c r="AZ183" s="104">
        <f ca="1">IFERROR(OFFSET(ITEM_RES!$A$5,MATCH(BA183,ITEM_RES!$M$5:$M$84,0)-1,0),0)</f>
        <v>220000410</v>
      </c>
      <c r="BA183" s="103" t="s">
        <v>636</v>
      </c>
      <c r="BB183" s="104">
        <f t="shared" si="119"/>
        <v>380</v>
      </c>
      <c r="BC183" s="103">
        <v>375.37186818354854</v>
      </c>
      <c r="BE183" s="104">
        <f ca="1">IFERROR(OFFSET(ITEM_RES!$A$5,MATCH(BF183,ITEM_RES!$M$5:$M$84,0)-1,0),0)</f>
        <v>0</v>
      </c>
      <c r="BG183" s="104">
        <f t="shared" si="120"/>
        <v>0</v>
      </c>
    </row>
    <row r="184" spans="1:60" s="108" customFormat="1" ht="17.25" thickBot="1" x14ac:dyDescent="0.35">
      <c r="A184" s="114">
        <f t="shared" si="114"/>
        <v>112010030</v>
      </c>
      <c r="B184" s="113">
        <v>11</v>
      </c>
      <c r="C184" s="112">
        <f t="shared" si="115"/>
        <v>2</v>
      </c>
      <c r="D184" s="113">
        <v>1</v>
      </c>
      <c r="E184" s="113">
        <v>0</v>
      </c>
      <c r="F184" s="112">
        <f t="shared" si="82"/>
        <v>30</v>
      </c>
      <c r="G184" s="256"/>
      <c r="H184" s="109">
        <v>2</v>
      </c>
      <c r="I184" s="109">
        <v>30</v>
      </c>
      <c r="J184" s="256"/>
      <c r="K184" s="109" t="s">
        <v>1041</v>
      </c>
      <c r="L184" s="109" t="s">
        <v>777</v>
      </c>
      <c r="M184" s="110" t="s">
        <v>737</v>
      </c>
      <c r="N184" s="109">
        <v>0</v>
      </c>
      <c r="O184" s="109">
        <v>12</v>
      </c>
      <c r="P184" s="109" t="s">
        <v>749</v>
      </c>
      <c r="Q184" s="110" t="s">
        <v>1160</v>
      </c>
      <c r="R184" s="110">
        <v>112010030</v>
      </c>
      <c r="S184" s="111" t="str">
        <f t="shared" si="84"/>
        <v>UITexture/Bldg/112010030.png</v>
      </c>
      <c r="T184" s="109" t="s">
        <v>1047</v>
      </c>
      <c r="U184" s="109">
        <v>1</v>
      </c>
      <c r="V184" s="109">
        <v>1</v>
      </c>
      <c r="W184" s="109">
        <v>2</v>
      </c>
      <c r="X184" s="256"/>
      <c r="Y184" s="111">
        <f t="shared" si="83"/>
        <v>201</v>
      </c>
      <c r="Z184" s="109">
        <v>300</v>
      </c>
      <c r="AA184" s="109">
        <v>1</v>
      </c>
      <c r="AB184" s="109">
        <v>1</v>
      </c>
      <c r="AC184" s="109">
        <v>0</v>
      </c>
      <c r="AD184" s="109" t="s">
        <v>539</v>
      </c>
      <c r="AE184" s="109">
        <v>30</v>
      </c>
      <c r="AF184" s="256"/>
      <c r="AG184" s="111">
        <f t="shared" si="85"/>
        <v>71512</v>
      </c>
      <c r="AH184" s="110">
        <v>71511.625175560665</v>
      </c>
      <c r="AI184" s="175">
        <v>4</v>
      </c>
      <c r="AJ184" s="111"/>
      <c r="AK184" s="111">
        <f ca="1">IFERROR(OFFSET(ITEM_RES!$A$5,MATCH(AL184,ITEM_RES!$M$5:$M$84,0)-1,0),0)</f>
        <v>220000110</v>
      </c>
      <c r="AL184" s="110" t="s">
        <v>582</v>
      </c>
      <c r="AM184" s="111">
        <f t="shared" si="116"/>
        <v>2300</v>
      </c>
      <c r="AN184" s="110">
        <v>2297.2758332833178</v>
      </c>
      <c r="AO184" s="111"/>
      <c r="AP184" s="111">
        <f ca="1">IFERROR(OFFSET(ITEM_RES!$A$5,MATCH(AQ184,ITEM_RES!$M$5:$M$84,0)-1,0),0)</f>
        <v>220000210</v>
      </c>
      <c r="AQ184" s="110" t="s">
        <v>600</v>
      </c>
      <c r="AR184" s="111">
        <f t="shared" si="117"/>
        <v>1400</v>
      </c>
      <c r="AS184" s="110">
        <v>1378.3654999699907</v>
      </c>
      <c r="AT184" s="111"/>
      <c r="AU184" s="111">
        <f ca="1">IFERROR(OFFSET(ITEM_RES!$A$5,MATCH(AV184,ITEM_RES!$M$5:$M$84,0)-1,0),0)</f>
        <v>220000310</v>
      </c>
      <c r="AV184" s="110" t="s">
        <v>618</v>
      </c>
      <c r="AW184" s="111">
        <f t="shared" si="118"/>
        <v>920</v>
      </c>
      <c r="AX184" s="110">
        <v>918.9103333133271</v>
      </c>
      <c r="AY184" s="111"/>
      <c r="AZ184" s="111">
        <f ca="1">IFERROR(OFFSET(ITEM_RES!$A$5,MATCH(BA184,ITEM_RES!$M$5:$M$84,0)-1,0),0)</f>
        <v>220000410</v>
      </c>
      <c r="BA184" s="110" t="s">
        <v>636</v>
      </c>
      <c r="BB184" s="111">
        <f t="shared" si="119"/>
        <v>460</v>
      </c>
      <c r="BC184" s="110">
        <v>459.45516665666355</v>
      </c>
      <c r="BD184" s="111"/>
      <c r="BE184" s="111">
        <f ca="1">IFERROR(OFFSET(ITEM_RES!$A$5,MATCH(BF184,ITEM_RES!$M$5:$M$84,0)-1,0),0)</f>
        <v>0</v>
      </c>
      <c r="BF184" s="110"/>
      <c r="BG184" s="111">
        <f t="shared" si="120"/>
        <v>0</v>
      </c>
      <c r="BH184" s="110"/>
    </row>
    <row r="185" spans="1:60" s="115" customFormat="1" x14ac:dyDescent="0.3">
      <c r="A185" s="121">
        <f>B185*10000000+C185*1000000+D185*10000+E185*100+F185</f>
        <v>112020001</v>
      </c>
      <c r="B185" s="120">
        <v>11</v>
      </c>
      <c r="C185" s="119">
        <f t="shared" si="115"/>
        <v>2</v>
      </c>
      <c r="D185" s="120">
        <v>2</v>
      </c>
      <c r="E185" s="120">
        <v>0</v>
      </c>
      <c r="F185" s="119">
        <f t="shared" si="82"/>
        <v>1</v>
      </c>
      <c r="G185" s="255"/>
      <c r="H185" s="116">
        <v>2</v>
      </c>
      <c r="I185" s="116">
        <v>1</v>
      </c>
      <c r="J185" s="255"/>
      <c r="K185" s="116" t="s">
        <v>1041</v>
      </c>
      <c r="L185" s="116" t="s">
        <v>779</v>
      </c>
      <c r="M185" s="117" t="s">
        <v>381</v>
      </c>
      <c r="N185" s="116">
        <v>1</v>
      </c>
      <c r="O185" s="116">
        <v>12</v>
      </c>
      <c r="P185" s="116" t="s">
        <v>523</v>
      </c>
      <c r="Q185" s="117" t="s">
        <v>1160</v>
      </c>
      <c r="R185" s="117">
        <v>112020001</v>
      </c>
      <c r="S185" s="118" t="str">
        <f t="shared" si="84"/>
        <v>UITexture/Bldg/112020001.png</v>
      </c>
      <c r="T185" s="116" t="s">
        <v>1048</v>
      </c>
      <c r="U185" s="116">
        <v>2</v>
      </c>
      <c r="V185" s="116">
        <v>1</v>
      </c>
      <c r="W185" s="116">
        <v>2</v>
      </c>
      <c r="X185" s="255"/>
      <c r="Y185" s="118">
        <f t="shared" si="83"/>
        <v>202</v>
      </c>
      <c r="Z185" s="116">
        <v>10</v>
      </c>
      <c r="AA185" s="116">
        <v>1</v>
      </c>
      <c r="AB185" s="116">
        <v>1</v>
      </c>
      <c r="AC185" s="116">
        <v>0</v>
      </c>
      <c r="AD185" s="116" t="s">
        <v>537</v>
      </c>
      <c r="AE185" s="116">
        <v>1</v>
      </c>
      <c r="AF185" s="255"/>
      <c r="AG185" s="118">
        <f t="shared" si="85"/>
        <v>11</v>
      </c>
      <c r="AH185" s="117">
        <v>10.526315789473685</v>
      </c>
      <c r="AI185" s="174">
        <v>2</v>
      </c>
      <c r="AJ185" s="118"/>
      <c r="AK185" s="118">
        <f ca="1">IFERROR(OFFSET(ITEM_RES!$A$5,MATCH(AL185,ITEM_RES!$M$5:$M$84,0)-1,0),0)</f>
        <v>220000101</v>
      </c>
      <c r="AL185" s="117" t="s">
        <v>573</v>
      </c>
      <c r="AM185" s="118">
        <f t="shared" si="116"/>
        <v>20</v>
      </c>
      <c r="AN185" s="117">
        <v>21.052631578947366</v>
      </c>
      <c r="AO185" s="118"/>
      <c r="AP185" s="118">
        <f ca="1">IFERROR(OFFSET(ITEM_RES!$A$5,MATCH(AQ185,ITEM_RES!$M$5:$M$84,0)-1,0),0)</f>
        <v>220000201</v>
      </c>
      <c r="AQ185" s="117" t="s">
        <v>591</v>
      </c>
      <c r="AR185" s="118">
        <f>IF(AS185&lt;100,ROUND(AS185,1-LEN(ROUND(AS185,0))),ROUND(AS185,2-LEN(ROUND(AS185,0))))</f>
        <v>10</v>
      </c>
      <c r="AS185" s="117">
        <v>12.631578947368421</v>
      </c>
      <c r="AT185" s="118"/>
      <c r="AU185" s="118">
        <f ca="1">IFERROR(OFFSET(ITEM_RES!$A$5,MATCH(AV185,ITEM_RES!$M$5:$M$84,0)-1,0),0)</f>
        <v>220000301</v>
      </c>
      <c r="AV185" s="117" t="s">
        <v>609</v>
      </c>
      <c r="AW185" s="118">
        <f>IF(AX185&lt;100,ROUND(AX185,1-LEN(ROUND(AX185,0))),ROUND(AX185,2-LEN(ROUND(AX185,0))))</f>
        <v>0</v>
      </c>
      <c r="AX185" s="117">
        <v>0</v>
      </c>
      <c r="AY185" s="118"/>
      <c r="AZ185" s="118">
        <f ca="1">IFERROR(OFFSET(ITEM_RES!$A$5,MATCH(BA185,ITEM_RES!$M$5:$M$84,0)-1,0),0)</f>
        <v>220000401</v>
      </c>
      <c r="BA185" s="117" t="s">
        <v>627</v>
      </c>
      <c r="BB185" s="118">
        <f>IF(BC185&lt;100,ROUND(BC185,1-LEN(ROUND(BC185,0))),ROUND(BC185,2-LEN(ROUND(BC185,0))))</f>
        <v>0</v>
      </c>
      <c r="BC185" s="117">
        <v>0</v>
      </c>
      <c r="BD185" s="118"/>
      <c r="BE185" s="118">
        <f ca="1">IFERROR(OFFSET(ITEM_RES!$A$5,MATCH(BF185,ITEM_RES!$M$5:$M$84,0)-1,0),0)</f>
        <v>0</v>
      </c>
      <c r="BF185" s="117"/>
      <c r="BG185" s="118">
        <f>IF(BH185&lt;100,ROUND(BH185,1-LEN(ROUND(BH185,0))),ROUND(BH185,2-LEN(ROUND(BH185,0))))</f>
        <v>0</v>
      </c>
      <c r="BH185" s="117"/>
    </row>
    <row r="186" spans="1:60" x14ac:dyDescent="0.3">
      <c r="A186" s="107">
        <f t="shared" ref="A186:A189" si="121">B186*10000000+C186*1000000+D186*10000+E186*100+F186</f>
        <v>112020002</v>
      </c>
      <c r="B186" s="106">
        <v>11</v>
      </c>
      <c r="C186" s="105">
        <f t="shared" si="115"/>
        <v>2</v>
      </c>
      <c r="D186" s="106">
        <v>2</v>
      </c>
      <c r="E186" s="106">
        <v>0</v>
      </c>
      <c r="F186" s="105">
        <f t="shared" si="82"/>
        <v>2</v>
      </c>
      <c r="H186" s="102">
        <v>2</v>
      </c>
      <c r="I186" s="102">
        <v>2</v>
      </c>
      <c r="K186" s="102" t="s">
        <v>1041</v>
      </c>
      <c r="L186" s="102" t="s">
        <v>778</v>
      </c>
      <c r="M186" s="103" t="s">
        <v>381</v>
      </c>
      <c r="N186" s="102">
        <v>1</v>
      </c>
      <c r="O186" s="102">
        <v>12</v>
      </c>
      <c r="P186" s="102" t="s">
        <v>523</v>
      </c>
      <c r="Q186" s="103" t="s">
        <v>1160</v>
      </c>
      <c r="R186" s="103">
        <v>112020002</v>
      </c>
      <c r="S186" s="104" t="str">
        <f t="shared" si="84"/>
        <v>UITexture/Bldg/112020002.png</v>
      </c>
      <c r="T186" s="102" t="s">
        <v>1048</v>
      </c>
      <c r="U186" s="102">
        <v>2</v>
      </c>
      <c r="V186" s="102">
        <v>1</v>
      </c>
      <c r="W186" s="102">
        <v>2</v>
      </c>
      <c r="Y186" s="104">
        <f t="shared" si="83"/>
        <v>202</v>
      </c>
      <c r="Z186" s="102">
        <v>20</v>
      </c>
      <c r="AA186" s="102">
        <v>1</v>
      </c>
      <c r="AB186" s="102">
        <v>1</v>
      </c>
      <c r="AC186" s="102">
        <v>0</v>
      </c>
      <c r="AD186" s="102" t="s">
        <v>537</v>
      </c>
      <c r="AE186" s="102">
        <v>2</v>
      </c>
      <c r="AG186" s="104">
        <f t="shared" si="85"/>
        <v>42</v>
      </c>
      <c r="AH186" s="103">
        <v>42.10526315789474</v>
      </c>
      <c r="AI186" s="172">
        <v>2</v>
      </c>
      <c r="AK186" s="104">
        <f ca="1">IFERROR(OFFSET(ITEM_RES!$A$5,MATCH(AL186,ITEM_RES!$M$5:$M$84,0)-1,0),0)</f>
        <v>220000101</v>
      </c>
      <c r="AL186" s="103" t="s">
        <v>573</v>
      </c>
      <c r="AM186" s="104">
        <f t="shared" si="116"/>
        <v>110</v>
      </c>
      <c r="AN186" s="103">
        <v>105.26315789473685</v>
      </c>
      <c r="AP186" s="104">
        <f ca="1">IFERROR(OFFSET(ITEM_RES!$A$5,MATCH(AQ186,ITEM_RES!$M$5:$M$84,0)-1,0),0)</f>
        <v>220000201</v>
      </c>
      <c r="AQ186" s="103" t="s">
        <v>591</v>
      </c>
      <c r="AR186" s="104">
        <f t="shared" ref="AR186:AR189" si="122">IF(AS186&lt;100,ROUND(AS186,1-LEN(ROUND(AS186,0))),ROUND(AS186,2-LEN(ROUND(AS186,0))))</f>
        <v>60</v>
      </c>
      <c r="AS186" s="103">
        <v>63.15789473684211</v>
      </c>
      <c r="AU186" s="104">
        <f ca="1">IFERROR(OFFSET(ITEM_RES!$A$5,MATCH(AV186,ITEM_RES!$M$5:$M$84,0)-1,0),0)</f>
        <v>220000301</v>
      </c>
      <c r="AV186" s="103" t="s">
        <v>609</v>
      </c>
      <c r="AW186" s="104">
        <f t="shared" ref="AW186:AW189" si="123">IF(AX186&lt;100,ROUND(AX186,1-LEN(ROUND(AX186,0))),ROUND(AX186,2-LEN(ROUND(AX186,0))))</f>
        <v>0</v>
      </c>
      <c r="AX186" s="103">
        <v>0</v>
      </c>
      <c r="AZ186" s="104">
        <f ca="1">IFERROR(OFFSET(ITEM_RES!$A$5,MATCH(BA186,ITEM_RES!$M$5:$M$84,0)-1,0),0)</f>
        <v>220000401</v>
      </c>
      <c r="BA186" s="103" t="s">
        <v>627</v>
      </c>
      <c r="BB186" s="104">
        <f t="shared" ref="BB186:BB189" si="124">IF(BC186&lt;100,ROUND(BC186,1-LEN(ROUND(BC186,0))),ROUND(BC186,2-LEN(ROUND(BC186,0))))</f>
        <v>0</v>
      </c>
      <c r="BC186" s="103">
        <v>0</v>
      </c>
      <c r="BE186" s="104">
        <f ca="1">IFERROR(OFFSET(ITEM_RES!$A$5,MATCH(BF186,ITEM_RES!$M$5:$M$84,0)-1,0),0)</f>
        <v>0</v>
      </c>
      <c r="BG186" s="104">
        <f t="shared" ref="BG186:BG189" si="125">IF(BH186&lt;100,ROUND(BH186,1-LEN(ROUND(BH186,0))),ROUND(BH186,2-LEN(ROUND(BH186,0))))</f>
        <v>0</v>
      </c>
    </row>
    <row r="187" spans="1:60" x14ac:dyDescent="0.3">
      <c r="A187" s="107">
        <f t="shared" si="121"/>
        <v>112020003</v>
      </c>
      <c r="B187" s="106">
        <v>11</v>
      </c>
      <c r="C187" s="105">
        <f t="shared" si="115"/>
        <v>2</v>
      </c>
      <c r="D187" s="106">
        <v>2</v>
      </c>
      <c r="E187" s="106">
        <v>0</v>
      </c>
      <c r="F187" s="105">
        <f t="shared" si="82"/>
        <v>3</v>
      </c>
      <c r="H187" s="102">
        <v>2</v>
      </c>
      <c r="I187" s="102">
        <v>3</v>
      </c>
      <c r="K187" s="102" t="s">
        <v>1041</v>
      </c>
      <c r="L187" s="102" t="s">
        <v>778</v>
      </c>
      <c r="M187" s="103" t="s">
        <v>381</v>
      </c>
      <c r="N187" s="102">
        <v>1</v>
      </c>
      <c r="O187" s="102">
        <v>12</v>
      </c>
      <c r="P187" s="102" t="s">
        <v>523</v>
      </c>
      <c r="Q187" s="103" t="s">
        <v>1160</v>
      </c>
      <c r="R187" s="103">
        <v>112020003</v>
      </c>
      <c r="S187" s="104" t="str">
        <f t="shared" si="84"/>
        <v>UITexture/Bldg/112020003.png</v>
      </c>
      <c r="T187" s="102" t="s">
        <v>1048</v>
      </c>
      <c r="U187" s="102">
        <v>2</v>
      </c>
      <c r="V187" s="102">
        <v>1</v>
      </c>
      <c r="W187" s="102">
        <v>2</v>
      </c>
      <c r="Y187" s="104">
        <f t="shared" si="83"/>
        <v>202</v>
      </c>
      <c r="Z187" s="102">
        <v>30</v>
      </c>
      <c r="AA187" s="102">
        <v>1</v>
      </c>
      <c r="AB187" s="102">
        <v>1</v>
      </c>
      <c r="AC187" s="102">
        <v>0</v>
      </c>
      <c r="AD187" s="102" t="s">
        <v>537</v>
      </c>
      <c r="AE187" s="102">
        <v>3</v>
      </c>
      <c r="AG187" s="104">
        <f t="shared" si="85"/>
        <v>168</v>
      </c>
      <c r="AH187" s="103">
        <v>168.42105263157896</v>
      </c>
      <c r="AI187" s="172">
        <v>2</v>
      </c>
      <c r="AK187" s="104">
        <f ca="1">IFERROR(OFFSET(ITEM_RES!$A$5,MATCH(AL187,ITEM_RES!$M$5:$M$84,0)-1,0),0)</f>
        <v>220000101</v>
      </c>
      <c r="AL187" s="103" t="s">
        <v>573</v>
      </c>
      <c r="AM187" s="104">
        <f t="shared" si="116"/>
        <v>530</v>
      </c>
      <c r="AN187" s="103">
        <v>526.31578947368416</v>
      </c>
      <c r="AP187" s="104">
        <f ca="1">IFERROR(OFFSET(ITEM_RES!$A$5,MATCH(AQ187,ITEM_RES!$M$5:$M$84,0)-1,0),0)</f>
        <v>220000201</v>
      </c>
      <c r="AQ187" s="103" t="s">
        <v>591</v>
      </c>
      <c r="AR187" s="104">
        <f t="shared" si="122"/>
        <v>320</v>
      </c>
      <c r="AS187" s="103">
        <v>315.78947368421052</v>
      </c>
      <c r="AU187" s="104">
        <f ca="1">IFERROR(OFFSET(ITEM_RES!$A$5,MATCH(AV187,ITEM_RES!$M$5:$M$84,0)-1,0),0)</f>
        <v>220000301</v>
      </c>
      <c r="AV187" s="103" t="s">
        <v>609</v>
      </c>
      <c r="AW187" s="104">
        <f t="shared" si="123"/>
        <v>0</v>
      </c>
      <c r="AX187" s="103">
        <v>0</v>
      </c>
      <c r="AZ187" s="104">
        <f ca="1">IFERROR(OFFSET(ITEM_RES!$A$5,MATCH(BA187,ITEM_RES!$M$5:$M$84,0)-1,0),0)</f>
        <v>220000401</v>
      </c>
      <c r="BA187" s="103" t="s">
        <v>627</v>
      </c>
      <c r="BB187" s="104">
        <f t="shared" si="124"/>
        <v>0</v>
      </c>
      <c r="BC187" s="103">
        <v>0</v>
      </c>
      <c r="BE187" s="104">
        <f ca="1">IFERROR(OFFSET(ITEM_RES!$A$5,MATCH(BF187,ITEM_RES!$M$5:$M$84,0)-1,0),0)</f>
        <v>0</v>
      </c>
      <c r="BG187" s="104">
        <f t="shared" si="125"/>
        <v>0</v>
      </c>
    </row>
    <row r="188" spans="1:60" x14ac:dyDescent="0.3">
      <c r="A188" s="107">
        <f t="shared" si="121"/>
        <v>112020004</v>
      </c>
      <c r="B188" s="106">
        <v>11</v>
      </c>
      <c r="C188" s="105">
        <f t="shared" si="115"/>
        <v>2</v>
      </c>
      <c r="D188" s="106">
        <v>2</v>
      </c>
      <c r="E188" s="106">
        <v>0</v>
      </c>
      <c r="F188" s="105">
        <f t="shared" si="82"/>
        <v>4</v>
      </c>
      <c r="H188" s="102">
        <v>2</v>
      </c>
      <c r="I188" s="102">
        <v>4</v>
      </c>
      <c r="K188" s="102" t="s">
        <v>1041</v>
      </c>
      <c r="L188" s="102" t="s">
        <v>778</v>
      </c>
      <c r="M188" s="103" t="s">
        <v>381</v>
      </c>
      <c r="N188" s="102">
        <v>1</v>
      </c>
      <c r="O188" s="102">
        <v>12</v>
      </c>
      <c r="P188" s="102" t="s">
        <v>523</v>
      </c>
      <c r="Q188" s="103" t="s">
        <v>1160</v>
      </c>
      <c r="R188" s="103">
        <v>112020004</v>
      </c>
      <c r="S188" s="104" t="str">
        <f t="shared" si="84"/>
        <v>UITexture/Bldg/112020004.png</v>
      </c>
      <c r="T188" s="102" t="s">
        <v>1048</v>
      </c>
      <c r="U188" s="102">
        <v>2</v>
      </c>
      <c r="V188" s="102">
        <v>1</v>
      </c>
      <c r="W188" s="102">
        <v>2</v>
      </c>
      <c r="Y188" s="104">
        <f t="shared" si="83"/>
        <v>202</v>
      </c>
      <c r="Z188" s="102">
        <v>40</v>
      </c>
      <c r="AA188" s="102">
        <v>1</v>
      </c>
      <c r="AB188" s="102">
        <v>1</v>
      </c>
      <c r="AC188" s="102">
        <v>0</v>
      </c>
      <c r="AD188" s="102" t="s">
        <v>537</v>
      </c>
      <c r="AE188" s="102">
        <v>4</v>
      </c>
      <c r="AG188" s="104">
        <f t="shared" si="85"/>
        <v>674</v>
      </c>
      <c r="AH188" s="103">
        <v>673.68421052631584</v>
      </c>
      <c r="AI188" s="172">
        <v>2</v>
      </c>
      <c r="AK188" s="104">
        <f ca="1">IFERROR(OFFSET(ITEM_RES!$A$5,MATCH(AL188,ITEM_RES!$M$5:$M$84,0)-1,0),0)</f>
        <v>220000102</v>
      </c>
      <c r="AL188" s="103" t="s">
        <v>574</v>
      </c>
      <c r="AM188" s="104">
        <f t="shared" si="116"/>
        <v>880</v>
      </c>
      <c r="AN188" s="103">
        <v>877.19298245614027</v>
      </c>
      <c r="AP188" s="104">
        <f ca="1">IFERROR(OFFSET(ITEM_RES!$A$5,MATCH(AQ188,ITEM_RES!$M$5:$M$84,0)-1,0),0)</f>
        <v>220000202</v>
      </c>
      <c r="AQ188" s="103" t="s">
        <v>592</v>
      </c>
      <c r="AR188" s="104">
        <f t="shared" si="122"/>
        <v>530</v>
      </c>
      <c r="AS188" s="103">
        <v>526.31578947368416</v>
      </c>
      <c r="AU188" s="104">
        <f ca="1">IFERROR(OFFSET(ITEM_RES!$A$5,MATCH(AV188,ITEM_RES!$M$5:$M$84,0)-1,0),0)</f>
        <v>220000302</v>
      </c>
      <c r="AV188" s="103" t="s">
        <v>610</v>
      </c>
      <c r="AW188" s="104">
        <f t="shared" si="123"/>
        <v>0</v>
      </c>
      <c r="AX188" s="103">
        <v>0</v>
      </c>
      <c r="AZ188" s="104">
        <f ca="1">IFERROR(OFFSET(ITEM_RES!$A$5,MATCH(BA188,ITEM_RES!$M$5:$M$84,0)-1,0),0)</f>
        <v>220000402</v>
      </c>
      <c r="BA188" s="103" t="s">
        <v>628</v>
      </c>
      <c r="BB188" s="104">
        <f t="shared" si="124"/>
        <v>0</v>
      </c>
      <c r="BC188" s="103">
        <v>0</v>
      </c>
      <c r="BE188" s="104">
        <f ca="1">IFERROR(OFFSET(ITEM_RES!$A$5,MATCH(BF188,ITEM_RES!$M$5:$M$84,0)-1,0),0)</f>
        <v>0</v>
      </c>
      <c r="BG188" s="104">
        <f t="shared" si="125"/>
        <v>0</v>
      </c>
    </row>
    <row r="189" spans="1:60" x14ac:dyDescent="0.3">
      <c r="A189" s="107">
        <f t="shared" si="121"/>
        <v>112020005</v>
      </c>
      <c r="B189" s="106">
        <v>11</v>
      </c>
      <c r="C189" s="105">
        <f t="shared" si="115"/>
        <v>2</v>
      </c>
      <c r="D189" s="106">
        <v>2</v>
      </c>
      <c r="E189" s="106">
        <v>0</v>
      </c>
      <c r="F189" s="105">
        <f t="shared" si="82"/>
        <v>5</v>
      </c>
      <c r="H189" s="102">
        <v>2</v>
      </c>
      <c r="I189" s="102">
        <v>5</v>
      </c>
      <c r="K189" s="102" t="s">
        <v>1041</v>
      </c>
      <c r="L189" s="102" t="s">
        <v>778</v>
      </c>
      <c r="M189" s="103" t="s">
        <v>381</v>
      </c>
      <c r="N189" s="102">
        <v>1</v>
      </c>
      <c r="O189" s="102">
        <v>12</v>
      </c>
      <c r="P189" s="102" t="s">
        <v>523</v>
      </c>
      <c r="Q189" s="103" t="s">
        <v>1160</v>
      </c>
      <c r="R189" s="103">
        <v>112020005</v>
      </c>
      <c r="S189" s="104" t="str">
        <f t="shared" si="84"/>
        <v>UITexture/Bldg/112020005.png</v>
      </c>
      <c r="T189" s="102" t="s">
        <v>1048</v>
      </c>
      <c r="U189" s="102">
        <v>2</v>
      </c>
      <c r="V189" s="102">
        <v>1</v>
      </c>
      <c r="W189" s="102">
        <v>2</v>
      </c>
      <c r="Y189" s="104">
        <f t="shared" si="83"/>
        <v>202</v>
      </c>
      <c r="Z189" s="102">
        <v>50</v>
      </c>
      <c r="AA189" s="102">
        <v>1</v>
      </c>
      <c r="AB189" s="102">
        <v>1</v>
      </c>
      <c r="AC189" s="102">
        <v>0</v>
      </c>
      <c r="AD189" s="102" t="s">
        <v>537</v>
      </c>
      <c r="AE189" s="102">
        <v>5</v>
      </c>
      <c r="AG189" s="104">
        <f t="shared" si="85"/>
        <v>2021</v>
      </c>
      <c r="AH189" s="103">
        <v>2021.0526315789473</v>
      </c>
      <c r="AI189" s="172">
        <v>2</v>
      </c>
      <c r="AK189" s="104">
        <f ca="1">IFERROR(OFFSET(ITEM_RES!$A$5,MATCH(AL189,ITEM_RES!$M$5:$M$84,0)-1,0),0)</f>
        <v>220000102</v>
      </c>
      <c r="AL189" s="103" t="s">
        <v>574</v>
      </c>
      <c r="AM189" s="104">
        <f t="shared" si="116"/>
        <v>3300</v>
      </c>
      <c r="AN189" s="103">
        <v>3289.4736842105267</v>
      </c>
      <c r="AP189" s="104">
        <f ca="1">IFERROR(OFFSET(ITEM_RES!$A$5,MATCH(AQ189,ITEM_RES!$M$5:$M$84,0)-1,0),0)</f>
        <v>220000202</v>
      </c>
      <c r="AQ189" s="103" t="s">
        <v>592</v>
      </c>
      <c r="AR189" s="104">
        <f t="shared" si="122"/>
        <v>2000</v>
      </c>
      <c r="AS189" s="103">
        <v>1973.6842105263158</v>
      </c>
      <c r="AU189" s="104">
        <f ca="1">IFERROR(OFFSET(ITEM_RES!$A$5,MATCH(AV189,ITEM_RES!$M$5:$M$84,0)-1,0),0)</f>
        <v>220000302</v>
      </c>
      <c r="AV189" s="103" t="s">
        <v>610</v>
      </c>
      <c r="AW189" s="104">
        <f t="shared" si="123"/>
        <v>0</v>
      </c>
      <c r="AX189" s="103">
        <v>0</v>
      </c>
      <c r="AZ189" s="104">
        <f ca="1">IFERROR(OFFSET(ITEM_RES!$A$5,MATCH(BA189,ITEM_RES!$M$5:$M$84,0)-1,0),0)</f>
        <v>220000402</v>
      </c>
      <c r="BA189" s="103" t="s">
        <v>628</v>
      </c>
      <c r="BB189" s="104">
        <f t="shared" si="124"/>
        <v>0</v>
      </c>
      <c r="BC189" s="103">
        <v>0</v>
      </c>
      <c r="BE189" s="104">
        <f ca="1">IFERROR(OFFSET(ITEM_RES!$A$5,MATCH(BF189,ITEM_RES!$M$5:$M$84,0)-1,0),0)</f>
        <v>0</v>
      </c>
      <c r="BG189" s="104">
        <f t="shared" si="125"/>
        <v>0</v>
      </c>
    </row>
    <row r="190" spans="1:60" x14ac:dyDescent="0.3">
      <c r="A190" s="107">
        <f>B190*10000000+C190*1000000+D190*10000+E190*100+F190</f>
        <v>112020006</v>
      </c>
      <c r="B190" s="106">
        <v>11</v>
      </c>
      <c r="C190" s="105">
        <f t="shared" si="115"/>
        <v>2</v>
      </c>
      <c r="D190" s="106">
        <v>2</v>
      </c>
      <c r="E190" s="106">
        <v>0</v>
      </c>
      <c r="F190" s="105">
        <f t="shared" si="82"/>
        <v>6</v>
      </c>
      <c r="H190" s="102">
        <v>2</v>
      </c>
      <c r="I190" s="102">
        <v>6</v>
      </c>
      <c r="K190" s="102" t="s">
        <v>1041</v>
      </c>
      <c r="L190" s="102" t="s">
        <v>778</v>
      </c>
      <c r="M190" s="103" t="s">
        <v>381</v>
      </c>
      <c r="N190" s="102">
        <v>1</v>
      </c>
      <c r="O190" s="102">
        <v>12</v>
      </c>
      <c r="P190" s="102" t="s">
        <v>523</v>
      </c>
      <c r="Q190" s="103" t="s">
        <v>1160</v>
      </c>
      <c r="R190" s="103">
        <v>112020006</v>
      </c>
      <c r="S190" s="104" t="str">
        <f t="shared" si="84"/>
        <v>UITexture/Bldg/112020006.png</v>
      </c>
      <c r="T190" s="102" t="s">
        <v>1048</v>
      </c>
      <c r="U190" s="102">
        <v>2</v>
      </c>
      <c r="V190" s="102">
        <v>1</v>
      </c>
      <c r="W190" s="102">
        <v>2</v>
      </c>
      <c r="Y190" s="104">
        <f t="shared" si="83"/>
        <v>202</v>
      </c>
      <c r="Z190" s="102">
        <v>60</v>
      </c>
      <c r="AA190" s="102">
        <v>1</v>
      </c>
      <c r="AB190" s="102">
        <v>1</v>
      </c>
      <c r="AC190" s="102">
        <v>0</v>
      </c>
      <c r="AD190" s="102" t="s">
        <v>537</v>
      </c>
      <c r="AE190" s="102">
        <v>6</v>
      </c>
      <c r="AG190" s="104">
        <f t="shared" si="85"/>
        <v>4042</v>
      </c>
      <c r="AH190" s="103">
        <v>4042.1052631578946</v>
      </c>
      <c r="AI190" s="172">
        <v>3</v>
      </c>
      <c r="AK190" s="104">
        <f ca="1">IFERROR(OFFSET(ITEM_RES!$A$5,MATCH(AL190,ITEM_RES!$M$5:$M$84,0)-1,0),0)</f>
        <v>220000102</v>
      </c>
      <c r="AL190" s="103" t="s">
        <v>574</v>
      </c>
      <c r="AM190" s="104">
        <f t="shared" si="116"/>
        <v>6600</v>
      </c>
      <c r="AN190" s="103">
        <v>6578.9473684210534</v>
      </c>
      <c r="AP190" s="104">
        <f ca="1">IFERROR(OFFSET(ITEM_RES!$A$5,MATCH(AQ190,ITEM_RES!$M$5:$M$84,0)-1,0),0)</f>
        <v>220000202</v>
      </c>
      <c r="AQ190" s="103" t="s">
        <v>592</v>
      </c>
      <c r="AR190" s="104">
        <f>IF(AS190&lt;100,ROUND(AS190,1-LEN(ROUND(AS190,0))),ROUND(AS190,2-LEN(ROUND(AS190,0))))</f>
        <v>3900</v>
      </c>
      <c r="AS190" s="103">
        <v>3947.3684210526317</v>
      </c>
      <c r="AU190" s="104">
        <f ca="1">IFERROR(OFFSET(ITEM_RES!$A$5,MATCH(AV190,ITEM_RES!$M$5:$M$84,0)-1,0),0)</f>
        <v>220000302</v>
      </c>
      <c r="AV190" s="103" t="s">
        <v>610</v>
      </c>
      <c r="AW190" s="104">
        <f>IF(AX190&lt;100,ROUND(AX190,1-LEN(ROUND(AX190,0))),ROUND(AX190,2-LEN(ROUND(AX190,0))))</f>
        <v>1300</v>
      </c>
      <c r="AX190" s="103">
        <v>1315.7894736842106</v>
      </c>
      <c r="AZ190" s="104">
        <f ca="1">IFERROR(OFFSET(ITEM_RES!$A$5,MATCH(BA190,ITEM_RES!$M$5:$M$84,0)-1,0),0)</f>
        <v>220000402</v>
      </c>
      <c r="BA190" s="103" t="s">
        <v>628</v>
      </c>
      <c r="BB190" s="104">
        <f>IF(BC190&lt;100,ROUND(BC190,1-LEN(ROUND(BC190,0))),ROUND(BC190,2-LEN(ROUND(BC190,0))))</f>
        <v>0</v>
      </c>
      <c r="BC190" s="103">
        <v>0</v>
      </c>
      <c r="BE190" s="104">
        <f ca="1">IFERROR(OFFSET(ITEM_RES!$A$5,MATCH(BF190,ITEM_RES!$M$5:$M$84,0)-1,0),0)</f>
        <v>0</v>
      </c>
      <c r="BG190" s="104">
        <f>IF(BH190&lt;100,ROUND(BH190,1-LEN(ROUND(BH190,0))),ROUND(BH190,2-LEN(ROUND(BH190,0))))</f>
        <v>0</v>
      </c>
    </row>
    <row r="191" spans="1:60" x14ac:dyDescent="0.3">
      <c r="A191" s="107">
        <f t="shared" ref="A191:A194" si="126">B191*10000000+C191*1000000+D191*10000+E191*100+F191</f>
        <v>112020007</v>
      </c>
      <c r="B191" s="106">
        <v>11</v>
      </c>
      <c r="C191" s="105">
        <f t="shared" si="115"/>
        <v>2</v>
      </c>
      <c r="D191" s="106">
        <v>2</v>
      </c>
      <c r="E191" s="106">
        <v>0</v>
      </c>
      <c r="F191" s="105">
        <f t="shared" si="82"/>
        <v>7</v>
      </c>
      <c r="H191" s="102">
        <v>2</v>
      </c>
      <c r="I191" s="102">
        <v>7</v>
      </c>
      <c r="K191" s="102" t="s">
        <v>1041</v>
      </c>
      <c r="L191" s="102" t="s">
        <v>778</v>
      </c>
      <c r="M191" s="103" t="s">
        <v>381</v>
      </c>
      <c r="N191" s="102">
        <v>1</v>
      </c>
      <c r="O191" s="102">
        <v>12</v>
      </c>
      <c r="P191" s="102" t="s">
        <v>523</v>
      </c>
      <c r="Q191" s="103" t="s">
        <v>1160</v>
      </c>
      <c r="R191" s="103">
        <v>112020007</v>
      </c>
      <c r="S191" s="104" t="str">
        <f t="shared" si="84"/>
        <v>UITexture/Bldg/112020007.png</v>
      </c>
      <c r="T191" s="102" t="s">
        <v>1048</v>
      </c>
      <c r="U191" s="102">
        <v>2</v>
      </c>
      <c r="V191" s="102">
        <v>1</v>
      </c>
      <c r="W191" s="102">
        <v>2</v>
      </c>
      <c r="Y191" s="104">
        <f t="shared" si="83"/>
        <v>202</v>
      </c>
      <c r="Z191" s="102">
        <v>70</v>
      </c>
      <c r="AA191" s="102">
        <v>1</v>
      </c>
      <c r="AB191" s="102">
        <v>1</v>
      </c>
      <c r="AC191" s="102">
        <v>0</v>
      </c>
      <c r="AD191" s="102" t="s">
        <v>537</v>
      </c>
      <c r="AE191" s="102">
        <v>7</v>
      </c>
      <c r="AG191" s="104">
        <f t="shared" si="85"/>
        <v>8084</v>
      </c>
      <c r="AH191" s="103">
        <v>8084.2105263157891</v>
      </c>
      <c r="AI191" s="172">
        <v>3</v>
      </c>
      <c r="AK191" s="104">
        <f ca="1">IFERROR(OFFSET(ITEM_RES!$A$5,MATCH(AL191,ITEM_RES!$M$5:$M$84,0)-1,0),0)</f>
        <v>220000103</v>
      </c>
      <c r="AL191" s="103" t="s">
        <v>575</v>
      </c>
      <c r="AM191" s="104">
        <f t="shared" si="116"/>
        <v>5500</v>
      </c>
      <c r="AN191" s="103">
        <v>5482.4561403508769</v>
      </c>
      <c r="AP191" s="104">
        <f ca="1">IFERROR(OFFSET(ITEM_RES!$A$5,MATCH(AQ191,ITEM_RES!$M$5:$M$84,0)-1,0),0)</f>
        <v>220000203</v>
      </c>
      <c r="AQ191" s="103" t="s">
        <v>593</v>
      </c>
      <c r="AR191" s="104">
        <f t="shared" ref="AR191:AR194" si="127">IF(AS191&lt;100,ROUND(AS191,1-LEN(ROUND(AS191,0))),ROUND(AS191,2-LEN(ROUND(AS191,0))))</f>
        <v>3300</v>
      </c>
      <c r="AS191" s="103">
        <v>3289.4736842105258</v>
      </c>
      <c r="AU191" s="104">
        <f ca="1">IFERROR(OFFSET(ITEM_RES!$A$5,MATCH(AV191,ITEM_RES!$M$5:$M$84,0)-1,0),0)</f>
        <v>220000303</v>
      </c>
      <c r="AV191" s="103" t="s">
        <v>611</v>
      </c>
      <c r="AW191" s="104">
        <f t="shared" ref="AW191:AW194" si="128">IF(AX191&lt;100,ROUND(AX191,1-LEN(ROUND(AX191,0))),ROUND(AX191,2-LEN(ROUND(AX191,0))))</f>
        <v>1100</v>
      </c>
      <c r="AX191" s="103">
        <v>1096.4912280701753</v>
      </c>
      <c r="AZ191" s="104">
        <f ca="1">IFERROR(OFFSET(ITEM_RES!$A$5,MATCH(BA191,ITEM_RES!$M$5:$M$84,0)-1,0),0)</f>
        <v>220000403</v>
      </c>
      <c r="BA191" s="103" t="s">
        <v>629</v>
      </c>
      <c r="BB191" s="104">
        <f t="shared" ref="BB191:BB194" si="129">IF(BC191&lt;100,ROUND(BC191,1-LEN(ROUND(BC191,0))),ROUND(BC191,2-LEN(ROUND(BC191,0))))</f>
        <v>0</v>
      </c>
      <c r="BC191" s="103">
        <v>0</v>
      </c>
      <c r="BE191" s="104">
        <f ca="1">IFERROR(OFFSET(ITEM_RES!$A$5,MATCH(BF191,ITEM_RES!$M$5:$M$84,0)-1,0),0)</f>
        <v>0</v>
      </c>
      <c r="BG191" s="104">
        <f t="shared" ref="BG191:BG194" si="130">IF(BH191&lt;100,ROUND(BH191,1-LEN(ROUND(BH191,0))),ROUND(BH191,2-LEN(ROUND(BH191,0))))</f>
        <v>0</v>
      </c>
    </row>
    <row r="192" spans="1:60" x14ac:dyDescent="0.3">
      <c r="A192" s="107">
        <f t="shared" si="126"/>
        <v>112020008</v>
      </c>
      <c r="B192" s="106">
        <v>11</v>
      </c>
      <c r="C192" s="105">
        <f t="shared" si="115"/>
        <v>2</v>
      </c>
      <c r="D192" s="106">
        <v>2</v>
      </c>
      <c r="E192" s="106">
        <v>0</v>
      </c>
      <c r="F192" s="105">
        <f t="shared" ref="F192:F255" si="131">I192</f>
        <v>8</v>
      </c>
      <c r="H192" s="102">
        <v>2</v>
      </c>
      <c r="I192" s="102">
        <v>8</v>
      </c>
      <c r="K192" s="102" t="s">
        <v>1041</v>
      </c>
      <c r="L192" s="102" t="s">
        <v>778</v>
      </c>
      <c r="M192" s="103" t="s">
        <v>381</v>
      </c>
      <c r="N192" s="102">
        <v>1</v>
      </c>
      <c r="O192" s="102">
        <v>12</v>
      </c>
      <c r="P192" s="102" t="s">
        <v>523</v>
      </c>
      <c r="Q192" s="103" t="s">
        <v>1160</v>
      </c>
      <c r="R192" s="103">
        <v>112020008</v>
      </c>
      <c r="S192" s="104" t="str">
        <f t="shared" si="84"/>
        <v>UITexture/Bldg/112020008.png</v>
      </c>
      <c r="T192" s="102" t="s">
        <v>1048</v>
      </c>
      <c r="U192" s="102">
        <v>2</v>
      </c>
      <c r="V192" s="102">
        <v>1</v>
      </c>
      <c r="W192" s="102">
        <v>2</v>
      </c>
      <c r="Y192" s="104">
        <f t="shared" si="83"/>
        <v>202</v>
      </c>
      <c r="Z192" s="102">
        <v>80</v>
      </c>
      <c r="AA192" s="102">
        <v>1</v>
      </c>
      <c r="AB192" s="102">
        <v>1</v>
      </c>
      <c r="AC192" s="102">
        <v>0</v>
      </c>
      <c r="AD192" s="102" t="s">
        <v>537</v>
      </c>
      <c r="AE192" s="102">
        <v>8</v>
      </c>
      <c r="AG192" s="104">
        <f t="shared" si="85"/>
        <v>8893</v>
      </c>
      <c r="AH192" s="103">
        <v>8892.6315789473683</v>
      </c>
      <c r="AI192" s="172">
        <v>3</v>
      </c>
      <c r="AK192" s="104">
        <f ca="1">IFERROR(OFFSET(ITEM_RES!$A$5,MATCH(AL192,ITEM_RES!$M$5:$M$84,0)-1,0),0)</f>
        <v>220000103</v>
      </c>
      <c r="AL192" s="103" t="s">
        <v>575</v>
      </c>
      <c r="AM192" s="104">
        <f t="shared" si="116"/>
        <v>7500</v>
      </c>
      <c r="AN192" s="103">
        <v>7538.377192982457</v>
      </c>
      <c r="AP192" s="104">
        <f ca="1">IFERROR(OFFSET(ITEM_RES!$A$5,MATCH(AQ192,ITEM_RES!$M$5:$M$84,0)-1,0),0)</f>
        <v>220000203</v>
      </c>
      <c r="AQ192" s="103" t="s">
        <v>593</v>
      </c>
      <c r="AR192" s="104">
        <f t="shared" si="127"/>
        <v>4500</v>
      </c>
      <c r="AS192" s="103">
        <v>4523.0263157894742</v>
      </c>
      <c r="AU192" s="104">
        <f ca="1">IFERROR(OFFSET(ITEM_RES!$A$5,MATCH(AV192,ITEM_RES!$M$5:$M$84,0)-1,0),0)</f>
        <v>220000303</v>
      </c>
      <c r="AV192" s="103" t="s">
        <v>611</v>
      </c>
      <c r="AW192" s="104">
        <f t="shared" si="128"/>
        <v>1500</v>
      </c>
      <c r="AX192" s="103">
        <v>1507.6754385964914</v>
      </c>
      <c r="AZ192" s="104">
        <f ca="1">IFERROR(OFFSET(ITEM_RES!$A$5,MATCH(BA192,ITEM_RES!$M$5:$M$84,0)-1,0),0)</f>
        <v>220000403</v>
      </c>
      <c r="BA192" s="103" t="s">
        <v>629</v>
      </c>
      <c r="BB192" s="104">
        <f t="shared" si="129"/>
        <v>0</v>
      </c>
      <c r="BC192" s="103">
        <v>0</v>
      </c>
      <c r="BE192" s="104">
        <f ca="1">IFERROR(OFFSET(ITEM_RES!$A$5,MATCH(BF192,ITEM_RES!$M$5:$M$84,0)-1,0),0)</f>
        <v>0</v>
      </c>
      <c r="BG192" s="104">
        <f t="shared" si="130"/>
        <v>0</v>
      </c>
    </row>
    <row r="193" spans="1:59" x14ac:dyDescent="0.3">
      <c r="A193" s="107">
        <f t="shared" si="126"/>
        <v>112020009</v>
      </c>
      <c r="B193" s="106">
        <v>11</v>
      </c>
      <c r="C193" s="105">
        <f t="shared" si="115"/>
        <v>2</v>
      </c>
      <c r="D193" s="106">
        <v>2</v>
      </c>
      <c r="E193" s="106">
        <v>0</v>
      </c>
      <c r="F193" s="105">
        <f t="shared" si="131"/>
        <v>9</v>
      </c>
      <c r="H193" s="102">
        <v>2</v>
      </c>
      <c r="I193" s="102">
        <v>9</v>
      </c>
      <c r="K193" s="102" t="s">
        <v>1041</v>
      </c>
      <c r="L193" s="102" t="s">
        <v>778</v>
      </c>
      <c r="M193" s="103" t="s">
        <v>381</v>
      </c>
      <c r="N193" s="102">
        <v>1</v>
      </c>
      <c r="O193" s="102">
        <v>12</v>
      </c>
      <c r="P193" s="102" t="s">
        <v>523</v>
      </c>
      <c r="Q193" s="103" t="s">
        <v>1160</v>
      </c>
      <c r="R193" s="103">
        <v>112020009</v>
      </c>
      <c r="S193" s="104" t="str">
        <f t="shared" si="84"/>
        <v>UITexture/Bldg/112020009.png</v>
      </c>
      <c r="T193" s="102" t="s">
        <v>1048</v>
      </c>
      <c r="U193" s="102">
        <v>2</v>
      </c>
      <c r="V193" s="102">
        <v>1</v>
      </c>
      <c r="W193" s="102">
        <v>2</v>
      </c>
      <c r="Y193" s="104">
        <f t="shared" si="83"/>
        <v>202</v>
      </c>
      <c r="Z193" s="102">
        <v>90</v>
      </c>
      <c r="AA193" s="102">
        <v>1</v>
      </c>
      <c r="AB193" s="102">
        <v>1</v>
      </c>
      <c r="AC193" s="102">
        <v>0</v>
      </c>
      <c r="AD193" s="102" t="s">
        <v>537</v>
      </c>
      <c r="AE193" s="102">
        <v>9</v>
      </c>
      <c r="AG193" s="104">
        <f t="shared" ref="AG193:AG256" si="132">ROUND(AH193,0)</f>
        <v>9782</v>
      </c>
      <c r="AH193" s="103">
        <v>9781.8947368421068</v>
      </c>
      <c r="AI193" s="172">
        <v>3</v>
      </c>
      <c r="AK193" s="104">
        <f ca="1">IFERROR(OFFSET(ITEM_RES!$A$5,MATCH(AL193,ITEM_RES!$M$5:$M$84,0)-1,0),0)</f>
        <v>220000103</v>
      </c>
      <c r="AL193" s="103" t="s">
        <v>575</v>
      </c>
      <c r="AM193" s="104">
        <f t="shared" si="116"/>
        <v>10000</v>
      </c>
      <c r="AN193" s="103">
        <v>10365.26864035088</v>
      </c>
      <c r="AP193" s="104">
        <f ca="1">IFERROR(OFFSET(ITEM_RES!$A$5,MATCH(AQ193,ITEM_RES!$M$5:$M$84,0)-1,0),0)</f>
        <v>220000203</v>
      </c>
      <c r="AQ193" s="103" t="s">
        <v>593</v>
      </c>
      <c r="AR193" s="104">
        <f t="shared" si="127"/>
        <v>6200</v>
      </c>
      <c r="AS193" s="103">
        <v>6219.1611842105285</v>
      </c>
      <c r="AU193" s="104">
        <f ca="1">IFERROR(OFFSET(ITEM_RES!$A$5,MATCH(AV193,ITEM_RES!$M$5:$M$84,0)-1,0),0)</f>
        <v>220000303</v>
      </c>
      <c r="AV193" s="103" t="s">
        <v>611</v>
      </c>
      <c r="AW193" s="104">
        <f t="shared" si="128"/>
        <v>2100</v>
      </c>
      <c r="AX193" s="103">
        <v>2073.053728070176</v>
      </c>
      <c r="AZ193" s="104">
        <f ca="1">IFERROR(OFFSET(ITEM_RES!$A$5,MATCH(BA193,ITEM_RES!$M$5:$M$84,0)-1,0),0)</f>
        <v>220000403</v>
      </c>
      <c r="BA193" s="103" t="s">
        <v>629</v>
      </c>
      <c r="BB193" s="104">
        <f t="shared" si="129"/>
        <v>0</v>
      </c>
      <c r="BC193" s="103">
        <v>0</v>
      </c>
      <c r="BE193" s="104">
        <f ca="1">IFERROR(OFFSET(ITEM_RES!$A$5,MATCH(BF193,ITEM_RES!$M$5:$M$84,0)-1,0),0)</f>
        <v>0</v>
      </c>
      <c r="BG193" s="104">
        <f t="shared" si="130"/>
        <v>0</v>
      </c>
    </row>
    <row r="194" spans="1:59" x14ac:dyDescent="0.3">
      <c r="A194" s="107">
        <f t="shared" si="126"/>
        <v>112020010</v>
      </c>
      <c r="B194" s="106">
        <v>11</v>
      </c>
      <c r="C194" s="105">
        <f t="shared" si="115"/>
        <v>2</v>
      </c>
      <c r="D194" s="106">
        <v>2</v>
      </c>
      <c r="E194" s="106">
        <v>0</v>
      </c>
      <c r="F194" s="105">
        <f t="shared" si="131"/>
        <v>10</v>
      </c>
      <c r="H194" s="102">
        <v>2</v>
      </c>
      <c r="I194" s="102">
        <v>10</v>
      </c>
      <c r="K194" s="102" t="s">
        <v>1041</v>
      </c>
      <c r="L194" s="102" t="s">
        <v>778</v>
      </c>
      <c r="M194" s="103" t="s">
        <v>381</v>
      </c>
      <c r="N194" s="102">
        <v>1</v>
      </c>
      <c r="O194" s="102">
        <v>12</v>
      </c>
      <c r="P194" s="102" t="s">
        <v>523</v>
      </c>
      <c r="Q194" s="103" t="s">
        <v>1160</v>
      </c>
      <c r="R194" s="103">
        <v>112020010</v>
      </c>
      <c r="S194" s="104" t="str">
        <f t="shared" si="84"/>
        <v>UITexture/Bldg/112020010.png</v>
      </c>
      <c r="T194" s="102" t="s">
        <v>1048</v>
      </c>
      <c r="U194" s="102">
        <v>2</v>
      </c>
      <c r="V194" s="102">
        <v>1</v>
      </c>
      <c r="W194" s="102">
        <v>2</v>
      </c>
      <c r="Y194" s="104">
        <f t="shared" si="83"/>
        <v>202</v>
      </c>
      <c r="Z194" s="102">
        <v>100</v>
      </c>
      <c r="AA194" s="102">
        <v>1</v>
      </c>
      <c r="AB194" s="102">
        <v>1</v>
      </c>
      <c r="AC194" s="102">
        <v>0</v>
      </c>
      <c r="AD194" s="102" t="s">
        <v>537</v>
      </c>
      <c r="AE194" s="102">
        <v>10</v>
      </c>
      <c r="AG194" s="104">
        <f t="shared" si="132"/>
        <v>11738</v>
      </c>
      <c r="AH194" s="103">
        <v>11738.273684210528</v>
      </c>
      <c r="AI194" s="172">
        <v>3</v>
      </c>
      <c r="AK194" s="104">
        <f ca="1">IFERROR(OFFSET(ITEM_RES!$A$5,MATCH(AL194,ITEM_RES!$M$5:$M$84,0)-1,0),0)</f>
        <v>220000104</v>
      </c>
      <c r="AL194" s="103" t="s">
        <v>576</v>
      </c>
      <c r="AM194" s="104">
        <f t="shared" si="116"/>
        <v>6200</v>
      </c>
      <c r="AN194" s="103">
        <v>6219.1611842105285</v>
      </c>
      <c r="AP194" s="104">
        <f ca="1">IFERROR(OFFSET(ITEM_RES!$A$5,MATCH(AQ194,ITEM_RES!$M$5:$M$84,0)-1,0),0)</f>
        <v>220000204</v>
      </c>
      <c r="AQ194" s="103" t="s">
        <v>594</v>
      </c>
      <c r="AR194" s="104">
        <f t="shared" si="127"/>
        <v>3700</v>
      </c>
      <c r="AS194" s="103">
        <v>3731.4967105263167</v>
      </c>
      <c r="AU194" s="104">
        <f ca="1">IFERROR(OFFSET(ITEM_RES!$A$5,MATCH(AV194,ITEM_RES!$M$5:$M$84,0)-1,0),0)</f>
        <v>220000304</v>
      </c>
      <c r="AV194" s="103" t="s">
        <v>612</v>
      </c>
      <c r="AW194" s="104">
        <f t="shared" si="128"/>
        <v>1200</v>
      </c>
      <c r="AX194" s="103">
        <v>1243.8322368421057</v>
      </c>
      <c r="AZ194" s="104">
        <f ca="1">IFERROR(OFFSET(ITEM_RES!$A$5,MATCH(BA194,ITEM_RES!$M$5:$M$84,0)-1,0),0)</f>
        <v>220000404</v>
      </c>
      <c r="BA194" s="103" t="s">
        <v>630</v>
      </c>
      <c r="BB194" s="104">
        <f t="shared" si="129"/>
        <v>0</v>
      </c>
      <c r="BC194" s="103">
        <v>0</v>
      </c>
      <c r="BE194" s="104">
        <f ca="1">IFERROR(OFFSET(ITEM_RES!$A$5,MATCH(BF194,ITEM_RES!$M$5:$M$84,0)-1,0),0)</f>
        <v>0</v>
      </c>
      <c r="BG194" s="104">
        <f t="shared" si="130"/>
        <v>0</v>
      </c>
    </row>
    <row r="195" spans="1:59" x14ac:dyDescent="0.3">
      <c r="A195" s="107">
        <f>B195*10000000+C195*1000000+D195*10000+E195*100+F195</f>
        <v>112020011</v>
      </c>
      <c r="B195" s="106">
        <v>11</v>
      </c>
      <c r="C195" s="105">
        <f t="shared" si="115"/>
        <v>2</v>
      </c>
      <c r="D195" s="106">
        <v>2</v>
      </c>
      <c r="E195" s="106">
        <v>0</v>
      </c>
      <c r="F195" s="105">
        <f t="shared" si="131"/>
        <v>11</v>
      </c>
      <c r="H195" s="102">
        <v>2</v>
      </c>
      <c r="I195" s="102">
        <v>11</v>
      </c>
      <c r="K195" s="102" t="s">
        <v>1041</v>
      </c>
      <c r="L195" s="102" t="s">
        <v>778</v>
      </c>
      <c r="M195" s="103" t="s">
        <v>381</v>
      </c>
      <c r="N195" s="102">
        <v>1</v>
      </c>
      <c r="O195" s="102">
        <v>12</v>
      </c>
      <c r="P195" s="102" t="s">
        <v>523</v>
      </c>
      <c r="Q195" s="103" t="s">
        <v>1160</v>
      </c>
      <c r="R195" s="103">
        <v>112020011</v>
      </c>
      <c r="S195" s="104" t="str">
        <f t="shared" si="84"/>
        <v>UITexture/Bldg/112020011.png</v>
      </c>
      <c r="T195" s="102" t="s">
        <v>1048</v>
      </c>
      <c r="U195" s="102">
        <v>2</v>
      </c>
      <c r="V195" s="102">
        <v>1</v>
      </c>
      <c r="W195" s="102">
        <v>2</v>
      </c>
      <c r="Y195" s="104">
        <f t="shared" si="83"/>
        <v>202</v>
      </c>
      <c r="Z195" s="102">
        <v>110</v>
      </c>
      <c r="AA195" s="102">
        <v>1</v>
      </c>
      <c r="AB195" s="102">
        <v>1</v>
      </c>
      <c r="AC195" s="102">
        <v>0</v>
      </c>
      <c r="AD195" s="102" t="s">
        <v>537</v>
      </c>
      <c r="AE195" s="102">
        <v>11</v>
      </c>
      <c r="AG195" s="104">
        <f t="shared" si="132"/>
        <v>17607</v>
      </c>
      <c r="AH195" s="103">
        <v>17607.410526315791</v>
      </c>
      <c r="AI195" s="172">
        <v>4</v>
      </c>
      <c r="AK195" s="104">
        <f ca="1">IFERROR(OFFSET(ITEM_RES!$A$5,MATCH(AL195,ITEM_RES!$M$5:$M$84,0)-1,0),0)</f>
        <v>220000104</v>
      </c>
      <c r="AL195" s="103" t="s">
        <v>576</v>
      </c>
      <c r="AM195" s="104">
        <f t="shared" si="116"/>
        <v>12000</v>
      </c>
      <c r="AN195" s="103">
        <v>11660.92722039474</v>
      </c>
      <c r="AP195" s="104">
        <f ca="1">IFERROR(OFFSET(ITEM_RES!$A$5,MATCH(AQ195,ITEM_RES!$M$5:$M$84,0)-1,0),0)</f>
        <v>220000204</v>
      </c>
      <c r="AQ195" s="103" t="s">
        <v>594</v>
      </c>
      <c r="AR195" s="104">
        <f>IF(AS195&lt;100,ROUND(AS195,1-LEN(ROUND(AS195,0))),ROUND(AS195,2-LEN(ROUND(AS195,0))))</f>
        <v>5200</v>
      </c>
      <c r="AS195" s="103">
        <v>5247.4172491776335</v>
      </c>
      <c r="AU195" s="104">
        <f ca="1">IFERROR(OFFSET(ITEM_RES!$A$5,MATCH(AV195,ITEM_RES!$M$5:$M$84,0)-1,0),0)</f>
        <v>220000304</v>
      </c>
      <c r="AV195" s="103" t="s">
        <v>612</v>
      </c>
      <c r="AW195" s="104">
        <f>IF(AX195&lt;100,ROUND(AX195,1-LEN(ROUND(AX195,0))),ROUND(AX195,2-LEN(ROUND(AX195,0))))</f>
        <v>2300</v>
      </c>
      <c r="AX195" s="103">
        <v>2332.185444078948</v>
      </c>
      <c r="AZ195" s="104">
        <f ca="1">IFERROR(OFFSET(ITEM_RES!$A$5,MATCH(BA195,ITEM_RES!$M$5:$M$84,0)-1,0),0)</f>
        <v>220000404</v>
      </c>
      <c r="BA195" s="103" t="s">
        <v>630</v>
      </c>
      <c r="BB195" s="104">
        <f>IF(BC195&lt;100,ROUND(BC195,1-LEN(ROUND(BC195,0))),ROUND(BC195,2-LEN(ROUND(BC195,0))))</f>
        <v>580</v>
      </c>
      <c r="BC195" s="103">
        <v>583.04636101973699</v>
      </c>
      <c r="BE195" s="104">
        <f ca="1">IFERROR(OFFSET(ITEM_RES!$A$5,MATCH(BF195,ITEM_RES!$M$5:$M$84,0)-1,0),0)</f>
        <v>0</v>
      </c>
      <c r="BG195" s="104">
        <f>IF(BH195&lt;100,ROUND(BH195,1-LEN(ROUND(BH195,0))),ROUND(BH195,2-LEN(ROUND(BH195,0))))</f>
        <v>0</v>
      </c>
    </row>
    <row r="196" spans="1:59" x14ac:dyDescent="0.3">
      <c r="A196" s="107">
        <f t="shared" ref="A196:A199" si="133">B196*10000000+C196*1000000+D196*10000+E196*100+F196</f>
        <v>112020012</v>
      </c>
      <c r="B196" s="106">
        <v>11</v>
      </c>
      <c r="C196" s="105">
        <f t="shared" si="115"/>
        <v>2</v>
      </c>
      <c r="D196" s="106">
        <v>2</v>
      </c>
      <c r="E196" s="106">
        <v>0</v>
      </c>
      <c r="F196" s="105">
        <f t="shared" si="131"/>
        <v>12</v>
      </c>
      <c r="H196" s="102">
        <v>2</v>
      </c>
      <c r="I196" s="102">
        <v>12</v>
      </c>
      <c r="K196" s="102" t="s">
        <v>1041</v>
      </c>
      <c r="L196" s="102" t="s">
        <v>778</v>
      </c>
      <c r="M196" s="103" t="s">
        <v>381</v>
      </c>
      <c r="N196" s="102">
        <v>1</v>
      </c>
      <c r="O196" s="102">
        <v>12</v>
      </c>
      <c r="P196" s="102" t="s">
        <v>523</v>
      </c>
      <c r="Q196" s="103" t="s">
        <v>1160</v>
      </c>
      <c r="R196" s="103">
        <v>112020012</v>
      </c>
      <c r="S196" s="104" t="str">
        <f t="shared" si="84"/>
        <v>UITexture/Bldg/112020012.png</v>
      </c>
      <c r="T196" s="102" t="s">
        <v>1048</v>
      </c>
      <c r="U196" s="102">
        <v>2</v>
      </c>
      <c r="V196" s="102">
        <v>1</v>
      </c>
      <c r="W196" s="102">
        <v>2</v>
      </c>
      <c r="Y196" s="104">
        <f t="shared" si="83"/>
        <v>202</v>
      </c>
      <c r="Z196" s="102">
        <v>120</v>
      </c>
      <c r="AA196" s="102">
        <v>1</v>
      </c>
      <c r="AB196" s="102">
        <v>1</v>
      </c>
      <c r="AC196" s="102">
        <v>0</v>
      </c>
      <c r="AD196" s="102" t="s">
        <v>537</v>
      </c>
      <c r="AE196" s="102">
        <v>12</v>
      </c>
      <c r="AG196" s="104">
        <f t="shared" si="132"/>
        <v>26411</v>
      </c>
      <c r="AH196" s="103">
        <v>26411.115789473686</v>
      </c>
      <c r="AI196" s="172">
        <v>4</v>
      </c>
      <c r="AK196" s="104">
        <f ca="1">IFERROR(OFFSET(ITEM_RES!$A$5,MATCH(AL196,ITEM_RES!$M$5:$M$84,0)-1,0),0)</f>
        <v>220000104</v>
      </c>
      <c r="AL196" s="103" t="s">
        <v>576</v>
      </c>
      <c r="AM196" s="104">
        <f t="shared" si="116"/>
        <v>22000</v>
      </c>
      <c r="AN196" s="103">
        <v>21864.238538240133</v>
      </c>
      <c r="AP196" s="104">
        <f ca="1">IFERROR(OFFSET(ITEM_RES!$A$5,MATCH(AQ196,ITEM_RES!$M$5:$M$84,0)-1,0),0)</f>
        <v>220000204</v>
      </c>
      <c r="AQ196" s="103" t="s">
        <v>594</v>
      </c>
      <c r="AR196" s="104">
        <f t="shared" ref="AR196:AR199" si="134">IF(AS196&lt;100,ROUND(AS196,1-LEN(ROUND(AS196,0))),ROUND(AS196,2-LEN(ROUND(AS196,0))))</f>
        <v>9800</v>
      </c>
      <c r="AS196" s="103">
        <v>9838.9073422080619</v>
      </c>
      <c r="AU196" s="104">
        <f ca="1">IFERROR(OFFSET(ITEM_RES!$A$5,MATCH(AV196,ITEM_RES!$M$5:$M$84,0)-1,0),0)</f>
        <v>220000304</v>
      </c>
      <c r="AV196" s="103" t="s">
        <v>612</v>
      </c>
      <c r="AW196" s="104">
        <f t="shared" ref="AW196:AW199" si="135">IF(AX196&lt;100,ROUND(AX196,1-LEN(ROUND(AX196,0))),ROUND(AX196,2-LEN(ROUND(AX196,0))))</f>
        <v>4400</v>
      </c>
      <c r="AX196" s="103">
        <v>4372.8477076480267</v>
      </c>
      <c r="AZ196" s="104">
        <f ca="1">IFERROR(OFFSET(ITEM_RES!$A$5,MATCH(BA196,ITEM_RES!$M$5:$M$84,0)-1,0),0)</f>
        <v>220000404</v>
      </c>
      <c r="BA196" s="103" t="s">
        <v>630</v>
      </c>
      <c r="BB196" s="104">
        <f t="shared" ref="BB196:BB199" si="136">IF(BC196&lt;100,ROUND(BC196,1-LEN(ROUND(BC196,0))),ROUND(BC196,2-LEN(ROUND(BC196,0))))</f>
        <v>1100</v>
      </c>
      <c r="BC196" s="103">
        <v>1093.2119269120067</v>
      </c>
      <c r="BE196" s="104">
        <f ca="1">IFERROR(OFFSET(ITEM_RES!$A$5,MATCH(BF196,ITEM_RES!$M$5:$M$84,0)-1,0),0)</f>
        <v>0</v>
      </c>
      <c r="BG196" s="104">
        <f t="shared" ref="BG196:BG199" si="137">IF(BH196&lt;100,ROUND(BH196,1-LEN(ROUND(BH196,0))),ROUND(BH196,2-LEN(ROUND(BH196,0))))</f>
        <v>0</v>
      </c>
    </row>
    <row r="197" spans="1:59" x14ac:dyDescent="0.3">
      <c r="A197" s="107">
        <f t="shared" si="133"/>
        <v>112020013</v>
      </c>
      <c r="B197" s="106">
        <v>11</v>
      </c>
      <c r="C197" s="105">
        <f t="shared" si="115"/>
        <v>2</v>
      </c>
      <c r="D197" s="106">
        <v>2</v>
      </c>
      <c r="E197" s="106">
        <v>0</v>
      </c>
      <c r="F197" s="105">
        <f t="shared" si="131"/>
        <v>13</v>
      </c>
      <c r="H197" s="102">
        <v>2</v>
      </c>
      <c r="I197" s="102">
        <v>13</v>
      </c>
      <c r="K197" s="102" t="s">
        <v>1041</v>
      </c>
      <c r="L197" s="102" t="s">
        <v>778</v>
      </c>
      <c r="M197" s="103" t="s">
        <v>381</v>
      </c>
      <c r="N197" s="102">
        <v>0</v>
      </c>
      <c r="O197" s="102">
        <v>12</v>
      </c>
      <c r="P197" s="102" t="s">
        <v>523</v>
      </c>
      <c r="Q197" s="103" t="s">
        <v>1160</v>
      </c>
      <c r="R197" s="103">
        <v>112020013</v>
      </c>
      <c r="S197" s="104" t="str">
        <f t="shared" si="84"/>
        <v>UITexture/Bldg/112020013.png</v>
      </c>
      <c r="T197" s="102" t="s">
        <v>1048</v>
      </c>
      <c r="U197" s="102">
        <v>2</v>
      </c>
      <c r="V197" s="102">
        <v>1</v>
      </c>
      <c r="W197" s="102">
        <v>2</v>
      </c>
      <c r="Y197" s="104">
        <f t="shared" ref="Y197:Y260" si="138">C197*100+D197</f>
        <v>202</v>
      </c>
      <c r="Z197" s="102">
        <v>130</v>
      </c>
      <c r="AA197" s="102">
        <v>1</v>
      </c>
      <c r="AB197" s="102">
        <v>1</v>
      </c>
      <c r="AC197" s="102">
        <v>0</v>
      </c>
      <c r="AD197" s="102" t="s">
        <v>537</v>
      </c>
      <c r="AE197" s="102">
        <v>13</v>
      </c>
      <c r="AG197" s="104">
        <f t="shared" si="132"/>
        <v>34334</v>
      </c>
      <c r="AH197" s="103">
        <v>34334.450526315792</v>
      </c>
      <c r="AI197" s="172">
        <v>4</v>
      </c>
      <c r="AK197" s="104">
        <f ca="1">IFERROR(OFFSET(ITEM_RES!$A$5,MATCH(AL197,ITEM_RES!$M$5:$M$84,0)-1,0),0)</f>
        <v>220000105</v>
      </c>
      <c r="AL197" s="103" t="s">
        <v>577</v>
      </c>
      <c r="AM197" s="104">
        <f t="shared" si="116"/>
        <v>12000</v>
      </c>
      <c r="AN197" s="103">
        <v>11843.12920821341</v>
      </c>
      <c r="AP197" s="104">
        <f ca="1">IFERROR(OFFSET(ITEM_RES!$A$5,MATCH(AQ197,ITEM_RES!$M$5:$M$84,0)-1,0),0)</f>
        <v>220000205</v>
      </c>
      <c r="AQ197" s="103" t="s">
        <v>595</v>
      </c>
      <c r="AR197" s="104">
        <f t="shared" si="134"/>
        <v>5300</v>
      </c>
      <c r="AS197" s="103">
        <v>5329.4081436960332</v>
      </c>
      <c r="AU197" s="104">
        <f ca="1">IFERROR(OFFSET(ITEM_RES!$A$5,MATCH(AV197,ITEM_RES!$M$5:$M$84,0)-1,0),0)</f>
        <v>220000305</v>
      </c>
      <c r="AV197" s="103" t="s">
        <v>613</v>
      </c>
      <c r="AW197" s="104">
        <f t="shared" si="135"/>
        <v>2400</v>
      </c>
      <c r="AX197" s="103">
        <v>2368.6258416426817</v>
      </c>
      <c r="AZ197" s="104">
        <f ca="1">IFERROR(OFFSET(ITEM_RES!$A$5,MATCH(BA197,ITEM_RES!$M$5:$M$84,0)-1,0),0)</f>
        <v>220000405</v>
      </c>
      <c r="BA197" s="103" t="s">
        <v>631</v>
      </c>
      <c r="BB197" s="104">
        <f t="shared" si="136"/>
        <v>590</v>
      </c>
      <c r="BC197" s="103">
        <v>592.15646041067043</v>
      </c>
      <c r="BE197" s="104">
        <f ca="1">IFERROR(OFFSET(ITEM_RES!$A$5,MATCH(BF197,ITEM_RES!$M$5:$M$84,0)-1,0),0)</f>
        <v>0</v>
      </c>
      <c r="BG197" s="104">
        <f t="shared" si="137"/>
        <v>0</v>
      </c>
    </row>
    <row r="198" spans="1:59" x14ac:dyDescent="0.3">
      <c r="A198" s="107">
        <f t="shared" si="133"/>
        <v>112020014</v>
      </c>
      <c r="B198" s="106">
        <v>11</v>
      </c>
      <c r="C198" s="105">
        <f t="shared" si="115"/>
        <v>2</v>
      </c>
      <c r="D198" s="106">
        <v>2</v>
      </c>
      <c r="E198" s="106">
        <v>0</v>
      </c>
      <c r="F198" s="105">
        <f t="shared" si="131"/>
        <v>14</v>
      </c>
      <c r="H198" s="102">
        <v>2</v>
      </c>
      <c r="I198" s="102">
        <v>14</v>
      </c>
      <c r="K198" s="102" t="s">
        <v>1041</v>
      </c>
      <c r="L198" s="102" t="s">
        <v>778</v>
      </c>
      <c r="M198" s="103" t="s">
        <v>381</v>
      </c>
      <c r="N198" s="102">
        <v>0</v>
      </c>
      <c r="O198" s="102">
        <v>12</v>
      </c>
      <c r="P198" s="102" t="s">
        <v>523</v>
      </c>
      <c r="Q198" s="103" t="s">
        <v>1160</v>
      </c>
      <c r="R198" s="103">
        <v>112020014</v>
      </c>
      <c r="S198" s="104" t="str">
        <f t="shared" ref="S198:S261" si="139">CONCATENATE(Q198,R198,".png")</f>
        <v>UITexture/Bldg/112020014.png</v>
      </c>
      <c r="T198" s="102" t="s">
        <v>1048</v>
      </c>
      <c r="U198" s="102">
        <v>2</v>
      </c>
      <c r="V198" s="102">
        <v>1</v>
      </c>
      <c r="W198" s="102">
        <v>2</v>
      </c>
      <c r="Y198" s="104">
        <f t="shared" si="138"/>
        <v>202</v>
      </c>
      <c r="Z198" s="102">
        <v>140</v>
      </c>
      <c r="AA198" s="102">
        <v>1</v>
      </c>
      <c r="AB198" s="102">
        <v>1</v>
      </c>
      <c r="AC198" s="102">
        <v>0</v>
      </c>
      <c r="AD198" s="102" t="s">
        <v>537</v>
      </c>
      <c r="AE198" s="102">
        <v>14</v>
      </c>
      <c r="AG198" s="104">
        <f t="shared" si="132"/>
        <v>37768</v>
      </c>
      <c r="AH198" s="103">
        <v>37767.895578947377</v>
      </c>
      <c r="AI198" s="172">
        <v>4</v>
      </c>
      <c r="AK198" s="104">
        <f ca="1">IFERROR(OFFSET(ITEM_RES!$A$5,MATCH(AL198,ITEM_RES!$M$5:$M$84,0)-1,0),0)</f>
        <v>220000105</v>
      </c>
      <c r="AL198" s="103" t="s">
        <v>577</v>
      </c>
      <c r="AM198" s="104">
        <f t="shared" si="116"/>
        <v>16000</v>
      </c>
      <c r="AN198" s="103">
        <v>16284.30266129343</v>
      </c>
      <c r="AP198" s="104">
        <f ca="1">IFERROR(OFFSET(ITEM_RES!$A$5,MATCH(AQ198,ITEM_RES!$M$5:$M$84,0)-1,0),0)</f>
        <v>220000205</v>
      </c>
      <c r="AQ198" s="103" t="s">
        <v>595</v>
      </c>
      <c r="AR198" s="104">
        <f t="shared" si="134"/>
        <v>7300</v>
      </c>
      <c r="AS198" s="103">
        <v>7327.9361975820448</v>
      </c>
      <c r="AU198" s="104">
        <f ca="1">IFERROR(OFFSET(ITEM_RES!$A$5,MATCH(AV198,ITEM_RES!$M$5:$M$84,0)-1,0),0)</f>
        <v>220000305</v>
      </c>
      <c r="AV198" s="103" t="s">
        <v>613</v>
      </c>
      <c r="AW198" s="104">
        <f t="shared" si="135"/>
        <v>3300</v>
      </c>
      <c r="AX198" s="103">
        <v>3256.8605322586859</v>
      </c>
      <c r="AZ198" s="104">
        <f ca="1">IFERROR(OFFSET(ITEM_RES!$A$5,MATCH(BA198,ITEM_RES!$M$5:$M$84,0)-1,0),0)</f>
        <v>220000405</v>
      </c>
      <c r="BA198" s="103" t="s">
        <v>631</v>
      </c>
      <c r="BB198" s="104">
        <f t="shared" si="136"/>
        <v>810</v>
      </c>
      <c r="BC198" s="103">
        <v>814.21513306467148</v>
      </c>
      <c r="BE198" s="104">
        <f ca="1">IFERROR(OFFSET(ITEM_RES!$A$5,MATCH(BF198,ITEM_RES!$M$5:$M$84,0)-1,0),0)</f>
        <v>0</v>
      </c>
      <c r="BG198" s="104">
        <f t="shared" si="137"/>
        <v>0</v>
      </c>
    </row>
    <row r="199" spans="1:59" x14ac:dyDescent="0.3">
      <c r="A199" s="107">
        <f t="shared" si="133"/>
        <v>112020015</v>
      </c>
      <c r="B199" s="106">
        <v>11</v>
      </c>
      <c r="C199" s="105">
        <f t="shared" si="115"/>
        <v>2</v>
      </c>
      <c r="D199" s="106">
        <v>2</v>
      </c>
      <c r="E199" s="106">
        <v>0</v>
      </c>
      <c r="F199" s="105">
        <f t="shared" si="131"/>
        <v>15</v>
      </c>
      <c r="H199" s="102">
        <v>2</v>
      </c>
      <c r="I199" s="102">
        <v>15</v>
      </c>
      <c r="K199" s="102" t="s">
        <v>1041</v>
      </c>
      <c r="L199" s="102" t="s">
        <v>778</v>
      </c>
      <c r="M199" s="103" t="s">
        <v>381</v>
      </c>
      <c r="N199" s="102">
        <v>0</v>
      </c>
      <c r="O199" s="102">
        <v>12</v>
      </c>
      <c r="P199" s="102" t="s">
        <v>523</v>
      </c>
      <c r="Q199" s="103" t="s">
        <v>1160</v>
      </c>
      <c r="R199" s="103">
        <v>112020015</v>
      </c>
      <c r="S199" s="104" t="str">
        <f t="shared" si="139"/>
        <v>UITexture/Bldg/112020015.png</v>
      </c>
      <c r="T199" s="102" t="s">
        <v>1048</v>
      </c>
      <c r="U199" s="102">
        <v>2</v>
      </c>
      <c r="V199" s="102">
        <v>1</v>
      </c>
      <c r="W199" s="102">
        <v>2</v>
      </c>
      <c r="Y199" s="104">
        <f t="shared" si="138"/>
        <v>202</v>
      </c>
      <c r="Z199" s="102">
        <v>150</v>
      </c>
      <c r="AA199" s="102">
        <v>1</v>
      </c>
      <c r="AB199" s="102">
        <v>1</v>
      </c>
      <c r="AC199" s="102">
        <v>0</v>
      </c>
      <c r="AD199" s="102" t="s">
        <v>537</v>
      </c>
      <c r="AE199" s="102">
        <v>15</v>
      </c>
      <c r="AG199" s="104">
        <f t="shared" si="132"/>
        <v>41545</v>
      </c>
      <c r="AH199" s="103">
        <v>41544.685136842119</v>
      </c>
      <c r="AI199" s="172">
        <v>4</v>
      </c>
      <c r="AK199" s="104">
        <f ca="1">IFERROR(OFFSET(ITEM_RES!$A$5,MATCH(AL199,ITEM_RES!$M$5:$M$84,0)-1,0),0)</f>
        <v>220000105</v>
      </c>
      <c r="AL199" s="103" t="s">
        <v>577</v>
      </c>
      <c r="AM199" s="104">
        <f t="shared" si="116"/>
        <v>22000</v>
      </c>
      <c r="AN199" s="103">
        <v>22390.916159278477</v>
      </c>
      <c r="AP199" s="104">
        <f ca="1">IFERROR(OFFSET(ITEM_RES!$A$5,MATCH(AQ199,ITEM_RES!$M$5:$M$84,0)-1,0),0)</f>
        <v>220000205</v>
      </c>
      <c r="AQ199" s="103" t="s">
        <v>595</v>
      </c>
      <c r="AR199" s="104">
        <f t="shared" si="134"/>
        <v>10000</v>
      </c>
      <c r="AS199" s="103">
        <v>10075.912271675314</v>
      </c>
      <c r="AU199" s="104">
        <f ca="1">IFERROR(OFFSET(ITEM_RES!$A$5,MATCH(AV199,ITEM_RES!$M$5:$M$84,0)-1,0),0)</f>
        <v>220000305</v>
      </c>
      <c r="AV199" s="103" t="s">
        <v>613</v>
      </c>
      <c r="AW199" s="104">
        <f t="shared" si="135"/>
        <v>4500</v>
      </c>
      <c r="AX199" s="103">
        <v>4478.1832318556953</v>
      </c>
      <c r="AZ199" s="104">
        <f ca="1">IFERROR(OFFSET(ITEM_RES!$A$5,MATCH(BA199,ITEM_RES!$M$5:$M$84,0)-1,0),0)</f>
        <v>220000405</v>
      </c>
      <c r="BA199" s="103" t="s">
        <v>631</v>
      </c>
      <c r="BB199" s="104">
        <f t="shared" si="136"/>
        <v>1100</v>
      </c>
      <c r="BC199" s="103">
        <v>1119.5458079639238</v>
      </c>
      <c r="BE199" s="104">
        <f ca="1">IFERROR(OFFSET(ITEM_RES!$A$5,MATCH(BF199,ITEM_RES!$M$5:$M$84,0)-1,0),0)</f>
        <v>0</v>
      </c>
      <c r="BG199" s="104">
        <f t="shared" si="137"/>
        <v>0</v>
      </c>
    </row>
    <row r="200" spans="1:59" x14ac:dyDescent="0.3">
      <c r="A200" s="107">
        <f>B200*10000000+C200*1000000+D200*10000+E200*100+F200</f>
        <v>112020016</v>
      </c>
      <c r="B200" s="106">
        <v>11</v>
      </c>
      <c r="C200" s="105">
        <f t="shared" si="115"/>
        <v>2</v>
      </c>
      <c r="D200" s="106">
        <v>2</v>
      </c>
      <c r="E200" s="106">
        <v>0</v>
      </c>
      <c r="F200" s="105">
        <f t="shared" si="131"/>
        <v>16</v>
      </c>
      <c r="H200" s="102">
        <v>2</v>
      </c>
      <c r="I200" s="102">
        <v>16</v>
      </c>
      <c r="K200" s="102" t="s">
        <v>1041</v>
      </c>
      <c r="L200" s="102" t="s">
        <v>778</v>
      </c>
      <c r="M200" s="103" t="s">
        <v>381</v>
      </c>
      <c r="N200" s="102">
        <v>0</v>
      </c>
      <c r="O200" s="102">
        <v>12</v>
      </c>
      <c r="P200" s="102" t="s">
        <v>523</v>
      </c>
      <c r="Q200" s="103" t="s">
        <v>1160</v>
      </c>
      <c r="R200" s="103">
        <v>112020016</v>
      </c>
      <c r="S200" s="104" t="str">
        <f t="shared" si="139"/>
        <v>UITexture/Bldg/112020016.png</v>
      </c>
      <c r="T200" s="102" t="s">
        <v>1048</v>
      </c>
      <c r="U200" s="102">
        <v>2</v>
      </c>
      <c r="V200" s="102">
        <v>1</v>
      </c>
      <c r="W200" s="102">
        <v>2</v>
      </c>
      <c r="Y200" s="104">
        <f t="shared" si="138"/>
        <v>202</v>
      </c>
      <c r="Z200" s="102">
        <v>160</v>
      </c>
      <c r="AA200" s="102">
        <v>1</v>
      </c>
      <c r="AB200" s="102">
        <v>1</v>
      </c>
      <c r="AC200" s="102">
        <v>0</v>
      </c>
      <c r="AD200" s="102" t="s">
        <v>537</v>
      </c>
      <c r="AE200" s="102">
        <v>16</v>
      </c>
      <c r="AG200" s="104">
        <f t="shared" si="132"/>
        <v>45699</v>
      </c>
      <c r="AH200" s="103">
        <v>45699.153650526328</v>
      </c>
      <c r="AI200" s="172">
        <v>4</v>
      </c>
      <c r="AK200" s="104">
        <f ca="1">IFERROR(OFFSET(ITEM_RES!$A$5,MATCH(AL200,ITEM_RES!$M$5:$M$84,0)-1,0),0)</f>
        <v>220000106</v>
      </c>
      <c r="AL200" s="103" t="s">
        <v>578</v>
      </c>
      <c r="AM200" s="104">
        <f t="shared" si="116"/>
        <v>6400</v>
      </c>
      <c r="AN200" s="103">
        <v>6414.0645247933135</v>
      </c>
      <c r="AP200" s="104">
        <f ca="1">IFERROR(OFFSET(ITEM_RES!$A$5,MATCH(AQ200,ITEM_RES!$M$5:$M$84,0)-1,0),0)</f>
        <v>220000206</v>
      </c>
      <c r="AQ200" s="103" t="s">
        <v>596</v>
      </c>
      <c r="AR200" s="104">
        <f>IF(AS200&lt;100,ROUND(AS200,1-LEN(ROUND(AS200,0))),ROUND(AS200,2-LEN(ROUND(AS200,0))))</f>
        <v>3800</v>
      </c>
      <c r="AS200" s="103">
        <v>3848.4387148759884</v>
      </c>
      <c r="AU200" s="104">
        <f ca="1">IFERROR(OFFSET(ITEM_RES!$A$5,MATCH(AV200,ITEM_RES!$M$5:$M$84,0)-1,0),0)</f>
        <v>220000306</v>
      </c>
      <c r="AV200" s="103" t="s">
        <v>614</v>
      </c>
      <c r="AW200" s="104">
        <f>IF(AX200&lt;100,ROUND(AX200,1-LEN(ROUND(AX200,0))),ROUND(AX200,2-LEN(ROUND(AX200,0))))</f>
        <v>2600</v>
      </c>
      <c r="AX200" s="103">
        <v>2565.6258099173256</v>
      </c>
      <c r="AZ200" s="104">
        <f ca="1">IFERROR(OFFSET(ITEM_RES!$A$5,MATCH(BA200,ITEM_RES!$M$5:$M$84,0)-1,0),0)</f>
        <v>220000406</v>
      </c>
      <c r="BA200" s="103" t="s">
        <v>632</v>
      </c>
      <c r="BB200" s="104">
        <f>IF(BC200&lt;100,ROUND(BC200,1-LEN(ROUND(BC200,0))),ROUND(BC200,2-LEN(ROUND(BC200,0))))</f>
        <v>1300</v>
      </c>
      <c r="BC200" s="103">
        <v>1282.8129049586628</v>
      </c>
      <c r="BE200" s="104">
        <f ca="1">IFERROR(OFFSET(ITEM_RES!$A$5,MATCH(BF200,ITEM_RES!$M$5:$M$84,0)-1,0),0)</f>
        <v>0</v>
      </c>
      <c r="BG200" s="104">
        <f>IF(BH200&lt;100,ROUND(BH200,1-LEN(ROUND(BH200,0))),ROUND(BH200,2-LEN(ROUND(BH200,0))))</f>
        <v>0</v>
      </c>
    </row>
    <row r="201" spans="1:59" x14ac:dyDescent="0.3">
      <c r="A201" s="107">
        <f t="shared" ref="A201:A204" si="140">B201*10000000+C201*1000000+D201*10000+E201*100+F201</f>
        <v>112020017</v>
      </c>
      <c r="B201" s="106">
        <v>11</v>
      </c>
      <c r="C201" s="105">
        <f t="shared" si="115"/>
        <v>2</v>
      </c>
      <c r="D201" s="106">
        <v>2</v>
      </c>
      <c r="E201" s="106">
        <v>0</v>
      </c>
      <c r="F201" s="105">
        <f t="shared" si="131"/>
        <v>17</v>
      </c>
      <c r="H201" s="102">
        <v>2</v>
      </c>
      <c r="I201" s="102">
        <v>17</v>
      </c>
      <c r="K201" s="102" t="s">
        <v>1041</v>
      </c>
      <c r="L201" s="102" t="s">
        <v>778</v>
      </c>
      <c r="M201" s="103" t="s">
        <v>381</v>
      </c>
      <c r="N201" s="102">
        <v>0</v>
      </c>
      <c r="O201" s="102">
        <v>12</v>
      </c>
      <c r="P201" s="102" t="s">
        <v>523</v>
      </c>
      <c r="Q201" s="103" t="s">
        <v>1160</v>
      </c>
      <c r="R201" s="103">
        <v>112020017</v>
      </c>
      <c r="S201" s="104" t="str">
        <f t="shared" si="139"/>
        <v>UITexture/Bldg/112020017.png</v>
      </c>
      <c r="T201" s="102" t="s">
        <v>1048</v>
      </c>
      <c r="U201" s="102">
        <v>2</v>
      </c>
      <c r="V201" s="102">
        <v>1</v>
      </c>
      <c r="W201" s="102">
        <v>2</v>
      </c>
      <c r="Y201" s="104">
        <f t="shared" si="138"/>
        <v>202</v>
      </c>
      <c r="Z201" s="102">
        <v>170</v>
      </c>
      <c r="AA201" s="102">
        <v>1</v>
      </c>
      <c r="AB201" s="102">
        <v>1</v>
      </c>
      <c r="AC201" s="102">
        <v>0</v>
      </c>
      <c r="AD201" s="102" t="s">
        <v>537</v>
      </c>
      <c r="AE201" s="102">
        <v>17</v>
      </c>
      <c r="AG201" s="104">
        <f t="shared" si="132"/>
        <v>68549</v>
      </c>
      <c r="AH201" s="103">
        <v>68548.730475789489</v>
      </c>
      <c r="AI201" s="172">
        <v>4</v>
      </c>
      <c r="AK201" s="104">
        <f ca="1">IFERROR(OFFSET(ITEM_RES!$A$5,MATCH(AL201,ITEM_RES!$M$5:$M$84,0)-1,0),0)</f>
        <v>220000106</v>
      </c>
      <c r="AL201" s="103" t="s">
        <v>578</v>
      </c>
      <c r="AM201" s="104">
        <f t="shared" si="116"/>
        <v>12000</v>
      </c>
      <c r="AN201" s="103">
        <v>12026.370983987463</v>
      </c>
      <c r="AP201" s="104">
        <f ca="1">IFERROR(OFFSET(ITEM_RES!$A$5,MATCH(AQ201,ITEM_RES!$M$5:$M$84,0)-1,0),0)</f>
        <v>220000206</v>
      </c>
      <c r="AQ201" s="103" t="s">
        <v>596</v>
      </c>
      <c r="AR201" s="104">
        <f t="shared" ref="AR201:AR204" si="141">IF(AS201&lt;100,ROUND(AS201,1-LEN(ROUND(AS201,0))),ROUND(AS201,2-LEN(ROUND(AS201,0))))</f>
        <v>7200</v>
      </c>
      <c r="AS201" s="103">
        <v>7215.8225903924777</v>
      </c>
      <c r="AU201" s="104">
        <f ca="1">IFERROR(OFFSET(ITEM_RES!$A$5,MATCH(AV201,ITEM_RES!$M$5:$M$84,0)-1,0),0)</f>
        <v>220000306</v>
      </c>
      <c r="AV201" s="103" t="s">
        <v>614</v>
      </c>
      <c r="AW201" s="104">
        <f t="shared" ref="AW201:AW204" si="142">IF(AX201&lt;100,ROUND(AX201,1-LEN(ROUND(AX201,0))),ROUND(AX201,2-LEN(ROUND(AX201,0))))</f>
        <v>4800</v>
      </c>
      <c r="AX201" s="103">
        <v>4810.5483935949851</v>
      </c>
      <c r="AZ201" s="104">
        <f ca="1">IFERROR(OFFSET(ITEM_RES!$A$5,MATCH(BA201,ITEM_RES!$M$5:$M$84,0)-1,0),0)</f>
        <v>220000406</v>
      </c>
      <c r="BA201" s="103" t="s">
        <v>632</v>
      </c>
      <c r="BB201" s="104">
        <f t="shared" ref="BB201:BB204" si="143">IF(BC201&lt;100,ROUND(BC201,1-LEN(ROUND(BC201,0))),ROUND(BC201,2-LEN(ROUND(BC201,0))))</f>
        <v>2400</v>
      </c>
      <c r="BC201" s="103">
        <v>2405.2741967974926</v>
      </c>
      <c r="BE201" s="104">
        <f ca="1">IFERROR(OFFSET(ITEM_RES!$A$5,MATCH(BF201,ITEM_RES!$M$5:$M$84,0)-1,0),0)</f>
        <v>0</v>
      </c>
      <c r="BG201" s="104">
        <f t="shared" ref="BG201:BG204" si="144">IF(BH201&lt;100,ROUND(BH201,1-LEN(ROUND(BH201,0))),ROUND(BH201,2-LEN(ROUND(BH201,0))))</f>
        <v>0</v>
      </c>
    </row>
    <row r="202" spans="1:59" x14ac:dyDescent="0.3">
      <c r="A202" s="107">
        <f t="shared" si="140"/>
        <v>112020018</v>
      </c>
      <c r="B202" s="106">
        <v>11</v>
      </c>
      <c r="C202" s="105">
        <f t="shared" si="115"/>
        <v>2</v>
      </c>
      <c r="D202" s="106">
        <v>2</v>
      </c>
      <c r="E202" s="106">
        <v>0</v>
      </c>
      <c r="F202" s="105">
        <f t="shared" si="131"/>
        <v>18</v>
      </c>
      <c r="H202" s="102">
        <v>2</v>
      </c>
      <c r="I202" s="102">
        <v>18</v>
      </c>
      <c r="K202" s="102" t="s">
        <v>1041</v>
      </c>
      <c r="L202" s="102" t="s">
        <v>778</v>
      </c>
      <c r="M202" s="103" t="s">
        <v>381</v>
      </c>
      <c r="N202" s="102">
        <v>0</v>
      </c>
      <c r="O202" s="102">
        <v>12</v>
      </c>
      <c r="P202" s="102" t="s">
        <v>523</v>
      </c>
      <c r="Q202" s="103" t="s">
        <v>1160</v>
      </c>
      <c r="R202" s="103">
        <v>112020018</v>
      </c>
      <c r="S202" s="104" t="str">
        <f t="shared" si="139"/>
        <v>UITexture/Bldg/112020018.png</v>
      </c>
      <c r="T202" s="102" t="s">
        <v>1048</v>
      </c>
      <c r="U202" s="102">
        <v>2</v>
      </c>
      <c r="V202" s="102">
        <v>1</v>
      </c>
      <c r="W202" s="102">
        <v>2</v>
      </c>
      <c r="Y202" s="104">
        <f t="shared" si="138"/>
        <v>202</v>
      </c>
      <c r="Z202" s="102">
        <v>180</v>
      </c>
      <c r="AA202" s="102">
        <v>1</v>
      </c>
      <c r="AB202" s="102">
        <v>1</v>
      </c>
      <c r="AC202" s="102">
        <v>0</v>
      </c>
      <c r="AD202" s="102" t="s">
        <v>537</v>
      </c>
      <c r="AE202" s="102">
        <v>18</v>
      </c>
      <c r="AG202" s="104">
        <f t="shared" si="132"/>
        <v>102823</v>
      </c>
      <c r="AH202" s="103">
        <v>102823.09571368423</v>
      </c>
      <c r="AI202" s="172">
        <v>4</v>
      </c>
      <c r="AK202" s="104">
        <f ca="1">IFERROR(OFFSET(ITEM_RES!$A$5,MATCH(AL202,ITEM_RES!$M$5:$M$84,0)-1,0),0)</f>
        <v>220000106</v>
      </c>
      <c r="AL202" s="103" t="s">
        <v>578</v>
      </c>
      <c r="AM202" s="104">
        <f t="shared" si="116"/>
        <v>23000</v>
      </c>
      <c r="AN202" s="103">
        <v>22549.445594976496</v>
      </c>
      <c r="AP202" s="104">
        <f ca="1">IFERROR(OFFSET(ITEM_RES!$A$5,MATCH(AQ202,ITEM_RES!$M$5:$M$84,0)-1,0),0)</f>
        <v>220000206</v>
      </c>
      <c r="AQ202" s="103" t="s">
        <v>596</v>
      </c>
      <c r="AR202" s="104">
        <f t="shared" si="141"/>
        <v>14000</v>
      </c>
      <c r="AS202" s="103">
        <v>13529.667356985898</v>
      </c>
      <c r="AU202" s="104">
        <f ca="1">IFERROR(OFFSET(ITEM_RES!$A$5,MATCH(AV202,ITEM_RES!$M$5:$M$84,0)-1,0),0)</f>
        <v>220000306</v>
      </c>
      <c r="AV202" s="103" t="s">
        <v>614</v>
      </c>
      <c r="AW202" s="104">
        <f t="shared" si="142"/>
        <v>9000</v>
      </c>
      <c r="AX202" s="103">
        <v>9019.7782379905984</v>
      </c>
      <c r="AZ202" s="104">
        <f ca="1">IFERROR(OFFSET(ITEM_RES!$A$5,MATCH(BA202,ITEM_RES!$M$5:$M$84,0)-1,0),0)</f>
        <v>220000406</v>
      </c>
      <c r="BA202" s="103" t="s">
        <v>632</v>
      </c>
      <c r="BB202" s="104">
        <f t="shared" si="143"/>
        <v>4500</v>
      </c>
      <c r="BC202" s="103">
        <v>4509.8891189952992</v>
      </c>
      <c r="BE202" s="104">
        <f ca="1">IFERROR(OFFSET(ITEM_RES!$A$5,MATCH(BF202,ITEM_RES!$M$5:$M$84,0)-1,0),0)</f>
        <v>0</v>
      </c>
      <c r="BG202" s="104">
        <f t="shared" si="144"/>
        <v>0</v>
      </c>
    </row>
    <row r="203" spans="1:59" x14ac:dyDescent="0.3">
      <c r="A203" s="107">
        <f t="shared" si="140"/>
        <v>112020019</v>
      </c>
      <c r="B203" s="106">
        <v>11</v>
      </c>
      <c r="C203" s="105">
        <f t="shared" si="115"/>
        <v>2</v>
      </c>
      <c r="D203" s="106">
        <v>2</v>
      </c>
      <c r="E203" s="106">
        <v>0</v>
      </c>
      <c r="F203" s="105">
        <f t="shared" si="131"/>
        <v>19</v>
      </c>
      <c r="H203" s="102">
        <v>2</v>
      </c>
      <c r="I203" s="102">
        <v>19</v>
      </c>
      <c r="K203" s="102" t="s">
        <v>1041</v>
      </c>
      <c r="L203" s="102" t="s">
        <v>778</v>
      </c>
      <c r="M203" s="103" t="s">
        <v>381</v>
      </c>
      <c r="N203" s="102">
        <v>0</v>
      </c>
      <c r="O203" s="102">
        <v>12</v>
      </c>
      <c r="P203" s="102" t="s">
        <v>523</v>
      </c>
      <c r="Q203" s="103" t="s">
        <v>1160</v>
      </c>
      <c r="R203" s="103">
        <v>112020019</v>
      </c>
      <c r="S203" s="104" t="str">
        <f t="shared" si="139"/>
        <v>UITexture/Bldg/112020019.png</v>
      </c>
      <c r="T203" s="102" t="s">
        <v>1048</v>
      </c>
      <c r="U203" s="102">
        <v>2</v>
      </c>
      <c r="V203" s="102">
        <v>1</v>
      </c>
      <c r="W203" s="102">
        <v>2</v>
      </c>
      <c r="Y203" s="104">
        <f t="shared" si="138"/>
        <v>202</v>
      </c>
      <c r="Z203" s="102">
        <v>190</v>
      </c>
      <c r="AA203" s="102">
        <v>1</v>
      </c>
      <c r="AB203" s="102">
        <v>1</v>
      </c>
      <c r="AC203" s="102">
        <v>0</v>
      </c>
      <c r="AD203" s="102" t="s">
        <v>537</v>
      </c>
      <c r="AE203" s="102">
        <v>19</v>
      </c>
      <c r="AG203" s="104">
        <f t="shared" si="132"/>
        <v>123388</v>
      </c>
      <c r="AH203" s="103">
        <v>123387.71485642108</v>
      </c>
      <c r="AI203" s="172">
        <v>4</v>
      </c>
      <c r="AK203" s="104">
        <f ca="1">IFERROR(OFFSET(ITEM_RES!$A$5,MATCH(AL203,ITEM_RES!$M$5:$M$84,0)-1,0),0)</f>
        <v>220000107</v>
      </c>
      <c r="AL203" s="103" t="s">
        <v>579</v>
      </c>
      <c r="AM203" s="104">
        <f t="shared" si="116"/>
        <v>11000</v>
      </c>
      <c r="AN203" s="103">
        <v>11274.722797488246</v>
      </c>
      <c r="AP203" s="104">
        <f ca="1">IFERROR(OFFSET(ITEM_RES!$A$5,MATCH(AQ203,ITEM_RES!$M$5:$M$84,0)-1,0),0)</f>
        <v>220000207</v>
      </c>
      <c r="AQ203" s="103" t="s">
        <v>597</v>
      </c>
      <c r="AR203" s="104">
        <f t="shared" si="141"/>
        <v>6800</v>
      </c>
      <c r="AS203" s="103">
        <v>6764.833678492947</v>
      </c>
      <c r="AU203" s="104">
        <f ca="1">IFERROR(OFFSET(ITEM_RES!$A$5,MATCH(AV203,ITEM_RES!$M$5:$M$84,0)-1,0),0)</f>
        <v>220000307</v>
      </c>
      <c r="AV203" s="103" t="s">
        <v>615</v>
      </c>
      <c r="AW203" s="104">
        <f t="shared" si="142"/>
        <v>4500</v>
      </c>
      <c r="AX203" s="103">
        <v>4509.8891189952983</v>
      </c>
      <c r="AZ203" s="104">
        <f ca="1">IFERROR(OFFSET(ITEM_RES!$A$5,MATCH(BA203,ITEM_RES!$M$5:$M$84,0)-1,0),0)</f>
        <v>220000407</v>
      </c>
      <c r="BA203" s="103" t="s">
        <v>633</v>
      </c>
      <c r="BB203" s="104">
        <f t="shared" si="143"/>
        <v>2300</v>
      </c>
      <c r="BC203" s="103">
        <v>2254.9445594976492</v>
      </c>
      <c r="BE203" s="104">
        <f ca="1">IFERROR(OFFSET(ITEM_RES!$A$5,MATCH(BF203,ITEM_RES!$M$5:$M$84,0)-1,0),0)</f>
        <v>0</v>
      </c>
      <c r="BG203" s="104">
        <f t="shared" si="144"/>
        <v>0</v>
      </c>
    </row>
    <row r="204" spans="1:59" x14ac:dyDescent="0.3">
      <c r="A204" s="107">
        <f t="shared" si="140"/>
        <v>112020020</v>
      </c>
      <c r="B204" s="106">
        <v>11</v>
      </c>
      <c r="C204" s="105">
        <f t="shared" si="115"/>
        <v>2</v>
      </c>
      <c r="D204" s="106">
        <v>2</v>
      </c>
      <c r="E204" s="106">
        <v>0</v>
      </c>
      <c r="F204" s="105">
        <f t="shared" si="131"/>
        <v>20</v>
      </c>
      <c r="H204" s="102">
        <v>2</v>
      </c>
      <c r="I204" s="102">
        <v>20</v>
      </c>
      <c r="K204" s="102" t="s">
        <v>1041</v>
      </c>
      <c r="L204" s="102" t="s">
        <v>778</v>
      </c>
      <c r="M204" s="103" t="s">
        <v>381</v>
      </c>
      <c r="N204" s="102">
        <v>0</v>
      </c>
      <c r="O204" s="102">
        <v>12</v>
      </c>
      <c r="P204" s="102" t="s">
        <v>523</v>
      </c>
      <c r="Q204" s="103" t="s">
        <v>1160</v>
      </c>
      <c r="R204" s="103">
        <v>112020020</v>
      </c>
      <c r="S204" s="104" t="str">
        <f t="shared" si="139"/>
        <v>UITexture/Bldg/112020020.png</v>
      </c>
      <c r="T204" s="102" t="s">
        <v>1048</v>
      </c>
      <c r="U204" s="102">
        <v>2</v>
      </c>
      <c r="V204" s="102">
        <v>1</v>
      </c>
      <c r="W204" s="102">
        <v>2</v>
      </c>
      <c r="Y204" s="104">
        <f t="shared" si="138"/>
        <v>202</v>
      </c>
      <c r="Z204" s="102">
        <v>200</v>
      </c>
      <c r="AA204" s="102">
        <v>1</v>
      </c>
      <c r="AB204" s="102">
        <v>1</v>
      </c>
      <c r="AC204" s="102">
        <v>0</v>
      </c>
      <c r="AD204" s="102" t="s">
        <v>537</v>
      </c>
      <c r="AE204" s="102">
        <v>20</v>
      </c>
      <c r="AG204" s="104">
        <f t="shared" si="132"/>
        <v>135726</v>
      </c>
      <c r="AH204" s="103">
        <v>135726.4863420632</v>
      </c>
      <c r="AI204" s="172">
        <v>4</v>
      </c>
      <c r="AK204" s="104">
        <f ca="1">IFERROR(OFFSET(ITEM_RES!$A$5,MATCH(AL204,ITEM_RES!$M$5:$M$84,0)-1,0),0)</f>
        <v>220000107</v>
      </c>
      <c r="AL204" s="103" t="s">
        <v>579</v>
      </c>
      <c r="AM204" s="104">
        <f t="shared" si="116"/>
        <v>16000</v>
      </c>
      <c r="AN204" s="103">
        <v>15502.743846546338</v>
      </c>
      <c r="AP204" s="104">
        <f ca="1">IFERROR(OFFSET(ITEM_RES!$A$5,MATCH(AQ204,ITEM_RES!$M$5:$M$84,0)-1,0),0)</f>
        <v>220000207</v>
      </c>
      <c r="AQ204" s="103" t="s">
        <v>597</v>
      </c>
      <c r="AR204" s="104">
        <f t="shared" si="141"/>
        <v>9300</v>
      </c>
      <c r="AS204" s="103">
        <v>9301.6463079278037</v>
      </c>
      <c r="AU204" s="104">
        <f ca="1">IFERROR(OFFSET(ITEM_RES!$A$5,MATCH(AV204,ITEM_RES!$M$5:$M$84,0)-1,0),0)</f>
        <v>220000307</v>
      </c>
      <c r="AV204" s="103" t="s">
        <v>615</v>
      </c>
      <c r="AW204" s="104">
        <f t="shared" si="142"/>
        <v>6200</v>
      </c>
      <c r="AX204" s="103">
        <v>6201.0975386185355</v>
      </c>
      <c r="AZ204" s="104">
        <f ca="1">IFERROR(OFFSET(ITEM_RES!$A$5,MATCH(BA204,ITEM_RES!$M$5:$M$84,0)-1,0),0)</f>
        <v>220000407</v>
      </c>
      <c r="BA204" s="103" t="s">
        <v>633</v>
      </c>
      <c r="BB204" s="104">
        <f t="shared" si="143"/>
        <v>3100</v>
      </c>
      <c r="BC204" s="103">
        <v>3100.5487693092678</v>
      </c>
      <c r="BE204" s="104">
        <f ca="1">IFERROR(OFFSET(ITEM_RES!$A$5,MATCH(BF204,ITEM_RES!$M$5:$M$84,0)-1,0),0)</f>
        <v>0</v>
      </c>
      <c r="BG204" s="104">
        <f t="shared" si="144"/>
        <v>0</v>
      </c>
    </row>
    <row r="205" spans="1:59" x14ac:dyDescent="0.3">
      <c r="A205" s="107">
        <f>B205*10000000+C205*1000000+D205*10000+E205*100+F205</f>
        <v>112020021</v>
      </c>
      <c r="B205" s="106">
        <v>11</v>
      </c>
      <c r="C205" s="105">
        <f t="shared" si="115"/>
        <v>2</v>
      </c>
      <c r="D205" s="106">
        <v>2</v>
      </c>
      <c r="E205" s="106">
        <v>0</v>
      </c>
      <c r="F205" s="105">
        <f t="shared" si="131"/>
        <v>21</v>
      </c>
      <c r="H205" s="102">
        <v>2</v>
      </c>
      <c r="I205" s="102">
        <v>21</v>
      </c>
      <c r="K205" s="102" t="s">
        <v>1041</v>
      </c>
      <c r="L205" s="102" t="s">
        <v>778</v>
      </c>
      <c r="M205" s="103" t="s">
        <v>381</v>
      </c>
      <c r="N205" s="102">
        <v>0</v>
      </c>
      <c r="O205" s="102">
        <v>12</v>
      </c>
      <c r="P205" s="102" t="s">
        <v>523</v>
      </c>
      <c r="Q205" s="103" t="s">
        <v>1160</v>
      </c>
      <c r="R205" s="103">
        <v>112020021</v>
      </c>
      <c r="S205" s="104" t="str">
        <f t="shared" si="139"/>
        <v>UITexture/Bldg/112020021.png</v>
      </c>
      <c r="T205" s="102" t="s">
        <v>1048</v>
      </c>
      <c r="U205" s="102">
        <v>2</v>
      </c>
      <c r="V205" s="102">
        <v>1</v>
      </c>
      <c r="W205" s="102">
        <v>2</v>
      </c>
      <c r="Y205" s="104">
        <f t="shared" si="138"/>
        <v>202</v>
      </c>
      <c r="Z205" s="102">
        <v>210</v>
      </c>
      <c r="AA205" s="102">
        <v>1</v>
      </c>
      <c r="AB205" s="102">
        <v>1</v>
      </c>
      <c r="AC205" s="102">
        <v>0</v>
      </c>
      <c r="AD205" s="102" t="s">
        <v>537</v>
      </c>
      <c r="AE205" s="102">
        <v>21</v>
      </c>
      <c r="AG205" s="104">
        <f t="shared" si="132"/>
        <v>146585</v>
      </c>
      <c r="AH205" s="103">
        <v>146584.60524942828</v>
      </c>
      <c r="AI205" s="172">
        <v>4</v>
      </c>
      <c r="AK205" s="104">
        <f ca="1">IFERROR(OFFSET(ITEM_RES!$A$5,MATCH(AL205,ITEM_RES!$M$5:$M$84,0)-1,0),0)</f>
        <v>220000107</v>
      </c>
      <c r="AL205" s="103" t="s">
        <v>579</v>
      </c>
      <c r="AM205" s="104">
        <f t="shared" si="116"/>
        <v>21000</v>
      </c>
      <c r="AN205" s="103">
        <v>20928.704192837558</v>
      </c>
      <c r="AP205" s="104">
        <f ca="1">IFERROR(OFFSET(ITEM_RES!$A$5,MATCH(AQ205,ITEM_RES!$M$5:$M$84,0)-1,0),0)</f>
        <v>220000207</v>
      </c>
      <c r="AQ205" s="103" t="s">
        <v>597</v>
      </c>
      <c r="AR205" s="104">
        <f>IF(AS205&lt;100,ROUND(AS205,1-LEN(ROUND(AS205,0))),ROUND(AS205,2-LEN(ROUND(AS205,0))))</f>
        <v>13000</v>
      </c>
      <c r="AS205" s="103">
        <v>12557.222515702535</v>
      </c>
      <c r="AU205" s="104">
        <f ca="1">IFERROR(OFFSET(ITEM_RES!$A$5,MATCH(AV205,ITEM_RES!$M$5:$M$84,0)-1,0),0)</f>
        <v>220000307</v>
      </c>
      <c r="AV205" s="103" t="s">
        <v>615</v>
      </c>
      <c r="AW205" s="104">
        <f>IF(AX205&lt;100,ROUND(AX205,1-LEN(ROUND(AX205,0))),ROUND(AX205,2-LEN(ROUND(AX205,0))))</f>
        <v>8400</v>
      </c>
      <c r="AX205" s="103">
        <v>8371.4816771350233</v>
      </c>
      <c r="AZ205" s="104">
        <f ca="1">IFERROR(OFFSET(ITEM_RES!$A$5,MATCH(BA205,ITEM_RES!$M$5:$M$84,0)-1,0),0)</f>
        <v>220000407</v>
      </c>
      <c r="BA205" s="103" t="s">
        <v>633</v>
      </c>
      <c r="BB205" s="104">
        <f>IF(BC205&lt;100,ROUND(BC205,1-LEN(ROUND(BC205,0))),ROUND(BC205,2-LEN(ROUND(BC205,0))))</f>
        <v>4200</v>
      </c>
      <c r="BC205" s="103">
        <v>4185.7408385675117</v>
      </c>
      <c r="BE205" s="104">
        <f ca="1">IFERROR(OFFSET(ITEM_RES!$A$5,MATCH(BF205,ITEM_RES!$M$5:$M$84,0)-1,0),0)</f>
        <v>0</v>
      </c>
      <c r="BG205" s="104">
        <f>IF(BH205&lt;100,ROUND(BH205,1-LEN(ROUND(BH205,0))),ROUND(BH205,2-LEN(ROUND(BH205,0))))</f>
        <v>0</v>
      </c>
    </row>
    <row r="206" spans="1:59" x14ac:dyDescent="0.3">
      <c r="A206" s="107">
        <f t="shared" ref="A206:A209" si="145">B206*10000000+C206*1000000+D206*10000+E206*100+F206</f>
        <v>112020022</v>
      </c>
      <c r="B206" s="106">
        <v>11</v>
      </c>
      <c r="C206" s="105">
        <f t="shared" si="115"/>
        <v>2</v>
      </c>
      <c r="D206" s="106">
        <v>2</v>
      </c>
      <c r="E206" s="106">
        <v>0</v>
      </c>
      <c r="F206" s="105">
        <f t="shared" si="131"/>
        <v>22</v>
      </c>
      <c r="H206" s="102">
        <v>2</v>
      </c>
      <c r="I206" s="102">
        <v>22</v>
      </c>
      <c r="K206" s="102" t="s">
        <v>1041</v>
      </c>
      <c r="L206" s="102" t="s">
        <v>778</v>
      </c>
      <c r="M206" s="103" t="s">
        <v>381</v>
      </c>
      <c r="N206" s="102">
        <v>0</v>
      </c>
      <c r="O206" s="102">
        <v>12</v>
      </c>
      <c r="P206" s="102" t="s">
        <v>523</v>
      </c>
      <c r="Q206" s="103" t="s">
        <v>1160</v>
      </c>
      <c r="R206" s="103">
        <v>112020022</v>
      </c>
      <c r="S206" s="104" t="str">
        <f t="shared" si="139"/>
        <v>UITexture/Bldg/112020022.png</v>
      </c>
      <c r="T206" s="102" t="s">
        <v>1048</v>
      </c>
      <c r="U206" s="102">
        <v>2</v>
      </c>
      <c r="V206" s="102">
        <v>1</v>
      </c>
      <c r="W206" s="102">
        <v>2</v>
      </c>
      <c r="Y206" s="104">
        <f t="shared" si="138"/>
        <v>202</v>
      </c>
      <c r="Z206" s="102">
        <v>220</v>
      </c>
      <c r="AA206" s="102">
        <v>1</v>
      </c>
      <c r="AB206" s="102">
        <v>1</v>
      </c>
      <c r="AC206" s="102">
        <v>0</v>
      </c>
      <c r="AD206" s="102" t="s">
        <v>537</v>
      </c>
      <c r="AE206" s="102">
        <v>22</v>
      </c>
      <c r="AG206" s="104">
        <f t="shared" si="132"/>
        <v>156846</v>
      </c>
      <c r="AH206" s="103">
        <v>156845.52761688826</v>
      </c>
      <c r="AI206" s="172">
        <v>4</v>
      </c>
      <c r="AK206" s="104">
        <f ca="1">IFERROR(OFFSET(ITEM_RES!$A$5,MATCH(AL206,ITEM_RES!$M$5:$M$84,0)-1,0),0)</f>
        <v>220000108</v>
      </c>
      <c r="AL206" s="103" t="s">
        <v>580</v>
      </c>
      <c r="AM206" s="104">
        <f t="shared" si="116"/>
        <v>9300</v>
      </c>
      <c r="AN206" s="103">
        <v>9330.7139526400788</v>
      </c>
      <c r="AP206" s="104">
        <f ca="1">IFERROR(OFFSET(ITEM_RES!$A$5,MATCH(AQ206,ITEM_RES!$M$5:$M$84,0)-1,0),0)</f>
        <v>220000208</v>
      </c>
      <c r="AQ206" s="103" t="s">
        <v>598</v>
      </c>
      <c r="AR206" s="104">
        <f t="shared" ref="AR206:AR209" si="146">IF(AS206&lt;100,ROUND(AS206,1-LEN(ROUND(AS206,0))),ROUND(AS206,2-LEN(ROUND(AS206,0))))</f>
        <v>5600</v>
      </c>
      <c r="AS206" s="103">
        <v>5598.4283715840475</v>
      </c>
      <c r="AU206" s="104">
        <f ca="1">IFERROR(OFFSET(ITEM_RES!$A$5,MATCH(AV206,ITEM_RES!$M$5:$M$84,0)-1,0),0)</f>
        <v>220000308</v>
      </c>
      <c r="AV206" s="103" t="s">
        <v>616</v>
      </c>
      <c r="AW206" s="104">
        <f t="shared" ref="AW206:AW209" si="147">IF(AX206&lt;100,ROUND(AX206,1-LEN(ROUND(AX206,0))),ROUND(AX206,2-LEN(ROUND(AX206,0))))</f>
        <v>3700</v>
      </c>
      <c r="AX206" s="103">
        <v>3732.2855810560318</v>
      </c>
      <c r="AZ206" s="104">
        <f ca="1">IFERROR(OFFSET(ITEM_RES!$A$5,MATCH(BA206,ITEM_RES!$M$5:$M$84,0)-1,0),0)</f>
        <v>220000408</v>
      </c>
      <c r="BA206" s="103" t="s">
        <v>634</v>
      </c>
      <c r="BB206" s="104">
        <f t="shared" ref="BB206:BB209" si="148">IF(BC206&lt;100,ROUND(BC206,1-LEN(ROUND(BC206,0))),ROUND(BC206,2-LEN(ROUND(BC206,0))))</f>
        <v>1900</v>
      </c>
      <c r="BC206" s="103">
        <v>1866.1427905280159</v>
      </c>
      <c r="BE206" s="104">
        <f ca="1">IFERROR(OFFSET(ITEM_RES!$A$5,MATCH(BF206,ITEM_RES!$M$5:$M$84,0)-1,0),0)</f>
        <v>0</v>
      </c>
      <c r="BG206" s="104">
        <f t="shared" ref="BG206:BG209" si="149">IF(BH206&lt;100,ROUND(BH206,1-LEN(ROUND(BH206,0))),ROUND(BH206,2-LEN(ROUND(BH206,0))))</f>
        <v>0</v>
      </c>
    </row>
    <row r="207" spans="1:59" x14ac:dyDescent="0.3">
      <c r="A207" s="107">
        <f t="shared" si="145"/>
        <v>112020023</v>
      </c>
      <c r="B207" s="106">
        <v>11</v>
      </c>
      <c r="C207" s="105">
        <f t="shared" si="115"/>
        <v>2</v>
      </c>
      <c r="D207" s="106">
        <v>2</v>
      </c>
      <c r="E207" s="106">
        <v>0</v>
      </c>
      <c r="F207" s="105">
        <f t="shared" si="131"/>
        <v>23</v>
      </c>
      <c r="H207" s="102">
        <v>2</v>
      </c>
      <c r="I207" s="102">
        <v>23</v>
      </c>
      <c r="K207" s="102" t="s">
        <v>1041</v>
      </c>
      <c r="L207" s="102" t="s">
        <v>778</v>
      </c>
      <c r="M207" s="103" t="s">
        <v>381</v>
      </c>
      <c r="N207" s="102">
        <v>0</v>
      </c>
      <c r="O207" s="102">
        <v>12</v>
      </c>
      <c r="P207" s="102" t="s">
        <v>523</v>
      </c>
      <c r="Q207" s="103" t="s">
        <v>1160</v>
      </c>
      <c r="R207" s="103">
        <v>112020023</v>
      </c>
      <c r="S207" s="104" t="str">
        <f t="shared" si="139"/>
        <v>UITexture/Bldg/112020023.png</v>
      </c>
      <c r="T207" s="102" t="s">
        <v>1048</v>
      </c>
      <c r="U207" s="102">
        <v>2</v>
      </c>
      <c r="V207" s="102">
        <v>1</v>
      </c>
      <c r="W207" s="102">
        <v>2</v>
      </c>
      <c r="Y207" s="104">
        <f t="shared" si="138"/>
        <v>202</v>
      </c>
      <c r="Z207" s="102">
        <v>230</v>
      </c>
      <c r="AA207" s="102">
        <v>1</v>
      </c>
      <c r="AB207" s="102">
        <v>1</v>
      </c>
      <c r="AC207" s="102">
        <v>0</v>
      </c>
      <c r="AD207" s="102" t="s">
        <v>537</v>
      </c>
      <c r="AE207" s="102">
        <v>23</v>
      </c>
      <c r="AG207" s="104">
        <f t="shared" si="132"/>
        <v>166256</v>
      </c>
      <c r="AH207" s="103">
        <v>166256.25927390155</v>
      </c>
      <c r="AI207" s="172">
        <v>4</v>
      </c>
      <c r="AK207" s="104">
        <f ca="1">IFERROR(OFFSET(ITEM_RES!$A$5,MATCH(AL207,ITEM_RES!$M$5:$M$84,0)-1,0),0)</f>
        <v>220000108</v>
      </c>
      <c r="AL207" s="103" t="s">
        <v>580</v>
      </c>
      <c r="AM207" s="104">
        <f t="shared" si="116"/>
        <v>12000</v>
      </c>
      <c r="AN207" s="103">
        <v>12363.195987248106</v>
      </c>
      <c r="AP207" s="104">
        <f ca="1">IFERROR(OFFSET(ITEM_RES!$A$5,MATCH(AQ207,ITEM_RES!$M$5:$M$84,0)-1,0),0)</f>
        <v>220000208</v>
      </c>
      <c r="AQ207" s="103" t="s">
        <v>598</v>
      </c>
      <c r="AR207" s="104">
        <f t="shared" si="146"/>
        <v>7400</v>
      </c>
      <c r="AS207" s="103">
        <v>7417.9175923488629</v>
      </c>
      <c r="AU207" s="104">
        <f ca="1">IFERROR(OFFSET(ITEM_RES!$A$5,MATCH(AV207,ITEM_RES!$M$5:$M$84,0)-1,0),0)</f>
        <v>220000308</v>
      </c>
      <c r="AV207" s="103" t="s">
        <v>616</v>
      </c>
      <c r="AW207" s="104">
        <f t="shared" si="147"/>
        <v>4900</v>
      </c>
      <c r="AX207" s="103">
        <v>4945.2783948992419</v>
      </c>
      <c r="AZ207" s="104">
        <f ca="1">IFERROR(OFFSET(ITEM_RES!$A$5,MATCH(BA207,ITEM_RES!$M$5:$M$84,0)-1,0),0)</f>
        <v>220000408</v>
      </c>
      <c r="BA207" s="103" t="s">
        <v>634</v>
      </c>
      <c r="BB207" s="104">
        <f t="shared" si="148"/>
        <v>2500</v>
      </c>
      <c r="BC207" s="103">
        <v>2472.639197449621</v>
      </c>
      <c r="BE207" s="104">
        <f ca="1">IFERROR(OFFSET(ITEM_RES!$A$5,MATCH(BF207,ITEM_RES!$M$5:$M$84,0)-1,0),0)</f>
        <v>0</v>
      </c>
      <c r="BG207" s="104">
        <f t="shared" si="149"/>
        <v>0</v>
      </c>
    </row>
    <row r="208" spans="1:59" x14ac:dyDescent="0.3">
      <c r="A208" s="107">
        <f t="shared" si="145"/>
        <v>112020024</v>
      </c>
      <c r="B208" s="106">
        <v>11</v>
      </c>
      <c r="C208" s="105">
        <f t="shared" si="115"/>
        <v>2</v>
      </c>
      <c r="D208" s="106">
        <v>2</v>
      </c>
      <c r="E208" s="106">
        <v>0</v>
      </c>
      <c r="F208" s="105">
        <f t="shared" si="131"/>
        <v>24</v>
      </c>
      <c r="H208" s="102">
        <v>2</v>
      </c>
      <c r="I208" s="102">
        <v>24</v>
      </c>
      <c r="K208" s="102" t="s">
        <v>1041</v>
      </c>
      <c r="L208" s="102" t="s">
        <v>778</v>
      </c>
      <c r="M208" s="103" t="s">
        <v>381</v>
      </c>
      <c r="N208" s="102">
        <v>0</v>
      </c>
      <c r="O208" s="102">
        <v>12</v>
      </c>
      <c r="P208" s="102" t="s">
        <v>523</v>
      </c>
      <c r="Q208" s="103" t="s">
        <v>1160</v>
      </c>
      <c r="R208" s="103">
        <v>112020024</v>
      </c>
      <c r="S208" s="104" t="str">
        <f t="shared" si="139"/>
        <v>UITexture/Bldg/112020024.png</v>
      </c>
      <c r="T208" s="102" t="s">
        <v>1048</v>
      </c>
      <c r="U208" s="102">
        <v>2</v>
      </c>
      <c r="V208" s="102">
        <v>1</v>
      </c>
      <c r="W208" s="102">
        <v>2</v>
      </c>
      <c r="Y208" s="104">
        <f t="shared" si="138"/>
        <v>202</v>
      </c>
      <c r="Z208" s="102">
        <v>240</v>
      </c>
      <c r="AA208" s="102">
        <v>1</v>
      </c>
      <c r="AB208" s="102">
        <v>1</v>
      </c>
      <c r="AC208" s="102">
        <v>0</v>
      </c>
      <c r="AD208" s="102" t="s">
        <v>537</v>
      </c>
      <c r="AE208" s="102">
        <v>24</v>
      </c>
      <c r="AG208" s="104">
        <f t="shared" si="132"/>
        <v>174569</v>
      </c>
      <c r="AH208" s="103">
        <v>174569.07223759664</v>
      </c>
      <c r="AI208" s="172">
        <v>4</v>
      </c>
      <c r="AK208" s="104">
        <f ca="1">IFERROR(OFFSET(ITEM_RES!$A$5,MATCH(AL208,ITEM_RES!$M$5:$M$84,0)-1,0),0)</f>
        <v>220000108</v>
      </c>
      <c r="AL208" s="103" t="s">
        <v>580</v>
      </c>
      <c r="AM208" s="104">
        <f t="shared" si="116"/>
        <v>16000</v>
      </c>
      <c r="AN208" s="103">
        <v>16226.694733263137</v>
      </c>
      <c r="AP208" s="104">
        <f ca="1">IFERROR(OFFSET(ITEM_RES!$A$5,MATCH(AQ208,ITEM_RES!$M$5:$M$84,0)-1,0),0)</f>
        <v>220000208</v>
      </c>
      <c r="AQ208" s="103" t="s">
        <v>598</v>
      </c>
      <c r="AR208" s="104">
        <f t="shared" si="146"/>
        <v>9700</v>
      </c>
      <c r="AS208" s="103">
        <v>9736.0168399578815</v>
      </c>
      <c r="AU208" s="104">
        <f ca="1">IFERROR(OFFSET(ITEM_RES!$A$5,MATCH(AV208,ITEM_RES!$M$5:$M$84,0)-1,0),0)</f>
        <v>220000308</v>
      </c>
      <c r="AV208" s="103" t="s">
        <v>616</v>
      </c>
      <c r="AW208" s="104">
        <f t="shared" si="147"/>
        <v>6500</v>
      </c>
      <c r="AX208" s="103">
        <v>6490.6778933052547</v>
      </c>
      <c r="AZ208" s="104">
        <f ca="1">IFERROR(OFFSET(ITEM_RES!$A$5,MATCH(BA208,ITEM_RES!$M$5:$M$84,0)-1,0),0)</f>
        <v>220000408</v>
      </c>
      <c r="BA208" s="103" t="s">
        <v>634</v>
      </c>
      <c r="BB208" s="104">
        <f t="shared" si="148"/>
        <v>3200</v>
      </c>
      <c r="BC208" s="103">
        <v>3245.3389466526273</v>
      </c>
      <c r="BE208" s="104">
        <f ca="1">IFERROR(OFFSET(ITEM_RES!$A$5,MATCH(BF208,ITEM_RES!$M$5:$M$84,0)-1,0),0)</f>
        <v>0</v>
      </c>
      <c r="BG208" s="104">
        <f t="shared" si="149"/>
        <v>0</v>
      </c>
    </row>
    <row r="209" spans="1:60" x14ac:dyDescent="0.3">
      <c r="A209" s="107">
        <f t="shared" si="145"/>
        <v>112020025</v>
      </c>
      <c r="B209" s="106">
        <v>11</v>
      </c>
      <c r="C209" s="105">
        <f t="shared" si="115"/>
        <v>2</v>
      </c>
      <c r="D209" s="106">
        <v>2</v>
      </c>
      <c r="E209" s="106">
        <v>0</v>
      </c>
      <c r="F209" s="105">
        <f t="shared" si="131"/>
        <v>25</v>
      </c>
      <c r="H209" s="102">
        <v>2</v>
      </c>
      <c r="I209" s="102">
        <v>25</v>
      </c>
      <c r="K209" s="102" t="s">
        <v>1041</v>
      </c>
      <c r="L209" s="102" t="s">
        <v>778</v>
      </c>
      <c r="M209" s="103" t="s">
        <v>381</v>
      </c>
      <c r="N209" s="102">
        <v>0</v>
      </c>
      <c r="O209" s="102">
        <v>12</v>
      </c>
      <c r="P209" s="102" t="s">
        <v>523</v>
      </c>
      <c r="Q209" s="103" t="s">
        <v>1160</v>
      </c>
      <c r="R209" s="103">
        <v>112020025</v>
      </c>
      <c r="S209" s="104" t="str">
        <f t="shared" si="139"/>
        <v>UITexture/Bldg/112020025.png</v>
      </c>
      <c r="T209" s="102" t="s">
        <v>1048</v>
      </c>
      <c r="U209" s="102">
        <v>2</v>
      </c>
      <c r="V209" s="102">
        <v>1</v>
      </c>
      <c r="W209" s="102">
        <v>2</v>
      </c>
      <c r="Y209" s="104">
        <f t="shared" si="138"/>
        <v>202</v>
      </c>
      <c r="Z209" s="102">
        <v>250</v>
      </c>
      <c r="AA209" s="102">
        <v>1</v>
      </c>
      <c r="AB209" s="102">
        <v>1</v>
      </c>
      <c r="AC209" s="102">
        <v>0</v>
      </c>
      <c r="AD209" s="102" t="s">
        <v>537</v>
      </c>
      <c r="AE209" s="102">
        <v>25</v>
      </c>
      <c r="AG209" s="104">
        <f t="shared" si="132"/>
        <v>183298</v>
      </c>
      <c r="AH209" s="103">
        <v>183297.52584947649</v>
      </c>
      <c r="AI209" s="172">
        <v>4</v>
      </c>
      <c r="AK209" s="104">
        <f ca="1">IFERROR(OFFSET(ITEM_RES!$A$5,MATCH(AL209,ITEM_RES!$M$5:$M$84,0)-1,0),0)</f>
        <v>220000109</v>
      </c>
      <c r="AL209" s="103" t="s">
        <v>581</v>
      </c>
      <c r="AM209" s="104">
        <f t="shared" si="116"/>
        <v>7100</v>
      </c>
      <c r="AN209" s="103">
        <v>7099.1789458026233</v>
      </c>
      <c r="AP209" s="104">
        <f ca="1">IFERROR(OFFSET(ITEM_RES!$A$5,MATCH(AQ209,ITEM_RES!$M$5:$M$84,0)-1,0),0)</f>
        <v>220000209</v>
      </c>
      <c r="AQ209" s="103" t="s">
        <v>599</v>
      </c>
      <c r="AR209" s="104">
        <f t="shared" si="146"/>
        <v>4300</v>
      </c>
      <c r="AS209" s="103">
        <v>4259.507367481574</v>
      </c>
      <c r="AU209" s="104">
        <f ca="1">IFERROR(OFFSET(ITEM_RES!$A$5,MATCH(AV209,ITEM_RES!$M$5:$M$84,0)-1,0),0)</f>
        <v>220000309</v>
      </c>
      <c r="AV209" s="103" t="s">
        <v>617</v>
      </c>
      <c r="AW209" s="104">
        <f t="shared" si="147"/>
        <v>2800</v>
      </c>
      <c r="AX209" s="103">
        <v>2839.6715783210493</v>
      </c>
      <c r="AZ209" s="104">
        <f ca="1">IFERROR(OFFSET(ITEM_RES!$A$5,MATCH(BA209,ITEM_RES!$M$5:$M$84,0)-1,0),0)</f>
        <v>220000409</v>
      </c>
      <c r="BA209" s="103" t="s">
        <v>635</v>
      </c>
      <c r="BB209" s="104">
        <f t="shared" si="148"/>
        <v>1400</v>
      </c>
      <c r="BC209" s="103">
        <v>1419.8357891605247</v>
      </c>
      <c r="BE209" s="104">
        <f ca="1">IFERROR(OFFSET(ITEM_RES!$A$5,MATCH(BF209,ITEM_RES!$M$5:$M$84,0)-1,0),0)</f>
        <v>0</v>
      </c>
      <c r="BG209" s="104">
        <f t="shared" si="149"/>
        <v>0</v>
      </c>
    </row>
    <row r="210" spans="1:60" x14ac:dyDescent="0.3">
      <c r="A210" s="107">
        <f>B210*10000000+C210*1000000+D210*10000+E210*100+F210</f>
        <v>112020026</v>
      </c>
      <c r="B210" s="106">
        <v>11</v>
      </c>
      <c r="C210" s="105">
        <f t="shared" si="115"/>
        <v>2</v>
      </c>
      <c r="D210" s="106">
        <v>2</v>
      </c>
      <c r="E210" s="106">
        <v>0</v>
      </c>
      <c r="F210" s="105">
        <f t="shared" si="131"/>
        <v>26</v>
      </c>
      <c r="H210" s="102">
        <v>2</v>
      </c>
      <c r="I210" s="102">
        <v>26</v>
      </c>
      <c r="K210" s="102" t="s">
        <v>1041</v>
      </c>
      <c r="L210" s="102" t="s">
        <v>778</v>
      </c>
      <c r="M210" s="103" t="s">
        <v>381</v>
      </c>
      <c r="N210" s="102">
        <v>0</v>
      </c>
      <c r="O210" s="102">
        <v>12</v>
      </c>
      <c r="P210" s="102" t="s">
        <v>523</v>
      </c>
      <c r="Q210" s="103" t="s">
        <v>1160</v>
      </c>
      <c r="R210" s="103">
        <v>112020026</v>
      </c>
      <c r="S210" s="104" t="str">
        <f t="shared" si="139"/>
        <v>UITexture/Bldg/112020026.png</v>
      </c>
      <c r="T210" s="102" t="s">
        <v>1048</v>
      </c>
      <c r="U210" s="102">
        <v>2</v>
      </c>
      <c r="V210" s="102">
        <v>1</v>
      </c>
      <c r="W210" s="102">
        <v>2</v>
      </c>
      <c r="Y210" s="104">
        <f t="shared" si="138"/>
        <v>202</v>
      </c>
      <c r="Z210" s="102">
        <v>260</v>
      </c>
      <c r="AA210" s="102">
        <v>1</v>
      </c>
      <c r="AB210" s="102">
        <v>1</v>
      </c>
      <c r="AC210" s="102">
        <v>0</v>
      </c>
      <c r="AD210" s="102" t="s">
        <v>537</v>
      </c>
      <c r="AE210" s="102">
        <v>26</v>
      </c>
      <c r="AG210" s="104">
        <f t="shared" si="132"/>
        <v>190629</v>
      </c>
      <c r="AH210" s="103">
        <v>190629.42688345554</v>
      </c>
      <c r="AI210" s="172">
        <v>4</v>
      </c>
      <c r="AK210" s="104">
        <f ca="1">IFERROR(OFFSET(ITEM_RES!$A$5,MATCH(AL210,ITEM_RES!$M$5:$M$84,0)-1,0),0)</f>
        <v>220000109</v>
      </c>
      <c r="AL210" s="103" t="s">
        <v>581</v>
      </c>
      <c r="AM210" s="104">
        <f t="shared" si="116"/>
        <v>8900</v>
      </c>
      <c r="AN210" s="103">
        <v>8859.7753243616735</v>
      </c>
      <c r="AP210" s="104">
        <f ca="1">IFERROR(OFFSET(ITEM_RES!$A$5,MATCH(AQ210,ITEM_RES!$M$5:$M$84,0)-1,0),0)</f>
        <v>220000209</v>
      </c>
      <c r="AQ210" s="103" t="s">
        <v>599</v>
      </c>
      <c r="AR210" s="104">
        <f>IF(AS210&lt;100,ROUND(AS210,1-LEN(ROUND(AS210,0))),ROUND(AS210,2-LEN(ROUND(AS210,0))))</f>
        <v>5300</v>
      </c>
      <c r="AS210" s="103">
        <v>5315.8651946170039</v>
      </c>
      <c r="AU210" s="104">
        <f ca="1">IFERROR(OFFSET(ITEM_RES!$A$5,MATCH(AV210,ITEM_RES!$M$5:$M$84,0)-1,0),0)</f>
        <v>220000309</v>
      </c>
      <c r="AV210" s="103" t="s">
        <v>617</v>
      </c>
      <c r="AW210" s="104">
        <f>IF(AX210&lt;100,ROUND(AX210,1-LEN(ROUND(AX210,0))),ROUND(AX210,2-LEN(ROUND(AX210,0))))</f>
        <v>3500</v>
      </c>
      <c r="AX210" s="103">
        <v>3543.9101297446691</v>
      </c>
      <c r="AZ210" s="104">
        <f ca="1">IFERROR(OFFSET(ITEM_RES!$A$5,MATCH(BA210,ITEM_RES!$M$5:$M$84,0)-1,0),0)</f>
        <v>220000409</v>
      </c>
      <c r="BA210" s="103" t="s">
        <v>635</v>
      </c>
      <c r="BB210" s="104">
        <f>IF(BC210&lt;100,ROUND(BC210,1-LEN(ROUND(BC210,0))),ROUND(BC210,2-LEN(ROUND(BC210,0))))</f>
        <v>1800</v>
      </c>
      <c r="BC210" s="103">
        <v>1771.9550648723346</v>
      </c>
      <c r="BE210" s="104">
        <f ca="1">IFERROR(OFFSET(ITEM_RES!$A$5,MATCH(BF210,ITEM_RES!$M$5:$M$84,0)-1,0),0)</f>
        <v>0</v>
      </c>
      <c r="BG210" s="104">
        <f>IF(BH210&lt;100,ROUND(BH210,1-LEN(ROUND(BH210,0))),ROUND(BH210,2-LEN(ROUND(BH210,0))))</f>
        <v>0</v>
      </c>
    </row>
    <row r="211" spans="1:60" x14ac:dyDescent="0.3">
      <c r="A211" s="107">
        <f t="shared" ref="A211:A214" si="150">B211*10000000+C211*1000000+D211*10000+E211*100+F211</f>
        <v>112020027</v>
      </c>
      <c r="B211" s="106">
        <v>11</v>
      </c>
      <c r="C211" s="105">
        <f t="shared" si="115"/>
        <v>2</v>
      </c>
      <c r="D211" s="106">
        <v>2</v>
      </c>
      <c r="E211" s="106">
        <v>0</v>
      </c>
      <c r="F211" s="105">
        <f t="shared" si="131"/>
        <v>27</v>
      </c>
      <c r="H211" s="102">
        <v>2</v>
      </c>
      <c r="I211" s="102">
        <v>27</v>
      </c>
      <c r="K211" s="102" t="s">
        <v>1041</v>
      </c>
      <c r="L211" s="102" t="s">
        <v>778</v>
      </c>
      <c r="M211" s="103" t="s">
        <v>381</v>
      </c>
      <c r="N211" s="102">
        <v>0</v>
      </c>
      <c r="O211" s="102">
        <v>12</v>
      </c>
      <c r="P211" s="102" t="s">
        <v>523</v>
      </c>
      <c r="Q211" s="103" t="s">
        <v>1160</v>
      </c>
      <c r="R211" s="103">
        <v>112020027</v>
      </c>
      <c r="S211" s="104" t="str">
        <f t="shared" si="139"/>
        <v>UITexture/Bldg/112020027.png</v>
      </c>
      <c r="T211" s="102" t="s">
        <v>1048</v>
      </c>
      <c r="U211" s="102">
        <v>2</v>
      </c>
      <c r="V211" s="102">
        <v>1</v>
      </c>
      <c r="W211" s="102">
        <v>2</v>
      </c>
      <c r="Y211" s="104">
        <f t="shared" si="138"/>
        <v>202</v>
      </c>
      <c r="Z211" s="102">
        <v>270</v>
      </c>
      <c r="AA211" s="102">
        <v>1</v>
      </c>
      <c r="AB211" s="102">
        <v>1</v>
      </c>
      <c r="AC211" s="102">
        <v>0</v>
      </c>
      <c r="AD211" s="102" t="s">
        <v>537</v>
      </c>
      <c r="AE211" s="102">
        <v>27</v>
      </c>
      <c r="AG211" s="104">
        <f t="shared" si="132"/>
        <v>198255</v>
      </c>
      <c r="AH211" s="103">
        <v>198254.60395879377</v>
      </c>
      <c r="AI211" s="172">
        <v>4</v>
      </c>
      <c r="AK211" s="104">
        <f ca="1">IFERROR(OFFSET(ITEM_RES!$A$5,MATCH(AL211,ITEM_RES!$M$5:$M$84,0)-1,0),0)</f>
        <v>220000109</v>
      </c>
      <c r="AL211" s="103" t="s">
        <v>581</v>
      </c>
      <c r="AM211" s="104">
        <f t="shared" si="116"/>
        <v>11000</v>
      </c>
      <c r="AN211" s="103">
        <v>11056.999604803368</v>
      </c>
      <c r="AP211" s="104">
        <f ca="1">IFERROR(OFFSET(ITEM_RES!$A$5,MATCH(AQ211,ITEM_RES!$M$5:$M$84,0)-1,0),0)</f>
        <v>220000209</v>
      </c>
      <c r="AQ211" s="103" t="s">
        <v>599</v>
      </c>
      <c r="AR211" s="104">
        <f t="shared" ref="AR211:AR214" si="151">IF(AS211&lt;100,ROUND(AS211,1-LEN(ROUND(AS211,0))),ROUND(AS211,2-LEN(ROUND(AS211,0))))</f>
        <v>6600</v>
      </c>
      <c r="AS211" s="103">
        <v>6634.1997628820209</v>
      </c>
      <c r="AU211" s="104">
        <f ca="1">IFERROR(OFFSET(ITEM_RES!$A$5,MATCH(AV211,ITEM_RES!$M$5:$M$84,0)-1,0),0)</f>
        <v>220000309</v>
      </c>
      <c r="AV211" s="103" t="s">
        <v>617</v>
      </c>
      <c r="AW211" s="104">
        <f t="shared" ref="AW211:AW214" si="152">IF(AX211&lt;100,ROUND(AX211,1-LEN(ROUND(AX211,0))),ROUND(AX211,2-LEN(ROUND(AX211,0))))</f>
        <v>4400</v>
      </c>
      <c r="AX211" s="103">
        <v>4422.7998419213473</v>
      </c>
      <c r="AZ211" s="104">
        <f ca="1">IFERROR(OFFSET(ITEM_RES!$A$5,MATCH(BA211,ITEM_RES!$M$5:$M$84,0)-1,0),0)</f>
        <v>220000409</v>
      </c>
      <c r="BA211" s="103" t="s">
        <v>635</v>
      </c>
      <c r="BB211" s="104">
        <f t="shared" ref="BB211:BB214" si="153">IF(BC211&lt;100,ROUND(BC211,1-LEN(ROUND(BC211,0))),ROUND(BC211,2-LEN(ROUND(BC211,0))))</f>
        <v>2200</v>
      </c>
      <c r="BC211" s="103">
        <v>2211.3999209606736</v>
      </c>
      <c r="BE211" s="104">
        <f ca="1">IFERROR(OFFSET(ITEM_RES!$A$5,MATCH(BF211,ITEM_RES!$M$5:$M$84,0)-1,0),0)</f>
        <v>0</v>
      </c>
      <c r="BG211" s="104">
        <f t="shared" ref="BG211:BG214" si="154">IF(BH211&lt;100,ROUND(BH211,1-LEN(ROUND(BH211,0))),ROUND(BH211,2-LEN(ROUND(BH211,0))))</f>
        <v>0</v>
      </c>
    </row>
    <row r="212" spans="1:60" x14ac:dyDescent="0.3">
      <c r="A212" s="107">
        <f t="shared" si="150"/>
        <v>112020028</v>
      </c>
      <c r="B212" s="106">
        <v>11</v>
      </c>
      <c r="C212" s="105">
        <f t="shared" si="115"/>
        <v>2</v>
      </c>
      <c r="D212" s="106">
        <v>2</v>
      </c>
      <c r="E212" s="106">
        <v>0</v>
      </c>
      <c r="F212" s="105">
        <f t="shared" si="131"/>
        <v>28</v>
      </c>
      <c r="H212" s="102">
        <v>2</v>
      </c>
      <c r="I212" s="102">
        <v>28</v>
      </c>
      <c r="K212" s="102" t="s">
        <v>1041</v>
      </c>
      <c r="L212" s="102" t="s">
        <v>778</v>
      </c>
      <c r="M212" s="103" t="s">
        <v>381</v>
      </c>
      <c r="N212" s="102">
        <v>0</v>
      </c>
      <c r="O212" s="102">
        <v>12</v>
      </c>
      <c r="P212" s="102" t="s">
        <v>523</v>
      </c>
      <c r="Q212" s="103" t="s">
        <v>1160</v>
      </c>
      <c r="R212" s="103">
        <v>112020028</v>
      </c>
      <c r="S212" s="104" t="str">
        <f t="shared" si="139"/>
        <v>UITexture/Bldg/112020028.png</v>
      </c>
      <c r="T212" s="102" t="s">
        <v>1048</v>
      </c>
      <c r="U212" s="102">
        <v>2</v>
      </c>
      <c r="V212" s="102">
        <v>1</v>
      </c>
      <c r="W212" s="102">
        <v>2</v>
      </c>
      <c r="Y212" s="104">
        <f t="shared" si="138"/>
        <v>202</v>
      </c>
      <c r="Z212" s="102">
        <v>280</v>
      </c>
      <c r="AA212" s="102">
        <v>1</v>
      </c>
      <c r="AB212" s="102">
        <v>1</v>
      </c>
      <c r="AC212" s="102">
        <v>0</v>
      </c>
      <c r="AD212" s="102" t="s">
        <v>537</v>
      </c>
      <c r="AE212" s="102">
        <v>28</v>
      </c>
      <c r="AG212" s="104">
        <f t="shared" si="132"/>
        <v>204202</v>
      </c>
      <c r="AH212" s="103">
        <v>204202.2420775576</v>
      </c>
      <c r="AI212" s="172">
        <v>4</v>
      </c>
      <c r="AK212" s="104">
        <f ca="1">IFERROR(OFFSET(ITEM_RES!$A$5,MATCH(AL212,ITEM_RES!$M$5:$M$84,0)-1,0),0)</f>
        <v>220000110</v>
      </c>
      <c r="AL212" s="103" t="s">
        <v>582</v>
      </c>
      <c r="AM212" s="104">
        <f t="shared" si="116"/>
        <v>4600</v>
      </c>
      <c r="AN212" s="103">
        <v>4555.4838371789874</v>
      </c>
      <c r="AP212" s="104">
        <f ca="1">IFERROR(OFFSET(ITEM_RES!$A$5,MATCH(AQ212,ITEM_RES!$M$5:$M$84,0)-1,0),0)</f>
        <v>220000210</v>
      </c>
      <c r="AQ212" s="103" t="s">
        <v>600</v>
      </c>
      <c r="AR212" s="104">
        <f t="shared" si="151"/>
        <v>2700</v>
      </c>
      <c r="AS212" s="103">
        <v>2733.2903023073923</v>
      </c>
      <c r="AU212" s="104">
        <f ca="1">IFERROR(OFFSET(ITEM_RES!$A$5,MATCH(AV212,ITEM_RES!$M$5:$M$84,0)-1,0),0)</f>
        <v>220000310</v>
      </c>
      <c r="AV212" s="103" t="s">
        <v>618</v>
      </c>
      <c r="AW212" s="104">
        <f t="shared" si="152"/>
        <v>1800</v>
      </c>
      <c r="AX212" s="103">
        <v>1822.1935348715949</v>
      </c>
      <c r="AZ212" s="104">
        <f ca="1">IFERROR(OFFSET(ITEM_RES!$A$5,MATCH(BA212,ITEM_RES!$M$5:$M$84,0)-1,0),0)</f>
        <v>220000410</v>
      </c>
      <c r="BA212" s="103" t="s">
        <v>636</v>
      </c>
      <c r="BB212" s="104">
        <f t="shared" si="153"/>
        <v>910</v>
      </c>
      <c r="BC212" s="103">
        <v>911.09676743579746</v>
      </c>
      <c r="BE212" s="104">
        <f ca="1">IFERROR(OFFSET(ITEM_RES!$A$5,MATCH(BF212,ITEM_RES!$M$5:$M$84,0)-1,0),0)</f>
        <v>0</v>
      </c>
      <c r="BG212" s="104">
        <f t="shared" si="154"/>
        <v>0</v>
      </c>
    </row>
    <row r="213" spans="1:60" x14ac:dyDescent="0.3">
      <c r="A213" s="107">
        <f t="shared" si="150"/>
        <v>112020029</v>
      </c>
      <c r="B213" s="106">
        <v>11</v>
      </c>
      <c r="C213" s="105">
        <f t="shared" si="115"/>
        <v>2</v>
      </c>
      <c r="D213" s="106">
        <v>2</v>
      </c>
      <c r="E213" s="106">
        <v>0</v>
      </c>
      <c r="F213" s="105">
        <f t="shared" si="131"/>
        <v>29</v>
      </c>
      <c r="H213" s="102">
        <v>2</v>
      </c>
      <c r="I213" s="102">
        <v>29</v>
      </c>
      <c r="K213" s="102" t="s">
        <v>1041</v>
      </c>
      <c r="L213" s="102" t="s">
        <v>778</v>
      </c>
      <c r="M213" s="103" t="s">
        <v>381</v>
      </c>
      <c r="N213" s="102">
        <v>0</v>
      </c>
      <c r="O213" s="102">
        <v>12</v>
      </c>
      <c r="P213" s="102" t="s">
        <v>523</v>
      </c>
      <c r="Q213" s="103" t="s">
        <v>1160</v>
      </c>
      <c r="R213" s="103">
        <v>112020029</v>
      </c>
      <c r="S213" s="104" t="str">
        <f t="shared" si="139"/>
        <v>UITexture/Bldg/112020029.png</v>
      </c>
      <c r="T213" s="102" t="s">
        <v>1048</v>
      </c>
      <c r="U213" s="102">
        <v>2</v>
      </c>
      <c r="V213" s="102">
        <v>1</v>
      </c>
      <c r="W213" s="102">
        <v>2</v>
      </c>
      <c r="Y213" s="104">
        <f t="shared" si="138"/>
        <v>202</v>
      </c>
      <c r="Z213" s="102">
        <v>290</v>
      </c>
      <c r="AA213" s="102">
        <v>1</v>
      </c>
      <c r="AB213" s="102">
        <v>1</v>
      </c>
      <c r="AC213" s="102">
        <v>0</v>
      </c>
      <c r="AD213" s="102" t="s">
        <v>537</v>
      </c>
      <c r="AE213" s="102">
        <v>29</v>
      </c>
      <c r="AG213" s="104">
        <f t="shared" si="132"/>
        <v>210328</v>
      </c>
      <c r="AH213" s="103">
        <v>210328.30933988435</v>
      </c>
      <c r="AI213" s="172">
        <v>4</v>
      </c>
      <c r="AK213" s="104">
        <f ca="1">IFERROR(OFFSET(ITEM_RES!$A$5,MATCH(AL213,ITEM_RES!$M$5:$M$84,0)-1,0),0)</f>
        <v>220000110</v>
      </c>
      <c r="AL213" s="103" t="s">
        <v>582</v>
      </c>
      <c r="AM213" s="104">
        <f t="shared" si="116"/>
        <v>5600</v>
      </c>
      <c r="AN213" s="103">
        <v>5630.5780227532287</v>
      </c>
      <c r="AP213" s="104">
        <f ca="1">IFERROR(OFFSET(ITEM_RES!$A$5,MATCH(AQ213,ITEM_RES!$M$5:$M$84,0)-1,0),0)</f>
        <v>220000210</v>
      </c>
      <c r="AQ213" s="103" t="s">
        <v>600</v>
      </c>
      <c r="AR213" s="104">
        <f t="shared" si="151"/>
        <v>3400</v>
      </c>
      <c r="AS213" s="103">
        <v>3378.3468136519368</v>
      </c>
      <c r="AU213" s="104">
        <f ca="1">IFERROR(OFFSET(ITEM_RES!$A$5,MATCH(AV213,ITEM_RES!$M$5:$M$84,0)-1,0),0)</f>
        <v>220000310</v>
      </c>
      <c r="AV213" s="103" t="s">
        <v>618</v>
      </c>
      <c r="AW213" s="104">
        <f t="shared" si="152"/>
        <v>2300</v>
      </c>
      <c r="AX213" s="103">
        <v>2252.2312091012914</v>
      </c>
      <c r="AZ213" s="104">
        <f ca="1">IFERROR(OFFSET(ITEM_RES!$A$5,MATCH(BA213,ITEM_RES!$M$5:$M$84,0)-1,0),0)</f>
        <v>220000410</v>
      </c>
      <c r="BA213" s="103" t="s">
        <v>636</v>
      </c>
      <c r="BB213" s="104">
        <f t="shared" si="153"/>
        <v>1100</v>
      </c>
      <c r="BC213" s="103">
        <v>1126.1156045506457</v>
      </c>
      <c r="BE213" s="104">
        <f ca="1">IFERROR(OFFSET(ITEM_RES!$A$5,MATCH(BF213,ITEM_RES!$M$5:$M$84,0)-1,0),0)</f>
        <v>0</v>
      </c>
      <c r="BG213" s="104">
        <f t="shared" si="154"/>
        <v>0</v>
      </c>
    </row>
    <row r="214" spans="1:60" s="108" customFormat="1" ht="17.25" thickBot="1" x14ac:dyDescent="0.35">
      <c r="A214" s="114">
        <f t="shared" si="150"/>
        <v>112020030</v>
      </c>
      <c r="B214" s="113">
        <v>11</v>
      </c>
      <c r="C214" s="112">
        <f t="shared" si="115"/>
        <v>2</v>
      </c>
      <c r="D214" s="113">
        <v>2</v>
      </c>
      <c r="E214" s="113">
        <v>0</v>
      </c>
      <c r="F214" s="112">
        <f t="shared" si="131"/>
        <v>30</v>
      </c>
      <c r="G214" s="256"/>
      <c r="H214" s="109">
        <v>2</v>
      </c>
      <c r="I214" s="109">
        <v>30</v>
      </c>
      <c r="J214" s="256"/>
      <c r="K214" s="109" t="s">
        <v>1041</v>
      </c>
      <c r="L214" s="109" t="s">
        <v>779</v>
      </c>
      <c r="M214" s="110" t="s">
        <v>381</v>
      </c>
      <c r="N214" s="109">
        <v>0</v>
      </c>
      <c r="O214" s="109">
        <v>12</v>
      </c>
      <c r="P214" s="109" t="s">
        <v>523</v>
      </c>
      <c r="Q214" s="110" t="s">
        <v>1160</v>
      </c>
      <c r="R214" s="110">
        <v>112020030</v>
      </c>
      <c r="S214" s="111" t="str">
        <f t="shared" si="139"/>
        <v>UITexture/Bldg/112020030.png</v>
      </c>
      <c r="T214" s="109" t="s">
        <v>1048</v>
      </c>
      <c r="U214" s="109">
        <v>2</v>
      </c>
      <c r="V214" s="109">
        <v>1</v>
      </c>
      <c r="W214" s="109">
        <v>2</v>
      </c>
      <c r="X214" s="256"/>
      <c r="Y214" s="111">
        <f t="shared" si="138"/>
        <v>202</v>
      </c>
      <c r="Z214" s="109">
        <v>300</v>
      </c>
      <c r="AA214" s="109">
        <v>1</v>
      </c>
      <c r="AB214" s="109">
        <v>1</v>
      </c>
      <c r="AC214" s="109">
        <v>0</v>
      </c>
      <c r="AD214" s="109" t="s">
        <v>537</v>
      </c>
      <c r="AE214" s="109">
        <v>30</v>
      </c>
      <c r="AF214" s="256"/>
      <c r="AG214" s="111">
        <f t="shared" si="132"/>
        <v>214535</v>
      </c>
      <c r="AH214" s="110">
        <v>214534.87552668201</v>
      </c>
      <c r="AI214" s="175">
        <v>4</v>
      </c>
      <c r="AJ214" s="111"/>
      <c r="AK214" s="111">
        <f ca="1">IFERROR(OFFSET(ITEM_RES!$A$5,MATCH(AL214,ITEM_RES!$M$5:$M$84,0)-1,0),0)</f>
        <v>220000110</v>
      </c>
      <c r="AL214" s="110" t="s">
        <v>582</v>
      </c>
      <c r="AM214" s="111">
        <f t="shared" si="116"/>
        <v>6900</v>
      </c>
      <c r="AN214" s="110">
        <v>6891.8274998499519</v>
      </c>
      <c r="AO214" s="111"/>
      <c r="AP214" s="111">
        <f ca="1">IFERROR(OFFSET(ITEM_RES!$A$5,MATCH(AQ214,ITEM_RES!$M$5:$M$84,0)-1,0),0)</f>
        <v>220000210</v>
      </c>
      <c r="AQ214" s="110" t="s">
        <v>600</v>
      </c>
      <c r="AR214" s="111">
        <f t="shared" si="151"/>
        <v>4100</v>
      </c>
      <c r="AS214" s="110">
        <v>4135.0964999099715</v>
      </c>
      <c r="AT214" s="111"/>
      <c r="AU214" s="111">
        <f ca="1">IFERROR(OFFSET(ITEM_RES!$A$5,MATCH(AV214,ITEM_RES!$M$5:$M$84,0)-1,0),0)</f>
        <v>220000310</v>
      </c>
      <c r="AV214" s="110" t="s">
        <v>618</v>
      </c>
      <c r="AW214" s="111">
        <f t="shared" si="152"/>
        <v>2800</v>
      </c>
      <c r="AX214" s="110">
        <v>2756.7309999399808</v>
      </c>
      <c r="AY214" s="111"/>
      <c r="AZ214" s="111">
        <f ca="1">IFERROR(OFFSET(ITEM_RES!$A$5,MATCH(BA214,ITEM_RES!$M$5:$M$84,0)-1,0),0)</f>
        <v>220000410</v>
      </c>
      <c r="BA214" s="110" t="s">
        <v>636</v>
      </c>
      <c r="BB214" s="111">
        <f t="shared" si="153"/>
        <v>1400</v>
      </c>
      <c r="BC214" s="110">
        <v>1378.3654999699904</v>
      </c>
      <c r="BD214" s="111"/>
      <c r="BE214" s="111">
        <f ca="1">IFERROR(OFFSET(ITEM_RES!$A$5,MATCH(BF214,ITEM_RES!$M$5:$M$84,0)-1,0),0)</f>
        <v>0</v>
      </c>
      <c r="BF214" s="110"/>
      <c r="BG214" s="111">
        <f t="shared" si="154"/>
        <v>0</v>
      </c>
      <c r="BH214" s="110"/>
    </row>
    <row r="215" spans="1:60" s="115" customFormat="1" x14ac:dyDescent="0.3">
      <c r="A215" s="121">
        <f>B215*10000000+C215*1000000+D215*10000+E215*100+F215</f>
        <v>112030001</v>
      </c>
      <c r="B215" s="120">
        <v>11</v>
      </c>
      <c r="C215" s="119">
        <f>H215</f>
        <v>2</v>
      </c>
      <c r="D215" s="120">
        <v>3</v>
      </c>
      <c r="E215" s="120">
        <v>0</v>
      </c>
      <c r="F215" s="119">
        <f t="shared" si="131"/>
        <v>1</v>
      </c>
      <c r="G215" s="255"/>
      <c r="H215" s="116">
        <v>2</v>
      </c>
      <c r="I215" s="116">
        <v>1</v>
      </c>
      <c r="J215" s="255"/>
      <c r="K215" s="116" t="s">
        <v>1041</v>
      </c>
      <c r="L215" s="116" t="s">
        <v>781</v>
      </c>
      <c r="M215" s="117" t="s">
        <v>506</v>
      </c>
      <c r="N215" s="116">
        <v>1</v>
      </c>
      <c r="O215" s="116">
        <v>12</v>
      </c>
      <c r="P215" s="116" t="s">
        <v>748</v>
      </c>
      <c r="Q215" s="117" t="s">
        <v>1160</v>
      </c>
      <c r="R215" s="117">
        <v>112030001</v>
      </c>
      <c r="S215" s="118" t="str">
        <f t="shared" si="139"/>
        <v>UITexture/Bldg/112030001.png</v>
      </c>
      <c r="T215" s="116" t="s">
        <v>1049</v>
      </c>
      <c r="U215" s="116">
        <v>3</v>
      </c>
      <c r="V215" s="116">
        <v>1</v>
      </c>
      <c r="W215" s="116">
        <v>2</v>
      </c>
      <c r="X215" s="255"/>
      <c r="Y215" s="118">
        <f t="shared" si="138"/>
        <v>203</v>
      </c>
      <c r="Z215" s="116">
        <v>10</v>
      </c>
      <c r="AA215" s="116">
        <v>1</v>
      </c>
      <c r="AB215" s="116">
        <v>1</v>
      </c>
      <c r="AC215" s="116">
        <v>0</v>
      </c>
      <c r="AD215" s="116" t="s">
        <v>1153</v>
      </c>
      <c r="AE215" s="116">
        <v>1</v>
      </c>
      <c r="AF215" s="255"/>
      <c r="AG215" s="118">
        <f t="shared" si="132"/>
        <v>5</v>
      </c>
      <c r="AH215" s="117">
        <v>5.2631578947368425</v>
      </c>
      <c r="AI215" s="174">
        <v>2</v>
      </c>
      <c r="AJ215" s="118"/>
      <c r="AK215" s="118">
        <f ca="1">IFERROR(OFFSET(ITEM_RES!$A$5,MATCH(AL215,ITEM_RES!$M$5:$M$84,0)-1,0),0)</f>
        <v>220000101</v>
      </c>
      <c r="AL215" s="117" t="s">
        <v>573</v>
      </c>
      <c r="AM215" s="118">
        <f>IF(AN215&lt;100,ROUND(AN215,1-LEN(ROUND(AN215,0))),ROUND(AN215,2-LEN(ROUND(AN215,0))))</f>
        <v>10</v>
      </c>
      <c r="AN215" s="117">
        <v>10.526315789473683</v>
      </c>
      <c r="AO215" s="118"/>
      <c r="AP215" s="118">
        <f ca="1">IFERROR(OFFSET(ITEM_RES!$A$5,MATCH(AQ215,ITEM_RES!$M$5:$M$84,0)-1,0),0)</f>
        <v>220000201</v>
      </c>
      <c r="AQ215" s="117" t="s">
        <v>591</v>
      </c>
      <c r="AR215" s="118">
        <f>IF(AS215&lt;100,ROUND(AS215,1-LEN(ROUND(AS215,0))),ROUND(AS215,2-LEN(ROUND(AS215,0))))</f>
        <v>6</v>
      </c>
      <c r="AS215" s="117">
        <v>6.3157894736842106</v>
      </c>
      <c r="AT215" s="118"/>
      <c r="AU215" s="118">
        <f ca="1">IFERROR(OFFSET(ITEM_RES!$A$5,MATCH(AV215,ITEM_RES!$M$5:$M$84,0)-1,0),0)</f>
        <v>220000301</v>
      </c>
      <c r="AV215" s="117" t="s">
        <v>609</v>
      </c>
      <c r="AW215" s="118">
        <f>IF(AX215&lt;100,ROUND(AX215,1-LEN(ROUND(AX215,0))),ROUND(AX215,2-LEN(ROUND(AX215,0))))</f>
        <v>0</v>
      </c>
      <c r="AX215" s="117">
        <v>0</v>
      </c>
      <c r="AY215" s="118"/>
      <c r="AZ215" s="118">
        <f ca="1">IFERROR(OFFSET(ITEM_RES!$A$5,MATCH(BA215,ITEM_RES!$M$5:$M$84,0)-1,0),0)</f>
        <v>220000401</v>
      </c>
      <c r="BA215" s="117" t="s">
        <v>627</v>
      </c>
      <c r="BB215" s="118">
        <f>IF(BC215&lt;100,ROUND(BC215,1-LEN(ROUND(BC215,0))),ROUND(BC215,2-LEN(ROUND(BC215,0))))</f>
        <v>0</v>
      </c>
      <c r="BC215" s="117">
        <v>0</v>
      </c>
      <c r="BD215" s="118"/>
      <c r="BE215" s="118">
        <f ca="1">IFERROR(OFFSET(ITEM_RES!$A$5,MATCH(BF215,ITEM_RES!$M$5:$M$84,0)-1,0),0)</f>
        <v>0</v>
      </c>
      <c r="BF215" s="117"/>
      <c r="BG215" s="118">
        <f>IF(BH215&lt;100,ROUND(BH215,1-LEN(ROUND(BH215,0))),ROUND(BH215,2-LEN(ROUND(BH215,0))))</f>
        <v>0</v>
      </c>
      <c r="BH215" s="117"/>
    </row>
    <row r="216" spans="1:60" x14ac:dyDescent="0.3">
      <c r="A216" s="107">
        <f>B216*10000000+C216*1000000+D216*10000+E216*100+F216</f>
        <v>112030002</v>
      </c>
      <c r="B216" s="106">
        <v>11</v>
      </c>
      <c r="C216" s="105">
        <f>H216</f>
        <v>2</v>
      </c>
      <c r="D216" s="106">
        <v>3</v>
      </c>
      <c r="E216" s="106">
        <v>0</v>
      </c>
      <c r="F216" s="105">
        <f t="shared" si="131"/>
        <v>2</v>
      </c>
      <c r="H216" s="102">
        <v>2</v>
      </c>
      <c r="I216" s="102">
        <v>2</v>
      </c>
      <c r="K216" s="102" t="s">
        <v>1041</v>
      </c>
      <c r="L216" s="102" t="s">
        <v>780</v>
      </c>
      <c r="M216" s="103" t="s">
        <v>506</v>
      </c>
      <c r="N216" s="102">
        <v>1</v>
      </c>
      <c r="O216" s="102">
        <v>12</v>
      </c>
      <c r="P216" s="102" t="s">
        <v>748</v>
      </c>
      <c r="Q216" s="103" t="s">
        <v>1160</v>
      </c>
      <c r="R216" s="103">
        <v>112030002</v>
      </c>
      <c r="S216" s="104" t="str">
        <f t="shared" si="139"/>
        <v>UITexture/Bldg/112030002.png</v>
      </c>
      <c r="T216" s="102" t="s">
        <v>1049</v>
      </c>
      <c r="U216" s="102">
        <v>3</v>
      </c>
      <c r="V216" s="102">
        <v>1</v>
      </c>
      <c r="W216" s="102">
        <v>2</v>
      </c>
      <c r="Y216" s="104">
        <f t="shared" si="138"/>
        <v>203</v>
      </c>
      <c r="Z216" s="102">
        <v>20</v>
      </c>
      <c r="AA216" s="102">
        <v>1</v>
      </c>
      <c r="AB216" s="102">
        <v>1</v>
      </c>
      <c r="AC216" s="102">
        <v>0</v>
      </c>
      <c r="AD216" s="102" t="s">
        <v>1153</v>
      </c>
      <c r="AE216" s="102">
        <v>2</v>
      </c>
      <c r="AG216" s="104">
        <f t="shared" si="132"/>
        <v>21</v>
      </c>
      <c r="AH216" s="103">
        <v>21.05263157894737</v>
      </c>
      <c r="AI216" s="172">
        <v>2</v>
      </c>
      <c r="AK216" s="104">
        <f ca="1">IFERROR(OFFSET(ITEM_RES!$A$5,MATCH(AL216,ITEM_RES!$M$5:$M$84,0)-1,0),0)</f>
        <v>220000101</v>
      </c>
      <c r="AL216" s="103" t="s">
        <v>573</v>
      </c>
      <c r="AM216" s="104">
        <f>IF(AN216&lt;100,ROUND(AN216,1-LEN(ROUND(AN216,0))),ROUND(AN216,2-LEN(ROUND(AN216,0))))</f>
        <v>50</v>
      </c>
      <c r="AN216" s="103">
        <v>52.631578947368425</v>
      </c>
      <c r="AP216" s="104">
        <f ca="1">IFERROR(OFFSET(ITEM_RES!$A$5,MATCH(AQ216,ITEM_RES!$M$5:$M$84,0)-1,0),0)</f>
        <v>220000201</v>
      </c>
      <c r="AQ216" s="103" t="s">
        <v>591</v>
      </c>
      <c r="AR216" s="104">
        <f>IF(AS216&lt;100,ROUND(AS216,1-LEN(ROUND(AS216,0))),ROUND(AS216,2-LEN(ROUND(AS216,0))))</f>
        <v>30</v>
      </c>
      <c r="AS216" s="103">
        <v>31.578947368421055</v>
      </c>
      <c r="AU216" s="104">
        <f ca="1">IFERROR(OFFSET(ITEM_RES!$A$5,MATCH(AV216,ITEM_RES!$M$5:$M$84,0)-1,0),0)</f>
        <v>220000301</v>
      </c>
      <c r="AV216" s="103" t="s">
        <v>609</v>
      </c>
      <c r="AW216" s="104">
        <f>IF(AX216&lt;100,ROUND(AX216,1-LEN(ROUND(AX216,0))),ROUND(AX216,2-LEN(ROUND(AX216,0))))</f>
        <v>0</v>
      </c>
      <c r="AX216" s="103">
        <v>0</v>
      </c>
      <c r="AZ216" s="104">
        <f ca="1">IFERROR(OFFSET(ITEM_RES!$A$5,MATCH(BA216,ITEM_RES!$M$5:$M$84,0)-1,0),0)</f>
        <v>220000401</v>
      </c>
      <c r="BA216" s="103" t="s">
        <v>627</v>
      </c>
      <c r="BB216" s="104">
        <f>IF(BC216&lt;100,ROUND(BC216,1-LEN(ROUND(BC216,0))),ROUND(BC216,2-LEN(ROUND(BC216,0))))</f>
        <v>0</v>
      </c>
      <c r="BC216" s="103">
        <v>0</v>
      </c>
      <c r="BE216" s="104">
        <f ca="1">IFERROR(OFFSET(ITEM_RES!$A$5,MATCH(BF216,ITEM_RES!$M$5:$M$84,0)-1,0),0)</f>
        <v>0</v>
      </c>
      <c r="BG216" s="104">
        <f>IF(BH216&lt;100,ROUND(BH216,1-LEN(ROUND(BH216,0))),ROUND(BH216,2-LEN(ROUND(BH216,0))))</f>
        <v>0</v>
      </c>
    </row>
    <row r="217" spans="1:60" x14ac:dyDescent="0.3">
      <c r="A217" s="107">
        <f>B217*10000000+C217*1000000+D217*10000+E217*100+F217</f>
        <v>112030003</v>
      </c>
      <c r="B217" s="106">
        <v>11</v>
      </c>
      <c r="C217" s="105">
        <f>H217</f>
        <v>2</v>
      </c>
      <c r="D217" s="106">
        <v>3</v>
      </c>
      <c r="E217" s="106">
        <v>0</v>
      </c>
      <c r="F217" s="105">
        <f t="shared" si="131"/>
        <v>3</v>
      </c>
      <c r="H217" s="102">
        <v>2</v>
      </c>
      <c r="I217" s="102">
        <v>3</v>
      </c>
      <c r="K217" s="102" t="s">
        <v>1041</v>
      </c>
      <c r="L217" s="102" t="s">
        <v>780</v>
      </c>
      <c r="M217" s="103" t="s">
        <v>506</v>
      </c>
      <c r="N217" s="102">
        <v>1</v>
      </c>
      <c r="O217" s="102">
        <v>12</v>
      </c>
      <c r="P217" s="102" t="s">
        <v>748</v>
      </c>
      <c r="Q217" s="103" t="s">
        <v>1160</v>
      </c>
      <c r="R217" s="103">
        <v>112030003</v>
      </c>
      <c r="S217" s="104" t="str">
        <f t="shared" si="139"/>
        <v>UITexture/Bldg/112030003.png</v>
      </c>
      <c r="T217" s="102" t="s">
        <v>1049</v>
      </c>
      <c r="U217" s="102">
        <v>3</v>
      </c>
      <c r="V217" s="102">
        <v>1</v>
      </c>
      <c r="W217" s="102">
        <v>2</v>
      </c>
      <c r="Y217" s="104">
        <f t="shared" si="138"/>
        <v>203</v>
      </c>
      <c r="Z217" s="102">
        <v>30</v>
      </c>
      <c r="AA217" s="102">
        <v>1</v>
      </c>
      <c r="AB217" s="102">
        <v>1</v>
      </c>
      <c r="AC217" s="102">
        <v>0</v>
      </c>
      <c r="AD217" s="102" t="s">
        <v>1153</v>
      </c>
      <c r="AE217" s="102">
        <v>3</v>
      </c>
      <c r="AG217" s="104">
        <f t="shared" si="132"/>
        <v>84</v>
      </c>
      <c r="AH217" s="103">
        <v>84.21052631578948</v>
      </c>
      <c r="AI217" s="172">
        <v>2</v>
      </c>
      <c r="AK217" s="104">
        <f ca="1">IFERROR(OFFSET(ITEM_RES!$A$5,MATCH(AL217,ITEM_RES!$M$5:$M$84,0)-1,0),0)</f>
        <v>220000101</v>
      </c>
      <c r="AL217" s="103" t="s">
        <v>573</v>
      </c>
      <c r="AM217" s="104">
        <f>IF(AN217&lt;100,ROUND(AN217,1-LEN(ROUND(AN217,0))),ROUND(AN217,2-LEN(ROUND(AN217,0))))</f>
        <v>260</v>
      </c>
      <c r="AN217" s="103">
        <v>263.15789473684208</v>
      </c>
      <c r="AP217" s="104">
        <f ca="1">IFERROR(OFFSET(ITEM_RES!$A$5,MATCH(AQ217,ITEM_RES!$M$5:$M$84,0)-1,0),0)</f>
        <v>220000201</v>
      </c>
      <c r="AQ217" s="103" t="s">
        <v>591</v>
      </c>
      <c r="AR217" s="104">
        <f>IF(AS217&lt;100,ROUND(AS217,1-LEN(ROUND(AS217,0))),ROUND(AS217,2-LEN(ROUND(AS217,0))))</f>
        <v>160</v>
      </c>
      <c r="AS217" s="103">
        <v>157.89473684210526</v>
      </c>
      <c r="AU217" s="104">
        <f ca="1">IFERROR(OFFSET(ITEM_RES!$A$5,MATCH(AV217,ITEM_RES!$M$5:$M$84,0)-1,0),0)</f>
        <v>220000301</v>
      </c>
      <c r="AV217" s="103" t="s">
        <v>609</v>
      </c>
      <c r="AW217" s="104">
        <f>IF(AX217&lt;100,ROUND(AX217,1-LEN(ROUND(AX217,0))),ROUND(AX217,2-LEN(ROUND(AX217,0))))</f>
        <v>0</v>
      </c>
      <c r="AX217" s="103">
        <v>0</v>
      </c>
      <c r="AZ217" s="104">
        <f ca="1">IFERROR(OFFSET(ITEM_RES!$A$5,MATCH(BA217,ITEM_RES!$M$5:$M$84,0)-1,0),0)</f>
        <v>220000401</v>
      </c>
      <c r="BA217" s="103" t="s">
        <v>627</v>
      </c>
      <c r="BB217" s="104">
        <f>IF(BC217&lt;100,ROUND(BC217,1-LEN(ROUND(BC217,0))),ROUND(BC217,2-LEN(ROUND(BC217,0))))</f>
        <v>0</v>
      </c>
      <c r="BC217" s="103">
        <v>0</v>
      </c>
      <c r="BE217" s="104">
        <f ca="1">IFERROR(OFFSET(ITEM_RES!$A$5,MATCH(BF217,ITEM_RES!$M$5:$M$84,0)-1,0),0)</f>
        <v>0</v>
      </c>
      <c r="BG217" s="104">
        <f>IF(BH217&lt;100,ROUND(BH217,1-LEN(ROUND(BH217,0))),ROUND(BH217,2-LEN(ROUND(BH217,0))))</f>
        <v>0</v>
      </c>
    </row>
    <row r="218" spans="1:60" x14ac:dyDescent="0.3">
      <c r="A218" s="107">
        <f>B218*10000000+C218*1000000+D218*10000+E218*100+F218</f>
        <v>112030004</v>
      </c>
      <c r="B218" s="106">
        <v>11</v>
      </c>
      <c r="C218" s="105">
        <f>H218</f>
        <v>2</v>
      </c>
      <c r="D218" s="106">
        <v>3</v>
      </c>
      <c r="E218" s="106">
        <v>0</v>
      </c>
      <c r="F218" s="105">
        <f t="shared" si="131"/>
        <v>4</v>
      </c>
      <c r="H218" s="102">
        <v>2</v>
      </c>
      <c r="I218" s="102">
        <v>4</v>
      </c>
      <c r="K218" s="102" t="s">
        <v>1041</v>
      </c>
      <c r="L218" s="102" t="s">
        <v>780</v>
      </c>
      <c r="M218" s="103" t="s">
        <v>506</v>
      </c>
      <c r="N218" s="102">
        <v>1</v>
      </c>
      <c r="O218" s="102">
        <v>12</v>
      </c>
      <c r="P218" s="102" t="s">
        <v>748</v>
      </c>
      <c r="Q218" s="103" t="s">
        <v>1160</v>
      </c>
      <c r="R218" s="103">
        <v>112030004</v>
      </c>
      <c r="S218" s="104" t="str">
        <f t="shared" si="139"/>
        <v>UITexture/Bldg/112030004.png</v>
      </c>
      <c r="T218" s="102" t="s">
        <v>1049</v>
      </c>
      <c r="U218" s="102">
        <v>3</v>
      </c>
      <c r="V218" s="102">
        <v>1</v>
      </c>
      <c r="W218" s="102">
        <v>2</v>
      </c>
      <c r="Y218" s="104">
        <f t="shared" si="138"/>
        <v>203</v>
      </c>
      <c r="Z218" s="102">
        <v>40</v>
      </c>
      <c r="AA218" s="102">
        <v>1</v>
      </c>
      <c r="AB218" s="102">
        <v>1</v>
      </c>
      <c r="AC218" s="102">
        <v>0</v>
      </c>
      <c r="AD218" s="102" t="s">
        <v>1153</v>
      </c>
      <c r="AE218" s="102">
        <v>4</v>
      </c>
      <c r="AG218" s="104">
        <f t="shared" si="132"/>
        <v>337</v>
      </c>
      <c r="AH218" s="103">
        <v>336.84210526315792</v>
      </c>
      <c r="AI218" s="172">
        <v>2</v>
      </c>
      <c r="AK218" s="104">
        <f ca="1">IFERROR(OFFSET(ITEM_RES!$A$5,MATCH(AL218,ITEM_RES!$M$5:$M$84,0)-1,0),0)</f>
        <v>220000102</v>
      </c>
      <c r="AL218" s="103" t="s">
        <v>574</v>
      </c>
      <c r="AM218" s="104">
        <f>IF(AN218&lt;100,ROUND(AN218,1-LEN(ROUND(AN218,0))),ROUND(AN218,2-LEN(ROUND(AN218,0))))</f>
        <v>440</v>
      </c>
      <c r="AN218" s="103">
        <v>438.59649122807014</v>
      </c>
      <c r="AP218" s="104">
        <f ca="1">IFERROR(OFFSET(ITEM_RES!$A$5,MATCH(AQ218,ITEM_RES!$M$5:$M$84,0)-1,0),0)</f>
        <v>220000202</v>
      </c>
      <c r="AQ218" s="103" t="s">
        <v>592</v>
      </c>
      <c r="AR218" s="104">
        <f>IF(AS218&lt;100,ROUND(AS218,1-LEN(ROUND(AS218,0))),ROUND(AS218,2-LEN(ROUND(AS218,0))))</f>
        <v>260</v>
      </c>
      <c r="AS218" s="103">
        <v>263.15789473684208</v>
      </c>
      <c r="AU218" s="104">
        <f ca="1">IFERROR(OFFSET(ITEM_RES!$A$5,MATCH(AV218,ITEM_RES!$M$5:$M$84,0)-1,0),0)</f>
        <v>220000302</v>
      </c>
      <c r="AV218" s="103" t="s">
        <v>610</v>
      </c>
      <c r="AW218" s="104">
        <f>IF(AX218&lt;100,ROUND(AX218,1-LEN(ROUND(AX218,0))),ROUND(AX218,2-LEN(ROUND(AX218,0))))</f>
        <v>0</v>
      </c>
      <c r="AX218" s="103">
        <v>0</v>
      </c>
      <c r="AZ218" s="104">
        <f ca="1">IFERROR(OFFSET(ITEM_RES!$A$5,MATCH(BA218,ITEM_RES!$M$5:$M$84,0)-1,0),0)</f>
        <v>220000402</v>
      </c>
      <c r="BA218" s="103" t="s">
        <v>628</v>
      </c>
      <c r="BB218" s="104">
        <f>IF(BC218&lt;100,ROUND(BC218,1-LEN(ROUND(BC218,0))),ROUND(BC218,2-LEN(ROUND(BC218,0))))</f>
        <v>0</v>
      </c>
      <c r="BC218" s="103">
        <v>0</v>
      </c>
      <c r="BE218" s="104">
        <f ca="1">IFERROR(OFFSET(ITEM_RES!$A$5,MATCH(BF218,ITEM_RES!$M$5:$M$84,0)-1,0),0)</f>
        <v>0</v>
      </c>
      <c r="BG218" s="104">
        <f>IF(BH218&lt;100,ROUND(BH218,1-LEN(ROUND(BH218,0))),ROUND(BH218,2-LEN(ROUND(BH218,0))))</f>
        <v>0</v>
      </c>
    </row>
    <row r="219" spans="1:60" x14ac:dyDescent="0.3">
      <c r="A219" s="107">
        <f>B219*10000000+C219*1000000+D219*10000+E219*100+F219</f>
        <v>112030005</v>
      </c>
      <c r="B219" s="106">
        <v>11</v>
      </c>
      <c r="C219" s="105">
        <f>H219</f>
        <v>2</v>
      </c>
      <c r="D219" s="106">
        <v>3</v>
      </c>
      <c r="E219" s="106">
        <v>0</v>
      </c>
      <c r="F219" s="105">
        <f t="shared" si="131"/>
        <v>5</v>
      </c>
      <c r="H219" s="102">
        <v>2</v>
      </c>
      <c r="I219" s="102">
        <v>5</v>
      </c>
      <c r="K219" s="102" t="s">
        <v>1041</v>
      </c>
      <c r="L219" s="102" t="s">
        <v>780</v>
      </c>
      <c r="M219" s="103" t="s">
        <v>506</v>
      </c>
      <c r="N219" s="102">
        <v>1</v>
      </c>
      <c r="O219" s="102">
        <v>12</v>
      </c>
      <c r="P219" s="102" t="s">
        <v>748</v>
      </c>
      <c r="Q219" s="103" t="s">
        <v>1160</v>
      </c>
      <c r="R219" s="103">
        <v>112030005</v>
      </c>
      <c r="S219" s="104" t="str">
        <f t="shared" si="139"/>
        <v>UITexture/Bldg/112030005.png</v>
      </c>
      <c r="T219" s="102" t="s">
        <v>1049</v>
      </c>
      <c r="U219" s="102">
        <v>3</v>
      </c>
      <c r="V219" s="102">
        <v>1</v>
      </c>
      <c r="W219" s="102">
        <v>2</v>
      </c>
      <c r="Y219" s="104">
        <f t="shared" si="138"/>
        <v>203</v>
      </c>
      <c r="Z219" s="102">
        <v>50</v>
      </c>
      <c r="AA219" s="102">
        <v>1</v>
      </c>
      <c r="AB219" s="102">
        <v>1</v>
      </c>
      <c r="AC219" s="102">
        <v>0</v>
      </c>
      <c r="AD219" s="102" t="s">
        <v>1153</v>
      </c>
      <c r="AE219" s="102">
        <v>5</v>
      </c>
      <c r="AG219" s="104">
        <f t="shared" si="132"/>
        <v>1011</v>
      </c>
      <c r="AH219" s="103">
        <v>1010.5263157894736</v>
      </c>
      <c r="AI219" s="172">
        <v>2</v>
      </c>
      <c r="AK219" s="104">
        <f ca="1">IFERROR(OFFSET(ITEM_RES!$A$5,MATCH(AL219,ITEM_RES!$M$5:$M$84,0)-1,0),0)</f>
        <v>220000102</v>
      </c>
      <c r="AL219" s="103" t="s">
        <v>574</v>
      </c>
      <c r="AM219" s="104">
        <f>IF(AN219&lt;100,ROUND(AN219,1-LEN(ROUND(AN219,0))),ROUND(AN219,2-LEN(ROUND(AN219,0))))</f>
        <v>1600</v>
      </c>
      <c r="AN219" s="103">
        <v>1644.7368421052633</v>
      </c>
      <c r="AP219" s="104">
        <f ca="1">IFERROR(OFFSET(ITEM_RES!$A$5,MATCH(AQ219,ITEM_RES!$M$5:$M$84,0)-1,0),0)</f>
        <v>220000202</v>
      </c>
      <c r="AQ219" s="103" t="s">
        <v>592</v>
      </c>
      <c r="AR219" s="104">
        <f>IF(AS219&lt;100,ROUND(AS219,1-LEN(ROUND(AS219,0))),ROUND(AS219,2-LEN(ROUND(AS219,0))))</f>
        <v>990</v>
      </c>
      <c r="AS219" s="103">
        <v>986.84210526315792</v>
      </c>
      <c r="AU219" s="104">
        <f ca="1">IFERROR(OFFSET(ITEM_RES!$A$5,MATCH(AV219,ITEM_RES!$M$5:$M$84,0)-1,0),0)</f>
        <v>220000302</v>
      </c>
      <c r="AV219" s="103" t="s">
        <v>610</v>
      </c>
      <c r="AW219" s="104">
        <f>IF(AX219&lt;100,ROUND(AX219,1-LEN(ROUND(AX219,0))),ROUND(AX219,2-LEN(ROUND(AX219,0))))</f>
        <v>0</v>
      </c>
      <c r="AX219" s="103">
        <v>0</v>
      </c>
      <c r="AZ219" s="104">
        <f ca="1">IFERROR(OFFSET(ITEM_RES!$A$5,MATCH(BA219,ITEM_RES!$M$5:$M$84,0)-1,0),0)</f>
        <v>220000402</v>
      </c>
      <c r="BA219" s="103" t="s">
        <v>628</v>
      </c>
      <c r="BB219" s="104">
        <f>IF(BC219&lt;100,ROUND(BC219,1-LEN(ROUND(BC219,0))),ROUND(BC219,2-LEN(ROUND(BC219,0))))</f>
        <v>0</v>
      </c>
      <c r="BC219" s="103">
        <v>0</v>
      </c>
      <c r="BE219" s="104">
        <f ca="1">IFERROR(OFFSET(ITEM_RES!$A$5,MATCH(BF219,ITEM_RES!$M$5:$M$84,0)-1,0),0)</f>
        <v>0</v>
      </c>
      <c r="BG219" s="104">
        <f>IF(BH219&lt;100,ROUND(BH219,1-LEN(ROUND(BH219,0))),ROUND(BH219,2-LEN(ROUND(BH219,0))))</f>
        <v>0</v>
      </c>
    </row>
    <row r="220" spans="1:60" x14ac:dyDescent="0.3">
      <c r="A220" s="107">
        <f t="shared" ref="A220:A224" si="155">B220*10000000+C220*1000000+D220*10000+E220*100+F220</f>
        <v>112030006</v>
      </c>
      <c r="B220" s="106">
        <v>11</v>
      </c>
      <c r="C220" s="105">
        <f t="shared" ref="C220:C224" si="156">H220</f>
        <v>2</v>
      </c>
      <c r="D220" s="106">
        <v>3</v>
      </c>
      <c r="E220" s="106">
        <v>0</v>
      </c>
      <c r="F220" s="105">
        <f t="shared" si="131"/>
        <v>6</v>
      </c>
      <c r="H220" s="102">
        <v>2</v>
      </c>
      <c r="I220" s="102">
        <v>6</v>
      </c>
      <c r="K220" s="102" t="s">
        <v>1041</v>
      </c>
      <c r="L220" s="102" t="s">
        <v>780</v>
      </c>
      <c r="M220" s="103" t="s">
        <v>506</v>
      </c>
      <c r="N220" s="102">
        <v>1</v>
      </c>
      <c r="O220" s="102">
        <v>12</v>
      </c>
      <c r="P220" s="102" t="s">
        <v>748</v>
      </c>
      <c r="Q220" s="103" t="s">
        <v>1160</v>
      </c>
      <c r="R220" s="103">
        <v>112030006</v>
      </c>
      <c r="S220" s="104" t="str">
        <f t="shared" si="139"/>
        <v>UITexture/Bldg/112030006.png</v>
      </c>
      <c r="T220" s="102" t="s">
        <v>1049</v>
      </c>
      <c r="U220" s="102">
        <v>3</v>
      </c>
      <c r="V220" s="102">
        <v>1</v>
      </c>
      <c r="W220" s="102">
        <v>2</v>
      </c>
      <c r="Y220" s="104">
        <f t="shared" si="138"/>
        <v>203</v>
      </c>
      <c r="Z220" s="102">
        <v>60</v>
      </c>
      <c r="AA220" s="102">
        <v>1</v>
      </c>
      <c r="AB220" s="102">
        <v>1</v>
      </c>
      <c r="AC220" s="102">
        <v>0</v>
      </c>
      <c r="AD220" s="102" t="s">
        <v>1153</v>
      </c>
      <c r="AE220" s="102">
        <v>6</v>
      </c>
      <c r="AG220" s="104">
        <f t="shared" si="132"/>
        <v>2021</v>
      </c>
      <c r="AH220" s="103">
        <v>2021.0526315789473</v>
      </c>
      <c r="AI220" s="172">
        <v>3</v>
      </c>
      <c r="AK220" s="104">
        <f ca="1">IFERROR(OFFSET(ITEM_RES!$A$5,MATCH(AL220,ITEM_RES!$M$5:$M$84,0)-1,0),0)</f>
        <v>220000102</v>
      </c>
      <c r="AL220" s="103" t="s">
        <v>574</v>
      </c>
      <c r="AM220" s="104">
        <f t="shared" ref="AM220:AM224" si="157">IF(AN220&lt;100,ROUND(AN220,1-LEN(ROUND(AN220,0))),ROUND(AN220,2-LEN(ROUND(AN220,0))))</f>
        <v>3300</v>
      </c>
      <c r="AN220" s="103">
        <v>3289.4736842105267</v>
      </c>
      <c r="AP220" s="104">
        <f ca="1">IFERROR(OFFSET(ITEM_RES!$A$5,MATCH(AQ220,ITEM_RES!$M$5:$M$84,0)-1,0),0)</f>
        <v>220000202</v>
      </c>
      <c r="AQ220" s="103" t="s">
        <v>592</v>
      </c>
      <c r="AR220" s="104">
        <f t="shared" ref="AR220:AR224" si="158">IF(AS220&lt;100,ROUND(AS220,1-LEN(ROUND(AS220,0))),ROUND(AS220,2-LEN(ROUND(AS220,0))))</f>
        <v>2000</v>
      </c>
      <c r="AS220" s="103">
        <v>1973.6842105263158</v>
      </c>
      <c r="AU220" s="104">
        <f ca="1">IFERROR(OFFSET(ITEM_RES!$A$5,MATCH(AV220,ITEM_RES!$M$5:$M$84,0)-1,0),0)</f>
        <v>220000302</v>
      </c>
      <c r="AV220" s="103" t="s">
        <v>610</v>
      </c>
      <c r="AW220" s="104">
        <f t="shared" ref="AW220:AW224" si="159">IF(AX220&lt;100,ROUND(AX220,1-LEN(ROUND(AX220,0))),ROUND(AX220,2-LEN(ROUND(AX220,0))))</f>
        <v>660</v>
      </c>
      <c r="AX220" s="103">
        <v>657.89473684210532</v>
      </c>
      <c r="AZ220" s="104">
        <f ca="1">IFERROR(OFFSET(ITEM_RES!$A$5,MATCH(BA220,ITEM_RES!$M$5:$M$84,0)-1,0),0)</f>
        <v>220000402</v>
      </c>
      <c r="BA220" s="103" t="s">
        <v>628</v>
      </c>
      <c r="BB220" s="104">
        <f t="shared" ref="BB220:BB224" si="160">IF(BC220&lt;100,ROUND(BC220,1-LEN(ROUND(BC220,0))),ROUND(BC220,2-LEN(ROUND(BC220,0))))</f>
        <v>0</v>
      </c>
      <c r="BC220" s="103">
        <v>0</v>
      </c>
      <c r="BE220" s="104">
        <f ca="1">IFERROR(OFFSET(ITEM_RES!$A$5,MATCH(BF220,ITEM_RES!$M$5:$M$84,0)-1,0),0)</f>
        <v>0</v>
      </c>
      <c r="BG220" s="104">
        <f t="shared" ref="BG220:BG224" si="161">IF(BH220&lt;100,ROUND(BH220,1-LEN(ROUND(BH220,0))),ROUND(BH220,2-LEN(ROUND(BH220,0))))</f>
        <v>0</v>
      </c>
    </row>
    <row r="221" spans="1:60" x14ac:dyDescent="0.3">
      <c r="A221" s="107">
        <f t="shared" si="155"/>
        <v>112030007</v>
      </c>
      <c r="B221" s="106">
        <v>11</v>
      </c>
      <c r="C221" s="105">
        <f t="shared" si="156"/>
        <v>2</v>
      </c>
      <c r="D221" s="106">
        <v>3</v>
      </c>
      <c r="E221" s="106">
        <v>0</v>
      </c>
      <c r="F221" s="105">
        <f t="shared" si="131"/>
        <v>7</v>
      </c>
      <c r="H221" s="102">
        <v>2</v>
      </c>
      <c r="I221" s="102">
        <v>7</v>
      </c>
      <c r="K221" s="102" t="s">
        <v>1041</v>
      </c>
      <c r="L221" s="102" t="s">
        <v>780</v>
      </c>
      <c r="M221" s="103" t="s">
        <v>506</v>
      </c>
      <c r="N221" s="102">
        <v>1</v>
      </c>
      <c r="O221" s="102">
        <v>12</v>
      </c>
      <c r="P221" s="102" t="s">
        <v>748</v>
      </c>
      <c r="Q221" s="103" t="s">
        <v>1160</v>
      </c>
      <c r="R221" s="103">
        <v>112030007</v>
      </c>
      <c r="S221" s="104" t="str">
        <f t="shared" si="139"/>
        <v>UITexture/Bldg/112030007.png</v>
      </c>
      <c r="T221" s="102" t="s">
        <v>1049</v>
      </c>
      <c r="U221" s="102">
        <v>3</v>
      </c>
      <c r="V221" s="102">
        <v>1</v>
      </c>
      <c r="W221" s="102">
        <v>2</v>
      </c>
      <c r="Y221" s="104">
        <f t="shared" si="138"/>
        <v>203</v>
      </c>
      <c r="Z221" s="102">
        <v>70</v>
      </c>
      <c r="AA221" s="102">
        <v>1</v>
      </c>
      <c r="AB221" s="102">
        <v>1</v>
      </c>
      <c r="AC221" s="102">
        <v>0</v>
      </c>
      <c r="AD221" s="102" t="s">
        <v>1153</v>
      </c>
      <c r="AE221" s="102">
        <v>7</v>
      </c>
      <c r="AG221" s="104">
        <f t="shared" si="132"/>
        <v>4042</v>
      </c>
      <c r="AH221" s="103">
        <v>4042.1052631578946</v>
      </c>
      <c r="AI221" s="172">
        <v>3</v>
      </c>
      <c r="AK221" s="104">
        <f ca="1">IFERROR(OFFSET(ITEM_RES!$A$5,MATCH(AL221,ITEM_RES!$M$5:$M$84,0)-1,0),0)</f>
        <v>220000103</v>
      </c>
      <c r="AL221" s="103" t="s">
        <v>575</v>
      </c>
      <c r="AM221" s="104">
        <f t="shared" si="157"/>
        <v>2700</v>
      </c>
      <c r="AN221" s="103">
        <v>2741.2280701754385</v>
      </c>
      <c r="AP221" s="104">
        <f ca="1">IFERROR(OFFSET(ITEM_RES!$A$5,MATCH(AQ221,ITEM_RES!$M$5:$M$84,0)-1,0),0)</f>
        <v>220000203</v>
      </c>
      <c r="AQ221" s="103" t="s">
        <v>593</v>
      </c>
      <c r="AR221" s="104">
        <f t="shared" si="158"/>
        <v>1600</v>
      </c>
      <c r="AS221" s="103">
        <v>1644.7368421052629</v>
      </c>
      <c r="AU221" s="104">
        <f ca="1">IFERROR(OFFSET(ITEM_RES!$A$5,MATCH(AV221,ITEM_RES!$M$5:$M$84,0)-1,0),0)</f>
        <v>220000303</v>
      </c>
      <c r="AV221" s="103" t="s">
        <v>611</v>
      </c>
      <c r="AW221" s="104">
        <f t="shared" si="159"/>
        <v>550</v>
      </c>
      <c r="AX221" s="103">
        <v>548.24561403508767</v>
      </c>
      <c r="AZ221" s="104">
        <f ca="1">IFERROR(OFFSET(ITEM_RES!$A$5,MATCH(BA221,ITEM_RES!$M$5:$M$84,0)-1,0),0)</f>
        <v>220000403</v>
      </c>
      <c r="BA221" s="103" t="s">
        <v>629</v>
      </c>
      <c r="BB221" s="104">
        <f t="shared" si="160"/>
        <v>0</v>
      </c>
      <c r="BC221" s="103">
        <v>0</v>
      </c>
      <c r="BE221" s="104">
        <f ca="1">IFERROR(OFFSET(ITEM_RES!$A$5,MATCH(BF221,ITEM_RES!$M$5:$M$84,0)-1,0),0)</f>
        <v>0</v>
      </c>
      <c r="BG221" s="104">
        <f t="shared" si="161"/>
        <v>0</v>
      </c>
    </row>
    <row r="222" spans="1:60" x14ac:dyDescent="0.3">
      <c r="A222" s="107">
        <f t="shared" si="155"/>
        <v>112030008</v>
      </c>
      <c r="B222" s="106">
        <v>11</v>
      </c>
      <c r="C222" s="105">
        <f t="shared" si="156"/>
        <v>2</v>
      </c>
      <c r="D222" s="106">
        <v>3</v>
      </c>
      <c r="E222" s="106">
        <v>0</v>
      </c>
      <c r="F222" s="105">
        <f t="shared" si="131"/>
        <v>8</v>
      </c>
      <c r="H222" s="102">
        <v>2</v>
      </c>
      <c r="I222" s="102">
        <v>8</v>
      </c>
      <c r="K222" s="102" t="s">
        <v>1041</v>
      </c>
      <c r="L222" s="102" t="s">
        <v>780</v>
      </c>
      <c r="M222" s="103" t="s">
        <v>506</v>
      </c>
      <c r="N222" s="102">
        <v>1</v>
      </c>
      <c r="O222" s="102">
        <v>12</v>
      </c>
      <c r="P222" s="102" t="s">
        <v>748</v>
      </c>
      <c r="Q222" s="103" t="s">
        <v>1160</v>
      </c>
      <c r="R222" s="103">
        <v>112030008</v>
      </c>
      <c r="S222" s="104" t="str">
        <f t="shared" si="139"/>
        <v>UITexture/Bldg/112030008.png</v>
      </c>
      <c r="T222" s="102" t="s">
        <v>1049</v>
      </c>
      <c r="U222" s="102">
        <v>3</v>
      </c>
      <c r="V222" s="102">
        <v>1</v>
      </c>
      <c r="W222" s="102">
        <v>2</v>
      </c>
      <c r="Y222" s="104">
        <f t="shared" si="138"/>
        <v>203</v>
      </c>
      <c r="Z222" s="102">
        <v>80</v>
      </c>
      <c r="AA222" s="102">
        <v>1</v>
      </c>
      <c r="AB222" s="102">
        <v>1</v>
      </c>
      <c r="AC222" s="102">
        <v>0</v>
      </c>
      <c r="AD222" s="102" t="s">
        <v>1153</v>
      </c>
      <c r="AE222" s="102">
        <v>8</v>
      </c>
      <c r="AG222" s="104">
        <f t="shared" si="132"/>
        <v>4446</v>
      </c>
      <c r="AH222" s="103">
        <v>4446.3157894736842</v>
      </c>
      <c r="AI222" s="172">
        <v>3</v>
      </c>
      <c r="AK222" s="104">
        <f ca="1">IFERROR(OFFSET(ITEM_RES!$A$5,MATCH(AL222,ITEM_RES!$M$5:$M$84,0)-1,0),0)</f>
        <v>220000103</v>
      </c>
      <c r="AL222" s="103" t="s">
        <v>575</v>
      </c>
      <c r="AM222" s="104">
        <f t="shared" si="157"/>
        <v>3800</v>
      </c>
      <c r="AN222" s="103">
        <v>3769.1885964912285</v>
      </c>
      <c r="AP222" s="104">
        <f ca="1">IFERROR(OFFSET(ITEM_RES!$A$5,MATCH(AQ222,ITEM_RES!$M$5:$M$84,0)-1,0),0)</f>
        <v>220000203</v>
      </c>
      <c r="AQ222" s="103" t="s">
        <v>593</v>
      </c>
      <c r="AR222" s="104">
        <f t="shared" si="158"/>
        <v>2300</v>
      </c>
      <c r="AS222" s="103">
        <v>2261.5131578947371</v>
      </c>
      <c r="AU222" s="104">
        <f ca="1">IFERROR(OFFSET(ITEM_RES!$A$5,MATCH(AV222,ITEM_RES!$M$5:$M$84,0)-1,0),0)</f>
        <v>220000303</v>
      </c>
      <c r="AV222" s="103" t="s">
        <v>611</v>
      </c>
      <c r="AW222" s="104">
        <f t="shared" si="159"/>
        <v>750</v>
      </c>
      <c r="AX222" s="103">
        <v>753.8377192982457</v>
      </c>
      <c r="AZ222" s="104">
        <f ca="1">IFERROR(OFFSET(ITEM_RES!$A$5,MATCH(BA222,ITEM_RES!$M$5:$M$84,0)-1,0),0)</f>
        <v>220000403</v>
      </c>
      <c r="BA222" s="103" t="s">
        <v>629</v>
      </c>
      <c r="BB222" s="104">
        <f t="shared" si="160"/>
        <v>0</v>
      </c>
      <c r="BC222" s="103">
        <v>0</v>
      </c>
      <c r="BE222" s="104">
        <f ca="1">IFERROR(OFFSET(ITEM_RES!$A$5,MATCH(BF222,ITEM_RES!$M$5:$M$84,0)-1,0),0)</f>
        <v>0</v>
      </c>
      <c r="BG222" s="104">
        <f t="shared" si="161"/>
        <v>0</v>
      </c>
    </row>
    <row r="223" spans="1:60" x14ac:dyDescent="0.3">
      <c r="A223" s="107">
        <f t="shared" si="155"/>
        <v>112030009</v>
      </c>
      <c r="B223" s="106">
        <v>11</v>
      </c>
      <c r="C223" s="105">
        <f t="shared" si="156"/>
        <v>2</v>
      </c>
      <c r="D223" s="106">
        <v>3</v>
      </c>
      <c r="E223" s="106">
        <v>0</v>
      </c>
      <c r="F223" s="105">
        <f t="shared" si="131"/>
        <v>9</v>
      </c>
      <c r="H223" s="102">
        <v>2</v>
      </c>
      <c r="I223" s="102">
        <v>9</v>
      </c>
      <c r="K223" s="102" t="s">
        <v>1041</v>
      </c>
      <c r="L223" s="102" t="s">
        <v>780</v>
      </c>
      <c r="M223" s="103" t="s">
        <v>506</v>
      </c>
      <c r="N223" s="102">
        <v>1</v>
      </c>
      <c r="O223" s="102">
        <v>12</v>
      </c>
      <c r="P223" s="102" t="s">
        <v>748</v>
      </c>
      <c r="Q223" s="103" t="s">
        <v>1160</v>
      </c>
      <c r="R223" s="103">
        <v>112030009</v>
      </c>
      <c r="S223" s="104" t="str">
        <f t="shared" si="139"/>
        <v>UITexture/Bldg/112030009.png</v>
      </c>
      <c r="T223" s="102" t="s">
        <v>1049</v>
      </c>
      <c r="U223" s="102">
        <v>3</v>
      </c>
      <c r="V223" s="102">
        <v>1</v>
      </c>
      <c r="W223" s="102">
        <v>2</v>
      </c>
      <c r="Y223" s="104">
        <f t="shared" si="138"/>
        <v>203</v>
      </c>
      <c r="Z223" s="102">
        <v>90</v>
      </c>
      <c r="AA223" s="102">
        <v>1</v>
      </c>
      <c r="AB223" s="102">
        <v>1</v>
      </c>
      <c r="AC223" s="102">
        <v>0</v>
      </c>
      <c r="AD223" s="102" t="s">
        <v>1153</v>
      </c>
      <c r="AE223" s="102">
        <v>9</v>
      </c>
      <c r="AG223" s="104">
        <f t="shared" si="132"/>
        <v>4891</v>
      </c>
      <c r="AH223" s="103">
        <v>4890.9473684210534</v>
      </c>
      <c r="AI223" s="172">
        <v>3</v>
      </c>
      <c r="AK223" s="104">
        <f ca="1">IFERROR(OFFSET(ITEM_RES!$A$5,MATCH(AL223,ITEM_RES!$M$5:$M$84,0)-1,0),0)</f>
        <v>220000103</v>
      </c>
      <c r="AL223" s="103" t="s">
        <v>575</v>
      </c>
      <c r="AM223" s="104">
        <f t="shared" si="157"/>
        <v>5200</v>
      </c>
      <c r="AN223" s="103">
        <v>5182.6343201754398</v>
      </c>
      <c r="AP223" s="104">
        <f ca="1">IFERROR(OFFSET(ITEM_RES!$A$5,MATCH(AQ223,ITEM_RES!$M$5:$M$84,0)-1,0),0)</f>
        <v>220000203</v>
      </c>
      <c r="AQ223" s="103" t="s">
        <v>593</v>
      </c>
      <c r="AR223" s="104">
        <f t="shared" si="158"/>
        <v>3100</v>
      </c>
      <c r="AS223" s="103">
        <v>3109.5805921052643</v>
      </c>
      <c r="AU223" s="104">
        <f ca="1">IFERROR(OFFSET(ITEM_RES!$A$5,MATCH(AV223,ITEM_RES!$M$5:$M$84,0)-1,0),0)</f>
        <v>220000303</v>
      </c>
      <c r="AV223" s="103" t="s">
        <v>611</v>
      </c>
      <c r="AW223" s="104">
        <f t="shared" si="159"/>
        <v>1000</v>
      </c>
      <c r="AX223" s="103">
        <v>1036.526864035088</v>
      </c>
      <c r="AZ223" s="104">
        <f ca="1">IFERROR(OFFSET(ITEM_RES!$A$5,MATCH(BA223,ITEM_RES!$M$5:$M$84,0)-1,0),0)</f>
        <v>220000403</v>
      </c>
      <c r="BA223" s="103" t="s">
        <v>629</v>
      </c>
      <c r="BB223" s="104">
        <f t="shared" si="160"/>
        <v>0</v>
      </c>
      <c r="BC223" s="103">
        <v>0</v>
      </c>
      <c r="BE223" s="104">
        <f ca="1">IFERROR(OFFSET(ITEM_RES!$A$5,MATCH(BF223,ITEM_RES!$M$5:$M$84,0)-1,0),0)</f>
        <v>0</v>
      </c>
      <c r="BG223" s="104">
        <f t="shared" si="161"/>
        <v>0</v>
      </c>
    </row>
    <row r="224" spans="1:60" x14ac:dyDescent="0.3">
      <c r="A224" s="107">
        <f t="shared" si="155"/>
        <v>112030010</v>
      </c>
      <c r="B224" s="106">
        <v>11</v>
      </c>
      <c r="C224" s="105">
        <f t="shared" si="156"/>
        <v>2</v>
      </c>
      <c r="D224" s="106">
        <v>3</v>
      </c>
      <c r="E224" s="106">
        <v>0</v>
      </c>
      <c r="F224" s="105">
        <f t="shared" si="131"/>
        <v>10</v>
      </c>
      <c r="H224" s="102">
        <v>2</v>
      </c>
      <c r="I224" s="102">
        <v>10</v>
      </c>
      <c r="K224" s="102" t="s">
        <v>1041</v>
      </c>
      <c r="L224" s="102" t="s">
        <v>780</v>
      </c>
      <c r="M224" s="103" t="s">
        <v>506</v>
      </c>
      <c r="N224" s="102">
        <v>1</v>
      </c>
      <c r="O224" s="102">
        <v>12</v>
      </c>
      <c r="P224" s="102" t="s">
        <v>748</v>
      </c>
      <c r="Q224" s="103" t="s">
        <v>1160</v>
      </c>
      <c r="R224" s="103">
        <v>112030010</v>
      </c>
      <c r="S224" s="104" t="str">
        <f t="shared" si="139"/>
        <v>UITexture/Bldg/112030010.png</v>
      </c>
      <c r="T224" s="102" t="s">
        <v>1049</v>
      </c>
      <c r="U224" s="102">
        <v>3</v>
      </c>
      <c r="V224" s="102">
        <v>1</v>
      </c>
      <c r="W224" s="102">
        <v>2</v>
      </c>
      <c r="Y224" s="104">
        <f t="shared" si="138"/>
        <v>203</v>
      </c>
      <c r="Z224" s="102">
        <v>100</v>
      </c>
      <c r="AA224" s="102">
        <v>1</v>
      </c>
      <c r="AB224" s="102">
        <v>1</v>
      </c>
      <c r="AC224" s="102">
        <v>0</v>
      </c>
      <c r="AD224" s="102" t="s">
        <v>1153</v>
      </c>
      <c r="AE224" s="102">
        <v>10</v>
      </c>
      <c r="AG224" s="104">
        <f t="shared" si="132"/>
        <v>5869</v>
      </c>
      <c r="AH224" s="103">
        <v>5869.1368421052639</v>
      </c>
      <c r="AI224" s="172">
        <v>3</v>
      </c>
      <c r="AK224" s="104">
        <f ca="1">IFERROR(OFFSET(ITEM_RES!$A$5,MATCH(AL224,ITEM_RES!$M$5:$M$84,0)-1,0),0)</f>
        <v>220000104</v>
      </c>
      <c r="AL224" s="103" t="s">
        <v>576</v>
      </c>
      <c r="AM224" s="104">
        <f t="shared" si="157"/>
        <v>3100</v>
      </c>
      <c r="AN224" s="103">
        <v>3109.5805921052643</v>
      </c>
      <c r="AP224" s="104">
        <f ca="1">IFERROR(OFFSET(ITEM_RES!$A$5,MATCH(AQ224,ITEM_RES!$M$5:$M$84,0)-1,0),0)</f>
        <v>220000204</v>
      </c>
      <c r="AQ224" s="103" t="s">
        <v>594</v>
      </c>
      <c r="AR224" s="104">
        <f t="shared" si="158"/>
        <v>1900</v>
      </c>
      <c r="AS224" s="103">
        <v>1865.7483552631584</v>
      </c>
      <c r="AU224" s="104">
        <f ca="1">IFERROR(OFFSET(ITEM_RES!$A$5,MATCH(AV224,ITEM_RES!$M$5:$M$84,0)-1,0),0)</f>
        <v>220000304</v>
      </c>
      <c r="AV224" s="103" t="s">
        <v>612</v>
      </c>
      <c r="AW224" s="104">
        <f t="shared" si="159"/>
        <v>620</v>
      </c>
      <c r="AX224" s="103">
        <v>621.91611842105283</v>
      </c>
      <c r="AZ224" s="104">
        <f ca="1">IFERROR(OFFSET(ITEM_RES!$A$5,MATCH(BA224,ITEM_RES!$M$5:$M$84,0)-1,0),0)</f>
        <v>220000404</v>
      </c>
      <c r="BA224" s="103" t="s">
        <v>630</v>
      </c>
      <c r="BB224" s="104">
        <f t="shared" si="160"/>
        <v>0</v>
      </c>
      <c r="BC224" s="103">
        <v>0</v>
      </c>
      <c r="BE224" s="104">
        <f ca="1">IFERROR(OFFSET(ITEM_RES!$A$5,MATCH(BF224,ITEM_RES!$M$5:$M$84,0)-1,0),0)</f>
        <v>0</v>
      </c>
      <c r="BG224" s="104">
        <f t="shared" si="161"/>
        <v>0</v>
      </c>
    </row>
    <row r="225" spans="1:59" x14ac:dyDescent="0.3">
      <c r="A225" s="107">
        <f t="shared" ref="A225:A239" si="162">B225*10000000+C225*1000000+D225*10000+E225*100+F225</f>
        <v>112030011</v>
      </c>
      <c r="B225" s="106">
        <v>11</v>
      </c>
      <c r="C225" s="105">
        <f t="shared" ref="C225:C239" si="163">H225</f>
        <v>2</v>
      </c>
      <c r="D225" s="106">
        <v>3</v>
      </c>
      <c r="E225" s="106">
        <v>0</v>
      </c>
      <c r="F225" s="105">
        <f t="shared" si="131"/>
        <v>11</v>
      </c>
      <c r="H225" s="102">
        <v>2</v>
      </c>
      <c r="I225" s="102">
        <v>11</v>
      </c>
      <c r="K225" s="102" t="s">
        <v>1041</v>
      </c>
      <c r="L225" s="102" t="s">
        <v>780</v>
      </c>
      <c r="M225" s="103" t="s">
        <v>506</v>
      </c>
      <c r="N225" s="102">
        <v>1</v>
      </c>
      <c r="O225" s="102">
        <v>12</v>
      </c>
      <c r="P225" s="102" t="s">
        <v>748</v>
      </c>
      <c r="Q225" s="103" t="s">
        <v>1160</v>
      </c>
      <c r="R225" s="103">
        <v>112030011</v>
      </c>
      <c r="S225" s="104" t="str">
        <f t="shared" si="139"/>
        <v>UITexture/Bldg/112030011.png</v>
      </c>
      <c r="T225" s="102" t="s">
        <v>1049</v>
      </c>
      <c r="U225" s="102">
        <v>3</v>
      </c>
      <c r="V225" s="102">
        <v>1</v>
      </c>
      <c r="W225" s="102">
        <v>2</v>
      </c>
      <c r="Y225" s="104">
        <f t="shared" si="138"/>
        <v>203</v>
      </c>
      <c r="Z225" s="102">
        <v>110</v>
      </c>
      <c r="AA225" s="102">
        <v>1</v>
      </c>
      <c r="AB225" s="102">
        <v>1</v>
      </c>
      <c r="AC225" s="102">
        <v>0</v>
      </c>
      <c r="AD225" s="102" t="s">
        <v>1153</v>
      </c>
      <c r="AE225" s="102">
        <v>11</v>
      </c>
      <c r="AG225" s="104">
        <f t="shared" si="132"/>
        <v>8804</v>
      </c>
      <c r="AH225" s="103">
        <v>8803.7052631578954</v>
      </c>
      <c r="AI225" s="172">
        <v>4</v>
      </c>
      <c r="AK225" s="104">
        <f ca="1">IFERROR(OFFSET(ITEM_RES!$A$5,MATCH(AL225,ITEM_RES!$M$5:$M$84,0)-1,0),0)</f>
        <v>220000104</v>
      </c>
      <c r="AL225" s="103" t="s">
        <v>576</v>
      </c>
      <c r="AM225" s="104">
        <f t="shared" ref="AM225:AM239" si="164">IF(AN225&lt;100,ROUND(AN225,1-LEN(ROUND(AN225,0))),ROUND(AN225,2-LEN(ROUND(AN225,0))))</f>
        <v>5800</v>
      </c>
      <c r="AN225" s="103">
        <v>5830.4636101973701</v>
      </c>
      <c r="AP225" s="104">
        <f ca="1">IFERROR(OFFSET(ITEM_RES!$A$5,MATCH(AQ225,ITEM_RES!$M$5:$M$84,0)-1,0),0)</f>
        <v>220000204</v>
      </c>
      <c r="AQ225" s="103" t="s">
        <v>594</v>
      </c>
      <c r="AR225" s="104">
        <f t="shared" ref="AR225:AR239" si="165">IF(AS225&lt;100,ROUND(AS225,1-LEN(ROUND(AS225,0))),ROUND(AS225,2-LEN(ROUND(AS225,0))))</f>
        <v>2600</v>
      </c>
      <c r="AS225" s="103">
        <v>2623.7086245888167</v>
      </c>
      <c r="AU225" s="104">
        <f ca="1">IFERROR(OFFSET(ITEM_RES!$A$5,MATCH(AV225,ITEM_RES!$M$5:$M$84,0)-1,0),0)</f>
        <v>220000304</v>
      </c>
      <c r="AV225" s="103" t="s">
        <v>612</v>
      </c>
      <c r="AW225" s="104">
        <f t="shared" ref="AW225:AW239" si="166">IF(AX225&lt;100,ROUND(AX225,1-LEN(ROUND(AX225,0))),ROUND(AX225,2-LEN(ROUND(AX225,0))))</f>
        <v>1200</v>
      </c>
      <c r="AX225" s="103">
        <v>1166.092722039474</v>
      </c>
      <c r="AZ225" s="104">
        <f ca="1">IFERROR(OFFSET(ITEM_RES!$A$5,MATCH(BA225,ITEM_RES!$M$5:$M$84,0)-1,0),0)</f>
        <v>220000404</v>
      </c>
      <c r="BA225" s="103" t="s">
        <v>630</v>
      </c>
      <c r="BB225" s="104">
        <f t="shared" ref="BB225:BB239" si="167">IF(BC225&lt;100,ROUND(BC225,1-LEN(ROUND(BC225,0))),ROUND(BC225,2-LEN(ROUND(BC225,0))))</f>
        <v>290</v>
      </c>
      <c r="BC225" s="103">
        <v>291.5231805098685</v>
      </c>
      <c r="BE225" s="104">
        <f ca="1">IFERROR(OFFSET(ITEM_RES!$A$5,MATCH(BF225,ITEM_RES!$M$5:$M$84,0)-1,0),0)</f>
        <v>0</v>
      </c>
      <c r="BG225" s="104">
        <f t="shared" ref="BG225:BG239" si="168">IF(BH225&lt;100,ROUND(BH225,1-LEN(ROUND(BH225,0))),ROUND(BH225,2-LEN(ROUND(BH225,0))))</f>
        <v>0</v>
      </c>
    </row>
    <row r="226" spans="1:59" x14ac:dyDescent="0.3">
      <c r="A226" s="107">
        <f t="shared" si="162"/>
        <v>112030012</v>
      </c>
      <c r="B226" s="106">
        <v>11</v>
      </c>
      <c r="C226" s="105">
        <f t="shared" si="163"/>
        <v>2</v>
      </c>
      <c r="D226" s="106">
        <v>3</v>
      </c>
      <c r="E226" s="106">
        <v>0</v>
      </c>
      <c r="F226" s="105">
        <f t="shared" si="131"/>
        <v>12</v>
      </c>
      <c r="H226" s="102">
        <v>2</v>
      </c>
      <c r="I226" s="102">
        <v>12</v>
      </c>
      <c r="K226" s="102" t="s">
        <v>1041</v>
      </c>
      <c r="L226" s="102" t="s">
        <v>780</v>
      </c>
      <c r="M226" s="103" t="s">
        <v>506</v>
      </c>
      <c r="N226" s="102">
        <v>1</v>
      </c>
      <c r="O226" s="102">
        <v>12</v>
      </c>
      <c r="P226" s="102" t="s">
        <v>748</v>
      </c>
      <c r="Q226" s="103" t="s">
        <v>1160</v>
      </c>
      <c r="R226" s="103">
        <v>112030012</v>
      </c>
      <c r="S226" s="104" t="str">
        <f t="shared" si="139"/>
        <v>UITexture/Bldg/112030012.png</v>
      </c>
      <c r="T226" s="102" t="s">
        <v>1049</v>
      </c>
      <c r="U226" s="102">
        <v>3</v>
      </c>
      <c r="V226" s="102">
        <v>1</v>
      </c>
      <c r="W226" s="102">
        <v>2</v>
      </c>
      <c r="Y226" s="104">
        <f t="shared" si="138"/>
        <v>203</v>
      </c>
      <c r="Z226" s="102">
        <v>120</v>
      </c>
      <c r="AA226" s="102">
        <v>1</v>
      </c>
      <c r="AB226" s="102">
        <v>1</v>
      </c>
      <c r="AC226" s="102">
        <v>0</v>
      </c>
      <c r="AD226" s="102" t="s">
        <v>1153</v>
      </c>
      <c r="AE226" s="102">
        <v>12</v>
      </c>
      <c r="AG226" s="104">
        <f t="shared" si="132"/>
        <v>13206</v>
      </c>
      <c r="AH226" s="103">
        <v>13205.557894736843</v>
      </c>
      <c r="AI226" s="172">
        <v>4</v>
      </c>
      <c r="AK226" s="104">
        <f ca="1">IFERROR(OFFSET(ITEM_RES!$A$5,MATCH(AL226,ITEM_RES!$M$5:$M$84,0)-1,0),0)</f>
        <v>220000104</v>
      </c>
      <c r="AL226" s="103" t="s">
        <v>576</v>
      </c>
      <c r="AM226" s="104">
        <f t="shared" si="164"/>
        <v>11000</v>
      </c>
      <c r="AN226" s="103">
        <v>10932.119269120067</v>
      </c>
      <c r="AP226" s="104">
        <f ca="1">IFERROR(OFFSET(ITEM_RES!$A$5,MATCH(AQ226,ITEM_RES!$M$5:$M$84,0)-1,0),0)</f>
        <v>220000204</v>
      </c>
      <c r="AQ226" s="103" t="s">
        <v>594</v>
      </c>
      <c r="AR226" s="104">
        <f t="shared" si="165"/>
        <v>4900</v>
      </c>
      <c r="AS226" s="103">
        <v>4919.4536711040309</v>
      </c>
      <c r="AU226" s="104">
        <f ca="1">IFERROR(OFFSET(ITEM_RES!$A$5,MATCH(AV226,ITEM_RES!$M$5:$M$84,0)-1,0),0)</f>
        <v>220000304</v>
      </c>
      <c r="AV226" s="103" t="s">
        <v>612</v>
      </c>
      <c r="AW226" s="104">
        <f t="shared" si="166"/>
        <v>2200</v>
      </c>
      <c r="AX226" s="103">
        <v>2186.4238538240133</v>
      </c>
      <c r="AZ226" s="104">
        <f ca="1">IFERROR(OFFSET(ITEM_RES!$A$5,MATCH(BA226,ITEM_RES!$M$5:$M$84,0)-1,0),0)</f>
        <v>220000404</v>
      </c>
      <c r="BA226" s="103" t="s">
        <v>630</v>
      </c>
      <c r="BB226" s="104">
        <f t="shared" si="167"/>
        <v>550</v>
      </c>
      <c r="BC226" s="103">
        <v>546.60596345600334</v>
      </c>
      <c r="BE226" s="104">
        <f ca="1">IFERROR(OFFSET(ITEM_RES!$A$5,MATCH(BF226,ITEM_RES!$M$5:$M$84,0)-1,0),0)</f>
        <v>0</v>
      </c>
      <c r="BG226" s="104">
        <f t="shared" si="168"/>
        <v>0</v>
      </c>
    </row>
    <row r="227" spans="1:59" x14ac:dyDescent="0.3">
      <c r="A227" s="107">
        <f t="shared" si="162"/>
        <v>112030013</v>
      </c>
      <c r="B227" s="106">
        <v>11</v>
      </c>
      <c r="C227" s="105">
        <f t="shared" si="163"/>
        <v>2</v>
      </c>
      <c r="D227" s="106">
        <v>3</v>
      </c>
      <c r="E227" s="106">
        <v>0</v>
      </c>
      <c r="F227" s="105">
        <f t="shared" si="131"/>
        <v>13</v>
      </c>
      <c r="H227" s="102">
        <v>2</v>
      </c>
      <c r="I227" s="102">
        <v>13</v>
      </c>
      <c r="K227" s="102" t="s">
        <v>1041</v>
      </c>
      <c r="L227" s="102" t="s">
        <v>780</v>
      </c>
      <c r="M227" s="103" t="s">
        <v>506</v>
      </c>
      <c r="N227" s="102">
        <v>0</v>
      </c>
      <c r="O227" s="102">
        <v>12</v>
      </c>
      <c r="P227" s="102" t="s">
        <v>748</v>
      </c>
      <c r="Q227" s="103" t="s">
        <v>1160</v>
      </c>
      <c r="R227" s="103">
        <v>112030013</v>
      </c>
      <c r="S227" s="104" t="str">
        <f t="shared" si="139"/>
        <v>UITexture/Bldg/112030013.png</v>
      </c>
      <c r="T227" s="102" t="s">
        <v>1049</v>
      </c>
      <c r="U227" s="102">
        <v>3</v>
      </c>
      <c r="V227" s="102">
        <v>1</v>
      </c>
      <c r="W227" s="102">
        <v>2</v>
      </c>
      <c r="Y227" s="104">
        <f t="shared" si="138"/>
        <v>203</v>
      </c>
      <c r="Z227" s="102">
        <v>130</v>
      </c>
      <c r="AA227" s="102">
        <v>1</v>
      </c>
      <c r="AB227" s="102">
        <v>1</v>
      </c>
      <c r="AC227" s="102">
        <v>0</v>
      </c>
      <c r="AD227" s="102" t="s">
        <v>1153</v>
      </c>
      <c r="AE227" s="102">
        <v>13</v>
      </c>
      <c r="AG227" s="104">
        <f t="shared" si="132"/>
        <v>17167</v>
      </c>
      <c r="AH227" s="103">
        <v>17167.225263157896</v>
      </c>
      <c r="AI227" s="172">
        <v>4</v>
      </c>
      <c r="AK227" s="104">
        <f ca="1">IFERROR(OFFSET(ITEM_RES!$A$5,MATCH(AL227,ITEM_RES!$M$5:$M$84,0)-1,0),0)</f>
        <v>220000105</v>
      </c>
      <c r="AL227" s="103" t="s">
        <v>577</v>
      </c>
      <c r="AM227" s="104">
        <f t="shared" si="164"/>
        <v>5900</v>
      </c>
      <c r="AN227" s="103">
        <v>5921.5646041067048</v>
      </c>
      <c r="AP227" s="104">
        <f ca="1">IFERROR(OFFSET(ITEM_RES!$A$5,MATCH(AQ227,ITEM_RES!$M$5:$M$84,0)-1,0),0)</f>
        <v>220000205</v>
      </c>
      <c r="AQ227" s="103" t="s">
        <v>595</v>
      </c>
      <c r="AR227" s="104">
        <f t="shared" si="165"/>
        <v>2700</v>
      </c>
      <c r="AS227" s="103">
        <v>2664.7040718480166</v>
      </c>
      <c r="AU227" s="104">
        <f ca="1">IFERROR(OFFSET(ITEM_RES!$A$5,MATCH(AV227,ITEM_RES!$M$5:$M$84,0)-1,0),0)</f>
        <v>220000305</v>
      </c>
      <c r="AV227" s="103" t="s">
        <v>613</v>
      </c>
      <c r="AW227" s="104">
        <f t="shared" si="166"/>
        <v>1200</v>
      </c>
      <c r="AX227" s="103">
        <v>1184.3129208213409</v>
      </c>
      <c r="AZ227" s="104">
        <f ca="1">IFERROR(OFFSET(ITEM_RES!$A$5,MATCH(BA227,ITEM_RES!$M$5:$M$84,0)-1,0),0)</f>
        <v>220000405</v>
      </c>
      <c r="BA227" s="103" t="s">
        <v>631</v>
      </c>
      <c r="BB227" s="104">
        <f t="shared" si="167"/>
        <v>300</v>
      </c>
      <c r="BC227" s="103">
        <v>296.07823020533522</v>
      </c>
      <c r="BE227" s="104">
        <f ca="1">IFERROR(OFFSET(ITEM_RES!$A$5,MATCH(BF227,ITEM_RES!$M$5:$M$84,0)-1,0),0)</f>
        <v>0</v>
      </c>
      <c r="BG227" s="104">
        <f t="shared" si="168"/>
        <v>0</v>
      </c>
    </row>
    <row r="228" spans="1:59" x14ac:dyDescent="0.3">
      <c r="A228" s="107">
        <f t="shared" si="162"/>
        <v>112030014</v>
      </c>
      <c r="B228" s="106">
        <v>11</v>
      </c>
      <c r="C228" s="105">
        <f t="shared" si="163"/>
        <v>2</v>
      </c>
      <c r="D228" s="106">
        <v>3</v>
      </c>
      <c r="E228" s="106">
        <v>0</v>
      </c>
      <c r="F228" s="105">
        <f t="shared" si="131"/>
        <v>14</v>
      </c>
      <c r="H228" s="102">
        <v>2</v>
      </c>
      <c r="I228" s="102">
        <v>14</v>
      </c>
      <c r="K228" s="102" t="s">
        <v>1041</v>
      </c>
      <c r="L228" s="102" t="s">
        <v>780</v>
      </c>
      <c r="M228" s="103" t="s">
        <v>506</v>
      </c>
      <c r="N228" s="102">
        <v>0</v>
      </c>
      <c r="O228" s="102">
        <v>12</v>
      </c>
      <c r="P228" s="102" t="s">
        <v>748</v>
      </c>
      <c r="Q228" s="103" t="s">
        <v>1160</v>
      </c>
      <c r="R228" s="103">
        <v>112030014</v>
      </c>
      <c r="S228" s="104" t="str">
        <f t="shared" si="139"/>
        <v>UITexture/Bldg/112030014.png</v>
      </c>
      <c r="T228" s="102" t="s">
        <v>1049</v>
      </c>
      <c r="U228" s="102">
        <v>3</v>
      </c>
      <c r="V228" s="102">
        <v>1</v>
      </c>
      <c r="W228" s="102">
        <v>2</v>
      </c>
      <c r="Y228" s="104">
        <f t="shared" si="138"/>
        <v>203</v>
      </c>
      <c r="Z228" s="102">
        <v>140</v>
      </c>
      <c r="AA228" s="102">
        <v>1</v>
      </c>
      <c r="AB228" s="102">
        <v>1</v>
      </c>
      <c r="AC228" s="102">
        <v>0</v>
      </c>
      <c r="AD228" s="102" t="s">
        <v>1153</v>
      </c>
      <c r="AE228" s="102">
        <v>14</v>
      </c>
      <c r="AG228" s="104">
        <f t="shared" si="132"/>
        <v>18884</v>
      </c>
      <c r="AH228" s="103">
        <v>18883.947789473688</v>
      </c>
      <c r="AI228" s="172">
        <v>4</v>
      </c>
      <c r="AK228" s="104">
        <f ca="1">IFERROR(OFFSET(ITEM_RES!$A$5,MATCH(AL228,ITEM_RES!$M$5:$M$84,0)-1,0),0)</f>
        <v>220000105</v>
      </c>
      <c r="AL228" s="103" t="s">
        <v>577</v>
      </c>
      <c r="AM228" s="104">
        <f t="shared" si="164"/>
        <v>8100</v>
      </c>
      <c r="AN228" s="103">
        <v>8142.151330646715</v>
      </c>
      <c r="AP228" s="104">
        <f ca="1">IFERROR(OFFSET(ITEM_RES!$A$5,MATCH(AQ228,ITEM_RES!$M$5:$M$84,0)-1,0),0)</f>
        <v>220000205</v>
      </c>
      <c r="AQ228" s="103" t="s">
        <v>595</v>
      </c>
      <c r="AR228" s="104">
        <f t="shared" si="165"/>
        <v>3700</v>
      </c>
      <c r="AS228" s="103">
        <v>3663.9680987910224</v>
      </c>
      <c r="AU228" s="104">
        <f ca="1">IFERROR(OFFSET(ITEM_RES!$A$5,MATCH(AV228,ITEM_RES!$M$5:$M$84,0)-1,0),0)</f>
        <v>220000305</v>
      </c>
      <c r="AV228" s="103" t="s">
        <v>613</v>
      </c>
      <c r="AW228" s="104">
        <f t="shared" si="166"/>
        <v>1600</v>
      </c>
      <c r="AX228" s="103">
        <v>1628.430266129343</v>
      </c>
      <c r="AZ228" s="104">
        <f ca="1">IFERROR(OFFSET(ITEM_RES!$A$5,MATCH(BA228,ITEM_RES!$M$5:$M$84,0)-1,0),0)</f>
        <v>220000405</v>
      </c>
      <c r="BA228" s="103" t="s">
        <v>631</v>
      </c>
      <c r="BB228" s="104">
        <f t="shared" si="167"/>
        <v>410</v>
      </c>
      <c r="BC228" s="103">
        <v>407.10756653233574</v>
      </c>
      <c r="BE228" s="104">
        <f ca="1">IFERROR(OFFSET(ITEM_RES!$A$5,MATCH(BF228,ITEM_RES!$M$5:$M$84,0)-1,0),0)</f>
        <v>0</v>
      </c>
      <c r="BG228" s="104">
        <f t="shared" si="168"/>
        <v>0</v>
      </c>
    </row>
    <row r="229" spans="1:59" x14ac:dyDescent="0.3">
      <c r="A229" s="107">
        <f t="shared" si="162"/>
        <v>112030015</v>
      </c>
      <c r="B229" s="106">
        <v>11</v>
      </c>
      <c r="C229" s="105">
        <f t="shared" si="163"/>
        <v>2</v>
      </c>
      <c r="D229" s="106">
        <v>3</v>
      </c>
      <c r="E229" s="106">
        <v>0</v>
      </c>
      <c r="F229" s="105">
        <f t="shared" si="131"/>
        <v>15</v>
      </c>
      <c r="H229" s="102">
        <v>2</v>
      </c>
      <c r="I229" s="102">
        <v>15</v>
      </c>
      <c r="K229" s="102" t="s">
        <v>1041</v>
      </c>
      <c r="L229" s="102" t="s">
        <v>780</v>
      </c>
      <c r="M229" s="103" t="s">
        <v>506</v>
      </c>
      <c r="N229" s="102">
        <v>0</v>
      </c>
      <c r="O229" s="102">
        <v>12</v>
      </c>
      <c r="P229" s="102" t="s">
        <v>748</v>
      </c>
      <c r="Q229" s="103" t="s">
        <v>1160</v>
      </c>
      <c r="R229" s="103">
        <v>112030015</v>
      </c>
      <c r="S229" s="104" t="str">
        <f t="shared" si="139"/>
        <v>UITexture/Bldg/112030015.png</v>
      </c>
      <c r="T229" s="102" t="s">
        <v>1049</v>
      </c>
      <c r="U229" s="102">
        <v>3</v>
      </c>
      <c r="V229" s="102">
        <v>1</v>
      </c>
      <c r="W229" s="102">
        <v>2</v>
      </c>
      <c r="Y229" s="104">
        <f t="shared" si="138"/>
        <v>203</v>
      </c>
      <c r="Z229" s="102">
        <v>150</v>
      </c>
      <c r="AA229" s="102">
        <v>1</v>
      </c>
      <c r="AB229" s="102">
        <v>1</v>
      </c>
      <c r="AC229" s="102">
        <v>0</v>
      </c>
      <c r="AD229" s="102" t="s">
        <v>1153</v>
      </c>
      <c r="AE229" s="102">
        <v>15</v>
      </c>
      <c r="AG229" s="104">
        <f t="shared" si="132"/>
        <v>20772</v>
      </c>
      <c r="AH229" s="103">
        <v>20772.34256842106</v>
      </c>
      <c r="AI229" s="172">
        <v>4</v>
      </c>
      <c r="AK229" s="104">
        <f ca="1">IFERROR(OFFSET(ITEM_RES!$A$5,MATCH(AL229,ITEM_RES!$M$5:$M$84,0)-1,0),0)</f>
        <v>220000105</v>
      </c>
      <c r="AL229" s="103" t="s">
        <v>577</v>
      </c>
      <c r="AM229" s="104">
        <f t="shared" si="164"/>
        <v>11000</v>
      </c>
      <c r="AN229" s="103">
        <v>11195.458079639238</v>
      </c>
      <c r="AP229" s="104">
        <f ca="1">IFERROR(OFFSET(ITEM_RES!$A$5,MATCH(AQ229,ITEM_RES!$M$5:$M$84,0)-1,0),0)</f>
        <v>220000205</v>
      </c>
      <c r="AQ229" s="103" t="s">
        <v>595</v>
      </c>
      <c r="AR229" s="104">
        <f t="shared" si="165"/>
        <v>5000</v>
      </c>
      <c r="AS229" s="103">
        <v>5037.9561358376568</v>
      </c>
      <c r="AU229" s="104">
        <f ca="1">IFERROR(OFFSET(ITEM_RES!$A$5,MATCH(AV229,ITEM_RES!$M$5:$M$84,0)-1,0),0)</f>
        <v>220000305</v>
      </c>
      <c r="AV229" s="103" t="s">
        <v>613</v>
      </c>
      <c r="AW229" s="104">
        <f t="shared" si="166"/>
        <v>2200</v>
      </c>
      <c r="AX229" s="103">
        <v>2239.0916159278477</v>
      </c>
      <c r="AZ229" s="104">
        <f ca="1">IFERROR(OFFSET(ITEM_RES!$A$5,MATCH(BA229,ITEM_RES!$M$5:$M$84,0)-1,0),0)</f>
        <v>220000405</v>
      </c>
      <c r="BA229" s="103" t="s">
        <v>631</v>
      </c>
      <c r="BB229" s="104">
        <f t="shared" si="167"/>
        <v>560</v>
      </c>
      <c r="BC229" s="103">
        <v>559.77290398196192</v>
      </c>
      <c r="BE229" s="104">
        <f ca="1">IFERROR(OFFSET(ITEM_RES!$A$5,MATCH(BF229,ITEM_RES!$M$5:$M$84,0)-1,0),0)</f>
        <v>0</v>
      </c>
      <c r="BG229" s="104">
        <f t="shared" si="168"/>
        <v>0</v>
      </c>
    </row>
    <row r="230" spans="1:59" x14ac:dyDescent="0.3">
      <c r="A230" s="107">
        <f t="shared" si="162"/>
        <v>112030016</v>
      </c>
      <c r="B230" s="106">
        <v>11</v>
      </c>
      <c r="C230" s="105">
        <f t="shared" si="163"/>
        <v>2</v>
      </c>
      <c r="D230" s="106">
        <v>3</v>
      </c>
      <c r="E230" s="106">
        <v>0</v>
      </c>
      <c r="F230" s="105">
        <f t="shared" si="131"/>
        <v>16</v>
      </c>
      <c r="H230" s="102">
        <v>2</v>
      </c>
      <c r="I230" s="102">
        <v>16</v>
      </c>
      <c r="K230" s="102" t="s">
        <v>1041</v>
      </c>
      <c r="L230" s="102" t="s">
        <v>780</v>
      </c>
      <c r="M230" s="103" t="s">
        <v>506</v>
      </c>
      <c r="N230" s="102">
        <v>0</v>
      </c>
      <c r="O230" s="102">
        <v>12</v>
      </c>
      <c r="P230" s="102" t="s">
        <v>748</v>
      </c>
      <c r="Q230" s="103" t="s">
        <v>1160</v>
      </c>
      <c r="R230" s="103">
        <v>112030016</v>
      </c>
      <c r="S230" s="104" t="str">
        <f t="shared" si="139"/>
        <v>UITexture/Bldg/112030016.png</v>
      </c>
      <c r="T230" s="102" t="s">
        <v>1049</v>
      </c>
      <c r="U230" s="102">
        <v>3</v>
      </c>
      <c r="V230" s="102">
        <v>1</v>
      </c>
      <c r="W230" s="102">
        <v>2</v>
      </c>
      <c r="Y230" s="104">
        <f t="shared" si="138"/>
        <v>203</v>
      </c>
      <c r="Z230" s="102">
        <v>160</v>
      </c>
      <c r="AA230" s="102">
        <v>1</v>
      </c>
      <c r="AB230" s="102">
        <v>1</v>
      </c>
      <c r="AC230" s="102">
        <v>0</v>
      </c>
      <c r="AD230" s="102" t="s">
        <v>1153</v>
      </c>
      <c r="AE230" s="102">
        <v>16</v>
      </c>
      <c r="AG230" s="104">
        <f t="shared" si="132"/>
        <v>22850</v>
      </c>
      <c r="AH230" s="103">
        <v>22849.576825263164</v>
      </c>
      <c r="AI230" s="172">
        <v>4</v>
      </c>
      <c r="AK230" s="104">
        <f ca="1">IFERROR(OFFSET(ITEM_RES!$A$5,MATCH(AL230,ITEM_RES!$M$5:$M$84,0)-1,0),0)</f>
        <v>220000106</v>
      </c>
      <c r="AL230" s="103" t="s">
        <v>578</v>
      </c>
      <c r="AM230" s="104">
        <f t="shared" si="164"/>
        <v>3200</v>
      </c>
      <c r="AN230" s="103">
        <v>3207.0322623966567</v>
      </c>
      <c r="AP230" s="104">
        <f ca="1">IFERROR(OFFSET(ITEM_RES!$A$5,MATCH(AQ230,ITEM_RES!$M$5:$M$84,0)-1,0),0)</f>
        <v>220000206</v>
      </c>
      <c r="AQ230" s="103" t="s">
        <v>596</v>
      </c>
      <c r="AR230" s="104">
        <f t="shared" si="165"/>
        <v>1900</v>
      </c>
      <c r="AS230" s="103">
        <v>1924.2193574379942</v>
      </c>
      <c r="AU230" s="104">
        <f ca="1">IFERROR(OFFSET(ITEM_RES!$A$5,MATCH(AV230,ITEM_RES!$M$5:$M$84,0)-1,0),0)</f>
        <v>220000306</v>
      </c>
      <c r="AV230" s="103" t="s">
        <v>614</v>
      </c>
      <c r="AW230" s="104">
        <f t="shared" si="166"/>
        <v>1300</v>
      </c>
      <c r="AX230" s="103">
        <v>1282.8129049586628</v>
      </c>
      <c r="AZ230" s="104">
        <f ca="1">IFERROR(OFFSET(ITEM_RES!$A$5,MATCH(BA230,ITEM_RES!$M$5:$M$84,0)-1,0),0)</f>
        <v>220000406</v>
      </c>
      <c r="BA230" s="103" t="s">
        <v>632</v>
      </c>
      <c r="BB230" s="104">
        <f t="shared" si="167"/>
        <v>640</v>
      </c>
      <c r="BC230" s="103">
        <v>641.40645247933139</v>
      </c>
      <c r="BE230" s="104">
        <f ca="1">IFERROR(OFFSET(ITEM_RES!$A$5,MATCH(BF230,ITEM_RES!$M$5:$M$84,0)-1,0),0)</f>
        <v>0</v>
      </c>
      <c r="BG230" s="104">
        <f t="shared" si="168"/>
        <v>0</v>
      </c>
    </row>
    <row r="231" spans="1:59" x14ac:dyDescent="0.3">
      <c r="A231" s="107">
        <f t="shared" si="162"/>
        <v>112030017</v>
      </c>
      <c r="B231" s="106">
        <v>11</v>
      </c>
      <c r="C231" s="105">
        <f t="shared" si="163"/>
        <v>2</v>
      </c>
      <c r="D231" s="106">
        <v>3</v>
      </c>
      <c r="E231" s="106">
        <v>0</v>
      </c>
      <c r="F231" s="105">
        <f t="shared" si="131"/>
        <v>17</v>
      </c>
      <c r="H231" s="102">
        <v>2</v>
      </c>
      <c r="I231" s="102">
        <v>17</v>
      </c>
      <c r="K231" s="102" t="s">
        <v>1041</v>
      </c>
      <c r="L231" s="102" t="s">
        <v>780</v>
      </c>
      <c r="M231" s="103" t="s">
        <v>506</v>
      </c>
      <c r="N231" s="102">
        <v>0</v>
      </c>
      <c r="O231" s="102">
        <v>12</v>
      </c>
      <c r="P231" s="102" t="s">
        <v>748</v>
      </c>
      <c r="Q231" s="103" t="s">
        <v>1160</v>
      </c>
      <c r="R231" s="103">
        <v>112030017</v>
      </c>
      <c r="S231" s="104" t="str">
        <f t="shared" si="139"/>
        <v>UITexture/Bldg/112030017.png</v>
      </c>
      <c r="T231" s="102" t="s">
        <v>1049</v>
      </c>
      <c r="U231" s="102">
        <v>3</v>
      </c>
      <c r="V231" s="102">
        <v>1</v>
      </c>
      <c r="W231" s="102">
        <v>2</v>
      </c>
      <c r="Y231" s="104">
        <f t="shared" si="138"/>
        <v>203</v>
      </c>
      <c r="Z231" s="102">
        <v>170</v>
      </c>
      <c r="AA231" s="102">
        <v>1</v>
      </c>
      <c r="AB231" s="102">
        <v>1</v>
      </c>
      <c r="AC231" s="102">
        <v>0</v>
      </c>
      <c r="AD231" s="102" t="s">
        <v>1153</v>
      </c>
      <c r="AE231" s="102">
        <v>17</v>
      </c>
      <c r="AG231" s="104">
        <f t="shared" si="132"/>
        <v>34274</v>
      </c>
      <c r="AH231" s="103">
        <v>34274.365237894744</v>
      </c>
      <c r="AI231" s="172">
        <v>4</v>
      </c>
      <c r="AK231" s="104">
        <f ca="1">IFERROR(OFFSET(ITEM_RES!$A$5,MATCH(AL231,ITEM_RES!$M$5:$M$84,0)-1,0),0)</f>
        <v>220000106</v>
      </c>
      <c r="AL231" s="103" t="s">
        <v>578</v>
      </c>
      <c r="AM231" s="104">
        <f t="shared" si="164"/>
        <v>6000</v>
      </c>
      <c r="AN231" s="103">
        <v>6013.1854919937314</v>
      </c>
      <c r="AP231" s="104">
        <f ca="1">IFERROR(OFFSET(ITEM_RES!$A$5,MATCH(AQ231,ITEM_RES!$M$5:$M$84,0)-1,0),0)</f>
        <v>220000206</v>
      </c>
      <c r="AQ231" s="103" t="s">
        <v>596</v>
      </c>
      <c r="AR231" s="104">
        <f t="shared" si="165"/>
        <v>3600</v>
      </c>
      <c r="AS231" s="103">
        <v>3607.9112951962388</v>
      </c>
      <c r="AU231" s="104">
        <f ca="1">IFERROR(OFFSET(ITEM_RES!$A$5,MATCH(AV231,ITEM_RES!$M$5:$M$84,0)-1,0),0)</f>
        <v>220000306</v>
      </c>
      <c r="AV231" s="103" t="s">
        <v>614</v>
      </c>
      <c r="AW231" s="104">
        <f t="shared" si="166"/>
        <v>2400</v>
      </c>
      <c r="AX231" s="103">
        <v>2405.2741967974926</v>
      </c>
      <c r="AZ231" s="104">
        <f ca="1">IFERROR(OFFSET(ITEM_RES!$A$5,MATCH(BA231,ITEM_RES!$M$5:$M$84,0)-1,0),0)</f>
        <v>220000406</v>
      </c>
      <c r="BA231" s="103" t="s">
        <v>632</v>
      </c>
      <c r="BB231" s="104">
        <f t="shared" si="167"/>
        <v>1200</v>
      </c>
      <c r="BC231" s="103">
        <v>1202.6370983987463</v>
      </c>
      <c r="BE231" s="104">
        <f ca="1">IFERROR(OFFSET(ITEM_RES!$A$5,MATCH(BF231,ITEM_RES!$M$5:$M$84,0)-1,0),0)</f>
        <v>0</v>
      </c>
      <c r="BG231" s="104">
        <f t="shared" si="168"/>
        <v>0</v>
      </c>
    </row>
    <row r="232" spans="1:59" x14ac:dyDescent="0.3">
      <c r="A232" s="107">
        <f t="shared" si="162"/>
        <v>112030018</v>
      </c>
      <c r="B232" s="106">
        <v>11</v>
      </c>
      <c r="C232" s="105">
        <f t="shared" si="163"/>
        <v>2</v>
      </c>
      <c r="D232" s="106">
        <v>3</v>
      </c>
      <c r="E232" s="106">
        <v>0</v>
      </c>
      <c r="F232" s="105">
        <f t="shared" si="131"/>
        <v>18</v>
      </c>
      <c r="H232" s="102">
        <v>2</v>
      </c>
      <c r="I232" s="102">
        <v>18</v>
      </c>
      <c r="K232" s="102" t="s">
        <v>1041</v>
      </c>
      <c r="L232" s="102" t="s">
        <v>780</v>
      </c>
      <c r="M232" s="103" t="s">
        <v>506</v>
      </c>
      <c r="N232" s="102">
        <v>0</v>
      </c>
      <c r="O232" s="102">
        <v>12</v>
      </c>
      <c r="P232" s="102" t="s">
        <v>748</v>
      </c>
      <c r="Q232" s="103" t="s">
        <v>1160</v>
      </c>
      <c r="R232" s="103">
        <v>112030018</v>
      </c>
      <c r="S232" s="104" t="str">
        <f t="shared" si="139"/>
        <v>UITexture/Bldg/112030018.png</v>
      </c>
      <c r="T232" s="102" t="s">
        <v>1049</v>
      </c>
      <c r="U232" s="102">
        <v>3</v>
      </c>
      <c r="V232" s="102">
        <v>1</v>
      </c>
      <c r="W232" s="102">
        <v>2</v>
      </c>
      <c r="Y232" s="104">
        <f t="shared" si="138"/>
        <v>203</v>
      </c>
      <c r="Z232" s="102">
        <v>180</v>
      </c>
      <c r="AA232" s="102">
        <v>1</v>
      </c>
      <c r="AB232" s="102">
        <v>1</v>
      </c>
      <c r="AC232" s="102">
        <v>0</v>
      </c>
      <c r="AD232" s="102" t="s">
        <v>1153</v>
      </c>
      <c r="AE232" s="102">
        <v>18</v>
      </c>
      <c r="AG232" s="104">
        <f t="shared" si="132"/>
        <v>51412</v>
      </c>
      <c r="AH232" s="103">
        <v>51411.547856842117</v>
      </c>
      <c r="AI232" s="172">
        <v>4</v>
      </c>
      <c r="AK232" s="104">
        <f ca="1">IFERROR(OFFSET(ITEM_RES!$A$5,MATCH(AL232,ITEM_RES!$M$5:$M$84,0)-1,0),0)</f>
        <v>220000106</v>
      </c>
      <c r="AL232" s="103" t="s">
        <v>578</v>
      </c>
      <c r="AM232" s="104">
        <f t="shared" si="164"/>
        <v>11000</v>
      </c>
      <c r="AN232" s="103">
        <v>11274.722797488248</v>
      </c>
      <c r="AP232" s="104">
        <f ca="1">IFERROR(OFFSET(ITEM_RES!$A$5,MATCH(AQ232,ITEM_RES!$M$5:$M$84,0)-1,0),0)</f>
        <v>220000206</v>
      </c>
      <c r="AQ232" s="103" t="s">
        <v>596</v>
      </c>
      <c r="AR232" s="104">
        <f t="shared" si="165"/>
        <v>6800</v>
      </c>
      <c r="AS232" s="103">
        <v>6764.8336784929488</v>
      </c>
      <c r="AU232" s="104">
        <f ca="1">IFERROR(OFFSET(ITEM_RES!$A$5,MATCH(AV232,ITEM_RES!$M$5:$M$84,0)-1,0),0)</f>
        <v>220000306</v>
      </c>
      <c r="AV232" s="103" t="s">
        <v>614</v>
      </c>
      <c r="AW232" s="104">
        <f t="shared" si="166"/>
        <v>4500</v>
      </c>
      <c r="AX232" s="103">
        <v>4509.8891189952992</v>
      </c>
      <c r="AZ232" s="104">
        <f ca="1">IFERROR(OFFSET(ITEM_RES!$A$5,MATCH(BA232,ITEM_RES!$M$5:$M$84,0)-1,0),0)</f>
        <v>220000406</v>
      </c>
      <c r="BA232" s="103" t="s">
        <v>632</v>
      </c>
      <c r="BB232" s="104">
        <f t="shared" si="167"/>
        <v>2300</v>
      </c>
      <c r="BC232" s="103">
        <v>2254.9445594976496</v>
      </c>
      <c r="BE232" s="104">
        <f ca="1">IFERROR(OFFSET(ITEM_RES!$A$5,MATCH(BF232,ITEM_RES!$M$5:$M$84,0)-1,0),0)</f>
        <v>0</v>
      </c>
      <c r="BG232" s="104">
        <f t="shared" si="168"/>
        <v>0</v>
      </c>
    </row>
    <row r="233" spans="1:59" x14ac:dyDescent="0.3">
      <c r="A233" s="107">
        <f t="shared" si="162"/>
        <v>112030019</v>
      </c>
      <c r="B233" s="106">
        <v>11</v>
      </c>
      <c r="C233" s="105">
        <f t="shared" si="163"/>
        <v>2</v>
      </c>
      <c r="D233" s="106">
        <v>3</v>
      </c>
      <c r="E233" s="106">
        <v>0</v>
      </c>
      <c r="F233" s="105">
        <f t="shared" si="131"/>
        <v>19</v>
      </c>
      <c r="H233" s="102">
        <v>2</v>
      </c>
      <c r="I233" s="102">
        <v>19</v>
      </c>
      <c r="K233" s="102" t="s">
        <v>1041</v>
      </c>
      <c r="L233" s="102" t="s">
        <v>780</v>
      </c>
      <c r="M233" s="103" t="s">
        <v>506</v>
      </c>
      <c r="N233" s="102">
        <v>0</v>
      </c>
      <c r="O233" s="102">
        <v>12</v>
      </c>
      <c r="P233" s="102" t="s">
        <v>748</v>
      </c>
      <c r="Q233" s="103" t="s">
        <v>1160</v>
      </c>
      <c r="R233" s="103">
        <v>112030019</v>
      </c>
      <c r="S233" s="104" t="str">
        <f t="shared" si="139"/>
        <v>UITexture/Bldg/112030019.png</v>
      </c>
      <c r="T233" s="102" t="s">
        <v>1049</v>
      </c>
      <c r="U233" s="102">
        <v>3</v>
      </c>
      <c r="V233" s="102">
        <v>1</v>
      </c>
      <c r="W233" s="102">
        <v>2</v>
      </c>
      <c r="Y233" s="104">
        <f t="shared" si="138"/>
        <v>203</v>
      </c>
      <c r="Z233" s="102">
        <v>190</v>
      </c>
      <c r="AA233" s="102">
        <v>1</v>
      </c>
      <c r="AB233" s="102">
        <v>1</v>
      </c>
      <c r="AC233" s="102">
        <v>0</v>
      </c>
      <c r="AD233" s="102" t="s">
        <v>1153</v>
      </c>
      <c r="AE233" s="102">
        <v>19</v>
      </c>
      <c r="AG233" s="104">
        <f t="shared" si="132"/>
        <v>61694</v>
      </c>
      <c r="AH233" s="103">
        <v>61693.85742821054</v>
      </c>
      <c r="AI233" s="172">
        <v>4</v>
      </c>
      <c r="AK233" s="104">
        <f ca="1">IFERROR(OFFSET(ITEM_RES!$A$5,MATCH(AL233,ITEM_RES!$M$5:$M$84,0)-1,0),0)</f>
        <v>220000107</v>
      </c>
      <c r="AL233" s="103" t="s">
        <v>579</v>
      </c>
      <c r="AM233" s="104">
        <f t="shared" si="164"/>
        <v>5600</v>
      </c>
      <c r="AN233" s="103">
        <v>5637.3613987441231</v>
      </c>
      <c r="AP233" s="104">
        <f ca="1">IFERROR(OFFSET(ITEM_RES!$A$5,MATCH(AQ233,ITEM_RES!$M$5:$M$84,0)-1,0),0)</f>
        <v>220000207</v>
      </c>
      <c r="AQ233" s="103" t="s">
        <v>597</v>
      </c>
      <c r="AR233" s="104">
        <f t="shared" si="165"/>
        <v>3400</v>
      </c>
      <c r="AS233" s="103">
        <v>3382.4168392464735</v>
      </c>
      <c r="AU233" s="104">
        <f ca="1">IFERROR(OFFSET(ITEM_RES!$A$5,MATCH(AV233,ITEM_RES!$M$5:$M$84,0)-1,0),0)</f>
        <v>220000307</v>
      </c>
      <c r="AV233" s="103" t="s">
        <v>615</v>
      </c>
      <c r="AW233" s="104">
        <f t="shared" si="166"/>
        <v>2300</v>
      </c>
      <c r="AX233" s="103">
        <v>2254.9445594976492</v>
      </c>
      <c r="AZ233" s="104">
        <f ca="1">IFERROR(OFFSET(ITEM_RES!$A$5,MATCH(BA233,ITEM_RES!$M$5:$M$84,0)-1,0),0)</f>
        <v>220000407</v>
      </c>
      <c r="BA233" s="103" t="s">
        <v>633</v>
      </c>
      <c r="BB233" s="104">
        <f t="shared" si="167"/>
        <v>1100</v>
      </c>
      <c r="BC233" s="103">
        <v>1127.4722797488246</v>
      </c>
      <c r="BE233" s="104">
        <f ca="1">IFERROR(OFFSET(ITEM_RES!$A$5,MATCH(BF233,ITEM_RES!$M$5:$M$84,0)-1,0),0)</f>
        <v>0</v>
      </c>
      <c r="BG233" s="104">
        <f t="shared" si="168"/>
        <v>0</v>
      </c>
    </row>
    <row r="234" spans="1:59" x14ac:dyDescent="0.3">
      <c r="A234" s="107">
        <f t="shared" si="162"/>
        <v>112030020</v>
      </c>
      <c r="B234" s="106">
        <v>11</v>
      </c>
      <c r="C234" s="105">
        <f t="shared" si="163"/>
        <v>2</v>
      </c>
      <c r="D234" s="106">
        <v>3</v>
      </c>
      <c r="E234" s="106">
        <v>0</v>
      </c>
      <c r="F234" s="105">
        <f t="shared" si="131"/>
        <v>20</v>
      </c>
      <c r="H234" s="102">
        <v>2</v>
      </c>
      <c r="I234" s="102">
        <v>20</v>
      </c>
      <c r="K234" s="102" t="s">
        <v>1041</v>
      </c>
      <c r="L234" s="102" t="s">
        <v>780</v>
      </c>
      <c r="M234" s="103" t="s">
        <v>506</v>
      </c>
      <c r="N234" s="102">
        <v>0</v>
      </c>
      <c r="O234" s="102">
        <v>12</v>
      </c>
      <c r="P234" s="102" t="s">
        <v>748</v>
      </c>
      <c r="Q234" s="103" t="s">
        <v>1160</v>
      </c>
      <c r="R234" s="103">
        <v>112030020</v>
      </c>
      <c r="S234" s="104" t="str">
        <f t="shared" si="139"/>
        <v>UITexture/Bldg/112030020.png</v>
      </c>
      <c r="T234" s="102" t="s">
        <v>1049</v>
      </c>
      <c r="U234" s="102">
        <v>3</v>
      </c>
      <c r="V234" s="102">
        <v>1</v>
      </c>
      <c r="W234" s="102">
        <v>2</v>
      </c>
      <c r="Y234" s="104">
        <f t="shared" si="138"/>
        <v>203</v>
      </c>
      <c r="Z234" s="102">
        <v>200</v>
      </c>
      <c r="AA234" s="102">
        <v>1</v>
      </c>
      <c r="AB234" s="102">
        <v>1</v>
      </c>
      <c r="AC234" s="102">
        <v>0</v>
      </c>
      <c r="AD234" s="102" t="s">
        <v>1153</v>
      </c>
      <c r="AE234" s="102">
        <v>20</v>
      </c>
      <c r="AG234" s="104">
        <f t="shared" si="132"/>
        <v>67863</v>
      </c>
      <c r="AH234" s="103">
        <v>67863.243171031601</v>
      </c>
      <c r="AI234" s="172">
        <v>4</v>
      </c>
      <c r="AK234" s="104">
        <f ca="1">IFERROR(OFFSET(ITEM_RES!$A$5,MATCH(AL234,ITEM_RES!$M$5:$M$84,0)-1,0),0)</f>
        <v>220000107</v>
      </c>
      <c r="AL234" s="103" t="s">
        <v>579</v>
      </c>
      <c r="AM234" s="104">
        <f t="shared" si="164"/>
        <v>7800</v>
      </c>
      <c r="AN234" s="103">
        <v>7751.3719232731692</v>
      </c>
      <c r="AP234" s="104">
        <f ca="1">IFERROR(OFFSET(ITEM_RES!$A$5,MATCH(AQ234,ITEM_RES!$M$5:$M$84,0)-1,0),0)</f>
        <v>220000207</v>
      </c>
      <c r="AQ234" s="103" t="s">
        <v>597</v>
      </c>
      <c r="AR234" s="104">
        <f t="shared" si="165"/>
        <v>4700</v>
      </c>
      <c r="AS234" s="103">
        <v>4650.8231539639019</v>
      </c>
      <c r="AU234" s="104">
        <f ca="1">IFERROR(OFFSET(ITEM_RES!$A$5,MATCH(AV234,ITEM_RES!$M$5:$M$84,0)-1,0),0)</f>
        <v>220000307</v>
      </c>
      <c r="AV234" s="103" t="s">
        <v>615</v>
      </c>
      <c r="AW234" s="104">
        <f t="shared" si="166"/>
        <v>3100</v>
      </c>
      <c r="AX234" s="103">
        <v>3100.5487693092678</v>
      </c>
      <c r="AZ234" s="104">
        <f ca="1">IFERROR(OFFSET(ITEM_RES!$A$5,MATCH(BA234,ITEM_RES!$M$5:$M$84,0)-1,0),0)</f>
        <v>220000407</v>
      </c>
      <c r="BA234" s="103" t="s">
        <v>633</v>
      </c>
      <c r="BB234" s="104">
        <f t="shared" si="167"/>
        <v>1600</v>
      </c>
      <c r="BC234" s="103">
        <v>1550.2743846546339</v>
      </c>
      <c r="BE234" s="104">
        <f ca="1">IFERROR(OFFSET(ITEM_RES!$A$5,MATCH(BF234,ITEM_RES!$M$5:$M$84,0)-1,0),0)</f>
        <v>0</v>
      </c>
      <c r="BG234" s="104">
        <f t="shared" si="168"/>
        <v>0</v>
      </c>
    </row>
    <row r="235" spans="1:59" x14ac:dyDescent="0.3">
      <c r="A235" s="107">
        <f t="shared" si="162"/>
        <v>112030021</v>
      </c>
      <c r="B235" s="106">
        <v>11</v>
      </c>
      <c r="C235" s="105">
        <f t="shared" si="163"/>
        <v>2</v>
      </c>
      <c r="D235" s="106">
        <v>3</v>
      </c>
      <c r="E235" s="106">
        <v>0</v>
      </c>
      <c r="F235" s="105">
        <f t="shared" si="131"/>
        <v>21</v>
      </c>
      <c r="H235" s="102">
        <v>2</v>
      </c>
      <c r="I235" s="102">
        <v>21</v>
      </c>
      <c r="K235" s="102" t="s">
        <v>1041</v>
      </c>
      <c r="L235" s="102" t="s">
        <v>780</v>
      </c>
      <c r="M235" s="103" t="s">
        <v>506</v>
      </c>
      <c r="N235" s="102">
        <v>0</v>
      </c>
      <c r="O235" s="102">
        <v>12</v>
      </c>
      <c r="P235" s="102" t="s">
        <v>748</v>
      </c>
      <c r="Q235" s="103" t="s">
        <v>1160</v>
      </c>
      <c r="R235" s="103">
        <v>112030021</v>
      </c>
      <c r="S235" s="104" t="str">
        <f t="shared" si="139"/>
        <v>UITexture/Bldg/112030021.png</v>
      </c>
      <c r="T235" s="102" t="s">
        <v>1049</v>
      </c>
      <c r="U235" s="102">
        <v>3</v>
      </c>
      <c r="V235" s="102">
        <v>1</v>
      </c>
      <c r="W235" s="102">
        <v>2</v>
      </c>
      <c r="Y235" s="104">
        <f t="shared" si="138"/>
        <v>203</v>
      </c>
      <c r="Z235" s="102">
        <v>210</v>
      </c>
      <c r="AA235" s="102">
        <v>1</v>
      </c>
      <c r="AB235" s="102">
        <v>1</v>
      </c>
      <c r="AC235" s="102">
        <v>0</v>
      </c>
      <c r="AD235" s="102" t="s">
        <v>1153</v>
      </c>
      <c r="AE235" s="102">
        <v>21</v>
      </c>
      <c r="AG235" s="104">
        <f t="shared" si="132"/>
        <v>73292</v>
      </c>
      <c r="AH235" s="103">
        <v>73292.302624714139</v>
      </c>
      <c r="AI235" s="172">
        <v>4</v>
      </c>
      <c r="AK235" s="104">
        <f ca="1">IFERROR(OFFSET(ITEM_RES!$A$5,MATCH(AL235,ITEM_RES!$M$5:$M$84,0)-1,0),0)</f>
        <v>220000107</v>
      </c>
      <c r="AL235" s="103" t="s">
        <v>579</v>
      </c>
      <c r="AM235" s="104">
        <f t="shared" si="164"/>
        <v>10000</v>
      </c>
      <c r="AN235" s="103">
        <v>10464.352096418779</v>
      </c>
      <c r="AP235" s="104">
        <f ca="1">IFERROR(OFFSET(ITEM_RES!$A$5,MATCH(AQ235,ITEM_RES!$M$5:$M$84,0)-1,0),0)</f>
        <v>220000207</v>
      </c>
      <c r="AQ235" s="103" t="s">
        <v>597</v>
      </c>
      <c r="AR235" s="104">
        <f t="shared" si="165"/>
        <v>6300</v>
      </c>
      <c r="AS235" s="103">
        <v>6278.6112578512675</v>
      </c>
      <c r="AU235" s="104">
        <f ca="1">IFERROR(OFFSET(ITEM_RES!$A$5,MATCH(AV235,ITEM_RES!$M$5:$M$84,0)-1,0),0)</f>
        <v>220000307</v>
      </c>
      <c r="AV235" s="103" t="s">
        <v>615</v>
      </c>
      <c r="AW235" s="104">
        <f t="shared" si="166"/>
        <v>4200</v>
      </c>
      <c r="AX235" s="103">
        <v>4185.7408385675117</v>
      </c>
      <c r="AZ235" s="104">
        <f ca="1">IFERROR(OFFSET(ITEM_RES!$A$5,MATCH(BA235,ITEM_RES!$M$5:$M$84,0)-1,0),0)</f>
        <v>220000407</v>
      </c>
      <c r="BA235" s="103" t="s">
        <v>633</v>
      </c>
      <c r="BB235" s="104">
        <f t="shared" si="167"/>
        <v>2100</v>
      </c>
      <c r="BC235" s="103">
        <v>2092.8704192837558</v>
      </c>
      <c r="BE235" s="104">
        <f ca="1">IFERROR(OFFSET(ITEM_RES!$A$5,MATCH(BF235,ITEM_RES!$M$5:$M$84,0)-1,0),0)</f>
        <v>0</v>
      </c>
      <c r="BG235" s="104">
        <f t="shared" si="168"/>
        <v>0</v>
      </c>
    </row>
    <row r="236" spans="1:59" x14ac:dyDescent="0.3">
      <c r="A236" s="107">
        <f t="shared" si="162"/>
        <v>112030022</v>
      </c>
      <c r="B236" s="106">
        <v>11</v>
      </c>
      <c r="C236" s="105">
        <f t="shared" si="163"/>
        <v>2</v>
      </c>
      <c r="D236" s="106">
        <v>3</v>
      </c>
      <c r="E236" s="106">
        <v>0</v>
      </c>
      <c r="F236" s="105">
        <f t="shared" si="131"/>
        <v>22</v>
      </c>
      <c r="H236" s="102">
        <v>2</v>
      </c>
      <c r="I236" s="102">
        <v>22</v>
      </c>
      <c r="K236" s="102" t="s">
        <v>1041</v>
      </c>
      <c r="L236" s="102" t="s">
        <v>780</v>
      </c>
      <c r="M236" s="103" t="s">
        <v>506</v>
      </c>
      <c r="N236" s="102">
        <v>0</v>
      </c>
      <c r="O236" s="102">
        <v>12</v>
      </c>
      <c r="P236" s="102" t="s">
        <v>748</v>
      </c>
      <c r="Q236" s="103" t="s">
        <v>1160</v>
      </c>
      <c r="R236" s="103">
        <v>112030022</v>
      </c>
      <c r="S236" s="104" t="str">
        <f t="shared" si="139"/>
        <v>UITexture/Bldg/112030022.png</v>
      </c>
      <c r="T236" s="102" t="s">
        <v>1049</v>
      </c>
      <c r="U236" s="102">
        <v>3</v>
      </c>
      <c r="V236" s="102">
        <v>1</v>
      </c>
      <c r="W236" s="102">
        <v>2</v>
      </c>
      <c r="Y236" s="104">
        <f t="shared" si="138"/>
        <v>203</v>
      </c>
      <c r="Z236" s="102">
        <v>220</v>
      </c>
      <c r="AA236" s="102">
        <v>1</v>
      </c>
      <c r="AB236" s="102">
        <v>1</v>
      </c>
      <c r="AC236" s="102">
        <v>0</v>
      </c>
      <c r="AD236" s="102" t="s">
        <v>1153</v>
      </c>
      <c r="AE236" s="102">
        <v>22</v>
      </c>
      <c r="AG236" s="104">
        <f t="shared" si="132"/>
        <v>78423</v>
      </c>
      <c r="AH236" s="103">
        <v>78422.763808444128</v>
      </c>
      <c r="AI236" s="172">
        <v>4</v>
      </c>
      <c r="AK236" s="104">
        <f ca="1">IFERROR(OFFSET(ITEM_RES!$A$5,MATCH(AL236,ITEM_RES!$M$5:$M$84,0)-1,0),0)</f>
        <v>220000108</v>
      </c>
      <c r="AL236" s="103" t="s">
        <v>580</v>
      </c>
      <c r="AM236" s="104">
        <f t="shared" si="164"/>
        <v>4700</v>
      </c>
      <c r="AN236" s="103">
        <v>4665.3569763200394</v>
      </c>
      <c r="AP236" s="104">
        <f ca="1">IFERROR(OFFSET(ITEM_RES!$A$5,MATCH(AQ236,ITEM_RES!$M$5:$M$84,0)-1,0),0)</f>
        <v>220000208</v>
      </c>
      <c r="AQ236" s="103" t="s">
        <v>598</v>
      </c>
      <c r="AR236" s="104">
        <f t="shared" si="165"/>
        <v>2800</v>
      </c>
      <c r="AS236" s="103">
        <v>2799.2141857920237</v>
      </c>
      <c r="AU236" s="104">
        <f ca="1">IFERROR(OFFSET(ITEM_RES!$A$5,MATCH(AV236,ITEM_RES!$M$5:$M$84,0)-1,0),0)</f>
        <v>220000308</v>
      </c>
      <c r="AV236" s="103" t="s">
        <v>616</v>
      </c>
      <c r="AW236" s="104">
        <f t="shared" si="166"/>
        <v>1900</v>
      </c>
      <c r="AX236" s="103">
        <v>1866.1427905280159</v>
      </c>
      <c r="AZ236" s="104">
        <f ca="1">IFERROR(OFFSET(ITEM_RES!$A$5,MATCH(BA236,ITEM_RES!$M$5:$M$84,0)-1,0),0)</f>
        <v>220000408</v>
      </c>
      <c r="BA236" s="103" t="s">
        <v>634</v>
      </c>
      <c r="BB236" s="104">
        <f t="shared" si="167"/>
        <v>930</v>
      </c>
      <c r="BC236" s="103">
        <v>933.07139526400795</v>
      </c>
      <c r="BE236" s="104">
        <f ca="1">IFERROR(OFFSET(ITEM_RES!$A$5,MATCH(BF236,ITEM_RES!$M$5:$M$84,0)-1,0),0)</f>
        <v>0</v>
      </c>
      <c r="BG236" s="104">
        <f t="shared" si="168"/>
        <v>0</v>
      </c>
    </row>
    <row r="237" spans="1:59" x14ac:dyDescent="0.3">
      <c r="A237" s="107">
        <f t="shared" si="162"/>
        <v>112030023</v>
      </c>
      <c r="B237" s="106">
        <v>11</v>
      </c>
      <c r="C237" s="105">
        <f t="shared" si="163"/>
        <v>2</v>
      </c>
      <c r="D237" s="106">
        <v>3</v>
      </c>
      <c r="E237" s="106">
        <v>0</v>
      </c>
      <c r="F237" s="105">
        <f t="shared" si="131"/>
        <v>23</v>
      </c>
      <c r="H237" s="102">
        <v>2</v>
      </c>
      <c r="I237" s="102">
        <v>23</v>
      </c>
      <c r="K237" s="102" t="s">
        <v>1041</v>
      </c>
      <c r="L237" s="102" t="s">
        <v>780</v>
      </c>
      <c r="M237" s="103" t="s">
        <v>506</v>
      </c>
      <c r="N237" s="102">
        <v>0</v>
      </c>
      <c r="O237" s="102">
        <v>12</v>
      </c>
      <c r="P237" s="102" t="s">
        <v>748</v>
      </c>
      <c r="Q237" s="103" t="s">
        <v>1160</v>
      </c>
      <c r="R237" s="103">
        <v>112030023</v>
      </c>
      <c r="S237" s="104" t="str">
        <f t="shared" si="139"/>
        <v>UITexture/Bldg/112030023.png</v>
      </c>
      <c r="T237" s="102" t="s">
        <v>1049</v>
      </c>
      <c r="U237" s="102">
        <v>3</v>
      </c>
      <c r="V237" s="102">
        <v>1</v>
      </c>
      <c r="W237" s="102">
        <v>2</v>
      </c>
      <c r="Y237" s="104">
        <f t="shared" si="138"/>
        <v>203</v>
      </c>
      <c r="Z237" s="102">
        <v>230</v>
      </c>
      <c r="AA237" s="102">
        <v>1</v>
      </c>
      <c r="AB237" s="102">
        <v>1</v>
      </c>
      <c r="AC237" s="102">
        <v>0</v>
      </c>
      <c r="AD237" s="102" t="s">
        <v>1153</v>
      </c>
      <c r="AE237" s="102">
        <v>23</v>
      </c>
      <c r="AG237" s="104">
        <f t="shared" si="132"/>
        <v>83128</v>
      </c>
      <c r="AH237" s="103">
        <v>83128.129636950776</v>
      </c>
      <c r="AI237" s="172">
        <v>4</v>
      </c>
      <c r="AK237" s="104">
        <f ca="1">IFERROR(OFFSET(ITEM_RES!$A$5,MATCH(AL237,ITEM_RES!$M$5:$M$84,0)-1,0),0)</f>
        <v>220000108</v>
      </c>
      <c r="AL237" s="103" t="s">
        <v>580</v>
      </c>
      <c r="AM237" s="104">
        <f t="shared" si="164"/>
        <v>6200</v>
      </c>
      <c r="AN237" s="103">
        <v>6181.5979936240528</v>
      </c>
      <c r="AP237" s="104">
        <f ca="1">IFERROR(OFFSET(ITEM_RES!$A$5,MATCH(AQ237,ITEM_RES!$M$5:$M$84,0)-1,0),0)</f>
        <v>220000208</v>
      </c>
      <c r="AQ237" s="103" t="s">
        <v>598</v>
      </c>
      <c r="AR237" s="104">
        <f t="shared" si="165"/>
        <v>3700</v>
      </c>
      <c r="AS237" s="103">
        <v>3708.9587961744314</v>
      </c>
      <c r="AU237" s="104">
        <f ca="1">IFERROR(OFFSET(ITEM_RES!$A$5,MATCH(AV237,ITEM_RES!$M$5:$M$84,0)-1,0),0)</f>
        <v>220000308</v>
      </c>
      <c r="AV237" s="103" t="s">
        <v>616</v>
      </c>
      <c r="AW237" s="104">
        <f t="shared" si="166"/>
        <v>2500</v>
      </c>
      <c r="AX237" s="103">
        <v>2472.639197449621</v>
      </c>
      <c r="AZ237" s="104">
        <f ca="1">IFERROR(OFFSET(ITEM_RES!$A$5,MATCH(BA237,ITEM_RES!$M$5:$M$84,0)-1,0),0)</f>
        <v>220000408</v>
      </c>
      <c r="BA237" s="103" t="s">
        <v>634</v>
      </c>
      <c r="BB237" s="104">
        <f t="shared" si="167"/>
        <v>1200</v>
      </c>
      <c r="BC237" s="103">
        <v>1236.3195987248105</v>
      </c>
      <c r="BE237" s="104">
        <f ca="1">IFERROR(OFFSET(ITEM_RES!$A$5,MATCH(BF237,ITEM_RES!$M$5:$M$84,0)-1,0),0)</f>
        <v>0</v>
      </c>
      <c r="BG237" s="104">
        <f t="shared" si="168"/>
        <v>0</v>
      </c>
    </row>
    <row r="238" spans="1:59" x14ac:dyDescent="0.3">
      <c r="A238" s="107">
        <f t="shared" si="162"/>
        <v>112030024</v>
      </c>
      <c r="B238" s="106">
        <v>11</v>
      </c>
      <c r="C238" s="105">
        <f t="shared" si="163"/>
        <v>2</v>
      </c>
      <c r="D238" s="106">
        <v>3</v>
      </c>
      <c r="E238" s="106">
        <v>0</v>
      </c>
      <c r="F238" s="105">
        <f t="shared" si="131"/>
        <v>24</v>
      </c>
      <c r="H238" s="102">
        <v>2</v>
      </c>
      <c r="I238" s="102">
        <v>24</v>
      </c>
      <c r="K238" s="102" t="s">
        <v>1041</v>
      </c>
      <c r="L238" s="102" t="s">
        <v>780</v>
      </c>
      <c r="M238" s="103" t="s">
        <v>506</v>
      </c>
      <c r="N238" s="102">
        <v>0</v>
      </c>
      <c r="O238" s="102">
        <v>12</v>
      </c>
      <c r="P238" s="102" t="s">
        <v>748</v>
      </c>
      <c r="Q238" s="103" t="s">
        <v>1160</v>
      </c>
      <c r="R238" s="103">
        <v>112030024</v>
      </c>
      <c r="S238" s="104" t="str">
        <f t="shared" si="139"/>
        <v>UITexture/Bldg/112030024.png</v>
      </c>
      <c r="T238" s="102" t="s">
        <v>1049</v>
      </c>
      <c r="U238" s="102">
        <v>3</v>
      </c>
      <c r="V238" s="102">
        <v>1</v>
      </c>
      <c r="W238" s="102">
        <v>2</v>
      </c>
      <c r="Y238" s="104">
        <f t="shared" si="138"/>
        <v>203</v>
      </c>
      <c r="Z238" s="102">
        <v>240</v>
      </c>
      <c r="AA238" s="102">
        <v>1</v>
      </c>
      <c r="AB238" s="102">
        <v>1</v>
      </c>
      <c r="AC238" s="102">
        <v>0</v>
      </c>
      <c r="AD238" s="102" t="s">
        <v>1153</v>
      </c>
      <c r="AE238" s="102">
        <v>24</v>
      </c>
      <c r="AG238" s="104">
        <f t="shared" si="132"/>
        <v>87285</v>
      </c>
      <c r="AH238" s="103">
        <v>87284.536118798322</v>
      </c>
      <c r="AI238" s="172">
        <v>4</v>
      </c>
      <c r="AK238" s="104">
        <f ca="1">IFERROR(OFFSET(ITEM_RES!$A$5,MATCH(AL238,ITEM_RES!$M$5:$M$84,0)-1,0),0)</f>
        <v>220000108</v>
      </c>
      <c r="AL238" s="103" t="s">
        <v>580</v>
      </c>
      <c r="AM238" s="104">
        <f t="shared" si="164"/>
        <v>8100</v>
      </c>
      <c r="AN238" s="103">
        <v>8113.3473666315685</v>
      </c>
      <c r="AP238" s="104">
        <f ca="1">IFERROR(OFFSET(ITEM_RES!$A$5,MATCH(AQ238,ITEM_RES!$M$5:$M$84,0)-1,0),0)</f>
        <v>220000208</v>
      </c>
      <c r="AQ238" s="103" t="s">
        <v>598</v>
      </c>
      <c r="AR238" s="104">
        <f t="shared" si="165"/>
        <v>4900</v>
      </c>
      <c r="AS238" s="103">
        <v>4868.0084199789408</v>
      </c>
      <c r="AU238" s="104">
        <f ca="1">IFERROR(OFFSET(ITEM_RES!$A$5,MATCH(AV238,ITEM_RES!$M$5:$M$84,0)-1,0),0)</f>
        <v>220000308</v>
      </c>
      <c r="AV238" s="103" t="s">
        <v>616</v>
      </c>
      <c r="AW238" s="104">
        <f t="shared" si="166"/>
        <v>3200</v>
      </c>
      <c r="AX238" s="103">
        <v>3245.3389466526273</v>
      </c>
      <c r="AZ238" s="104">
        <f ca="1">IFERROR(OFFSET(ITEM_RES!$A$5,MATCH(BA238,ITEM_RES!$M$5:$M$84,0)-1,0),0)</f>
        <v>220000408</v>
      </c>
      <c r="BA238" s="103" t="s">
        <v>634</v>
      </c>
      <c r="BB238" s="104">
        <f t="shared" si="167"/>
        <v>1600</v>
      </c>
      <c r="BC238" s="103">
        <v>1622.6694733263137</v>
      </c>
      <c r="BE238" s="104">
        <f ca="1">IFERROR(OFFSET(ITEM_RES!$A$5,MATCH(BF238,ITEM_RES!$M$5:$M$84,0)-1,0),0)</f>
        <v>0</v>
      </c>
      <c r="BG238" s="104">
        <f t="shared" si="168"/>
        <v>0</v>
      </c>
    </row>
    <row r="239" spans="1:59" x14ac:dyDescent="0.3">
      <c r="A239" s="107">
        <f t="shared" si="162"/>
        <v>112030025</v>
      </c>
      <c r="B239" s="106">
        <v>11</v>
      </c>
      <c r="C239" s="105">
        <f t="shared" si="163"/>
        <v>2</v>
      </c>
      <c r="D239" s="106">
        <v>3</v>
      </c>
      <c r="E239" s="106">
        <v>0</v>
      </c>
      <c r="F239" s="105">
        <f t="shared" si="131"/>
        <v>25</v>
      </c>
      <c r="H239" s="102">
        <v>2</v>
      </c>
      <c r="I239" s="102">
        <v>25</v>
      </c>
      <c r="K239" s="102" t="s">
        <v>1041</v>
      </c>
      <c r="L239" s="102" t="s">
        <v>780</v>
      </c>
      <c r="M239" s="103" t="s">
        <v>506</v>
      </c>
      <c r="N239" s="102">
        <v>0</v>
      </c>
      <c r="O239" s="102">
        <v>12</v>
      </c>
      <c r="P239" s="102" t="s">
        <v>748</v>
      </c>
      <c r="Q239" s="103" t="s">
        <v>1160</v>
      </c>
      <c r="R239" s="103">
        <v>112030025</v>
      </c>
      <c r="S239" s="104" t="str">
        <f t="shared" si="139"/>
        <v>UITexture/Bldg/112030025.png</v>
      </c>
      <c r="T239" s="102" t="s">
        <v>1049</v>
      </c>
      <c r="U239" s="102">
        <v>3</v>
      </c>
      <c r="V239" s="102">
        <v>1</v>
      </c>
      <c r="W239" s="102">
        <v>2</v>
      </c>
      <c r="Y239" s="104">
        <f t="shared" si="138"/>
        <v>203</v>
      </c>
      <c r="Z239" s="102">
        <v>250</v>
      </c>
      <c r="AA239" s="102">
        <v>1</v>
      </c>
      <c r="AB239" s="102">
        <v>1</v>
      </c>
      <c r="AC239" s="102">
        <v>0</v>
      </c>
      <c r="AD239" s="102" t="s">
        <v>1153</v>
      </c>
      <c r="AE239" s="102">
        <v>25</v>
      </c>
      <c r="AG239" s="104">
        <f t="shared" si="132"/>
        <v>91649</v>
      </c>
      <c r="AH239" s="103">
        <v>91648.762924738243</v>
      </c>
      <c r="AI239" s="172">
        <v>4</v>
      </c>
      <c r="AK239" s="104">
        <f ca="1">IFERROR(OFFSET(ITEM_RES!$A$5,MATCH(AL239,ITEM_RES!$M$5:$M$84,0)-1,0),0)</f>
        <v>220000109</v>
      </c>
      <c r="AL239" s="103" t="s">
        <v>581</v>
      </c>
      <c r="AM239" s="104">
        <f t="shared" si="164"/>
        <v>3500</v>
      </c>
      <c r="AN239" s="103">
        <v>3549.5894729013116</v>
      </c>
      <c r="AP239" s="104">
        <f ca="1">IFERROR(OFFSET(ITEM_RES!$A$5,MATCH(AQ239,ITEM_RES!$M$5:$M$84,0)-1,0),0)</f>
        <v>220000209</v>
      </c>
      <c r="AQ239" s="103" t="s">
        <v>599</v>
      </c>
      <c r="AR239" s="104">
        <f t="shared" si="165"/>
        <v>2100</v>
      </c>
      <c r="AS239" s="103">
        <v>2129.753683740787</v>
      </c>
      <c r="AU239" s="104">
        <f ca="1">IFERROR(OFFSET(ITEM_RES!$A$5,MATCH(AV239,ITEM_RES!$M$5:$M$84,0)-1,0),0)</f>
        <v>220000309</v>
      </c>
      <c r="AV239" s="103" t="s">
        <v>617</v>
      </c>
      <c r="AW239" s="104">
        <f t="shared" si="166"/>
        <v>1400</v>
      </c>
      <c r="AX239" s="103">
        <v>1419.8357891605247</v>
      </c>
      <c r="AZ239" s="104">
        <f ca="1">IFERROR(OFFSET(ITEM_RES!$A$5,MATCH(BA239,ITEM_RES!$M$5:$M$84,0)-1,0),0)</f>
        <v>220000409</v>
      </c>
      <c r="BA239" s="103" t="s">
        <v>635</v>
      </c>
      <c r="BB239" s="104">
        <f t="shared" si="167"/>
        <v>710</v>
      </c>
      <c r="BC239" s="103">
        <v>709.91789458026233</v>
      </c>
      <c r="BE239" s="104">
        <f ca="1">IFERROR(OFFSET(ITEM_RES!$A$5,MATCH(BF239,ITEM_RES!$M$5:$M$84,0)-1,0),0)</f>
        <v>0</v>
      </c>
      <c r="BG239" s="104">
        <f t="shared" si="168"/>
        <v>0</v>
      </c>
    </row>
    <row r="240" spans="1:59" x14ac:dyDescent="0.3">
      <c r="A240" s="107">
        <f t="shared" ref="A240:A244" si="169">B240*10000000+C240*1000000+D240*10000+E240*100+F240</f>
        <v>112030026</v>
      </c>
      <c r="B240" s="106">
        <v>11</v>
      </c>
      <c r="C240" s="105">
        <f t="shared" ref="C240:C244" si="170">H240</f>
        <v>2</v>
      </c>
      <c r="D240" s="106">
        <v>3</v>
      </c>
      <c r="E240" s="106">
        <v>0</v>
      </c>
      <c r="F240" s="105">
        <f t="shared" si="131"/>
        <v>26</v>
      </c>
      <c r="H240" s="102">
        <v>2</v>
      </c>
      <c r="I240" s="102">
        <v>26</v>
      </c>
      <c r="K240" s="102" t="s">
        <v>1041</v>
      </c>
      <c r="L240" s="102" t="s">
        <v>780</v>
      </c>
      <c r="M240" s="103" t="s">
        <v>506</v>
      </c>
      <c r="N240" s="102">
        <v>0</v>
      </c>
      <c r="O240" s="102">
        <v>12</v>
      </c>
      <c r="P240" s="102" t="s">
        <v>748</v>
      </c>
      <c r="Q240" s="103" t="s">
        <v>1160</v>
      </c>
      <c r="R240" s="103">
        <v>112030026</v>
      </c>
      <c r="S240" s="104" t="str">
        <f t="shared" si="139"/>
        <v>UITexture/Bldg/112030026.png</v>
      </c>
      <c r="T240" s="102" t="s">
        <v>1049</v>
      </c>
      <c r="U240" s="102">
        <v>3</v>
      </c>
      <c r="V240" s="102">
        <v>1</v>
      </c>
      <c r="W240" s="102">
        <v>2</v>
      </c>
      <c r="Y240" s="104">
        <f t="shared" si="138"/>
        <v>203</v>
      </c>
      <c r="Z240" s="102">
        <v>260</v>
      </c>
      <c r="AA240" s="102">
        <v>1</v>
      </c>
      <c r="AB240" s="102">
        <v>1</v>
      </c>
      <c r="AC240" s="102">
        <v>0</v>
      </c>
      <c r="AD240" s="102" t="s">
        <v>1153</v>
      </c>
      <c r="AE240" s="102">
        <v>26</v>
      </c>
      <c r="AG240" s="104">
        <f t="shared" si="132"/>
        <v>95315</v>
      </c>
      <c r="AH240" s="103">
        <v>95314.71344172777</v>
      </c>
      <c r="AI240" s="172">
        <v>4</v>
      </c>
      <c r="AK240" s="104">
        <f ca="1">IFERROR(OFFSET(ITEM_RES!$A$5,MATCH(AL240,ITEM_RES!$M$5:$M$84,0)-1,0),0)</f>
        <v>220000109</v>
      </c>
      <c r="AL240" s="103" t="s">
        <v>581</v>
      </c>
      <c r="AM240" s="104">
        <f t="shared" ref="AM240:AM244" si="171">IF(AN240&lt;100,ROUND(AN240,1-LEN(ROUND(AN240,0))),ROUND(AN240,2-LEN(ROUND(AN240,0))))</f>
        <v>4400</v>
      </c>
      <c r="AN240" s="103">
        <v>4429.8876621808367</v>
      </c>
      <c r="AP240" s="104">
        <f ca="1">IFERROR(OFFSET(ITEM_RES!$A$5,MATCH(AQ240,ITEM_RES!$M$5:$M$84,0)-1,0),0)</f>
        <v>220000209</v>
      </c>
      <c r="AQ240" s="103" t="s">
        <v>599</v>
      </c>
      <c r="AR240" s="104">
        <f t="shared" ref="AR240:AR244" si="172">IF(AS240&lt;100,ROUND(AS240,1-LEN(ROUND(AS240,0))),ROUND(AS240,2-LEN(ROUND(AS240,0))))</f>
        <v>2700</v>
      </c>
      <c r="AS240" s="103">
        <v>2657.932597308502</v>
      </c>
      <c r="AU240" s="104">
        <f ca="1">IFERROR(OFFSET(ITEM_RES!$A$5,MATCH(AV240,ITEM_RES!$M$5:$M$84,0)-1,0),0)</f>
        <v>220000309</v>
      </c>
      <c r="AV240" s="103" t="s">
        <v>617</v>
      </c>
      <c r="AW240" s="104">
        <f t="shared" ref="AW240:AW244" si="173">IF(AX240&lt;100,ROUND(AX240,1-LEN(ROUND(AX240,0))),ROUND(AX240,2-LEN(ROUND(AX240,0))))</f>
        <v>1800</v>
      </c>
      <c r="AX240" s="103">
        <v>1771.9550648723346</v>
      </c>
      <c r="AZ240" s="104">
        <f ca="1">IFERROR(OFFSET(ITEM_RES!$A$5,MATCH(BA240,ITEM_RES!$M$5:$M$84,0)-1,0),0)</f>
        <v>220000409</v>
      </c>
      <c r="BA240" s="103" t="s">
        <v>635</v>
      </c>
      <c r="BB240" s="104">
        <f t="shared" ref="BB240:BB244" si="174">IF(BC240&lt;100,ROUND(BC240,1-LEN(ROUND(BC240,0))),ROUND(BC240,2-LEN(ROUND(BC240,0))))</f>
        <v>890</v>
      </c>
      <c r="BC240" s="103">
        <v>885.97753243616728</v>
      </c>
      <c r="BE240" s="104">
        <f ca="1">IFERROR(OFFSET(ITEM_RES!$A$5,MATCH(BF240,ITEM_RES!$M$5:$M$84,0)-1,0),0)</f>
        <v>0</v>
      </c>
      <c r="BG240" s="104">
        <f t="shared" ref="BG240:BG244" si="175">IF(BH240&lt;100,ROUND(BH240,1-LEN(ROUND(BH240,0))),ROUND(BH240,2-LEN(ROUND(BH240,0))))</f>
        <v>0</v>
      </c>
    </row>
    <row r="241" spans="1:60" x14ac:dyDescent="0.3">
      <c r="A241" s="107">
        <f t="shared" si="169"/>
        <v>112030027</v>
      </c>
      <c r="B241" s="106">
        <v>11</v>
      </c>
      <c r="C241" s="105">
        <f t="shared" si="170"/>
        <v>2</v>
      </c>
      <c r="D241" s="106">
        <v>3</v>
      </c>
      <c r="E241" s="106">
        <v>0</v>
      </c>
      <c r="F241" s="105">
        <f t="shared" si="131"/>
        <v>27</v>
      </c>
      <c r="H241" s="102">
        <v>2</v>
      </c>
      <c r="I241" s="102">
        <v>27</v>
      </c>
      <c r="K241" s="102" t="s">
        <v>1041</v>
      </c>
      <c r="L241" s="102" t="s">
        <v>780</v>
      </c>
      <c r="M241" s="103" t="s">
        <v>506</v>
      </c>
      <c r="N241" s="102">
        <v>0</v>
      </c>
      <c r="O241" s="102">
        <v>12</v>
      </c>
      <c r="P241" s="102" t="s">
        <v>748</v>
      </c>
      <c r="Q241" s="103" t="s">
        <v>1160</v>
      </c>
      <c r="R241" s="103">
        <v>112030027</v>
      </c>
      <c r="S241" s="104" t="str">
        <f t="shared" si="139"/>
        <v>UITexture/Bldg/112030027.png</v>
      </c>
      <c r="T241" s="102" t="s">
        <v>1049</v>
      </c>
      <c r="U241" s="102">
        <v>3</v>
      </c>
      <c r="V241" s="102">
        <v>1</v>
      </c>
      <c r="W241" s="102">
        <v>2</v>
      </c>
      <c r="Y241" s="104">
        <f t="shared" si="138"/>
        <v>203</v>
      </c>
      <c r="Z241" s="102">
        <v>270</v>
      </c>
      <c r="AA241" s="102">
        <v>1</v>
      </c>
      <c r="AB241" s="102">
        <v>1</v>
      </c>
      <c r="AC241" s="102">
        <v>0</v>
      </c>
      <c r="AD241" s="102" t="s">
        <v>1153</v>
      </c>
      <c r="AE241" s="102">
        <v>27</v>
      </c>
      <c r="AG241" s="104">
        <f t="shared" si="132"/>
        <v>99127</v>
      </c>
      <c r="AH241" s="103">
        <v>99127.301979396885</v>
      </c>
      <c r="AI241" s="172">
        <v>4</v>
      </c>
      <c r="AK241" s="104">
        <f ca="1">IFERROR(OFFSET(ITEM_RES!$A$5,MATCH(AL241,ITEM_RES!$M$5:$M$84,0)-1,0),0)</f>
        <v>220000109</v>
      </c>
      <c r="AL241" s="103" t="s">
        <v>581</v>
      </c>
      <c r="AM241" s="104">
        <f t="shared" si="171"/>
        <v>5500</v>
      </c>
      <c r="AN241" s="103">
        <v>5528.4998024016841</v>
      </c>
      <c r="AP241" s="104">
        <f ca="1">IFERROR(OFFSET(ITEM_RES!$A$5,MATCH(AQ241,ITEM_RES!$M$5:$M$84,0)-1,0),0)</f>
        <v>220000209</v>
      </c>
      <c r="AQ241" s="103" t="s">
        <v>599</v>
      </c>
      <c r="AR241" s="104">
        <f t="shared" si="172"/>
        <v>3300</v>
      </c>
      <c r="AS241" s="103">
        <v>3317.0998814410104</v>
      </c>
      <c r="AU241" s="104">
        <f ca="1">IFERROR(OFFSET(ITEM_RES!$A$5,MATCH(AV241,ITEM_RES!$M$5:$M$84,0)-1,0),0)</f>
        <v>220000309</v>
      </c>
      <c r="AV241" s="103" t="s">
        <v>617</v>
      </c>
      <c r="AW241" s="104">
        <f t="shared" si="173"/>
        <v>2200</v>
      </c>
      <c r="AX241" s="103">
        <v>2211.3999209606736</v>
      </c>
      <c r="AZ241" s="104">
        <f ca="1">IFERROR(OFFSET(ITEM_RES!$A$5,MATCH(BA241,ITEM_RES!$M$5:$M$84,0)-1,0),0)</f>
        <v>220000409</v>
      </c>
      <c r="BA241" s="103" t="s">
        <v>635</v>
      </c>
      <c r="BB241" s="104">
        <f t="shared" si="174"/>
        <v>1100</v>
      </c>
      <c r="BC241" s="103">
        <v>1105.6999604803368</v>
      </c>
      <c r="BE241" s="104">
        <f ca="1">IFERROR(OFFSET(ITEM_RES!$A$5,MATCH(BF241,ITEM_RES!$M$5:$M$84,0)-1,0),0)</f>
        <v>0</v>
      </c>
      <c r="BG241" s="104">
        <f t="shared" si="175"/>
        <v>0</v>
      </c>
    </row>
    <row r="242" spans="1:60" x14ac:dyDescent="0.3">
      <c r="A242" s="107">
        <f t="shared" si="169"/>
        <v>112030028</v>
      </c>
      <c r="B242" s="106">
        <v>11</v>
      </c>
      <c r="C242" s="105">
        <f t="shared" si="170"/>
        <v>2</v>
      </c>
      <c r="D242" s="106">
        <v>3</v>
      </c>
      <c r="E242" s="106">
        <v>0</v>
      </c>
      <c r="F242" s="105">
        <f t="shared" si="131"/>
        <v>28</v>
      </c>
      <c r="H242" s="102">
        <v>2</v>
      </c>
      <c r="I242" s="102">
        <v>28</v>
      </c>
      <c r="K242" s="102" t="s">
        <v>1041</v>
      </c>
      <c r="L242" s="102" t="s">
        <v>780</v>
      </c>
      <c r="M242" s="103" t="s">
        <v>506</v>
      </c>
      <c r="N242" s="102">
        <v>0</v>
      </c>
      <c r="O242" s="102">
        <v>12</v>
      </c>
      <c r="P242" s="102" t="s">
        <v>748</v>
      </c>
      <c r="Q242" s="103" t="s">
        <v>1160</v>
      </c>
      <c r="R242" s="103">
        <v>112030028</v>
      </c>
      <c r="S242" s="104" t="str">
        <f t="shared" si="139"/>
        <v>UITexture/Bldg/112030028.png</v>
      </c>
      <c r="T242" s="102" t="s">
        <v>1049</v>
      </c>
      <c r="U242" s="102">
        <v>3</v>
      </c>
      <c r="V242" s="102">
        <v>1</v>
      </c>
      <c r="W242" s="102">
        <v>2</v>
      </c>
      <c r="Y242" s="104">
        <f t="shared" si="138"/>
        <v>203</v>
      </c>
      <c r="Z242" s="102">
        <v>280</v>
      </c>
      <c r="AA242" s="102">
        <v>1</v>
      </c>
      <c r="AB242" s="102">
        <v>1</v>
      </c>
      <c r="AC242" s="102">
        <v>0</v>
      </c>
      <c r="AD242" s="102" t="s">
        <v>1153</v>
      </c>
      <c r="AE242" s="102">
        <v>28</v>
      </c>
      <c r="AG242" s="104">
        <f t="shared" si="132"/>
        <v>102101</v>
      </c>
      <c r="AH242" s="103">
        <v>102101.1210387788</v>
      </c>
      <c r="AI242" s="172">
        <v>4</v>
      </c>
      <c r="AK242" s="104">
        <f ca="1">IFERROR(OFFSET(ITEM_RES!$A$5,MATCH(AL242,ITEM_RES!$M$5:$M$84,0)-1,0),0)</f>
        <v>220000110</v>
      </c>
      <c r="AL242" s="103" t="s">
        <v>582</v>
      </c>
      <c r="AM242" s="104">
        <f t="shared" si="171"/>
        <v>2300</v>
      </c>
      <c r="AN242" s="103">
        <v>2277.7419185894937</v>
      </c>
      <c r="AP242" s="104">
        <f ca="1">IFERROR(OFFSET(ITEM_RES!$A$5,MATCH(AQ242,ITEM_RES!$M$5:$M$84,0)-1,0),0)</f>
        <v>220000210</v>
      </c>
      <c r="AQ242" s="103" t="s">
        <v>600</v>
      </c>
      <c r="AR242" s="104">
        <f t="shared" si="172"/>
        <v>1400</v>
      </c>
      <c r="AS242" s="103">
        <v>1366.6451511536961</v>
      </c>
      <c r="AU242" s="104">
        <f ca="1">IFERROR(OFFSET(ITEM_RES!$A$5,MATCH(AV242,ITEM_RES!$M$5:$M$84,0)-1,0),0)</f>
        <v>220000310</v>
      </c>
      <c r="AV242" s="103" t="s">
        <v>618</v>
      </c>
      <c r="AW242" s="104">
        <f t="shared" si="173"/>
        <v>910</v>
      </c>
      <c r="AX242" s="103">
        <v>911.09676743579746</v>
      </c>
      <c r="AZ242" s="104">
        <f ca="1">IFERROR(OFFSET(ITEM_RES!$A$5,MATCH(BA242,ITEM_RES!$M$5:$M$84,0)-1,0),0)</f>
        <v>220000410</v>
      </c>
      <c r="BA242" s="103" t="s">
        <v>636</v>
      </c>
      <c r="BB242" s="104">
        <f t="shared" si="174"/>
        <v>460</v>
      </c>
      <c r="BC242" s="103">
        <v>455.54838371789873</v>
      </c>
      <c r="BE242" s="104">
        <f ca="1">IFERROR(OFFSET(ITEM_RES!$A$5,MATCH(BF242,ITEM_RES!$M$5:$M$84,0)-1,0),0)</f>
        <v>0</v>
      </c>
      <c r="BG242" s="104">
        <f t="shared" si="175"/>
        <v>0</v>
      </c>
    </row>
    <row r="243" spans="1:60" x14ac:dyDescent="0.3">
      <c r="A243" s="107">
        <f t="shared" si="169"/>
        <v>112030029</v>
      </c>
      <c r="B243" s="106">
        <v>11</v>
      </c>
      <c r="C243" s="105">
        <f t="shared" si="170"/>
        <v>2</v>
      </c>
      <c r="D243" s="106">
        <v>3</v>
      </c>
      <c r="E243" s="106">
        <v>0</v>
      </c>
      <c r="F243" s="105">
        <f t="shared" si="131"/>
        <v>29</v>
      </c>
      <c r="H243" s="102">
        <v>2</v>
      </c>
      <c r="I243" s="102">
        <v>29</v>
      </c>
      <c r="K243" s="102" t="s">
        <v>1041</v>
      </c>
      <c r="L243" s="102" t="s">
        <v>780</v>
      </c>
      <c r="M243" s="103" t="s">
        <v>506</v>
      </c>
      <c r="N243" s="102">
        <v>0</v>
      </c>
      <c r="O243" s="102">
        <v>12</v>
      </c>
      <c r="P243" s="102" t="s">
        <v>748</v>
      </c>
      <c r="Q243" s="103" t="s">
        <v>1160</v>
      </c>
      <c r="R243" s="103">
        <v>112030029</v>
      </c>
      <c r="S243" s="104" t="str">
        <f t="shared" si="139"/>
        <v>UITexture/Bldg/112030029.png</v>
      </c>
      <c r="T243" s="102" t="s">
        <v>1049</v>
      </c>
      <c r="U243" s="102">
        <v>3</v>
      </c>
      <c r="V243" s="102">
        <v>1</v>
      </c>
      <c r="W243" s="102">
        <v>2</v>
      </c>
      <c r="Y243" s="104">
        <f t="shared" si="138"/>
        <v>203</v>
      </c>
      <c r="Z243" s="102">
        <v>290</v>
      </c>
      <c r="AA243" s="102">
        <v>1</v>
      </c>
      <c r="AB243" s="102">
        <v>1</v>
      </c>
      <c r="AC243" s="102">
        <v>0</v>
      </c>
      <c r="AD243" s="102" t="s">
        <v>1153</v>
      </c>
      <c r="AE243" s="102">
        <v>29</v>
      </c>
      <c r="AG243" s="104">
        <f t="shared" si="132"/>
        <v>105164</v>
      </c>
      <c r="AH243" s="103">
        <v>105164.15466994217</v>
      </c>
      <c r="AI243" s="172">
        <v>4</v>
      </c>
      <c r="AK243" s="104">
        <f ca="1">IFERROR(OFFSET(ITEM_RES!$A$5,MATCH(AL243,ITEM_RES!$M$5:$M$84,0)-1,0),0)</f>
        <v>220000110</v>
      </c>
      <c r="AL243" s="103" t="s">
        <v>582</v>
      </c>
      <c r="AM243" s="104">
        <f t="shared" si="171"/>
        <v>2800</v>
      </c>
      <c r="AN243" s="103">
        <v>2815.2890113766143</v>
      </c>
      <c r="AP243" s="104">
        <f ca="1">IFERROR(OFFSET(ITEM_RES!$A$5,MATCH(AQ243,ITEM_RES!$M$5:$M$84,0)-1,0),0)</f>
        <v>220000210</v>
      </c>
      <c r="AQ243" s="103" t="s">
        <v>600</v>
      </c>
      <c r="AR243" s="104">
        <f t="shared" si="172"/>
        <v>1700</v>
      </c>
      <c r="AS243" s="103">
        <v>1689.1734068259684</v>
      </c>
      <c r="AU243" s="104">
        <f ca="1">IFERROR(OFFSET(ITEM_RES!$A$5,MATCH(AV243,ITEM_RES!$M$5:$M$84,0)-1,0),0)</f>
        <v>220000310</v>
      </c>
      <c r="AV243" s="103" t="s">
        <v>618</v>
      </c>
      <c r="AW243" s="104">
        <f t="shared" si="173"/>
        <v>1100</v>
      </c>
      <c r="AX243" s="103">
        <v>1126.1156045506457</v>
      </c>
      <c r="AZ243" s="104">
        <f ca="1">IFERROR(OFFSET(ITEM_RES!$A$5,MATCH(BA243,ITEM_RES!$M$5:$M$84,0)-1,0),0)</f>
        <v>220000410</v>
      </c>
      <c r="BA243" s="103" t="s">
        <v>636</v>
      </c>
      <c r="BB243" s="104">
        <f t="shared" si="174"/>
        <v>560</v>
      </c>
      <c r="BC243" s="103">
        <v>563.05780227532284</v>
      </c>
      <c r="BE243" s="104">
        <f ca="1">IFERROR(OFFSET(ITEM_RES!$A$5,MATCH(BF243,ITEM_RES!$M$5:$M$84,0)-1,0),0)</f>
        <v>0</v>
      </c>
      <c r="BG243" s="104">
        <f t="shared" si="175"/>
        <v>0</v>
      </c>
    </row>
    <row r="244" spans="1:60" ht="17.25" thickBot="1" x14ac:dyDescent="0.35">
      <c r="A244" s="107">
        <f t="shared" si="169"/>
        <v>112030030</v>
      </c>
      <c r="B244" s="106">
        <v>11</v>
      </c>
      <c r="C244" s="105">
        <f t="shared" si="170"/>
        <v>2</v>
      </c>
      <c r="D244" s="106">
        <v>3</v>
      </c>
      <c r="E244" s="106">
        <v>0</v>
      </c>
      <c r="F244" s="105">
        <f t="shared" si="131"/>
        <v>30</v>
      </c>
      <c r="H244" s="102">
        <v>2</v>
      </c>
      <c r="I244" s="102">
        <v>30</v>
      </c>
      <c r="K244" s="102" t="s">
        <v>1041</v>
      </c>
      <c r="L244" s="102" t="s">
        <v>780</v>
      </c>
      <c r="M244" s="103" t="s">
        <v>506</v>
      </c>
      <c r="N244" s="102">
        <v>0</v>
      </c>
      <c r="O244" s="102">
        <v>12</v>
      </c>
      <c r="P244" s="102" t="s">
        <v>748</v>
      </c>
      <c r="Q244" s="103" t="s">
        <v>1160</v>
      </c>
      <c r="R244" s="103">
        <v>112030030</v>
      </c>
      <c r="S244" s="104" t="str">
        <f t="shared" si="139"/>
        <v>UITexture/Bldg/112030030.png</v>
      </c>
      <c r="T244" s="102" t="s">
        <v>1049</v>
      </c>
      <c r="U244" s="102">
        <v>3</v>
      </c>
      <c r="V244" s="102">
        <v>1</v>
      </c>
      <c r="W244" s="102">
        <v>2</v>
      </c>
      <c r="Y244" s="104">
        <f t="shared" si="138"/>
        <v>203</v>
      </c>
      <c r="Z244" s="102">
        <v>300</v>
      </c>
      <c r="AA244" s="102">
        <v>1</v>
      </c>
      <c r="AB244" s="102">
        <v>1</v>
      </c>
      <c r="AC244" s="102">
        <v>0</v>
      </c>
      <c r="AD244" s="102" t="s">
        <v>1153</v>
      </c>
      <c r="AE244" s="102">
        <v>30</v>
      </c>
      <c r="AG244" s="104">
        <f t="shared" si="132"/>
        <v>107267</v>
      </c>
      <c r="AH244" s="103">
        <v>107267.437763341</v>
      </c>
      <c r="AI244" s="172">
        <v>4</v>
      </c>
      <c r="AK244" s="104">
        <f ca="1">IFERROR(OFFSET(ITEM_RES!$A$5,MATCH(AL244,ITEM_RES!$M$5:$M$84,0)-1,0),0)</f>
        <v>220000110</v>
      </c>
      <c r="AL244" s="103" t="s">
        <v>582</v>
      </c>
      <c r="AM244" s="104">
        <f t="shared" si="171"/>
        <v>3400</v>
      </c>
      <c r="AN244" s="103">
        <v>3445.9137499249759</v>
      </c>
      <c r="AP244" s="104">
        <f ca="1">IFERROR(OFFSET(ITEM_RES!$A$5,MATCH(AQ244,ITEM_RES!$M$5:$M$84,0)-1,0),0)</f>
        <v>220000210</v>
      </c>
      <c r="AQ244" s="103" t="s">
        <v>600</v>
      </c>
      <c r="AR244" s="104">
        <f t="shared" si="172"/>
        <v>2100</v>
      </c>
      <c r="AS244" s="103">
        <v>2067.5482499549857</v>
      </c>
      <c r="AU244" s="104">
        <f ca="1">IFERROR(OFFSET(ITEM_RES!$A$5,MATCH(AV244,ITEM_RES!$M$5:$M$84,0)-1,0),0)</f>
        <v>220000310</v>
      </c>
      <c r="AV244" s="103" t="s">
        <v>618</v>
      </c>
      <c r="AW244" s="104">
        <f t="shared" si="173"/>
        <v>1400</v>
      </c>
      <c r="AX244" s="103">
        <v>1378.3654999699904</v>
      </c>
      <c r="AZ244" s="104">
        <f ca="1">IFERROR(OFFSET(ITEM_RES!$A$5,MATCH(BA244,ITEM_RES!$M$5:$M$84,0)-1,0),0)</f>
        <v>220000410</v>
      </c>
      <c r="BA244" s="103" t="s">
        <v>636</v>
      </c>
      <c r="BB244" s="104">
        <f t="shared" si="174"/>
        <v>690</v>
      </c>
      <c r="BC244" s="103">
        <v>689.18274998499521</v>
      </c>
      <c r="BE244" s="104">
        <f ca="1">IFERROR(OFFSET(ITEM_RES!$A$5,MATCH(BF244,ITEM_RES!$M$5:$M$84,0)-1,0),0)</f>
        <v>0</v>
      </c>
      <c r="BG244" s="104">
        <f t="shared" si="175"/>
        <v>0</v>
      </c>
    </row>
    <row r="245" spans="1:60" s="115" customFormat="1" x14ac:dyDescent="0.3">
      <c r="A245" s="121">
        <f>B245*10000000+C245*1000000+D245*10000+E245*100+F245</f>
        <v>112040001</v>
      </c>
      <c r="B245" s="120">
        <v>11</v>
      </c>
      <c r="C245" s="119">
        <f>H245</f>
        <v>2</v>
      </c>
      <c r="D245" s="120">
        <v>4</v>
      </c>
      <c r="E245" s="120">
        <v>0</v>
      </c>
      <c r="F245" s="119">
        <f t="shared" si="131"/>
        <v>1</v>
      </c>
      <c r="G245" s="255"/>
      <c r="H245" s="116">
        <v>2</v>
      </c>
      <c r="I245" s="116">
        <v>1</v>
      </c>
      <c r="J245" s="255"/>
      <c r="K245" s="116" t="s">
        <v>1041</v>
      </c>
      <c r="L245" s="116" t="s">
        <v>782</v>
      </c>
      <c r="M245" s="117" t="s">
        <v>502</v>
      </c>
      <c r="N245" s="116">
        <v>1</v>
      </c>
      <c r="O245" s="116">
        <v>12</v>
      </c>
      <c r="P245" s="116" t="s">
        <v>744</v>
      </c>
      <c r="Q245" s="117" t="s">
        <v>1160</v>
      </c>
      <c r="R245" s="117">
        <v>112040001</v>
      </c>
      <c r="S245" s="118" t="str">
        <f t="shared" si="139"/>
        <v>UITexture/Bldg/112040001.png</v>
      </c>
      <c r="T245" s="116" t="s">
        <v>1050</v>
      </c>
      <c r="U245" s="116">
        <v>4</v>
      </c>
      <c r="V245" s="116">
        <v>1</v>
      </c>
      <c r="W245" s="116">
        <v>2</v>
      </c>
      <c r="X245" s="255"/>
      <c r="Y245" s="118">
        <f t="shared" si="138"/>
        <v>204</v>
      </c>
      <c r="Z245" s="116">
        <v>10</v>
      </c>
      <c r="AA245" s="116">
        <v>1</v>
      </c>
      <c r="AB245" s="116">
        <v>4</v>
      </c>
      <c r="AC245" s="116">
        <v>0</v>
      </c>
      <c r="AD245" s="116" t="s">
        <v>1154</v>
      </c>
      <c r="AE245" s="116">
        <v>1</v>
      </c>
      <c r="AF245" s="255"/>
      <c r="AG245" s="118">
        <f t="shared" si="132"/>
        <v>7</v>
      </c>
      <c r="AH245" s="117">
        <v>7.0175438596491224</v>
      </c>
      <c r="AI245" s="174">
        <v>2</v>
      </c>
      <c r="AJ245" s="118"/>
      <c r="AK245" s="118">
        <f ca="1">IFERROR(OFFSET(ITEM_RES!$A$5,MATCH(AL245,ITEM_RES!$M$5:$M$84,0)-1,0),0)</f>
        <v>220000101</v>
      </c>
      <c r="AL245" s="117" t="s">
        <v>573</v>
      </c>
      <c r="AM245" s="118">
        <f>IF(AN245&lt;100,ROUND(AN245,1-LEN(ROUND(AN245,0))),ROUND(AN245,2-LEN(ROUND(AN245,0))))</f>
        <v>10</v>
      </c>
      <c r="AN245" s="117">
        <v>14.035087719298245</v>
      </c>
      <c r="AO245" s="118"/>
      <c r="AP245" s="118">
        <f ca="1">IFERROR(OFFSET(ITEM_RES!$A$5,MATCH(AQ245,ITEM_RES!$M$5:$M$84,0)-1,0),0)</f>
        <v>220000201</v>
      </c>
      <c r="AQ245" s="117" t="s">
        <v>591</v>
      </c>
      <c r="AR245" s="118">
        <f>IF(AS245&lt;100,ROUND(AS245,1-LEN(ROUND(AS245,0))),ROUND(AS245,2-LEN(ROUND(AS245,0))))</f>
        <v>8</v>
      </c>
      <c r="AS245" s="117">
        <v>8.4210526315789469</v>
      </c>
      <c r="AT245" s="118"/>
      <c r="AU245" s="118">
        <f ca="1">IFERROR(OFFSET(ITEM_RES!$A$5,MATCH(AV245,ITEM_RES!$M$5:$M$84,0)-1,0),0)</f>
        <v>220000301</v>
      </c>
      <c r="AV245" s="117" t="s">
        <v>609</v>
      </c>
      <c r="AW245" s="118">
        <f>IF(AX245&lt;100,ROUND(AX245,1-LEN(ROUND(AX245,0))),ROUND(AX245,2-LEN(ROUND(AX245,0))))</f>
        <v>0</v>
      </c>
      <c r="AX245" s="117">
        <v>0</v>
      </c>
      <c r="AY245" s="118"/>
      <c r="AZ245" s="118">
        <f ca="1">IFERROR(OFFSET(ITEM_RES!$A$5,MATCH(BA245,ITEM_RES!$M$5:$M$84,0)-1,0),0)</f>
        <v>220000401</v>
      </c>
      <c r="BA245" s="117" t="s">
        <v>627</v>
      </c>
      <c r="BB245" s="118">
        <f>IF(BC245&lt;100,ROUND(BC245,1-LEN(ROUND(BC245,0))),ROUND(BC245,2-LEN(ROUND(BC245,0))))</f>
        <v>0</v>
      </c>
      <c r="BC245" s="117">
        <v>0</v>
      </c>
      <c r="BD245" s="118"/>
      <c r="BE245" s="118">
        <f ca="1">IFERROR(OFFSET(ITEM_RES!$A$5,MATCH(BF245,ITEM_RES!$M$5:$M$84,0)-1,0),0)</f>
        <v>0</v>
      </c>
      <c r="BF245" s="117"/>
      <c r="BG245" s="118">
        <f>IF(BH245&lt;100,ROUND(BH245,1-LEN(ROUND(BH245,0))),ROUND(BH245,2-LEN(ROUND(BH245,0))))</f>
        <v>0</v>
      </c>
      <c r="BH245" s="117"/>
    </row>
    <row r="246" spans="1:60" x14ac:dyDescent="0.3">
      <c r="A246" s="107">
        <f>B246*10000000+C246*1000000+D246*10000+E246*100+F246</f>
        <v>112040002</v>
      </c>
      <c r="B246" s="106">
        <v>11</v>
      </c>
      <c r="C246" s="105">
        <f>H246</f>
        <v>2</v>
      </c>
      <c r="D246" s="106">
        <v>4</v>
      </c>
      <c r="E246" s="106">
        <v>0</v>
      </c>
      <c r="F246" s="105">
        <f t="shared" si="131"/>
        <v>2</v>
      </c>
      <c r="H246" s="102">
        <v>2</v>
      </c>
      <c r="I246" s="102">
        <v>2</v>
      </c>
      <c r="K246" s="102" t="s">
        <v>1041</v>
      </c>
      <c r="L246" s="102" t="s">
        <v>782</v>
      </c>
      <c r="M246" s="103" t="s">
        <v>502</v>
      </c>
      <c r="N246" s="102">
        <v>1</v>
      </c>
      <c r="O246" s="102">
        <v>12</v>
      </c>
      <c r="P246" s="102" t="s">
        <v>744</v>
      </c>
      <c r="Q246" s="103" t="s">
        <v>1160</v>
      </c>
      <c r="R246" s="103">
        <v>112040002</v>
      </c>
      <c r="S246" s="104" t="str">
        <f t="shared" si="139"/>
        <v>UITexture/Bldg/112040002.png</v>
      </c>
      <c r="T246" s="102" t="s">
        <v>1050</v>
      </c>
      <c r="U246" s="102">
        <v>4</v>
      </c>
      <c r="V246" s="102">
        <v>1</v>
      </c>
      <c r="W246" s="102">
        <v>2</v>
      </c>
      <c r="Y246" s="104">
        <f t="shared" si="138"/>
        <v>204</v>
      </c>
      <c r="Z246" s="102">
        <v>20</v>
      </c>
      <c r="AA246" s="102">
        <v>1</v>
      </c>
      <c r="AB246" s="102">
        <v>4</v>
      </c>
      <c r="AC246" s="102">
        <v>0</v>
      </c>
      <c r="AD246" s="102" t="s">
        <v>1154</v>
      </c>
      <c r="AE246" s="102">
        <v>2</v>
      </c>
      <c r="AG246" s="104">
        <f t="shared" si="132"/>
        <v>28</v>
      </c>
      <c r="AH246" s="103">
        <v>28.07017543859649</v>
      </c>
      <c r="AI246" s="172">
        <v>2</v>
      </c>
      <c r="AK246" s="104">
        <f ca="1">IFERROR(OFFSET(ITEM_RES!$A$5,MATCH(AL246,ITEM_RES!$M$5:$M$84,0)-1,0),0)</f>
        <v>220000101</v>
      </c>
      <c r="AL246" s="103" t="s">
        <v>573</v>
      </c>
      <c r="AM246" s="104">
        <f>IF(AN246&lt;100,ROUND(AN246,1-LEN(ROUND(AN246,0))),ROUND(AN246,2-LEN(ROUND(AN246,0))))</f>
        <v>70</v>
      </c>
      <c r="AN246" s="103">
        <v>70.175438596491219</v>
      </c>
      <c r="AP246" s="104">
        <f ca="1">IFERROR(OFFSET(ITEM_RES!$A$5,MATCH(AQ246,ITEM_RES!$M$5:$M$84,0)-1,0),0)</f>
        <v>220000201</v>
      </c>
      <c r="AQ246" s="103" t="s">
        <v>591</v>
      </c>
      <c r="AR246" s="104">
        <f>IF(AS246&lt;100,ROUND(AS246,1-LEN(ROUND(AS246,0))),ROUND(AS246,2-LEN(ROUND(AS246,0))))</f>
        <v>40</v>
      </c>
      <c r="AS246" s="103">
        <v>42.105263157894733</v>
      </c>
      <c r="AU246" s="104">
        <f ca="1">IFERROR(OFFSET(ITEM_RES!$A$5,MATCH(AV246,ITEM_RES!$M$5:$M$84,0)-1,0),0)</f>
        <v>220000301</v>
      </c>
      <c r="AV246" s="103" t="s">
        <v>609</v>
      </c>
      <c r="AW246" s="104">
        <f>IF(AX246&lt;100,ROUND(AX246,1-LEN(ROUND(AX246,0))),ROUND(AX246,2-LEN(ROUND(AX246,0))))</f>
        <v>0</v>
      </c>
      <c r="AX246" s="103">
        <v>0</v>
      </c>
      <c r="AZ246" s="104">
        <f ca="1">IFERROR(OFFSET(ITEM_RES!$A$5,MATCH(BA246,ITEM_RES!$M$5:$M$84,0)-1,0),0)</f>
        <v>220000401</v>
      </c>
      <c r="BA246" s="103" t="s">
        <v>627</v>
      </c>
      <c r="BB246" s="104">
        <f>IF(BC246&lt;100,ROUND(BC246,1-LEN(ROUND(BC246,0))),ROUND(BC246,2-LEN(ROUND(BC246,0))))</f>
        <v>0</v>
      </c>
      <c r="BC246" s="103">
        <v>0</v>
      </c>
      <c r="BE246" s="104">
        <f ca="1">IFERROR(OFFSET(ITEM_RES!$A$5,MATCH(BF246,ITEM_RES!$M$5:$M$84,0)-1,0),0)</f>
        <v>0</v>
      </c>
      <c r="BG246" s="104">
        <f>IF(BH246&lt;100,ROUND(BH246,1-LEN(ROUND(BH246,0))),ROUND(BH246,2-LEN(ROUND(BH246,0))))</f>
        <v>0</v>
      </c>
    </row>
    <row r="247" spans="1:60" x14ac:dyDescent="0.3">
      <c r="A247" s="107">
        <f>B247*10000000+C247*1000000+D247*10000+E247*100+F247</f>
        <v>112040003</v>
      </c>
      <c r="B247" s="106">
        <v>11</v>
      </c>
      <c r="C247" s="105">
        <f>H247</f>
        <v>2</v>
      </c>
      <c r="D247" s="106">
        <v>4</v>
      </c>
      <c r="E247" s="106">
        <v>0</v>
      </c>
      <c r="F247" s="105">
        <f t="shared" si="131"/>
        <v>3</v>
      </c>
      <c r="H247" s="102">
        <v>2</v>
      </c>
      <c r="I247" s="102">
        <v>3</v>
      </c>
      <c r="K247" s="102" t="s">
        <v>1041</v>
      </c>
      <c r="L247" s="102" t="s">
        <v>782</v>
      </c>
      <c r="M247" s="103" t="s">
        <v>502</v>
      </c>
      <c r="N247" s="102">
        <v>1</v>
      </c>
      <c r="O247" s="102">
        <v>12</v>
      </c>
      <c r="P247" s="102" t="s">
        <v>744</v>
      </c>
      <c r="Q247" s="103" t="s">
        <v>1160</v>
      </c>
      <c r="R247" s="103">
        <v>112040003</v>
      </c>
      <c r="S247" s="104" t="str">
        <f t="shared" si="139"/>
        <v>UITexture/Bldg/112040003.png</v>
      </c>
      <c r="T247" s="102" t="s">
        <v>1050</v>
      </c>
      <c r="U247" s="102">
        <v>4</v>
      </c>
      <c r="V247" s="102">
        <v>1</v>
      </c>
      <c r="W247" s="102">
        <v>2</v>
      </c>
      <c r="Y247" s="104">
        <f t="shared" si="138"/>
        <v>204</v>
      </c>
      <c r="Z247" s="102">
        <v>30</v>
      </c>
      <c r="AA247" s="102">
        <v>1</v>
      </c>
      <c r="AB247" s="102">
        <v>4</v>
      </c>
      <c r="AC247" s="102">
        <v>0</v>
      </c>
      <c r="AD247" s="102" t="s">
        <v>1154</v>
      </c>
      <c r="AE247" s="102">
        <v>3</v>
      </c>
      <c r="AG247" s="104">
        <f t="shared" si="132"/>
        <v>112</v>
      </c>
      <c r="AH247" s="103">
        <v>112.28070175438596</v>
      </c>
      <c r="AI247" s="172">
        <v>2</v>
      </c>
      <c r="AK247" s="104">
        <f ca="1">IFERROR(OFFSET(ITEM_RES!$A$5,MATCH(AL247,ITEM_RES!$M$5:$M$84,0)-1,0),0)</f>
        <v>220000101</v>
      </c>
      <c r="AL247" s="103" t="s">
        <v>573</v>
      </c>
      <c r="AM247" s="104">
        <f>IF(AN247&lt;100,ROUND(AN247,1-LEN(ROUND(AN247,0))),ROUND(AN247,2-LEN(ROUND(AN247,0))))</f>
        <v>350</v>
      </c>
      <c r="AN247" s="103">
        <v>350.87719298245617</v>
      </c>
      <c r="AP247" s="104">
        <f ca="1">IFERROR(OFFSET(ITEM_RES!$A$5,MATCH(AQ247,ITEM_RES!$M$5:$M$84,0)-1,0),0)</f>
        <v>220000201</v>
      </c>
      <c r="AQ247" s="103" t="s">
        <v>591</v>
      </c>
      <c r="AR247" s="104">
        <f>IF(AS247&lt;100,ROUND(AS247,1-LEN(ROUND(AS247,0))),ROUND(AS247,2-LEN(ROUND(AS247,0))))</f>
        <v>210</v>
      </c>
      <c r="AS247" s="103">
        <v>210.5263157894737</v>
      </c>
      <c r="AU247" s="104">
        <f ca="1">IFERROR(OFFSET(ITEM_RES!$A$5,MATCH(AV247,ITEM_RES!$M$5:$M$84,0)-1,0),0)</f>
        <v>220000301</v>
      </c>
      <c r="AV247" s="103" t="s">
        <v>609</v>
      </c>
      <c r="AW247" s="104">
        <f>IF(AX247&lt;100,ROUND(AX247,1-LEN(ROUND(AX247,0))),ROUND(AX247,2-LEN(ROUND(AX247,0))))</f>
        <v>0</v>
      </c>
      <c r="AX247" s="103">
        <v>0</v>
      </c>
      <c r="AZ247" s="104">
        <f ca="1">IFERROR(OFFSET(ITEM_RES!$A$5,MATCH(BA247,ITEM_RES!$M$5:$M$84,0)-1,0),0)</f>
        <v>220000401</v>
      </c>
      <c r="BA247" s="103" t="s">
        <v>627</v>
      </c>
      <c r="BB247" s="104">
        <f>IF(BC247&lt;100,ROUND(BC247,1-LEN(ROUND(BC247,0))),ROUND(BC247,2-LEN(ROUND(BC247,0))))</f>
        <v>0</v>
      </c>
      <c r="BC247" s="103">
        <v>0</v>
      </c>
      <c r="BE247" s="104">
        <f ca="1">IFERROR(OFFSET(ITEM_RES!$A$5,MATCH(BF247,ITEM_RES!$M$5:$M$84,0)-1,0),0)</f>
        <v>0</v>
      </c>
      <c r="BG247" s="104">
        <f>IF(BH247&lt;100,ROUND(BH247,1-LEN(ROUND(BH247,0))),ROUND(BH247,2-LEN(ROUND(BH247,0))))</f>
        <v>0</v>
      </c>
    </row>
    <row r="248" spans="1:60" x14ac:dyDescent="0.3">
      <c r="A248" s="107">
        <f>B248*10000000+C248*1000000+D248*10000+E248*100+F248</f>
        <v>112040004</v>
      </c>
      <c r="B248" s="106">
        <v>11</v>
      </c>
      <c r="C248" s="105">
        <f>H248</f>
        <v>2</v>
      </c>
      <c r="D248" s="106">
        <v>4</v>
      </c>
      <c r="E248" s="106">
        <v>0</v>
      </c>
      <c r="F248" s="105">
        <f t="shared" si="131"/>
        <v>4</v>
      </c>
      <c r="H248" s="102">
        <v>2</v>
      </c>
      <c r="I248" s="102">
        <v>4</v>
      </c>
      <c r="K248" s="102" t="s">
        <v>1041</v>
      </c>
      <c r="L248" s="102" t="s">
        <v>782</v>
      </c>
      <c r="M248" s="103" t="s">
        <v>502</v>
      </c>
      <c r="N248" s="102">
        <v>1</v>
      </c>
      <c r="O248" s="102">
        <v>12</v>
      </c>
      <c r="P248" s="102" t="s">
        <v>744</v>
      </c>
      <c r="Q248" s="103" t="s">
        <v>1160</v>
      </c>
      <c r="R248" s="103">
        <v>112040004</v>
      </c>
      <c r="S248" s="104" t="str">
        <f t="shared" si="139"/>
        <v>UITexture/Bldg/112040004.png</v>
      </c>
      <c r="T248" s="102" t="s">
        <v>1050</v>
      </c>
      <c r="U248" s="102">
        <v>4</v>
      </c>
      <c r="V248" s="102">
        <v>1</v>
      </c>
      <c r="W248" s="102">
        <v>2</v>
      </c>
      <c r="Y248" s="104">
        <f t="shared" si="138"/>
        <v>204</v>
      </c>
      <c r="Z248" s="102">
        <v>40</v>
      </c>
      <c r="AA248" s="102">
        <v>1</v>
      </c>
      <c r="AB248" s="102">
        <v>4</v>
      </c>
      <c r="AC248" s="102">
        <v>0</v>
      </c>
      <c r="AD248" s="102" t="s">
        <v>1154</v>
      </c>
      <c r="AE248" s="102">
        <v>4</v>
      </c>
      <c r="AG248" s="104">
        <f t="shared" si="132"/>
        <v>449</v>
      </c>
      <c r="AH248" s="103">
        <v>449.12280701754383</v>
      </c>
      <c r="AI248" s="172">
        <v>2</v>
      </c>
      <c r="AK248" s="104">
        <f ca="1">IFERROR(OFFSET(ITEM_RES!$A$5,MATCH(AL248,ITEM_RES!$M$5:$M$84,0)-1,0),0)</f>
        <v>220000102</v>
      </c>
      <c r="AL248" s="103" t="s">
        <v>574</v>
      </c>
      <c r="AM248" s="104">
        <f>IF(AN248&lt;100,ROUND(AN248,1-LEN(ROUND(AN248,0))),ROUND(AN248,2-LEN(ROUND(AN248,0))))</f>
        <v>580</v>
      </c>
      <c r="AN248" s="103">
        <v>584.79532163742692</v>
      </c>
      <c r="AP248" s="104">
        <f ca="1">IFERROR(OFFSET(ITEM_RES!$A$5,MATCH(AQ248,ITEM_RES!$M$5:$M$84,0)-1,0),0)</f>
        <v>220000202</v>
      </c>
      <c r="AQ248" s="103" t="s">
        <v>592</v>
      </c>
      <c r="AR248" s="104">
        <f>IF(AS248&lt;100,ROUND(AS248,1-LEN(ROUND(AS248,0))),ROUND(AS248,2-LEN(ROUND(AS248,0))))</f>
        <v>350</v>
      </c>
      <c r="AS248" s="103">
        <v>350.87719298245617</v>
      </c>
      <c r="AU248" s="104">
        <f ca="1">IFERROR(OFFSET(ITEM_RES!$A$5,MATCH(AV248,ITEM_RES!$M$5:$M$84,0)-1,0),0)</f>
        <v>220000302</v>
      </c>
      <c r="AV248" s="103" t="s">
        <v>610</v>
      </c>
      <c r="AW248" s="104">
        <f>IF(AX248&lt;100,ROUND(AX248,1-LEN(ROUND(AX248,0))),ROUND(AX248,2-LEN(ROUND(AX248,0))))</f>
        <v>0</v>
      </c>
      <c r="AX248" s="103">
        <v>0</v>
      </c>
      <c r="AZ248" s="104">
        <f ca="1">IFERROR(OFFSET(ITEM_RES!$A$5,MATCH(BA248,ITEM_RES!$M$5:$M$84,0)-1,0),0)</f>
        <v>220000402</v>
      </c>
      <c r="BA248" s="103" t="s">
        <v>628</v>
      </c>
      <c r="BB248" s="104">
        <f>IF(BC248&lt;100,ROUND(BC248,1-LEN(ROUND(BC248,0))),ROUND(BC248,2-LEN(ROUND(BC248,0))))</f>
        <v>0</v>
      </c>
      <c r="BC248" s="103">
        <v>0</v>
      </c>
      <c r="BE248" s="104">
        <f ca="1">IFERROR(OFFSET(ITEM_RES!$A$5,MATCH(BF248,ITEM_RES!$M$5:$M$84,0)-1,0),0)</f>
        <v>0</v>
      </c>
      <c r="BG248" s="104">
        <f>IF(BH248&lt;100,ROUND(BH248,1-LEN(ROUND(BH248,0))),ROUND(BH248,2-LEN(ROUND(BH248,0))))</f>
        <v>0</v>
      </c>
    </row>
    <row r="249" spans="1:60" x14ac:dyDescent="0.3">
      <c r="A249" s="107">
        <f>B249*10000000+C249*1000000+D249*10000+E249*100+F249</f>
        <v>112040005</v>
      </c>
      <c r="B249" s="106">
        <v>11</v>
      </c>
      <c r="C249" s="105">
        <f>H249</f>
        <v>2</v>
      </c>
      <c r="D249" s="106">
        <v>4</v>
      </c>
      <c r="E249" s="106">
        <v>0</v>
      </c>
      <c r="F249" s="105">
        <f t="shared" si="131"/>
        <v>5</v>
      </c>
      <c r="H249" s="102">
        <v>2</v>
      </c>
      <c r="I249" s="102">
        <v>5</v>
      </c>
      <c r="K249" s="102" t="s">
        <v>1041</v>
      </c>
      <c r="L249" s="102" t="s">
        <v>782</v>
      </c>
      <c r="M249" s="103" t="s">
        <v>502</v>
      </c>
      <c r="N249" s="102">
        <v>1</v>
      </c>
      <c r="O249" s="102">
        <v>12</v>
      </c>
      <c r="P249" s="102" t="s">
        <v>744</v>
      </c>
      <c r="Q249" s="103" t="s">
        <v>1160</v>
      </c>
      <c r="R249" s="103">
        <v>112040005</v>
      </c>
      <c r="S249" s="104" t="str">
        <f t="shared" si="139"/>
        <v>UITexture/Bldg/112040005.png</v>
      </c>
      <c r="T249" s="102" t="s">
        <v>1050</v>
      </c>
      <c r="U249" s="102">
        <v>4</v>
      </c>
      <c r="V249" s="102">
        <v>1</v>
      </c>
      <c r="W249" s="102">
        <v>2</v>
      </c>
      <c r="Y249" s="104">
        <f t="shared" si="138"/>
        <v>204</v>
      </c>
      <c r="Z249" s="102">
        <v>50</v>
      </c>
      <c r="AA249" s="102">
        <v>1</v>
      </c>
      <c r="AB249" s="102">
        <v>4</v>
      </c>
      <c r="AC249" s="102">
        <v>0</v>
      </c>
      <c r="AD249" s="102" t="s">
        <v>1154</v>
      </c>
      <c r="AE249" s="102">
        <v>5</v>
      </c>
      <c r="AG249" s="104">
        <f t="shared" si="132"/>
        <v>1347</v>
      </c>
      <c r="AH249" s="103">
        <v>1347.3684210526317</v>
      </c>
      <c r="AI249" s="172">
        <v>2</v>
      </c>
      <c r="AK249" s="104">
        <f ca="1">IFERROR(OFFSET(ITEM_RES!$A$5,MATCH(AL249,ITEM_RES!$M$5:$M$84,0)-1,0),0)</f>
        <v>220000102</v>
      </c>
      <c r="AL249" s="103" t="s">
        <v>574</v>
      </c>
      <c r="AM249" s="104">
        <f>IF(AN249&lt;100,ROUND(AN249,1-LEN(ROUND(AN249,0))),ROUND(AN249,2-LEN(ROUND(AN249,0))))</f>
        <v>2200</v>
      </c>
      <c r="AN249" s="103">
        <v>2192.9824561403511</v>
      </c>
      <c r="AP249" s="104">
        <f ca="1">IFERROR(OFFSET(ITEM_RES!$A$5,MATCH(AQ249,ITEM_RES!$M$5:$M$84,0)-1,0),0)</f>
        <v>220000202</v>
      </c>
      <c r="AQ249" s="103" t="s">
        <v>592</v>
      </c>
      <c r="AR249" s="104">
        <f>IF(AS249&lt;100,ROUND(AS249,1-LEN(ROUND(AS249,0))),ROUND(AS249,2-LEN(ROUND(AS249,0))))</f>
        <v>1300</v>
      </c>
      <c r="AS249" s="103">
        <v>1315.7894736842106</v>
      </c>
      <c r="AU249" s="104">
        <f ca="1">IFERROR(OFFSET(ITEM_RES!$A$5,MATCH(AV249,ITEM_RES!$M$5:$M$84,0)-1,0),0)</f>
        <v>220000302</v>
      </c>
      <c r="AV249" s="103" t="s">
        <v>610</v>
      </c>
      <c r="AW249" s="104">
        <f>IF(AX249&lt;100,ROUND(AX249,1-LEN(ROUND(AX249,0))),ROUND(AX249,2-LEN(ROUND(AX249,0))))</f>
        <v>0</v>
      </c>
      <c r="AX249" s="103">
        <v>0</v>
      </c>
      <c r="AZ249" s="104">
        <f ca="1">IFERROR(OFFSET(ITEM_RES!$A$5,MATCH(BA249,ITEM_RES!$M$5:$M$84,0)-1,0),0)</f>
        <v>220000402</v>
      </c>
      <c r="BA249" s="103" t="s">
        <v>628</v>
      </c>
      <c r="BB249" s="104">
        <f>IF(BC249&lt;100,ROUND(BC249,1-LEN(ROUND(BC249,0))),ROUND(BC249,2-LEN(ROUND(BC249,0))))</f>
        <v>0</v>
      </c>
      <c r="BC249" s="103">
        <v>0</v>
      </c>
      <c r="BE249" s="104">
        <f ca="1">IFERROR(OFFSET(ITEM_RES!$A$5,MATCH(BF249,ITEM_RES!$M$5:$M$84,0)-1,0),0)</f>
        <v>0</v>
      </c>
      <c r="BG249" s="104">
        <f>IF(BH249&lt;100,ROUND(BH249,1-LEN(ROUND(BH249,0))),ROUND(BH249,2-LEN(ROUND(BH249,0))))</f>
        <v>0</v>
      </c>
    </row>
    <row r="250" spans="1:60" x14ac:dyDescent="0.3">
      <c r="A250" s="107">
        <f t="shared" ref="A250:A254" si="176">B250*10000000+C250*1000000+D250*10000+E250*100+F250</f>
        <v>112040006</v>
      </c>
      <c r="B250" s="106">
        <v>11</v>
      </c>
      <c r="C250" s="105">
        <f t="shared" ref="C250:C254" si="177">H250</f>
        <v>2</v>
      </c>
      <c r="D250" s="106">
        <v>4</v>
      </c>
      <c r="E250" s="106">
        <v>0</v>
      </c>
      <c r="F250" s="105">
        <f t="shared" si="131"/>
        <v>6</v>
      </c>
      <c r="H250" s="102">
        <v>2</v>
      </c>
      <c r="I250" s="102">
        <v>6</v>
      </c>
      <c r="K250" s="102" t="s">
        <v>1041</v>
      </c>
      <c r="L250" s="102" t="s">
        <v>782</v>
      </c>
      <c r="M250" s="103" t="s">
        <v>502</v>
      </c>
      <c r="N250" s="102">
        <v>1</v>
      </c>
      <c r="O250" s="102">
        <v>12</v>
      </c>
      <c r="P250" s="102" t="s">
        <v>744</v>
      </c>
      <c r="Q250" s="103" t="s">
        <v>1160</v>
      </c>
      <c r="R250" s="103">
        <v>112040006</v>
      </c>
      <c r="S250" s="104" t="str">
        <f t="shared" si="139"/>
        <v>UITexture/Bldg/112040006.png</v>
      </c>
      <c r="T250" s="102" t="s">
        <v>1050</v>
      </c>
      <c r="U250" s="102">
        <v>4</v>
      </c>
      <c r="V250" s="102">
        <v>1</v>
      </c>
      <c r="W250" s="102">
        <v>2</v>
      </c>
      <c r="Y250" s="104">
        <f t="shared" si="138"/>
        <v>204</v>
      </c>
      <c r="Z250" s="102">
        <v>60</v>
      </c>
      <c r="AA250" s="102">
        <v>1</v>
      </c>
      <c r="AB250" s="102">
        <v>4</v>
      </c>
      <c r="AC250" s="102">
        <v>0</v>
      </c>
      <c r="AD250" s="102" t="s">
        <v>1154</v>
      </c>
      <c r="AE250" s="102">
        <v>6</v>
      </c>
      <c r="AG250" s="104">
        <f t="shared" si="132"/>
        <v>2695</v>
      </c>
      <c r="AH250" s="103">
        <v>2694.7368421052633</v>
      </c>
      <c r="AI250" s="172">
        <v>3</v>
      </c>
      <c r="AK250" s="104">
        <f ca="1">IFERROR(OFFSET(ITEM_RES!$A$5,MATCH(AL250,ITEM_RES!$M$5:$M$84,0)-1,0),0)</f>
        <v>220000102</v>
      </c>
      <c r="AL250" s="103" t="s">
        <v>574</v>
      </c>
      <c r="AM250" s="104">
        <f t="shared" ref="AM250:AM254" si="178">IF(AN250&lt;100,ROUND(AN250,1-LEN(ROUND(AN250,0))),ROUND(AN250,2-LEN(ROUND(AN250,0))))</f>
        <v>4400</v>
      </c>
      <c r="AN250" s="103">
        <v>4385.9649122807014</v>
      </c>
      <c r="AP250" s="104">
        <f ca="1">IFERROR(OFFSET(ITEM_RES!$A$5,MATCH(AQ250,ITEM_RES!$M$5:$M$84,0)-1,0),0)</f>
        <v>220000202</v>
      </c>
      <c r="AQ250" s="103" t="s">
        <v>592</v>
      </c>
      <c r="AR250" s="104">
        <f t="shared" ref="AR250:AR254" si="179">IF(AS250&lt;100,ROUND(AS250,1-LEN(ROUND(AS250,0))),ROUND(AS250,2-LEN(ROUND(AS250,0))))</f>
        <v>2600</v>
      </c>
      <c r="AS250" s="103">
        <v>2631.5789473684208</v>
      </c>
      <c r="AU250" s="104">
        <f ca="1">IFERROR(OFFSET(ITEM_RES!$A$5,MATCH(AV250,ITEM_RES!$M$5:$M$84,0)-1,0),0)</f>
        <v>220000302</v>
      </c>
      <c r="AV250" s="103" t="s">
        <v>610</v>
      </c>
      <c r="AW250" s="104">
        <f t="shared" ref="AW250:AW254" si="180">IF(AX250&lt;100,ROUND(AX250,1-LEN(ROUND(AX250,0))),ROUND(AX250,2-LEN(ROUND(AX250,0))))</f>
        <v>880</v>
      </c>
      <c r="AX250" s="103">
        <v>877.19298245614027</v>
      </c>
      <c r="AZ250" s="104">
        <f ca="1">IFERROR(OFFSET(ITEM_RES!$A$5,MATCH(BA250,ITEM_RES!$M$5:$M$84,0)-1,0),0)</f>
        <v>220000402</v>
      </c>
      <c r="BA250" s="103" t="s">
        <v>628</v>
      </c>
      <c r="BB250" s="104">
        <f t="shared" ref="BB250:BB254" si="181">IF(BC250&lt;100,ROUND(BC250,1-LEN(ROUND(BC250,0))),ROUND(BC250,2-LEN(ROUND(BC250,0))))</f>
        <v>0</v>
      </c>
      <c r="BC250" s="103">
        <v>0</v>
      </c>
      <c r="BE250" s="104">
        <f ca="1">IFERROR(OFFSET(ITEM_RES!$A$5,MATCH(BF250,ITEM_RES!$M$5:$M$84,0)-1,0),0)</f>
        <v>0</v>
      </c>
      <c r="BG250" s="104">
        <f t="shared" ref="BG250:BG254" si="182">IF(BH250&lt;100,ROUND(BH250,1-LEN(ROUND(BH250,0))),ROUND(BH250,2-LEN(ROUND(BH250,0))))</f>
        <v>0</v>
      </c>
    </row>
    <row r="251" spans="1:60" x14ac:dyDescent="0.3">
      <c r="A251" s="107">
        <f t="shared" si="176"/>
        <v>112040007</v>
      </c>
      <c r="B251" s="106">
        <v>11</v>
      </c>
      <c r="C251" s="105">
        <f t="shared" si="177"/>
        <v>2</v>
      </c>
      <c r="D251" s="106">
        <v>4</v>
      </c>
      <c r="E251" s="106">
        <v>0</v>
      </c>
      <c r="F251" s="105">
        <f t="shared" si="131"/>
        <v>7</v>
      </c>
      <c r="H251" s="102">
        <v>2</v>
      </c>
      <c r="I251" s="102">
        <v>7</v>
      </c>
      <c r="K251" s="102" t="s">
        <v>1041</v>
      </c>
      <c r="L251" s="102" t="s">
        <v>782</v>
      </c>
      <c r="M251" s="103" t="s">
        <v>502</v>
      </c>
      <c r="N251" s="102">
        <v>1</v>
      </c>
      <c r="O251" s="102">
        <v>12</v>
      </c>
      <c r="P251" s="102" t="s">
        <v>744</v>
      </c>
      <c r="Q251" s="103" t="s">
        <v>1160</v>
      </c>
      <c r="R251" s="103">
        <v>112040007</v>
      </c>
      <c r="S251" s="104" t="str">
        <f t="shared" si="139"/>
        <v>UITexture/Bldg/112040007.png</v>
      </c>
      <c r="T251" s="102" t="s">
        <v>1050</v>
      </c>
      <c r="U251" s="102">
        <v>4</v>
      </c>
      <c r="V251" s="102">
        <v>1</v>
      </c>
      <c r="W251" s="102">
        <v>2</v>
      </c>
      <c r="Y251" s="104">
        <f t="shared" si="138"/>
        <v>204</v>
      </c>
      <c r="Z251" s="102">
        <v>70</v>
      </c>
      <c r="AA251" s="102">
        <v>1</v>
      </c>
      <c r="AB251" s="102">
        <v>4</v>
      </c>
      <c r="AC251" s="102">
        <v>0</v>
      </c>
      <c r="AD251" s="102" t="s">
        <v>1154</v>
      </c>
      <c r="AE251" s="102">
        <v>7</v>
      </c>
      <c r="AG251" s="104">
        <f t="shared" si="132"/>
        <v>5389</v>
      </c>
      <c r="AH251" s="103">
        <v>5389.4736842105267</v>
      </c>
      <c r="AI251" s="172">
        <v>3</v>
      </c>
      <c r="AK251" s="104">
        <f ca="1">IFERROR(OFFSET(ITEM_RES!$A$5,MATCH(AL251,ITEM_RES!$M$5:$M$84,0)-1,0),0)</f>
        <v>220000103</v>
      </c>
      <c r="AL251" s="103" t="s">
        <v>575</v>
      </c>
      <c r="AM251" s="104">
        <f t="shared" si="178"/>
        <v>3700</v>
      </c>
      <c r="AN251" s="103">
        <v>3654.9707602339176</v>
      </c>
      <c r="AP251" s="104">
        <f ca="1">IFERROR(OFFSET(ITEM_RES!$A$5,MATCH(AQ251,ITEM_RES!$M$5:$M$84,0)-1,0),0)</f>
        <v>220000203</v>
      </c>
      <c r="AQ251" s="103" t="s">
        <v>593</v>
      </c>
      <c r="AR251" s="104">
        <f t="shared" si="179"/>
        <v>2200</v>
      </c>
      <c r="AS251" s="103">
        <v>2192.9824561403502</v>
      </c>
      <c r="AU251" s="104">
        <f ca="1">IFERROR(OFFSET(ITEM_RES!$A$5,MATCH(AV251,ITEM_RES!$M$5:$M$84,0)-1,0),0)</f>
        <v>220000303</v>
      </c>
      <c r="AV251" s="103" t="s">
        <v>611</v>
      </c>
      <c r="AW251" s="104">
        <f t="shared" si="180"/>
        <v>730</v>
      </c>
      <c r="AX251" s="103">
        <v>730.99415204678348</v>
      </c>
      <c r="AZ251" s="104">
        <f ca="1">IFERROR(OFFSET(ITEM_RES!$A$5,MATCH(BA251,ITEM_RES!$M$5:$M$84,0)-1,0),0)</f>
        <v>220000403</v>
      </c>
      <c r="BA251" s="103" t="s">
        <v>629</v>
      </c>
      <c r="BB251" s="104">
        <f t="shared" si="181"/>
        <v>0</v>
      </c>
      <c r="BC251" s="103">
        <v>0</v>
      </c>
      <c r="BE251" s="104">
        <f ca="1">IFERROR(OFFSET(ITEM_RES!$A$5,MATCH(BF251,ITEM_RES!$M$5:$M$84,0)-1,0),0)</f>
        <v>0</v>
      </c>
      <c r="BG251" s="104">
        <f t="shared" si="182"/>
        <v>0</v>
      </c>
    </row>
    <row r="252" spans="1:60" x14ac:dyDescent="0.3">
      <c r="A252" s="107">
        <f t="shared" si="176"/>
        <v>112040008</v>
      </c>
      <c r="B252" s="106">
        <v>11</v>
      </c>
      <c r="C252" s="105">
        <f t="shared" si="177"/>
        <v>2</v>
      </c>
      <c r="D252" s="106">
        <v>4</v>
      </c>
      <c r="E252" s="106">
        <v>0</v>
      </c>
      <c r="F252" s="105">
        <f t="shared" si="131"/>
        <v>8</v>
      </c>
      <c r="H252" s="102">
        <v>2</v>
      </c>
      <c r="I252" s="102">
        <v>8</v>
      </c>
      <c r="K252" s="102" t="s">
        <v>1041</v>
      </c>
      <c r="L252" s="102" t="s">
        <v>782</v>
      </c>
      <c r="M252" s="103" t="s">
        <v>502</v>
      </c>
      <c r="N252" s="102">
        <v>1</v>
      </c>
      <c r="O252" s="102">
        <v>12</v>
      </c>
      <c r="P252" s="102" t="s">
        <v>744</v>
      </c>
      <c r="Q252" s="103" t="s">
        <v>1160</v>
      </c>
      <c r="R252" s="103">
        <v>112040008</v>
      </c>
      <c r="S252" s="104" t="str">
        <f t="shared" si="139"/>
        <v>UITexture/Bldg/112040008.png</v>
      </c>
      <c r="T252" s="102" t="s">
        <v>1050</v>
      </c>
      <c r="U252" s="102">
        <v>4</v>
      </c>
      <c r="V252" s="102">
        <v>1</v>
      </c>
      <c r="W252" s="102">
        <v>2</v>
      </c>
      <c r="Y252" s="104">
        <f t="shared" si="138"/>
        <v>204</v>
      </c>
      <c r="Z252" s="102">
        <v>80</v>
      </c>
      <c r="AA252" s="102">
        <v>1</v>
      </c>
      <c r="AB252" s="102">
        <v>4</v>
      </c>
      <c r="AC252" s="102">
        <v>0</v>
      </c>
      <c r="AD252" s="102" t="s">
        <v>1154</v>
      </c>
      <c r="AE252" s="102">
        <v>8</v>
      </c>
      <c r="AG252" s="104">
        <f t="shared" si="132"/>
        <v>5928</v>
      </c>
      <c r="AH252" s="103">
        <v>5928.4210526315792</v>
      </c>
      <c r="AI252" s="172">
        <v>3</v>
      </c>
      <c r="AK252" s="104">
        <f ca="1">IFERROR(OFFSET(ITEM_RES!$A$5,MATCH(AL252,ITEM_RES!$M$5:$M$84,0)-1,0),0)</f>
        <v>220000103</v>
      </c>
      <c r="AL252" s="103" t="s">
        <v>575</v>
      </c>
      <c r="AM252" s="104">
        <f t="shared" si="178"/>
        <v>5000</v>
      </c>
      <c r="AN252" s="103">
        <v>5025.584795321638</v>
      </c>
      <c r="AP252" s="104">
        <f ca="1">IFERROR(OFFSET(ITEM_RES!$A$5,MATCH(AQ252,ITEM_RES!$M$5:$M$84,0)-1,0),0)</f>
        <v>220000203</v>
      </c>
      <c r="AQ252" s="103" t="s">
        <v>593</v>
      </c>
      <c r="AR252" s="104">
        <f t="shared" si="179"/>
        <v>3000</v>
      </c>
      <c r="AS252" s="103">
        <v>3015.3508771929828</v>
      </c>
      <c r="AU252" s="104">
        <f ca="1">IFERROR(OFFSET(ITEM_RES!$A$5,MATCH(AV252,ITEM_RES!$M$5:$M$84,0)-1,0),0)</f>
        <v>220000303</v>
      </c>
      <c r="AV252" s="103" t="s">
        <v>611</v>
      </c>
      <c r="AW252" s="104">
        <f t="shared" si="180"/>
        <v>1000</v>
      </c>
      <c r="AX252" s="103">
        <v>1005.1169590643276</v>
      </c>
      <c r="AZ252" s="104">
        <f ca="1">IFERROR(OFFSET(ITEM_RES!$A$5,MATCH(BA252,ITEM_RES!$M$5:$M$84,0)-1,0),0)</f>
        <v>220000403</v>
      </c>
      <c r="BA252" s="103" t="s">
        <v>629</v>
      </c>
      <c r="BB252" s="104">
        <f t="shared" si="181"/>
        <v>0</v>
      </c>
      <c r="BC252" s="103">
        <v>0</v>
      </c>
      <c r="BE252" s="104">
        <f ca="1">IFERROR(OFFSET(ITEM_RES!$A$5,MATCH(BF252,ITEM_RES!$M$5:$M$84,0)-1,0),0)</f>
        <v>0</v>
      </c>
      <c r="BG252" s="104">
        <f t="shared" si="182"/>
        <v>0</v>
      </c>
    </row>
    <row r="253" spans="1:60" x14ac:dyDescent="0.3">
      <c r="A253" s="107">
        <f t="shared" si="176"/>
        <v>112040009</v>
      </c>
      <c r="B253" s="106">
        <v>11</v>
      </c>
      <c r="C253" s="105">
        <f t="shared" si="177"/>
        <v>2</v>
      </c>
      <c r="D253" s="106">
        <v>4</v>
      </c>
      <c r="E253" s="106">
        <v>0</v>
      </c>
      <c r="F253" s="105">
        <f t="shared" si="131"/>
        <v>9</v>
      </c>
      <c r="H253" s="102">
        <v>2</v>
      </c>
      <c r="I253" s="102">
        <v>9</v>
      </c>
      <c r="K253" s="102" t="s">
        <v>1041</v>
      </c>
      <c r="L253" s="102" t="s">
        <v>782</v>
      </c>
      <c r="M253" s="103" t="s">
        <v>502</v>
      </c>
      <c r="N253" s="102">
        <v>1</v>
      </c>
      <c r="O253" s="102">
        <v>12</v>
      </c>
      <c r="P253" s="102" t="s">
        <v>744</v>
      </c>
      <c r="Q253" s="103" t="s">
        <v>1160</v>
      </c>
      <c r="R253" s="103">
        <v>112040009</v>
      </c>
      <c r="S253" s="104" t="str">
        <f t="shared" si="139"/>
        <v>UITexture/Bldg/112040009.png</v>
      </c>
      <c r="T253" s="102" t="s">
        <v>1050</v>
      </c>
      <c r="U253" s="102">
        <v>4</v>
      </c>
      <c r="V253" s="102">
        <v>1</v>
      </c>
      <c r="W253" s="102">
        <v>2</v>
      </c>
      <c r="Y253" s="104">
        <f t="shared" si="138"/>
        <v>204</v>
      </c>
      <c r="Z253" s="102">
        <v>90</v>
      </c>
      <c r="AA253" s="102">
        <v>1</v>
      </c>
      <c r="AB253" s="102">
        <v>4</v>
      </c>
      <c r="AC253" s="102">
        <v>0</v>
      </c>
      <c r="AD253" s="102" t="s">
        <v>1154</v>
      </c>
      <c r="AE253" s="102">
        <v>9</v>
      </c>
      <c r="AG253" s="104">
        <f t="shared" si="132"/>
        <v>6521</v>
      </c>
      <c r="AH253" s="103">
        <v>6521.2631578947376</v>
      </c>
      <c r="AI253" s="172">
        <v>3</v>
      </c>
      <c r="AK253" s="104">
        <f ca="1">IFERROR(OFFSET(ITEM_RES!$A$5,MATCH(AL253,ITEM_RES!$M$5:$M$84,0)-1,0),0)</f>
        <v>220000103</v>
      </c>
      <c r="AL253" s="103" t="s">
        <v>575</v>
      </c>
      <c r="AM253" s="104">
        <f t="shared" si="178"/>
        <v>6900</v>
      </c>
      <c r="AN253" s="103">
        <v>6910.1790935672534</v>
      </c>
      <c r="AP253" s="104">
        <f ca="1">IFERROR(OFFSET(ITEM_RES!$A$5,MATCH(AQ253,ITEM_RES!$M$5:$M$84,0)-1,0),0)</f>
        <v>220000203</v>
      </c>
      <c r="AQ253" s="103" t="s">
        <v>593</v>
      </c>
      <c r="AR253" s="104">
        <f t="shared" si="179"/>
        <v>4100</v>
      </c>
      <c r="AS253" s="103">
        <v>4146.107456140352</v>
      </c>
      <c r="AU253" s="104">
        <f ca="1">IFERROR(OFFSET(ITEM_RES!$A$5,MATCH(AV253,ITEM_RES!$M$5:$M$84,0)-1,0),0)</f>
        <v>220000303</v>
      </c>
      <c r="AV253" s="103" t="s">
        <v>611</v>
      </c>
      <c r="AW253" s="104">
        <f t="shared" si="180"/>
        <v>1400</v>
      </c>
      <c r="AX253" s="103">
        <v>1382.0358187134507</v>
      </c>
      <c r="AZ253" s="104">
        <f ca="1">IFERROR(OFFSET(ITEM_RES!$A$5,MATCH(BA253,ITEM_RES!$M$5:$M$84,0)-1,0),0)</f>
        <v>220000403</v>
      </c>
      <c r="BA253" s="103" t="s">
        <v>629</v>
      </c>
      <c r="BB253" s="104">
        <f t="shared" si="181"/>
        <v>0</v>
      </c>
      <c r="BC253" s="103">
        <v>0</v>
      </c>
      <c r="BE253" s="104">
        <f ca="1">IFERROR(OFFSET(ITEM_RES!$A$5,MATCH(BF253,ITEM_RES!$M$5:$M$84,0)-1,0),0)</f>
        <v>0</v>
      </c>
      <c r="BG253" s="104">
        <f t="shared" si="182"/>
        <v>0</v>
      </c>
    </row>
    <row r="254" spans="1:60" x14ac:dyDescent="0.3">
      <c r="A254" s="107">
        <f t="shared" si="176"/>
        <v>112040010</v>
      </c>
      <c r="B254" s="106">
        <v>11</v>
      </c>
      <c r="C254" s="105">
        <f t="shared" si="177"/>
        <v>2</v>
      </c>
      <c r="D254" s="106">
        <v>4</v>
      </c>
      <c r="E254" s="106">
        <v>0</v>
      </c>
      <c r="F254" s="105">
        <f t="shared" si="131"/>
        <v>10</v>
      </c>
      <c r="H254" s="102">
        <v>2</v>
      </c>
      <c r="I254" s="102">
        <v>10</v>
      </c>
      <c r="K254" s="102" t="s">
        <v>1041</v>
      </c>
      <c r="L254" s="102" t="s">
        <v>782</v>
      </c>
      <c r="M254" s="103" t="s">
        <v>502</v>
      </c>
      <c r="N254" s="102">
        <v>1</v>
      </c>
      <c r="O254" s="102">
        <v>12</v>
      </c>
      <c r="P254" s="102" t="s">
        <v>744</v>
      </c>
      <c r="Q254" s="103" t="s">
        <v>1160</v>
      </c>
      <c r="R254" s="103">
        <v>112040010</v>
      </c>
      <c r="S254" s="104" t="str">
        <f t="shared" si="139"/>
        <v>UITexture/Bldg/112040010.png</v>
      </c>
      <c r="T254" s="102" t="s">
        <v>1050</v>
      </c>
      <c r="U254" s="102">
        <v>4</v>
      </c>
      <c r="V254" s="102">
        <v>1</v>
      </c>
      <c r="W254" s="102">
        <v>2</v>
      </c>
      <c r="Y254" s="104">
        <f t="shared" si="138"/>
        <v>204</v>
      </c>
      <c r="Z254" s="102">
        <v>100</v>
      </c>
      <c r="AA254" s="102">
        <v>1</v>
      </c>
      <c r="AB254" s="102">
        <v>4</v>
      </c>
      <c r="AC254" s="102">
        <v>0</v>
      </c>
      <c r="AD254" s="102" t="s">
        <v>1154</v>
      </c>
      <c r="AE254" s="102">
        <v>10</v>
      </c>
      <c r="AG254" s="104">
        <f t="shared" si="132"/>
        <v>7826</v>
      </c>
      <c r="AH254" s="103">
        <v>7825.5157894736858</v>
      </c>
      <c r="AI254" s="172">
        <v>3</v>
      </c>
      <c r="AK254" s="104">
        <f ca="1">IFERROR(OFFSET(ITEM_RES!$A$5,MATCH(AL254,ITEM_RES!$M$5:$M$84,0)-1,0),0)</f>
        <v>220000104</v>
      </c>
      <c r="AL254" s="103" t="s">
        <v>576</v>
      </c>
      <c r="AM254" s="104">
        <f t="shared" si="178"/>
        <v>4100</v>
      </c>
      <c r="AN254" s="103">
        <v>4146.107456140352</v>
      </c>
      <c r="AP254" s="104">
        <f ca="1">IFERROR(OFFSET(ITEM_RES!$A$5,MATCH(AQ254,ITEM_RES!$M$5:$M$84,0)-1,0),0)</f>
        <v>220000204</v>
      </c>
      <c r="AQ254" s="103" t="s">
        <v>594</v>
      </c>
      <c r="AR254" s="104">
        <f t="shared" si="179"/>
        <v>2500</v>
      </c>
      <c r="AS254" s="103">
        <v>2487.6644736842109</v>
      </c>
      <c r="AU254" s="104">
        <f ca="1">IFERROR(OFFSET(ITEM_RES!$A$5,MATCH(AV254,ITEM_RES!$M$5:$M$84,0)-1,0),0)</f>
        <v>220000304</v>
      </c>
      <c r="AV254" s="103" t="s">
        <v>612</v>
      </c>
      <c r="AW254" s="104">
        <f t="shared" si="180"/>
        <v>830</v>
      </c>
      <c r="AX254" s="103">
        <v>829.22149122807036</v>
      </c>
      <c r="AZ254" s="104">
        <f ca="1">IFERROR(OFFSET(ITEM_RES!$A$5,MATCH(BA254,ITEM_RES!$M$5:$M$84,0)-1,0),0)</f>
        <v>220000404</v>
      </c>
      <c r="BA254" s="103" t="s">
        <v>630</v>
      </c>
      <c r="BB254" s="104">
        <f t="shared" si="181"/>
        <v>0</v>
      </c>
      <c r="BC254" s="103">
        <v>0</v>
      </c>
      <c r="BE254" s="104">
        <f ca="1">IFERROR(OFFSET(ITEM_RES!$A$5,MATCH(BF254,ITEM_RES!$M$5:$M$84,0)-1,0),0)</f>
        <v>0</v>
      </c>
      <c r="BG254" s="104">
        <f t="shared" si="182"/>
        <v>0</v>
      </c>
    </row>
    <row r="255" spans="1:60" x14ac:dyDescent="0.3">
      <c r="A255" s="107">
        <f t="shared" ref="A255:A269" si="183">B255*10000000+C255*1000000+D255*10000+E255*100+F255</f>
        <v>112040011</v>
      </c>
      <c r="B255" s="106">
        <v>11</v>
      </c>
      <c r="C255" s="105">
        <f t="shared" ref="C255:C269" si="184">H255</f>
        <v>2</v>
      </c>
      <c r="D255" s="106">
        <v>4</v>
      </c>
      <c r="E255" s="106">
        <v>0</v>
      </c>
      <c r="F255" s="105">
        <f t="shared" si="131"/>
        <v>11</v>
      </c>
      <c r="H255" s="102">
        <v>2</v>
      </c>
      <c r="I255" s="102">
        <v>11</v>
      </c>
      <c r="K255" s="102" t="s">
        <v>1041</v>
      </c>
      <c r="L255" s="102" t="s">
        <v>782</v>
      </c>
      <c r="M255" s="103" t="s">
        <v>502</v>
      </c>
      <c r="N255" s="102">
        <v>1</v>
      </c>
      <c r="O255" s="102">
        <v>12</v>
      </c>
      <c r="P255" s="102" t="s">
        <v>744</v>
      </c>
      <c r="Q255" s="103" t="s">
        <v>1160</v>
      </c>
      <c r="R255" s="103">
        <v>112040011</v>
      </c>
      <c r="S255" s="104" t="str">
        <f t="shared" si="139"/>
        <v>UITexture/Bldg/112040011.png</v>
      </c>
      <c r="T255" s="102" t="s">
        <v>1050</v>
      </c>
      <c r="U255" s="102">
        <v>4</v>
      </c>
      <c r="V255" s="102">
        <v>1</v>
      </c>
      <c r="W255" s="102">
        <v>2</v>
      </c>
      <c r="Y255" s="104">
        <f t="shared" si="138"/>
        <v>204</v>
      </c>
      <c r="Z255" s="102">
        <v>110</v>
      </c>
      <c r="AA255" s="102">
        <v>1</v>
      </c>
      <c r="AB255" s="102">
        <v>4</v>
      </c>
      <c r="AC255" s="102">
        <v>0</v>
      </c>
      <c r="AD255" s="102" t="s">
        <v>1154</v>
      </c>
      <c r="AE255" s="102">
        <v>11</v>
      </c>
      <c r="AG255" s="104">
        <f t="shared" si="132"/>
        <v>11738</v>
      </c>
      <c r="AH255" s="103">
        <v>11738.273684210528</v>
      </c>
      <c r="AI255" s="172">
        <v>4</v>
      </c>
      <c r="AK255" s="104">
        <f ca="1">IFERROR(OFFSET(ITEM_RES!$A$5,MATCH(AL255,ITEM_RES!$M$5:$M$84,0)-1,0),0)</f>
        <v>220000104</v>
      </c>
      <c r="AL255" s="103" t="s">
        <v>576</v>
      </c>
      <c r="AM255" s="104">
        <f t="shared" ref="AM255:AM269" si="185">IF(AN255&lt;100,ROUND(AN255,1-LEN(ROUND(AN255,0))),ROUND(AN255,2-LEN(ROUND(AN255,0))))</f>
        <v>7800</v>
      </c>
      <c r="AN255" s="103">
        <v>7773.9514802631584</v>
      </c>
      <c r="AP255" s="104">
        <f ca="1">IFERROR(OFFSET(ITEM_RES!$A$5,MATCH(AQ255,ITEM_RES!$M$5:$M$84,0)-1,0),0)</f>
        <v>220000204</v>
      </c>
      <c r="AQ255" s="103" t="s">
        <v>594</v>
      </c>
      <c r="AR255" s="104">
        <f t="shared" ref="AR255:AR269" si="186">IF(AS255&lt;100,ROUND(AS255,1-LEN(ROUND(AS255,0))),ROUND(AS255,2-LEN(ROUND(AS255,0))))</f>
        <v>3500</v>
      </c>
      <c r="AS255" s="103">
        <v>3498.2781661184213</v>
      </c>
      <c r="AU255" s="104">
        <f ca="1">IFERROR(OFFSET(ITEM_RES!$A$5,MATCH(AV255,ITEM_RES!$M$5:$M$84,0)-1,0),0)</f>
        <v>220000304</v>
      </c>
      <c r="AV255" s="103" t="s">
        <v>612</v>
      </c>
      <c r="AW255" s="104">
        <f t="shared" ref="AW255:AW269" si="187">IF(AX255&lt;100,ROUND(AX255,1-LEN(ROUND(AX255,0))),ROUND(AX255,2-LEN(ROUND(AX255,0))))</f>
        <v>1600</v>
      </c>
      <c r="AX255" s="103">
        <v>1554.7902960526317</v>
      </c>
      <c r="AZ255" s="104">
        <f ca="1">IFERROR(OFFSET(ITEM_RES!$A$5,MATCH(BA255,ITEM_RES!$M$5:$M$84,0)-1,0),0)</f>
        <v>220000404</v>
      </c>
      <c r="BA255" s="103" t="s">
        <v>630</v>
      </c>
      <c r="BB255" s="104">
        <f t="shared" ref="BB255:BB269" si="188">IF(BC255&lt;100,ROUND(BC255,1-LEN(ROUND(BC255,0))),ROUND(BC255,2-LEN(ROUND(BC255,0))))</f>
        <v>390</v>
      </c>
      <c r="BC255" s="103">
        <v>388.69757401315792</v>
      </c>
      <c r="BE255" s="104">
        <f ca="1">IFERROR(OFFSET(ITEM_RES!$A$5,MATCH(BF255,ITEM_RES!$M$5:$M$84,0)-1,0),0)</f>
        <v>0</v>
      </c>
      <c r="BG255" s="104">
        <f t="shared" ref="BG255:BG269" si="189">IF(BH255&lt;100,ROUND(BH255,1-LEN(ROUND(BH255,0))),ROUND(BH255,2-LEN(ROUND(BH255,0))))</f>
        <v>0</v>
      </c>
    </row>
    <row r="256" spans="1:60" x14ac:dyDescent="0.3">
      <c r="A256" s="107">
        <f t="shared" si="183"/>
        <v>112040012</v>
      </c>
      <c r="B256" s="106">
        <v>11</v>
      </c>
      <c r="C256" s="105">
        <f t="shared" si="184"/>
        <v>2</v>
      </c>
      <c r="D256" s="106">
        <v>4</v>
      </c>
      <c r="E256" s="106">
        <v>0</v>
      </c>
      <c r="F256" s="105">
        <f t="shared" ref="F256:F304" si="190">I256</f>
        <v>12</v>
      </c>
      <c r="H256" s="102">
        <v>2</v>
      </c>
      <c r="I256" s="102">
        <v>12</v>
      </c>
      <c r="K256" s="102" t="s">
        <v>1041</v>
      </c>
      <c r="L256" s="102" t="s">
        <v>782</v>
      </c>
      <c r="M256" s="103" t="s">
        <v>502</v>
      </c>
      <c r="N256" s="102">
        <v>1</v>
      </c>
      <c r="O256" s="102">
        <v>12</v>
      </c>
      <c r="P256" s="102" t="s">
        <v>744</v>
      </c>
      <c r="Q256" s="103" t="s">
        <v>1160</v>
      </c>
      <c r="R256" s="103">
        <v>112040012</v>
      </c>
      <c r="S256" s="104" t="str">
        <f t="shared" si="139"/>
        <v>UITexture/Bldg/112040012.png</v>
      </c>
      <c r="T256" s="102" t="s">
        <v>1050</v>
      </c>
      <c r="U256" s="102">
        <v>4</v>
      </c>
      <c r="V256" s="102">
        <v>1</v>
      </c>
      <c r="W256" s="102">
        <v>2</v>
      </c>
      <c r="Y256" s="104">
        <f t="shared" si="138"/>
        <v>204</v>
      </c>
      <c r="Z256" s="102">
        <v>120</v>
      </c>
      <c r="AA256" s="102">
        <v>1</v>
      </c>
      <c r="AB256" s="102">
        <v>4</v>
      </c>
      <c r="AC256" s="102">
        <v>0</v>
      </c>
      <c r="AD256" s="102" t="s">
        <v>1154</v>
      </c>
      <c r="AE256" s="102">
        <v>12</v>
      </c>
      <c r="AG256" s="104">
        <f t="shared" si="132"/>
        <v>17607</v>
      </c>
      <c r="AH256" s="103">
        <v>17607.410526315791</v>
      </c>
      <c r="AI256" s="172">
        <v>4</v>
      </c>
      <c r="AK256" s="104">
        <f ca="1">IFERROR(OFFSET(ITEM_RES!$A$5,MATCH(AL256,ITEM_RES!$M$5:$M$84,0)-1,0),0)</f>
        <v>220000104</v>
      </c>
      <c r="AL256" s="103" t="s">
        <v>576</v>
      </c>
      <c r="AM256" s="104">
        <f t="shared" si="185"/>
        <v>15000</v>
      </c>
      <c r="AN256" s="103">
        <v>14576.159025493424</v>
      </c>
      <c r="AP256" s="104">
        <f ca="1">IFERROR(OFFSET(ITEM_RES!$A$5,MATCH(AQ256,ITEM_RES!$M$5:$M$84,0)-1,0),0)</f>
        <v>220000204</v>
      </c>
      <c r="AQ256" s="103" t="s">
        <v>594</v>
      </c>
      <c r="AR256" s="104">
        <f t="shared" si="186"/>
        <v>6600</v>
      </c>
      <c r="AS256" s="103">
        <v>6559.27156147204</v>
      </c>
      <c r="AU256" s="104">
        <f ca="1">IFERROR(OFFSET(ITEM_RES!$A$5,MATCH(AV256,ITEM_RES!$M$5:$M$84,0)-1,0),0)</f>
        <v>220000304</v>
      </c>
      <c r="AV256" s="103" t="s">
        <v>612</v>
      </c>
      <c r="AW256" s="104">
        <f t="shared" si="187"/>
        <v>2900</v>
      </c>
      <c r="AX256" s="103">
        <v>2915.2318050986846</v>
      </c>
      <c r="AZ256" s="104">
        <f ca="1">IFERROR(OFFSET(ITEM_RES!$A$5,MATCH(BA256,ITEM_RES!$M$5:$M$84,0)-1,0),0)</f>
        <v>220000404</v>
      </c>
      <c r="BA256" s="103" t="s">
        <v>630</v>
      </c>
      <c r="BB256" s="104">
        <f t="shared" si="188"/>
        <v>730</v>
      </c>
      <c r="BC256" s="103">
        <v>728.80795127467115</v>
      </c>
      <c r="BE256" s="104">
        <f ca="1">IFERROR(OFFSET(ITEM_RES!$A$5,MATCH(BF256,ITEM_RES!$M$5:$M$84,0)-1,0),0)</f>
        <v>0</v>
      </c>
      <c r="BG256" s="104">
        <f t="shared" si="189"/>
        <v>0</v>
      </c>
    </row>
    <row r="257" spans="1:59" x14ac:dyDescent="0.3">
      <c r="A257" s="107">
        <f t="shared" si="183"/>
        <v>112040013</v>
      </c>
      <c r="B257" s="106">
        <v>11</v>
      </c>
      <c r="C257" s="105">
        <f t="shared" si="184"/>
        <v>2</v>
      </c>
      <c r="D257" s="106">
        <v>4</v>
      </c>
      <c r="E257" s="106">
        <v>0</v>
      </c>
      <c r="F257" s="105">
        <f t="shared" si="190"/>
        <v>13</v>
      </c>
      <c r="H257" s="102">
        <v>2</v>
      </c>
      <c r="I257" s="102">
        <v>13</v>
      </c>
      <c r="K257" s="102" t="s">
        <v>1041</v>
      </c>
      <c r="L257" s="102" t="s">
        <v>782</v>
      </c>
      <c r="M257" s="103" t="s">
        <v>502</v>
      </c>
      <c r="N257" s="102">
        <v>0</v>
      </c>
      <c r="O257" s="102">
        <v>12</v>
      </c>
      <c r="P257" s="102" t="s">
        <v>744</v>
      </c>
      <c r="Q257" s="103" t="s">
        <v>1160</v>
      </c>
      <c r="R257" s="103">
        <v>112040013</v>
      </c>
      <c r="S257" s="104" t="str">
        <f t="shared" si="139"/>
        <v>UITexture/Bldg/112040013.png</v>
      </c>
      <c r="T257" s="102" t="s">
        <v>1050</v>
      </c>
      <c r="U257" s="102">
        <v>4</v>
      </c>
      <c r="V257" s="102">
        <v>1</v>
      </c>
      <c r="W257" s="102">
        <v>2</v>
      </c>
      <c r="Y257" s="104">
        <f t="shared" si="138"/>
        <v>204</v>
      </c>
      <c r="Z257" s="102">
        <v>130</v>
      </c>
      <c r="AA257" s="102">
        <v>1</v>
      </c>
      <c r="AB257" s="102">
        <v>4</v>
      </c>
      <c r="AC257" s="102">
        <v>0</v>
      </c>
      <c r="AD257" s="102" t="s">
        <v>1154</v>
      </c>
      <c r="AE257" s="102">
        <v>13</v>
      </c>
      <c r="AG257" s="104">
        <f t="shared" ref="AG257:AG304" si="191">ROUND(AH257,0)</f>
        <v>22890</v>
      </c>
      <c r="AH257" s="103">
        <v>22889.633684210527</v>
      </c>
      <c r="AI257" s="172">
        <v>4</v>
      </c>
      <c r="AK257" s="104">
        <f ca="1">IFERROR(OFFSET(ITEM_RES!$A$5,MATCH(AL257,ITEM_RES!$M$5:$M$84,0)-1,0),0)</f>
        <v>220000105</v>
      </c>
      <c r="AL257" s="103" t="s">
        <v>577</v>
      </c>
      <c r="AM257" s="104">
        <f t="shared" si="185"/>
        <v>7900</v>
      </c>
      <c r="AN257" s="103">
        <v>7895.4194721422709</v>
      </c>
      <c r="AP257" s="104">
        <f ca="1">IFERROR(OFFSET(ITEM_RES!$A$5,MATCH(AQ257,ITEM_RES!$M$5:$M$84,0)-1,0),0)</f>
        <v>220000205</v>
      </c>
      <c r="AQ257" s="103" t="s">
        <v>595</v>
      </c>
      <c r="AR257" s="104">
        <f t="shared" si="186"/>
        <v>3600</v>
      </c>
      <c r="AS257" s="103">
        <v>3552.9387624640221</v>
      </c>
      <c r="AU257" s="104">
        <f ca="1">IFERROR(OFFSET(ITEM_RES!$A$5,MATCH(AV257,ITEM_RES!$M$5:$M$84,0)-1,0),0)</f>
        <v>220000305</v>
      </c>
      <c r="AV257" s="103" t="s">
        <v>613</v>
      </c>
      <c r="AW257" s="104">
        <f t="shared" si="187"/>
        <v>1600</v>
      </c>
      <c r="AX257" s="103">
        <v>1579.0838944284542</v>
      </c>
      <c r="AZ257" s="104">
        <f ca="1">IFERROR(OFFSET(ITEM_RES!$A$5,MATCH(BA257,ITEM_RES!$M$5:$M$84,0)-1,0),0)</f>
        <v>220000405</v>
      </c>
      <c r="BA257" s="103" t="s">
        <v>631</v>
      </c>
      <c r="BB257" s="104">
        <f t="shared" si="188"/>
        <v>390</v>
      </c>
      <c r="BC257" s="103">
        <v>394.77097360711355</v>
      </c>
      <c r="BE257" s="104">
        <f ca="1">IFERROR(OFFSET(ITEM_RES!$A$5,MATCH(BF257,ITEM_RES!$M$5:$M$84,0)-1,0),0)</f>
        <v>0</v>
      </c>
      <c r="BG257" s="104">
        <f t="shared" si="189"/>
        <v>0</v>
      </c>
    </row>
    <row r="258" spans="1:59" x14ac:dyDescent="0.3">
      <c r="A258" s="107">
        <f t="shared" si="183"/>
        <v>112040014</v>
      </c>
      <c r="B258" s="106">
        <v>11</v>
      </c>
      <c r="C258" s="105">
        <f t="shared" si="184"/>
        <v>2</v>
      </c>
      <c r="D258" s="106">
        <v>4</v>
      </c>
      <c r="E258" s="106">
        <v>0</v>
      </c>
      <c r="F258" s="105">
        <f t="shared" si="190"/>
        <v>14</v>
      </c>
      <c r="H258" s="102">
        <v>2</v>
      </c>
      <c r="I258" s="102">
        <v>14</v>
      </c>
      <c r="K258" s="102" t="s">
        <v>1041</v>
      </c>
      <c r="L258" s="102" t="s">
        <v>782</v>
      </c>
      <c r="M258" s="103" t="s">
        <v>502</v>
      </c>
      <c r="N258" s="102">
        <v>0</v>
      </c>
      <c r="O258" s="102">
        <v>12</v>
      </c>
      <c r="P258" s="102" t="s">
        <v>744</v>
      </c>
      <c r="Q258" s="103" t="s">
        <v>1160</v>
      </c>
      <c r="R258" s="103">
        <v>112040014</v>
      </c>
      <c r="S258" s="104" t="str">
        <f t="shared" si="139"/>
        <v>UITexture/Bldg/112040014.png</v>
      </c>
      <c r="T258" s="102" t="s">
        <v>1050</v>
      </c>
      <c r="U258" s="102">
        <v>4</v>
      </c>
      <c r="V258" s="102">
        <v>1</v>
      </c>
      <c r="W258" s="102">
        <v>2</v>
      </c>
      <c r="Y258" s="104">
        <f t="shared" si="138"/>
        <v>204</v>
      </c>
      <c r="Z258" s="102">
        <v>140</v>
      </c>
      <c r="AA258" s="102">
        <v>1</v>
      </c>
      <c r="AB258" s="102">
        <v>4</v>
      </c>
      <c r="AC258" s="102">
        <v>0</v>
      </c>
      <c r="AD258" s="102" t="s">
        <v>1154</v>
      </c>
      <c r="AE258" s="102">
        <v>14</v>
      </c>
      <c r="AG258" s="104">
        <f t="shared" si="191"/>
        <v>25179</v>
      </c>
      <c r="AH258" s="103">
        <v>25178.59705263158</v>
      </c>
      <c r="AI258" s="172">
        <v>4</v>
      </c>
      <c r="AK258" s="104">
        <f ca="1">IFERROR(OFFSET(ITEM_RES!$A$5,MATCH(AL258,ITEM_RES!$M$5:$M$84,0)-1,0),0)</f>
        <v>220000105</v>
      </c>
      <c r="AL258" s="103" t="s">
        <v>577</v>
      </c>
      <c r="AM258" s="104">
        <f t="shared" si="185"/>
        <v>11000</v>
      </c>
      <c r="AN258" s="103">
        <v>10856.201774195622</v>
      </c>
      <c r="AP258" s="104">
        <f ca="1">IFERROR(OFFSET(ITEM_RES!$A$5,MATCH(AQ258,ITEM_RES!$M$5:$M$84,0)-1,0),0)</f>
        <v>220000205</v>
      </c>
      <c r="AQ258" s="103" t="s">
        <v>595</v>
      </c>
      <c r="AR258" s="104">
        <f t="shared" si="186"/>
        <v>4900</v>
      </c>
      <c r="AS258" s="103">
        <v>4885.2907983880305</v>
      </c>
      <c r="AU258" s="104">
        <f ca="1">IFERROR(OFFSET(ITEM_RES!$A$5,MATCH(AV258,ITEM_RES!$M$5:$M$84,0)-1,0),0)</f>
        <v>220000305</v>
      </c>
      <c r="AV258" s="103" t="s">
        <v>613</v>
      </c>
      <c r="AW258" s="104">
        <f t="shared" si="187"/>
        <v>2200</v>
      </c>
      <c r="AX258" s="103">
        <v>2171.2403548391244</v>
      </c>
      <c r="AZ258" s="104">
        <f ca="1">IFERROR(OFFSET(ITEM_RES!$A$5,MATCH(BA258,ITEM_RES!$M$5:$M$84,0)-1,0),0)</f>
        <v>220000405</v>
      </c>
      <c r="BA258" s="103" t="s">
        <v>631</v>
      </c>
      <c r="BB258" s="104">
        <f t="shared" si="188"/>
        <v>540</v>
      </c>
      <c r="BC258" s="103">
        <v>542.8100887097811</v>
      </c>
      <c r="BE258" s="104">
        <f ca="1">IFERROR(OFFSET(ITEM_RES!$A$5,MATCH(BF258,ITEM_RES!$M$5:$M$84,0)-1,0),0)</f>
        <v>0</v>
      </c>
      <c r="BG258" s="104">
        <f t="shared" si="189"/>
        <v>0</v>
      </c>
    </row>
    <row r="259" spans="1:59" x14ac:dyDescent="0.3">
      <c r="A259" s="107">
        <f t="shared" si="183"/>
        <v>112040015</v>
      </c>
      <c r="B259" s="106">
        <v>11</v>
      </c>
      <c r="C259" s="105">
        <f t="shared" si="184"/>
        <v>2</v>
      </c>
      <c r="D259" s="106">
        <v>4</v>
      </c>
      <c r="E259" s="106">
        <v>0</v>
      </c>
      <c r="F259" s="105">
        <f t="shared" si="190"/>
        <v>15</v>
      </c>
      <c r="H259" s="102">
        <v>2</v>
      </c>
      <c r="I259" s="102">
        <v>15</v>
      </c>
      <c r="K259" s="102" t="s">
        <v>1041</v>
      </c>
      <c r="L259" s="102" t="s">
        <v>782</v>
      </c>
      <c r="M259" s="103" t="s">
        <v>502</v>
      </c>
      <c r="N259" s="102">
        <v>0</v>
      </c>
      <c r="O259" s="102">
        <v>12</v>
      </c>
      <c r="P259" s="102" t="s">
        <v>744</v>
      </c>
      <c r="Q259" s="103" t="s">
        <v>1160</v>
      </c>
      <c r="R259" s="103">
        <v>112040015</v>
      </c>
      <c r="S259" s="104" t="str">
        <f t="shared" si="139"/>
        <v>UITexture/Bldg/112040015.png</v>
      </c>
      <c r="T259" s="102" t="s">
        <v>1050</v>
      </c>
      <c r="U259" s="102">
        <v>4</v>
      </c>
      <c r="V259" s="102">
        <v>1</v>
      </c>
      <c r="W259" s="102">
        <v>2</v>
      </c>
      <c r="Y259" s="104">
        <f t="shared" si="138"/>
        <v>204</v>
      </c>
      <c r="Z259" s="102">
        <v>150</v>
      </c>
      <c r="AA259" s="102">
        <v>1</v>
      </c>
      <c r="AB259" s="102">
        <v>4</v>
      </c>
      <c r="AC259" s="102">
        <v>0</v>
      </c>
      <c r="AD259" s="102" t="s">
        <v>1154</v>
      </c>
      <c r="AE259" s="102">
        <v>15</v>
      </c>
      <c r="AG259" s="104">
        <f t="shared" si="191"/>
        <v>27696</v>
      </c>
      <c r="AH259" s="103">
        <v>27696.456757894743</v>
      </c>
      <c r="AI259" s="172">
        <v>4</v>
      </c>
      <c r="AK259" s="104">
        <f ca="1">IFERROR(OFFSET(ITEM_RES!$A$5,MATCH(AL259,ITEM_RES!$M$5:$M$84,0)-1,0),0)</f>
        <v>220000105</v>
      </c>
      <c r="AL259" s="103" t="s">
        <v>577</v>
      </c>
      <c r="AM259" s="104">
        <f t="shared" si="185"/>
        <v>15000</v>
      </c>
      <c r="AN259" s="103">
        <v>14927.277439518981</v>
      </c>
      <c r="AP259" s="104">
        <f ca="1">IFERROR(OFFSET(ITEM_RES!$A$5,MATCH(AQ259,ITEM_RES!$M$5:$M$84,0)-1,0),0)</f>
        <v>220000205</v>
      </c>
      <c r="AQ259" s="103" t="s">
        <v>595</v>
      </c>
      <c r="AR259" s="104">
        <f t="shared" si="186"/>
        <v>6700</v>
      </c>
      <c r="AS259" s="103">
        <v>6717.2748477835412</v>
      </c>
      <c r="AU259" s="104">
        <f ca="1">IFERROR(OFFSET(ITEM_RES!$A$5,MATCH(AV259,ITEM_RES!$M$5:$M$84,0)-1,0),0)</f>
        <v>220000305</v>
      </c>
      <c r="AV259" s="103" t="s">
        <v>613</v>
      </c>
      <c r="AW259" s="104">
        <f t="shared" si="187"/>
        <v>3000</v>
      </c>
      <c r="AX259" s="103">
        <v>2985.455487903796</v>
      </c>
      <c r="AZ259" s="104">
        <f ca="1">IFERROR(OFFSET(ITEM_RES!$A$5,MATCH(BA259,ITEM_RES!$M$5:$M$84,0)-1,0),0)</f>
        <v>220000405</v>
      </c>
      <c r="BA259" s="103" t="s">
        <v>631</v>
      </c>
      <c r="BB259" s="104">
        <f t="shared" si="188"/>
        <v>750</v>
      </c>
      <c r="BC259" s="103">
        <v>746.363871975949</v>
      </c>
      <c r="BE259" s="104">
        <f ca="1">IFERROR(OFFSET(ITEM_RES!$A$5,MATCH(BF259,ITEM_RES!$M$5:$M$84,0)-1,0),0)</f>
        <v>0</v>
      </c>
      <c r="BG259" s="104">
        <f t="shared" si="189"/>
        <v>0</v>
      </c>
    </row>
    <row r="260" spans="1:59" x14ac:dyDescent="0.3">
      <c r="A260" s="107">
        <f t="shared" si="183"/>
        <v>112040016</v>
      </c>
      <c r="B260" s="106">
        <v>11</v>
      </c>
      <c r="C260" s="105">
        <f t="shared" si="184"/>
        <v>2</v>
      </c>
      <c r="D260" s="106">
        <v>4</v>
      </c>
      <c r="E260" s="106">
        <v>0</v>
      </c>
      <c r="F260" s="105">
        <f t="shared" si="190"/>
        <v>16</v>
      </c>
      <c r="H260" s="102">
        <v>2</v>
      </c>
      <c r="I260" s="102">
        <v>16</v>
      </c>
      <c r="K260" s="102" t="s">
        <v>1041</v>
      </c>
      <c r="L260" s="102" t="s">
        <v>782</v>
      </c>
      <c r="M260" s="103" t="s">
        <v>502</v>
      </c>
      <c r="N260" s="102">
        <v>0</v>
      </c>
      <c r="O260" s="102">
        <v>12</v>
      </c>
      <c r="P260" s="102" t="s">
        <v>744</v>
      </c>
      <c r="Q260" s="103" t="s">
        <v>1160</v>
      </c>
      <c r="R260" s="103">
        <v>112040016</v>
      </c>
      <c r="S260" s="104" t="str">
        <f t="shared" si="139"/>
        <v>UITexture/Bldg/112040016.png</v>
      </c>
      <c r="T260" s="102" t="s">
        <v>1050</v>
      </c>
      <c r="U260" s="102">
        <v>4</v>
      </c>
      <c r="V260" s="102">
        <v>1</v>
      </c>
      <c r="W260" s="102">
        <v>2</v>
      </c>
      <c r="Y260" s="104">
        <f t="shared" si="138"/>
        <v>204</v>
      </c>
      <c r="Z260" s="102">
        <v>160</v>
      </c>
      <c r="AA260" s="102">
        <v>1</v>
      </c>
      <c r="AB260" s="102">
        <v>4</v>
      </c>
      <c r="AC260" s="102">
        <v>0</v>
      </c>
      <c r="AD260" s="102" t="s">
        <v>1154</v>
      </c>
      <c r="AE260" s="102">
        <v>16</v>
      </c>
      <c r="AG260" s="104">
        <f t="shared" si="191"/>
        <v>30466</v>
      </c>
      <c r="AH260" s="103">
        <v>30466.102433684217</v>
      </c>
      <c r="AI260" s="172">
        <v>4</v>
      </c>
      <c r="AK260" s="104">
        <f ca="1">IFERROR(OFFSET(ITEM_RES!$A$5,MATCH(AL260,ITEM_RES!$M$5:$M$84,0)-1,0),0)</f>
        <v>220000106</v>
      </c>
      <c r="AL260" s="103" t="s">
        <v>578</v>
      </c>
      <c r="AM260" s="104">
        <f t="shared" si="185"/>
        <v>4300</v>
      </c>
      <c r="AN260" s="103">
        <v>4276.0430165288753</v>
      </c>
      <c r="AP260" s="104">
        <f ca="1">IFERROR(OFFSET(ITEM_RES!$A$5,MATCH(AQ260,ITEM_RES!$M$5:$M$84,0)-1,0),0)</f>
        <v>220000206</v>
      </c>
      <c r="AQ260" s="103" t="s">
        <v>596</v>
      </c>
      <c r="AR260" s="104">
        <f t="shared" si="186"/>
        <v>2600</v>
      </c>
      <c r="AS260" s="103">
        <v>2565.6258099173256</v>
      </c>
      <c r="AU260" s="104">
        <f ca="1">IFERROR(OFFSET(ITEM_RES!$A$5,MATCH(AV260,ITEM_RES!$M$5:$M$84,0)-1,0),0)</f>
        <v>220000306</v>
      </c>
      <c r="AV260" s="103" t="s">
        <v>614</v>
      </c>
      <c r="AW260" s="104">
        <f t="shared" si="187"/>
        <v>1700</v>
      </c>
      <c r="AX260" s="103">
        <v>1710.4172066115502</v>
      </c>
      <c r="AZ260" s="104">
        <f ca="1">IFERROR(OFFSET(ITEM_RES!$A$5,MATCH(BA260,ITEM_RES!$M$5:$M$84,0)-1,0),0)</f>
        <v>220000406</v>
      </c>
      <c r="BA260" s="103" t="s">
        <v>632</v>
      </c>
      <c r="BB260" s="104">
        <f t="shared" si="188"/>
        <v>860</v>
      </c>
      <c r="BC260" s="103">
        <v>855.20860330577511</v>
      </c>
      <c r="BE260" s="104">
        <f ca="1">IFERROR(OFFSET(ITEM_RES!$A$5,MATCH(BF260,ITEM_RES!$M$5:$M$84,0)-1,0),0)</f>
        <v>0</v>
      </c>
      <c r="BG260" s="104">
        <f t="shared" si="189"/>
        <v>0</v>
      </c>
    </row>
    <row r="261" spans="1:59" x14ac:dyDescent="0.3">
      <c r="A261" s="107">
        <f t="shared" si="183"/>
        <v>112040017</v>
      </c>
      <c r="B261" s="106">
        <v>11</v>
      </c>
      <c r="C261" s="105">
        <f t="shared" si="184"/>
        <v>2</v>
      </c>
      <c r="D261" s="106">
        <v>4</v>
      </c>
      <c r="E261" s="106">
        <v>0</v>
      </c>
      <c r="F261" s="105">
        <f t="shared" si="190"/>
        <v>17</v>
      </c>
      <c r="H261" s="102">
        <v>2</v>
      </c>
      <c r="I261" s="102">
        <v>17</v>
      </c>
      <c r="K261" s="102" t="s">
        <v>1041</v>
      </c>
      <c r="L261" s="102" t="s">
        <v>782</v>
      </c>
      <c r="M261" s="103" t="s">
        <v>502</v>
      </c>
      <c r="N261" s="102">
        <v>0</v>
      </c>
      <c r="O261" s="102">
        <v>12</v>
      </c>
      <c r="P261" s="102" t="s">
        <v>744</v>
      </c>
      <c r="Q261" s="103" t="s">
        <v>1160</v>
      </c>
      <c r="R261" s="103">
        <v>112040017</v>
      </c>
      <c r="S261" s="104" t="str">
        <f t="shared" si="139"/>
        <v>UITexture/Bldg/112040017.png</v>
      </c>
      <c r="T261" s="102" t="s">
        <v>1050</v>
      </c>
      <c r="U261" s="102">
        <v>4</v>
      </c>
      <c r="V261" s="102">
        <v>1</v>
      </c>
      <c r="W261" s="102">
        <v>2</v>
      </c>
      <c r="Y261" s="104">
        <f t="shared" ref="Y261:Y304" si="192">C261*100+D261</f>
        <v>204</v>
      </c>
      <c r="Z261" s="102">
        <v>170</v>
      </c>
      <c r="AA261" s="102">
        <v>1</v>
      </c>
      <c r="AB261" s="102">
        <v>4</v>
      </c>
      <c r="AC261" s="102">
        <v>0</v>
      </c>
      <c r="AD261" s="102" t="s">
        <v>1154</v>
      </c>
      <c r="AE261" s="102">
        <v>17</v>
      </c>
      <c r="AG261" s="104">
        <f t="shared" si="191"/>
        <v>45699</v>
      </c>
      <c r="AH261" s="103">
        <v>45699.153650526328</v>
      </c>
      <c r="AI261" s="172">
        <v>4</v>
      </c>
      <c r="AK261" s="104">
        <f ca="1">IFERROR(OFFSET(ITEM_RES!$A$5,MATCH(AL261,ITEM_RES!$M$5:$M$84,0)-1,0),0)</f>
        <v>220000106</v>
      </c>
      <c r="AL261" s="103" t="s">
        <v>578</v>
      </c>
      <c r="AM261" s="104">
        <f t="shared" si="185"/>
        <v>8000</v>
      </c>
      <c r="AN261" s="103">
        <v>8017.5806559916418</v>
      </c>
      <c r="AP261" s="104">
        <f ca="1">IFERROR(OFFSET(ITEM_RES!$A$5,MATCH(AQ261,ITEM_RES!$M$5:$M$84,0)-1,0),0)</f>
        <v>220000206</v>
      </c>
      <c r="AQ261" s="103" t="s">
        <v>596</v>
      </c>
      <c r="AR261" s="104">
        <f t="shared" si="186"/>
        <v>4800</v>
      </c>
      <c r="AS261" s="103">
        <v>4810.5483935949851</v>
      </c>
      <c r="AU261" s="104">
        <f ca="1">IFERROR(OFFSET(ITEM_RES!$A$5,MATCH(AV261,ITEM_RES!$M$5:$M$84,0)-1,0),0)</f>
        <v>220000306</v>
      </c>
      <c r="AV261" s="103" t="s">
        <v>614</v>
      </c>
      <c r="AW261" s="104">
        <f t="shared" si="187"/>
        <v>3200</v>
      </c>
      <c r="AX261" s="103">
        <v>3207.0322623966567</v>
      </c>
      <c r="AZ261" s="104">
        <f ca="1">IFERROR(OFFSET(ITEM_RES!$A$5,MATCH(BA261,ITEM_RES!$M$5:$M$84,0)-1,0),0)</f>
        <v>220000406</v>
      </c>
      <c r="BA261" s="103" t="s">
        <v>632</v>
      </c>
      <c r="BB261" s="104">
        <f t="shared" si="188"/>
        <v>1600</v>
      </c>
      <c r="BC261" s="103">
        <v>1603.5161311983284</v>
      </c>
      <c r="BE261" s="104">
        <f ca="1">IFERROR(OFFSET(ITEM_RES!$A$5,MATCH(BF261,ITEM_RES!$M$5:$M$84,0)-1,0),0)</f>
        <v>0</v>
      </c>
      <c r="BG261" s="104">
        <f t="shared" si="189"/>
        <v>0</v>
      </c>
    </row>
    <row r="262" spans="1:59" x14ac:dyDescent="0.3">
      <c r="A262" s="107">
        <f t="shared" si="183"/>
        <v>112040018</v>
      </c>
      <c r="B262" s="106">
        <v>11</v>
      </c>
      <c r="C262" s="105">
        <f t="shared" si="184"/>
        <v>2</v>
      </c>
      <c r="D262" s="106">
        <v>4</v>
      </c>
      <c r="E262" s="106">
        <v>0</v>
      </c>
      <c r="F262" s="105">
        <f t="shared" si="190"/>
        <v>18</v>
      </c>
      <c r="H262" s="102">
        <v>2</v>
      </c>
      <c r="I262" s="102">
        <v>18</v>
      </c>
      <c r="K262" s="102" t="s">
        <v>1041</v>
      </c>
      <c r="L262" s="102" t="s">
        <v>782</v>
      </c>
      <c r="M262" s="103" t="s">
        <v>502</v>
      </c>
      <c r="N262" s="102">
        <v>0</v>
      </c>
      <c r="O262" s="102">
        <v>12</v>
      </c>
      <c r="P262" s="102" t="s">
        <v>744</v>
      </c>
      <c r="Q262" s="103" t="s">
        <v>1160</v>
      </c>
      <c r="R262" s="103">
        <v>112040018</v>
      </c>
      <c r="S262" s="104" t="str">
        <f t="shared" ref="S262:S304" si="193">CONCATENATE(Q262,R262,".png")</f>
        <v>UITexture/Bldg/112040018.png</v>
      </c>
      <c r="T262" s="102" t="s">
        <v>1050</v>
      </c>
      <c r="U262" s="102">
        <v>4</v>
      </c>
      <c r="V262" s="102">
        <v>1</v>
      </c>
      <c r="W262" s="102">
        <v>2</v>
      </c>
      <c r="Y262" s="104">
        <f t="shared" si="192"/>
        <v>204</v>
      </c>
      <c r="Z262" s="102">
        <v>180</v>
      </c>
      <c r="AA262" s="102">
        <v>1</v>
      </c>
      <c r="AB262" s="102">
        <v>4</v>
      </c>
      <c r="AC262" s="102">
        <v>0</v>
      </c>
      <c r="AD262" s="102" t="s">
        <v>1154</v>
      </c>
      <c r="AE262" s="102">
        <v>18</v>
      </c>
      <c r="AG262" s="104">
        <f t="shared" si="191"/>
        <v>68549</v>
      </c>
      <c r="AH262" s="103">
        <v>68548.730475789489</v>
      </c>
      <c r="AI262" s="172">
        <v>4</v>
      </c>
      <c r="AK262" s="104">
        <f ca="1">IFERROR(OFFSET(ITEM_RES!$A$5,MATCH(AL262,ITEM_RES!$M$5:$M$84,0)-1,0),0)</f>
        <v>220000106</v>
      </c>
      <c r="AL262" s="103" t="s">
        <v>578</v>
      </c>
      <c r="AM262" s="104">
        <f t="shared" si="185"/>
        <v>15000</v>
      </c>
      <c r="AN262" s="103">
        <v>15032.963729984329</v>
      </c>
      <c r="AP262" s="104">
        <f ca="1">IFERROR(OFFSET(ITEM_RES!$A$5,MATCH(AQ262,ITEM_RES!$M$5:$M$84,0)-1,0),0)</f>
        <v>220000206</v>
      </c>
      <c r="AQ262" s="103" t="s">
        <v>596</v>
      </c>
      <c r="AR262" s="104">
        <f t="shared" si="186"/>
        <v>9000</v>
      </c>
      <c r="AS262" s="103">
        <v>9019.7782379905966</v>
      </c>
      <c r="AU262" s="104">
        <f ca="1">IFERROR(OFFSET(ITEM_RES!$A$5,MATCH(AV262,ITEM_RES!$M$5:$M$84,0)-1,0),0)</f>
        <v>220000306</v>
      </c>
      <c r="AV262" s="103" t="s">
        <v>614</v>
      </c>
      <c r="AW262" s="104">
        <f t="shared" si="187"/>
        <v>6000</v>
      </c>
      <c r="AX262" s="103">
        <v>6013.1854919937314</v>
      </c>
      <c r="AZ262" s="104">
        <f ca="1">IFERROR(OFFSET(ITEM_RES!$A$5,MATCH(BA262,ITEM_RES!$M$5:$M$84,0)-1,0),0)</f>
        <v>220000406</v>
      </c>
      <c r="BA262" s="103" t="s">
        <v>632</v>
      </c>
      <c r="BB262" s="104">
        <f t="shared" si="188"/>
        <v>3000</v>
      </c>
      <c r="BC262" s="103">
        <v>3006.5927459968657</v>
      </c>
      <c r="BE262" s="104">
        <f ca="1">IFERROR(OFFSET(ITEM_RES!$A$5,MATCH(BF262,ITEM_RES!$M$5:$M$84,0)-1,0),0)</f>
        <v>0</v>
      </c>
      <c r="BG262" s="104">
        <f t="shared" si="189"/>
        <v>0</v>
      </c>
    </row>
    <row r="263" spans="1:59" x14ac:dyDescent="0.3">
      <c r="A263" s="107">
        <f t="shared" si="183"/>
        <v>112040019</v>
      </c>
      <c r="B263" s="106">
        <v>11</v>
      </c>
      <c r="C263" s="105">
        <f t="shared" si="184"/>
        <v>2</v>
      </c>
      <c r="D263" s="106">
        <v>4</v>
      </c>
      <c r="E263" s="106">
        <v>0</v>
      </c>
      <c r="F263" s="105">
        <f t="shared" si="190"/>
        <v>19</v>
      </c>
      <c r="H263" s="102">
        <v>2</v>
      </c>
      <c r="I263" s="102">
        <v>19</v>
      </c>
      <c r="K263" s="102" t="s">
        <v>1041</v>
      </c>
      <c r="L263" s="102" t="s">
        <v>782</v>
      </c>
      <c r="M263" s="103" t="s">
        <v>502</v>
      </c>
      <c r="N263" s="102">
        <v>0</v>
      </c>
      <c r="O263" s="102">
        <v>12</v>
      </c>
      <c r="P263" s="102" t="s">
        <v>744</v>
      </c>
      <c r="Q263" s="103" t="s">
        <v>1160</v>
      </c>
      <c r="R263" s="103">
        <v>112040019</v>
      </c>
      <c r="S263" s="104" t="str">
        <f t="shared" si="193"/>
        <v>UITexture/Bldg/112040019.png</v>
      </c>
      <c r="T263" s="102" t="s">
        <v>1050</v>
      </c>
      <c r="U263" s="102">
        <v>4</v>
      </c>
      <c r="V263" s="102">
        <v>1</v>
      </c>
      <c r="W263" s="102">
        <v>2</v>
      </c>
      <c r="Y263" s="104">
        <f t="shared" si="192"/>
        <v>204</v>
      </c>
      <c r="Z263" s="102">
        <v>190</v>
      </c>
      <c r="AA263" s="102">
        <v>1</v>
      </c>
      <c r="AB263" s="102">
        <v>4</v>
      </c>
      <c r="AC263" s="102">
        <v>0</v>
      </c>
      <c r="AD263" s="102" t="s">
        <v>1154</v>
      </c>
      <c r="AE263" s="102">
        <v>19</v>
      </c>
      <c r="AG263" s="104">
        <f t="shared" si="191"/>
        <v>82258</v>
      </c>
      <c r="AH263" s="103">
        <v>82258.476570947387</v>
      </c>
      <c r="AI263" s="172">
        <v>4</v>
      </c>
      <c r="AK263" s="104">
        <f ca="1">IFERROR(OFFSET(ITEM_RES!$A$5,MATCH(AL263,ITEM_RES!$M$5:$M$84,0)-1,0),0)</f>
        <v>220000107</v>
      </c>
      <c r="AL263" s="103" t="s">
        <v>579</v>
      </c>
      <c r="AM263" s="104">
        <f t="shared" si="185"/>
        <v>7500</v>
      </c>
      <c r="AN263" s="103">
        <v>7516.4818649921635</v>
      </c>
      <c r="AP263" s="104">
        <f ca="1">IFERROR(OFFSET(ITEM_RES!$A$5,MATCH(AQ263,ITEM_RES!$M$5:$M$84,0)-1,0),0)</f>
        <v>220000207</v>
      </c>
      <c r="AQ263" s="103" t="s">
        <v>597</v>
      </c>
      <c r="AR263" s="104">
        <f t="shared" si="186"/>
        <v>4500</v>
      </c>
      <c r="AS263" s="103">
        <v>4509.8891189952974</v>
      </c>
      <c r="AU263" s="104">
        <f ca="1">IFERROR(OFFSET(ITEM_RES!$A$5,MATCH(AV263,ITEM_RES!$M$5:$M$84,0)-1,0),0)</f>
        <v>220000307</v>
      </c>
      <c r="AV263" s="103" t="s">
        <v>615</v>
      </c>
      <c r="AW263" s="104">
        <f t="shared" si="187"/>
        <v>3000</v>
      </c>
      <c r="AX263" s="103">
        <v>3006.5927459968652</v>
      </c>
      <c r="AZ263" s="104">
        <f ca="1">IFERROR(OFFSET(ITEM_RES!$A$5,MATCH(BA263,ITEM_RES!$M$5:$M$84,0)-1,0),0)</f>
        <v>220000407</v>
      </c>
      <c r="BA263" s="103" t="s">
        <v>633</v>
      </c>
      <c r="BB263" s="104">
        <f t="shared" si="188"/>
        <v>1500</v>
      </c>
      <c r="BC263" s="103">
        <v>1503.2963729984326</v>
      </c>
      <c r="BE263" s="104">
        <f ca="1">IFERROR(OFFSET(ITEM_RES!$A$5,MATCH(BF263,ITEM_RES!$M$5:$M$84,0)-1,0),0)</f>
        <v>0</v>
      </c>
      <c r="BG263" s="104">
        <f t="shared" si="189"/>
        <v>0</v>
      </c>
    </row>
    <row r="264" spans="1:59" x14ac:dyDescent="0.3">
      <c r="A264" s="107">
        <f t="shared" si="183"/>
        <v>112040020</v>
      </c>
      <c r="B264" s="106">
        <v>11</v>
      </c>
      <c r="C264" s="105">
        <f t="shared" si="184"/>
        <v>2</v>
      </c>
      <c r="D264" s="106">
        <v>4</v>
      </c>
      <c r="E264" s="106">
        <v>0</v>
      </c>
      <c r="F264" s="105">
        <f t="shared" si="190"/>
        <v>20</v>
      </c>
      <c r="H264" s="102">
        <v>2</v>
      </c>
      <c r="I264" s="102">
        <v>20</v>
      </c>
      <c r="K264" s="102" t="s">
        <v>1041</v>
      </c>
      <c r="L264" s="102" t="s">
        <v>782</v>
      </c>
      <c r="M264" s="103" t="s">
        <v>502</v>
      </c>
      <c r="N264" s="102">
        <v>0</v>
      </c>
      <c r="O264" s="102">
        <v>12</v>
      </c>
      <c r="P264" s="102" t="s">
        <v>744</v>
      </c>
      <c r="Q264" s="103" t="s">
        <v>1160</v>
      </c>
      <c r="R264" s="103">
        <v>112040020</v>
      </c>
      <c r="S264" s="104" t="str">
        <f t="shared" si="193"/>
        <v>UITexture/Bldg/112040020.png</v>
      </c>
      <c r="T264" s="102" t="s">
        <v>1050</v>
      </c>
      <c r="U264" s="102">
        <v>4</v>
      </c>
      <c r="V264" s="102">
        <v>1</v>
      </c>
      <c r="W264" s="102">
        <v>2</v>
      </c>
      <c r="Y264" s="104">
        <f t="shared" si="192"/>
        <v>204</v>
      </c>
      <c r="Z264" s="102">
        <v>200</v>
      </c>
      <c r="AA264" s="102">
        <v>1</v>
      </c>
      <c r="AB264" s="102">
        <v>4</v>
      </c>
      <c r="AC264" s="102">
        <v>0</v>
      </c>
      <c r="AD264" s="102" t="s">
        <v>1154</v>
      </c>
      <c r="AE264" s="102">
        <v>20</v>
      </c>
      <c r="AG264" s="104">
        <f t="shared" si="191"/>
        <v>90484</v>
      </c>
      <c r="AH264" s="103">
        <v>90484.324228042125</v>
      </c>
      <c r="AI264" s="172">
        <v>4</v>
      </c>
      <c r="AK264" s="104">
        <f ca="1">IFERROR(OFFSET(ITEM_RES!$A$5,MATCH(AL264,ITEM_RES!$M$5:$M$84,0)-1,0),0)</f>
        <v>220000107</v>
      </c>
      <c r="AL264" s="103" t="s">
        <v>579</v>
      </c>
      <c r="AM264" s="104">
        <f t="shared" si="185"/>
        <v>10000</v>
      </c>
      <c r="AN264" s="103">
        <v>10335.162564364226</v>
      </c>
      <c r="AP264" s="104">
        <f ca="1">IFERROR(OFFSET(ITEM_RES!$A$5,MATCH(AQ264,ITEM_RES!$M$5:$M$84,0)-1,0),0)</f>
        <v>220000207</v>
      </c>
      <c r="AQ264" s="103" t="s">
        <v>597</v>
      </c>
      <c r="AR264" s="104">
        <f t="shared" si="186"/>
        <v>6200</v>
      </c>
      <c r="AS264" s="103">
        <v>6201.0975386185346</v>
      </c>
      <c r="AU264" s="104">
        <f ca="1">IFERROR(OFFSET(ITEM_RES!$A$5,MATCH(AV264,ITEM_RES!$M$5:$M$84,0)-1,0),0)</f>
        <v>220000307</v>
      </c>
      <c r="AV264" s="103" t="s">
        <v>615</v>
      </c>
      <c r="AW264" s="104">
        <f t="shared" si="187"/>
        <v>4100</v>
      </c>
      <c r="AX264" s="103">
        <v>4134.06502574569</v>
      </c>
      <c r="AZ264" s="104">
        <f ca="1">IFERROR(OFFSET(ITEM_RES!$A$5,MATCH(BA264,ITEM_RES!$M$5:$M$84,0)-1,0),0)</f>
        <v>220000407</v>
      </c>
      <c r="BA264" s="103" t="s">
        <v>633</v>
      </c>
      <c r="BB264" s="104">
        <f t="shared" si="188"/>
        <v>2100</v>
      </c>
      <c r="BC264" s="103">
        <v>2067.032512872845</v>
      </c>
      <c r="BE264" s="104">
        <f ca="1">IFERROR(OFFSET(ITEM_RES!$A$5,MATCH(BF264,ITEM_RES!$M$5:$M$84,0)-1,0),0)</f>
        <v>0</v>
      </c>
      <c r="BG264" s="104">
        <f t="shared" si="189"/>
        <v>0</v>
      </c>
    </row>
    <row r="265" spans="1:59" x14ac:dyDescent="0.3">
      <c r="A265" s="107">
        <f t="shared" si="183"/>
        <v>112040021</v>
      </c>
      <c r="B265" s="106">
        <v>11</v>
      </c>
      <c r="C265" s="105">
        <f t="shared" si="184"/>
        <v>2</v>
      </c>
      <c r="D265" s="106">
        <v>4</v>
      </c>
      <c r="E265" s="106">
        <v>0</v>
      </c>
      <c r="F265" s="105">
        <f t="shared" si="190"/>
        <v>21</v>
      </c>
      <c r="H265" s="102">
        <v>2</v>
      </c>
      <c r="I265" s="102">
        <v>21</v>
      </c>
      <c r="K265" s="102" t="s">
        <v>1041</v>
      </c>
      <c r="L265" s="102" t="s">
        <v>782</v>
      </c>
      <c r="M265" s="103" t="s">
        <v>502</v>
      </c>
      <c r="N265" s="102">
        <v>0</v>
      </c>
      <c r="O265" s="102">
        <v>12</v>
      </c>
      <c r="P265" s="102" t="s">
        <v>744</v>
      </c>
      <c r="Q265" s="103" t="s">
        <v>1160</v>
      </c>
      <c r="R265" s="103">
        <v>112040021</v>
      </c>
      <c r="S265" s="104" t="str">
        <f t="shared" si="193"/>
        <v>UITexture/Bldg/112040021.png</v>
      </c>
      <c r="T265" s="102" t="s">
        <v>1050</v>
      </c>
      <c r="U265" s="102">
        <v>4</v>
      </c>
      <c r="V265" s="102">
        <v>1</v>
      </c>
      <c r="W265" s="102">
        <v>2</v>
      </c>
      <c r="Y265" s="104">
        <f t="shared" si="192"/>
        <v>204</v>
      </c>
      <c r="Z265" s="102">
        <v>210</v>
      </c>
      <c r="AA265" s="102">
        <v>1</v>
      </c>
      <c r="AB265" s="102">
        <v>4</v>
      </c>
      <c r="AC265" s="102">
        <v>0</v>
      </c>
      <c r="AD265" s="102" t="s">
        <v>1154</v>
      </c>
      <c r="AE265" s="102">
        <v>21</v>
      </c>
      <c r="AG265" s="104">
        <f t="shared" si="191"/>
        <v>97723</v>
      </c>
      <c r="AH265" s="103">
        <v>97723.070166285514</v>
      </c>
      <c r="AI265" s="172">
        <v>4</v>
      </c>
      <c r="AK265" s="104">
        <f ca="1">IFERROR(OFFSET(ITEM_RES!$A$5,MATCH(AL265,ITEM_RES!$M$5:$M$84,0)-1,0),0)</f>
        <v>220000107</v>
      </c>
      <c r="AL265" s="103" t="s">
        <v>579</v>
      </c>
      <c r="AM265" s="104">
        <f t="shared" si="185"/>
        <v>14000</v>
      </c>
      <c r="AN265" s="103">
        <v>13952.469461891706</v>
      </c>
      <c r="AP265" s="104">
        <f ca="1">IFERROR(OFFSET(ITEM_RES!$A$5,MATCH(AQ265,ITEM_RES!$M$5:$M$84,0)-1,0),0)</f>
        <v>220000207</v>
      </c>
      <c r="AQ265" s="103" t="s">
        <v>597</v>
      </c>
      <c r="AR265" s="104">
        <f t="shared" si="186"/>
        <v>8400</v>
      </c>
      <c r="AS265" s="103">
        <v>8371.4816771350233</v>
      </c>
      <c r="AU265" s="104">
        <f ca="1">IFERROR(OFFSET(ITEM_RES!$A$5,MATCH(AV265,ITEM_RES!$M$5:$M$84,0)-1,0),0)</f>
        <v>220000307</v>
      </c>
      <c r="AV265" s="103" t="s">
        <v>615</v>
      </c>
      <c r="AW265" s="104">
        <f t="shared" si="187"/>
        <v>5600</v>
      </c>
      <c r="AX265" s="103">
        <v>5580.9877847566822</v>
      </c>
      <c r="AZ265" s="104">
        <f ca="1">IFERROR(OFFSET(ITEM_RES!$A$5,MATCH(BA265,ITEM_RES!$M$5:$M$84,0)-1,0),0)</f>
        <v>220000407</v>
      </c>
      <c r="BA265" s="103" t="s">
        <v>633</v>
      </c>
      <c r="BB265" s="104">
        <f t="shared" si="188"/>
        <v>2800</v>
      </c>
      <c r="BC265" s="103">
        <v>2790.4938923783411</v>
      </c>
      <c r="BE265" s="104">
        <f ca="1">IFERROR(OFFSET(ITEM_RES!$A$5,MATCH(BF265,ITEM_RES!$M$5:$M$84,0)-1,0),0)</f>
        <v>0</v>
      </c>
      <c r="BG265" s="104">
        <f t="shared" si="189"/>
        <v>0</v>
      </c>
    </row>
    <row r="266" spans="1:59" x14ac:dyDescent="0.3">
      <c r="A266" s="107">
        <f t="shared" si="183"/>
        <v>112040022</v>
      </c>
      <c r="B266" s="106">
        <v>11</v>
      </c>
      <c r="C266" s="105">
        <f t="shared" si="184"/>
        <v>2</v>
      </c>
      <c r="D266" s="106">
        <v>4</v>
      </c>
      <c r="E266" s="106">
        <v>0</v>
      </c>
      <c r="F266" s="105">
        <f t="shared" si="190"/>
        <v>22</v>
      </c>
      <c r="H266" s="102">
        <v>2</v>
      </c>
      <c r="I266" s="102">
        <v>22</v>
      </c>
      <c r="K266" s="102" t="s">
        <v>1041</v>
      </c>
      <c r="L266" s="102" t="s">
        <v>782</v>
      </c>
      <c r="M266" s="103" t="s">
        <v>502</v>
      </c>
      <c r="N266" s="102">
        <v>0</v>
      </c>
      <c r="O266" s="102">
        <v>12</v>
      </c>
      <c r="P266" s="102" t="s">
        <v>744</v>
      </c>
      <c r="Q266" s="103" t="s">
        <v>1160</v>
      </c>
      <c r="R266" s="103">
        <v>112040022</v>
      </c>
      <c r="S266" s="104" t="str">
        <f t="shared" si="193"/>
        <v>UITexture/Bldg/112040022.png</v>
      </c>
      <c r="T266" s="102" t="s">
        <v>1050</v>
      </c>
      <c r="U266" s="102">
        <v>4</v>
      </c>
      <c r="V266" s="102">
        <v>1</v>
      </c>
      <c r="W266" s="102">
        <v>2</v>
      </c>
      <c r="Y266" s="104">
        <f t="shared" si="192"/>
        <v>204</v>
      </c>
      <c r="Z266" s="102">
        <v>220</v>
      </c>
      <c r="AA266" s="102">
        <v>1</v>
      </c>
      <c r="AB266" s="102">
        <v>4</v>
      </c>
      <c r="AC266" s="102">
        <v>0</v>
      </c>
      <c r="AD266" s="102" t="s">
        <v>1154</v>
      </c>
      <c r="AE266" s="102">
        <v>22</v>
      </c>
      <c r="AG266" s="104">
        <f t="shared" si="191"/>
        <v>104564</v>
      </c>
      <c r="AH266" s="103">
        <v>104563.6850779255</v>
      </c>
      <c r="AI266" s="172">
        <v>4</v>
      </c>
      <c r="AK266" s="104">
        <f ca="1">IFERROR(OFFSET(ITEM_RES!$A$5,MATCH(AL266,ITEM_RES!$M$5:$M$84,0)-1,0),0)</f>
        <v>220000108</v>
      </c>
      <c r="AL266" s="103" t="s">
        <v>580</v>
      </c>
      <c r="AM266" s="104">
        <f t="shared" si="185"/>
        <v>6200</v>
      </c>
      <c r="AN266" s="103">
        <v>6220.4759684267183</v>
      </c>
      <c r="AP266" s="104">
        <f ca="1">IFERROR(OFFSET(ITEM_RES!$A$5,MATCH(AQ266,ITEM_RES!$M$5:$M$84,0)-1,0),0)</f>
        <v>220000208</v>
      </c>
      <c r="AQ266" s="103" t="s">
        <v>598</v>
      </c>
      <c r="AR266" s="104">
        <f t="shared" si="186"/>
        <v>3700</v>
      </c>
      <c r="AS266" s="103">
        <v>3732.2855810560313</v>
      </c>
      <c r="AU266" s="104">
        <f ca="1">IFERROR(OFFSET(ITEM_RES!$A$5,MATCH(AV266,ITEM_RES!$M$5:$M$84,0)-1,0),0)</f>
        <v>220000308</v>
      </c>
      <c r="AV266" s="103" t="s">
        <v>616</v>
      </c>
      <c r="AW266" s="104">
        <f t="shared" si="187"/>
        <v>2500</v>
      </c>
      <c r="AX266" s="103">
        <v>2488.1903873706874</v>
      </c>
      <c r="AZ266" s="104">
        <f ca="1">IFERROR(OFFSET(ITEM_RES!$A$5,MATCH(BA266,ITEM_RES!$M$5:$M$84,0)-1,0),0)</f>
        <v>220000408</v>
      </c>
      <c r="BA266" s="103" t="s">
        <v>634</v>
      </c>
      <c r="BB266" s="104">
        <f t="shared" si="188"/>
        <v>1200</v>
      </c>
      <c r="BC266" s="103">
        <v>1244.0951936853437</v>
      </c>
      <c r="BE266" s="104">
        <f ca="1">IFERROR(OFFSET(ITEM_RES!$A$5,MATCH(BF266,ITEM_RES!$M$5:$M$84,0)-1,0),0)</f>
        <v>0</v>
      </c>
      <c r="BG266" s="104">
        <f t="shared" si="189"/>
        <v>0</v>
      </c>
    </row>
    <row r="267" spans="1:59" x14ac:dyDescent="0.3">
      <c r="A267" s="107">
        <f t="shared" si="183"/>
        <v>112040023</v>
      </c>
      <c r="B267" s="106">
        <v>11</v>
      </c>
      <c r="C267" s="105">
        <f t="shared" si="184"/>
        <v>2</v>
      </c>
      <c r="D267" s="106">
        <v>4</v>
      </c>
      <c r="E267" s="106">
        <v>0</v>
      </c>
      <c r="F267" s="105">
        <f t="shared" si="190"/>
        <v>23</v>
      </c>
      <c r="H267" s="102">
        <v>2</v>
      </c>
      <c r="I267" s="102">
        <v>23</v>
      </c>
      <c r="K267" s="102" t="s">
        <v>1041</v>
      </c>
      <c r="L267" s="102" t="s">
        <v>782</v>
      </c>
      <c r="M267" s="103" t="s">
        <v>502</v>
      </c>
      <c r="N267" s="102">
        <v>0</v>
      </c>
      <c r="O267" s="102">
        <v>12</v>
      </c>
      <c r="P267" s="102" t="s">
        <v>744</v>
      </c>
      <c r="Q267" s="103" t="s">
        <v>1160</v>
      </c>
      <c r="R267" s="103">
        <v>112040023</v>
      </c>
      <c r="S267" s="104" t="str">
        <f t="shared" si="193"/>
        <v>UITexture/Bldg/112040023.png</v>
      </c>
      <c r="T267" s="102" t="s">
        <v>1050</v>
      </c>
      <c r="U267" s="102">
        <v>4</v>
      </c>
      <c r="V267" s="102">
        <v>1</v>
      </c>
      <c r="W267" s="102">
        <v>2</v>
      </c>
      <c r="Y267" s="104">
        <f t="shared" si="192"/>
        <v>204</v>
      </c>
      <c r="Z267" s="102">
        <v>230</v>
      </c>
      <c r="AA267" s="102">
        <v>1</v>
      </c>
      <c r="AB267" s="102">
        <v>4</v>
      </c>
      <c r="AC267" s="102">
        <v>0</v>
      </c>
      <c r="AD267" s="102" t="s">
        <v>1154</v>
      </c>
      <c r="AE267" s="102">
        <v>23</v>
      </c>
      <c r="AG267" s="104">
        <f t="shared" si="191"/>
        <v>110838</v>
      </c>
      <c r="AH267" s="103">
        <v>110837.50618260104</v>
      </c>
      <c r="AI267" s="172">
        <v>4</v>
      </c>
      <c r="AK267" s="104">
        <f ca="1">IFERROR(OFFSET(ITEM_RES!$A$5,MATCH(AL267,ITEM_RES!$M$5:$M$84,0)-1,0),0)</f>
        <v>220000108</v>
      </c>
      <c r="AL267" s="103" t="s">
        <v>580</v>
      </c>
      <c r="AM267" s="104">
        <f t="shared" si="185"/>
        <v>8200</v>
      </c>
      <c r="AN267" s="103">
        <v>8242.1306581654044</v>
      </c>
      <c r="AP267" s="104">
        <f ca="1">IFERROR(OFFSET(ITEM_RES!$A$5,MATCH(AQ267,ITEM_RES!$M$5:$M$84,0)-1,0),0)</f>
        <v>220000208</v>
      </c>
      <c r="AQ267" s="103" t="s">
        <v>598</v>
      </c>
      <c r="AR267" s="104">
        <f t="shared" si="186"/>
        <v>4900</v>
      </c>
      <c r="AS267" s="103">
        <v>4945.2783948992419</v>
      </c>
      <c r="AU267" s="104">
        <f ca="1">IFERROR(OFFSET(ITEM_RES!$A$5,MATCH(AV267,ITEM_RES!$M$5:$M$84,0)-1,0),0)</f>
        <v>220000308</v>
      </c>
      <c r="AV267" s="103" t="s">
        <v>616</v>
      </c>
      <c r="AW267" s="104">
        <f t="shared" si="187"/>
        <v>3300</v>
      </c>
      <c r="AX267" s="103">
        <v>3296.8522632661616</v>
      </c>
      <c r="AZ267" s="104">
        <f ca="1">IFERROR(OFFSET(ITEM_RES!$A$5,MATCH(BA267,ITEM_RES!$M$5:$M$84,0)-1,0),0)</f>
        <v>220000408</v>
      </c>
      <c r="BA267" s="103" t="s">
        <v>634</v>
      </c>
      <c r="BB267" s="104">
        <f t="shared" si="188"/>
        <v>1600</v>
      </c>
      <c r="BC267" s="103">
        <v>1648.4261316330808</v>
      </c>
      <c r="BE267" s="104">
        <f ca="1">IFERROR(OFFSET(ITEM_RES!$A$5,MATCH(BF267,ITEM_RES!$M$5:$M$84,0)-1,0),0)</f>
        <v>0</v>
      </c>
      <c r="BG267" s="104">
        <f t="shared" si="189"/>
        <v>0</v>
      </c>
    </row>
    <row r="268" spans="1:59" x14ac:dyDescent="0.3">
      <c r="A268" s="107">
        <f t="shared" si="183"/>
        <v>112040024</v>
      </c>
      <c r="B268" s="106">
        <v>11</v>
      </c>
      <c r="C268" s="105">
        <f t="shared" si="184"/>
        <v>2</v>
      </c>
      <c r="D268" s="106">
        <v>4</v>
      </c>
      <c r="E268" s="106">
        <v>0</v>
      </c>
      <c r="F268" s="105">
        <f t="shared" si="190"/>
        <v>24</v>
      </c>
      <c r="H268" s="102">
        <v>2</v>
      </c>
      <c r="I268" s="102">
        <v>24</v>
      </c>
      <c r="K268" s="102" t="s">
        <v>1041</v>
      </c>
      <c r="L268" s="102" t="s">
        <v>782</v>
      </c>
      <c r="M268" s="103" t="s">
        <v>502</v>
      </c>
      <c r="N268" s="102">
        <v>0</v>
      </c>
      <c r="O268" s="102">
        <v>12</v>
      </c>
      <c r="P268" s="102" t="s">
        <v>744</v>
      </c>
      <c r="Q268" s="103" t="s">
        <v>1160</v>
      </c>
      <c r="R268" s="103">
        <v>112040024</v>
      </c>
      <c r="S268" s="104" t="str">
        <f t="shared" si="193"/>
        <v>UITexture/Bldg/112040024.png</v>
      </c>
      <c r="T268" s="102" t="s">
        <v>1050</v>
      </c>
      <c r="U268" s="102">
        <v>4</v>
      </c>
      <c r="V268" s="102">
        <v>1</v>
      </c>
      <c r="W268" s="102">
        <v>2</v>
      </c>
      <c r="Y268" s="104">
        <f t="shared" si="192"/>
        <v>204</v>
      </c>
      <c r="Z268" s="102">
        <v>240</v>
      </c>
      <c r="AA268" s="102">
        <v>1</v>
      </c>
      <c r="AB268" s="102">
        <v>4</v>
      </c>
      <c r="AC268" s="102">
        <v>0</v>
      </c>
      <c r="AD268" s="102" t="s">
        <v>1154</v>
      </c>
      <c r="AE268" s="102">
        <v>24</v>
      </c>
      <c r="AG268" s="104">
        <f t="shared" si="191"/>
        <v>116379</v>
      </c>
      <c r="AH268" s="103">
        <v>116379.3814917311</v>
      </c>
      <c r="AI268" s="172">
        <v>4</v>
      </c>
      <c r="AK268" s="104">
        <f ca="1">IFERROR(OFFSET(ITEM_RES!$A$5,MATCH(AL268,ITEM_RES!$M$5:$M$84,0)-1,0),0)</f>
        <v>220000108</v>
      </c>
      <c r="AL268" s="103" t="s">
        <v>580</v>
      </c>
      <c r="AM268" s="104">
        <f t="shared" si="185"/>
        <v>11000</v>
      </c>
      <c r="AN268" s="103">
        <v>10817.79648884209</v>
      </c>
      <c r="AP268" s="104">
        <f ca="1">IFERROR(OFFSET(ITEM_RES!$A$5,MATCH(AQ268,ITEM_RES!$M$5:$M$84,0)-1,0),0)</f>
        <v>220000208</v>
      </c>
      <c r="AQ268" s="103" t="s">
        <v>598</v>
      </c>
      <c r="AR268" s="104">
        <f t="shared" si="186"/>
        <v>6500</v>
      </c>
      <c r="AS268" s="103">
        <v>6490.6778933052547</v>
      </c>
      <c r="AU268" s="104">
        <f ca="1">IFERROR(OFFSET(ITEM_RES!$A$5,MATCH(AV268,ITEM_RES!$M$5:$M$84,0)-1,0),0)</f>
        <v>220000308</v>
      </c>
      <c r="AV268" s="103" t="s">
        <v>616</v>
      </c>
      <c r="AW268" s="104">
        <f t="shared" si="187"/>
        <v>4300</v>
      </c>
      <c r="AX268" s="103">
        <v>4327.1185955368364</v>
      </c>
      <c r="AZ268" s="104">
        <f ca="1">IFERROR(OFFSET(ITEM_RES!$A$5,MATCH(BA268,ITEM_RES!$M$5:$M$84,0)-1,0),0)</f>
        <v>220000408</v>
      </c>
      <c r="BA268" s="103" t="s">
        <v>634</v>
      </c>
      <c r="BB268" s="104">
        <f t="shared" si="188"/>
        <v>2200</v>
      </c>
      <c r="BC268" s="103">
        <v>2163.5592977684182</v>
      </c>
      <c r="BE268" s="104">
        <f ca="1">IFERROR(OFFSET(ITEM_RES!$A$5,MATCH(BF268,ITEM_RES!$M$5:$M$84,0)-1,0),0)</f>
        <v>0</v>
      </c>
      <c r="BG268" s="104">
        <f t="shared" si="189"/>
        <v>0</v>
      </c>
    </row>
    <row r="269" spans="1:59" x14ac:dyDescent="0.3">
      <c r="A269" s="107">
        <f t="shared" si="183"/>
        <v>112040025</v>
      </c>
      <c r="B269" s="106">
        <v>11</v>
      </c>
      <c r="C269" s="105">
        <f t="shared" si="184"/>
        <v>2</v>
      </c>
      <c r="D269" s="106">
        <v>4</v>
      </c>
      <c r="E269" s="106">
        <v>0</v>
      </c>
      <c r="F269" s="105">
        <f t="shared" si="190"/>
        <v>25</v>
      </c>
      <c r="H269" s="102">
        <v>2</v>
      </c>
      <c r="I269" s="102">
        <v>25</v>
      </c>
      <c r="K269" s="102" t="s">
        <v>1041</v>
      </c>
      <c r="L269" s="102" t="s">
        <v>782</v>
      </c>
      <c r="M269" s="103" t="s">
        <v>502</v>
      </c>
      <c r="N269" s="102">
        <v>0</v>
      </c>
      <c r="O269" s="102">
        <v>12</v>
      </c>
      <c r="P269" s="102" t="s">
        <v>744</v>
      </c>
      <c r="Q269" s="103" t="s">
        <v>1160</v>
      </c>
      <c r="R269" s="103">
        <v>112040025</v>
      </c>
      <c r="S269" s="104" t="str">
        <f t="shared" si="193"/>
        <v>UITexture/Bldg/112040025.png</v>
      </c>
      <c r="T269" s="102" t="s">
        <v>1050</v>
      </c>
      <c r="U269" s="102">
        <v>4</v>
      </c>
      <c r="V269" s="102">
        <v>1</v>
      </c>
      <c r="W269" s="102">
        <v>2</v>
      </c>
      <c r="Y269" s="104">
        <f t="shared" si="192"/>
        <v>204</v>
      </c>
      <c r="Z269" s="102">
        <v>250</v>
      </c>
      <c r="AA269" s="102">
        <v>1</v>
      </c>
      <c r="AB269" s="102">
        <v>4</v>
      </c>
      <c r="AC269" s="102">
        <v>0</v>
      </c>
      <c r="AD269" s="102" t="s">
        <v>1154</v>
      </c>
      <c r="AE269" s="102">
        <v>25</v>
      </c>
      <c r="AG269" s="104">
        <f t="shared" si="191"/>
        <v>122198</v>
      </c>
      <c r="AH269" s="103">
        <v>122198.35056631765</v>
      </c>
      <c r="AI269" s="172">
        <v>4</v>
      </c>
      <c r="AK269" s="104">
        <f ca="1">IFERROR(OFFSET(ITEM_RES!$A$5,MATCH(AL269,ITEM_RES!$M$5:$M$84,0)-1,0),0)</f>
        <v>220000109</v>
      </c>
      <c r="AL269" s="103" t="s">
        <v>581</v>
      </c>
      <c r="AM269" s="104">
        <f t="shared" si="185"/>
        <v>4700</v>
      </c>
      <c r="AN269" s="103">
        <v>4732.7859638684158</v>
      </c>
      <c r="AP269" s="104">
        <f ca="1">IFERROR(OFFSET(ITEM_RES!$A$5,MATCH(AQ269,ITEM_RES!$M$5:$M$84,0)-1,0),0)</f>
        <v>220000209</v>
      </c>
      <c r="AQ269" s="103" t="s">
        <v>599</v>
      </c>
      <c r="AR269" s="104">
        <f t="shared" si="186"/>
        <v>2800</v>
      </c>
      <c r="AS269" s="103">
        <v>2839.6715783210493</v>
      </c>
      <c r="AU269" s="104">
        <f ca="1">IFERROR(OFFSET(ITEM_RES!$A$5,MATCH(AV269,ITEM_RES!$M$5:$M$84,0)-1,0),0)</f>
        <v>220000309</v>
      </c>
      <c r="AV269" s="103" t="s">
        <v>617</v>
      </c>
      <c r="AW269" s="104">
        <f t="shared" si="187"/>
        <v>1900</v>
      </c>
      <c r="AX269" s="103">
        <v>1893.1143855473663</v>
      </c>
      <c r="AZ269" s="104">
        <f ca="1">IFERROR(OFFSET(ITEM_RES!$A$5,MATCH(BA269,ITEM_RES!$M$5:$M$84,0)-1,0),0)</f>
        <v>220000409</v>
      </c>
      <c r="BA269" s="103" t="s">
        <v>635</v>
      </c>
      <c r="BB269" s="104">
        <f t="shared" si="188"/>
        <v>950</v>
      </c>
      <c r="BC269" s="103">
        <v>946.55719277368314</v>
      </c>
      <c r="BE269" s="104">
        <f ca="1">IFERROR(OFFSET(ITEM_RES!$A$5,MATCH(BF269,ITEM_RES!$M$5:$M$84,0)-1,0),0)</f>
        <v>0</v>
      </c>
      <c r="BG269" s="104">
        <f t="shared" si="189"/>
        <v>0</v>
      </c>
    </row>
    <row r="270" spans="1:59" x14ac:dyDescent="0.3">
      <c r="A270" s="107">
        <f t="shared" ref="A270:A274" si="194">B270*10000000+C270*1000000+D270*10000+E270*100+F270</f>
        <v>112040026</v>
      </c>
      <c r="B270" s="106">
        <v>11</v>
      </c>
      <c r="C270" s="105">
        <f t="shared" ref="C270:C274" si="195">H270</f>
        <v>2</v>
      </c>
      <c r="D270" s="106">
        <v>4</v>
      </c>
      <c r="E270" s="106">
        <v>0</v>
      </c>
      <c r="F270" s="105">
        <f t="shared" si="190"/>
        <v>26</v>
      </c>
      <c r="H270" s="102">
        <v>2</v>
      </c>
      <c r="I270" s="102">
        <v>26</v>
      </c>
      <c r="K270" s="102" t="s">
        <v>1041</v>
      </c>
      <c r="L270" s="102" t="s">
        <v>782</v>
      </c>
      <c r="M270" s="103" t="s">
        <v>502</v>
      </c>
      <c r="N270" s="102">
        <v>0</v>
      </c>
      <c r="O270" s="102">
        <v>12</v>
      </c>
      <c r="P270" s="102" t="s">
        <v>744</v>
      </c>
      <c r="Q270" s="103" t="s">
        <v>1160</v>
      </c>
      <c r="R270" s="103">
        <v>112040026</v>
      </c>
      <c r="S270" s="104" t="str">
        <f t="shared" si="193"/>
        <v>UITexture/Bldg/112040026.png</v>
      </c>
      <c r="T270" s="102" t="s">
        <v>1050</v>
      </c>
      <c r="U270" s="102">
        <v>4</v>
      </c>
      <c r="V270" s="102">
        <v>1</v>
      </c>
      <c r="W270" s="102">
        <v>2</v>
      </c>
      <c r="Y270" s="104">
        <f t="shared" si="192"/>
        <v>204</v>
      </c>
      <c r="Z270" s="102">
        <v>260</v>
      </c>
      <c r="AA270" s="102">
        <v>1</v>
      </c>
      <c r="AB270" s="102">
        <v>4</v>
      </c>
      <c r="AC270" s="102">
        <v>0</v>
      </c>
      <c r="AD270" s="102" t="s">
        <v>1154</v>
      </c>
      <c r="AE270" s="102">
        <v>26</v>
      </c>
      <c r="AG270" s="104">
        <f t="shared" si="191"/>
        <v>127086</v>
      </c>
      <c r="AH270" s="103">
        <v>127086.28458897036</v>
      </c>
      <c r="AI270" s="172">
        <v>4</v>
      </c>
      <c r="AK270" s="104">
        <f ca="1">IFERROR(OFFSET(ITEM_RES!$A$5,MATCH(AL270,ITEM_RES!$M$5:$M$84,0)-1,0),0)</f>
        <v>220000109</v>
      </c>
      <c r="AL270" s="103" t="s">
        <v>581</v>
      </c>
      <c r="AM270" s="104">
        <f t="shared" ref="AM270:AM274" si="196">IF(AN270&lt;100,ROUND(AN270,1-LEN(ROUND(AN270,0))),ROUND(AN270,2-LEN(ROUND(AN270,0))))</f>
        <v>5900</v>
      </c>
      <c r="AN270" s="103">
        <v>5906.5168829077811</v>
      </c>
      <c r="AP270" s="104">
        <f ca="1">IFERROR(OFFSET(ITEM_RES!$A$5,MATCH(AQ270,ITEM_RES!$M$5:$M$84,0)-1,0),0)</f>
        <v>220000209</v>
      </c>
      <c r="AQ270" s="103" t="s">
        <v>599</v>
      </c>
      <c r="AR270" s="104">
        <f t="shared" ref="AR270:AR274" si="197">IF(AS270&lt;100,ROUND(AS270,1-LEN(ROUND(AS270,0))),ROUND(AS270,2-LEN(ROUND(AS270,0))))</f>
        <v>3500</v>
      </c>
      <c r="AS270" s="103">
        <v>3543.9101297446687</v>
      </c>
      <c r="AU270" s="104">
        <f ca="1">IFERROR(OFFSET(ITEM_RES!$A$5,MATCH(AV270,ITEM_RES!$M$5:$M$84,0)-1,0),0)</f>
        <v>220000309</v>
      </c>
      <c r="AV270" s="103" t="s">
        <v>617</v>
      </c>
      <c r="AW270" s="104">
        <f t="shared" ref="AW270:AW274" si="198">IF(AX270&lt;100,ROUND(AX270,1-LEN(ROUND(AX270,0))),ROUND(AX270,2-LEN(ROUND(AX270,0))))</f>
        <v>2400</v>
      </c>
      <c r="AX270" s="103">
        <v>2362.6067531631124</v>
      </c>
      <c r="AZ270" s="104">
        <f ca="1">IFERROR(OFFSET(ITEM_RES!$A$5,MATCH(BA270,ITEM_RES!$M$5:$M$84,0)-1,0),0)</f>
        <v>220000409</v>
      </c>
      <c r="BA270" s="103" t="s">
        <v>635</v>
      </c>
      <c r="BB270" s="104">
        <f t="shared" ref="BB270:BB274" si="199">IF(BC270&lt;100,ROUND(BC270,1-LEN(ROUND(BC270,0))),ROUND(BC270,2-LEN(ROUND(BC270,0))))</f>
        <v>1200</v>
      </c>
      <c r="BC270" s="103">
        <v>1181.3033765815562</v>
      </c>
      <c r="BE270" s="104">
        <f ca="1">IFERROR(OFFSET(ITEM_RES!$A$5,MATCH(BF270,ITEM_RES!$M$5:$M$84,0)-1,0),0)</f>
        <v>0</v>
      </c>
      <c r="BG270" s="104">
        <f t="shared" ref="BG270:BG274" si="200">IF(BH270&lt;100,ROUND(BH270,1-LEN(ROUND(BH270,0))),ROUND(BH270,2-LEN(ROUND(BH270,0))))</f>
        <v>0</v>
      </c>
    </row>
    <row r="271" spans="1:59" x14ac:dyDescent="0.3">
      <c r="A271" s="107">
        <f t="shared" si="194"/>
        <v>112040027</v>
      </c>
      <c r="B271" s="106">
        <v>11</v>
      </c>
      <c r="C271" s="105">
        <f t="shared" si="195"/>
        <v>2</v>
      </c>
      <c r="D271" s="106">
        <v>4</v>
      </c>
      <c r="E271" s="106">
        <v>0</v>
      </c>
      <c r="F271" s="105">
        <f t="shared" si="190"/>
        <v>27</v>
      </c>
      <c r="H271" s="102">
        <v>2</v>
      </c>
      <c r="I271" s="102">
        <v>27</v>
      </c>
      <c r="K271" s="102" t="s">
        <v>1041</v>
      </c>
      <c r="L271" s="102" t="s">
        <v>782</v>
      </c>
      <c r="M271" s="103" t="s">
        <v>502</v>
      </c>
      <c r="N271" s="102">
        <v>0</v>
      </c>
      <c r="O271" s="102">
        <v>12</v>
      </c>
      <c r="P271" s="102" t="s">
        <v>744</v>
      </c>
      <c r="Q271" s="103" t="s">
        <v>1160</v>
      </c>
      <c r="R271" s="103">
        <v>112040027</v>
      </c>
      <c r="S271" s="104" t="str">
        <f t="shared" si="193"/>
        <v>UITexture/Bldg/112040027.png</v>
      </c>
      <c r="T271" s="102" t="s">
        <v>1050</v>
      </c>
      <c r="U271" s="102">
        <v>4</v>
      </c>
      <c r="V271" s="102">
        <v>1</v>
      </c>
      <c r="W271" s="102">
        <v>2</v>
      </c>
      <c r="Y271" s="104">
        <f t="shared" si="192"/>
        <v>204</v>
      </c>
      <c r="Z271" s="102">
        <v>270</v>
      </c>
      <c r="AA271" s="102">
        <v>1</v>
      </c>
      <c r="AB271" s="102">
        <v>4</v>
      </c>
      <c r="AC271" s="102">
        <v>0</v>
      </c>
      <c r="AD271" s="102" t="s">
        <v>1154</v>
      </c>
      <c r="AE271" s="102">
        <v>27</v>
      </c>
      <c r="AG271" s="104">
        <f t="shared" si="191"/>
        <v>132170</v>
      </c>
      <c r="AH271" s="103">
        <v>132169.73597252919</v>
      </c>
      <c r="AI271" s="172">
        <v>4</v>
      </c>
      <c r="AK271" s="104">
        <f ca="1">IFERROR(OFFSET(ITEM_RES!$A$5,MATCH(AL271,ITEM_RES!$M$5:$M$84,0)-1,0),0)</f>
        <v>220000109</v>
      </c>
      <c r="AL271" s="103" t="s">
        <v>581</v>
      </c>
      <c r="AM271" s="104">
        <f t="shared" si="196"/>
        <v>7400</v>
      </c>
      <c r="AN271" s="103">
        <v>7371.3330698689115</v>
      </c>
      <c r="AP271" s="104">
        <f ca="1">IFERROR(OFFSET(ITEM_RES!$A$5,MATCH(AQ271,ITEM_RES!$M$5:$M$84,0)-1,0),0)</f>
        <v>220000209</v>
      </c>
      <c r="AQ271" s="103" t="s">
        <v>599</v>
      </c>
      <c r="AR271" s="104">
        <f t="shared" si="197"/>
        <v>4400</v>
      </c>
      <c r="AS271" s="103">
        <v>4422.7998419213473</v>
      </c>
      <c r="AU271" s="104">
        <f ca="1">IFERROR(OFFSET(ITEM_RES!$A$5,MATCH(AV271,ITEM_RES!$M$5:$M$84,0)-1,0),0)</f>
        <v>220000309</v>
      </c>
      <c r="AV271" s="103" t="s">
        <v>617</v>
      </c>
      <c r="AW271" s="104">
        <f t="shared" si="198"/>
        <v>2900</v>
      </c>
      <c r="AX271" s="103">
        <v>2948.5332279475647</v>
      </c>
      <c r="AZ271" s="104">
        <f ca="1">IFERROR(OFFSET(ITEM_RES!$A$5,MATCH(BA271,ITEM_RES!$M$5:$M$84,0)-1,0),0)</f>
        <v>220000409</v>
      </c>
      <c r="BA271" s="103" t="s">
        <v>635</v>
      </c>
      <c r="BB271" s="104">
        <f t="shared" si="199"/>
        <v>1500</v>
      </c>
      <c r="BC271" s="103">
        <v>1474.2666139737823</v>
      </c>
      <c r="BE271" s="104">
        <f ca="1">IFERROR(OFFSET(ITEM_RES!$A$5,MATCH(BF271,ITEM_RES!$M$5:$M$84,0)-1,0),0)</f>
        <v>0</v>
      </c>
      <c r="BG271" s="104">
        <f t="shared" si="200"/>
        <v>0</v>
      </c>
    </row>
    <row r="272" spans="1:59" x14ac:dyDescent="0.3">
      <c r="A272" s="107">
        <f t="shared" si="194"/>
        <v>112040028</v>
      </c>
      <c r="B272" s="106">
        <v>11</v>
      </c>
      <c r="C272" s="105">
        <f t="shared" si="195"/>
        <v>2</v>
      </c>
      <c r="D272" s="106">
        <v>4</v>
      </c>
      <c r="E272" s="106">
        <v>0</v>
      </c>
      <c r="F272" s="105">
        <f t="shared" si="190"/>
        <v>28</v>
      </c>
      <c r="H272" s="102">
        <v>2</v>
      </c>
      <c r="I272" s="102">
        <v>28</v>
      </c>
      <c r="K272" s="102" t="s">
        <v>1041</v>
      </c>
      <c r="L272" s="102" t="s">
        <v>782</v>
      </c>
      <c r="M272" s="103" t="s">
        <v>502</v>
      </c>
      <c r="N272" s="102">
        <v>0</v>
      </c>
      <c r="O272" s="102">
        <v>12</v>
      </c>
      <c r="P272" s="102" t="s">
        <v>744</v>
      </c>
      <c r="Q272" s="103" t="s">
        <v>1160</v>
      </c>
      <c r="R272" s="103">
        <v>112040028</v>
      </c>
      <c r="S272" s="104" t="str">
        <f t="shared" si="193"/>
        <v>UITexture/Bldg/112040028.png</v>
      </c>
      <c r="T272" s="102" t="s">
        <v>1050</v>
      </c>
      <c r="U272" s="102">
        <v>4</v>
      </c>
      <c r="V272" s="102">
        <v>1</v>
      </c>
      <c r="W272" s="102">
        <v>2</v>
      </c>
      <c r="Y272" s="104">
        <f t="shared" si="192"/>
        <v>204</v>
      </c>
      <c r="Z272" s="102">
        <v>280</v>
      </c>
      <c r="AA272" s="102">
        <v>1</v>
      </c>
      <c r="AB272" s="102">
        <v>4</v>
      </c>
      <c r="AC272" s="102">
        <v>0</v>
      </c>
      <c r="AD272" s="102" t="s">
        <v>1154</v>
      </c>
      <c r="AE272" s="102">
        <v>28</v>
      </c>
      <c r="AG272" s="104">
        <f t="shared" si="191"/>
        <v>136135</v>
      </c>
      <c r="AH272" s="103">
        <v>136134.82805170506</v>
      </c>
      <c r="AI272" s="172">
        <v>4</v>
      </c>
      <c r="AK272" s="104">
        <f ca="1">IFERROR(OFFSET(ITEM_RES!$A$5,MATCH(AL272,ITEM_RES!$M$5:$M$84,0)-1,0),0)</f>
        <v>220000110</v>
      </c>
      <c r="AL272" s="103" t="s">
        <v>582</v>
      </c>
      <c r="AM272" s="104">
        <f t="shared" si="196"/>
        <v>3000</v>
      </c>
      <c r="AN272" s="103">
        <v>3036.9892247859916</v>
      </c>
      <c r="AP272" s="104">
        <f ca="1">IFERROR(OFFSET(ITEM_RES!$A$5,MATCH(AQ272,ITEM_RES!$M$5:$M$84,0)-1,0),0)</f>
        <v>220000210</v>
      </c>
      <c r="AQ272" s="103" t="s">
        <v>600</v>
      </c>
      <c r="AR272" s="104">
        <f t="shared" si="197"/>
        <v>1800</v>
      </c>
      <c r="AS272" s="103">
        <v>1822.1935348715951</v>
      </c>
      <c r="AU272" s="104">
        <f ca="1">IFERROR(OFFSET(ITEM_RES!$A$5,MATCH(AV272,ITEM_RES!$M$5:$M$84,0)-1,0),0)</f>
        <v>220000310</v>
      </c>
      <c r="AV272" s="103" t="s">
        <v>618</v>
      </c>
      <c r="AW272" s="104">
        <f t="shared" si="198"/>
        <v>1200</v>
      </c>
      <c r="AX272" s="103">
        <v>1214.7956899143967</v>
      </c>
      <c r="AZ272" s="104">
        <f ca="1">IFERROR(OFFSET(ITEM_RES!$A$5,MATCH(BA272,ITEM_RES!$M$5:$M$84,0)-1,0),0)</f>
        <v>220000410</v>
      </c>
      <c r="BA272" s="103" t="s">
        <v>636</v>
      </c>
      <c r="BB272" s="104">
        <f t="shared" si="199"/>
        <v>610</v>
      </c>
      <c r="BC272" s="103">
        <v>607.39784495719834</v>
      </c>
      <c r="BE272" s="104">
        <f ca="1">IFERROR(OFFSET(ITEM_RES!$A$5,MATCH(BF272,ITEM_RES!$M$5:$M$84,0)-1,0),0)</f>
        <v>0</v>
      </c>
      <c r="BG272" s="104">
        <f t="shared" si="200"/>
        <v>0</v>
      </c>
    </row>
    <row r="273" spans="1:60" x14ac:dyDescent="0.3">
      <c r="A273" s="107">
        <f t="shared" si="194"/>
        <v>112040029</v>
      </c>
      <c r="B273" s="106">
        <v>11</v>
      </c>
      <c r="C273" s="105">
        <f t="shared" si="195"/>
        <v>2</v>
      </c>
      <c r="D273" s="106">
        <v>4</v>
      </c>
      <c r="E273" s="106">
        <v>0</v>
      </c>
      <c r="F273" s="105">
        <f t="shared" si="190"/>
        <v>29</v>
      </c>
      <c r="H273" s="102">
        <v>2</v>
      </c>
      <c r="I273" s="102">
        <v>29</v>
      </c>
      <c r="K273" s="102" t="s">
        <v>1041</v>
      </c>
      <c r="L273" s="102" t="s">
        <v>782</v>
      </c>
      <c r="M273" s="103" t="s">
        <v>502</v>
      </c>
      <c r="N273" s="102">
        <v>0</v>
      </c>
      <c r="O273" s="102">
        <v>12</v>
      </c>
      <c r="P273" s="102" t="s">
        <v>744</v>
      </c>
      <c r="Q273" s="103" t="s">
        <v>1160</v>
      </c>
      <c r="R273" s="103">
        <v>112040029</v>
      </c>
      <c r="S273" s="104" t="str">
        <f t="shared" si="193"/>
        <v>UITexture/Bldg/112040029.png</v>
      </c>
      <c r="T273" s="102" t="s">
        <v>1050</v>
      </c>
      <c r="U273" s="102">
        <v>4</v>
      </c>
      <c r="V273" s="102">
        <v>1</v>
      </c>
      <c r="W273" s="102">
        <v>2</v>
      </c>
      <c r="Y273" s="104">
        <f t="shared" si="192"/>
        <v>204</v>
      </c>
      <c r="Z273" s="102">
        <v>290</v>
      </c>
      <c r="AA273" s="102">
        <v>1</v>
      </c>
      <c r="AB273" s="102">
        <v>4</v>
      </c>
      <c r="AC273" s="102">
        <v>0</v>
      </c>
      <c r="AD273" s="102" t="s">
        <v>1154</v>
      </c>
      <c r="AE273" s="102">
        <v>29</v>
      </c>
      <c r="AG273" s="104">
        <f t="shared" si="191"/>
        <v>140219</v>
      </c>
      <c r="AH273" s="103">
        <v>140218.87289325622</v>
      </c>
      <c r="AI273" s="172">
        <v>4</v>
      </c>
      <c r="AK273" s="104">
        <f ca="1">IFERROR(OFFSET(ITEM_RES!$A$5,MATCH(AL273,ITEM_RES!$M$5:$M$84,0)-1,0),0)</f>
        <v>220000110</v>
      </c>
      <c r="AL273" s="103" t="s">
        <v>582</v>
      </c>
      <c r="AM273" s="104">
        <f t="shared" si="196"/>
        <v>3800</v>
      </c>
      <c r="AN273" s="103">
        <v>3753.7186818354853</v>
      </c>
      <c r="AP273" s="104">
        <f ca="1">IFERROR(OFFSET(ITEM_RES!$A$5,MATCH(AQ273,ITEM_RES!$M$5:$M$84,0)-1,0),0)</f>
        <v>220000210</v>
      </c>
      <c r="AQ273" s="103" t="s">
        <v>600</v>
      </c>
      <c r="AR273" s="104">
        <f t="shared" si="197"/>
        <v>2300</v>
      </c>
      <c r="AS273" s="103">
        <v>2252.2312091012914</v>
      </c>
      <c r="AU273" s="104">
        <f ca="1">IFERROR(OFFSET(ITEM_RES!$A$5,MATCH(AV273,ITEM_RES!$M$5:$M$84,0)-1,0),0)</f>
        <v>220000310</v>
      </c>
      <c r="AV273" s="103" t="s">
        <v>618</v>
      </c>
      <c r="AW273" s="104">
        <f t="shared" si="198"/>
        <v>1500</v>
      </c>
      <c r="AX273" s="103">
        <v>1501.4874727341942</v>
      </c>
      <c r="AZ273" s="104">
        <f ca="1">IFERROR(OFFSET(ITEM_RES!$A$5,MATCH(BA273,ITEM_RES!$M$5:$M$84,0)-1,0),0)</f>
        <v>220000410</v>
      </c>
      <c r="BA273" s="103" t="s">
        <v>636</v>
      </c>
      <c r="BB273" s="104">
        <f t="shared" si="199"/>
        <v>750</v>
      </c>
      <c r="BC273" s="103">
        <v>750.74373636709709</v>
      </c>
      <c r="BE273" s="104">
        <f ca="1">IFERROR(OFFSET(ITEM_RES!$A$5,MATCH(BF273,ITEM_RES!$M$5:$M$84,0)-1,0),0)</f>
        <v>0</v>
      </c>
      <c r="BG273" s="104">
        <f t="shared" si="200"/>
        <v>0</v>
      </c>
    </row>
    <row r="274" spans="1:60" s="108" customFormat="1" ht="17.25" thickBot="1" x14ac:dyDescent="0.35">
      <c r="A274" s="114">
        <f t="shared" si="194"/>
        <v>112040030</v>
      </c>
      <c r="B274" s="113">
        <v>11</v>
      </c>
      <c r="C274" s="112">
        <f t="shared" si="195"/>
        <v>2</v>
      </c>
      <c r="D274" s="113">
        <v>4</v>
      </c>
      <c r="E274" s="113">
        <v>0</v>
      </c>
      <c r="F274" s="112">
        <f t="shared" si="190"/>
        <v>30</v>
      </c>
      <c r="G274" s="256"/>
      <c r="H274" s="109">
        <v>2</v>
      </c>
      <c r="I274" s="109">
        <v>30</v>
      </c>
      <c r="J274" s="256"/>
      <c r="K274" s="109" t="s">
        <v>1041</v>
      </c>
      <c r="L274" s="109" t="s">
        <v>782</v>
      </c>
      <c r="M274" s="110" t="s">
        <v>502</v>
      </c>
      <c r="N274" s="109">
        <v>0</v>
      </c>
      <c r="O274" s="109">
        <v>12</v>
      </c>
      <c r="P274" s="109" t="s">
        <v>744</v>
      </c>
      <c r="Q274" s="110" t="s">
        <v>1160</v>
      </c>
      <c r="R274" s="110">
        <v>112040030</v>
      </c>
      <c r="S274" s="111" t="str">
        <f t="shared" si="193"/>
        <v>UITexture/Bldg/112040030.png</v>
      </c>
      <c r="T274" s="109" t="s">
        <v>1050</v>
      </c>
      <c r="U274" s="109">
        <v>4</v>
      </c>
      <c r="V274" s="109">
        <v>1</v>
      </c>
      <c r="W274" s="109">
        <v>2</v>
      </c>
      <c r="X274" s="256"/>
      <c r="Y274" s="111">
        <f t="shared" si="192"/>
        <v>204</v>
      </c>
      <c r="Z274" s="109">
        <v>300</v>
      </c>
      <c r="AA274" s="109">
        <v>1</v>
      </c>
      <c r="AB274" s="109">
        <v>4</v>
      </c>
      <c r="AC274" s="109">
        <v>0</v>
      </c>
      <c r="AD274" s="109" t="s">
        <v>1154</v>
      </c>
      <c r="AE274" s="109">
        <v>30</v>
      </c>
      <c r="AF274" s="256"/>
      <c r="AG274" s="111">
        <f t="shared" si="191"/>
        <v>143023</v>
      </c>
      <c r="AH274" s="110">
        <v>143023.25035112133</v>
      </c>
      <c r="AI274" s="175">
        <v>4</v>
      </c>
      <c r="AJ274" s="111"/>
      <c r="AK274" s="111">
        <f ca="1">IFERROR(OFFSET(ITEM_RES!$A$5,MATCH(AL274,ITEM_RES!$M$5:$M$84,0)-1,0),0)</f>
        <v>220000110</v>
      </c>
      <c r="AL274" s="110" t="s">
        <v>582</v>
      </c>
      <c r="AM274" s="111">
        <f t="shared" si="196"/>
        <v>4600</v>
      </c>
      <c r="AN274" s="110">
        <v>4594.5516665666355</v>
      </c>
      <c r="AO274" s="111"/>
      <c r="AP274" s="111">
        <f ca="1">IFERROR(OFFSET(ITEM_RES!$A$5,MATCH(AQ274,ITEM_RES!$M$5:$M$84,0)-1,0),0)</f>
        <v>220000210</v>
      </c>
      <c r="AQ274" s="110" t="s">
        <v>600</v>
      </c>
      <c r="AR274" s="111">
        <f t="shared" si="197"/>
        <v>2800</v>
      </c>
      <c r="AS274" s="110">
        <v>2756.7309999399813</v>
      </c>
      <c r="AT274" s="111"/>
      <c r="AU274" s="111">
        <f ca="1">IFERROR(OFFSET(ITEM_RES!$A$5,MATCH(AV274,ITEM_RES!$M$5:$M$84,0)-1,0),0)</f>
        <v>220000310</v>
      </c>
      <c r="AV274" s="110" t="s">
        <v>618</v>
      </c>
      <c r="AW274" s="111">
        <f t="shared" si="198"/>
        <v>1800</v>
      </c>
      <c r="AX274" s="110">
        <v>1837.8206666266542</v>
      </c>
      <c r="AY274" s="111"/>
      <c r="AZ274" s="111">
        <f ca="1">IFERROR(OFFSET(ITEM_RES!$A$5,MATCH(BA274,ITEM_RES!$M$5:$M$84,0)-1,0),0)</f>
        <v>220000410</v>
      </c>
      <c r="BA274" s="110" t="s">
        <v>636</v>
      </c>
      <c r="BB274" s="111">
        <f t="shared" si="199"/>
        <v>920</v>
      </c>
      <c r="BC274" s="110">
        <v>918.9103333133271</v>
      </c>
      <c r="BD274" s="111"/>
      <c r="BE274" s="111">
        <f ca="1">IFERROR(OFFSET(ITEM_RES!$A$5,MATCH(BF274,ITEM_RES!$M$5:$M$84,0)-1,0),0)</f>
        <v>0</v>
      </c>
      <c r="BF274" s="110"/>
      <c r="BG274" s="111">
        <f t="shared" si="200"/>
        <v>0</v>
      </c>
      <c r="BH274" s="110"/>
    </row>
    <row r="275" spans="1:60" x14ac:dyDescent="0.3">
      <c r="A275" s="107">
        <f t="shared" si="22"/>
        <v>113010001</v>
      </c>
      <c r="B275" s="106">
        <v>11</v>
      </c>
      <c r="C275" s="105">
        <f t="shared" ref="C275:C279" si="201">H275</f>
        <v>3</v>
      </c>
      <c r="D275" s="106">
        <v>1</v>
      </c>
      <c r="E275" s="106">
        <v>0</v>
      </c>
      <c r="F275" s="105">
        <f t="shared" si="190"/>
        <v>1</v>
      </c>
      <c r="H275" s="102">
        <v>3</v>
      </c>
      <c r="I275" s="116">
        <v>1</v>
      </c>
      <c r="K275" s="102" t="s">
        <v>1041</v>
      </c>
      <c r="L275" s="102" t="s">
        <v>505</v>
      </c>
      <c r="M275" s="103" t="s">
        <v>505</v>
      </c>
      <c r="N275" s="102">
        <v>0</v>
      </c>
      <c r="O275" s="102">
        <v>12</v>
      </c>
      <c r="P275" s="116" t="s">
        <v>518</v>
      </c>
      <c r="Q275" s="103" t="s">
        <v>1160</v>
      </c>
      <c r="R275" s="103">
        <v>113010001</v>
      </c>
      <c r="S275" s="104" t="str">
        <f t="shared" si="193"/>
        <v>UITexture/Bldg/113010001.png</v>
      </c>
      <c r="U275" s="102">
        <v>1</v>
      </c>
      <c r="V275" s="116">
        <v>1</v>
      </c>
      <c r="W275" s="102">
        <v>2</v>
      </c>
      <c r="Y275" s="104">
        <f t="shared" si="192"/>
        <v>301</v>
      </c>
      <c r="Z275" s="116">
        <v>10</v>
      </c>
      <c r="AA275" s="116">
        <v>1</v>
      </c>
      <c r="AB275" s="116">
        <v>4</v>
      </c>
      <c r="AC275" s="116">
        <v>100</v>
      </c>
      <c r="AE275" s="116">
        <v>1</v>
      </c>
      <c r="AG275" s="118">
        <f t="shared" si="191"/>
        <v>20</v>
      </c>
      <c r="AH275" s="117">
        <v>20</v>
      </c>
      <c r="AI275" s="174">
        <v>2</v>
      </c>
      <c r="AJ275" s="118"/>
      <c r="AK275" s="118">
        <f ca="1">IFERROR(OFFSET(ITEM_RES!$A$5,MATCH(AL275,ITEM_RES!$M$5:$M$84,0)-1,0),0)</f>
        <v>220000101</v>
      </c>
      <c r="AL275" s="117" t="s">
        <v>573</v>
      </c>
      <c r="AM275" s="118">
        <f t="shared" si="24"/>
        <v>40</v>
      </c>
      <c r="AN275" s="117">
        <v>40</v>
      </c>
      <c r="AO275" s="118"/>
      <c r="AP275" s="118">
        <f ca="1">IFERROR(OFFSET(ITEM_RES!$A$5,MATCH(AQ275,ITEM_RES!$M$5:$M$84,0)-1,0),0)</f>
        <v>220000201</v>
      </c>
      <c r="AQ275" s="117" t="s">
        <v>591</v>
      </c>
      <c r="AR275" s="118">
        <f t="shared" si="25"/>
        <v>40</v>
      </c>
      <c r="AS275" s="117">
        <v>40</v>
      </c>
      <c r="AT275" s="118"/>
      <c r="AU275" s="118">
        <f ca="1">IFERROR(OFFSET(ITEM_RES!$A$5,MATCH(AV275,ITEM_RES!$M$5:$M$84,0)-1,0),0)</f>
        <v>220000301</v>
      </c>
      <c r="AV275" s="117" t="s">
        <v>609</v>
      </c>
      <c r="AW275" s="118">
        <f t="shared" si="26"/>
        <v>0</v>
      </c>
      <c r="AX275" s="117"/>
      <c r="AY275" s="118"/>
      <c r="AZ275" s="118">
        <f ca="1">IFERROR(OFFSET(ITEM_RES!$A$5,MATCH(BA275,ITEM_RES!$M$5:$M$84,0)-1,0),0)</f>
        <v>220000401</v>
      </c>
      <c r="BA275" s="117" t="s">
        <v>627</v>
      </c>
      <c r="BB275" s="118">
        <f t="shared" si="27"/>
        <v>0</v>
      </c>
      <c r="BC275" s="117"/>
      <c r="BD275" s="118"/>
      <c r="BE275" s="118">
        <f ca="1">IFERROR(OFFSET(ITEM_RES!$A$5,MATCH(BF275,ITEM_RES!$M$5:$M$84,0)-1,0),0)</f>
        <v>0</v>
      </c>
      <c r="BF275" s="117"/>
      <c r="BG275" s="118">
        <f t="shared" si="28"/>
        <v>0</v>
      </c>
      <c r="BH275" s="117"/>
    </row>
    <row r="276" spans="1:60" x14ac:dyDescent="0.3">
      <c r="A276" s="107">
        <f t="shared" si="22"/>
        <v>113010002</v>
      </c>
      <c r="B276" s="106">
        <v>11</v>
      </c>
      <c r="C276" s="105">
        <f t="shared" si="201"/>
        <v>3</v>
      </c>
      <c r="D276" s="106">
        <v>1</v>
      </c>
      <c r="E276" s="106">
        <v>0</v>
      </c>
      <c r="F276" s="105">
        <f t="shared" si="190"/>
        <v>2</v>
      </c>
      <c r="H276" s="102">
        <v>3</v>
      </c>
      <c r="I276" s="102">
        <v>2</v>
      </c>
      <c r="K276" s="102" t="s">
        <v>1041</v>
      </c>
      <c r="L276" s="102" t="s">
        <v>505</v>
      </c>
      <c r="M276" s="103" t="s">
        <v>505</v>
      </c>
      <c r="N276" s="102">
        <v>0</v>
      </c>
      <c r="O276" s="102">
        <v>12</v>
      </c>
      <c r="P276" s="102" t="s">
        <v>518</v>
      </c>
      <c r="Q276" s="103" t="s">
        <v>1160</v>
      </c>
      <c r="R276" s="103">
        <v>113010002</v>
      </c>
      <c r="S276" s="104" t="str">
        <f t="shared" si="193"/>
        <v>UITexture/Bldg/113010002.png</v>
      </c>
      <c r="U276" s="102">
        <v>1</v>
      </c>
      <c r="V276" s="102">
        <v>1</v>
      </c>
      <c r="W276" s="102">
        <v>2</v>
      </c>
      <c r="Y276" s="104">
        <f t="shared" si="192"/>
        <v>301</v>
      </c>
      <c r="Z276" s="102">
        <v>20</v>
      </c>
      <c r="AA276" s="102">
        <v>1</v>
      </c>
      <c r="AB276" s="102">
        <v>4</v>
      </c>
      <c r="AC276" s="102">
        <v>200</v>
      </c>
      <c r="AE276" s="102">
        <v>2</v>
      </c>
      <c r="AG276" s="104">
        <f t="shared" si="191"/>
        <v>70</v>
      </c>
      <c r="AH276" s="103">
        <v>70</v>
      </c>
      <c r="AI276" s="172">
        <v>2</v>
      </c>
      <c r="AK276" s="104">
        <f ca="1">IFERROR(OFFSET(ITEM_RES!$A$5,MATCH(AL276,ITEM_RES!$M$5:$M$84,0)-1,0),0)</f>
        <v>220000101</v>
      </c>
      <c r="AL276" s="103" t="s">
        <v>573</v>
      </c>
      <c r="AM276" s="104">
        <f t="shared" si="24"/>
        <v>140</v>
      </c>
      <c r="AN276" s="103">
        <v>140</v>
      </c>
      <c r="AP276" s="104">
        <f ca="1">IFERROR(OFFSET(ITEM_RES!$A$5,MATCH(AQ276,ITEM_RES!$M$5:$M$84,0)-1,0),0)</f>
        <v>220000201</v>
      </c>
      <c r="AQ276" s="103" t="s">
        <v>591</v>
      </c>
      <c r="AR276" s="104">
        <f t="shared" si="25"/>
        <v>140</v>
      </c>
      <c r="AS276" s="103">
        <v>140</v>
      </c>
      <c r="AU276" s="104">
        <f ca="1">IFERROR(OFFSET(ITEM_RES!$A$5,MATCH(AV276,ITEM_RES!$M$5:$M$84,0)-1,0),0)</f>
        <v>220000301</v>
      </c>
      <c r="AV276" s="103" t="s">
        <v>609</v>
      </c>
      <c r="AW276" s="104">
        <f t="shared" si="26"/>
        <v>0</v>
      </c>
      <c r="AZ276" s="104">
        <f ca="1">IFERROR(OFFSET(ITEM_RES!$A$5,MATCH(BA276,ITEM_RES!$M$5:$M$84,0)-1,0),0)</f>
        <v>220000401</v>
      </c>
      <c r="BA276" s="103" t="s">
        <v>627</v>
      </c>
      <c r="BB276" s="104">
        <f t="shared" si="27"/>
        <v>0</v>
      </c>
      <c r="BE276" s="104">
        <f ca="1">IFERROR(OFFSET(ITEM_RES!$A$5,MATCH(BF276,ITEM_RES!$M$5:$M$84,0)-1,0),0)</f>
        <v>0</v>
      </c>
      <c r="BG276" s="104">
        <f t="shared" si="28"/>
        <v>0</v>
      </c>
    </row>
    <row r="277" spans="1:60" x14ac:dyDescent="0.3">
      <c r="A277" s="107">
        <f t="shared" si="22"/>
        <v>113010003</v>
      </c>
      <c r="B277" s="106">
        <v>11</v>
      </c>
      <c r="C277" s="105">
        <f t="shared" si="201"/>
        <v>3</v>
      </c>
      <c r="D277" s="106">
        <v>1</v>
      </c>
      <c r="E277" s="106">
        <v>0</v>
      </c>
      <c r="F277" s="105">
        <f t="shared" si="190"/>
        <v>3</v>
      </c>
      <c r="H277" s="102">
        <v>3</v>
      </c>
      <c r="I277" s="102">
        <v>3</v>
      </c>
      <c r="K277" s="102" t="s">
        <v>1041</v>
      </c>
      <c r="L277" s="102" t="s">
        <v>505</v>
      </c>
      <c r="M277" s="103" t="s">
        <v>505</v>
      </c>
      <c r="N277" s="102">
        <v>0</v>
      </c>
      <c r="O277" s="102">
        <v>12</v>
      </c>
      <c r="P277" s="102" t="s">
        <v>518</v>
      </c>
      <c r="Q277" s="103" t="s">
        <v>1160</v>
      </c>
      <c r="R277" s="103">
        <v>113010003</v>
      </c>
      <c r="S277" s="104" t="str">
        <f t="shared" si="193"/>
        <v>UITexture/Bldg/113010003.png</v>
      </c>
      <c r="U277" s="102">
        <v>1</v>
      </c>
      <c r="V277" s="102">
        <v>1</v>
      </c>
      <c r="W277" s="102">
        <v>2</v>
      </c>
      <c r="Y277" s="104">
        <f t="shared" si="192"/>
        <v>301</v>
      </c>
      <c r="Z277" s="102">
        <v>30</v>
      </c>
      <c r="AA277" s="102">
        <v>1</v>
      </c>
      <c r="AB277" s="102">
        <v>4</v>
      </c>
      <c r="AC277" s="102">
        <v>300</v>
      </c>
      <c r="AE277" s="102">
        <v>3</v>
      </c>
      <c r="AG277" s="104">
        <f t="shared" si="191"/>
        <v>200</v>
      </c>
      <c r="AH277" s="103">
        <v>200</v>
      </c>
      <c r="AI277" s="172">
        <v>2</v>
      </c>
      <c r="AK277" s="104">
        <f ca="1">IFERROR(OFFSET(ITEM_RES!$A$5,MATCH(AL277,ITEM_RES!$M$5:$M$84,0)-1,0),0)</f>
        <v>220000101</v>
      </c>
      <c r="AL277" s="103" t="s">
        <v>573</v>
      </c>
      <c r="AM277" s="104">
        <f t="shared" si="24"/>
        <v>400</v>
      </c>
      <c r="AN277" s="103">
        <v>400</v>
      </c>
      <c r="AP277" s="104">
        <f ca="1">IFERROR(OFFSET(ITEM_RES!$A$5,MATCH(AQ277,ITEM_RES!$M$5:$M$84,0)-1,0),0)</f>
        <v>220000201</v>
      </c>
      <c r="AQ277" s="103" t="s">
        <v>591</v>
      </c>
      <c r="AR277" s="104">
        <f t="shared" si="25"/>
        <v>400</v>
      </c>
      <c r="AS277" s="103">
        <v>400</v>
      </c>
      <c r="AU277" s="104">
        <f ca="1">IFERROR(OFFSET(ITEM_RES!$A$5,MATCH(AV277,ITEM_RES!$M$5:$M$84,0)-1,0),0)</f>
        <v>220000301</v>
      </c>
      <c r="AV277" s="103" t="s">
        <v>609</v>
      </c>
      <c r="AW277" s="104">
        <f t="shared" si="26"/>
        <v>0</v>
      </c>
      <c r="AZ277" s="104">
        <f ca="1">IFERROR(OFFSET(ITEM_RES!$A$5,MATCH(BA277,ITEM_RES!$M$5:$M$84,0)-1,0),0)</f>
        <v>220000401</v>
      </c>
      <c r="BA277" s="103" t="s">
        <v>627</v>
      </c>
      <c r="BB277" s="104">
        <f t="shared" si="27"/>
        <v>0</v>
      </c>
      <c r="BE277" s="104">
        <f ca="1">IFERROR(OFFSET(ITEM_RES!$A$5,MATCH(BF277,ITEM_RES!$M$5:$M$84,0)-1,0),0)</f>
        <v>0</v>
      </c>
      <c r="BG277" s="104">
        <f t="shared" si="28"/>
        <v>0</v>
      </c>
    </row>
    <row r="278" spans="1:60" x14ac:dyDescent="0.3">
      <c r="A278" s="107">
        <f t="shared" si="22"/>
        <v>113010004</v>
      </c>
      <c r="B278" s="106">
        <v>11</v>
      </c>
      <c r="C278" s="105">
        <f t="shared" si="201"/>
        <v>3</v>
      </c>
      <c r="D278" s="106">
        <v>1</v>
      </c>
      <c r="E278" s="106">
        <v>0</v>
      </c>
      <c r="F278" s="105">
        <f t="shared" si="190"/>
        <v>4</v>
      </c>
      <c r="H278" s="102">
        <v>3</v>
      </c>
      <c r="I278" s="102">
        <v>4</v>
      </c>
      <c r="K278" s="102" t="s">
        <v>1041</v>
      </c>
      <c r="L278" s="102" t="s">
        <v>505</v>
      </c>
      <c r="M278" s="103" t="s">
        <v>505</v>
      </c>
      <c r="N278" s="102">
        <v>0</v>
      </c>
      <c r="O278" s="102">
        <v>12</v>
      </c>
      <c r="P278" s="102" t="s">
        <v>518</v>
      </c>
      <c r="Q278" s="103" t="s">
        <v>1160</v>
      </c>
      <c r="R278" s="103">
        <v>113010004</v>
      </c>
      <c r="S278" s="104" t="str">
        <f t="shared" si="193"/>
        <v>UITexture/Bldg/113010004.png</v>
      </c>
      <c r="U278" s="102">
        <v>1</v>
      </c>
      <c r="V278" s="102">
        <v>1</v>
      </c>
      <c r="W278" s="102">
        <v>2</v>
      </c>
      <c r="Y278" s="104">
        <f t="shared" si="192"/>
        <v>301</v>
      </c>
      <c r="Z278" s="102">
        <v>40</v>
      </c>
      <c r="AA278" s="102">
        <v>1</v>
      </c>
      <c r="AB278" s="102">
        <v>4</v>
      </c>
      <c r="AC278" s="102">
        <v>400</v>
      </c>
      <c r="AE278" s="102">
        <v>4</v>
      </c>
      <c r="AG278" s="104">
        <f t="shared" si="191"/>
        <v>430</v>
      </c>
      <c r="AH278" s="103">
        <v>430</v>
      </c>
      <c r="AI278" s="172">
        <v>2</v>
      </c>
      <c r="AK278" s="104">
        <f ca="1">IFERROR(OFFSET(ITEM_RES!$A$5,MATCH(AL278,ITEM_RES!$M$5:$M$84,0)-1,0),0)</f>
        <v>220000102</v>
      </c>
      <c r="AL278" s="103" t="s">
        <v>574</v>
      </c>
      <c r="AM278" s="104">
        <f t="shared" si="24"/>
        <v>860</v>
      </c>
      <c r="AN278" s="103">
        <v>860</v>
      </c>
      <c r="AP278" s="104">
        <f ca="1">IFERROR(OFFSET(ITEM_RES!$A$5,MATCH(AQ278,ITEM_RES!$M$5:$M$84,0)-1,0),0)</f>
        <v>220000202</v>
      </c>
      <c r="AQ278" s="103" t="s">
        <v>592</v>
      </c>
      <c r="AR278" s="104">
        <f t="shared" si="25"/>
        <v>860</v>
      </c>
      <c r="AS278" s="103">
        <v>860</v>
      </c>
      <c r="AU278" s="104">
        <f ca="1">IFERROR(OFFSET(ITEM_RES!$A$5,MATCH(AV278,ITEM_RES!$M$5:$M$84,0)-1,0),0)</f>
        <v>220000302</v>
      </c>
      <c r="AV278" s="103" t="s">
        <v>610</v>
      </c>
      <c r="AW278" s="104">
        <f t="shared" si="26"/>
        <v>0</v>
      </c>
      <c r="AZ278" s="104">
        <f ca="1">IFERROR(OFFSET(ITEM_RES!$A$5,MATCH(BA278,ITEM_RES!$M$5:$M$84,0)-1,0),0)</f>
        <v>220000402</v>
      </c>
      <c r="BA278" s="103" t="s">
        <v>628</v>
      </c>
      <c r="BB278" s="104">
        <f t="shared" si="27"/>
        <v>0</v>
      </c>
      <c r="BE278" s="104">
        <f ca="1">IFERROR(OFFSET(ITEM_RES!$A$5,MATCH(BF278,ITEM_RES!$M$5:$M$84,0)-1,0),0)</f>
        <v>0</v>
      </c>
      <c r="BG278" s="104">
        <f t="shared" si="28"/>
        <v>0</v>
      </c>
    </row>
    <row r="279" spans="1:60" x14ac:dyDescent="0.3">
      <c r="A279" s="107">
        <f t="shared" si="22"/>
        <v>113010005</v>
      </c>
      <c r="B279" s="106">
        <v>11</v>
      </c>
      <c r="C279" s="105">
        <f t="shared" si="201"/>
        <v>3</v>
      </c>
      <c r="D279" s="106">
        <v>1</v>
      </c>
      <c r="E279" s="106">
        <v>0</v>
      </c>
      <c r="F279" s="105">
        <f t="shared" si="190"/>
        <v>5</v>
      </c>
      <c r="H279" s="102">
        <v>3</v>
      </c>
      <c r="I279" s="102">
        <v>5</v>
      </c>
      <c r="K279" s="102" t="s">
        <v>1041</v>
      </c>
      <c r="L279" s="102" t="s">
        <v>505</v>
      </c>
      <c r="M279" s="103" t="s">
        <v>505</v>
      </c>
      <c r="N279" s="102">
        <v>0</v>
      </c>
      <c r="O279" s="102">
        <v>12</v>
      </c>
      <c r="P279" s="102" t="s">
        <v>518</v>
      </c>
      <c r="Q279" s="103" t="s">
        <v>1160</v>
      </c>
      <c r="R279" s="103">
        <v>113010005</v>
      </c>
      <c r="S279" s="104" t="str">
        <f t="shared" si="193"/>
        <v>UITexture/Bldg/113010005.png</v>
      </c>
      <c r="U279" s="102">
        <v>1</v>
      </c>
      <c r="V279" s="102">
        <v>1</v>
      </c>
      <c r="W279" s="102">
        <v>2</v>
      </c>
      <c r="Y279" s="104">
        <f t="shared" si="192"/>
        <v>301</v>
      </c>
      <c r="Z279" s="102">
        <v>50</v>
      </c>
      <c r="AA279" s="102">
        <v>1</v>
      </c>
      <c r="AB279" s="102">
        <v>4</v>
      </c>
      <c r="AC279" s="102">
        <v>500</v>
      </c>
      <c r="AE279" s="102">
        <v>5</v>
      </c>
      <c r="AG279" s="104">
        <f t="shared" si="191"/>
        <v>890</v>
      </c>
      <c r="AH279" s="103">
        <v>890</v>
      </c>
      <c r="AI279" s="172">
        <v>2</v>
      </c>
      <c r="AK279" s="104">
        <f ca="1">IFERROR(OFFSET(ITEM_RES!$A$5,MATCH(AL279,ITEM_RES!$M$5:$M$84,0)-1,0),0)</f>
        <v>220000102</v>
      </c>
      <c r="AL279" s="103" t="s">
        <v>574</v>
      </c>
      <c r="AM279" s="104">
        <f t="shared" si="24"/>
        <v>1800</v>
      </c>
      <c r="AN279" s="103">
        <v>1780</v>
      </c>
      <c r="AP279" s="104">
        <f ca="1">IFERROR(OFFSET(ITEM_RES!$A$5,MATCH(AQ279,ITEM_RES!$M$5:$M$84,0)-1,0),0)</f>
        <v>220000202</v>
      </c>
      <c r="AQ279" s="103" t="s">
        <v>592</v>
      </c>
      <c r="AR279" s="104">
        <f t="shared" si="25"/>
        <v>1800</v>
      </c>
      <c r="AS279" s="103">
        <v>1780</v>
      </c>
      <c r="AU279" s="104">
        <f ca="1">IFERROR(OFFSET(ITEM_RES!$A$5,MATCH(AV279,ITEM_RES!$M$5:$M$84,0)-1,0),0)</f>
        <v>220000302</v>
      </c>
      <c r="AV279" s="103" t="s">
        <v>610</v>
      </c>
      <c r="AW279" s="104">
        <f t="shared" si="26"/>
        <v>0</v>
      </c>
      <c r="AZ279" s="104">
        <f ca="1">IFERROR(OFFSET(ITEM_RES!$A$5,MATCH(BA279,ITEM_RES!$M$5:$M$84,0)-1,0),0)</f>
        <v>220000402</v>
      </c>
      <c r="BA279" s="103" t="s">
        <v>628</v>
      </c>
      <c r="BB279" s="104">
        <f t="shared" si="27"/>
        <v>0</v>
      </c>
      <c r="BE279" s="104">
        <f ca="1">IFERROR(OFFSET(ITEM_RES!$A$5,MATCH(BF279,ITEM_RES!$M$5:$M$84,0)-1,0),0)</f>
        <v>0</v>
      </c>
      <c r="BG279" s="104">
        <f t="shared" si="28"/>
        <v>0</v>
      </c>
    </row>
    <row r="280" spans="1:60" x14ac:dyDescent="0.3">
      <c r="A280" s="107">
        <f t="shared" ref="A280:A284" si="202">B280*10000000+C280*1000000+D280*10000+E280*100+F280</f>
        <v>113010006</v>
      </c>
      <c r="B280" s="106">
        <v>11</v>
      </c>
      <c r="C280" s="105">
        <f t="shared" ref="C280:C284" si="203">H280</f>
        <v>3</v>
      </c>
      <c r="D280" s="106">
        <v>1</v>
      </c>
      <c r="E280" s="106">
        <v>0</v>
      </c>
      <c r="F280" s="105">
        <f t="shared" si="190"/>
        <v>6</v>
      </c>
      <c r="H280" s="102">
        <v>3</v>
      </c>
      <c r="I280" s="102">
        <v>6</v>
      </c>
      <c r="K280" s="102" t="s">
        <v>1041</v>
      </c>
      <c r="L280" s="102" t="s">
        <v>505</v>
      </c>
      <c r="M280" s="103" t="s">
        <v>505</v>
      </c>
      <c r="N280" s="102">
        <v>0</v>
      </c>
      <c r="O280" s="102">
        <v>12</v>
      </c>
      <c r="P280" s="102" t="s">
        <v>518</v>
      </c>
      <c r="Q280" s="103" t="s">
        <v>1160</v>
      </c>
      <c r="R280" s="103">
        <v>113010006</v>
      </c>
      <c r="S280" s="104" t="str">
        <f t="shared" si="193"/>
        <v>UITexture/Bldg/113010006.png</v>
      </c>
      <c r="U280" s="102">
        <v>1</v>
      </c>
      <c r="V280" s="102">
        <v>1</v>
      </c>
      <c r="W280" s="102">
        <v>2</v>
      </c>
      <c r="Y280" s="104">
        <f t="shared" si="192"/>
        <v>301</v>
      </c>
      <c r="Z280" s="102">
        <v>60</v>
      </c>
      <c r="AA280" s="102">
        <v>1</v>
      </c>
      <c r="AB280" s="102">
        <v>4</v>
      </c>
      <c r="AC280" s="102">
        <v>100</v>
      </c>
      <c r="AE280" s="102">
        <v>6</v>
      </c>
      <c r="AG280" s="104">
        <f t="shared" si="191"/>
        <v>952</v>
      </c>
      <c r="AH280" s="103">
        <v>952</v>
      </c>
      <c r="AI280" s="172">
        <v>3</v>
      </c>
      <c r="AK280" s="104">
        <f ca="1">IFERROR(OFFSET(ITEM_RES!$A$5,MATCH(AL280,ITEM_RES!$M$5:$M$84,0)-1,0),0)</f>
        <v>220000102</v>
      </c>
      <c r="AL280" s="103" t="s">
        <v>574</v>
      </c>
      <c r="AM280" s="104">
        <f t="shared" ref="AM280:AM284" si="204">IF(AN280&lt;100,ROUND(AN280,1-LEN(ROUND(AN280,0))),ROUND(AN280,2-LEN(ROUND(AN280,0))))</f>
        <v>40</v>
      </c>
      <c r="AN280" s="103">
        <v>40</v>
      </c>
      <c r="AP280" s="104">
        <f ca="1">IFERROR(OFFSET(ITEM_RES!$A$5,MATCH(AQ280,ITEM_RES!$M$5:$M$84,0)-1,0),0)</f>
        <v>220000202</v>
      </c>
      <c r="AQ280" s="103" t="s">
        <v>592</v>
      </c>
      <c r="AR280" s="104">
        <f t="shared" ref="AR280:AR284" si="205">IF(AS280&lt;100,ROUND(AS280,1-LEN(ROUND(AS280,0))),ROUND(AS280,2-LEN(ROUND(AS280,0))))</f>
        <v>40</v>
      </c>
      <c r="AS280" s="103">
        <v>40</v>
      </c>
      <c r="AU280" s="104">
        <f ca="1">IFERROR(OFFSET(ITEM_RES!$A$5,MATCH(AV280,ITEM_RES!$M$5:$M$84,0)-1,0),0)</f>
        <v>220000302</v>
      </c>
      <c r="AV280" s="103" t="s">
        <v>610</v>
      </c>
      <c r="AW280" s="104">
        <f t="shared" ref="AW280:AW284" si="206">IF(AX280&lt;100,ROUND(AX280,1-LEN(ROUND(AX280,0))),ROUND(AX280,2-LEN(ROUND(AX280,0))))</f>
        <v>0</v>
      </c>
      <c r="AZ280" s="104">
        <f ca="1">IFERROR(OFFSET(ITEM_RES!$A$5,MATCH(BA280,ITEM_RES!$M$5:$M$84,0)-1,0),0)</f>
        <v>220000402</v>
      </c>
      <c r="BA280" s="103" t="s">
        <v>628</v>
      </c>
      <c r="BB280" s="104">
        <f t="shared" ref="BB280:BB284" si="207">IF(BC280&lt;100,ROUND(BC280,1-LEN(ROUND(BC280,0))),ROUND(BC280,2-LEN(ROUND(BC280,0))))</f>
        <v>0</v>
      </c>
      <c r="BE280" s="104">
        <f ca="1">IFERROR(OFFSET(ITEM_RES!$A$5,MATCH(BF280,ITEM_RES!$M$5:$M$84,0)-1,0),0)</f>
        <v>0</v>
      </c>
      <c r="BG280" s="104">
        <f t="shared" ref="BG280:BG284" si="208">IF(BH280&lt;100,ROUND(BH280,1-LEN(ROUND(BH280,0))),ROUND(BH280,2-LEN(ROUND(BH280,0))))</f>
        <v>0</v>
      </c>
    </row>
    <row r="281" spans="1:60" x14ac:dyDescent="0.3">
      <c r="A281" s="107">
        <f t="shared" si="202"/>
        <v>113010007</v>
      </c>
      <c r="B281" s="106">
        <v>11</v>
      </c>
      <c r="C281" s="105">
        <f t="shared" si="203"/>
        <v>3</v>
      </c>
      <c r="D281" s="106">
        <v>1</v>
      </c>
      <c r="E281" s="106">
        <v>0</v>
      </c>
      <c r="F281" s="105">
        <f t="shared" si="190"/>
        <v>7</v>
      </c>
      <c r="H281" s="102">
        <v>3</v>
      </c>
      <c r="I281" s="102">
        <v>7</v>
      </c>
      <c r="K281" s="102" t="s">
        <v>1041</v>
      </c>
      <c r="L281" s="102" t="s">
        <v>505</v>
      </c>
      <c r="M281" s="103" t="s">
        <v>505</v>
      </c>
      <c r="N281" s="102">
        <v>0</v>
      </c>
      <c r="O281" s="102">
        <v>12</v>
      </c>
      <c r="P281" s="102" t="s">
        <v>518</v>
      </c>
      <c r="Q281" s="103" t="s">
        <v>1160</v>
      </c>
      <c r="R281" s="103">
        <v>113010007</v>
      </c>
      <c r="S281" s="104" t="str">
        <f t="shared" si="193"/>
        <v>UITexture/Bldg/113010007.png</v>
      </c>
      <c r="U281" s="102">
        <v>1</v>
      </c>
      <c r="V281" s="102">
        <v>1</v>
      </c>
      <c r="W281" s="102">
        <v>2</v>
      </c>
      <c r="Y281" s="104">
        <f t="shared" si="192"/>
        <v>301</v>
      </c>
      <c r="Z281" s="102">
        <v>70</v>
      </c>
      <c r="AA281" s="102">
        <v>1</v>
      </c>
      <c r="AB281" s="102">
        <v>4</v>
      </c>
      <c r="AC281" s="102">
        <v>200</v>
      </c>
      <c r="AE281" s="102">
        <v>7</v>
      </c>
      <c r="AG281" s="104">
        <f t="shared" si="191"/>
        <v>1162</v>
      </c>
      <c r="AH281" s="103">
        <v>1162</v>
      </c>
      <c r="AI281" s="172">
        <v>3</v>
      </c>
      <c r="AK281" s="104">
        <f ca="1">IFERROR(OFFSET(ITEM_RES!$A$5,MATCH(AL281,ITEM_RES!$M$5:$M$84,0)-1,0),0)</f>
        <v>220000103</v>
      </c>
      <c r="AL281" s="103" t="s">
        <v>575</v>
      </c>
      <c r="AM281" s="104">
        <f t="shared" si="204"/>
        <v>140</v>
      </c>
      <c r="AN281" s="103">
        <v>140</v>
      </c>
      <c r="AP281" s="104">
        <f ca="1">IFERROR(OFFSET(ITEM_RES!$A$5,MATCH(AQ281,ITEM_RES!$M$5:$M$84,0)-1,0),0)</f>
        <v>220000203</v>
      </c>
      <c r="AQ281" s="103" t="s">
        <v>593</v>
      </c>
      <c r="AR281" s="104">
        <f t="shared" si="205"/>
        <v>140</v>
      </c>
      <c r="AS281" s="103">
        <v>140</v>
      </c>
      <c r="AU281" s="104">
        <f ca="1">IFERROR(OFFSET(ITEM_RES!$A$5,MATCH(AV281,ITEM_RES!$M$5:$M$84,0)-1,0),0)</f>
        <v>220000303</v>
      </c>
      <c r="AV281" s="103" t="s">
        <v>611</v>
      </c>
      <c r="AW281" s="104">
        <f t="shared" si="206"/>
        <v>0</v>
      </c>
      <c r="AZ281" s="104">
        <f ca="1">IFERROR(OFFSET(ITEM_RES!$A$5,MATCH(BA281,ITEM_RES!$M$5:$M$84,0)-1,0),0)</f>
        <v>220000403</v>
      </c>
      <c r="BA281" s="103" t="s">
        <v>629</v>
      </c>
      <c r="BB281" s="104">
        <f t="shared" si="207"/>
        <v>0</v>
      </c>
      <c r="BE281" s="104">
        <f ca="1">IFERROR(OFFSET(ITEM_RES!$A$5,MATCH(BF281,ITEM_RES!$M$5:$M$84,0)-1,0),0)</f>
        <v>0</v>
      </c>
      <c r="BG281" s="104">
        <f t="shared" si="208"/>
        <v>0</v>
      </c>
    </row>
    <row r="282" spans="1:60" x14ac:dyDescent="0.3">
      <c r="A282" s="107">
        <f t="shared" si="202"/>
        <v>113010008</v>
      </c>
      <c r="B282" s="106">
        <v>11</v>
      </c>
      <c r="C282" s="105">
        <f t="shared" si="203"/>
        <v>3</v>
      </c>
      <c r="D282" s="106">
        <v>1</v>
      </c>
      <c r="E282" s="106">
        <v>0</v>
      </c>
      <c r="F282" s="105">
        <f t="shared" si="190"/>
        <v>8</v>
      </c>
      <c r="H282" s="102">
        <v>3</v>
      </c>
      <c r="I282" s="102">
        <v>8</v>
      </c>
      <c r="K282" s="102" t="s">
        <v>1041</v>
      </c>
      <c r="L282" s="102" t="s">
        <v>505</v>
      </c>
      <c r="M282" s="103" t="s">
        <v>505</v>
      </c>
      <c r="N282" s="102">
        <v>0</v>
      </c>
      <c r="O282" s="102">
        <v>12</v>
      </c>
      <c r="P282" s="102" t="s">
        <v>518</v>
      </c>
      <c r="Q282" s="103" t="s">
        <v>1160</v>
      </c>
      <c r="R282" s="103">
        <v>113010008</v>
      </c>
      <c r="S282" s="104" t="str">
        <f t="shared" si="193"/>
        <v>UITexture/Bldg/113010008.png</v>
      </c>
      <c r="U282" s="102">
        <v>1</v>
      </c>
      <c r="V282" s="102">
        <v>1</v>
      </c>
      <c r="W282" s="102">
        <v>2</v>
      </c>
      <c r="Y282" s="104">
        <f t="shared" si="192"/>
        <v>301</v>
      </c>
      <c r="Z282" s="102">
        <v>80</v>
      </c>
      <c r="AA282" s="102">
        <v>1</v>
      </c>
      <c r="AB282" s="102">
        <v>4</v>
      </c>
      <c r="AC282" s="102">
        <v>300</v>
      </c>
      <c r="AE282" s="102">
        <v>8</v>
      </c>
      <c r="AG282" s="104">
        <f t="shared" si="191"/>
        <v>1372</v>
      </c>
      <c r="AH282" s="103">
        <v>1372</v>
      </c>
      <c r="AI282" s="172">
        <v>3</v>
      </c>
      <c r="AK282" s="104">
        <f ca="1">IFERROR(OFFSET(ITEM_RES!$A$5,MATCH(AL282,ITEM_RES!$M$5:$M$84,0)-1,0),0)</f>
        <v>220000103</v>
      </c>
      <c r="AL282" s="103" t="s">
        <v>575</v>
      </c>
      <c r="AM282" s="104">
        <f t="shared" si="204"/>
        <v>400</v>
      </c>
      <c r="AN282" s="103">
        <v>400</v>
      </c>
      <c r="AP282" s="104">
        <f ca="1">IFERROR(OFFSET(ITEM_RES!$A$5,MATCH(AQ282,ITEM_RES!$M$5:$M$84,0)-1,0),0)</f>
        <v>220000203</v>
      </c>
      <c r="AQ282" s="103" t="s">
        <v>593</v>
      </c>
      <c r="AR282" s="104">
        <f t="shared" si="205"/>
        <v>400</v>
      </c>
      <c r="AS282" s="103">
        <v>400</v>
      </c>
      <c r="AU282" s="104">
        <f ca="1">IFERROR(OFFSET(ITEM_RES!$A$5,MATCH(AV282,ITEM_RES!$M$5:$M$84,0)-1,0),0)</f>
        <v>220000303</v>
      </c>
      <c r="AV282" s="103" t="s">
        <v>611</v>
      </c>
      <c r="AW282" s="104">
        <f t="shared" si="206"/>
        <v>0</v>
      </c>
      <c r="AZ282" s="104">
        <f ca="1">IFERROR(OFFSET(ITEM_RES!$A$5,MATCH(BA282,ITEM_RES!$M$5:$M$84,0)-1,0),0)</f>
        <v>220000403</v>
      </c>
      <c r="BA282" s="103" t="s">
        <v>629</v>
      </c>
      <c r="BB282" s="104">
        <f t="shared" si="207"/>
        <v>0</v>
      </c>
      <c r="BE282" s="104">
        <f ca="1">IFERROR(OFFSET(ITEM_RES!$A$5,MATCH(BF282,ITEM_RES!$M$5:$M$84,0)-1,0),0)</f>
        <v>0</v>
      </c>
      <c r="BG282" s="104">
        <f t="shared" si="208"/>
        <v>0</v>
      </c>
    </row>
    <row r="283" spans="1:60" x14ac:dyDescent="0.3">
      <c r="A283" s="107">
        <f t="shared" si="202"/>
        <v>113010009</v>
      </c>
      <c r="B283" s="106">
        <v>11</v>
      </c>
      <c r="C283" s="105">
        <f t="shared" si="203"/>
        <v>3</v>
      </c>
      <c r="D283" s="106">
        <v>1</v>
      </c>
      <c r="E283" s="106">
        <v>0</v>
      </c>
      <c r="F283" s="105">
        <f t="shared" si="190"/>
        <v>9</v>
      </c>
      <c r="H283" s="102">
        <v>3</v>
      </c>
      <c r="I283" s="102">
        <v>9</v>
      </c>
      <c r="K283" s="102" t="s">
        <v>1041</v>
      </c>
      <c r="L283" s="102" t="s">
        <v>505</v>
      </c>
      <c r="M283" s="103" t="s">
        <v>505</v>
      </c>
      <c r="N283" s="102">
        <v>0</v>
      </c>
      <c r="O283" s="102">
        <v>12</v>
      </c>
      <c r="P283" s="102" t="s">
        <v>518</v>
      </c>
      <c r="Q283" s="103" t="s">
        <v>1160</v>
      </c>
      <c r="R283" s="103">
        <v>113010009</v>
      </c>
      <c r="S283" s="104" t="str">
        <f t="shared" si="193"/>
        <v>UITexture/Bldg/113010009.png</v>
      </c>
      <c r="U283" s="102">
        <v>1</v>
      </c>
      <c r="V283" s="102">
        <v>1</v>
      </c>
      <c r="W283" s="102">
        <v>2</v>
      </c>
      <c r="Y283" s="104">
        <f t="shared" si="192"/>
        <v>301</v>
      </c>
      <c r="Z283" s="102">
        <v>90</v>
      </c>
      <c r="AA283" s="102">
        <v>1</v>
      </c>
      <c r="AB283" s="102">
        <v>4</v>
      </c>
      <c r="AC283" s="102">
        <v>400</v>
      </c>
      <c r="AE283" s="102">
        <v>9</v>
      </c>
      <c r="AG283" s="104">
        <f t="shared" si="191"/>
        <v>1582</v>
      </c>
      <c r="AH283" s="103">
        <v>1582</v>
      </c>
      <c r="AI283" s="172">
        <v>3</v>
      </c>
      <c r="AK283" s="104">
        <f ca="1">IFERROR(OFFSET(ITEM_RES!$A$5,MATCH(AL283,ITEM_RES!$M$5:$M$84,0)-1,0),0)</f>
        <v>220000103</v>
      </c>
      <c r="AL283" s="103" t="s">
        <v>575</v>
      </c>
      <c r="AM283" s="104">
        <f t="shared" si="204"/>
        <v>860</v>
      </c>
      <c r="AN283" s="103">
        <v>860</v>
      </c>
      <c r="AP283" s="104">
        <f ca="1">IFERROR(OFFSET(ITEM_RES!$A$5,MATCH(AQ283,ITEM_RES!$M$5:$M$84,0)-1,0),0)</f>
        <v>220000203</v>
      </c>
      <c r="AQ283" s="103" t="s">
        <v>593</v>
      </c>
      <c r="AR283" s="104">
        <f t="shared" si="205"/>
        <v>860</v>
      </c>
      <c r="AS283" s="103">
        <v>860</v>
      </c>
      <c r="AU283" s="104">
        <f ca="1">IFERROR(OFFSET(ITEM_RES!$A$5,MATCH(AV283,ITEM_RES!$M$5:$M$84,0)-1,0),0)</f>
        <v>220000303</v>
      </c>
      <c r="AV283" s="103" t="s">
        <v>611</v>
      </c>
      <c r="AW283" s="104">
        <f t="shared" si="206"/>
        <v>0</v>
      </c>
      <c r="AZ283" s="104">
        <f ca="1">IFERROR(OFFSET(ITEM_RES!$A$5,MATCH(BA283,ITEM_RES!$M$5:$M$84,0)-1,0),0)</f>
        <v>220000403</v>
      </c>
      <c r="BA283" s="103" t="s">
        <v>629</v>
      </c>
      <c r="BB283" s="104">
        <f t="shared" si="207"/>
        <v>0</v>
      </c>
      <c r="BE283" s="104">
        <f ca="1">IFERROR(OFFSET(ITEM_RES!$A$5,MATCH(BF283,ITEM_RES!$M$5:$M$84,0)-1,0),0)</f>
        <v>0</v>
      </c>
      <c r="BG283" s="104">
        <f t="shared" si="208"/>
        <v>0</v>
      </c>
    </row>
    <row r="284" spans="1:60" x14ac:dyDescent="0.3">
      <c r="A284" s="107">
        <f t="shared" si="202"/>
        <v>113010010</v>
      </c>
      <c r="B284" s="106">
        <v>11</v>
      </c>
      <c r="C284" s="105">
        <f t="shared" si="203"/>
        <v>3</v>
      </c>
      <c r="D284" s="106">
        <v>1</v>
      </c>
      <c r="E284" s="106">
        <v>0</v>
      </c>
      <c r="F284" s="105">
        <f t="shared" si="190"/>
        <v>10</v>
      </c>
      <c r="H284" s="102">
        <v>3</v>
      </c>
      <c r="I284" s="102">
        <v>10</v>
      </c>
      <c r="K284" s="102" t="s">
        <v>1041</v>
      </c>
      <c r="L284" s="102" t="s">
        <v>505</v>
      </c>
      <c r="M284" s="103" t="s">
        <v>505</v>
      </c>
      <c r="N284" s="102">
        <v>0</v>
      </c>
      <c r="O284" s="102">
        <v>12</v>
      </c>
      <c r="P284" s="102" t="s">
        <v>518</v>
      </c>
      <c r="Q284" s="103" t="s">
        <v>1160</v>
      </c>
      <c r="R284" s="103">
        <v>113010010</v>
      </c>
      <c r="S284" s="104" t="str">
        <f t="shared" si="193"/>
        <v>UITexture/Bldg/113010010.png</v>
      </c>
      <c r="U284" s="102">
        <v>1</v>
      </c>
      <c r="V284" s="102">
        <v>1</v>
      </c>
      <c r="W284" s="102">
        <v>2</v>
      </c>
      <c r="Y284" s="104">
        <f t="shared" si="192"/>
        <v>301</v>
      </c>
      <c r="Z284" s="102">
        <v>100</v>
      </c>
      <c r="AA284" s="102">
        <v>1</v>
      </c>
      <c r="AB284" s="102">
        <v>4</v>
      </c>
      <c r="AC284" s="102">
        <v>500</v>
      </c>
      <c r="AE284" s="102">
        <v>10</v>
      </c>
      <c r="AG284" s="104">
        <f t="shared" si="191"/>
        <v>1792</v>
      </c>
      <c r="AH284" s="103">
        <v>1792</v>
      </c>
      <c r="AI284" s="172">
        <v>3</v>
      </c>
      <c r="AK284" s="104">
        <f ca="1">IFERROR(OFFSET(ITEM_RES!$A$5,MATCH(AL284,ITEM_RES!$M$5:$M$84,0)-1,0),0)</f>
        <v>220000104</v>
      </c>
      <c r="AL284" s="103" t="s">
        <v>576</v>
      </c>
      <c r="AM284" s="104">
        <f t="shared" si="204"/>
        <v>1800</v>
      </c>
      <c r="AN284" s="103">
        <v>1780</v>
      </c>
      <c r="AP284" s="104">
        <f ca="1">IFERROR(OFFSET(ITEM_RES!$A$5,MATCH(AQ284,ITEM_RES!$M$5:$M$84,0)-1,0),0)</f>
        <v>220000204</v>
      </c>
      <c r="AQ284" s="103" t="s">
        <v>594</v>
      </c>
      <c r="AR284" s="104">
        <f t="shared" si="205"/>
        <v>1800</v>
      </c>
      <c r="AS284" s="103">
        <v>1780</v>
      </c>
      <c r="AU284" s="104">
        <f ca="1">IFERROR(OFFSET(ITEM_RES!$A$5,MATCH(AV284,ITEM_RES!$M$5:$M$84,0)-1,0),0)</f>
        <v>220000304</v>
      </c>
      <c r="AV284" s="103" t="s">
        <v>612</v>
      </c>
      <c r="AW284" s="104">
        <f t="shared" si="206"/>
        <v>0</v>
      </c>
      <c r="AZ284" s="104">
        <f ca="1">IFERROR(OFFSET(ITEM_RES!$A$5,MATCH(BA284,ITEM_RES!$M$5:$M$84,0)-1,0),0)</f>
        <v>220000404</v>
      </c>
      <c r="BA284" s="103" t="s">
        <v>630</v>
      </c>
      <c r="BB284" s="104">
        <f t="shared" si="207"/>
        <v>0</v>
      </c>
      <c r="BE284" s="104">
        <f ca="1">IFERROR(OFFSET(ITEM_RES!$A$5,MATCH(BF284,ITEM_RES!$M$5:$M$84,0)-1,0),0)</f>
        <v>0</v>
      </c>
      <c r="BG284" s="104">
        <f t="shared" si="208"/>
        <v>0</v>
      </c>
    </row>
    <row r="285" spans="1:60" x14ac:dyDescent="0.3">
      <c r="A285" s="107">
        <f t="shared" ref="A285:A299" si="209">B285*10000000+C285*1000000+D285*10000+E285*100+F285</f>
        <v>113010011</v>
      </c>
      <c r="B285" s="106">
        <v>11</v>
      </c>
      <c r="C285" s="105">
        <f t="shared" ref="C285:C299" si="210">H285</f>
        <v>3</v>
      </c>
      <c r="D285" s="106">
        <v>1</v>
      </c>
      <c r="E285" s="106">
        <v>0</v>
      </c>
      <c r="F285" s="105">
        <f t="shared" si="190"/>
        <v>11</v>
      </c>
      <c r="H285" s="102">
        <v>3</v>
      </c>
      <c r="I285" s="102">
        <v>11</v>
      </c>
      <c r="K285" s="102" t="s">
        <v>1041</v>
      </c>
      <c r="L285" s="102" t="s">
        <v>505</v>
      </c>
      <c r="M285" s="103" t="s">
        <v>505</v>
      </c>
      <c r="N285" s="102">
        <v>0</v>
      </c>
      <c r="O285" s="102">
        <v>12</v>
      </c>
      <c r="P285" s="102" t="s">
        <v>518</v>
      </c>
      <c r="Q285" s="103" t="s">
        <v>1160</v>
      </c>
      <c r="R285" s="103">
        <v>113010011</v>
      </c>
      <c r="S285" s="104" t="str">
        <f t="shared" si="193"/>
        <v>UITexture/Bldg/113010011.png</v>
      </c>
      <c r="U285" s="102">
        <v>1</v>
      </c>
      <c r="V285" s="102">
        <v>1</v>
      </c>
      <c r="W285" s="102">
        <v>2</v>
      </c>
      <c r="Y285" s="104">
        <f t="shared" si="192"/>
        <v>301</v>
      </c>
      <c r="Z285" s="102">
        <v>110</v>
      </c>
      <c r="AA285" s="102">
        <v>1</v>
      </c>
      <c r="AB285" s="102">
        <v>4</v>
      </c>
      <c r="AC285" s="102">
        <v>100</v>
      </c>
      <c r="AE285" s="102">
        <v>11</v>
      </c>
      <c r="AG285" s="104">
        <f t="shared" si="191"/>
        <v>2002</v>
      </c>
      <c r="AH285" s="103">
        <v>2002</v>
      </c>
      <c r="AI285" s="172">
        <v>4</v>
      </c>
      <c r="AK285" s="104">
        <f ca="1">IFERROR(OFFSET(ITEM_RES!$A$5,MATCH(AL285,ITEM_RES!$M$5:$M$84,0)-1,0),0)</f>
        <v>220000104</v>
      </c>
      <c r="AL285" s="103" t="s">
        <v>576</v>
      </c>
      <c r="AM285" s="104">
        <f t="shared" ref="AM285:AM299" si="211">IF(AN285&lt;100,ROUND(AN285,1-LEN(ROUND(AN285,0))),ROUND(AN285,2-LEN(ROUND(AN285,0))))</f>
        <v>40</v>
      </c>
      <c r="AN285" s="103">
        <v>40</v>
      </c>
      <c r="AP285" s="104">
        <f ca="1">IFERROR(OFFSET(ITEM_RES!$A$5,MATCH(AQ285,ITEM_RES!$M$5:$M$84,0)-1,0),0)</f>
        <v>220000204</v>
      </c>
      <c r="AQ285" s="103" t="s">
        <v>594</v>
      </c>
      <c r="AR285" s="104">
        <f t="shared" ref="AR285:AR299" si="212">IF(AS285&lt;100,ROUND(AS285,1-LEN(ROUND(AS285,0))),ROUND(AS285,2-LEN(ROUND(AS285,0))))</f>
        <v>40</v>
      </c>
      <c r="AS285" s="103">
        <v>40</v>
      </c>
      <c r="AU285" s="104">
        <f ca="1">IFERROR(OFFSET(ITEM_RES!$A$5,MATCH(AV285,ITEM_RES!$M$5:$M$84,0)-1,0),0)</f>
        <v>220000304</v>
      </c>
      <c r="AV285" s="103" t="s">
        <v>612</v>
      </c>
      <c r="AW285" s="104">
        <f t="shared" ref="AW285:AW299" si="213">IF(AX285&lt;100,ROUND(AX285,1-LEN(ROUND(AX285,0))),ROUND(AX285,2-LEN(ROUND(AX285,0))))</f>
        <v>0</v>
      </c>
      <c r="AZ285" s="104">
        <f ca="1">IFERROR(OFFSET(ITEM_RES!$A$5,MATCH(BA285,ITEM_RES!$M$5:$M$84,0)-1,0),0)</f>
        <v>220000404</v>
      </c>
      <c r="BA285" s="103" t="s">
        <v>630</v>
      </c>
      <c r="BB285" s="104">
        <f t="shared" ref="BB285:BB299" si="214">IF(BC285&lt;100,ROUND(BC285,1-LEN(ROUND(BC285,0))),ROUND(BC285,2-LEN(ROUND(BC285,0))))</f>
        <v>0</v>
      </c>
      <c r="BE285" s="104">
        <f ca="1">IFERROR(OFFSET(ITEM_RES!$A$5,MATCH(BF285,ITEM_RES!$M$5:$M$84,0)-1,0),0)</f>
        <v>0</v>
      </c>
      <c r="BG285" s="104">
        <f t="shared" ref="BG285:BG299" si="215">IF(BH285&lt;100,ROUND(BH285,1-LEN(ROUND(BH285,0))),ROUND(BH285,2-LEN(ROUND(BH285,0))))</f>
        <v>0</v>
      </c>
    </row>
    <row r="286" spans="1:60" x14ac:dyDescent="0.3">
      <c r="A286" s="107">
        <f t="shared" si="209"/>
        <v>113010012</v>
      </c>
      <c r="B286" s="106">
        <v>11</v>
      </c>
      <c r="C286" s="105">
        <f t="shared" si="210"/>
        <v>3</v>
      </c>
      <c r="D286" s="106">
        <v>1</v>
      </c>
      <c r="E286" s="106">
        <v>0</v>
      </c>
      <c r="F286" s="105">
        <f t="shared" si="190"/>
        <v>12</v>
      </c>
      <c r="H286" s="102">
        <v>3</v>
      </c>
      <c r="I286" s="102">
        <v>12</v>
      </c>
      <c r="K286" s="102" t="s">
        <v>1041</v>
      </c>
      <c r="L286" s="102" t="s">
        <v>505</v>
      </c>
      <c r="M286" s="103" t="s">
        <v>505</v>
      </c>
      <c r="N286" s="102">
        <v>0</v>
      </c>
      <c r="O286" s="102">
        <v>12</v>
      </c>
      <c r="P286" s="102" t="s">
        <v>518</v>
      </c>
      <c r="Q286" s="103" t="s">
        <v>1160</v>
      </c>
      <c r="R286" s="103">
        <v>113010012</v>
      </c>
      <c r="S286" s="104" t="str">
        <f t="shared" si="193"/>
        <v>UITexture/Bldg/113010012.png</v>
      </c>
      <c r="U286" s="102">
        <v>1</v>
      </c>
      <c r="V286" s="102">
        <v>1</v>
      </c>
      <c r="W286" s="102">
        <v>2</v>
      </c>
      <c r="Y286" s="104">
        <f t="shared" si="192"/>
        <v>301</v>
      </c>
      <c r="Z286" s="102">
        <v>120</v>
      </c>
      <c r="AA286" s="102">
        <v>1</v>
      </c>
      <c r="AB286" s="102">
        <v>4</v>
      </c>
      <c r="AC286" s="102">
        <v>200</v>
      </c>
      <c r="AE286" s="102">
        <v>12</v>
      </c>
      <c r="AG286" s="104">
        <f t="shared" si="191"/>
        <v>2212</v>
      </c>
      <c r="AH286" s="103">
        <v>2212</v>
      </c>
      <c r="AI286" s="172">
        <v>4</v>
      </c>
      <c r="AK286" s="104">
        <f ca="1">IFERROR(OFFSET(ITEM_RES!$A$5,MATCH(AL286,ITEM_RES!$M$5:$M$84,0)-1,0),0)</f>
        <v>220000104</v>
      </c>
      <c r="AL286" s="103" t="s">
        <v>576</v>
      </c>
      <c r="AM286" s="104">
        <f t="shared" si="211"/>
        <v>140</v>
      </c>
      <c r="AN286" s="103">
        <v>140</v>
      </c>
      <c r="AP286" s="104">
        <f ca="1">IFERROR(OFFSET(ITEM_RES!$A$5,MATCH(AQ286,ITEM_RES!$M$5:$M$84,0)-1,0),0)</f>
        <v>220000204</v>
      </c>
      <c r="AQ286" s="103" t="s">
        <v>594</v>
      </c>
      <c r="AR286" s="104">
        <f t="shared" si="212"/>
        <v>140</v>
      </c>
      <c r="AS286" s="103">
        <v>140</v>
      </c>
      <c r="AU286" s="104">
        <f ca="1">IFERROR(OFFSET(ITEM_RES!$A$5,MATCH(AV286,ITEM_RES!$M$5:$M$84,0)-1,0),0)</f>
        <v>220000304</v>
      </c>
      <c r="AV286" s="103" t="s">
        <v>612</v>
      </c>
      <c r="AW286" s="104">
        <f t="shared" si="213"/>
        <v>0</v>
      </c>
      <c r="AZ286" s="104">
        <f ca="1">IFERROR(OFFSET(ITEM_RES!$A$5,MATCH(BA286,ITEM_RES!$M$5:$M$84,0)-1,0),0)</f>
        <v>220000404</v>
      </c>
      <c r="BA286" s="103" t="s">
        <v>630</v>
      </c>
      <c r="BB286" s="104">
        <f t="shared" si="214"/>
        <v>0</v>
      </c>
      <c r="BE286" s="104">
        <f ca="1">IFERROR(OFFSET(ITEM_RES!$A$5,MATCH(BF286,ITEM_RES!$M$5:$M$84,0)-1,0),0)</f>
        <v>0</v>
      </c>
      <c r="BG286" s="104">
        <f t="shared" si="215"/>
        <v>0</v>
      </c>
    </row>
    <row r="287" spans="1:60" x14ac:dyDescent="0.3">
      <c r="A287" s="107">
        <f t="shared" si="209"/>
        <v>113010013</v>
      </c>
      <c r="B287" s="106">
        <v>11</v>
      </c>
      <c r="C287" s="105">
        <f t="shared" si="210"/>
        <v>3</v>
      </c>
      <c r="D287" s="106">
        <v>1</v>
      </c>
      <c r="E287" s="106">
        <v>0</v>
      </c>
      <c r="F287" s="105">
        <f t="shared" si="190"/>
        <v>13</v>
      </c>
      <c r="H287" s="102">
        <v>3</v>
      </c>
      <c r="I287" s="102">
        <v>13</v>
      </c>
      <c r="K287" s="102" t="s">
        <v>1041</v>
      </c>
      <c r="L287" s="102" t="s">
        <v>505</v>
      </c>
      <c r="M287" s="103" t="s">
        <v>505</v>
      </c>
      <c r="N287" s="102">
        <v>0</v>
      </c>
      <c r="O287" s="102">
        <v>12</v>
      </c>
      <c r="P287" s="102" t="s">
        <v>518</v>
      </c>
      <c r="Q287" s="103" t="s">
        <v>1160</v>
      </c>
      <c r="R287" s="103">
        <v>113010013</v>
      </c>
      <c r="S287" s="104" t="str">
        <f t="shared" si="193"/>
        <v>UITexture/Bldg/113010013.png</v>
      </c>
      <c r="U287" s="102">
        <v>1</v>
      </c>
      <c r="V287" s="102">
        <v>1</v>
      </c>
      <c r="W287" s="102">
        <v>2</v>
      </c>
      <c r="Y287" s="104">
        <f t="shared" si="192"/>
        <v>301</v>
      </c>
      <c r="Z287" s="102">
        <v>130</v>
      </c>
      <c r="AA287" s="102">
        <v>1</v>
      </c>
      <c r="AB287" s="102">
        <v>4</v>
      </c>
      <c r="AC287" s="102">
        <v>300</v>
      </c>
      <c r="AE287" s="102">
        <v>13</v>
      </c>
      <c r="AG287" s="104">
        <f t="shared" si="191"/>
        <v>2422</v>
      </c>
      <c r="AH287" s="103">
        <v>2422</v>
      </c>
      <c r="AI287" s="172">
        <v>4</v>
      </c>
      <c r="AK287" s="104">
        <f ca="1">IFERROR(OFFSET(ITEM_RES!$A$5,MATCH(AL287,ITEM_RES!$M$5:$M$84,0)-1,0),0)</f>
        <v>220000105</v>
      </c>
      <c r="AL287" s="103" t="s">
        <v>577</v>
      </c>
      <c r="AM287" s="104">
        <f t="shared" si="211"/>
        <v>400</v>
      </c>
      <c r="AN287" s="103">
        <v>400</v>
      </c>
      <c r="AP287" s="104">
        <f ca="1">IFERROR(OFFSET(ITEM_RES!$A$5,MATCH(AQ287,ITEM_RES!$M$5:$M$84,0)-1,0),0)</f>
        <v>220000205</v>
      </c>
      <c r="AQ287" s="103" t="s">
        <v>595</v>
      </c>
      <c r="AR287" s="104">
        <f t="shared" si="212"/>
        <v>400</v>
      </c>
      <c r="AS287" s="103">
        <v>400</v>
      </c>
      <c r="AU287" s="104">
        <f ca="1">IFERROR(OFFSET(ITEM_RES!$A$5,MATCH(AV287,ITEM_RES!$M$5:$M$84,0)-1,0),0)</f>
        <v>220000305</v>
      </c>
      <c r="AV287" s="103" t="s">
        <v>613</v>
      </c>
      <c r="AW287" s="104">
        <f t="shared" si="213"/>
        <v>0</v>
      </c>
      <c r="AZ287" s="104">
        <f ca="1">IFERROR(OFFSET(ITEM_RES!$A$5,MATCH(BA287,ITEM_RES!$M$5:$M$84,0)-1,0),0)</f>
        <v>220000405</v>
      </c>
      <c r="BA287" s="103" t="s">
        <v>631</v>
      </c>
      <c r="BB287" s="104">
        <f t="shared" si="214"/>
        <v>0</v>
      </c>
      <c r="BE287" s="104">
        <f ca="1">IFERROR(OFFSET(ITEM_RES!$A$5,MATCH(BF287,ITEM_RES!$M$5:$M$84,0)-1,0),0)</f>
        <v>0</v>
      </c>
      <c r="BG287" s="104">
        <f t="shared" si="215"/>
        <v>0</v>
      </c>
    </row>
    <row r="288" spans="1:60" x14ac:dyDescent="0.3">
      <c r="A288" s="107">
        <f t="shared" si="209"/>
        <v>113010014</v>
      </c>
      <c r="B288" s="106">
        <v>11</v>
      </c>
      <c r="C288" s="105">
        <f t="shared" si="210"/>
        <v>3</v>
      </c>
      <c r="D288" s="106">
        <v>1</v>
      </c>
      <c r="E288" s="106">
        <v>0</v>
      </c>
      <c r="F288" s="105">
        <f t="shared" si="190"/>
        <v>14</v>
      </c>
      <c r="H288" s="102">
        <v>3</v>
      </c>
      <c r="I288" s="102">
        <v>14</v>
      </c>
      <c r="K288" s="102" t="s">
        <v>1041</v>
      </c>
      <c r="L288" s="102" t="s">
        <v>505</v>
      </c>
      <c r="M288" s="103" t="s">
        <v>505</v>
      </c>
      <c r="N288" s="102">
        <v>0</v>
      </c>
      <c r="O288" s="102">
        <v>12</v>
      </c>
      <c r="P288" s="102" t="s">
        <v>518</v>
      </c>
      <c r="Q288" s="103" t="s">
        <v>1160</v>
      </c>
      <c r="R288" s="103">
        <v>113010014</v>
      </c>
      <c r="S288" s="104" t="str">
        <f t="shared" si="193"/>
        <v>UITexture/Bldg/113010014.png</v>
      </c>
      <c r="U288" s="102">
        <v>1</v>
      </c>
      <c r="V288" s="102">
        <v>1</v>
      </c>
      <c r="W288" s="102">
        <v>2</v>
      </c>
      <c r="Y288" s="104">
        <f t="shared" si="192"/>
        <v>301</v>
      </c>
      <c r="Z288" s="102">
        <v>140</v>
      </c>
      <c r="AA288" s="102">
        <v>1</v>
      </c>
      <c r="AB288" s="102">
        <v>4</v>
      </c>
      <c r="AC288" s="102">
        <v>400</v>
      </c>
      <c r="AE288" s="102">
        <v>14</v>
      </c>
      <c r="AG288" s="104">
        <f t="shared" si="191"/>
        <v>2632</v>
      </c>
      <c r="AH288" s="103">
        <v>2632</v>
      </c>
      <c r="AI288" s="172">
        <v>4</v>
      </c>
      <c r="AK288" s="104">
        <f ca="1">IFERROR(OFFSET(ITEM_RES!$A$5,MATCH(AL288,ITEM_RES!$M$5:$M$84,0)-1,0),0)</f>
        <v>220000105</v>
      </c>
      <c r="AL288" s="103" t="s">
        <v>577</v>
      </c>
      <c r="AM288" s="104">
        <f t="shared" si="211"/>
        <v>860</v>
      </c>
      <c r="AN288" s="103">
        <v>860</v>
      </c>
      <c r="AP288" s="104">
        <f ca="1">IFERROR(OFFSET(ITEM_RES!$A$5,MATCH(AQ288,ITEM_RES!$M$5:$M$84,0)-1,0),0)</f>
        <v>220000205</v>
      </c>
      <c r="AQ288" s="103" t="s">
        <v>595</v>
      </c>
      <c r="AR288" s="104">
        <f t="shared" si="212"/>
        <v>860</v>
      </c>
      <c r="AS288" s="103">
        <v>860</v>
      </c>
      <c r="AU288" s="104">
        <f ca="1">IFERROR(OFFSET(ITEM_RES!$A$5,MATCH(AV288,ITEM_RES!$M$5:$M$84,0)-1,0),0)</f>
        <v>220000305</v>
      </c>
      <c r="AV288" s="103" t="s">
        <v>613</v>
      </c>
      <c r="AW288" s="104">
        <f t="shared" si="213"/>
        <v>0</v>
      </c>
      <c r="AZ288" s="104">
        <f ca="1">IFERROR(OFFSET(ITEM_RES!$A$5,MATCH(BA288,ITEM_RES!$M$5:$M$84,0)-1,0),0)</f>
        <v>220000405</v>
      </c>
      <c r="BA288" s="103" t="s">
        <v>631</v>
      </c>
      <c r="BB288" s="104">
        <f t="shared" si="214"/>
        <v>0</v>
      </c>
      <c r="BE288" s="104">
        <f ca="1">IFERROR(OFFSET(ITEM_RES!$A$5,MATCH(BF288,ITEM_RES!$M$5:$M$84,0)-1,0),0)</f>
        <v>0</v>
      </c>
      <c r="BG288" s="104">
        <f t="shared" si="215"/>
        <v>0</v>
      </c>
    </row>
    <row r="289" spans="1:60" x14ac:dyDescent="0.3">
      <c r="A289" s="107">
        <f t="shared" si="209"/>
        <v>113010015</v>
      </c>
      <c r="B289" s="106">
        <v>11</v>
      </c>
      <c r="C289" s="105">
        <f t="shared" si="210"/>
        <v>3</v>
      </c>
      <c r="D289" s="106">
        <v>1</v>
      </c>
      <c r="E289" s="106">
        <v>0</v>
      </c>
      <c r="F289" s="105">
        <f t="shared" si="190"/>
        <v>15</v>
      </c>
      <c r="H289" s="102">
        <v>3</v>
      </c>
      <c r="I289" s="102">
        <v>15</v>
      </c>
      <c r="K289" s="102" t="s">
        <v>1041</v>
      </c>
      <c r="L289" s="102" t="s">
        <v>505</v>
      </c>
      <c r="M289" s="103" t="s">
        <v>505</v>
      </c>
      <c r="N289" s="102">
        <v>0</v>
      </c>
      <c r="O289" s="102">
        <v>12</v>
      </c>
      <c r="P289" s="102" t="s">
        <v>518</v>
      </c>
      <c r="Q289" s="103" t="s">
        <v>1160</v>
      </c>
      <c r="R289" s="103">
        <v>113010015</v>
      </c>
      <c r="S289" s="104" t="str">
        <f t="shared" si="193"/>
        <v>UITexture/Bldg/113010015.png</v>
      </c>
      <c r="U289" s="102">
        <v>1</v>
      </c>
      <c r="V289" s="102">
        <v>1</v>
      </c>
      <c r="W289" s="102">
        <v>2</v>
      </c>
      <c r="Y289" s="104">
        <f t="shared" si="192"/>
        <v>301</v>
      </c>
      <c r="Z289" s="102">
        <v>150</v>
      </c>
      <c r="AA289" s="102">
        <v>1</v>
      </c>
      <c r="AB289" s="102">
        <v>4</v>
      </c>
      <c r="AC289" s="102">
        <v>500</v>
      </c>
      <c r="AE289" s="102">
        <v>15</v>
      </c>
      <c r="AG289" s="104">
        <f t="shared" si="191"/>
        <v>2842</v>
      </c>
      <c r="AH289" s="103">
        <v>2842</v>
      </c>
      <c r="AI289" s="172">
        <v>4</v>
      </c>
      <c r="AK289" s="104">
        <f ca="1">IFERROR(OFFSET(ITEM_RES!$A$5,MATCH(AL289,ITEM_RES!$M$5:$M$84,0)-1,0),0)</f>
        <v>220000105</v>
      </c>
      <c r="AL289" s="103" t="s">
        <v>577</v>
      </c>
      <c r="AM289" s="104">
        <f t="shared" si="211"/>
        <v>1800</v>
      </c>
      <c r="AN289" s="103">
        <v>1780</v>
      </c>
      <c r="AP289" s="104">
        <f ca="1">IFERROR(OFFSET(ITEM_RES!$A$5,MATCH(AQ289,ITEM_RES!$M$5:$M$84,0)-1,0),0)</f>
        <v>220000205</v>
      </c>
      <c r="AQ289" s="103" t="s">
        <v>595</v>
      </c>
      <c r="AR289" s="104">
        <f t="shared" si="212"/>
        <v>1800</v>
      </c>
      <c r="AS289" s="103">
        <v>1780</v>
      </c>
      <c r="AU289" s="104">
        <f ca="1">IFERROR(OFFSET(ITEM_RES!$A$5,MATCH(AV289,ITEM_RES!$M$5:$M$84,0)-1,0),0)</f>
        <v>220000305</v>
      </c>
      <c r="AV289" s="103" t="s">
        <v>613</v>
      </c>
      <c r="AW289" s="104">
        <f t="shared" si="213"/>
        <v>0</v>
      </c>
      <c r="AZ289" s="104">
        <f ca="1">IFERROR(OFFSET(ITEM_RES!$A$5,MATCH(BA289,ITEM_RES!$M$5:$M$84,0)-1,0),0)</f>
        <v>220000405</v>
      </c>
      <c r="BA289" s="103" t="s">
        <v>631</v>
      </c>
      <c r="BB289" s="104">
        <f t="shared" si="214"/>
        <v>0</v>
      </c>
      <c r="BE289" s="104">
        <f ca="1">IFERROR(OFFSET(ITEM_RES!$A$5,MATCH(BF289,ITEM_RES!$M$5:$M$84,0)-1,0),0)</f>
        <v>0</v>
      </c>
      <c r="BG289" s="104">
        <f t="shared" si="215"/>
        <v>0</v>
      </c>
    </row>
    <row r="290" spans="1:60" x14ac:dyDescent="0.3">
      <c r="A290" s="107">
        <f t="shared" si="209"/>
        <v>113010016</v>
      </c>
      <c r="B290" s="106">
        <v>11</v>
      </c>
      <c r="C290" s="105">
        <f t="shared" si="210"/>
        <v>3</v>
      </c>
      <c r="D290" s="106">
        <v>1</v>
      </c>
      <c r="E290" s="106">
        <v>0</v>
      </c>
      <c r="F290" s="105">
        <f t="shared" si="190"/>
        <v>16</v>
      </c>
      <c r="H290" s="102">
        <v>3</v>
      </c>
      <c r="I290" s="102">
        <v>16</v>
      </c>
      <c r="K290" s="102" t="s">
        <v>1041</v>
      </c>
      <c r="L290" s="102" t="s">
        <v>505</v>
      </c>
      <c r="M290" s="103" t="s">
        <v>505</v>
      </c>
      <c r="N290" s="102">
        <v>0</v>
      </c>
      <c r="O290" s="102">
        <v>12</v>
      </c>
      <c r="P290" s="102" t="s">
        <v>518</v>
      </c>
      <c r="Q290" s="103" t="s">
        <v>1160</v>
      </c>
      <c r="R290" s="103">
        <v>113010016</v>
      </c>
      <c r="S290" s="104" t="str">
        <f t="shared" si="193"/>
        <v>UITexture/Bldg/113010016.png</v>
      </c>
      <c r="U290" s="102">
        <v>1</v>
      </c>
      <c r="V290" s="102">
        <v>1</v>
      </c>
      <c r="W290" s="102">
        <v>2</v>
      </c>
      <c r="Y290" s="104">
        <f t="shared" si="192"/>
        <v>301</v>
      </c>
      <c r="Z290" s="102">
        <v>160</v>
      </c>
      <c r="AA290" s="102">
        <v>1</v>
      </c>
      <c r="AB290" s="102">
        <v>4</v>
      </c>
      <c r="AC290" s="102">
        <v>100</v>
      </c>
      <c r="AE290" s="102">
        <v>16</v>
      </c>
      <c r="AG290" s="104">
        <f t="shared" si="191"/>
        <v>3052</v>
      </c>
      <c r="AH290" s="103">
        <v>3052</v>
      </c>
      <c r="AI290" s="172">
        <v>4</v>
      </c>
      <c r="AK290" s="104">
        <f ca="1">IFERROR(OFFSET(ITEM_RES!$A$5,MATCH(AL290,ITEM_RES!$M$5:$M$84,0)-1,0),0)</f>
        <v>220000106</v>
      </c>
      <c r="AL290" s="103" t="s">
        <v>578</v>
      </c>
      <c r="AM290" s="104">
        <f t="shared" si="211"/>
        <v>40</v>
      </c>
      <c r="AN290" s="103">
        <v>40</v>
      </c>
      <c r="AP290" s="104">
        <f ca="1">IFERROR(OFFSET(ITEM_RES!$A$5,MATCH(AQ290,ITEM_RES!$M$5:$M$84,0)-1,0),0)</f>
        <v>220000206</v>
      </c>
      <c r="AQ290" s="103" t="s">
        <v>596</v>
      </c>
      <c r="AR290" s="104">
        <f t="shared" si="212"/>
        <v>40</v>
      </c>
      <c r="AS290" s="103">
        <v>40</v>
      </c>
      <c r="AU290" s="104">
        <f ca="1">IFERROR(OFFSET(ITEM_RES!$A$5,MATCH(AV290,ITEM_RES!$M$5:$M$84,0)-1,0),0)</f>
        <v>220000306</v>
      </c>
      <c r="AV290" s="103" t="s">
        <v>614</v>
      </c>
      <c r="AW290" s="104">
        <f t="shared" si="213"/>
        <v>0</v>
      </c>
      <c r="AZ290" s="104">
        <f ca="1">IFERROR(OFFSET(ITEM_RES!$A$5,MATCH(BA290,ITEM_RES!$M$5:$M$84,0)-1,0),0)</f>
        <v>220000406</v>
      </c>
      <c r="BA290" s="103" t="s">
        <v>632</v>
      </c>
      <c r="BB290" s="104">
        <f t="shared" si="214"/>
        <v>0</v>
      </c>
      <c r="BE290" s="104">
        <f ca="1">IFERROR(OFFSET(ITEM_RES!$A$5,MATCH(BF290,ITEM_RES!$M$5:$M$84,0)-1,0),0)</f>
        <v>0</v>
      </c>
      <c r="BG290" s="104">
        <f t="shared" si="215"/>
        <v>0</v>
      </c>
    </row>
    <row r="291" spans="1:60" x14ac:dyDescent="0.3">
      <c r="A291" s="107">
        <f t="shared" si="209"/>
        <v>113010017</v>
      </c>
      <c r="B291" s="106">
        <v>11</v>
      </c>
      <c r="C291" s="105">
        <f t="shared" si="210"/>
        <v>3</v>
      </c>
      <c r="D291" s="106">
        <v>1</v>
      </c>
      <c r="E291" s="106">
        <v>0</v>
      </c>
      <c r="F291" s="105">
        <f t="shared" si="190"/>
        <v>17</v>
      </c>
      <c r="H291" s="102">
        <v>3</v>
      </c>
      <c r="I291" s="102">
        <v>17</v>
      </c>
      <c r="K291" s="102" t="s">
        <v>1041</v>
      </c>
      <c r="L291" s="102" t="s">
        <v>505</v>
      </c>
      <c r="M291" s="103" t="s">
        <v>505</v>
      </c>
      <c r="N291" s="102">
        <v>0</v>
      </c>
      <c r="O291" s="102">
        <v>12</v>
      </c>
      <c r="P291" s="102" t="s">
        <v>518</v>
      </c>
      <c r="Q291" s="103" t="s">
        <v>1160</v>
      </c>
      <c r="R291" s="103">
        <v>113010017</v>
      </c>
      <c r="S291" s="104" t="str">
        <f t="shared" si="193"/>
        <v>UITexture/Bldg/113010017.png</v>
      </c>
      <c r="U291" s="102">
        <v>1</v>
      </c>
      <c r="V291" s="102">
        <v>1</v>
      </c>
      <c r="W291" s="102">
        <v>2</v>
      </c>
      <c r="Y291" s="104">
        <f t="shared" si="192"/>
        <v>301</v>
      </c>
      <c r="Z291" s="102">
        <v>170</v>
      </c>
      <c r="AA291" s="102">
        <v>1</v>
      </c>
      <c r="AB291" s="102">
        <v>4</v>
      </c>
      <c r="AC291" s="102">
        <v>200</v>
      </c>
      <c r="AE291" s="102">
        <v>17</v>
      </c>
      <c r="AG291" s="104">
        <f t="shared" si="191"/>
        <v>3262</v>
      </c>
      <c r="AH291" s="103">
        <v>3262</v>
      </c>
      <c r="AI291" s="172">
        <v>4</v>
      </c>
      <c r="AK291" s="104">
        <f ca="1">IFERROR(OFFSET(ITEM_RES!$A$5,MATCH(AL291,ITEM_RES!$M$5:$M$84,0)-1,0),0)</f>
        <v>220000106</v>
      </c>
      <c r="AL291" s="103" t="s">
        <v>578</v>
      </c>
      <c r="AM291" s="104">
        <f t="shared" si="211"/>
        <v>140</v>
      </c>
      <c r="AN291" s="103">
        <v>140</v>
      </c>
      <c r="AP291" s="104">
        <f ca="1">IFERROR(OFFSET(ITEM_RES!$A$5,MATCH(AQ291,ITEM_RES!$M$5:$M$84,0)-1,0),0)</f>
        <v>220000206</v>
      </c>
      <c r="AQ291" s="103" t="s">
        <v>596</v>
      </c>
      <c r="AR291" s="104">
        <f t="shared" si="212"/>
        <v>140</v>
      </c>
      <c r="AS291" s="103">
        <v>140</v>
      </c>
      <c r="AU291" s="104">
        <f ca="1">IFERROR(OFFSET(ITEM_RES!$A$5,MATCH(AV291,ITEM_RES!$M$5:$M$84,0)-1,0),0)</f>
        <v>220000306</v>
      </c>
      <c r="AV291" s="103" t="s">
        <v>614</v>
      </c>
      <c r="AW291" s="104">
        <f t="shared" si="213"/>
        <v>0</v>
      </c>
      <c r="AZ291" s="104">
        <f ca="1">IFERROR(OFFSET(ITEM_RES!$A$5,MATCH(BA291,ITEM_RES!$M$5:$M$84,0)-1,0),0)</f>
        <v>220000406</v>
      </c>
      <c r="BA291" s="103" t="s">
        <v>632</v>
      </c>
      <c r="BB291" s="104">
        <f t="shared" si="214"/>
        <v>0</v>
      </c>
      <c r="BE291" s="104">
        <f ca="1">IFERROR(OFFSET(ITEM_RES!$A$5,MATCH(BF291,ITEM_RES!$M$5:$M$84,0)-1,0),0)</f>
        <v>0</v>
      </c>
      <c r="BG291" s="104">
        <f t="shared" si="215"/>
        <v>0</v>
      </c>
    </row>
    <row r="292" spans="1:60" x14ac:dyDescent="0.3">
      <c r="A292" s="107">
        <f t="shared" si="209"/>
        <v>113010018</v>
      </c>
      <c r="B292" s="106">
        <v>11</v>
      </c>
      <c r="C292" s="105">
        <f t="shared" si="210"/>
        <v>3</v>
      </c>
      <c r="D292" s="106">
        <v>1</v>
      </c>
      <c r="E292" s="106">
        <v>0</v>
      </c>
      <c r="F292" s="105">
        <f t="shared" si="190"/>
        <v>18</v>
      </c>
      <c r="H292" s="102">
        <v>3</v>
      </c>
      <c r="I292" s="102">
        <v>18</v>
      </c>
      <c r="K292" s="102" t="s">
        <v>1041</v>
      </c>
      <c r="L292" s="102" t="s">
        <v>505</v>
      </c>
      <c r="M292" s="103" t="s">
        <v>505</v>
      </c>
      <c r="N292" s="102">
        <v>0</v>
      </c>
      <c r="O292" s="102">
        <v>12</v>
      </c>
      <c r="P292" s="102" t="s">
        <v>518</v>
      </c>
      <c r="Q292" s="103" t="s">
        <v>1160</v>
      </c>
      <c r="R292" s="103">
        <v>113010018</v>
      </c>
      <c r="S292" s="104" t="str">
        <f t="shared" si="193"/>
        <v>UITexture/Bldg/113010018.png</v>
      </c>
      <c r="U292" s="102">
        <v>1</v>
      </c>
      <c r="V292" s="102">
        <v>1</v>
      </c>
      <c r="W292" s="102">
        <v>2</v>
      </c>
      <c r="Y292" s="104">
        <f t="shared" si="192"/>
        <v>301</v>
      </c>
      <c r="Z292" s="102">
        <v>180</v>
      </c>
      <c r="AA292" s="102">
        <v>1</v>
      </c>
      <c r="AB292" s="102">
        <v>4</v>
      </c>
      <c r="AC292" s="102">
        <v>300</v>
      </c>
      <c r="AE292" s="102">
        <v>18</v>
      </c>
      <c r="AG292" s="104">
        <f t="shared" si="191"/>
        <v>3472</v>
      </c>
      <c r="AH292" s="103">
        <v>3472</v>
      </c>
      <c r="AI292" s="172">
        <v>4</v>
      </c>
      <c r="AK292" s="104">
        <f ca="1">IFERROR(OFFSET(ITEM_RES!$A$5,MATCH(AL292,ITEM_RES!$M$5:$M$84,0)-1,0),0)</f>
        <v>220000106</v>
      </c>
      <c r="AL292" s="103" t="s">
        <v>578</v>
      </c>
      <c r="AM292" s="104">
        <f t="shared" si="211"/>
        <v>400</v>
      </c>
      <c r="AN292" s="103">
        <v>400</v>
      </c>
      <c r="AP292" s="104">
        <f ca="1">IFERROR(OFFSET(ITEM_RES!$A$5,MATCH(AQ292,ITEM_RES!$M$5:$M$84,0)-1,0),0)</f>
        <v>220000206</v>
      </c>
      <c r="AQ292" s="103" t="s">
        <v>596</v>
      </c>
      <c r="AR292" s="104">
        <f t="shared" si="212"/>
        <v>400</v>
      </c>
      <c r="AS292" s="103">
        <v>400</v>
      </c>
      <c r="AU292" s="104">
        <f ca="1">IFERROR(OFFSET(ITEM_RES!$A$5,MATCH(AV292,ITEM_RES!$M$5:$M$84,0)-1,0),0)</f>
        <v>220000306</v>
      </c>
      <c r="AV292" s="103" t="s">
        <v>614</v>
      </c>
      <c r="AW292" s="104">
        <f t="shared" si="213"/>
        <v>0</v>
      </c>
      <c r="AZ292" s="104">
        <f ca="1">IFERROR(OFFSET(ITEM_RES!$A$5,MATCH(BA292,ITEM_RES!$M$5:$M$84,0)-1,0),0)</f>
        <v>220000406</v>
      </c>
      <c r="BA292" s="103" t="s">
        <v>632</v>
      </c>
      <c r="BB292" s="104">
        <f t="shared" si="214"/>
        <v>0</v>
      </c>
      <c r="BE292" s="104">
        <f ca="1">IFERROR(OFFSET(ITEM_RES!$A$5,MATCH(BF292,ITEM_RES!$M$5:$M$84,0)-1,0),0)</f>
        <v>0</v>
      </c>
      <c r="BG292" s="104">
        <f t="shared" si="215"/>
        <v>0</v>
      </c>
    </row>
    <row r="293" spans="1:60" x14ac:dyDescent="0.3">
      <c r="A293" s="107">
        <f t="shared" si="209"/>
        <v>113010019</v>
      </c>
      <c r="B293" s="106">
        <v>11</v>
      </c>
      <c r="C293" s="105">
        <f t="shared" si="210"/>
        <v>3</v>
      </c>
      <c r="D293" s="106">
        <v>1</v>
      </c>
      <c r="E293" s="106">
        <v>0</v>
      </c>
      <c r="F293" s="105">
        <f t="shared" si="190"/>
        <v>19</v>
      </c>
      <c r="H293" s="102">
        <v>3</v>
      </c>
      <c r="I293" s="102">
        <v>19</v>
      </c>
      <c r="K293" s="102" t="s">
        <v>1041</v>
      </c>
      <c r="L293" s="102" t="s">
        <v>505</v>
      </c>
      <c r="M293" s="103" t="s">
        <v>505</v>
      </c>
      <c r="N293" s="102">
        <v>0</v>
      </c>
      <c r="O293" s="102">
        <v>12</v>
      </c>
      <c r="P293" s="102" t="s">
        <v>518</v>
      </c>
      <c r="Q293" s="103" t="s">
        <v>1160</v>
      </c>
      <c r="R293" s="103">
        <v>113010019</v>
      </c>
      <c r="S293" s="104" t="str">
        <f t="shared" si="193"/>
        <v>UITexture/Bldg/113010019.png</v>
      </c>
      <c r="U293" s="102">
        <v>1</v>
      </c>
      <c r="V293" s="102">
        <v>1</v>
      </c>
      <c r="W293" s="102">
        <v>2</v>
      </c>
      <c r="Y293" s="104">
        <f t="shared" si="192"/>
        <v>301</v>
      </c>
      <c r="Z293" s="102">
        <v>190</v>
      </c>
      <c r="AA293" s="102">
        <v>1</v>
      </c>
      <c r="AB293" s="102">
        <v>4</v>
      </c>
      <c r="AC293" s="102">
        <v>400</v>
      </c>
      <c r="AE293" s="102">
        <v>19</v>
      </c>
      <c r="AG293" s="104">
        <f t="shared" si="191"/>
        <v>3682</v>
      </c>
      <c r="AH293" s="103">
        <v>3682</v>
      </c>
      <c r="AI293" s="172">
        <v>4</v>
      </c>
      <c r="AK293" s="104">
        <f ca="1">IFERROR(OFFSET(ITEM_RES!$A$5,MATCH(AL293,ITEM_RES!$M$5:$M$84,0)-1,0),0)</f>
        <v>220000107</v>
      </c>
      <c r="AL293" s="103" t="s">
        <v>579</v>
      </c>
      <c r="AM293" s="104">
        <f t="shared" si="211"/>
        <v>860</v>
      </c>
      <c r="AN293" s="103">
        <v>860</v>
      </c>
      <c r="AP293" s="104">
        <f ca="1">IFERROR(OFFSET(ITEM_RES!$A$5,MATCH(AQ293,ITEM_RES!$M$5:$M$84,0)-1,0),0)</f>
        <v>220000207</v>
      </c>
      <c r="AQ293" s="103" t="s">
        <v>597</v>
      </c>
      <c r="AR293" s="104">
        <f t="shared" si="212"/>
        <v>860</v>
      </c>
      <c r="AS293" s="103">
        <v>860</v>
      </c>
      <c r="AU293" s="104">
        <f ca="1">IFERROR(OFFSET(ITEM_RES!$A$5,MATCH(AV293,ITEM_RES!$M$5:$M$84,0)-1,0),0)</f>
        <v>220000307</v>
      </c>
      <c r="AV293" s="103" t="s">
        <v>615</v>
      </c>
      <c r="AW293" s="104">
        <f t="shared" si="213"/>
        <v>0</v>
      </c>
      <c r="AZ293" s="104">
        <f ca="1">IFERROR(OFFSET(ITEM_RES!$A$5,MATCH(BA293,ITEM_RES!$M$5:$M$84,0)-1,0),0)</f>
        <v>220000407</v>
      </c>
      <c r="BA293" s="103" t="s">
        <v>633</v>
      </c>
      <c r="BB293" s="104">
        <f t="shared" si="214"/>
        <v>0</v>
      </c>
      <c r="BE293" s="104">
        <f ca="1">IFERROR(OFFSET(ITEM_RES!$A$5,MATCH(BF293,ITEM_RES!$M$5:$M$84,0)-1,0),0)</f>
        <v>0</v>
      </c>
      <c r="BG293" s="104">
        <f t="shared" si="215"/>
        <v>0</v>
      </c>
    </row>
    <row r="294" spans="1:60" x14ac:dyDescent="0.3">
      <c r="A294" s="107">
        <f t="shared" si="209"/>
        <v>113010020</v>
      </c>
      <c r="B294" s="106">
        <v>11</v>
      </c>
      <c r="C294" s="105">
        <f t="shared" si="210"/>
        <v>3</v>
      </c>
      <c r="D294" s="106">
        <v>1</v>
      </c>
      <c r="E294" s="106">
        <v>0</v>
      </c>
      <c r="F294" s="105">
        <f t="shared" si="190"/>
        <v>20</v>
      </c>
      <c r="H294" s="102">
        <v>3</v>
      </c>
      <c r="I294" s="102">
        <v>20</v>
      </c>
      <c r="K294" s="102" t="s">
        <v>1041</v>
      </c>
      <c r="L294" s="102" t="s">
        <v>505</v>
      </c>
      <c r="M294" s="103" t="s">
        <v>505</v>
      </c>
      <c r="N294" s="102">
        <v>0</v>
      </c>
      <c r="O294" s="102">
        <v>12</v>
      </c>
      <c r="P294" s="102" t="s">
        <v>518</v>
      </c>
      <c r="Q294" s="103" t="s">
        <v>1160</v>
      </c>
      <c r="R294" s="103">
        <v>113010020</v>
      </c>
      <c r="S294" s="104" t="str">
        <f t="shared" si="193"/>
        <v>UITexture/Bldg/113010020.png</v>
      </c>
      <c r="U294" s="102">
        <v>1</v>
      </c>
      <c r="V294" s="102">
        <v>1</v>
      </c>
      <c r="W294" s="102">
        <v>2</v>
      </c>
      <c r="Y294" s="104">
        <f t="shared" si="192"/>
        <v>301</v>
      </c>
      <c r="Z294" s="102">
        <v>200</v>
      </c>
      <c r="AA294" s="102">
        <v>1</v>
      </c>
      <c r="AB294" s="102">
        <v>4</v>
      </c>
      <c r="AC294" s="102">
        <v>500</v>
      </c>
      <c r="AE294" s="102">
        <v>20</v>
      </c>
      <c r="AG294" s="104">
        <f t="shared" si="191"/>
        <v>3892</v>
      </c>
      <c r="AH294" s="103">
        <v>3892</v>
      </c>
      <c r="AI294" s="172">
        <v>4</v>
      </c>
      <c r="AK294" s="104">
        <f ca="1">IFERROR(OFFSET(ITEM_RES!$A$5,MATCH(AL294,ITEM_RES!$M$5:$M$84,0)-1,0),0)</f>
        <v>220000107</v>
      </c>
      <c r="AL294" s="103" t="s">
        <v>579</v>
      </c>
      <c r="AM294" s="104">
        <f t="shared" si="211"/>
        <v>1800</v>
      </c>
      <c r="AN294" s="103">
        <v>1780</v>
      </c>
      <c r="AP294" s="104">
        <f ca="1">IFERROR(OFFSET(ITEM_RES!$A$5,MATCH(AQ294,ITEM_RES!$M$5:$M$84,0)-1,0),0)</f>
        <v>220000207</v>
      </c>
      <c r="AQ294" s="103" t="s">
        <v>597</v>
      </c>
      <c r="AR294" s="104">
        <f t="shared" si="212"/>
        <v>1800</v>
      </c>
      <c r="AS294" s="103">
        <v>1780</v>
      </c>
      <c r="AU294" s="104">
        <f ca="1">IFERROR(OFFSET(ITEM_RES!$A$5,MATCH(AV294,ITEM_RES!$M$5:$M$84,0)-1,0),0)</f>
        <v>220000307</v>
      </c>
      <c r="AV294" s="103" t="s">
        <v>615</v>
      </c>
      <c r="AW294" s="104">
        <f t="shared" si="213"/>
        <v>0</v>
      </c>
      <c r="AZ294" s="104">
        <f ca="1">IFERROR(OFFSET(ITEM_RES!$A$5,MATCH(BA294,ITEM_RES!$M$5:$M$84,0)-1,0),0)</f>
        <v>220000407</v>
      </c>
      <c r="BA294" s="103" t="s">
        <v>633</v>
      </c>
      <c r="BB294" s="104">
        <f t="shared" si="214"/>
        <v>0</v>
      </c>
      <c r="BE294" s="104">
        <f ca="1">IFERROR(OFFSET(ITEM_RES!$A$5,MATCH(BF294,ITEM_RES!$M$5:$M$84,0)-1,0),0)</f>
        <v>0</v>
      </c>
      <c r="BG294" s="104">
        <f t="shared" si="215"/>
        <v>0</v>
      </c>
    </row>
    <row r="295" spans="1:60" x14ac:dyDescent="0.3">
      <c r="A295" s="107">
        <f t="shared" si="209"/>
        <v>113010021</v>
      </c>
      <c r="B295" s="106">
        <v>11</v>
      </c>
      <c r="C295" s="105">
        <f t="shared" si="210"/>
        <v>3</v>
      </c>
      <c r="D295" s="106">
        <v>1</v>
      </c>
      <c r="E295" s="106">
        <v>0</v>
      </c>
      <c r="F295" s="105">
        <f t="shared" si="190"/>
        <v>21</v>
      </c>
      <c r="H295" s="102">
        <v>3</v>
      </c>
      <c r="I295" s="102">
        <v>21</v>
      </c>
      <c r="K295" s="102" t="s">
        <v>1041</v>
      </c>
      <c r="L295" s="102" t="s">
        <v>505</v>
      </c>
      <c r="M295" s="103" t="s">
        <v>505</v>
      </c>
      <c r="N295" s="102">
        <v>0</v>
      </c>
      <c r="O295" s="102">
        <v>12</v>
      </c>
      <c r="P295" s="102" t="s">
        <v>518</v>
      </c>
      <c r="Q295" s="103" t="s">
        <v>1160</v>
      </c>
      <c r="R295" s="103">
        <v>113010021</v>
      </c>
      <c r="S295" s="104" t="str">
        <f t="shared" si="193"/>
        <v>UITexture/Bldg/113010021.png</v>
      </c>
      <c r="U295" s="102">
        <v>1</v>
      </c>
      <c r="V295" s="102">
        <v>1</v>
      </c>
      <c r="W295" s="102">
        <v>2</v>
      </c>
      <c r="Y295" s="104">
        <f t="shared" si="192"/>
        <v>301</v>
      </c>
      <c r="Z295" s="102">
        <v>210</v>
      </c>
      <c r="AA295" s="102">
        <v>1</v>
      </c>
      <c r="AB295" s="102">
        <v>4</v>
      </c>
      <c r="AC295" s="102">
        <v>100</v>
      </c>
      <c r="AE295" s="102">
        <v>21</v>
      </c>
      <c r="AG295" s="104">
        <f t="shared" si="191"/>
        <v>4102</v>
      </c>
      <c r="AH295" s="103">
        <v>4102</v>
      </c>
      <c r="AI295" s="172">
        <v>4</v>
      </c>
      <c r="AK295" s="104">
        <f ca="1">IFERROR(OFFSET(ITEM_RES!$A$5,MATCH(AL295,ITEM_RES!$M$5:$M$84,0)-1,0),0)</f>
        <v>220000107</v>
      </c>
      <c r="AL295" s="103" t="s">
        <v>579</v>
      </c>
      <c r="AM295" s="104">
        <f t="shared" si="211"/>
        <v>40</v>
      </c>
      <c r="AN295" s="103">
        <v>40</v>
      </c>
      <c r="AP295" s="104">
        <f ca="1">IFERROR(OFFSET(ITEM_RES!$A$5,MATCH(AQ295,ITEM_RES!$M$5:$M$84,0)-1,0),0)</f>
        <v>220000207</v>
      </c>
      <c r="AQ295" s="103" t="s">
        <v>597</v>
      </c>
      <c r="AR295" s="104">
        <f t="shared" si="212"/>
        <v>40</v>
      </c>
      <c r="AS295" s="103">
        <v>40</v>
      </c>
      <c r="AU295" s="104">
        <f ca="1">IFERROR(OFFSET(ITEM_RES!$A$5,MATCH(AV295,ITEM_RES!$M$5:$M$84,0)-1,0),0)</f>
        <v>220000307</v>
      </c>
      <c r="AV295" s="103" t="s">
        <v>615</v>
      </c>
      <c r="AW295" s="104">
        <f t="shared" si="213"/>
        <v>0</v>
      </c>
      <c r="AZ295" s="104">
        <f ca="1">IFERROR(OFFSET(ITEM_RES!$A$5,MATCH(BA295,ITEM_RES!$M$5:$M$84,0)-1,0),0)</f>
        <v>220000407</v>
      </c>
      <c r="BA295" s="103" t="s">
        <v>633</v>
      </c>
      <c r="BB295" s="104">
        <f t="shared" si="214"/>
        <v>0</v>
      </c>
      <c r="BE295" s="104">
        <f ca="1">IFERROR(OFFSET(ITEM_RES!$A$5,MATCH(BF295,ITEM_RES!$M$5:$M$84,0)-1,0),0)</f>
        <v>0</v>
      </c>
      <c r="BG295" s="104">
        <f t="shared" si="215"/>
        <v>0</v>
      </c>
    </row>
    <row r="296" spans="1:60" x14ac:dyDescent="0.3">
      <c r="A296" s="107">
        <f t="shared" si="209"/>
        <v>113010022</v>
      </c>
      <c r="B296" s="106">
        <v>11</v>
      </c>
      <c r="C296" s="105">
        <f t="shared" si="210"/>
        <v>3</v>
      </c>
      <c r="D296" s="106">
        <v>1</v>
      </c>
      <c r="E296" s="106">
        <v>0</v>
      </c>
      <c r="F296" s="105">
        <f t="shared" si="190"/>
        <v>22</v>
      </c>
      <c r="H296" s="102">
        <v>3</v>
      </c>
      <c r="I296" s="102">
        <v>22</v>
      </c>
      <c r="K296" s="102" t="s">
        <v>1041</v>
      </c>
      <c r="L296" s="102" t="s">
        <v>505</v>
      </c>
      <c r="M296" s="103" t="s">
        <v>505</v>
      </c>
      <c r="N296" s="102">
        <v>0</v>
      </c>
      <c r="O296" s="102">
        <v>12</v>
      </c>
      <c r="P296" s="102" t="s">
        <v>518</v>
      </c>
      <c r="Q296" s="103" t="s">
        <v>1160</v>
      </c>
      <c r="R296" s="103">
        <v>113010022</v>
      </c>
      <c r="S296" s="104" t="str">
        <f t="shared" si="193"/>
        <v>UITexture/Bldg/113010022.png</v>
      </c>
      <c r="U296" s="102">
        <v>1</v>
      </c>
      <c r="V296" s="102">
        <v>1</v>
      </c>
      <c r="W296" s="102">
        <v>2</v>
      </c>
      <c r="Y296" s="104">
        <f t="shared" si="192"/>
        <v>301</v>
      </c>
      <c r="Z296" s="102">
        <v>220</v>
      </c>
      <c r="AA296" s="102">
        <v>1</v>
      </c>
      <c r="AB296" s="102">
        <v>4</v>
      </c>
      <c r="AC296" s="102">
        <v>200</v>
      </c>
      <c r="AE296" s="102">
        <v>22</v>
      </c>
      <c r="AG296" s="104">
        <f t="shared" si="191"/>
        <v>4312</v>
      </c>
      <c r="AH296" s="103">
        <v>4312</v>
      </c>
      <c r="AI296" s="172">
        <v>4</v>
      </c>
      <c r="AK296" s="104">
        <f ca="1">IFERROR(OFFSET(ITEM_RES!$A$5,MATCH(AL296,ITEM_RES!$M$5:$M$84,0)-1,0),0)</f>
        <v>220000108</v>
      </c>
      <c r="AL296" s="103" t="s">
        <v>580</v>
      </c>
      <c r="AM296" s="104">
        <f t="shared" si="211"/>
        <v>140</v>
      </c>
      <c r="AN296" s="103">
        <v>140</v>
      </c>
      <c r="AP296" s="104">
        <f ca="1">IFERROR(OFFSET(ITEM_RES!$A$5,MATCH(AQ296,ITEM_RES!$M$5:$M$84,0)-1,0),0)</f>
        <v>220000208</v>
      </c>
      <c r="AQ296" s="103" t="s">
        <v>598</v>
      </c>
      <c r="AR296" s="104">
        <f t="shared" si="212"/>
        <v>140</v>
      </c>
      <c r="AS296" s="103">
        <v>140</v>
      </c>
      <c r="AU296" s="104">
        <f ca="1">IFERROR(OFFSET(ITEM_RES!$A$5,MATCH(AV296,ITEM_RES!$M$5:$M$84,0)-1,0),0)</f>
        <v>220000308</v>
      </c>
      <c r="AV296" s="103" t="s">
        <v>616</v>
      </c>
      <c r="AW296" s="104">
        <f t="shared" si="213"/>
        <v>0</v>
      </c>
      <c r="AZ296" s="104">
        <f ca="1">IFERROR(OFFSET(ITEM_RES!$A$5,MATCH(BA296,ITEM_RES!$M$5:$M$84,0)-1,0),0)</f>
        <v>220000408</v>
      </c>
      <c r="BA296" s="103" t="s">
        <v>634</v>
      </c>
      <c r="BB296" s="104">
        <f t="shared" si="214"/>
        <v>0</v>
      </c>
      <c r="BE296" s="104">
        <f ca="1">IFERROR(OFFSET(ITEM_RES!$A$5,MATCH(BF296,ITEM_RES!$M$5:$M$84,0)-1,0),0)</f>
        <v>0</v>
      </c>
      <c r="BG296" s="104">
        <f t="shared" si="215"/>
        <v>0</v>
      </c>
    </row>
    <row r="297" spans="1:60" x14ac:dyDescent="0.3">
      <c r="A297" s="107">
        <f t="shared" si="209"/>
        <v>113010023</v>
      </c>
      <c r="B297" s="106">
        <v>11</v>
      </c>
      <c r="C297" s="105">
        <f t="shared" si="210"/>
        <v>3</v>
      </c>
      <c r="D297" s="106">
        <v>1</v>
      </c>
      <c r="E297" s="106">
        <v>0</v>
      </c>
      <c r="F297" s="105">
        <f t="shared" si="190"/>
        <v>23</v>
      </c>
      <c r="H297" s="102">
        <v>3</v>
      </c>
      <c r="I297" s="102">
        <v>23</v>
      </c>
      <c r="K297" s="102" t="s">
        <v>1041</v>
      </c>
      <c r="L297" s="102" t="s">
        <v>505</v>
      </c>
      <c r="M297" s="103" t="s">
        <v>505</v>
      </c>
      <c r="N297" s="102">
        <v>0</v>
      </c>
      <c r="O297" s="102">
        <v>12</v>
      </c>
      <c r="P297" s="102" t="s">
        <v>518</v>
      </c>
      <c r="Q297" s="103" t="s">
        <v>1160</v>
      </c>
      <c r="R297" s="103">
        <v>113010023</v>
      </c>
      <c r="S297" s="104" t="str">
        <f t="shared" si="193"/>
        <v>UITexture/Bldg/113010023.png</v>
      </c>
      <c r="U297" s="102">
        <v>1</v>
      </c>
      <c r="V297" s="102">
        <v>1</v>
      </c>
      <c r="W297" s="102">
        <v>2</v>
      </c>
      <c r="Y297" s="104">
        <f t="shared" si="192"/>
        <v>301</v>
      </c>
      <c r="Z297" s="102">
        <v>230</v>
      </c>
      <c r="AA297" s="102">
        <v>1</v>
      </c>
      <c r="AB297" s="102">
        <v>4</v>
      </c>
      <c r="AC297" s="102">
        <v>300</v>
      </c>
      <c r="AE297" s="102">
        <v>23</v>
      </c>
      <c r="AG297" s="104">
        <f t="shared" si="191"/>
        <v>4522</v>
      </c>
      <c r="AH297" s="103">
        <v>4522</v>
      </c>
      <c r="AI297" s="172">
        <v>4</v>
      </c>
      <c r="AK297" s="104">
        <f ca="1">IFERROR(OFFSET(ITEM_RES!$A$5,MATCH(AL297,ITEM_RES!$M$5:$M$84,0)-1,0),0)</f>
        <v>220000108</v>
      </c>
      <c r="AL297" s="103" t="s">
        <v>580</v>
      </c>
      <c r="AM297" s="104">
        <f t="shared" si="211"/>
        <v>400</v>
      </c>
      <c r="AN297" s="103">
        <v>400</v>
      </c>
      <c r="AP297" s="104">
        <f ca="1">IFERROR(OFFSET(ITEM_RES!$A$5,MATCH(AQ297,ITEM_RES!$M$5:$M$84,0)-1,0),0)</f>
        <v>220000208</v>
      </c>
      <c r="AQ297" s="103" t="s">
        <v>598</v>
      </c>
      <c r="AR297" s="104">
        <f t="shared" si="212"/>
        <v>400</v>
      </c>
      <c r="AS297" s="103">
        <v>400</v>
      </c>
      <c r="AU297" s="104">
        <f ca="1">IFERROR(OFFSET(ITEM_RES!$A$5,MATCH(AV297,ITEM_RES!$M$5:$M$84,0)-1,0),0)</f>
        <v>220000308</v>
      </c>
      <c r="AV297" s="103" t="s">
        <v>616</v>
      </c>
      <c r="AW297" s="104">
        <f t="shared" si="213"/>
        <v>0</v>
      </c>
      <c r="AZ297" s="104">
        <f ca="1">IFERROR(OFFSET(ITEM_RES!$A$5,MATCH(BA297,ITEM_RES!$M$5:$M$84,0)-1,0),0)</f>
        <v>220000408</v>
      </c>
      <c r="BA297" s="103" t="s">
        <v>634</v>
      </c>
      <c r="BB297" s="104">
        <f t="shared" si="214"/>
        <v>0</v>
      </c>
      <c r="BE297" s="104">
        <f ca="1">IFERROR(OFFSET(ITEM_RES!$A$5,MATCH(BF297,ITEM_RES!$M$5:$M$84,0)-1,0),0)</f>
        <v>0</v>
      </c>
      <c r="BG297" s="104">
        <f t="shared" si="215"/>
        <v>0</v>
      </c>
    </row>
    <row r="298" spans="1:60" x14ac:dyDescent="0.3">
      <c r="A298" s="107">
        <f t="shared" si="209"/>
        <v>113010024</v>
      </c>
      <c r="B298" s="106">
        <v>11</v>
      </c>
      <c r="C298" s="105">
        <f t="shared" si="210"/>
        <v>3</v>
      </c>
      <c r="D298" s="106">
        <v>1</v>
      </c>
      <c r="E298" s="106">
        <v>0</v>
      </c>
      <c r="F298" s="105">
        <f t="shared" si="190"/>
        <v>24</v>
      </c>
      <c r="H298" s="102">
        <v>3</v>
      </c>
      <c r="I298" s="102">
        <v>24</v>
      </c>
      <c r="K298" s="102" t="s">
        <v>1041</v>
      </c>
      <c r="L298" s="102" t="s">
        <v>505</v>
      </c>
      <c r="M298" s="103" t="s">
        <v>505</v>
      </c>
      <c r="N298" s="102">
        <v>0</v>
      </c>
      <c r="O298" s="102">
        <v>12</v>
      </c>
      <c r="P298" s="102" t="s">
        <v>518</v>
      </c>
      <c r="Q298" s="103" t="s">
        <v>1160</v>
      </c>
      <c r="R298" s="103">
        <v>113010024</v>
      </c>
      <c r="S298" s="104" t="str">
        <f t="shared" si="193"/>
        <v>UITexture/Bldg/113010024.png</v>
      </c>
      <c r="U298" s="102">
        <v>1</v>
      </c>
      <c r="V298" s="102">
        <v>1</v>
      </c>
      <c r="W298" s="102">
        <v>2</v>
      </c>
      <c r="Y298" s="104">
        <f t="shared" si="192"/>
        <v>301</v>
      </c>
      <c r="Z298" s="102">
        <v>240</v>
      </c>
      <c r="AA298" s="102">
        <v>1</v>
      </c>
      <c r="AB298" s="102">
        <v>4</v>
      </c>
      <c r="AC298" s="102">
        <v>400</v>
      </c>
      <c r="AE298" s="102">
        <v>24</v>
      </c>
      <c r="AG298" s="104">
        <f t="shared" si="191"/>
        <v>4732</v>
      </c>
      <c r="AH298" s="103">
        <v>4732</v>
      </c>
      <c r="AI298" s="172">
        <v>4</v>
      </c>
      <c r="AK298" s="104">
        <f ca="1">IFERROR(OFFSET(ITEM_RES!$A$5,MATCH(AL298,ITEM_RES!$M$5:$M$84,0)-1,0),0)</f>
        <v>220000108</v>
      </c>
      <c r="AL298" s="103" t="s">
        <v>580</v>
      </c>
      <c r="AM298" s="104">
        <f t="shared" si="211"/>
        <v>860</v>
      </c>
      <c r="AN298" s="103">
        <v>860</v>
      </c>
      <c r="AP298" s="104">
        <f ca="1">IFERROR(OFFSET(ITEM_RES!$A$5,MATCH(AQ298,ITEM_RES!$M$5:$M$84,0)-1,0),0)</f>
        <v>220000208</v>
      </c>
      <c r="AQ298" s="103" t="s">
        <v>598</v>
      </c>
      <c r="AR298" s="104">
        <f t="shared" si="212"/>
        <v>860</v>
      </c>
      <c r="AS298" s="103">
        <v>860</v>
      </c>
      <c r="AU298" s="104">
        <f ca="1">IFERROR(OFFSET(ITEM_RES!$A$5,MATCH(AV298,ITEM_RES!$M$5:$M$84,0)-1,0),0)</f>
        <v>220000308</v>
      </c>
      <c r="AV298" s="103" t="s">
        <v>616</v>
      </c>
      <c r="AW298" s="104">
        <f t="shared" si="213"/>
        <v>0</v>
      </c>
      <c r="AZ298" s="104">
        <f ca="1">IFERROR(OFFSET(ITEM_RES!$A$5,MATCH(BA298,ITEM_RES!$M$5:$M$84,0)-1,0),0)</f>
        <v>220000408</v>
      </c>
      <c r="BA298" s="103" t="s">
        <v>634</v>
      </c>
      <c r="BB298" s="104">
        <f t="shared" si="214"/>
        <v>0</v>
      </c>
      <c r="BE298" s="104">
        <f ca="1">IFERROR(OFFSET(ITEM_RES!$A$5,MATCH(BF298,ITEM_RES!$M$5:$M$84,0)-1,0),0)</f>
        <v>0</v>
      </c>
      <c r="BG298" s="104">
        <f t="shared" si="215"/>
        <v>0</v>
      </c>
    </row>
    <row r="299" spans="1:60" x14ac:dyDescent="0.3">
      <c r="A299" s="107">
        <f t="shared" si="209"/>
        <v>113010025</v>
      </c>
      <c r="B299" s="106">
        <v>11</v>
      </c>
      <c r="C299" s="105">
        <f t="shared" si="210"/>
        <v>3</v>
      </c>
      <c r="D299" s="106">
        <v>1</v>
      </c>
      <c r="E299" s="106">
        <v>0</v>
      </c>
      <c r="F299" s="105">
        <f t="shared" si="190"/>
        <v>25</v>
      </c>
      <c r="H299" s="102">
        <v>3</v>
      </c>
      <c r="I299" s="102">
        <v>25</v>
      </c>
      <c r="K299" s="102" t="s">
        <v>1041</v>
      </c>
      <c r="L299" s="102" t="s">
        <v>505</v>
      </c>
      <c r="M299" s="103" t="s">
        <v>505</v>
      </c>
      <c r="N299" s="102">
        <v>0</v>
      </c>
      <c r="O299" s="102">
        <v>12</v>
      </c>
      <c r="P299" s="102" t="s">
        <v>518</v>
      </c>
      <c r="Q299" s="103" t="s">
        <v>1160</v>
      </c>
      <c r="R299" s="103">
        <v>113010025</v>
      </c>
      <c r="S299" s="104" t="str">
        <f t="shared" si="193"/>
        <v>UITexture/Bldg/113010025.png</v>
      </c>
      <c r="U299" s="102">
        <v>1</v>
      </c>
      <c r="V299" s="102">
        <v>1</v>
      </c>
      <c r="W299" s="102">
        <v>2</v>
      </c>
      <c r="Y299" s="104">
        <f t="shared" si="192"/>
        <v>301</v>
      </c>
      <c r="Z299" s="102">
        <v>250</v>
      </c>
      <c r="AA299" s="102">
        <v>1</v>
      </c>
      <c r="AB299" s="102">
        <v>4</v>
      </c>
      <c r="AC299" s="102">
        <v>500</v>
      </c>
      <c r="AE299" s="102">
        <v>25</v>
      </c>
      <c r="AG299" s="104">
        <f t="shared" si="191"/>
        <v>4942</v>
      </c>
      <c r="AH299" s="103">
        <v>4942</v>
      </c>
      <c r="AI299" s="172">
        <v>4</v>
      </c>
      <c r="AK299" s="104">
        <f ca="1">IFERROR(OFFSET(ITEM_RES!$A$5,MATCH(AL299,ITEM_RES!$M$5:$M$84,0)-1,0),0)</f>
        <v>220000109</v>
      </c>
      <c r="AL299" s="103" t="s">
        <v>581</v>
      </c>
      <c r="AM299" s="104">
        <f t="shared" si="211"/>
        <v>1800</v>
      </c>
      <c r="AN299" s="103">
        <v>1780</v>
      </c>
      <c r="AP299" s="104">
        <f ca="1">IFERROR(OFFSET(ITEM_RES!$A$5,MATCH(AQ299,ITEM_RES!$M$5:$M$84,0)-1,0),0)</f>
        <v>220000209</v>
      </c>
      <c r="AQ299" s="103" t="s">
        <v>599</v>
      </c>
      <c r="AR299" s="104">
        <f t="shared" si="212"/>
        <v>1800</v>
      </c>
      <c r="AS299" s="103">
        <v>1780</v>
      </c>
      <c r="AU299" s="104">
        <f ca="1">IFERROR(OFFSET(ITEM_RES!$A$5,MATCH(AV299,ITEM_RES!$M$5:$M$84,0)-1,0),0)</f>
        <v>220000309</v>
      </c>
      <c r="AV299" s="103" t="s">
        <v>617</v>
      </c>
      <c r="AW299" s="104">
        <f t="shared" si="213"/>
        <v>0</v>
      </c>
      <c r="AZ299" s="104">
        <f ca="1">IFERROR(OFFSET(ITEM_RES!$A$5,MATCH(BA299,ITEM_RES!$M$5:$M$84,0)-1,0),0)</f>
        <v>220000409</v>
      </c>
      <c r="BA299" s="103" t="s">
        <v>635</v>
      </c>
      <c r="BB299" s="104">
        <f t="shared" si="214"/>
        <v>0</v>
      </c>
      <c r="BE299" s="104">
        <f ca="1">IFERROR(OFFSET(ITEM_RES!$A$5,MATCH(BF299,ITEM_RES!$M$5:$M$84,0)-1,0),0)</f>
        <v>0</v>
      </c>
      <c r="BG299" s="104">
        <f t="shared" si="215"/>
        <v>0</v>
      </c>
    </row>
    <row r="300" spans="1:60" x14ac:dyDescent="0.3">
      <c r="A300" s="107">
        <f t="shared" ref="A300:A304" si="216">B300*10000000+C300*1000000+D300*10000+E300*100+F300</f>
        <v>113010026</v>
      </c>
      <c r="B300" s="106">
        <v>11</v>
      </c>
      <c r="C300" s="105">
        <f t="shared" ref="C300:C304" si="217">H300</f>
        <v>3</v>
      </c>
      <c r="D300" s="106">
        <v>1</v>
      </c>
      <c r="E300" s="106">
        <v>0</v>
      </c>
      <c r="F300" s="105">
        <f t="shared" si="190"/>
        <v>26</v>
      </c>
      <c r="H300" s="102">
        <v>3</v>
      </c>
      <c r="I300" s="102">
        <v>26</v>
      </c>
      <c r="K300" s="102" t="s">
        <v>1041</v>
      </c>
      <c r="L300" s="102" t="s">
        <v>505</v>
      </c>
      <c r="M300" s="103" t="s">
        <v>505</v>
      </c>
      <c r="N300" s="102">
        <v>0</v>
      </c>
      <c r="O300" s="102">
        <v>12</v>
      </c>
      <c r="P300" s="102" t="s">
        <v>518</v>
      </c>
      <c r="Q300" s="103" t="s">
        <v>1160</v>
      </c>
      <c r="R300" s="103">
        <v>113010026</v>
      </c>
      <c r="S300" s="104" t="str">
        <f t="shared" si="193"/>
        <v>UITexture/Bldg/113010026.png</v>
      </c>
      <c r="U300" s="102">
        <v>1</v>
      </c>
      <c r="V300" s="102">
        <v>1</v>
      </c>
      <c r="W300" s="102">
        <v>2</v>
      </c>
      <c r="Y300" s="104">
        <f t="shared" si="192"/>
        <v>301</v>
      </c>
      <c r="Z300" s="102">
        <v>260</v>
      </c>
      <c r="AA300" s="102">
        <v>1</v>
      </c>
      <c r="AB300" s="102">
        <v>4</v>
      </c>
      <c r="AC300" s="102">
        <v>100</v>
      </c>
      <c r="AE300" s="102">
        <v>26</v>
      </c>
      <c r="AG300" s="104">
        <f t="shared" si="191"/>
        <v>5152</v>
      </c>
      <c r="AH300" s="103">
        <v>5152</v>
      </c>
      <c r="AI300" s="172">
        <v>4</v>
      </c>
      <c r="AK300" s="104">
        <f ca="1">IFERROR(OFFSET(ITEM_RES!$A$5,MATCH(AL300,ITEM_RES!$M$5:$M$84,0)-1,0),0)</f>
        <v>220000109</v>
      </c>
      <c r="AL300" s="103" t="s">
        <v>581</v>
      </c>
      <c r="AM300" s="104">
        <f t="shared" ref="AM300:AM304" si="218">IF(AN300&lt;100,ROUND(AN300,1-LEN(ROUND(AN300,0))),ROUND(AN300,2-LEN(ROUND(AN300,0))))</f>
        <v>40</v>
      </c>
      <c r="AN300" s="103">
        <v>40</v>
      </c>
      <c r="AP300" s="104">
        <f ca="1">IFERROR(OFFSET(ITEM_RES!$A$5,MATCH(AQ300,ITEM_RES!$M$5:$M$84,0)-1,0),0)</f>
        <v>220000209</v>
      </c>
      <c r="AQ300" s="103" t="s">
        <v>599</v>
      </c>
      <c r="AR300" s="104">
        <f t="shared" ref="AR300:AR304" si="219">IF(AS300&lt;100,ROUND(AS300,1-LEN(ROUND(AS300,0))),ROUND(AS300,2-LEN(ROUND(AS300,0))))</f>
        <v>40</v>
      </c>
      <c r="AS300" s="103">
        <v>40</v>
      </c>
      <c r="AU300" s="104">
        <f ca="1">IFERROR(OFFSET(ITEM_RES!$A$5,MATCH(AV300,ITEM_RES!$M$5:$M$84,0)-1,0),0)</f>
        <v>220000309</v>
      </c>
      <c r="AV300" s="103" t="s">
        <v>617</v>
      </c>
      <c r="AW300" s="104">
        <f t="shared" ref="AW300:AW304" si="220">IF(AX300&lt;100,ROUND(AX300,1-LEN(ROUND(AX300,0))),ROUND(AX300,2-LEN(ROUND(AX300,0))))</f>
        <v>0</v>
      </c>
      <c r="AZ300" s="104">
        <f ca="1">IFERROR(OFFSET(ITEM_RES!$A$5,MATCH(BA300,ITEM_RES!$M$5:$M$84,0)-1,0),0)</f>
        <v>220000409</v>
      </c>
      <c r="BA300" s="103" t="s">
        <v>635</v>
      </c>
      <c r="BB300" s="104">
        <f t="shared" ref="BB300:BB304" si="221">IF(BC300&lt;100,ROUND(BC300,1-LEN(ROUND(BC300,0))),ROUND(BC300,2-LEN(ROUND(BC300,0))))</f>
        <v>0</v>
      </c>
      <c r="BE300" s="104">
        <f ca="1">IFERROR(OFFSET(ITEM_RES!$A$5,MATCH(BF300,ITEM_RES!$M$5:$M$84,0)-1,0),0)</f>
        <v>0</v>
      </c>
      <c r="BG300" s="104">
        <f t="shared" ref="BG300:BG304" si="222">IF(BH300&lt;100,ROUND(BH300,1-LEN(ROUND(BH300,0))),ROUND(BH300,2-LEN(ROUND(BH300,0))))</f>
        <v>0</v>
      </c>
    </row>
    <row r="301" spans="1:60" x14ac:dyDescent="0.3">
      <c r="A301" s="107">
        <f t="shared" si="216"/>
        <v>113010027</v>
      </c>
      <c r="B301" s="106">
        <v>11</v>
      </c>
      <c r="C301" s="105">
        <f t="shared" si="217"/>
        <v>3</v>
      </c>
      <c r="D301" s="106">
        <v>1</v>
      </c>
      <c r="E301" s="106">
        <v>0</v>
      </c>
      <c r="F301" s="105">
        <f t="shared" si="190"/>
        <v>27</v>
      </c>
      <c r="H301" s="102">
        <v>3</v>
      </c>
      <c r="I301" s="102">
        <v>27</v>
      </c>
      <c r="K301" s="102" t="s">
        <v>1041</v>
      </c>
      <c r="L301" s="102" t="s">
        <v>505</v>
      </c>
      <c r="M301" s="103" t="s">
        <v>505</v>
      </c>
      <c r="N301" s="102">
        <v>0</v>
      </c>
      <c r="O301" s="102">
        <v>12</v>
      </c>
      <c r="P301" s="102" t="s">
        <v>518</v>
      </c>
      <c r="Q301" s="103" t="s">
        <v>1160</v>
      </c>
      <c r="R301" s="103">
        <v>113010027</v>
      </c>
      <c r="S301" s="104" t="str">
        <f t="shared" si="193"/>
        <v>UITexture/Bldg/113010027.png</v>
      </c>
      <c r="U301" s="102">
        <v>1</v>
      </c>
      <c r="V301" s="102">
        <v>1</v>
      </c>
      <c r="W301" s="102">
        <v>2</v>
      </c>
      <c r="Y301" s="104">
        <f t="shared" si="192"/>
        <v>301</v>
      </c>
      <c r="Z301" s="102">
        <v>270</v>
      </c>
      <c r="AA301" s="102">
        <v>1</v>
      </c>
      <c r="AB301" s="102">
        <v>4</v>
      </c>
      <c r="AC301" s="102">
        <v>200</v>
      </c>
      <c r="AE301" s="102">
        <v>27</v>
      </c>
      <c r="AG301" s="104">
        <f t="shared" si="191"/>
        <v>5362</v>
      </c>
      <c r="AH301" s="103">
        <v>5362</v>
      </c>
      <c r="AI301" s="172">
        <v>4</v>
      </c>
      <c r="AK301" s="104">
        <f ca="1">IFERROR(OFFSET(ITEM_RES!$A$5,MATCH(AL301,ITEM_RES!$M$5:$M$84,0)-1,0),0)</f>
        <v>220000109</v>
      </c>
      <c r="AL301" s="103" t="s">
        <v>581</v>
      </c>
      <c r="AM301" s="104">
        <f t="shared" si="218"/>
        <v>140</v>
      </c>
      <c r="AN301" s="103">
        <v>140</v>
      </c>
      <c r="AP301" s="104">
        <f ca="1">IFERROR(OFFSET(ITEM_RES!$A$5,MATCH(AQ301,ITEM_RES!$M$5:$M$84,0)-1,0),0)</f>
        <v>220000209</v>
      </c>
      <c r="AQ301" s="103" t="s">
        <v>599</v>
      </c>
      <c r="AR301" s="104">
        <f t="shared" si="219"/>
        <v>140</v>
      </c>
      <c r="AS301" s="103">
        <v>140</v>
      </c>
      <c r="AU301" s="104">
        <f ca="1">IFERROR(OFFSET(ITEM_RES!$A$5,MATCH(AV301,ITEM_RES!$M$5:$M$84,0)-1,0),0)</f>
        <v>220000309</v>
      </c>
      <c r="AV301" s="103" t="s">
        <v>617</v>
      </c>
      <c r="AW301" s="104">
        <f t="shared" si="220"/>
        <v>0</v>
      </c>
      <c r="AZ301" s="104">
        <f ca="1">IFERROR(OFFSET(ITEM_RES!$A$5,MATCH(BA301,ITEM_RES!$M$5:$M$84,0)-1,0),0)</f>
        <v>220000409</v>
      </c>
      <c r="BA301" s="103" t="s">
        <v>635</v>
      </c>
      <c r="BB301" s="104">
        <f t="shared" si="221"/>
        <v>0</v>
      </c>
      <c r="BE301" s="104">
        <f ca="1">IFERROR(OFFSET(ITEM_RES!$A$5,MATCH(BF301,ITEM_RES!$M$5:$M$84,0)-1,0),0)</f>
        <v>0</v>
      </c>
      <c r="BG301" s="104">
        <f t="shared" si="222"/>
        <v>0</v>
      </c>
    </row>
    <row r="302" spans="1:60" x14ac:dyDescent="0.3">
      <c r="A302" s="107">
        <f t="shared" si="216"/>
        <v>113010028</v>
      </c>
      <c r="B302" s="106">
        <v>11</v>
      </c>
      <c r="C302" s="105">
        <f t="shared" si="217"/>
        <v>3</v>
      </c>
      <c r="D302" s="106">
        <v>1</v>
      </c>
      <c r="E302" s="106">
        <v>0</v>
      </c>
      <c r="F302" s="105">
        <f t="shared" si="190"/>
        <v>28</v>
      </c>
      <c r="H302" s="102">
        <v>3</v>
      </c>
      <c r="I302" s="102">
        <v>28</v>
      </c>
      <c r="K302" s="102" t="s">
        <v>1041</v>
      </c>
      <c r="L302" s="102" t="s">
        <v>505</v>
      </c>
      <c r="M302" s="103" t="s">
        <v>505</v>
      </c>
      <c r="N302" s="102">
        <v>0</v>
      </c>
      <c r="O302" s="102">
        <v>12</v>
      </c>
      <c r="P302" s="102" t="s">
        <v>518</v>
      </c>
      <c r="Q302" s="103" t="s">
        <v>1160</v>
      </c>
      <c r="R302" s="103">
        <v>113010028</v>
      </c>
      <c r="S302" s="104" t="str">
        <f t="shared" si="193"/>
        <v>UITexture/Bldg/113010028.png</v>
      </c>
      <c r="U302" s="102">
        <v>1</v>
      </c>
      <c r="V302" s="102">
        <v>1</v>
      </c>
      <c r="W302" s="102">
        <v>2</v>
      </c>
      <c r="Y302" s="104">
        <f t="shared" si="192"/>
        <v>301</v>
      </c>
      <c r="Z302" s="102">
        <v>280</v>
      </c>
      <c r="AA302" s="102">
        <v>1</v>
      </c>
      <c r="AB302" s="102">
        <v>4</v>
      </c>
      <c r="AC302" s="102">
        <v>300</v>
      </c>
      <c r="AE302" s="102">
        <v>28</v>
      </c>
      <c r="AG302" s="104">
        <f t="shared" si="191"/>
        <v>5572</v>
      </c>
      <c r="AH302" s="103">
        <v>5572</v>
      </c>
      <c r="AI302" s="172">
        <v>4</v>
      </c>
      <c r="AK302" s="104">
        <f ca="1">IFERROR(OFFSET(ITEM_RES!$A$5,MATCH(AL302,ITEM_RES!$M$5:$M$84,0)-1,0),0)</f>
        <v>220000110</v>
      </c>
      <c r="AL302" s="103" t="s">
        <v>582</v>
      </c>
      <c r="AM302" s="104">
        <f t="shared" si="218"/>
        <v>400</v>
      </c>
      <c r="AN302" s="103">
        <v>400</v>
      </c>
      <c r="AP302" s="104">
        <f ca="1">IFERROR(OFFSET(ITEM_RES!$A$5,MATCH(AQ302,ITEM_RES!$M$5:$M$84,0)-1,0),0)</f>
        <v>220000210</v>
      </c>
      <c r="AQ302" s="103" t="s">
        <v>600</v>
      </c>
      <c r="AR302" s="104">
        <f t="shared" si="219"/>
        <v>400</v>
      </c>
      <c r="AS302" s="103">
        <v>400</v>
      </c>
      <c r="AU302" s="104">
        <f ca="1">IFERROR(OFFSET(ITEM_RES!$A$5,MATCH(AV302,ITEM_RES!$M$5:$M$84,0)-1,0),0)</f>
        <v>220000310</v>
      </c>
      <c r="AV302" s="103" t="s">
        <v>618</v>
      </c>
      <c r="AW302" s="104">
        <f t="shared" si="220"/>
        <v>0</v>
      </c>
      <c r="AZ302" s="104">
        <f ca="1">IFERROR(OFFSET(ITEM_RES!$A$5,MATCH(BA302,ITEM_RES!$M$5:$M$84,0)-1,0),0)</f>
        <v>220000410</v>
      </c>
      <c r="BA302" s="103" t="s">
        <v>636</v>
      </c>
      <c r="BB302" s="104">
        <f t="shared" si="221"/>
        <v>0</v>
      </c>
      <c r="BE302" s="104">
        <f ca="1">IFERROR(OFFSET(ITEM_RES!$A$5,MATCH(BF302,ITEM_RES!$M$5:$M$84,0)-1,0),0)</f>
        <v>0</v>
      </c>
      <c r="BG302" s="104">
        <f t="shared" si="222"/>
        <v>0</v>
      </c>
    </row>
    <row r="303" spans="1:60" x14ac:dyDescent="0.3">
      <c r="A303" s="107">
        <f t="shared" si="216"/>
        <v>113010029</v>
      </c>
      <c r="B303" s="106">
        <v>11</v>
      </c>
      <c r="C303" s="105">
        <f t="shared" si="217"/>
        <v>3</v>
      </c>
      <c r="D303" s="106">
        <v>1</v>
      </c>
      <c r="E303" s="106">
        <v>0</v>
      </c>
      <c r="F303" s="105">
        <f t="shared" si="190"/>
        <v>29</v>
      </c>
      <c r="H303" s="102">
        <v>3</v>
      </c>
      <c r="I303" s="102">
        <v>29</v>
      </c>
      <c r="K303" s="102" t="s">
        <v>1041</v>
      </c>
      <c r="L303" s="102" t="s">
        <v>505</v>
      </c>
      <c r="M303" s="103" t="s">
        <v>505</v>
      </c>
      <c r="N303" s="102">
        <v>0</v>
      </c>
      <c r="O303" s="102">
        <v>12</v>
      </c>
      <c r="P303" s="102" t="s">
        <v>518</v>
      </c>
      <c r="Q303" s="103" t="s">
        <v>1160</v>
      </c>
      <c r="R303" s="103">
        <v>113010029</v>
      </c>
      <c r="S303" s="104" t="str">
        <f t="shared" si="193"/>
        <v>UITexture/Bldg/113010029.png</v>
      </c>
      <c r="U303" s="102">
        <v>1</v>
      </c>
      <c r="V303" s="102">
        <v>1</v>
      </c>
      <c r="W303" s="102">
        <v>2</v>
      </c>
      <c r="Y303" s="104">
        <f t="shared" si="192"/>
        <v>301</v>
      </c>
      <c r="Z303" s="102">
        <v>290</v>
      </c>
      <c r="AA303" s="102">
        <v>1</v>
      </c>
      <c r="AB303" s="102">
        <v>4</v>
      </c>
      <c r="AC303" s="102">
        <v>400</v>
      </c>
      <c r="AE303" s="102">
        <v>29</v>
      </c>
      <c r="AG303" s="104">
        <f t="shared" si="191"/>
        <v>5782</v>
      </c>
      <c r="AH303" s="103">
        <v>5782</v>
      </c>
      <c r="AI303" s="172">
        <v>4</v>
      </c>
      <c r="AK303" s="104">
        <f ca="1">IFERROR(OFFSET(ITEM_RES!$A$5,MATCH(AL303,ITEM_RES!$M$5:$M$84,0)-1,0),0)</f>
        <v>220000110</v>
      </c>
      <c r="AL303" s="103" t="s">
        <v>582</v>
      </c>
      <c r="AM303" s="104">
        <f t="shared" si="218"/>
        <v>860</v>
      </c>
      <c r="AN303" s="103">
        <v>860</v>
      </c>
      <c r="AP303" s="104">
        <f ca="1">IFERROR(OFFSET(ITEM_RES!$A$5,MATCH(AQ303,ITEM_RES!$M$5:$M$84,0)-1,0),0)</f>
        <v>220000210</v>
      </c>
      <c r="AQ303" s="103" t="s">
        <v>600</v>
      </c>
      <c r="AR303" s="104">
        <f t="shared" si="219"/>
        <v>860</v>
      </c>
      <c r="AS303" s="103">
        <v>860</v>
      </c>
      <c r="AU303" s="104">
        <f ca="1">IFERROR(OFFSET(ITEM_RES!$A$5,MATCH(AV303,ITEM_RES!$M$5:$M$84,0)-1,0),0)</f>
        <v>220000310</v>
      </c>
      <c r="AV303" s="103" t="s">
        <v>618</v>
      </c>
      <c r="AW303" s="104">
        <f t="shared" si="220"/>
        <v>0</v>
      </c>
      <c r="AZ303" s="104">
        <f ca="1">IFERROR(OFFSET(ITEM_RES!$A$5,MATCH(BA303,ITEM_RES!$M$5:$M$84,0)-1,0),0)</f>
        <v>220000410</v>
      </c>
      <c r="BA303" s="103" t="s">
        <v>636</v>
      </c>
      <c r="BB303" s="104">
        <f t="shared" si="221"/>
        <v>0</v>
      </c>
      <c r="BE303" s="104">
        <f ca="1">IFERROR(OFFSET(ITEM_RES!$A$5,MATCH(BF303,ITEM_RES!$M$5:$M$84,0)-1,0),0)</f>
        <v>0</v>
      </c>
      <c r="BG303" s="104">
        <f t="shared" si="222"/>
        <v>0</v>
      </c>
    </row>
    <row r="304" spans="1:60" s="108" customFormat="1" ht="17.25" thickBot="1" x14ac:dyDescent="0.35">
      <c r="A304" s="114">
        <f t="shared" si="216"/>
        <v>113010030</v>
      </c>
      <c r="B304" s="113">
        <v>11</v>
      </c>
      <c r="C304" s="112">
        <f t="shared" si="217"/>
        <v>3</v>
      </c>
      <c r="D304" s="113">
        <v>1</v>
      </c>
      <c r="E304" s="113">
        <v>0</v>
      </c>
      <c r="F304" s="112">
        <f t="shared" si="190"/>
        <v>30</v>
      </c>
      <c r="G304" s="256"/>
      <c r="H304" s="109">
        <v>3</v>
      </c>
      <c r="I304" s="109">
        <v>30</v>
      </c>
      <c r="J304" s="256"/>
      <c r="K304" s="109" t="s">
        <v>1041</v>
      </c>
      <c r="L304" s="109" t="s">
        <v>505</v>
      </c>
      <c r="M304" s="110" t="s">
        <v>505</v>
      </c>
      <c r="N304" s="109">
        <v>0</v>
      </c>
      <c r="O304" s="109">
        <v>12</v>
      </c>
      <c r="P304" s="109" t="s">
        <v>518</v>
      </c>
      <c r="Q304" s="110" t="s">
        <v>1160</v>
      </c>
      <c r="R304" s="110">
        <v>113010030</v>
      </c>
      <c r="S304" s="111" t="str">
        <f t="shared" si="193"/>
        <v>UITexture/Bldg/113010030.png</v>
      </c>
      <c r="T304" s="109"/>
      <c r="U304" s="109">
        <v>1</v>
      </c>
      <c r="V304" s="109">
        <v>1</v>
      </c>
      <c r="W304" s="109">
        <v>2</v>
      </c>
      <c r="X304" s="256"/>
      <c r="Y304" s="111">
        <f t="shared" si="192"/>
        <v>301</v>
      </c>
      <c r="Z304" s="109">
        <v>300</v>
      </c>
      <c r="AA304" s="109">
        <v>1</v>
      </c>
      <c r="AB304" s="109">
        <v>4</v>
      </c>
      <c r="AC304" s="109">
        <v>500</v>
      </c>
      <c r="AD304" s="109"/>
      <c r="AE304" s="109">
        <v>30</v>
      </c>
      <c r="AF304" s="256"/>
      <c r="AG304" s="111">
        <f t="shared" si="191"/>
        <v>5992</v>
      </c>
      <c r="AH304" s="110">
        <v>5992</v>
      </c>
      <c r="AI304" s="175">
        <v>4</v>
      </c>
      <c r="AJ304" s="111"/>
      <c r="AK304" s="111">
        <f ca="1">IFERROR(OFFSET(ITEM_RES!$A$5,MATCH(AL304,ITEM_RES!$M$5:$M$84,0)-1,0),0)</f>
        <v>220000110</v>
      </c>
      <c r="AL304" s="110" t="s">
        <v>582</v>
      </c>
      <c r="AM304" s="111">
        <f t="shared" si="218"/>
        <v>1800</v>
      </c>
      <c r="AN304" s="110">
        <v>1780</v>
      </c>
      <c r="AO304" s="111"/>
      <c r="AP304" s="111">
        <f ca="1">IFERROR(OFFSET(ITEM_RES!$A$5,MATCH(AQ304,ITEM_RES!$M$5:$M$84,0)-1,0),0)</f>
        <v>220000210</v>
      </c>
      <c r="AQ304" s="110" t="s">
        <v>600</v>
      </c>
      <c r="AR304" s="111">
        <f t="shared" si="219"/>
        <v>1800</v>
      </c>
      <c r="AS304" s="110">
        <v>1780</v>
      </c>
      <c r="AT304" s="111"/>
      <c r="AU304" s="111">
        <f ca="1">IFERROR(OFFSET(ITEM_RES!$A$5,MATCH(AV304,ITEM_RES!$M$5:$M$84,0)-1,0),0)</f>
        <v>220000310</v>
      </c>
      <c r="AV304" s="110" t="s">
        <v>618</v>
      </c>
      <c r="AW304" s="111">
        <f t="shared" si="220"/>
        <v>0</v>
      </c>
      <c r="AX304" s="110"/>
      <c r="AY304" s="111"/>
      <c r="AZ304" s="111">
        <f ca="1">IFERROR(OFFSET(ITEM_RES!$A$5,MATCH(BA304,ITEM_RES!$M$5:$M$84,0)-1,0),0)</f>
        <v>220000410</v>
      </c>
      <c r="BA304" s="110" t="s">
        <v>636</v>
      </c>
      <c r="BB304" s="111">
        <f t="shared" si="221"/>
        <v>0</v>
      </c>
      <c r="BC304" s="110"/>
      <c r="BD304" s="111"/>
      <c r="BE304" s="111">
        <f ca="1">IFERROR(OFFSET(ITEM_RES!$A$5,MATCH(BF304,ITEM_RES!$M$5:$M$84,0)-1,0),0)</f>
        <v>0</v>
      </c>
      <c r="BF304" s="110"/>
      <c r="BG304" s="111">
        <f t="shared" si="222"/>
        <v>0</v>
      </c>
      <c r="BH304" s="110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79998168889431442"/>
  </sheetPr>
  <dimension ref="A1:M68"/>
  <sheetViews>
    <sheetView workbookViewId="0"/>
  </sheetViews>
  <sheetFormatPr defaultColWidth="13.125" defaultRowHeight="16.5" x14ac:dyDescent="0.3"/>
  <cols>
    <col min="1" max="1" width="12.875" style="107" bestFit="1" customWidth="1"/>
    <col min="2" max="2" width="3.875" style="106" bestFit="1" customWidth="1"/>
    <col min="3" max="3" width="3.25" style="105" bestFit="1" customWidth="1"/>
    <col min="4" max="5" width="2.75" style="106" bestFit="1" customWidth="1"/>
    <col min="6" max="6" width="2.75" style="103" bestFit="1" customWidth="1"/>
    <col min="7" max="7" width="19.875" style="103" bestFit="1" customWidth="1"/>
    <col min="8" max="8" width="31.125" style="105" bestFit="1" customWidth="1"/>
    <col min="9" max="9" width="9.875" style="103" bestFit="1" customWidth="1"/>
    <col min="10" max="10" width="18.75" style="103" bestFit="1" customWidth="1"/>
    <col min="11" max="11" width="27.25" style="192" bestFit="1" customWidth="1"/>
    <col min="12" max="12" width="19.875" style="192" bestFit="1" customWidth="1"/>
    <col min="13" max="13" width="12.75" style="192" bestFit="1" customWidth="1"/>
    <col min="14" max="16384" width="13.125" style="101"/>
  </cols>
  <sheetData>
    <row r="1" spans="1:13" x14ac:dyDescent="0.3">
      <c r="A1" s="107" t="s">
        <v>59</v>
      </c>
      <c r="K1" s="188" t="s">
        <v>60</v>
      </c>
      <c r="L1" s="188" t="s">
        <v>60</v>
      </c>
      <c r="M1" s="188" t="s">
        <v>60</v>
      </c>
    </row>
    <row r="2" spans="1:13" x14ac:dyDescent="0.3">
      <c r="A2" s="107" t="s">
        <v>61</v>
      </c>
      <c r="K2" s="195" t="s">
        <v>62</v>
      </c>
      <c r="L2" s="195" t="s">
        <v>62</v>
      </c>
      <c r="M2" s="195" t="s">
        <v>61</v>
      </c>
    </row>
    <row r="3" spans="1:13" x14ac:dyDescent="0.3">
      <c r="A3" s="107" t="s">
        <v>360</v>
      </c>
      <c r="K3" s="192" t="s">
        <v>750</v>
      </c>
      <c r="L3" s="192" t="s">
        <v>751</v>
      </c>
      <c r="M3" s="192" t="s">
        <v>677</v>
      </c>
    </row>
    <row r="4" spans="1:13" s="122" customFormat="1" ht="198.75" thickBot="1" x14ac:dyDescent="0.2">
      <c r="A4" s="122" t="s">
        <v>667</v>
      </c>
      <c r="B4" s="129" t="s">
        <v>666</v>
      </c>
      <c r="C4" s="130" t="s">
        <v>393</v>
      </c>
      <c r="D4" s="129"/>
      <c r="E4" s="129"/>
      <c r="F4" s="187"/>
      <c r="G4" s="187" t="s">
        <v>736</v>
      </c>
      <c r="H4" s="130" t="s">
        <v>762</v>
      </c>
      <c r="I4" s="187" t="s">
        <v>392</v>
      </c>
      <c r="J4" s="187" t="s">
        <v>668</v>
      </c>
      <c r="K4" s="173" t="s">
        <v>752</v>
      </c>
      <c r="L4" s="173" t="s">
        <v>753</v>
      </c>
      <c r="M4" s="173" t="s">
        <v>676</v>
      </c>
    </row>
    <row r="5" spans="1:13" s="115" customFormat="1" x14ac:dyDescent="0.3">
      <c r="A5" s="121">
        <f t="shared" ref="A5:A14" si="0">B5*10000000+C5*1000000+D5*10000+E5*100+F5</f>
        <v>121010001</v>
      </c>
      <c r="B5" s="120">
        <v>12</v>
      </c>
      <c r="C5" s="119">
        <f t="shared" ref="C5:C14" si="1">G5</f>
        <v>1</v>
      </c>
      <c r="D5" s="120">
        <v>1</v>
      </c>
      <c r="E5" s="120">
        <v>0</v>
      </c>
      <c r="F5" s="117">
        <v>1</v>
      </c>
      <c r="G5" s="117">
        <v>1</v>
      </c>
      <c r="H5" s="119">
        <f>C5*100+D5</f>
        <v>101</v>
      </c>
      <c r="I5" s="117" t="s">
        <v>378</v>
      </c>
      <c r="J5" s="117"/>
      <c r="K5" s="193"/>
      <c r="L5" s="193"/>
      <c r="M5" s="193"/>
    </row>
    <row r="6" spans="1:13" x14ac:dyDescent="0.3">
      <c r="A6" s="107">
        <f t="shared" si="0"/>
        <v>121010002</v>
      </c>
      <c r="B6" s="106">
        <v>12</v>
      </c>
      <c r="C6" s="105">
        <f t="shared" si="1"/>
        <v>1</v>
      </c>
      <c r="D6" s="106">
        <v>1</v>
      </c>
      <c r="E6" s="106">
        <v>0</v>
      </c>
      <c r="F6" s="103">
        <v>2</v>
      </c>
      <c r="G6" s="103">
        <v>1</v>
      </c>
      <c r="H6" s="105">
        <f t="shared" ref="H6:H68" si="2">C6*100+D6</f>
        <v>101</v>
      </c>
      <c r="I6" s="103" t="s">
        <v>378</v>
      </c>
    </row>
    <row r="7" spans="1:13" x14ac:dyDescent="0.3">
      <c r="A7" s="107">
        <f t="shared" si="0"/>
        <v>121010003</v>
      </c>
      <c r="B7" s="106">
        <v>12</v>
      </c>
      <c r="C7" s="105">
        <f t="shared" si="1"/>
        <v>1</v>
      </c>
      <c r="D7" s="106">
        <v>1</v>
      </c>
      <c r="E7" s="106">
        <v>0</v>
      </c>
      <c r="F7" s="103">
        <v>3</v>
      </c>
      <c r="G7" s="103">
        <v>1</v>
      </c>
      <c r="H7" s="105">
        <f t="shared" si="2"/>
        <v>101</v>
      </c>
      <c r="I7" s="103" t="s">
        <v>378</v>
      </c>
    </row>
    <row r="8" spans="1:13" x14ac:dyDescent="0.3">
      <c r="A8" s="107">
        <f t="shared" si="0"/>
        <v>121010004</v>
      </c>
      <c r="B8" s="106">
        <v>12</v>
      </c>
      <c r="C8" s="105">
        <f t="shared" si="1"/>
        <v>1</v>
      </c>
      <c r="D8" s="106">
        <v>1</v>
      </c>
      <c r="E8" s="106">
        <v>0</v>
      </c>
      <c r="F8" s="103">
        <v>4</v>
      </c>
      <c r="G8" s="103">
        <v>1</v>
      </c>
      <c r="H8" s="105">
        <f t="shared" si="2"/>
        <v>101</v>
      </c>
      <c r="I8" s="103" t="s">
        <v>378</v>
      </c>
    </row>
    <row r="9" spans="1:13" x14ac:dyDescent="0.3">
      <c r="A9" s="107">
        <f t="shared" si="0"/>
        <v>121010005</v>
      </c>
      <c r="B9" s="106">
        <v>12</v>
      </c>
      <c r="C9" s="105">
        <f t="shared" si="1"/>
        <v>1</v>
      </c>
      <c r="D9" s="106">
        <v>1</v>
      </c>
      <c r="E9" s="106">
        <v>0</v>
      </c>
      <c r="F9" s="103">
        <v>5</v>
      </c>
      <c r="G9" s="103">
        <v>1</v>
      </c>
      <c r="H9" s="105">
        <f t="shared" si="2"/>
        <v>101</v>
      </c>
      <c r="I9" s="103" t="s">
        <v>378</v>
      </c>
    </row>
    <row r="10" spans="1:13" x14ac:dyDescent="0.3">
      <c r="A10" s="107">
        <f t="shared" si="0"/>
        <v>121020001</v>
      </c>
      <c r="B10" s="106">
        <v>12</v>
      </c>
      <c r="C10" s="105">
        <f t="shared" si="1"/>
        <v>1</v>
      </c>
      <c r="D10" s="106">
        <v>2</v>
      </c>
      <c r="E10" s="106">
        <v>0</v>
      </c>
      <c r="F10" s="103">
        <v>1</v>
      </c>
      <c r="G10" s="103">
        <v>1</v>
      </c>
      <c r="H10" s="105">
        <f t="shared" si="2"/>
        <v>102</v>
      </c>
      <c r="I10" s="103" t="s">
        <v>2</v>
      </c>
      <c r="J10" s="103" t="s">
        <v>957</v>
      </c>
      <c r="K10" s="192" t="s">
        <v>540</v>
      </c>
      <c r="L10" s="192" t="s">
        <v>760</v>
      </c>
      <c r="M10" s="192">
        <v>2</v>
      </c>
    </row>
    <row r="11" spans="1:13" x14ac:dyDescent="0.3">
      <c r="A11" s="107">
        <f t="shared" si="0"/>
        <v>121020002</v>
      </c>
      <c r="B11" s="106">
        <v>12</v>
      </c>
      <c r="C11" s="105">
        <f t="shared" si="1"/>
        <v>1</v>
      </c>
      <c r="D11" s="106">
        <v>2</v>
      </c>
      <c r="E11" s="106">
        <v>0</v>
      </c>
      <c r="F11" s="103">
        <v>2</v>
      </c>
      <c r="G11" s="103">
        <v>1</v>
      </c>
      <c r="H11" s="105">
        <f t="shared" si="2"/>
        <v>102</v>
      </c>
      <c r="I11" s="103" t="s">
        <v>2</v>
      </c>
      <c r="J11" s="103" t="s">
        <v>958</v>
      </c>
      <c r="K11" s="192" t="s">
        <v>540</v>
      </c>
      <c r="L11" s="192" t="s">
        <v>761</v>
      </c>
      <c r="M11" s="192">
        <v>1</v>
      </c>
    </row>
    <row r="12" spans="1:13" x14ac:dyDescent="0.3">
      <c r="A12" s="107">
        <f t="shared" si="0"/>
        <v>121020003</v>
      </c>
      <c r="B12" s="106">
        <v>12</v>
      </c>
      <c r="C12" s="105">
        <f t="shared" si="1"/>
        <v>1</v>
      </c>
      <c r="D12" s="106">
        <v>2</v>
      </c>
      <c r="E12" s="106">
        <v>0</v>
      </c>
      <c r="F12" s="103">
        <v>3</v>
      </c>
      <c r="G12" s="103">
        <v>1</v>
      </c>
      <c r="H12" s="105">
        <f t="shared" si="2"/>
        <v>102</v>
      </c>
      <c r="I12" s="103" t="s">
        <v>2</v>
      </c>
    </row>
    <row r="13" spans="1:13" x14ac:dyDescent="0.3">
      <c r="A13" s="107">
        <f t="shared" si="0"/>
        <v>121020004</v>
      </c>
      <c r="B13" s="106">
        <v>12</v>
      </c>
      <c r="C13" s="105">
        <f t="shared" si="1"/>
        <v>1</v>
      </c>
      <c r="D13" s="106">
        <v>2</v>
      </c>
      <c r="E13" s="106">
        <v>0</v>
      </c>
      <c r="F13" s="103">
        <v>4</v>
      </c>
      <c r="G13" s="103">
        <v>1</v>
      </c>
      <c r="H13" s="105">
        <f t="shared" si="2"/>
        <v>102</v>
      </c>
      <c r="I13" s="103" t="s">
        <v>2</v>
      </c>
    </row>
    <row r="14" spans="1:13" x14ac:dyDescent="0.3">
      <c r="A14" s="107">
        <f t="shared" si="0"/>
        <v>121020005</v>
      </c>
      <c r="B14" s="106">
        <v>12</v>
      </c>
      <c r="C14" s="105">
        <f t="shared" si="1"/>
        <v>1</v>
      </c>
      <c r="D14" s="106">
        <v>2</v>
      </c>
      <c r="E14" s="106">
        <v>0</v>
      </c>
      <c r="F14" s="103">
        <v>5</v>
      </c>
      <c r="G14" s="103">
        <v>1</v>
      </c>
      <c r="H14" s="105">
        <f t="shared" si="2"/>
        <v>102</v>
      </c>
      <c r="I14" s="103" t="s">
        <v>2</v>
      </c>
    </row>
    <row r="15" spans="1:13" x14ac:dyDescent="0.3">
      <c r="A15" s="107">
        <f t="shared" ref="A15:A68" si="3">B15*10000000+C15*1000000+D15*10000+E15*100+F15</f>
        <v>121030001</v>
      </c>
      <c r="B15" s="106">
        <v>12</v>
      </c>
      <c r="C15" s="105">
        <f t="shared" ref="C15:C68" si="4">G15</f>
        <v>1</v>
      </c>
      <c r="D15" s="106">
        <v>3</v>
      </c>
      <c r="E15" s="106">
        <v>0</v>
      </c>
      <c r="F15" s="103">
        <v>1</v>
      </c>
      <c r="G15" s="103">
        <v>1</v>
      </c>
      <c r="H15" s="105">
        <f t="shared" si="2"/>
        <v>103</v>
      </c>
      <c r="I15" s="103" t="s">
        <v>738</v>
      </c>
      <c r="J15" s="103" t="s">
        <v>959</v>
      </c>
      <c r="K15" s="192" t="s">
        <v>538</v>
      </c>
      <c r="L15" s="192" t="s">
        <v>758</v>
      </c>
      <c r="M15" s="192">
        <v>2</v>
      </c>
    </row>
    <row r="16" spans="1:13" x14ac:dyDescent="0.3">
      <c r="A16" s="107">
        <f t="shared" si="3"/>
        <v>121030002</v>
      </c>
      <c r="B16" s="106">
        <v>12</v>
      </c>
      <c r="C16" s="105">
        <f t="shared" si="4"/>
        <v>1</v>
      </c>
      <c r="D16" s="106">
        <v>3</v>
      </c>
      <c r="E16" s="106">
        <v>0</v>
      </c>
      <c r="F16" s="103">
        <v>2</v>
      </c>
      <c r="G16" s="103">
        <v>1</v>
      </c>
      <c r="H16" s="105">
        <f t="shared" si="2"/>
        <v>103</v>
      </c>
      <c r="I16" s="103" t="s">
        <v>738</v>
      </c>
      <c r="J16" s="103" t="s">
        <v>960</v>
      </c>
      <c r="K16" s="192" t="s">
        <v>538</v>
      </c>
      <c r="L16" s="192" t="s">
        <v>759</v>
      </c>
      <c r="M16" s="192">
        <v>2</v>
      </c>
    </row>
    <row r="17" spans="1:13" x14ac:dyDescent="0.3">
      <c r="A17" s="107">
        <f t="shared" si="3"/>
        <v>121030003</v>
      </c>
      <c r="B17" s="106">
        <v>12</v>
      </c>
      <c r="C17" s="105">
        <f t="shared" si="4"/>
        <v>1</v>
      </c>
      <c r="D17" s="106">
        <v>3</v>
      </c>
      <c r="E17" s="106">
        <v>0</v>
      </c>
      <c r="F17" s="103">
        <v>3</v>
      </c>
      <c r="G17" s="103">
        <v>1</v>
      </c>
      <c r="H17" s="105">
        <f t="shared" si="2"/>
        <v>103</v>
      </c>
      <c r="I17" s="103" t="s">
        <v>738</v>
      </c>
    </row>
    <row r="18" spans="1:13" x14ac:dyDescent="0.3">
      <c r="A18" s="107">
        <f t="shared" si="3"/>
        <v>121030004</v>
      </c>
      <c r="B18" s="106">
        <v>12</v>
      </c>
      <c r="C18" s="105">
        <f t="shared" si="4"/>
        <v>1</v>
      </c>
      <c r="D18" s="106">
        <v>3</v>
      </c>
      <c r="E18" s="106">
        <v>0</v>
      </c>
      <c r="F18" s="103">
        <v>4</v>
      </c>
      <c r="G18" s="103">
        <v>1</v>
      </c>
      <c r="H18" s="105">
        <f t="shared" si="2"/>
        <v>103</v>
      </c>
      <c r="I18" s="103" t="s">
        <v>738</v>
      </c>
    </row>
    <row r="19" spans="1:13" x14ac:dyDescent="0.3">
      <c r="A19" s="107">
        <f t="shared" si="3"/>
        <v>121030005</v>
      </c>
      <c r="B19" s="106">
        <v>12</v>
      </c>
      <c r="C19" s="105">
        <f t="shared" si="4"/>
        <v>1</v>
      </c>
      <c r="D19" s="106">
        <v>3</v>
      </c>
      <c r="E19" s="106">
        <v>0</v>
      </c>
      <c r="F19" s="103">
        <v>5</v>
      </c>
      <c r="G19" s="103">
        <v>1</v>
      </c>
      <c r="H19" s="105">
        <f t="shared" si="2"/>
        <v>103</v>
      </c>
      <c r="I19" s="103" t="s">
        <v>738</v>
      </c>
    </row>
    <row r="20" spans="1:13" x14ac:dyDescent="0.3">
      <c r="A20" s="107">
        <f t="shared" si="3"/>
        <v>121040001</v>
      </c>
      <c r="B20" s="106">
        <v>12</v>
      </c>
      <c r="C20" s="105">
        <f t="shared" si="4"/>
        <v>1</v>
      </c>
      <c r="D20" s="106">
        <v>4</v>
      </c>
      <c r="E20" s="106">
        <v>0</v>
      </c>
      <c r="F20" s="103">
        <v>1</v>
      </c>
      <c r="G20" s="103">
        <v>1</v>
      </c>
      <c r="H20" s="105">
        <f t="shared" si="2"/>
        <v>104</v>
      </c>
      <c r="I20" s="103" t="s">
        <v>379</v>
      </c>
    </row>
    <row r="21" spans="1:13" x14ac:dyDescent="0.3">
      <c r="A21" s="107">
        <f t="shared" si="3"/>
        <v>121040002</v>
      </c>
      <c r="B21" s="106">
        <v>12</v>
      </c>
      <c r="C21" s="105">
        <f t="shared" si="4"/>
        <v>1</v>
      </c>
      <c r="D21" s="106">
        <v>4</v>
      </c>
      <c r="E21" s="106">
        <v>0</v>
      </c>
      <c r="F21" s="103">
        <v>2</v>
      </c>
      <c r="G21" s="103">
        <v>1</v>
      </c>
      <c r="H21" s="105">
        <f t="shared" si="2"/>
        <v>104</v>
      </c>
      <c r="I21" s="103" t="s">
        <v>379</v>
      </c>
    </row>
    <row r="22" spans="1:13" x14ac:dyDescent="0.3">
      <c r="A22" s="107">
        <f t="shared" si="3"/>
        <v>121040003</v>
      </c>
      <c r="B22" s="106">
        <v>12</v>
      </c>
      <c r="C22" s="105">
        <f t="shared" si="4"/>
        <v>1</v>
      </c>
      <c r="D22" s="106">
        <v>4</v>
      </c>
      <c r="E22" s="106">
        <v>0</v>
      </c>
      <c r="F22" s="103">
        <v>3</v>
      </c>
      <c r="G22" s="103">
        <v>1</v>
      </c>
      <c r="H22" s="105">
        <f t="shared" si="2"/>
        <v>104</v>
      </c>
      <c r="I22" s="103" t="s">
        <v>379</v>
      </c>
    </row>
    <row r="23" spans="1:13" x14ac:dyDescent="0.3">
      <c r="A23" s="107">
        <f t="shared" si="3"/>
        <v>121040004</v>
      </c>
      <c r="B23" s="106">
        <v>12</v>
      </c>
      <c r="C23" s="105">
        <f t="shared" si="4"/>
        <v>1</v>
      </c>
      <c r="D23" s="106">
        <v>4</v>
      </c>
      <c r="E23" s="106">
        <v>0</v>
      </c>
      <c r="F23" s="103">
        <v>4</v>
      </c>
      <c r="G23" s="103">
        <v>1</v>
      </c>
      <c r="H23" s="105">
        <f t="shared" si="2"/>
        <v>104</v>
      </c>
      <c r="I23" s="103" t="s">
        <v>379</v>
      </c>
    </row>
    <row r="24" spans="1:13" x14ac:dyDescent="0.3">
      <c r="A24" s="107">
        <f t="shared" si="3"/>
        <v>121040005</v>
      </c>
      <c r="B24" s="106">
        <v>12</v>
      </c>
      <c r="C24" s="105">
        <f t="shared" si="4"/>
        <v>1</v>
      </c>
      <c r="D24" s="106">
        <v>4</v>
      </c>
      <c r="E24" s="106">
        <v>0</v>
      </c>
      <c r="F24" s="103">
        <v>5</v>
      </c>
      <c r="G24" s="103">
        <v>1</v>
      </c>
      <c r="H24" s="105">
        <f t="shared" si="2"/>
        <v>104</v>
      </c>
      <c r="I24" s="103" t="s">
        <v>379</v>
      </c>
    </row>
    <row r="25" spans="1:13" x14ac:dyDescent="0.3">
      <c r="A25" s="107">
        <f>B25*10000000+C25*1000000+D25*10000+E25*100+F25</f>
        <v>121050001</v>
      </c>
      <c r="B25" s="106">
        <v>12</v>
      </c>
      <c r="C25" s="105">
        <f>G25</f>
        <v>1</v>
      </c>
      <c r="D25" s="106">
        <v>5</v>
      </c>
      <c r="E25" s="106">
        <v>0</v>
      </c>
      <c r="F25" s="103">
        <v>1</v>
      </c>
      <c r="G25" s="103">
        <v>1</v>
      </c>
      <c r="H25" s="105">
        <f t="shared" si="2"/>
        <v>105</v>
      </c>
      <c r="I25" s="103" t="s">
        <v>380</v>
      </c>
      <c r="J25" s="103" t="s">
        <v>961</v>
      </c>
      <c r="K25" s="192" t="s">
        <v>728</v>
      </c>
      <c r="L25" s="192" t="s">
        <v>758</v>
      </c>
      <c r="M25" s="192">
        <v>2</v>
      </c>
    </row>
    <row r="26" spans="1:13" x14ac:dyDescent="0.3">
      <c r="A26" s="107">
        <f>B26*10000000+C26*1000000+D26*10000+E26*100+F26</f>
        <v>121050002</v>
      </c>
      <c r="B26" s="106">
        <v>12</v>
      </c>
      <c r="C26" s="105">
        <f>G26</f>
        <v>1</v>
      </c>
      <c r="D26" s="106">
        <v>5</v>
      </c>
      <c r="E26" s="106">
        <v>0</v>
      </c>
      <c r="F26" s="103">
        <v>2</v>
      </c>
      <c r="G26" s="103">
        <v>1</v>
      </c>
      <c r="H26" s="105">
        <f t="shared" si="2"/>
        <v>105</v>
      </c>
      <c r="I26" s="103" t="s">
        <v>380</v>
      </c>
      <c r="J26" s="103" t="s">
        <v>962</v>
      </c>
      <c r="K26" s="192" t="s">
        <v>728</v>
      </c>
      <c r="L26" s="192" t="s">
        <v>759</v>
      </c>
      <c r="M26" s="192">
        <v>2</v>
      </c>
    </row>
    <row r="27" spans="1:13" x14ac:dyDescent="0.3">
      <c r="A27" s="107">
        <f>B27*10000000+C27*1000000+D27*10000+E27*100+F27</f>
        <v>121050003</v>
      </c>
      <c r="B27" s="106">
        <v>12</v>
      </c>
      <c r="C27" s="105">
        <f>G27</f>
        <v>1</v>
      </c>
      <c r="D27" s="106">
        <v>5</v>
      </c>
      <c r="E27" s="106">
        <v>0</v>
      </c>
      <c r="F27" s="103">
        <v>3</v>
      </c>
      <c r="G27" s="103">
        <v>1</v>
      </c>
      <c r="H27" s="105">
        <f t="shared" si="2"/>
        <v>105</v>
      </c>
      <c r="I27" s="103" t="s">
        <v>380</v>
      </c>
    </row>
    <row r="28" spans="1:13" x14ac:dyDescent="0.3">
      <c r="A28" s="107">
        <f>B28*10000000+C28*1000000+D28*10000+E28*100+F28</f>
        <v>121050004</v>
      </c>
      <c r="B28" s="106">
        <v>12</v>
      </c>
      <c r="C28" s="105">
        <f>G28</f>
        <v>1</v>
      </c>
      <c r="D28" s="106">
        <v>5</v>
      </c>
      <c r="E28" s="106">
        <v>0</v>
      </c>
      <c r="F28" s="103">
        <v>4</v>
      </c>
      <c r="G28" s="103">
        <v>1</v>
      </c>
      <c r="H28" s="105">
        <f t="shared" si="2"/>
        <v>105</v>
      </c>
      <c r="I28" s="103" t="s">
        <v>380</v>
      </c>
    </row>
    <row r="29" spans="1:13" x14ac:dyDescent="0.3">
      <c r="A29" s="107">
        <f>B29*10000000+C29*1000000+D29*10000+E29*100+F29</f>
        <v>121050005</v>
      </c>
      <c r="B29" s="106">
        <v>12</v>
      </c>
      <c r="C29" s="105">
        <f>G29</f>
        <v>1</v>
      </c>
      <c r="D29" s="106">
        <v>5</v>
      </c>
      <c r="E29" s="106">
        <v>0</v>
      </c>
      <c r="F29" s="103">
        <v>5</v>
      </c>
      <c r="G29" s="103">
        <v>1</v>
      </c>
      <c r="H29" s="105">
        <f t="shared" si="2"/>
        <v>105</v>
      </c>
      <c r="I29" s="103" t="s">
        <v>380</v>
      </c>
    </row>
    <row r="30" spans="1:13" x14ac:dyDescent="0.3">
      <c r="A30" s="107">
        <f t="shared" si="3"/>
        <v>121060001</v>
      </c>
      <c r="B30" s="106">
        <v>12</v>
      </c>
      <c r="C30" s="105">
        <f t="shared" si="4"/>
        <v>1</v>
      </c>
      <c r="D30" s="106">
        <v>6</v>
      </c>
      <c r="E30" s="106">
        <v>0</v>
      </c>
      <c r="F30" s="103">
        <v>1</v>
      </c>
      <c r="G30" s="103">
        <v>1</v>
      </c>
      <c r="H30" s="105">
        <f t="shared" si="2"/>
        <v>106</v>
      </c>
    </row>
    <row r="31" spans="1:13" x14ac:dyDescent="0.3">
      <c r="A31" s="107">
        <f t="shared" si="3"/>
        <v>121060002</v>
      </c>
      <c r="B31" s="106">
        <v>12</v>
      </c>
      <c r="C31" s="105">
        <f t="shared" si="4"/>
        <v>1</v>
      </c>
      <c r="D31" s="106">
        <v>6</v>
      </c>
      <c r="E31" s="106">
        <v>0</v>
      </c>
      <c r="F31" s="103">
        <v>2</v>
      </c>
      <c r="G31" s="103">
        <v>1</v>
      </c>
      <c r="H31" s="105">
        <f t="shared" si="2"/>
        <v>106</v>
      </c>
    </row>
    <row r="32" spans="1:13" x14ac:dyDescent="0.3">
      <c r="A32" s="107">
        <f t="shared" si="3"/>
        <v>121060003</v>
      </c>
      <c r="B32" s="106">
        <v>12</v>
      </c>
      <c r="C32" s="105">
        <f t="shared" si="4"/>
        <v>1</v>
      </c>
      <c r="D32" s="106">
        <v>6</v>
      </c>
      <c r="E32" s="106">
        <v>0</v>
      </c>
      <c r="F32" s="103">
        <v>3</v>
      </c>
      <c r="G32" s="103">
        <v>1</v>
      </c>
      <c r="H32" s="105">
        <f t="shared" si="2"/>
        <v>106</v>
      </c>
    </row>
    <row r="33" spans="1:13" x14ac:dyDescent="0.3">
      <c r="A33" s="107">
        <f t="shared" si="3"/>
        <v>121060004</v>
      </c>
      <c r="B33" s="106">
        <v>12</v>
      </c>
      <c r="C33" s="105">
        <f t="shared" si="4"/>
        <v>1</v>
      </c>
      <c r="D33" s="106">
        <v>6</v>
      </c>
      <c r="E33" s="106">
        <v>0</v>
      </c>
      <c r="F33" s="103">
        <v>4</v>
      </c>
      <c r="G33" s="103">
        <v>1</v>
      </c>
      <c r="H33" s="105">
        <f t="shared" si="2"/>
        <v>106</v>
      </c>
    </row>
    <row r="34" spans="1:13" s="108" customFormat="1" ht="17.25" thickBot="1" x14ac:dyDescent="0.35">
      <c r="A34" s="114">
        <f t="shared" si="3"/>
        <v>121060005</v>
      </c>
      <c r="B34" s="113">
        <v>12</v>
      </c>
      <c r="C34" s="112">
        <f t="shared" si="4"/>
        <v>1</v>
      </c>
      <c r="D34" s="113">
        <v>6</v>
      </c>
      <c r="E34" s="113">
        <v>0</v>
      </c>
      <c r="F34" s="110">
        <v>5</v>
      </c>
      <c r="G34" s="110">
        <v>1</v>
      </c>
      <c r="H34" s="112">
        <f t="shared" si="2"/>
        <v>106</v>
      </c>
      <c r="I34" s="110"/>
      <c r="J34" s="110"/>
      <c r="K34" s="194"/>
      <c r="L34" s="194"/>
      <c r="M34" s="194"/>
    </row>
    <row r="35" spans="1:13" x14ac:dyDescent="0.3">
      <c r="A35" s="107">
        <f>B35*10000000+C35*1000000+D35*10000+E35*100+F35</f>
        <v>122010001</v>
      </c>
      <c r="B35" s="106">
        <v>12</v>
      </c>
      <c r="C35" s="105">
        <f t="shared" si="4"/>
        <v>2</v>
      </c>
      <c r="D35" s="106">
        <v>1</v>
      </c>
      <c r="E35" s="106">
        <v>0</v>
      </c>
      <c r="F35" s="103">
        <v>1</v>
      </c>
      <c r="G35" s="103">
        <v>2</v>
      </c>
      <c r="H35" s="105">
        <f t="shared" si="2"/>
        <v>201</v>
      </c>
      <c r="I35" s="103" t="s">
        <v>737</v>
      </c>
      <c r="J35" s="103" t="s">
        <v>963</v>
      </c>
      <c r="K35" s="192" t="s">
        <v>539</v>
      </c>
      <c r="L35" s="192" t="s">
        <v>726</v>
      </c>
      <c r="M35" s="192">
        <v>2</v>
      </c>
    </row>
    <row r="36" spans="1:13" x14ac:dyDescent="0.3">
      <c r="A36" s="107">
        <f t="shared" si="3"/>
        <v>122010002</v>
      </c>
      <c r="B36" s="106">
        <v>12</v>
      </c>
      <c r="C36" s="105">
        <f t="shared" si="4"/>
        <v>2</v>
      </c>
      <c r="D36" s="106">
        <v>1</v>
      </c>
      <c r="E36" s="106">
        <v>0</v>
      </c>
      <c r="F36" s="103">
        <v>2</v>
      </c>
      <c r="G36" s="103">
        <v>2</v>
      </c>
      <c r="H36" s="105">
        <f t="shared" si="2"/>
        <v>201</v>
      </c>
      <c r="I36" s="103" t="s">
        <v>737</v>
      </c>
      <c r="J36" s="103" t="s">
        <v>964</v>
      </c>
      <c r="K36" s="192" t="s">
        <v>539</v>
      </c>
      <c r="L36" s="192" t="s">
        <v>755</v>
      </c>
      <c r="M36" s="192">
        <v>1</v>
      </c>
    </row>
    <row r="37" spans="1:13" x14ac:dyDescent="0.3">
      <c r="A37" s="107">
        <f t="shared" si="3"/>
        <v>122010003</v>
      </c>
      <c r="B37" s="106">
        <v>12</v>
      </c>
      <c r="C37" s="105">
        <f t="shared" si="4"/>
        <v>2</v>
      </c>
      <c r="D37" s="106">
        <v>1</v>
      </c>
      <c r="E37" s="106">
        <v>0</v>
      </c>
      <c r="F37" s="103">
        <v>3</v>
      </c>
      <c r="G37" s="103">
        <v>2</v>
      </c>
      <c r="H37" s="105">
        <f t="shared" si="2"/>
        <v>201</v>
      </c>
      <c r="I37" s="103" t="s">
        <v>737</v>
      </c>
    </row>
    <row r="38" spans="1:13" x14ac:dyDescent="0.3">
      <c r="A38" s="107">
        <f t="shared" si="3"/>
        <v>122010004</v>
      </c>
      <c r="B38" s="106">
        <v>12</v>
      </c>
      <c r="C38" s="105">
        <f t="shared" si="4"/>
        <v>2</v>
      </c>
      <c r="D38" s="106">
        <v>1</v>
      </c>
      <c r="E38" s="106">
        <v>0</v>
      </c>
      <c r="F38" s="103">
        <v>4</v>
      </c>
      <c r="G38" s="103">
        <v>2</v>
      </c>
      <c r="H38" s="105">
        <f t="shared" si="2"/>
        <v>201</v>
      </c>
      <c r="I38" s="103" t="s">
        <v>737</v>
      </c>
    </row>
    <row r="39" spans="1:13" x14ac:dyDescent="0.3">
      <c r="A39" s="107">
        <f t="shared" si="3"/>
        <v>122010005</v>
      </c>
      <c r="B39" s="106">
        <v>12</v>
      </c>
      <c r="C39" s="105">
        <f t="shared" si="4"/>
        <v>2</v>
      </c>
      <c r="D39" s="106">
        <v>1</v>
      </c>
      <c r="E39" s="106">
        <v>0</v>
      </c>
      <c r="F39" s="103">
        <v>5</v>
      </c>
      <c r="G39" s="103">
        <v>2</v>
      </c>
      <c r="H39" s="105">
        <f t="shared" si="2"/>
        <v>201</v>
      </c>
      <c r="I39" s="103" t="s">
        <v>737</v>
      </c>
    </row>
    <row r="40" spans="1:13" x14ac:dyDescent="0.3">
      <c r="A40" s="107">
        <f>B40*10000000+C40*1000000+D40*10000+E40*100+F40</f>
        <v>122020001</v>
      </c>
      <c r="B40" s="106">
        <v>12</v>
      </c>
      <c r="C40" s="105">
        <f t="shared" ref="C40:C44" si="5">G40</f>
        <v>2</v>
      </c>
      <c r="D40" s="106">
        <v>2</v>
      </c>
      <c r="E40" s="106">
        <v>0</v>
      </c>
      <c r="F40" s="103">
        <v>1</v>
      </c>
      <c r="G40" s="103">
        <v>2</v>
      </c>
      <c r="H40" s="105">
        <f t="shared" si="2"/>
        <v>202</v>
      </c>
      <c r="I40" s="103" t="s">
        <v>381</v>
      </c>
      <c r="J40" s="103" t="s">
        <v>956</v>
      </c>
      <c r="K40" s="192" t="s">
        <v>537</v>
      </c>
      <c r="L40" s="192" t="s">
        <v>756</v>
      </c>
      <c r="M40" s="192">
        <v>1</v>
      </c>
    </row>
    <row r="41" spans="1:13" x14ac:dyDescent="0.3">
      <c r="A41" s="107">
        <f t="shared" ref="A41:A44" si="6">B41*10000000+C41*1000000+D41*10000+E41*100+F41</f>
        <v>122020002</v>
      </c>
      <c r="B41" s="106">
        <v>12</v>
      </c>
      <c r="C41" s="105">
        <f t="shared" si="5"/>
        <v>2</v>
      </c>
      <c r="D41" s="106">
        <v>2</v>
      </c>
      <c r="E41" s="106">
        <v>0</v>
      </c>
      <c r="F41" s="103">
        <v>2</v>
      </c>
      <c r="G41" s="103">
        <v>2</v>
      </c>
      <c r="H41" s="105">
        <f t="shared" si="2"/>
        <v>202</v>
      </c>
      <c r="I41" s="103" t="s">
        <v>381</v>
      </c>
      <c r="J41" s="103" t="s">
        <v>965</v>
      </c>
      <c r="K41" s="192" t="s">
        <v>537</v>
      </c>
      <c r="L41" s="192" t="s">
        <v>757</v>
      </c>
      <c r="M41" s="192">
        <v>1</v>
      </c>
    </row>
    <row r="42" spans="1:13" x14ac:dyDescent="0.3">
      <c r="A42" s="107">
        <f t="shared" si="6"/>
        <v>122020003</v>
      </c>
      <c r="B42" s="106">
        <v>12</v>
      </c>
      <c r="C42" s="105">
        <f t="shared" si="5"/>
        <v>2</v>
      </c>
      <c r="D42" s="106">
        <v>2</v>
      </c>
      <c r="E42" s="106">
        <v>0</v>
      </c>
      <c r="F42" s="103">
        <v>3</v>
      </c>
      <c r="G42" s="103">
        <v>2</v>
      </c>
      <c r="H42" s="105">
        <f t="shared" si="2"/>
        <v>202</v>
      </c>
      <c r="I42" s="103" t="s">
        <v>381</v>
      </c>
    </row>
    <row r="43" spans="1:13" x14ac:dyDescent="0.3">
      <c r="A43" s="107">
        <f t="shared" si="6"/>
        <v>122020004</v>
      </c>
      <c r="B43" s="106">
        <v>12</v>
      </c>
      <c r="C43" s="105">
        <f t="shared" si="5"/>
        <v>2</v>
      </c>
      <c r="D43" s="106">
        <v>2</v>
      </c>
      <c r="E43" s="106">
        <v>0</v>
      </c>
      <c r="F43" s="103">
        <v>4</v>
      </c>
      <c r="G43" s="103">
        <v>2</v>
      </c>
      <c r="H43" s="105">
        <f t="shared" si="2"/>
        <v>202</v>
      </c>
      <c r="I43" s="103" t="s">
        <v>381</v>
      </c>
    </row>
    <row r="44" spans="1:13" x14ac:dyDescent="0.3">
      <c r="A44" s="107">
        <f t="shared" si="6"/>
        <v>122020005</v>
      </c>
      <c r="B44" s="106">
        <v>12</v>
      </c>
      <c r="C44" s="105">
        <f t="shared" si="5"/>
        <v>2</v>
      </c>
      <c r="D44" s="106">
        <v>2</v>
      </c>
      <c r="E44" s="106">
        <v>0</v>
      </c>
      <c r="F44" s="103">
        <v>5</v>
      </c>
      <c r="G44" s="103">
        <v>2</v>
      </c>
      <c r="H44" s="105">
        <f t="shared" si="2"/>
        <v>202</v>
      </c>
      <c r="I44" s="103" t="s">
        <v>381</v>
      </c>
    </row>
    <row r="45" spans="1:13" x14ac:dyDescent="0.3">
      <c r="A45" s="107">
        <f>B45*10000000+C45*1000000+D45*10000+E45*100+F45</f>
        <v>122030001</v>
      </c>
      <c r="B45" s="106">
        <v>12</v>
      </c>
      <c r="C45" s="105">
        <f t="shared" ref="C45:C54" si="7">G45</f>
        <v>2</v>
      </c>
      <c r="D45" s="106">
        <v>3</v>
      </c>
      <c r="E45" s="106">
        <v>0</v>
      </c>
      <c r="F45" s="103">
        <v>1</v>
      </c>
      <c r="G45" s="103">
        <v>2</v>
      </c>
      <c r="H45" s="105">
        <f t="shared" si="2"/>
        <v>203</v>
      </c>
      <c r="I45" s="103" t="s">
        <v>506</v>
      </c>
      <c r="J45" s="103" t="s">
        <v>966</v>
      </c>
      <c r="K45" s="192" t="s">
        <v>754</v>
      </c>
      <c r="L45" s="192" t="s">
        <v>525</v>
      </c>
      <c r="M45" s="192">
        <v>1</v>
      </c>
    </row>
    <row r="46" spans="1:13" x14ac:dyDescent="0.3">
      <c r="A46" s="107">
        <f>B46*10000000+C46*1000000+D46*10000+E46*100+F46</f>
        <v>122030002</v>
      </c>
      <c r="B46" s="106">
        <v>12</v>
      </c>
      <c r="C46" s="105">
        <f t="shared" si="7"/>
        <v>2</v>
      </c>
      <c r="D46" s="106">
        <v>3</v>
      </c>
      <c r="E46" s="106">
        <v>0</v>
      </c>
      <c r="F46" s="103">
        <v>2</v>
      </c>
      <c r="G46" s="103">
        <v>2</v>
      </c>
      <c r="H46" s="105">
        <f t="shared" si="2"/>
        <v>203</v>
      </c>
      <c r="I46" s="103" t="s">
        <v>506</v>
      </c>
      <c r="J46" s="103" t="s">
        <v>967</v>
      </c>
      <c r="K46" s="192" t="s">
        <v>754</v>
      </c>
      <c r="L46" s="192" t="s">
        <v>517</v>
      </c>
      <c r="M46" s="192">
        <v>1</v>
      </c>
    </row>
    <row r="47" spans="1:13" x14ac:dyDescent="0.3">
      <c r="A47" s="107">
        <f>B47*10000000+C47*1000000+D47*10000+E47*100+F47</f>
        <v>122030003</v>
      </c>
      <c r="B47" s="106">
        <v>12</v>
      </c>
      <c r="C47" s="105">
        <f t="shared" si="7"/>
        <v>2</v>
      </c>
      <c r="D47" s="106">
        <v>3</v>
      </c>
      <c r="E47" s="106">
        <v>0</v>
      </c>
      <c r="F47" s="103">
        <v>3</v>
      </c>
      <c r="G47" s="103">
        <v>2</v>
      </c>
      <c r="H47" s="105">
        <f t="shared" si="2"/>
        <v>203</v>
      </c>
      <c r="I47" s="103" t="s">
        <v>506</v>
      </c>
      <c r="J47" s="103" t="s">
        <v>968</v>
      </c>
      <c r="K47" s="192" t="s">
        <v>754</v>
      </c>
      <c r="L47" s="192" t="s">
        <v>400</v>
      </c>
      <c r="M47" s="192">
        <v>2</v>
      </c>
    </row>
    <row r="48" spans="1:13" x14ac:dyDescent="0.3">
      <c r="A48" s="107">
        <f>B48*10000000+C48*1000000+D48*10000+E48*100+F48</f>
        <v>122030004</v>
      </c>
      <c r="B48" s="106">
        <v>12</v>
      </c>
      <c r="C48" s="105">
        <f t="shared" si="7"/>
        <v>2</v>
      </c>
      <c r="D48" s="106">
        <v>3</v>
      </c>
      <c r="E48" s="106">
        <v>0</v>
      </c>
      <c r="F48" s="103">
        <v>4</v>
      </c>
      <c r="G48" s="103">
        <v>2</v>
      </c>
      <c r="H48" s="105">
        <f t="shared" si="2"/>
        <v>203</v>
      </c>
      <c r="I48" s="103" t="s">
        <v>506</v>
      </c>
    </row>
    <row r="49" spans="1:13" x14ac:dyDescent="0.3">
      <c r="A49" s="107">
        <f>B49*10000000+C49*1000000+D49*10000+E49*100+F49</f>
        <v>122030005</v>
      </c>
      <c r="B49" s="106">
        <v>12</v>
      </c>
      <c r="C49" s="105">
        <f t="shared" si="7"/>
        <v>2</v>
      </c>
      <c r="D49" s="106">
        <v>3</v>
      </c>
      <c r="E49" s="106">
        <v>0</v>
      </c>
      <c r="F49" s="103">
        <v>5</v>
      </c>
      <c r="G49" s="103">
        <v>2</v>
      </c>
      <c r="H49" s="105">
        <f t="shared" si="2"/>
        <v>203</v>
      </c>
      <c r="I49" s="103" t="s">
        <v>506</v>
      </c>
    </row>
    <row r="50" spans="1:13" x14ac:dyDescent="0.3">
      <c r="A50" s="107">
        <f t="shared" ref="A50:A54" si="8">B50*10000000+C50*1000000+D50*10000+E50*100+F50</f>
        <v>122040001</v>
      </c>
      <c r="B50" s="106">
        <v>12</v>
      </c>
      <c r="C50" s="105">
        <f t="shared" si="7"/>
        <v>2</v>
      </c>
      <c r="D50" s="106">
        <v>4</v>
      </c>
      <c r="E50" s="106">
        <v>0</v>
      </c>
      <c r="F50" s="103">
        <v>1</v>
      </c>
      <c r="G50" s="103">
        <v>2</v>
      </c>
      <c r="H50" s="105">
        <f t="shared" si="2"/>
        <v>204</v>
      </c>
      <c r="I50" s="103" t="s">
        <v>502</v>
      </c>
      <c r="J50" s="103" t="s">
        <v>969</v>
      </c>
      <c r="K50" s="192" t="s">
        <v>754</v>
      </c>
      <c r="L50" s="192" t="s">
        <v>497</v>
      </c>
      <c r="M50" s="192">
        <v>1</v>
      </c>
    </row>
    <row r="51" spans="1:13" x14ac:dyDescent="0.3">
      <c r="A51" s="107">
        <f t="shared" si="8"/>
        <v>122040002</v>
      </c>
      <c r="B51" s="106">
        <v>12</v>
      </c>
      <c r="C51" s="105">
        <f t="shared" si="7"/>
        <v>2</v>
      </c>
      <c r="D51" s="106">
        <v>4</v>
      </c>
      <c r="E51" s="106">
        <v>0</v>
      </c>
      <c r="F51" s="103">
        <v>2</v>
      </c>
      <c r="G51" s="103">
        <v>2</v>
      </c>
      <c r="H51" s="105">
        <f t="shared" si="2"/>
        <v>204</v>
      </c>
      <c r="I51" s="103" t="s">
        <v>502</v>
      </c>
    </row>
    <row r="52" spans="1:13" x14ac:dyDescent="0.3">
      <c r="A52" s="107">
        <f t="shared" si="8"/>
        <v>122040003</v>
      </c>
      <c r="B52" s="106">
        <v>12</v>
      </c>
      <c r="C52" s="105">
        <f t="shared" si="7"/>
        <v>2</v>
      </c>
      <c r="D52" s="106">
        <v>4</v>
      </c>
      <c r="E52" s="106">
        <v>0</v>
      </c>
      <c r="F52" s="103">
        <v>3</v>
      </c>
      <c r="G52" s="103">
        <v>2</v>
      </c>
      <c r="H52" s="105">
        <f t="shared" si="2"/>
        <v>204</v>
      </c>
      <c r="I52" s="103" t="s">
        <v>502</v>
      </c>
    </row>
    <row r="53" spans="1:13" x14ac:dyDescent="0.3">
      <c r="A53" s="107">
        <f t="shared" si="8"/>
        <v>122040004</v>
      </c>
      <c r="B53" s="106">
        <v>12</v>
      </c>
      <c r="C53" s="105">
        <f t="shared" si="7"/>
        <v>2</v>
      </c>
      <c r="D53" s="106">
        <v>4</v>
      </c>
      <c r="E53" s="106">
        <v>0</v>
      </c>
      <c r="F53" s="103">
        <v>4</v>
      </c>
      <c r="G53" s="103">
        <v>2</v>
      </c>
      <c r="H53" s="105">
        <f t="shared" si="2"/>
        <v>204</v>
      </c>
      <c r="I53" s="103" t="s">
        <v>502</v>
      </c>
    </row>
    <row r="54" spans="1:13" x14ac:dyDescent="0.3">
      <c r="A54" s="107">
        <f t="shared" si="8"/>
        <v>122040005</v>
      </c>
      <c r="B54" s="106">
        <v>12</v>
      </c>
      <c r="C54" s="105">
        <f t="shared" si="7"/>
        <v>2</v>
      </c>
      <c r="D54" s="106">
        <v>4</v>
      </c>
      <c r="E54" s="106">
        <v>0</v>
      </c>
      <c r="F54" s="103">
        <v>5</v>
      </c>
      <c r="G54" s="103">
        <v>2</v>
      </c>
      <c r="H54" s="105">
        <f t="shared" si="2"/>
        <v>204</v>
      </c>
      <c r="I54" s="103" t="s">
        <v>502</v>
      </c>
    </row>
    <row r="55" spans="1:13" x14ac:dyDescent="0.3">
      <c r="A55" s="107">
        <f t="shared" si="3"/>
        <v>122050001</v>
      </c>
      <c r="B55" s="106">
        <v>12</v>
      </c>
      <c r="C55" s="105">
        <f t="shared" si="4"/>
        <v>2</v>
      </c>
      <c r="D55" s="106">
        <v>5</v>
      </c>
      <c r="E55" s="106">
        <v>0</v>
      </c>
      <c r="F55" s="103">
        <v>1</v>
      </c>
      <c r="G55" s="103">
        <v>2</v>
      </c>
      <c r="H55" s="105">
        <f t="shared" si="2"/>
        <v>205</v>
      </c>
    </row>
    <row r="56" spans="1:13" x14ac:dyDescent="0.3">
      <c r="A56" s="107">
        <f t="shared" si="3"/>
        <v>122050002</v>
      </c>
      <c r="B56" s="106">
        <v>12</v>
      </c>
      <c r="C56" s="105">
        <f t="shared" si="4"/>
        <v>2</v>
      </c>
      <c r="D56" s="106">
        <v>5</v>
      </c>
      <c r="E56" s="106">
        <v>0</v>
      </c>
      <c r="F56" s="103">
        <v>2</v>
      </c>
      <c r="G56" s="103">
        <v>2</v>
      </c>
      <c r="H56" s="105">
        <f t="shared" si="2"/>
        <v>205</v>
      </c>
    </row>
    <row r="57" spans="1:13" x14ac:dyDescent="0.3">
      <c r="A57" s="107">
        <f t="shared" si="3"/>
        <v>122050003</v>
      </c>
      <c r="B57" s="106">
        <v>12</v>
      </c>
      <c r="C57" s="105">
        <f t="shared" si="4"/>
        <v>2</v>
      </c>
      <c r="D57" s="106">
        <v>5</v>
      </c>
      <c r="E57" s="106">
        <v>0</v>
      </c>
      <c r="F57" s="103">
        <v>3</v>
      </c>
      <c r="G57" s="103">
        <v>2</v>
      </c>
      <c r="H57" s="105">
        <f t="shared" si="2"/>
        <v>205</v>
      </c>
    </row>
    <row r="58" spans="1:13" x14ac:dyDescent="0.3">
      <c r="A58" s="107">
        <f t="shared" si="3"/>
        <v>122050004</v>
      </c>
      <c r="B58" s="106">
        <v>12</v>
      </c>
      <c r="C58" s="105">
        <f t="shared" si="4"/>
        <v>2</v>
      </c>
      <c r="D58" s="106">
        <v>5</v>
      </c>
      <c r="E58" s="106">
        <v>0</v>
      </c>
      <c r="F58" s="103">
        <v>4</v>
      </c>
      <c r="G58" s="103">
        <v>2</v>
      </c>
      <c r="H58" s="105">
        <f t="shared" si="2"/>
        <v>205</v>
      </c>
    </row>
    <row r="59" spans="1:13" s="108" customFormat="1" ht="17.25" thickBot="1" x14ac:dyDescent="0.35">
      <c r="A59" s="114">
        <f t="shared" si="3"/>
        <v>122050005</v>
      </c>
      <c r="B59" s="113">
        <v>12</v>
      </c>
      <c r="C59" s="112">
        <f t="shared" si="4"/>
        <v>2</v>
      </c>
      <c r="D59" s="113">
        <v>5</v>
      </c>
      <c r="E59" s="113">
        <v>0</v>
      </c>
      <c r="F59" s="110">
        <v>5</v>
      </c>
      <c r="G59" s="110">
        <v>2</v>
      </c>
      <c r="H59" s="112">
        <f t="shared" si="2"/>
        <v>205</v>
      </c>
      <c r="I59" s="110"/>
      <c r="J59" s="110"/>
      <c r="K59" s="194"/>
      <c r="L59" s="194"/>
      <c r="M59" s="194"/>
    </row>
    <row r="60" spans="1:13" x14ac:dyDescent="0.3">
      <c r="A60" s="107">
        <f t="shared" si="3"/>
        <v>123010001</v>
      </c>
      <c r="B60" s="106">
        <v>12</v>
      </c>
      <c r="C60" s="105">
        <f t="shared" si="4"/>
        <v>3</v>
      </c>
      <c r="D60" s="106">
        <v>1</v>
      </c>
      <c r="E60" s="106">
        <v>0</v>
      </c>
      <c r="F60" s="103">
        <v>1</v>
      </c>
      <c r="G60" s="103">
        <v>3</v>
      </c>
      <c r="H60" s="105">
        <f t="shared" si="2"/>
        <v>301</v>
      </c>
      <c r="I60" s="103" t="s">
        <v>505</v>
      </c>
    </row>
    <row r="61" spans="1:13" x14ac:dyDescent="0.3">
      <c r="A61" s="107">
        <f t="shared" si="3"/>
        <v>123010002</v>
      </c>
      <c r="B61" s="106">
        <v>12</v>
      </c>
      <c r="C61" s="105">
        <f t="shared" si="4"/>
        <v>3</v>
      </c>
      <c r="D61" s="106">
        <v>1</v>
      </c>
      <c r="E61" s="106">
        <v>0</v>
      </c>
      <c r="F61" s="103">
        <v>2</v>
      </c>
      <c r="G61" s="103">
        <v>3</v>
      </c>
      <c r="H61" s="105">
        <f t="shared" si="2"/>
        <v>301</v>
      </c>
      <c r="I61" s="103" t="s">
        <v>505</v>
      </c>
    </row>
    <row r="62" spans="1:13" x14ac:dyDescent="0.3">
      <c r="A62" s="107">
        <f t="shared" si="3"/>
        <v>123010003</v>
      </c>
      <c r="B62" s="106">
        <v>12</v>
      </c>
      <c r="C62" s="105">
        <f t="shared" si="4"/>
        <v>3</v>
      </c>
      <c r="D62" s="106">
        <v>1</v>
      </c>
      <c r="E62" s="106">
        <v>0</v>
      </c>
      <c r="F62" s="103">
        <v>3</v>
      </c>
      <c r="G62" s="103">
        <v>3</v>
      </c>
      <c r="H62" s="105">
        <f t="shared" si="2"/>
        <v>301</v>
      </c>
      <c r="I62" s="103" t="s">
        <v>505</v>
      </c>
    </row>
    <row r="63" spans="1:13" x14ac:dyDescent="0.3">
      <c r="A63" s="107">
        <f t="shared" si="3"/>
        <v>123010004</v>
      </c>
      <c r="B63" s="106">
        <v>12</v>
      </c>
      <c r="C63" s="105">
        <f t="shared" si="4"/>
        <v>3</v>
      </c>
      <c r="D63" s="106">
        <v>1</v>
      </c>
      <c r="E63" s="106">
        <v>0</v>
      </c>
      <c r="F63" s="103">
        <v>4</v>
      </c>
      <c r="G63" s="103">
        <v>3</v>
      </c>
      <c r="H63" s="105">
        <f t="shared" si="2"/>
        <v>301</v>
      </c>
      <c r="I63" s="103" t="s">
        <v>505</v>
      </c>
    </row>
    <row r="64" spans="1:13" x14ac:dyDescent="0.3">
      <c r="A64" s="107">
        <f t="shared" si="3"/>
        <v>123010005</v>
      </c>
      <c r="B64" s="106">
        <v>12</v>
      </c>
      <c r="C64" s="105">
        <f t="shared" si="4"/>
        <v>3</v>
      </c>
      <c r="D64" s="106">
        <v>1</v>
      </c>
      <c r="E64" s="106">
        <v>0</v>
      </c>
      <c r="F64" s="103">
        <v>5</v>
      </c>
      <c r="G64" s="103">
        <v>3</v>
      </c>
      <c r="H64" s="105">
        <f t="shared" si="2"/>
        <v>301</v>
      </c>
      <c r="I64" s="103" t="s">
        <v>505</v>
      </c>
    </row>
    <row r="65" spans="1:8" x14ac:dyDescent="0.3">
      <c r="A65" s="107">
        <f t="shared" si="3"/>
        <v>123020001</v>
      </c>
      <c r="B65" s="106">
        <v>12</v>
      </c>
      <c r="C65" s="105">
        <f t="shared" si="4"/>
        <v>3</v>
      </c>
      <c r="D65" s="106">
        <v>2</v>
      </c>
      <c r="E65" s="106">
        <v>0</v>
      </c>
      <c r="F65" s="103">
        <v>1</v>
      </c>
      <c r="G65" s="103">
        <v>3</v>
      </c>
      <c r="H65" s="105">
        <f t="shared" si="2"/>
        <v>302</v>
      </c>
    </row>
    <row r="66" spans="1:8" x14ac:dyDescent="0.3">
      <c r="A66" s="107">
        <f t="shared" si="3"/>
        <v>123020002</v>
      </c>
      <c r="B66" s="106">
        <v>12</v>
      </c>
      <c r="C66" s="105">
        <f t="shared" si="4"/>
        <v>3</v>
      </c>
      <c r="D66" s="106">
        <v>2</v>
      </c>
      <c r="E66" s="106">
        <v>0</v>
      </c>
      <c r="F66" s="103">
        <v>2</v>
      </c>
      <c r="G66" s="103">
        <v>3</v>
      </c>
      <c r="H66" s="105">
        <f t="shared" si="2"/>
        <v>302</v>
      </c>
    </row>
    <row r="67" spans="1:8" x14ac:dyDescent="0.3">
      <c r="A67" s="107">
        <f t="shared" si="3"/>
        <v>123020003</v>
      </c>
      <c r="B67" s="106">
        <v>12</v>
      </c>
      <c r="C67" s="105">
        <f t="shared" si="4"/>
        <v>3</v>
      </c>
      <c r="D67" s="106">
        <v>2</v>
      </c>
      <c r="E67" s="106">
        <v>0</v>
      </c>
      <c r="F67" s="103">
        <v>3</v>
      </c>
      <c r="G67" s="103">
        <v>3</v>
      </c>
      <c r="H67" s="105">
        <f t="shared" si="2"/>
        <v>302</v>
      </c>
    </row>
    <row r="68" spans="1:8" x14ac:dyDescent="0.3">
      <c r="A68" s="107">
        <f t="shared" si="3"/>
        <v>123020004</v>
      </c>
      <c r="B68" s="106">
        <v>12</v>
      </c>
      <c r="C68" s="105">
        <f t="shared" si="4"/>
        <v>3</v>
      </c>
      <c r="D68" s="106">
        <v>2</v>
      </c>
      <c r="E68" s="106">
        <v>0</v>
      </c>
      <c r="F68" s="103">
        <v>4</v>
      </c>
      <c r="G68" s="103">
        <v>3</v>
      </c>
      <c r="H68" s="105">
        <f t="shared" si="2"/>
        <v>302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Z9"/>
  <sheetViews>
    <sheetView workbookViewId="0">
      <selection activeCell="H5" sqref="H5:H8"/>
    </sheetView>
  </sheetViews>
  <sheetFormatPr defaultColWidth="8.75" defaultRowHeight="16.5" x14ac:dyDescent="0.15"/>
  <cols>
    <col min="1" max="1" width="12.875" style="137" bestFit="1" customWidth="1"/>
    <col min="2" max="2" width="3.875" style="139" bestFit="1" customWidth="1"/>
    <col min="3" max="6" width="2.75" style="139" bestFit="1" customWidth="1"/>
    <col min="7" max="7" width="5.75" style="251" customWidth="1"/>
    <col min="8" max="8" width="20.25" style="138" bestFit="1" customWidth="1"/>
    <col min="9" max="9" width="11.875" style="138" bestFit="1" customWidth="1"/>
    <col min="10" max="11" width="9.875" style="139" bestFit="1" customWidth="1"/>
    <col min="12" max="12" width="22.25" style="139" bestFit="1" customWidth="1"/>
    <col min="13" max="13" width="14.25" style="139" bestFit="1" customWidth="1"/>
    <col min="14" max="14" width="39.125" style="137" bestFit="1" customWidth="1"/>
    <col min="15" max="15" width="19" style="138" bestFit="1" customWidth="1"/>
    <col min="16" max="16" width="10" style="138" bestFit="1" customWidth="1"/>
    <col min="17" max="17" width="11.875" style="138" bestFit="1" customWidth="1"/>
    <col min="18" max="18" width="5.75" style="251" bestFit="1" customWidth="1"/>
    <col min="19" max="19" width="11.25" style="138" bestFit="1" customWidth="1"/>
    <col min="20" max="20" width="5.75" style="251" bestFit="1" customWidth="1"/>
    <col min="21" max="21" width="11.25" style="172" bestFit="1" customWidth="1"/>
    <col min="22" max="22" width="10" style="172" bestFit="1" customWidth="1"/>
    <col min="23" max="23" width="10.125" style="172" bestFit="1" customWidth="1"/>
    <col min="24" max="24" width="12.875" style="138" bestFit="1" customWidth="1"/>
    <col min="25" max="25" width="5.75" style="251" bestFit="1" customWidth="1"/>
    <col min="26" max="26" width="10.25" style="138" bestFit="1" customWidth="1"/>
    <col min="27" max="16384" width="8.75" style="137"/>
  </cols>
  <sheetData>
    <row r="1" spans="1:26" x14ac:dyDescent="0.15">
      <c r="A1" s="107" t="s">
        <v>59</v>
      </c>
      <c r="G1" s="243"/>
      <c r="H1" s="138" t="s">
        <v>60</v>
      </c>
      <c r="I1" s="138" t="s">
        <v>60</v>
      </c>
      <c r="N1" s="137" t="s">
        <v>60</v>
      </c>
      <c r="O1" s="138" t="s">
        <v>60</v>
      </c>
      <c r="P1" s="138" t="s">
        <v>60</v>
      </c>
      <c r="Q1" s="138" t="s">
        <v>60</v>
      </c>
      <c r="R1" s="243"/>
      <c r="S1" s="138" t="s">
        <v>60</v>
      </c>
      <c r="T1" s="243"/>
      <c r="U1" s="172" t="s">
        <v>60</v>
      </c>
      <c r="V1" s="172" t="s">
        <v>60</v>
      </c>
      <c r="W1" s="172" t="s">
        <v>60</v>
      </c>
      <c r="X1" s="183" t="s">
        <v>60</v>
      </c>
      <c r="Y1" s="243"/>
      <c r="Z1" s="35" t="s">
        <v>60</v>
      </c>
    </row>
    <row r="2" spans="1:26" x14ac:dyDescent="0.15">
      <c r="A2" s="107" t="s">
        <v>61</v>
      </c>
      <c r="G2" s="243"/>
      <c r="H2" s="138" t="s">
        <v>62</v>
      </c>
      <c r="I2" s="138" t="s">
        <v>62</v>
      </c>
      <c r="N2" s="137" t="s">
        <v>62</v>
      </c>
      <c r="O2" s="138" t="s">
        <v>62</v>
      </c>
      <c r="P2" s="138" t="s">
        <v>61</v>
      </c>
      <c r="Q2" s="138" t="s">
        <v>62</v>
      </c>
      <c r="R2" s="243"/>
      <c r="S2" s="138" t="s">
        <v>61</v>
      </c>
      <c r="T2" s="243"/>
      <c r="U2" s="172" t="s">
        <v>61</v>
      </c>
      <c r="V2" s="172" t="s">
        <v>61</v>
      </c>
      <c r="W2" s="172" t="s">
        <v>61</v>
      </c>
      <c r="X2" s="184" t="s">
        <v>61</v>
      </c>
      <c r="Y2" s="243"/>
      <c r="Z2" s="35" t="s">
        <v>61</v>
      </c>
    </row>
    <row r="3" spans="1:26" x14ac:dyDescent="0.15">
      <c r="A3" s="107" t="s">
        <v>360</v>
      </c>
      <c r="G3" s="243"/>
      <c r="H3" s="138" t="s">
        <v>976</v>
      </c>
      <c r="I3" s="138" t="s">
        <v>549</v>
      </c>
      <c r="N3" s="137" t="s">
        <v>512</v>
      </c>
      <c r="O3" s="138" t="s">
        <v>690</v>
      </c>
      <c r="P3" s="138" t="s">
        <v>571</v>
      </c>
      <c r="Q3" s="138" t="s">
        <v>514</v>
      </c>
      <c r="R3" s="243"/>
      <c r="S3" s="138" t="s">
        <v>1168</v>
      </c>
      <c r="T3" s="243"/>
      <c r="U3" s="172" t="s">
        <v>398</v>
      </c>
      <c r="V3" s="172" t="s">
        <v>688</v>
      </c>
      <c r="W3" s="172" t="s">
        <v>396</v>
      </c>
      <c r="X3" s="184" t="s">
        <v>733</v>
      </c>
      <c r="Y3" s="243"/>
      <c r="Z3" s="35" t="s">
        <v>544</v>
      </c>
    </row>
    <row r="4" spans="1:26" s="260" customFormat="1" ht="66.75" thickBot="1" x14ac:dyDescent="0.2">
      <c r="A4" s="260" t="s">
        <v>546</v>
      </c>
      <c r="B4" s="261" t="s">
        <v>547</v>
      </c>
      <c r="C4" s="261"/>
      <c r="D4" s="261"/>
      <c r="E4" s="261"/>
      <c r="F4" s="261"/>
      <c r="G4" s="244" t="s">
        <v>1014</v>
      </c>
      <c r="H4" s="262" t="s">
        <v>975</v>
      </c>
      <c r="I4" s="262" t="s">
        <v>548</v>
      </c>
      <c r="J4" s="263" t="s">
        <v>1175</v>
      </c>
      <c r="K4" s="263" t="s">
        <v>709</v>
      </c>
      <c r="L4" s="263" t="s">
        <v>1011</v>
      </c>
      <c r="M4" s="263" t="s">
        <v>1010</v>
      </c>
      <c r="N4" s="260" t="s">
        <v>513</v>
      </c>
      <c r="O4" s="262" t="s">
        <v>691</v>
      </c>
      <c r="P4" s="262" t="s">
        <v>572</v>
      </c>
      <c r="Q4" s="262" t="s">
        <v>515</v>
      </c>
      <c r="R4" s="244" t="s">
        <v>143</v>
      </c>
      <c r="S4" s="262" t="s">
        <v>1167</v>
      </c>
      <c r="T4" s="244" t="s">
        <v>735</v>
      </c>
      <c r="U4" s="180" t="s">
        <v>507</v>
      </c>
      <c r="V4" s="180" t="s">
        <v>689</v>
      </c>
      <c r="W4" s="180" t="s">
        <v>382</v>
      </c>
      <c r="X4" s="262" t="s">
        <v>734</v>
      </c>
      <c r="Y4" s="244" t="s">
        <v>683</v>
      </c>
      <c r="Z4" s="39" t="s">
        <v>545</v>
      </c>
    </row>
    <row r="5" spans="1:26" s="145" customFormat="1" x14ac:dyDescent="0.15">
      <c r="A5" s="145">
        <f t="shared" ref="A5:A8" si="0">B5*10000000+C5*1000000+D5*10000+E5*100+F5</f>
        <v>210000001</v>
      </c>
      <c r="B5" s="147">
        <v>21</v>
      </c>
      <c r="C5" s="147">
        <v>0</v>
      </c>
      <c r="D5" s="147">
        <v>0</v>
      </c>
      <c r="E5" s="147">
        <v>0</v>
      </c>
      <c r="F5" s="147">
        <v>1</v>
      </c>
      <c r="G5" s="249"/>
      <c r="H5" s="146" t="s">
        <v>1228</v>
      </c>
      <c r="I5" s="146" t="s">
        <v>1226</v>
      </c>
      <c r="J5" s="147" t="s">
        <v>1176</v>
      </c>
      <c r="K5" s="147" t="s">
        <v>1059</v>
      </c>
      <c r="L5" s="147" t="s">
        <v>1029</v>
      </c>
      <c r="M5" s="147">
        <v>210000001</v>
      </c>
      <c r="N5" s="145" t="str">
        <f>CONCATENATE(L5,M5,".png")</f>
        <v>UITexture/ItemMin/210000001.png</v>
      </c>
      <c r="O5" s="146" t="s">
        <v>692</v>
      </c>
      <c r="P5" s="146">
        <v>1</v>
      </c>
      <c r="Q5" s="146" t="s">
        <v>783</v>
      </c>
      <c r="R5" s="249"/>
      <c r="S5" s="146">
        <v>5</v>
      </c>
      <c r="T5" s="249"/>
      <c r="U5" s="172">
        <v>1</v>
      </c>
      <c r="V5" s="172">
        <v>0</v>
      </c>
      <c r="W5" s="172">
        <v>1</v>
      </c>
      <c r="X5" s="146">
        <v>220000101</v>
      </c>
      <c r="Y5" s="249"/>
      <c r="Z5" s="146">
        <v>1</v>
      </c>
    </row>
    <row r="6" spans="1:26" s="145" customFormat="1" x14ac:dyDescent="0.15">
      <c r="A6" s="145">
        <f t="shared" si="0"/>
        <v>210000002</v>
      </c>
      <c r="B6" s="147">
        <v>21</v>
      </c>
      <c r="C6" s="147">
        <v>0</v>
      </c>
      <c r="D6" s="147">
        <v>0</v>
      </c>
      <c r="E6" s="147">
        <v>0</v>
      </c>
      <c r="F6" s="147">
        <v>2</v>
      </c>
      <c r="G6" s="252"/>
      <c r="H6" s="146" t="s">
        <v>1228</v>
      </c>
      <c r="I6" s="186" t="s">
        <v>784</v>
      </c>
      <c r="J6" s="231" t="s">
        <v>1177</v>
      </c>
      <c r="K6" s="231" t="s">
        <v>1060</v>
      </c>
      <c r="L6" s="231" t="s">
        <v>1029</v>
      </c>
      <c r="M6" s="231">
        <v>210000002</v>
      </c>
      <c r="N6" s="232" t="str">
        <f t="shared" ref="N6:N8" si="1">CONCATENATE(L6,M6,".png")</f>
        <v>UITexture/ItemMin/210000002.png</v>
      </c>
      <c r="O6" s="186" t="s">
        <v>693</v>
      </c>
      <c r="P6" s="186">
        <v>1</v>
      </c>
      <c r="Q6" s="186" t="s">
        <v>785</v>
      </c>
      <c r="R6" s="252"/>
      <c r="S6" s="186">
        <v>3</v>
      </c>
      <c r="T6" s="252"/>
      <c r="U6" s="172">
        <v>2</v>
      </c>
      <c r="V6" s="172">
        <v>0</v>
      </c>
      <c r="W6" s="172">
        <v>1</v>
      </c>
      <c r="X6" s="146">
        <v>220000201</v>
      </c>
      <c r="Y6" s="252"/>
      <c r="Z6" s="186">
        <v>1</v>
      </c>
    </row>
    <row r="7" spans="1:26" s="145" customFormat="1" x14ac:dyDescent="0.15">
      <c r="A7" s="145">
        <f t="shared" si="0"/>
        <v>210000003</v>
      </c>
      <c r="B7" s="147">
        <v>21</v>
      </c>
      <c r="C7" s="147">
        <v>0</v>
      </c>
      <c r="D7" s="147">
        <v>0</v>
      </c>
      <c r="E7" s="147">
        <v>0</v>
      </c>
      <c r="F7" s="147">
        <v>3</v>
      </c>
      <c r="G7" s="252"/>
      <c r="H7" s="146" t="s">
        <v>1228</v>
      </c>
      <c r="I7" s="186" t="s">
        <v>786</v>
      </c>
      <c r="J7" s="231" t="s">
        <v>1178</v>
      </c>
      <c r="K7" s="231" t="s">
        <v>1062</v>
      </c>
      <c r="L7" s="231" t="s">
        <v>1029</v>
      </c>
      <c r="M7" s="231">
        <v>210000003</v>
      </c>
      <c r="N7" s="232" t="str">
        <f t="shared" si="1"/>
        <v>UITexture/ItemMin/210000003.png</v>
      </c>
      <c r="O7" s="186" t="s">
        <v>694</v>
      </c>
      <c r="P7" s="186">
        <v>1</v>
      </c>
      <c r="Q7" s="186" t="s">
        <v>787</v>
      </c>
      <c r="R7" s="252"/>
      <c r="S7" s="186">
        <v>2</v>
      </c>
      <c r="T7" s="252"/>
      <c r="U7" s="172">
        <v>3</v>
      </c>
      <c r="V7" s="172">
        <v>0</v>
      </c>
      <c r="W7" s="172">
        <v>1</v>
      </c>
      <c r="X7" s="146">
        <v>220000301</v>
      </c>
      <c r="Y7" s="252"/>
      <c r="Z7" s="186">
        <v>1</v>
      </c>
    </row>
    <row r="8" spans="1:26" s="145" customFormat="1" x14ac:dyDescent="0.15">
      <c r="A8" s="145">
        <f t="shared" si="0"/>
        <v>210000004</v>
      </c>
      <c r="B8" s="147">
        <v>21</v>
      </c>
      <c r="C8" s="147">
        <v>0</v>
      </c>
      <c r="D8" s="147">
        <v>0</v>
      </c>
      <c r="E8" s="147">
        <v>0</v>
      </c>
      <c r="F8" s="147">
        <v>4</v>
      </c>
      <c r="G8" s="252"/>
      <c r="H8" s="146" t="s">
        <v>1228</v>
      </c>
      <c r="I8" s="186" t="s">
        <v>788</v>
      </c>
      <c r="J8" s="231" t="s">
        <v>1179</v>
      </c>
      <c r="K8" s="231" t="s">
        <v>1061</v>
      </c>
      <c r="L8" s="231" t="s">
        <v>1029</v>
      </c>
      <c r="M8" s="231">
        <v>210000004</v>
      </c>
      <c r="N8" s="232" t="str">
        <f t="shared" si="1"/>
        <v>UITexture/ItemMin/210000004.png</v>
      </c>
      <c r="O8" s="186" t="s">
        <v>695</v>
      </c>
      <c r="P8" s="186">
        <v>1</v>
      </c>
      <c r="Q8" s="186" t="s">
        <v>789</v>
      </c>
      <c r="R8" s="252"/>
      <c r="S8" s="186">
        <v>1</v>
      </c>
      <c r="T8" s="252"/>
      <c r="U8" s="172">
        <v>6</v>
      </c>
      <c r="V8" s="172">
        <v>0</v>
      </c>
      <c r="W8" s="172">
        <v>1</v>
      </c>
      <c r="X8" s="146">
        <v>220000401</v>
      </c>
      <c r="Y8" s="252"/>
      <c r="Z8" s="186">
        <v>1</v>
      </c>
    </row>
    <row r="9" spans="1:26" x14ac:dyDescent="0.15">
      <c r="U9" s="138"/>
      <c r="V9" s="138"/>
      <c r="W9" s="138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:Z84"/>
  <sheetViews>
    <sheetView zoomScaleNormal="100" workbookViewId="0">
      <selection activeCell="J5" sqref="J5:J84"/>
    </sheetView>
  </sheetViews>
  <sheetFormatPr defaultColWidth="8.75" defaultRowHeight="16.5" x14ac:dyDescent="0.15"/>
  <cols>
    <col min="1" max="1" width="12.875" style="137" bestFit="1" customWidth="1"/>
    <col min="2" max="2" width="3.875" style="139" bestFit="1" customWidth="1"/>
    <col min="3" max="5" width="2.75" style="139" bestFit="1" customWidth="1"/>
    <col min="6" max="6" width="3.875" style="140" bestFit="1" customWidth="1"/>
    <col min="7" max="7" width="5.75" style="251" bestFit="1" customWidth="1"/>
    <col min="8" max="8" width="10" style="138" bestFit="1" customWidth="1"/>
    <col min="9" max="9" width="5.75" style="251" bestFit="1" customWidth="1"/>
    <col min="10" max="10" width="20.25" style="138" bestFit="1" customWidth="1"/>
    <col min="11" max="11" width="11.25" style="138" bestFit="1" customWidth="1"/>
    <col min="12" max="12" width="13.875" style="139" bestFit="1" customWidth="1"/>
    <col min="13" max="13" width="10.25" style="139" bestFit="1" customWidth="1"/>
    <col min="14" max="14" width="10" style="138" bestFit="1" customWidth="1"/>
    <col min="15" max="15" width="14.75" style="138" bestFit="1" customWidth="1"/>
    <col min="16" max="16" width="22.25" style="139" bestFit="1" customWidth="1"/>
    <col min="17" max="17" width="14.25" style="139" bestFit="1" customWidth="1"/>
    <col min="18" max="18" width="38.875" style="137" bestFit="1" customWidth="1"/>
    <col min="19" max="19" width="14.75" style="138" bestFit="1" customWidth="1"/>
    <col min="20" max="20" width="5.75" style="251" bestFit="1" customWidth="1"/>
    <col min="21" max="21" width="11.25" style="138" bestFit="1" customWidth="1"/>
    <col min="22" max="22" width="10" style="138" bestFit="1" customWidth="1"/>
    <col min="23" max="23" width="10.125" style="138" bestFit="1" customWidth="1"/>
    <col min="24" max="24" width="12.875" style="137" bestFit="1" customWidth="1"/>
    <col min="25" max="25" width="5.75" style="251" bestFit="1" customWidth="1"/>
    <col min="26" max="26" width="10.25" style="138" bestFit="1" customWidth="1"/>
    <col min="27" max="16384" width="8.75" style="137"/>
  </cols>
  <sheetData>
    <row r="1" spans="1:26" x14ac:dyDescent="0.15">
      <c r="A1" s="107" t="s">
        <v>59</v>
      </c>
      <c r="G1" s="243"/>
      <c r="H1" s="138" t="s">
        <v>60</v>
      </c>
      <c r="I1" s="243"/>
      <c r="J1" s="138" t="s">
        <v>60</v>
      </c>
      <c r="K1" s="138" t="s">
        <v>60</v>
      </c>
      <c r="N1" s="138" t="s">
        <v>60</v>
      </c>
      <c r="O1" s="172" t="s">
        <v>60</v>
      </c>
      <c r="R1" s="137" t="s">
        <v>60</v>
      </c>
      <c r="S1" s="138" t="s">
        <v>60</v>
      </c>
      <c r="T1" s="243"/>
      <c r="U1" s="172" t="s">
        <v>60</v>
      </c>
      <c r="V1" s="172" t="s">
        <v>60</v>
      </c>
      <c r="W1" s="172" t="s">
        <v>60</v>
      </c>
      <c r="X1" s="136" t="s">
        <v>60</v>
      </c>
      <c r="Y1" s="243"/>
      <c r="Z1" s="35" t="s">
        <v>60</v>
      </c>
    </row>
    <row r="2" spans="1:26" x14ac:dyDescent="0.15">
      <c r="A2" s="107" t="s">
        <v>61</v>
      </c>
      <c r="G2" s="243"/>
      <c r="H2" s="138" t="s">
        <v>61</v>
      </c>
      <c r="I2" s="243"/>
      <c r="J2" s="138" t="s">
        <v>62</v>
      </c>
      <c r="K2" s="138" t="s">
        <v>62</v>
      </c>
      <c r="N2" s="138" t="s">
        <v>61</v>
      </c>
      <c r="O2" s="172" t="s">
        <v>61</v>
      </c>
      <c r="R2" s="137" t="s">
        <v>62</v>
      </c>
      <c r="S2" s="138" t="s">
        <v>62</v>
      </c>
      <c r="T2" s="243"/>
      <c r="U2" s="172" t="s">
        <v>61</v>
      </c>
      <c r="V2" s="172" t="s">
        <v>61</v>
      </c>
      <c r="W2" s="172" t="s">
        <v>61</v>
      </c>
      <c r="X2" s="133" t="s">
        <v>61</v>
      </c>
      <c r="Y2" s="243"/>
      <c r="Z2" s="35" t="s">
        <v>61</v>
      </c>
    </row>
    <row r="3" spans="1:26" x14ac:dyDescent="0.15">
      <c r="A3" s="107" t="s">
        <v>360</v>
      </c>
      <c r="G3" s="243"/>
      <c r="H3" s="138" t="s">
        <v>571</v>
      </c>
      <c r="I3" s="243"/>
      <c r="J3" s="138" t="s">
        <v>976</v>
      </c>
      <c r="K3" s="138" t="s">
        <v>408</v>
      </c>
      <c r="N3" s="138" t="s">
        <v>552</v>
      </c>
      <c r="O3" s="172" t="s">
        <v>1087</v>
      </c>
      <c r="R3" s="137" t="s">
        <v>512</v>
      </c>
      <c r="S3" s="138" t="s">
        <v>514</v>
      </c>
      <c r="T3" s="243"/>
      <c r="U3" s="172" t="s">
        <v>398</v>
      </c>
      <c r="V3" s="172" t="s">
        <v>688</v>
      </c>
      <c r="W3" s="172" t="s">
        <v>396</v>
      </c>
      <c r="X3" s="133" t="s">
        <v>733</v>
      </c>
      <c r="Y3" s="243"/>
      <c r="Z3" s="35" t="s">
        <v>544</v>
      </c>
    </row>
    <row r="4" spans="1:26" s="153" customFormat="1" ht="66.75" thickBot="1" x14ac:dyDescent="0.2">
      <c r="A4" s="153" t="s">
        <v>407</v>
      </c>
      <c r="B4" s="155" t="s">
        <v>406</v>
      </c>
      <c r="C4" s="155"/>
      <c r="D4" s="155"/>
      <c r="E4" s="155"/>
      <c r="F4" s="156" t="s">
        <v>572</v>
      </c>
      <c r="G4" s="244" t="s">
        <v>1015</v>
      </c>
      <c r="H4" s="154" t="s">
        <v>572</v>
      </c>
      <c r="I4" s="244" t="s">
        <v>1014</v>
      </c>
      <c r="J4" s="154" t="s">
        <v>975</v>
      </c>
      <c r="K4" s="154" t="s">
        <v>405</v>
      </c>
      <c r="L4" s="155" t="s">
        <v>1175</v>
      </c>
      <c r="M4" s="155" t="s">
        <v>709</v>
      </c>
      <c r="N4" s="154" t="s">
        <v>553</v>
      </c>
      <c r="O4" s="173" t="s">
        <v>1088</v>
      </c>
      <c r="P4" s="216" t="s">
        <v>1011</v>
      </c>
      <c r="Q4" s="216" t="s">
        <v>1010</v>
      </c>
      <c r="R4" s="153" t="s">
        <v>513</v>
      </c>
      <c r="S4" s="154" t="s">
        <v>515</v>
      </c>
      <c r="T4" s="244" t="s">
        <v>735</v>
      </c>
      <c r="U4" s="180" t="s">
        <v>507</v>
      </c>
      <c r="V4" s="180" t="s">
        <v>689</v>
      </c>
      <c r="W4" s="180" t="s">
        <v>382</v>
      </c>
      <c r="X4" s="153" t="s">
        <v>734</v>
      </c>
      <c r="Y4" s="244" t="s">
        <v>683</v>
      </c>
      <c r="Z4" s="39" t="s">
        <v>545</v>
      </c>
    </row>
    <row r="5" spans="1:26" s="149" customFormat="1" x14ac:dyDescent="0.15">
      <c r="A5" s="149">
        <f t="shared" ref="A5" si="0">B5*10000000+C5*1000000+D5*10000+E5*100+F5</f>
        <v>220000101</v>
      </c>
      <c r="B5" s="151">
        <v>22</v>
      </c>
      <c r="C5" s="151">
        <v>0</v>
      </c>
      <c r="D5" s="151">
        <v>0</v>
      </c>
      <c r="E5" s="151">
        <v>1</v>
      </c>
      <c r="F5" s="152">
        <f t="shared" ref="F5:F36" si="1">H5</f>
        <v>1</v>
      </c>
      <c r="G5" s="248"/>
      <c r="H5" s="150">
        <v>1</v>
      </c>
      <c r="I5" s="248"/>
      <c r="J5" s="150" t="s">
        <v>1228</v>
      </c>
      <c r="K5" s="150" t="s">
        <v>870</v>
      </c>
      <c r="L5" s="151" t="s">
        <v>1190</v>
      </c>
      <c r="M5" s="151" t="s">
        <v>573</v>
      </c>
      <c r="N5" s="150">
        <v>1</v>
      </c>
      <c r="O5" s="150">
        <v>4</v>
      </c>
      <c r="P5" s="151" t="s">
        <v>1030</v>
      </c>
      <c r="Q5" s="151">
        <v>220000101</v>
      </c>
      <c r="R5" s="149" t="str">
        <f>CONCATENATE(P5,Q5,".png")</f>
        <v>UITexture/ItemRes/220000101.png</v>
      </c>
      <c r="S5" s="150" t="s">
        <v>790</v>
      </c>
      <c r="T5" s="248"/>
      <c r="U5" s="150">
        <v>0</v>
      </c>
      <c r="V5" s="150">
        <v>0</v>
      </c>
      <c r="W5" s="150">
        <v>3</v>
      </c>
      <c r="X5" s="149">
        <f t="shared" ref="X5:X23" si="2">A6</f>
        <v>220000102</v>
      </c>
      <c r="Y5" s="248"/>
      <c r="Z5" s="150">
        <v>1</v>
      </c>
    </row>
    <row r="6" spans="1:26" s="145" customFormat="1" x14ac:dyDescent="0.15">
      <c r="A6" s="145">
        <f t="shared" ref="A6:A7" si="3">B6*10000000+C6*1000000+D6*10000+E6*100+F6</f>
        <v>220000102</v>
      </c>
      <c r="B6" s="147">
        <v>22</v>
      </c>
      <c r="C6" s="147">
        <v>0</v>
      </c>
      <c r="D6" s="147">
        <v>0</v>
      </c>
      <c r="E6" s="147">
        <v>1</v>
      </c>
      <c r="F6" s="148">
        <f t="shared" si="1"/>
        <v>2</v>
      </c>
      <c r="G6" s="249"/>
      <c r="H6" s="146">
        <v>2</v>
      </c>
      <c r="I6" s="249"/>
      <c r="J6" s="146" t="s">
        <v>1228</v>
      </c>
      <c r="K6" s="146" t="s">
        <v>871</v>
      </c>
      <c r="L6" s="147" t="s">
        <v>1191</v>
      </c>
      <c r="M6" s="147" t="s">
        <v>574</v>
      </c>
      <c r="N6" s="146">
        <v>1</v>
      </c>
      <c r="O6" s="146">
        <v>4</v>
      </c>
      <c r="P6" s="147" t="s">
        <v>1030</v>
      </c>
      <c r="Q6" s="147">
        <v>220000102</v>
      </c>
      <c r="R6" s="145" t="str">
        <f t="shared" ref="R6:R69" si="4">CONCATENATE(P6,Q6,".png")</f>
        <v>UITexture/ItemRes/220000102.png</v>
      </c>
      <c r="S6" s="146" t="s">
        <v>791</v>
      </c>
      <c r="T6" s="249"/>
      <c r="U6" s="146">
        <v>0</v>
      </c>
      <c r="V6" s="146">
        <v>0</v>
      </c>
      <c r="W6" s="146">
        <v>3</v>
      </c>
      <c r="X6" s="145">
        <f t="shared" si="2"/>
        <v>220000103</v>
      </c>
      <c r="Y6" s="249"/>
      <c r="Z6" s="146">
        <v>1</v>
      </c>
    </row>
    <row r="7" spans="1:26" s="145" customFormat="1" x14ac:dyDescent="0.15">
      <c r="A7" s="145">
        <f t="shared" si="3"/>
        <v>220000103</v>
      </c>
      <c r="B7" s="147">
        <v>22</v>
      </c>
      <c r="C7" s="147">
        <v>0</v>
      </c>
      <c r="D7" s="147">
        <v>0</v>
      </c>
      <c r="E7" s="147">
        <v>1</v>
      </c>
      <c r="F7" s="148">
        <f t="shared" si="1"/>
        <v>3</v>
      </c>
      <c r="G7" s="249"/>
      <c r="H7" s="146">
        <v>3</v>
      </c>
      <c r="I7" s="249"/>
      <c r="J7" s="146" t="s">
        <v>1228</v>
      </c>
      <c r="K7" s="146" t="s">
        <v>872</v>
      </c>
      <c r="L7" s="147" t="s">
        <v>1192</v>
      </c>
      <c r="M7" s="147" t="s">
        <v>575</v>
      </c>
      <c r="N7" s="146">
        <v>1</v>
      </c>
      <c r="O7" s="146">
        <v>4</v>
      </c>
      <c r="P7" s="147" t="s">
        <v>1030</v>
      </c>
      <c r="Q7" s="147">
        <v>220000103</v>
      </c>
      <c r="R7" s="145" t="str">
        <f t="shared" si="4"/>
        <v>UITexture/ItemRes/220000103.png</v>
      </c>
      <c r="S7" s="146" t="s">
        <v>792</v>
      </c>
      <c r="T7" s="249"/>
      <c r="U7" s="146">
        <v>0</v>
      </c>
      <c r="V7" s="146">
        <v>0</v>
      </c>
      <c r="W7" s="146">
        <v>3</v>
      </c>
      <c r="X7" s="145">
        <f t="shared" si="2"/>
        <v>220000104</v>
      </c>
      <c r="Y7" s="249"/>
      <c r="Z7" s="146">
        <v>1</v>
      </c>
    </row>
    <row r="8" spans="1:26" s="145" customFormat="1" x14ac:dyDescent="0.15">
      <c r="A8" s="145">
        <f t="shared" ref="A8:A11" si="5">B8*10000000+C8*1000000+D8*10000+E8*100+F8</f>
        <v>220000104</v>
      </c>
      <c r="B8" s="147">
        <v>22</v>
      </c>
      <c r="C8" s="147">
        <v>0</v>
      </c>
      <c r="D8" s="147">
        <v>0</v>
      </c>
      <c r="E8" s="147">
        <v>1</v>
      </c>
      <c r="F8" s="148">
        <f t="shared" si="1"/>
        <v>4</v>
      </c>
      <c r="G8" s="249"/>
      <c r="H8" s="146">
        <v>4</v>
      </c>
      <c r="I8" s="249"/>
      <c r="J8" s="146" t="s">
        <v>1228</v>
      </c>
      <c r="K8" s="146" t="s">
        <v>873</v>
      </c>
      <c r="L8" s="147" t="s">
        <v>1193</v>
      </c>
      <c r="M8" s="147" t="s">
        <v>576</v>
      </c>
      <c r="N8" s="146">
        <v>1</v>
      </c>
      <c r="O8" s="146">
        <v>4</v>
      </c>
      <c r="P8" s="147" t="s">
        <v>1030</v>
      </c>
      <c r="Q8" s="147">
        <v>220000104</v>
      </c>
      <c r="R8" s="145" t="str">
        <f t="shared" si="4"/>
        <v>UITexture/ItemRes/220000104.png</v>
      </c>
      <c r="S8" s="146" t="s">
        <v>793</v>
      </c>
      <c r="T8" s="249"/>
      <c r="U8" s="146">
        <v>0</v>
      </c>
      <c r="V8" s="146">
        <v>0</v>
      </c>
      <c r="W8" s="146">
        <v>3</v>
      </c>
      <c r="X8" s="145">
        <f t="shared" si="2"/>
        <v>220000105</v>
      </c>
      <c r="Y8" s="249"/>
      <c r="Z8" s="146">
        <v>1</v>
      </c>
    </row>
    <row r="9" spans="1:26" s="145" customFormat="1" x14ac:dyDescent="0.15">
      <c r="A9" s="145">
        <f t="shared" si="5"/>
        <v>220000105</v>
      </c>
      <c r="B9" s="147">
        <v>22</v>
      </c>
      <c r="C9" s="147">
        <v>0</v>
      </c>
      <c r="D9" s="147">
        <v>0</v>
      </c>
      <c r="E9" s="147">
        <v>1</v>
      </c>
      <c r="F9" s="148">
        <f t="shared" si="1"/>
        <v>5</v>
      </c>
      <c r="G9" s="249"/>
      <c r="H9" s="146">
        <v>5</v>
      </c>
      <c r="I9" s="249"/>
      <c r="J9" s="146" t="s">
        <v>1228</v>
      </c>
      <c r="K9" s="146" t="s">
        <v>874</v>
      </c>
      <c r="L9" s="147" t="s">
        <v>1194</v>
      </c>
      <c r="M9" s="147" t="s">
        <v>577</v>
      </c>
      <c r="N9" s="146">
        <v>0</v>
      </c>
      <c r="O9" s="146">
        <v>4</v>
      </c>
      <c r="P9" s="147" t="s">
        <v>1030</v>
      </c>
      <c r="Q9" s="147">
        <v>220000105</v>
      </c>
      <c r="R9" s="145" t="str">
        <f t="shared" si="4"/>
        <v>UITexture/ItemRes/220000105.png</v>
      </c>
      <c r="S9" s="146" t="s">
        <v>794</v>
      </c>
      <c r="T9" s="249"/>
      <c r="U9" s="146">
        <v>0</v>
      </c>
      <c r="V9" s="146">
        <v>0</v>
      </c>
      <c r="W9" s="146">
        <v>3</v>
      </c>
      <c r="X9" s="145">
        <f t="shared" si="2"/>
        <v>220000106</v>
      </c>
      <c r="Y9" s="249"/>
      <c r="Z9" s="146">
        <v>1</v>
      </c>
    </row>
    <row r="10" spans="1:26" s="145" customFormat="1" x14ac:dyDescent="0.15">
      <c r="A10" s="145">
        <f t="shared" si="5"/>
        <v>220000106</v>
      </c>
      <c r="B10" s="147">
        <v>22</v>
      </c>
      <c r="C10" s="147">
        <v>0</v>
      </c>
      <c r="D10" s="147">
        <v>0</v>
      </c>
      <c r="E10" s="147">
        <v>1</v>
      </c>
      <c r="F10" s="148">
        <f t="shared" si="1"/>
        <v>6</v>
      </c>
      <c r="G10" s="249"/>
      <c r="H10" s="146">
        <v>6</v>
      </c>
      <c r="I10" s="249"/>
      <c r="J10" s="146" t="s">
        <v>1228</v>
      </c>
      <c r="K10" s="146" t="s">
        <v>875</v>
      </c>
      <c r="L10" s="147" t="s">
        <v>1195</v>
      </c>
      <c r="M10" s="147" t="s">
        <v>578</v>
      </c>
      <c r="N10" s="146">
        <v>0</v>
      </c>
      <c r="O10" s="146">
        <v>4</v>
      </c>
      <c r="P10" s="147" t="s">
        <v>1030</v>
      </c>
      <c r="Q10" s="147">
        <v>220000106</v>
      </c>
      <c r="R10" s="145" t="str">
        <f t="shared" si="4"/>
        <v>UITexture/ItemRes/220000106.png</v>
      </c>
      <c r="S10" s="146" t="s">
        <v>795</v>
      </c>
      <c r="T10" s="249"/>
      <c r="U10" s="146">
        <v>0</v>
      </c>
      <c r="V10" s="146">
        <v>0</v>
      </c>
      <c r="W10" s="146">
        <v>3</v>
      </c>
      <c r="X10" s="145">
        <f t="shared" si="2"/>
        <v>220000107</v>
      </c>
      <c r="Y10" s="249"/>
      <c r="Z10" s="146">
        <v>1</v>
      </c>
    </row>
    <row r="11" spans="1:26" s="145" customFormat="1" x14ac:dyDescent="0.15">
      <c r="A11" s="145">
        <f t="shared" si="5"/>
        <v>220000107</v>
      </c>
      <c r="B11" s="147">
        <v>22</v>
      </c>
      <c r="C11" s="147">
        <v>0</v>
      </c>
      <c r="D11" s="147">
        <v>0</v>
      </c>
      <c r="E11" s="147">
        <v>1</v>
      </c>
      <c r="F11" s="148">
        <f t="shared" si="1"/>
        <v>7</v>
      </c>
      <c r="G11" s="249"/>
      <c r="H11" s="146">
        <v>7</v>
      </c>
      <c r="I11" s="249"/>
      <c r="J11" s="146" t="s">
        <v>1228</v>
      </c>
      <c r="K11" s="146" t="s">
        <v>876</v>
      </c>
      <c r="L11" s="147" t="s">
        <v>1196</v>
      </c>
      <c r="M11" s="147" t="s">
        <v>579</v>
      </c>
      <c r="N11" s="146">
        <v>0</v>
      </c>
      <c r="O11" s="146">
        <v>4</v>
      </c>
      <c r="P11" s="147" t="s">
        <v>1030</v>
      </c>
      <c r="Q11" s="147">
        <v>220000107</v>
      </c>
      <c r="R11" s="145" t="str">
        <f t="shared" si="4"/>
        <v>UITexture/ItemRes/220000107.png</v>
      </c>
      <c r="S11" s="146" t="s">
        <v>796</v>
      </c>
      <c r="T11" s="249"/>
      <c r="U11" s="146">
        <v>0</v>
      </c>
      <c r="V11" s="146">
        <v>0</v>
      </c>
      <c r="W11" s="146">
        <v>3</v>
      </c>
      <c r="X11" s="145">
        <f t="shared" si="2"/>
        <v>220000108</v>
      </c>
      <c r="Y11" s="249"/>
      <c r="Z11" s="146">
        <v>1</v>
      </c>
    </row>
    <row r="12" spans="1:26" s="145" customFormat="1" x14ac:dyDescent="0.15">
      <c r="A12" s="145">
        <f t="shared" ref="A12:A19" si="6">B12*10000000+C12*1000000+D12*10000+E12*100+F12</f>
        <v>220000108</v>
      </c>
      <c r="B12" s="147">
        <v>22</v>
      </c>
      <c r="C12" s="147">
        <v>0</v>
      </c>
      <c r="D12" s="147">
        <v>0</v>
      </c>
      <c r="E12" s="147">
        <v>1</v>
      </c>
      <c r="F12" s="148">
        <f t="shared" si="1"/>
        <v>8</v>
      </c>
      <c r="G12" s="249"/>
      <c r="H12" s="146">
        <v>8</v>
      </c>
      <c r="I12" s="249"/>
      <c r="J12" s="146" t="s">
        <v>1228</v>
      </c>
      <c r="K12" s="146" t="s">
        <v>877</v>
      </c>
      <c r="L12" s="147" t="s">
        <v>1197</v>
      </c>
      <c r="M12" s="147" t="s">
        <v>580</v>
      </c>
      <c r="N12" s="146">
        <v>0</v>
      </c>
      <c r="O12" s="146">
        <v>4</v>
      </c>
      <c r="P12" s="147" t="s">
        <v>1030</v>
      </c>
      <c r="Q12" s="147">
        <v>220000108</v>
      </c>
      <c r="R12" s="145" t="str">
        <f t="shared" si="4"/>
        <v>UITexture/ItemRes/220000108.png</v>
      </c>
      <c r="S12" s="146" t="s">
        <v>797</v>
      </c>
      <c r="T12" s="249"/>
      <c r="U12" s="146">
        <v>0</v>
      </c>
      <c r="V12" s="146">
        <v>0</v>
      </c>
      <c r="W12" s="146">
        <v>3</v>
      </c>
      <c r="X12" s="145">
        <f t="shared" si="2"/>
        <v>220000109</v>
      </c>
      <c r="Y12" s="249"/>
      <c r="Z12" s="146">
        <v>1</v>
      </c>
    </row>
    <row r="13" spans="1:26" s="145" customFormat="1" x14ac:dyDescent="0.15">
      <c r="A13" s="145">
        <f t="shared" si="6"/>
        <v>220000109</v>
      </c>
      <c r="B13" s="147">
        <v>22</v>
      </c>
      <c r="C13" s="147">
        <v>0</v>
      </c>
      <c r="D13" s="147">
        <v>0</v>
      </c>
      <c r="E13" s="147">
        <v>1</v>
      </c>
      <c r="F13" s="148">
        <f t="shared" si="1"/>
        <v>9</v>
      </c>
      <c r="G13" s="249"/>
      <c r="H13" s="146">
        <v>9</v>
      </c>
      <c r="I13" s="249"/>
      <c r="J13" s="146" t="s">
        <v>1228</v>
      </c>
      <c r="K13" s="146" t="s">
        <v>878</v>
      </c>
      <c r="L13" s="147" t="s">
        <v>1198</v>
      </c>
      <c r="M13" s="147" t="s">
        <v>581</v>
      </c>
      <c r="N13" s="146">
        <v>0</v>
      </c>
      <c r="O13" s="146">
        <v>4</v>
      </c>
      <c r="P13" s="147" t="s">
        <v>1030</v>
      </c>
      <c r="Q13" s="147">
        <v>220000109</v>
      </c>
      <c r="R13" s="145" t="str">
        <f t="shared" si="4"/>
        <v>UITexture/ItemRes/220000109.png</v>
      </c>
      <c r="S13" s="146" t="s">
        <v>798</v>
      </c>
      <c r="T13" s="249"/>
      <c r="U13" s="146">
        <v>0</v>
      </c>
      <c r="V13" s="146">
        <v>0</v>
      </c>
      <c r="W13" s="146">
        <v>3</v>
      </c>
      <c r="X13" s="145">
        <f t="shared" si="2"/>
        <v>220000110</v>
      </c>
      <c r="Y13" s="249"/>
      <c r="Z13" s="146">
        <v>1</v>
      </c>
    </row>
    <row r="14" spans="1:26" s="145" customFormat="1" x14ac:dyDescent="0.15">
      <c r="A14" s="145">
        <f t="shared" si="6"/>
        <v>220000110</v>
      </c>
      <c r="B14" s="147">
        <v>22</v>
      </c>
      <c r="C14" s="147">
        <v>0</v>
      </c>
      <c r="D14" s="147">
        <v>0</v>
      </c>
      <c r="E14" s="147">
        <v>1</v>
      </c>
      <c r="F14" s="148">
        <f t="shared" si="1"/>
        <v>10</v>
      </c>
      <c r="G14" s="249"/>
      <c r="H14" s="146">
        <v>10</v>
      </c>
      <c r="I14" s="249"/>
      <c r="J14" s="146" t="s">
        <v>1228</v>
      </c>
      <c r="K14" s="146" t="s">
        <v>879</v>
      </c>
      <c r="L14" s="147" t="s">
        <v>1199</v>
      </c>
      <c r="M14" s="147" t="s">
        <v>582</v>
      </c>
      <c r="N14" s="146">
        <v>0</v>
      </c>
      <c r="O14" s="146">
        <v>4</v>
      </c>
      <c r="P14" s="147" t="s">
        <v>1030</v>
      </c>
      <c r="Q14" s="147">
        <v>220000110</v>
      </c>
      <c r="R14" s="145" t="str">
        <f t="shared" si="4"/>
        <v>UITexture/ItemRes/220000110.png</v>
      </c>
      <c r="S14" s="146" t="s">
        <v>799</v>
      </c>
      <c r="T14" s="249"/>
      <c r="U14" s="146">
        <v>0</v>
      </c>
      <c r="V14" s="146">
        <v>0</v>
      </c>
      <c r="W14" s="146">
        <v>3</v>
      </c>
      <c r="X14" s="145">
        <f t="shared" si="2"/>
        <v>220000111</v>
      </c>
      <c r="Y14" s="249"/>
      <c r="Z14" s="146">
        <v>1</v>
      </c>
    </row>
    <row r="15" spans="1:26" s="145" customFormat="1" x14ac:dyDescent="0.15">
      <c r="A15" s="145">
        <f t="shared" si="6"/>
        <v>220000111</v>
      </c>
      <c r="B15" s="147">
        <v>22</v>
      </c>
      <c r="C15" s="147">
        <v>0</v>
      </c>
      <c r="D15" s="147">
        <v>0</v>
      </c>
      <c r="E15" s="147">
        <v>1</v>
      </c>
      <c r="F15" s="148">
        <f t="shared" si="1"/>
        <v>11</v>
      </c>
      <c r="G15" s="249"/>
      <c r="H15" s="146">
        <v>11</v>
      </c>
      <c r="I15" s="249"/>
      <c r="J15" s="146" t="s">
        <v>1228</v>
      </c>
      <c r="K15" s="146" t="s">
        <v>880</v>
      </c>
      <c r="L15" s="147" t="s">
        <v>583</v>
      </c>
      <c r="M15" s="147" t="s">
        <v>583</v>
      </c>
      <c r="N15" s="146">
        <v>0</v>
      </c>
      <c r="O15" s="146">
        <v>4</v>
      </c>
      <c r="P15" s="147" t="s">
        <v>1030</v>
      </c>
      <c r="Q15" s="147">
        <v>220000111</v>
      </c>
      <c r="R15" s="145" t="str">
        <f t="shared" si="4"/>
        <v>UITexture/ItemRes/220000111.png</v>
      </c>
      <c r="S15" s="146" t="s">
        <v>800</v>
      </c>
      <c r="T15" s="249"/>
      <c r="U15" s="146">
        <v>0</v>
      </c>
      <c r="V15" s="146">
        <v>0</v>
      </c>
      <c r="W15" s="146">
        <v>3</v>
      </c>
      <c r="X15" s="145">
        <f t="shared" si="2"/>
        <v>220000112</v>
      </c>
      <c r="Y15" s="249"/>
      <c r="Z15" s="146">
        <v>1</v>
      </c>
    </row>
    <row r="16" spans="1:26" s="145" customFormat="1" x14ac:dyDescent="0.15">
      <c r="A16" s="145">
        <f t="shared" si="6"/>
        <v>220000112</v>
      </c>
      <c r="B16" s="147">
        <v>22</v>
      </c>
      <c r="C16" s="147">
        <v>0</v>
      </c>
      <c r="D16" s="147">
        <v>0</v>
      </c>
      <c r="E16" s="147">
        <v>1</v>
      </c>
      <c r="F16" s="148">
        <f t="shared" si="1"/>
        <v>12</v>
      </c>
      <c r="G16" s="249"/>
      <c r="H16" s="146">
        <v>12</v>
      </c>
      <c r="I16" s="249"/>
      <c r="J16" s="146" t="s">
        <v>1228</v>
      </c>
      <c r="K16" s="146" t="s">
        <v>881</v>
      </c>
      <c r="L16" s="147" t="s">
        <v>584</v>
      </c>
      <c r="M16" s="147" t="s">
        <v>584</v>
      </c>
      <c r="N16" s="146">
        <v>0</v>
      </c>
      <c r="O16" s="146">
        <v>4</v>
      </c>
      <c r="P16" s="147" t="s">
        <v>1030</v>
      </c>
      <c r="Q16" s="147">
        <v>220000112</v>
      </c>
      <c r="R16" s="145" t="str">
        <f t="shared" si="4"/>
        <v>UITexture/ItemRes/220000112.png</v>
      </c>
      <c r="S16" s="146" t="s">
        <v>801</v>
      </c>
      <c r="T16" s="249"/>
      <c r="U16" s="146">
        <v>0</v>
      </c>
      <c r="V16" s="146">
        <v>0</v>
      </c>
      <c r="W16" s="146">
        <v>3</v>
      </c>
      <c r="X16" s="145">
        <f t="shared" si="2"/>
        <v>220000113</v>
      </c>
      <c r="Y16" s="249"/>
      <c r="Z16" s="146">
        <v>1</v>
      </c>
    </row>
    <row r="17" spans="1:26" s="145" customFormat="1" x14ac:dyDescent="0.15">
      <c r="A17" s="145">
        <f t="shared" si="6"/>
        <v>220000113</v>
      </c>
      <c r="B17" s="147">
        <v>22</v>
      </c>
      <c r="C17" s="147">
        <v>0</v>
      </c>
      <c r="D17" s="147">
        <v>0</v>
      </c>
      <c r="E17" s="147">
        <v>1</v>
      </c>
      <c r="F17" s="148">
        <f t="shared" si="1"/>
        <v>13</v>
      </c>
      <c r="G17" s="249"/>
      <c r="H17" s="146">
        <v>13</v>
      </c>
      <c r="I17" s="249"/>
      <c r="J17" s="146" t="s">
        <v>1228</v>
      </c>
      <c r="K17" s="146" t="s">
        <v>882</v>
      </c>
      <c r="L17" s="147" t="s">
        <v>585</v>
      </c>
      <c r="M17" s="147" t="s">
        <v>585</v>
      </c>
      <c r="N17" s="146">
        <v>0</v>
      </c>
      <c r="O17" s="146">
        <v>4</v>
      </c>
      <c r="P17" s="147" t="s">
        <v>1030</v>
      </c>
      <c r="Q17" s="147">
        <v>220000113</v>
      </c>
      <c r="R17" s="145" t="str">
        <f t="shared" si="4"/>
        <v>UITexture/ItemRes/220000113.png</v>
      </c>
      <c r="S17" s="146" t="s">
        <v>802</v>
      </c>
      <c r="T17" s="249"/>
      <c r="U17" s="146">
        <v>0</v>
      </c>
      <c r="V17" s="146">
        <v>0</v>
      </c>
      <c r="W17" s="146">
        <v>3</v>
      </c>
      <c r="X17" s="145">
        <f t="shared" si="2"/>
        <v>220000114</v>
      </c>
      <c r="Y17" s="249"/>
      <c r="Z17" s="146">
        <v>1</v>
      </c>
    </row>
    <row r="18" spans="1:26" s="145" customFormat="1" x14ac:dyDescent="0.15">
      <c r="A18" s="145">
        <f t="shared" si="6"/>
        <v>220000114</v>
      </c>
      <c r="B18" s="147">
        <v>22</v>
      </c>
      <c r="C18" s="147">
        <v>0</v>
      </c>
      <c r="D18" s="147">
        <v>0</v>
      </c>
      <c r="E18" s="147">
        <v>1</v>
      </c>
      <c r="F18" s="148">
        <f t="shared" si="1"/>
        <v>14</v>
      </c>
      <c r="G18" s="249"/>
      <c r="H18" s="146">
        <v>14</v>
      </c>
      <c r="I18" s="249"/>
      <c r="J18" s="146" t="s">
        <v>1228</v>
      </c>
      <c r="K18" s="146" t="s">
        <v>883</v>
      </c>
      <c r="L18" s="147" t="s">
        <v>586</v>
      </c>
      <c r="M18" s="147" t="s">
        <v>586</v>
      </c>
      <c r="N18" s="146">
        <v>0</v>
      </c>
      <c r="O18" s="146">
        <v>4</v>
      </c>
      <c r="P18" s="147" t="s">
        <v>1030</v>
      </c>
      <c r="Q18" s="147">
        <v>220000114</v>
      </c>
      <c r="R18" s="145" t="str">
        <f t="shared" si="4"/>
        <v>UITexture/ItemRes/220000114.png</v>
      </c>
      <c r="S18" s="146" t="s">
        <v>803</v>
      </c>
      <c r="T18" s="249"/>
      <c r="U18" s="146">
        <v>0</v>
      </c>
      <c r="V18" s="146">
        <v>0</v>
      </c>
      <c r="W18" s="146">
        <v>3</v>
      </c>
      <c r="X18" s="145">
        <f t="shared" si="2"/>
        <v>220000115</v>
      </c>
      <c r="Y18" s="249"/>
      <c r="Z18" s="146">
        <v>1</v>
      </c>
    </row>
    <row r="19" spans="1:26" s="145" customFormat="1" x14ac:dyDescent="0.15">
      <c r="A19" s="145">
        <f t="shared" si="6"/>
        <v>220000115</v>
      </c>
      <c r="B19" s="147">
        <v>22</v>
      </c>
      <c r="C19" s="147">
        <v>0</v>
      </c>
      <c r="D19" s="147">
        <v>0</v>
      </c>
      <c r="E19" s="147">
        <v>1</v>
      </c>
      <c r="F19" s="148">
        <f t="shared" si="1"/>
        <v>15</v>
      </c>
      <c r="G19" s="249"/>
      <c r="H19" s="146">
        <v>15</v>
      </c>
      <c r="I19" s="249"/>
      <c r="J19" s="146" t="s">
        <v>1228</v>
      </c>
      <c r="K19" s="146" t="s">
        <v>884</v>
      </c>
      <c r="L19" s="147" t="s">
        <v>587</v>
      </c>
      <c r="M19" s="147" t="s">
        <v>587</v>
      </c>
      <c r="N19" s="146">
        <v>0</v>
      </c>
      <c r="O19" s="146">
        <v>4</v>
      </c>
      <c r="P19" s="147" t="s">
        <v>1030</v>
      </c>
      <c r="Q19" s="147">
        <v>220000115</v>
      </c>
      <c r="R19" s="145" t="str">
        <f t="shared" si="4"/>
        <v>UITexture/ItemRes/220000115.png</v>
      </c>
      <c r="S19" s="146" t="s">
        <v>804</v>
      </c>
      <c r="T19" s="249"/>
      <c r="U19" s="146">
        <v>0</v>
      </c>
      <c r="V19" s="146">
        <v>0</v>
      </c>
      <c r="W19" s="146">
        <v>3</v>
      </c>
      <c r="X19" s="145">
        <f t="shared" si="2"/>
        <v>220000116</v>
      </c>
      <c r="Y19" s="249"/>
      <c r="Z19" s="146">
        <v>1</v>
      </c>
    </row>
    <row r="20" spans="1:26" s="145" customFormat="1" x14ac:dyDescent="0.15">
      <c r="A20" s="145">
        <f t="shared" ref="A20:A21" si="7">B20*10000000+C20*1000000+D20*10000+E20*100+F20</f>
        <v>220000116</v>
      </c>
      <c r="B20" s="147">
        <v>22</v>
      </c>
      <c r="C20" s="147">
        <v>0</v>
      </c>
      <c r="D20" s="147">
        <v>0</v>
      </c>
      <c r="E20" s="147">
        <v>1</v>
      </c>
      <c r="F20" s="148">
        <f t="shared" si="1"/>
        <v>16</v>
      </c>
      <c r="G20" s="249"/>
      <c r="H20" s="146">
        <v>16</v>
      </c>
      <c r="I20" s="249"/>
      <c r="J20" s="146" t="s">
        <v>1228</v>
      </c>
      <c r="K20" s="146" t="s">
        <v>885</v>
      </c>
      <c r="L20" s="147" t="s">
        <v>588</v>
      </c>
      <c r="M20" s="147" t="s">
        <v>588</v>
      </c>
      <c r="N20" s="146">
        <v>0</v>
      </c>
      <c r="O20" s="146">
        <v>4</v>
      </c>
      <c r="P20" s="147" t="s">
        <v>1030</v>
      </c>
      <c r="Q20" s="147">
        <v>220000116</v>
      </c>
      <c r="R20" s="145" t="str">
        <f t="shared" si="4"/>
        <v>UITexture/ItemRes/220000116.png</v>
      </c>
      <c r="S20" s="146" t="s">
        <v>805</v>
      </c>
      <c r="T20" s="249"/>
      <c r="U20" s="146">
        <v>0</v>
      </c>
      <c r="V20" s="146">
        <v>0</v>
      </c>
      <c r="W20" s="146">
        <v>3</v>
      </c>
      <c r="X20" s="145">
        <f t="shared" si="2"/>
        <v>220000117</v>
      </c>
      <c r="Y20" s="249"/>
      <c r="Z20" s="146">
        <v>1</v>
      </c>
    </row>
    <row r="21" spans="1:26" s="145" customFormat="1" x14ac:dyDescent="0.15">
      <c r="A21" s="145">
        <f t="shared" si="7"/>
        <v>220000117</v>
      </c>
      <c r="B21" s="147">
        <v>22</v>
      </c>
      <c r="C21" s="147">
        <v>0</v>
      </c>
      <c r="D21" s="147">
        <v>0</v>
      </c>
      <c r="E21" s="147">
        <v>1</v>
      </c>
      <c r="F21" s="148">
        <f t="shared" si="1"/>
        <v>17</v>
      </c>
      <c r="G21" s="249"/>
      <c r="H21" s="146">
        <v>17</v>
      </c>
      <c r="I21" s="249"/>
      <c r="J21" s="146" t="s">
        <v>1228</v>
      </c>
      <c r="K21" s="146" t="s">
        <v>886</v>
      </c>
      <c r="L21" s="147" t="s">
        <v>589</v>
      </c>
      <c r="M21" s="147" t="s">
        <v>589</v>
      </c>
      <c r="N21" s="146">
        <v>0</v>
      </c>
      <c r="O21" s="146">
        <v>4</v>
      </c>
      <c r="P21" s="147" t="s">
        <v>1030</v>
      </c>
      <c r="Q21" s="147">
        <v>220000117</v>
      </c>
      <c r="R21" s="145" t="str">
        <f t="shared" si="4"/>
        <v>UITexture/ItemRes/220000117.png</v>
      </c>
      <c r="S21" s="146" t="s">
        <v>806</v>
      </c>
      <c r="T21" s="249"/>
      <c r="U21" s="146">
        <v>0</v>
      </c>
      <c r="V21" s="146">
        <v>0</v>
      </c>
      <c r="W21" s="146">
        <v>3</v>
      </c>
      <c r="X21" s="145">
        <f t="shared" si="2"/>
        <v>220000118</v>
      </c>
      <c r="Y21" s="249"/>
      <c r="Z21" s="146">
        <v>1</v>
      </c>
    </row>
    <row r="22" spans="1:26" s="145" customFormat="1" x14ac:dyDescent="0.15">
      <c r="A22" s="145">
        <f t="shared" ref="A22:A23" si="8">B22*10000000+C22*1000000+D22*10000+E22*100+F22</f>
        <v>220000118</v>
      </c>
      <c r="B22" s="147">
        <v>22</v>
      </c>
      <c r="C22" s="147">
        <v>0</v>
      </c>
      <c r="D22" s="147">
        <v>0</v>
      </c>
      <c r="E22" s="147">
        <v>1</v>
      </c>
      <c r="F22" s="148">
        <f t="shared" si="1"/>
        <v>18</v>
      </c>
      <c r="G22" s="249"/>
      <c r="H22" s="146">
        <v>18</v>
      </c>
      <c r="I22" s="249"/>
      <c r="J22" s="146" t="s">
        <v>1228</v>
      </c>
      <c r="K22" s="146" t="s">
        <v>887</v>
      </c>
      <c r="L22" s="147" t="s">
        <v>590</v>
      </c>
      <c r="M22" s="147" t="s">
        <v>590</v>
      </c>
      <c r="N22" s="146">
        <v>0</v>
      </c>
      <c r="O22" s="146">
        <v>4</v>
      </c>
      <c r="P22" s="147" t="s">
        <v>1030</v>
      </c>
      <c r="Q22" s="147">
        <v>220000118</v>
      </c>
      <c r="R22" s="145" t="str">
        <f t="shared" si="4"/>
        <v>UITexture/ItemRes/220000118.png</v>
      </c>
      <c r="S22" s="146" t="s">
        <v>807</v>
      </c>
      <c r="T22" s="249"/>
      <c r="U22" s="146">
        <v>0</v>
      </c>
      <c r="V22" s="146">
        <v>0</v>
      </c>
      <c r="W22" s="146">
        <v>3</v>
      </c>
      <c r="X22" s="145">
        <f t="shared" si="2"/>
        <v>220000119</v>
      </c>
      <c r="Y22" s="249"/>
      <c r="Z22" s="146">
        <v>1</v>
      </c>
    </row>
    <row r="23" spans="1:26" s="145" customFormat="1" x14ac:dyDescent="0.15">
      <c r="A23" s="145">
        <f t="shared" si="8"/>
        <v>220000119</v>
      </c>
      <c r="B23" s="147">
        <v>22</v>
      </c>
      <c r="C23" s="147">
        <v>0</v>
      </c>
      <c r="D23" s="147">
        <v>0</v>
      </c>
      <c r="E23" s="147">
        <v>1</v>
      </c>
      <c r="F23" s="148">
        <f t="shared" si="1"/>
        <v>19</v>
      </c>
      <c r="G23" s="249"/>
      <c r="H23" s="146">
        <v>19</v>
      </c>
      <c r="I23" s="249"/>
      <c r="J23" s="146" t="s">
        <v>1228</v>
      </c>
      <c r="K23" s="146" t="s">
        <v>888</v>
      </c>
      <c r="L23" s="147" t="s">
        <v>710</v>
      </c>
      <c r="M23" s="147" t="s">
        <v>710</v>
      </c>
      <c r="N23" s="146">
        <v>0</v>
      </c>
      <c r="O23" s="146">
        <v>4</v>
      </c>
      <c r="P23" s="147" t="s">
        <v>1030</v>
      </c>
      <c r="Q23" s="147">
        <v>220000119</v>
      </c>
      <c r="R23" s="145" t="str">
        <f t="shared" si="4"/>
        <v>UITexture/ItemRes/220000119.png</v>
      </c>
      <c r="S23" s="146" t="s">
        <v>808</v>
      </c>
      <c r="T23" s="249"/>
      <c r="U23" s="146">
        <v>0</v>
      </c>
      <c r="V23" s="146">
        <v>0</v>
      </c>
      <c r="W23" s="146">
        <v>3</v>
      </c>
      <c r="X23" s="145">
        <f t="shared" si="2"/>
        <v>220000120</v>
      </c>
      <c r="Y23" s="249"/>
      <c r="Z23" s="146">
        <v>1</v>
      </c>
    </row>
    <row r="24" spans="1:26" s="145" customFormat="1" ht="17.25" thickBot="1" x14ac:dyDescent="0.2">
      <c r="A24" s="145">
        <f t="shared" ref="A24:A41" si="9">B24*10000000+C24*1000000+D24*10000+E24*100+F24</f>
        <v>220000120</v>
      </c>
      <c r="B24" s="147">
        <v>22</v>
      </c>
      <c r="C24" s="147">
        <v>0</v>
      </c>
      <c r="D24" s="147">
        <v>0</v>
      </c>
      <c r="E24" s="147">
        <v>1</v>
      </c>
      <c r="F24" s="148">
        <f t="shared" si="1"/>
        <v>20</v>
      </c>
      <c r="G24" s="249"/>
      <c r="H24" s="146">
        <v>20</v>
      </c>
      <c r="I24" s="249"/>
      <c r="J24" s="146" t="s">
        <v>1228</v>
      </c>
      <c r="K24" s="146" t="s">
        <v>889</v>
      </c>
      <c r="L24" s="147" t="s">
        <v>711</v>
      </c>
      <c r="M24" s="147" t="s">
        <v>711</v>
      </c>
      <c r="N24" s="146">
        <v>0</v>
      </c>
      <c r="O24" s="146">
        <v>4</v>
      </c>
      <c r="P24" s="147" t="s">
        <v>1030</v>
      </c>
      <c r="Q24" s="147">
        <v>220000120</v>
      </c>
      <c r="R24" s="145" t="str">
        <f t="shared" si="4"/>
        <v>UITexture/ItemRes/220000120.png</v>
      </c>
      <c r="S24" s="146" t="s">
        <v>809</v>
      </c>
      <c r="T24" s="249"/>
      <c r="U24" s="146">
        <v>0</v>
      </c>
      <c r="V24" s="146">
        <v>0</v>
      </c>
      <c r="W24" s="146">
        <v>3</v>
      </c>
      <c r="X24" s="145">
        <v>-1</v>
      </c>
      <c r="Y24" s="249"/>
      <c r="Z24" s="146">
        <v>1</v>
      </c>
    </row>
    <row r="25" spans="1:26" s="149" customFormat="1" x14ac:dyDescent="0.15">
      <c r="A25" s="149">
        <f t="shared" si="9"/>
        <v>220000201</v>
      </c>
      <c r="B25" s="151">
        <v>22</v>
      </c>
      <c r="C25" s="151">
        <v>0</v>
      </c>
      <c r="D25" s="151">
        <v>0</v>
      </c>
      <c r="E25" s="151">
        <v>2</v>
      </c>
      <c r="F25" s="152">
        <f t="shared" si="1"/>
        <v>1</v>
      </c>
      <c r="G25" s="248"/>
      <c r="H25" s="150">
        <v>1</v>
      </c>
      <c r="I25" s="248"/>
      <c r="J25" s="150" t="s">
        <v>1228</v>
      </c>
      <c r="K25" s="150" t="s">
        <v>890</v>
      </c>
      <c r="L25" s="151" t="s">
        <v>1180</v>
      </c>
      <c r="M25" s="151" t="s">
        <v>591</v>
      </c>
      <c r="N25" s="150">
        <v>1</v>
      </c>
      <c r="O25" s="150">
        <v>4</v>
      </c>
      <c r="P25" s="151" t="s">
        <v>1030</v>
      </c>
      <c r="Q25" s="151">
        <v>220000201</v>
      </c>
      <c r="R25" s="149" t="str">
        <f t="shared" si="4"/>
        <v>UITexture/ItemRes/220000201.png</v>
      </c>
      <c r="S25" s="150" t="s">
        <v>810</v>
      </c>
      <c r="T25" s="248"/>
      <c r="U25" s="150">
        <v>0</v>
      </c>
      <c r="V25" s="150">
        <v>0</v>
      </c>
      <c r="W25" s="150">
        <v>3</v>
      </c>
      <c r="X25" s="149">
        <f t="shared" ref="X25:X43" si="10">A26</f>
        <v>220000202</v>
      </c>
      <c r="Y25" s="248"/>
      <c r="Z25" s="150">
        <v>1</v>
      </c>
    </row>
    <row r="26" spans="1:26" s="145" customFormat="1" x14ac:dyDescent="0.15">
      <c r="A26" s="145">
        <f t="shared" si="9"/>
        <v>220000202</v>
      </c>
      <c r="B26" s="147">
        <v>22</v>
      </c>
      <c r="C26" s="147">
        <v>0</v>
      </c>
      <c r="D26" s="147">
        <v>0</v>
      </c>
      <c r="E26" s="147">
        <v>2</v>
      </c>
      <c r="F26" s="148">
        <f t="shared" si="1"/>
        <v>2</v>
      </c>
      <c r="G26" s="249"/>
      <c r="H26" s="146">
        <v>2</v>
      </c>
      <c r="I26" s="249"/>
      <c r="J26" s="146" t="s">
        <v>1228</v>
      </c>
      <c r="K26" s="146" t="s">
        <v>891</v>
      </c>
      <c r="L26" s="147" t="s">
        <v>1181</v>
      </c>
      <c r="M26" s="147" t="s">
        <v>592</v>
      </c>
      <c r="N26" s="146">
        <v>1</v>
      </c>
      <c r="O26" s="146">
        <v>4</v>
      </c>
      <c r="P26" s="147" t="s">
        <v>1030</v>
      </c>
      <c r="Q26" s="147">
        <v>220000202</v>
      </c>
      <c r="R26" s="145" t="str">
        <f t="shared" si="4"/>
        <v>UITexture/ItemRes/220000202.png</v>
      </c>
      <c r="S26" s="146" t="s">
        <v>811</v>
      </c>
      <c r="T26" s="249"/>
      <c r="U26" s="146">
        <v>0</v>
      </c>
      <c r="V26" s="146">
        <v>0</v>
      </c>
      <c r="W26" s="146">
        <v>3</v>
      </c>
      <c r="X26" s="145">
        <f t="shared" si="10"/>
        <v>220000203</v>
      </c>
      <c r="Y26" s="249"/>
      <c r="Z26" s="146">
        <v>1</v>
      </c>
    </row>
    <row r="27" spans="1:26" s="145" customFormat="1" x14ac:dyDescent="0.15">
      <c r="A27" s="145">
        <f t="shared" si="9"/>
        <v>220000203</v>
      </c>
      <c r="B27" s="147">
        <v>22</v>
      </c>
      <c r="C27" s="147">
        <v>0</v>
      </c>
      <c r="D27" s="147">
        <v>0</v>
      </c>
      <c r="E27" s="147">
        <v>2</v>
      </c>
      <c r="F27" s="148">
        <f t="shared" si="1"/>
        <v>3</v>
      </c>
      <c r="G27" s="249"/>
      <c r="H27" s="146">
        <v>3</v>
      </c>
      <c r="I27" s="249"/>
      <c r="J27" s="146" t="s">
        <v>1228</v>
      </c>
      <c r="K27" s="146" t="s">
        <v>892</v>
      </c>
      <c r="L27" s="147" t="s">
        <v>1182</v>
      </c>
      <c r="M27" s="147" t="s">
        <v>593</v>
      </c>
      <c r="N27" s="146">
        <v>1</v>
      </c>
      <c r="O27" s="146">
        <v>4</v>
      </c>
      <c r="P27" s="147" t="s">
        <v>1030</v>
      </c>
      <c r="Q27" s="147">
        <v>220000203</v>
      </c>
      <c r="R27" s="145" t="str">
        <f t="shared" si="4"/>
        <v>UITexture/ItemRes/220000203.png</v>
      </c>
      <c r="S27" s="146" t="s">
        <v>812</v>
      </c>
      <c r="T27" s="249"/>
      <c r="U27" s="146">
        <v>0</v>
      </c>
      <c r="V27" s="146">
        <v>0</v>
      </c>
      <c r="W27" s="146">
        <v>3</v>
      </c>
      <c r="X27" s="145">
        <f t="shared" si="10"/>
        <v>220000204</v>
      </c>
      <c r="Y27" s="249"/>
      <c r="Z27" s="146">
        <v>1</v>
      </c>
    </row>
    <row r="28" spans="1:26" s="145" customFormat="1" x14ac:dyDescent="0.15">
      <c r="A28" s="145">
        <f t="shared" si="9"/>
        <v>220000204</v>
      </c>
      <c r="B28" s="147">
        <v>22</v>
      </c>
      <c r="C28" s="147">
        <v>0</v>
      </c>
      <c r="D28" s="147">
        <v>0</v>
      </c>
      <c r="E28" s="147">
        <v>2</v>
      </c>
      <c r="F28" s="148">
        <f t="shared" si="1"/>
        <v>4</v>
      </c>
      <c r="G28" s="249"/>
      <c r="H28" s="146">
        <v>4</v>
      </c>
      <c r="I28" s="249"/>
      <c r="J28" s="146" t="s">
        <v>1228</v>
      </c>
      <c r="K28" s="146" t="s">
        <v>893</v>
      </c>
      <c r="L28" s="147" t="s">
        <v>1183</v>
      </c>
      <c r="M28" s="147" t="s">
        <v>594</v>
      </c>
      <c r="N28" s="146">
        <v>1</v>
      </c>
      <c r="O28" s="146">
        <v>4</v>
      </c>
      <c r="P28" s="147" t="s">
        <v>1030</v>
      </c>
      <c r="Q28" s="147">
        <v>220000204</v>
      </c>
      <c r="R28" s="145" t="str">
        <f t="shared" si="4"/>
        <v>UITexture/ItemRes/220000204.png</v>
      </c>
      <c r="S28" s="146" t="s">
        <v>813</v>
      </c>
      <c r="T28" s="249"/>
      <c r="U28" s="146">
        <v>0</v>
      </c>
      <c r="V28" s="146">
        <v>0</v>
      </c>
      <c r="W28" s="146">
        <v>3</v>
      </c>
      <c r="X28" s="145">
        <f t="shared" si="10"/>
        <v>220000205</v>
      </c>
      <c r="Y28" s="249"/>
      <c r="Z28" s="146">
        <v>1</v>
      </c>
    </row>
    <row r="29" spans="1:26" s="145" customFormat="1" x14ac:dyDescent="0.15">
      <c r="A29" s="145">
        <f t="shared" si="9"/>
        <v>220000205</v>
      </c>
      <c r="B29" s="147">
        <v>22</v>
      </c>
      <c r="C29" s="147">
        <v>0</v>
      </c>
      <c r="D29" s="147">
        <v>0</v>
      </c>
      <c r="E29" s="147">
        <v>2</v>
      </c>
      <c r="F29" s="148">
        <f t="shared" si="1"/>
        <v>5</v>
      </c>
      <c r="G29" s="249"/>
      <c r="H29" s="146">
        <v>5</v>
      </c>
      <c r="I29" s="249"/>
      <c r="J29" s="146" t="s">
        <v>1228</v>
      </c>
      <c r="K29" s="146" t="s">
        <v>894</v>
      </c>
      <c r="L29" s="147" t="s">
        <v>1184</v>
      </c>
      <c r="M29" s="147" t="s">
        <v>595</v>
      </c>
      <c r="N29" s="146">
        <v>0</v>
      </c>
      <c r="O29" s="146">
        <v>4</v>
      </c>
      <c r="P29" s="147" t="s">
        <v>1030</v>
      </c>
      <c r="Q29" s="147">
        <v>220000205</v>
      </c>
      <c r="R29" s="145" t="str">
        <f t="shared" si="4"/>
        <v>UITexture/ItemRes/220000205.png</v>
      </c>
      <c r="S29" s="146" t="s">
        <v>814</v>
      </c>
      <c r="T29" s="249"/>
      <c r="U29" s="146">
        <v>0</v>
      </c>
      <c r="V29" s="146">
        <v>0</v>
      </c>
      <c r="W29" s="146">
        <v>3</v>
      </c>
      <c r="X29" s="145">
        <f t="shared" si="10"/>
        <v>220000206</v>
      </c>
      <c r="Y29" s="249"/>
      <c r="Z29" s="146">
        <v>1</v>
      </c>
    </row>
    <row r="30" spans="1:26" s="145" customFormat="1" x14ac:dyDescent="0.15">
      <c r="A30" s="145">
        <f t="shared" si="9"/>
        <v>220000206</v>
      </c>
      <c r="B30" s="147">
        <v>22</v>
      </c>
      <c r="C30" s="147">
        <v>0</v>
      </c>
      <c r="D30" s="147">
        <v>0</v>
      </c>
      <c r="E30" s="147">
        <v>2</v>
      </c>
      <c r="F30" s="148">
        <f t="shared" si="1"/>
        <v>6</v>
      </c>
      <c r="G30" s="249"/>
      <c r="H30" s="146">
        <v>6</v>
      </c>
      <c r="I30" s="249"/>
      <c r="J30" s="146" t="s">
        <v>1228</v>
      </c>
      <c r="K30" s="146" t="s">
        <v>895</v>
      </c>
      <c r="L30" s="147" t="s">
        <v>1185</v>
      </c>
      <c r="M30" s="147" t="s">
        <v>596</v>
      </c>
      <c r="N30" s="146">
        <v>0</v>
      </c>
      <c r="O30" s="146">
        <v>4</v>
      </c>
      <c r="P30" s="147" t="s">
        <v>1030</v>
      </c>
      <c r="Q30" s="147">
        <v>220000206</v>
      </c>
      <c r="R30" s="145" t="str">
        <f t="shared" si="4"/>
        <v>UITexture/ItemRes/220000206.png</v>
      </c>
      <c r="S30" s="146" t="s">
        <v>815</v>
      </c>
      <c r="T30" s="249"/>
      <c r="U30" s="146">
        <v>0</v>
      </c>
      <c r="V30" s="146">
        <v>0</v>
      </c>
      <c r="W30" s="146">
        <v>3</v>
      </c>
      <c r="X30" s="145">
        <f t="shared" si="10"/>
        <v>220000207</v>
      </c>
      <c r="Y30" s="249"/>
      <c r="Z30" s="146">
        <v>1</v>
      </c>
    </row>
    <row r="31" spans="1:26" s="145" customFormat="1" x14ac:dyDescent="0.15">
      <c r="A31" s="145">
        <f t="shared" si="9"/>
        <v>220000207</v>
      </c>
      <c r="B31" s="147">
        <v>22</v>
      </c>
      <c r="C31" s="147">
        <v>0</v>
      </c>
      <c r="D31" s="147">
        <v>0</v>
      </c>
      <c r="E31" s="147">
        <v>2</v>
      </c>
      <c r="F31" s="148">
        <f t="shared" si="1"/>
        <v>7</v>
      </c>
      <c r="G31" s="249"/>
      <c r="H31" s="146">
        <v>7</v>
      </c>
      <c r="I31" s="249"/>
      <c r="J31" s="146" t="s">
        <v>1228</v>
      </c>
      <c r="K31" s="146" t="s">
        <v>896</v>
      </c>
      <c r="L31" s="147" t="s">
        <v>1186</v>
      </c>
      <c r="M31" s="147" t="s">
        <v>597</v>
      </c>
      <c r="N31" s="146">
        <v>0</v>
      </c>
      <c r="O31" s="146">
        <v>4</v>
      </c>
      <c r="P31" s="147" t="s">
        <v>1030</v>
      </c>
      <c r="Q31" s="147">
        <v>220000207</v>
      </c>
      <c r="R31" s="145" t="str">
        <f t="shared" si="4"/>
        <v>UITexture/ItemRes/220000207.png</v>
      </c>
      <c r="S31" s="146" t="s">
        <v>816</v>
      </c>
      <c r="T31" s="249"/>
      <c r="U31" s="146">
        <v>0</v>
      </c>
      <c r="V31" s="146">
        <v>0</v>
      </c>
      <c r="W31" s="146">
        <v>3</v>
      </c>
      <c r="X31" s="145">
        <f t="shared" si="10"/>
        <v>220000208</v>
      </c>
      <c r="Y31" s="249"/>
      <c r="Z31" s="146">
        <v>1</v>
      </c>
    </row>
    <row r="32" spans="1:26" s="145" customFormat="1" x14ac:dyDescent="0.15">
      <c r="A32" s="145">
        <f t="shared" si="9"/>
        <v>220000208</v>
      </c>
      <c r="B32" s="147">
        <v>22</v>
      </c>
      <c r="C32" s="147">
        <v>0</v>
      </c>
      <c r="D32" s="147">
        <v>0</v>
      </c>
      <c r="E32" s="147">
        <v>2</v>
      </c>
      <c r="F32" s="148">
        <f t="shared" si="1"/>
        <v>8</v>
      </c>
      <c r="G32" s="249"/>
      <c r="H32" s="146">
        <v>8</v>
      </c>
      <c r="I32" s="249"/>
      <c r="J32" s="146" t="s">
        <v>1228</v>
      </c>
      <c r="K32" s="146" t="s">
        <v>897</v>
      </c>
      <c r="L32" s="147" t="s">
        <v>1187</v>
      </c>
      <c r="M32" s="147" t="s">
        <v>598</v>
      </c>
      <c r="N32" s="146">
        <v>0</v>
      </c>
      <c r="O32" s="146">
        <v>4</v>
      </c>
      <c r="P32" s="147" t="s">
        <v>1030</v>
      </c>
      <c r="Q32" s="147">
        <v>220000208</v>
      </c>
      <c r="R32" s="145" t="str">
        <f t="shared" si="4"/>
        <v>UITexture/ItemRes/220000208.png</v>
      </c>
      <c r="S32" s="146" t="s">
        <v>817</v>
      </c>
      <c r="T32" s="249"/>
      <c r="U32" s="146">
        <v>0</v>
      </c>
      <c r="V32" s="146">
        <v>0</v>
      </c>
      <c r="W32" s="146">
        <v>3</v>
      </c>
      <c r="X32" s="145">
        <f t="shared" si="10"/>
        <v>220000209</v>
      </c>
      <c r="Y32" s="249"/>
      <c r="Z32" s="146">
        <v>1</v>
      </c>
    </row>
    <row r="33" spans="1:26" s="145" customFormat="1" x14ac:dyDescent="0.15">
      <c r="A33" s="145">
        <f t="shared" si="9"/>
        <v>220000209</v>
      </c>
      <c r="B33" s="147">
        <v>22</v>
      </c>
      <c r="C33" s="147">
        <v>0</v>
      </c>
      <c r="D33" s="147">
        <v>0</v>
      </c>
      <c r="E33" s="147">
        <v>2</v>
      </c>
      <c r="F33" s="148">
        <f t="shared" si="1"/>
        <v>9</v>
      </c>
      <c r="G33" s="249"/>
      <c r="H33" s="146">
        <v>9</v>
      </c>
      <c r="I33" s="249"/>
      <c r="J33" s="146" t="s">
        <v>1228</v>
      </c>
      <c r="K33" s="146" t="s">
        <v>898</v>
      </c>
      <c r="L33" s="147" t="s">
        <v>1188</v>
      </c>
      <c r="M33" s="147" t="s">
        <v>599</v>
      </c>
      <c r="N33" s="146">
        <v>0</v>
      </c>
      <c r="O33" s="146">
        <v>4</v>
      </c>
      <c r="P33" s="147" t="s">
        <v>1030</v>
      </c>
      <c r="Q33" s="147">
        <v>220000209</v>
      </c>
      <c r="R33" s="145" t="str">
        <f t="shared" si="4"/>
        <v>UITexture/ItemRes/220000209.png</v>
      </c>
      <c r="S33" s="146" t="s">
        <v>818</v>
      </c>
      <c r="T33" s="249"/>
      <c r="U33" s="146">
        <v>0</v>
      </c>
      <c r="V33" s="146">
        <v>0</v>
      </c>
      <c r="W33" s="146">
        <v>3</v>
      </c>
      <c r="X33" s="145">
        <f t="shared" si="10"/>
        <v>220000210</v>
      </c>
      <c r="Y33" s="249"/>
      <c r="Z33" s="146">
        <v>1</v>
      </c>
    </row>
    <row r="34" spans="1:26" s="145" customFormat="1" x14ac:dyDescent="0.15">
      <c r="A34" s="145">
        <f t="shared" si="9"/>
        <v>220000210</v>
      </c>
      <c r="B34" s="147">
        <v>22</v>
      </c>
      <c r="C34" s="147">
        <v>0</v>
      </c>
      <c r="D34" s="147">
        <v>0</v>
      </c>
      <c r="E34" s="147">
        <v>2</v>
      </c>
      <c r="F34" s="148">
        <f t="shared" si="1"/>
        <v>10</v>
      </c>
      <c r="G34" s="249"/>
      <c r="H34" s="146">
        <v>10</v>
      </c>
      <c r="I34" s="249"/>
      <c r="J34" s="146" t="s">
        <v>1228</v>
      </c>
      <c r="K34" s="146" t="s">
        <v>899</v>
      </c>
      <c r="L34" s="147" t="s">
        <v>1189</v>
      </c>
      <c r="M34" s="147" t="s">
        <v>600</v>
      </c>
      <c r="N34" s="146">
        <v>0</v>
      </c>
      <c r="O34" s="146">
        <v>4</v>
      </c>
      <c r="P34" s="147" t="s">
        <v>1030</v>
      </c>
      <c r="Q34" s="147">
        <v>220000210</v>
      </c>
      <c r="R34" s="145" t="str">
        <f t="shared" si="4"/>
        <v>UITexture/ItemRes/220000210.png</v>
      </c>
      <c r="S34" s="146" t="s">
        <v>819</v>
      </c>
      <c r="T34" s="249"/>
      <c r="U34" s="146">
        <v>0</v>
      </c>
      <c r="V34" s="146">
        <v>0</v>
      </c>
      <c r="W34" s="146">
        <v>3</v>
      </c>
      <c r="X34" s="145">
        <f t="shared" si="10"/>
        <v>220000211</v>
      </c>
      <c r="Y34" s="249"/>
      <c r="Z34" s="146">
        <v>1</v>
      </c>
    </row>
    <row r="35" spans="1:26" s="145" customFormat="1" x14ac:dyDescent="0.15">
      <c r="A35" s="145">
        <f t="shared" si="9"/>
        <v>220000211</v>
      </c>
      <c r="B35" s="147">
        <v>22</v>
      </c>
      <c r="C35" s="147">
        <v>0</v>
      </c>
      <c r="D35" s="147">
        <v>0</v>
      </c>
      <c r="E35" s="147">
        <v>2</v>
      </c>
      <c r="F35" s="148">
        <f t="shared" si="1"/>
        <v>11</v>
      </c>
      <c r="G35" s="249"/>
      <c r="H35" s="146">
        <v>11</v>
      </c>
      <c r="I35" s="249"/>
      <c r="J35" s="146" t="s">
        <v>1228</v>
      </c>
      <c r="K35" s="146" t="s">
        <v>900</v>
      </c>
      <c r="L35" s="147" t="s">
        <v>601</v>
      </c>
      <c r="M35" s="147" t="s">
        <v>601</v>
      </c>
      <c r="N35" s="146">
        <v>0</v>
      </c>
      <c r="O35" s="146">
        <v>4</v>
      </c>
      <c r="P35" s="147" t="s">
        <v>1030</v>
      </c>
      <c r="Q35" s="147">
        <v>220000211</v>
      </c>
      <c r="R35" s="145" t="str">
        <f t="shared" si="4"/>
        <v>UITexture/ItemRes/220000211.png</v>
      </c>
      <c r="S35" s="146" t="s">
        <v>820</v>
      </c>
      <c r="T35" s="249"/>
      <c r="U35" s="146">
        <v>0</v>
      </c>
      <c r="V35" s="146">
        <v>0</v>
      </c>
      <c r="W35" s="146">
        <v>3</v>
      </c>
      <c r="X35" s="145">
        <f t="shared" si="10"/>
        <v>220000212</v>
      </c>
      <c r="Y35" s="249"/>
      <c r="Z35" s="146">
        <v>1</v>
      </c>
    </row>
    <row r="36" spans="1:26" s="145" customFormat="1" x14ac:dyDescent="0.15">
      <c r="A36" s="145">
        <f t="shared" si="9"/>
        <v>220000212</v>
      </c>
      <c r="B36" s="147">
        <v>22</v>
      </c>
      <c r="C36" s="147">
        <v>0</v>
      </c>
      <c r="D36" s="147">
        <v>0</v>
      </c>
      <c r="E36" s="147">
        <v>2</v>
      </c>
      <c r="F36" s="148">
        <f t="shared" si="1"/>
        <v>12</v>
      </c>
      <c r="G36" s="249"/>
      <c r="H36" s="146">
        <v>12</v>
      </c>
      <c r="I36" s="249"/>
      <c r="J36" s="146" t="s">
        <v>1228</v>
      </c>
      <c r="K36" s="146" t="s">
        <v>901</v>
      </c>
      <c r="L36" s="147" t="s">
        <v>602</v>
      </c>
      <c r="M36" s="147" t="s">
        <v>602</v>
      </c>
      <c r="N36" s="146">
        <v>0</v>
      </c>
      <c r="O36" s="146">
        <v>4</v>
      </c>
      <c r="P36" s="147" t="s">
        <v>1030</v>
      </c>
      <c r="Q36" s="147">
        <v>220000212</v>
      </c>
      <c r="R36" s="145" t="str">
        <f t="shared" si="4"/>
        <v>UITexture/ItemRes/220000212.png</v>
      </c>
      <c r="S36" s="146" t="s">
        <v>821</v>
      </c>
      <c r="T36" s="249"/>
      <c r="U36" s="146">
        <v>0</v>
      </c>
      <c r="V36" s="146">
        <v>0</v>
      </c>
      <c r="W36" s="146">
        <v>3</v>
      </c>
      <c r="X36" s="145">
        <f t="shared" si="10"/>
        <v>220000213</v>
      </c>
      <c r="Y36" s="249"/>
      <c r="Z36" s="146">
        <v>1</v>
      </c>
    </row>
    <row r="37" spans="1:26" s="145" customFormat="1" x14ac:dyDescent="0.15">
      <c r="A37" s="145">
        <f t="shared" si="9"/>
        <v>220000213</v>
      </c>
      <c r="B37" s="147">
        <v>22</v>
      </c>
      <c r="C37" s="147">
        <v>0</v>
      </c>
      <c r="D37" s="147">
        <v>0</v>
      </c>
      <c r="E37" s="147">
        <v>2</v>
      </c>
      <c r="F37" s="148">
        <f t="shared" ref="F37:F68" si="11">H37</f>
        <v>13</v>
      </c>
      <c r="G37" s="249"/>
      <c r="H37" s="146">
        <v>13</v>
      </c>
      <c r="I37" s="249"/>
      <c r="J37" s="146" t="s">
        <v>1228</v>
      </c>
      <c r="K37" s="146" t="s">
        <v>902</v>
      </c>
      <c r="L37" s="147" t="s">
        <v>603</v>
      </c>
      <c r="M37" s="147" t="s">
        <v>603</v>
      </c>
      <c r="N37" s="146">
        <v>0</v>
      </c>
      <c r="O37" s="146">
        <v>4</v>
      </c>
      <c r="P37" s="147" t="s">
        <v>1030</v>
      </c>
      <c r="Q37" s="147">
        <v>220000213</v>
      </c>
      <c r="R37" s="145" t="str">
        <f t="shared" si="4"/>
        <v>UITexture/ItemRes/220000213.png</v>
      </c>
      <c r="S37" s="146" t="s">
        <v>822</v>
      </c>
      <c r="T37" s="249"/>
      <c r="U37" s="146">
        <v>0</v>
      </c>
      <c r="V37" s="146">
        <v>0</v>
      </c>
      <c r="W37" s="146">
        <v>3</v>
      </c>
      <c r="X37" s="145">
        <f t="shared" si="10"/>
        <v>220000214</v>
      </c>
      <c r="Y37" s="249"/>
      <c r="Z37" s="146">
        <v>1</v>
      </c>
    </row>
    <row r="38" spans="1:26" s="145" customFormat="1" x14ac:dyDescent="0.15">
      <c r="A38" s="145">
        <f t="shared" si="9"/>
        <v>220000214</v>
      </c>
      <c r="B38" s="147">
        <v>22</v>
      </c>
      <c r="C38" s="147">
        <v>0</v>
      </c>
      <c r="D38" s="147">
        <v>0</v>
      </c>
      <c r="E38" s="147">
        <v>2</v>
      </c>
      <c r="F38" s="148">
        <f t="shared" si="11"/>
        <v>14</v>
      </c>
      <c r="G38" s="249"/>
      <c r="H38" s="146">
        <v>14</v>
      </c>
      <c r="I38" s="249"/>
      <c r="J38" s="146" t="s">
        <v>1228</v>
      </c>
      <c r="K38" s="146" t="s">
        <v>903</v>
      </c>
      <c r="L38" s="147" t="s">
        <v>604</v>
      </c>
      <c r="M38" s="147" t="s">
        <v>604</v>
      </c>
      <c r="N38" s="146">
        <v>0</v>
      </c>
      <c r="O38" s="146">
        <v>4</v>
      </c>
      <c r="P38" s="147" t="s">
        <v>1030</v>
      </c>
      <c r="Q38" s="147">
        <v>220000214</v>
      </c>
      <c r="R38" s="145" t="str">
        <f t="shared" si="4"/>
        <v>UITexture/ItemRes/220000214.png</v>
      </c>
      <c r="S38" s="146" t="s">
        <v>823</v>
      </c>
      <c r="T38" s="249"/>
      <c r="U38" s="146">
        <v>0</v>
      </c>
      <c r="V38" s="146">
        <v>0</v>
      </c>
      <c r="W38" s="146">
        <v>3</v>
      </c>
      <c r="X38" s="145">
        <f t="shared" si="10"/>
        <v>220000215</v>
      </c>
      <c r="Y38" s="249"/>
      <c r="Z38" s="146">
        <v>1</v>
      </c>
    </row>
    <row r="39" spans="1:26" s="145" customFormat="1" x14ac:dyDescent="0.15">
      <c r="A39" s="145">
        <f t="shared" si="9"/>
        <v>220000215</v>
      </c>
      <c r="B39" s="147">
        <v>22</v>
      </c>
      <c r="C39" s="147">
        <v>0</v>
      </c>
      <c r="D39" s="147">
        <v>0</v>
      </c>
      <c r="E39" s="147">
        <v>2</v>
      </c>
      <c r="F39" s="148">
        <f t="shared" si="11"/>
        <v>15</v>
      </c>
      <c r="G39" s="249"/>
      <c r="H39" s="146">
        <v>15</v>
      </c>
      <c r="I39" s="249"/>
      <c r="J39" s="146" t="s">
        <v>1228</v>
      </c>
      <c r="K39" s="146" t="s">
        <v>904</v>
      </c>
      <c r="L39" s="147" t="s">
        <v>605</v>
      </c>
      <c r="M39" s="147" t="s">
        <v>605</v>
      </c>
      <c r="N39" s="146">
        <v>0</v>
      </c>
      <c r="O39" s="146">
        <v>4</v>
      </c>
      <c r="P39" s="147" t="s">
        <v>1030</v>
      </c>
      <c r="Q39" s="147">
        <v>220000215</v>
      </c>
      <c r="R39" s="145" t="str">
        <f t="shared" si="4"/>
        <v>UITexture/ItemRes/220000215.png</v>
      </c>
      <c r="S39" s="146" t="s">
        <v>824</v>
      </c>
      <c r="T39" s="249"/>
      <c r="U39" s="146">
        <v>0</v>
      </c>
      <c r="V39" s="146">
        <v>0</v>
      </c>
      <c r="W39" s="146">
        <v>3</v>
      </c>
      <c r="X39" s="145">
        <f t="shared" si="10"/>
        <v>220000216</v>
      </c>
      <c r="Y39" s="249"/>
      <c r="Z39" s="146">
        <v>1</v>
      </c>
    </row>
    <row r="40" spans="1:26" s="145" customFormat="1" x14ac:dyDescent="0.15">
      <c r="A40" s="145">
        <f t="shared" si="9"/>
        <v>220000216</v>
      </c>
      <c r="B40" s="147">
        <v>22</v>
      </c>
      <c r="C40" s="147">
        <v>0</v>
      </c>
      <c r="D40" s="147">
        <v>0</v>
      </c>
      <c r="E40" s="147">
        <v>2</v>
      </c>
      <c r="F40" s="148">
        <f t="shared" si="11"/>
        <v>16</v>
      </c>
      <c r="G40" s="249"/>
      <c r="H40" s="146">
        <v>16</v>
      </c>
      <c r="I40" s="249"/>
      <c r="J40" s="146" t="s">
        <v>1228</v>
      </c>
      <c r="K40" s="146" t="s">
        <v>905</v>
      </c>
      <c r="L40" s="147" t="s">
        <v>606</v>
      </c>
      <c r="M40" s="147" t="s">
        <v>606</v>
      </c>
      <c r="N40" s="146">
        <v>0</v>
      </c>
      <c r="O40" s="146">
        <v>4</v>
      </c>
      <c r="P40" s="147" t="s">
        <v>1030</v>
      </c>
      <c r="Q40" s="147">
        <v>220000216</v>
      </c>
      <c r="R40" s="145" t="str">
        <f t="shared" si="4"/>
        <v>UITexture/ItemRes/220000216.png</v>
      </c>
      <c r="S40" s="146" t="s">
        <v>825</v>
      </c>
      <c r="T40" s="249"/>
      <c r="U40" s="146">
        <v>0</v>
      </c>
      <c r="V40" s="146">
        <v>0</v>
      </c>
      <c r="W40" s="146">
        <v>3</v>
      </c>
      <c r="X40" s="145">
        <f t="shared" si="10"/>
        <v>220000217</v>
      </c>
      <c r="Y40" s="249"/>
      <c r="Z40" s="146">
        <v>1</v>
      </c>
    </row>
    <row r="41" spans="1:26" s="145" customFormat="1" x14ac:dyDescent="0.15">
      <c r="A41" s="145">
        <f t="shared" si="9"/>
        <v>220000217</v>
      </c>
      <c r="B41" s="147">
        <v>22</v>
      </c>
      <c r="C41" s="147">
        <v>0</v>
      </c>
      <c r="D41" s="147">
        <v>0</v>
      </c>
      <c r="E41" s="147">
        <v>2</v>
      </c>
      <c r="F41" s="148">
        <f t="shared" si="11"/>
        <v>17</v>
      </c>
      <c r="G41" s="249"/>
      <c r="H41" s="146">
        <v>17</v>
      </c>
      <c r="I41" s="249"/>
      <c r="J41" s="146" t="s">
        <v>1228</v>
      </c>
      <c r="K41" s="146" t="s">
        <v>906</v>
      </c>
      <c r="L41" s="147" t="s">
        <v>607</v>
      </c>
      <c r="M41" s="147" t="s">
        <v>607</v>
      </c>
      <c r="N41" s="146">
        <v>0</v>
      </c>
      <c r="O41" s="146">
        <v>4</v>
      </c>
      <c r="P41" s="147" t="s">
        <v>1030</v>
      </c>
      <c r="Q41" s="147">
        <v>220000217</v>
      </c>
      <c r="R41" s="145" t="str">
        <f t="shared" si="4"/>
        <v>UITexture/ItemRes/220000217.png</v>
      </c>
      <c r="S41" s="146" t="s">
        <v>826</v>
      </c>
      <c r="T41" s="249"/>
      <c r="U41" s="146">
        <v>0</v>
      </c>
      <c r="V41" s="146">
        <v>0</v>
      </c>
      <c r="W41" s="146">
        <v>3</v>
      </c>
      <c r="X41" s="145">
        <f t="shared" si="10"/>
        <v>220000218</v>
      </c>
      <c r="Y41" s="249"/>
      <c r="Z41" s="146">
        <v>1</v>
      </c>
    </row>
    <row r="42" spans="1:26" s="145" customFormat="1" x14ac:dyDescent="0.15">
      <c r="A42" s="145">
        <f t="shared" ref="A42:A43" si="12">B42*10000000+C42*1000000+D42*10000+E42*100+F42</f>
        <v>220000218</v>
      </c>
      <c r="B42" s="147">
        <v>22</v>
      </c>
      <c r="C42" s="147">
        <v>0</v>
      </c>
      <c r="D42" s="147">
        <v>0</v>
      </c>
      <c r="E42" s="147">
        <v>2</v>
      </c>
      <c r="F42" s="148">
        <f t="shared" si="11"/>
        <v>18</v>
      </c>
      <c r="G42" s="249"/>
      <c r="H42" s="146">
        <v>18</v>
      </c>
      <c r="I42" s="249"/>
      <c r="J42" s="146" t="s">
        <v>1228</v>
      </c>
      <c r="K42" s="146" t="s">
        <v>907</v>
      </c>
      <c r="L42" s="147" t="s">
        <v>608</v>
      </c>
      <c r="M42" s="147" t="s">
        <v>608</v>
      </c>
      <c r="N42" s="146">
        <v>0</v>
      </c>
      <c r="O42" s="146">
        <v>4</v>
      </c>
      <c r="P42" s="147" t="s">
        <v>1030</v>
      </c>
      <c r="Q42" s="147">
        <v>220000218</v>
      </c>
      <c r="R42" s="145" t="str">
        <f t="shared" si="4"/>
        <v>UITexture/ItemRes/220000218.png</v>
      </c>
      <c r="S42" s="146" t="s">
        <v>827</v>
      </c>
      <c r="T42" s="249"/>
      <c r="U42" s="146">
        <v>0</v>
      </c>
      <c r="V42" s="146">
        <v>0</v>
      </c>
      <c r="W42" s="146">
        <v>3</v>
      </c>
      <c r="X42" s="145">
        <f t="shared" si="10"/>
        <v>220000219</v>
      </c>
      <c r="Y42" s="249"/>
      <c r="Z42" s="146">
        <v>1</v>
      </c>
    </row>
    <row r="43" spans="1:26" s="145" customFormat="1" x14ac:dyDescent="0.15">
      <c r="A43" s="145">
        <f t="shared" si="12"/>
        <v>220000219</v>
      </c>
      <c r="B43" s="147">
        <v>22</v>
      </c>
      <c r="C43" s="147">
        <v>0</v>
      </c>
      <c r="D43" s="147">
        <v>0</v>
      </c>
      <c r="E43" s="147">
        <v>2</v>
      </c>
      <c r="F43" s="148">
        <f t="shared" si="11"/>
        <v>19</v>
      </c>
      <c r="G43" s="249"/>
      <c r="H43" s="146">
        <v>19</v>
      </c>
      <c r="I43" s="249"/>
      <c r="J43" s="146" t="s">
        <v>1228</v>
      </c>
      <c r="K43" s="146" t="s">
        <v>908</v>
      </c>
      <c r="L43" s="147" t="s">
        <v>712</v>
      </c>
      <c r="M43" s="147" t="s">
        <v>712</v>
      </c>
      <c r="N43" s="146">
        <v>0</v>
      </c>
      <c r="O43" s="146">
        <v>4</v>
      </c>
      <c r="P43" s="147" t="s">
        <v>1030</v>
      </c>
      <c r="Q43" s="147">
        <v>220000219</v>
      </c>
      <c r="R43" s="145" t="str">
        <f t="shared" si="4"/>
        <v>UITexture/ItemRes/220000219.png</v>
      </c>
      <c r="S43" s="146" t="s">
        <v>828</v>
      </c>
      <c r="T43" s="249"/>
      <c r="U43" s="146">
        <v>0</v>
      </c>
      <c r="V43" s="146">
        <v>0</v>
      </c>
      <c r="W43" s="146">
        <v>3</v>
      </c>
      <c r="X43" s="145">
        <f t="shared" si="10"/>
        <v>220000220</v>
      </c>
      <c r="Y43" s="249"/>
      <c r="Z43" s="146">
        <v>1</v>
      </c>
    </row>
    <row r="44" spans="1:26" s="145" customFormat="1" ht="17.25" thickBot="1" x14ac:dyDescent="0.2">
      <c r="A44" s="145">
        <f t="shared" ref="A44:A63" si="13">B44*10000000+C44*1000000+D44*10000+E44*100+F44</f>
        <v>220000220</v>
      </c>
      <c r="B44" s="147">
        <v>22</v>
      </c>
      <c r="C44" s="147">
        <v>0</v>
      </c>
      <c r="D44" s="147">
        <v>0</v>
      </c>
      <c r="E44" s="147">
        <v>2</v>
      </c>
      <c r="F44" s="148">
        <f t="shared" si="11"/>
        <v>20</v>
      </c>
      <c r="G44" s="249"/>
      <c r="H44" s="146">
        <v>20</v>
      </c>
      <c r="I44" s="249"/>
      <c r="J44" s="146" t="s">
        <v>1228</v>
      </c>
      <c r="K44" s="146" t="s">
        <v>909</v>
      </c>
      <c r="L44" s="147" t="s">
        <v>713</v>
      </c>
      <c r="M44" s="147" t="s">
        <v>713</v>
      </c>
      <c r="N44" s="146">
        <v>0</v>
      </c>
      <c r="O44" s="146">
        <v>4</v>
      </c>
      <c r="P44" s="147" t="s">
        <v>1030</v>
      </c>
      <c r="Q44" s="147">
        <v>220000220</v>
      </c>
      <c r="R44" s="145" t="str">
        <f t="shared" si="4"/>
        <v>UITexture/ItemRes/220000220.png</v>
      </c>
      <c r="S44" s="146" t="s">
        <v>829</v>
      </c>
      <c r="T44" s="249"/>
      <c r="U44" s="146">
        <v>0</v>
      </c>
      <c r="V44" s="146">
        <v>0</v>
      </c>
      <c r="W44" s="146">
        <v>3</v>
      </c>
      <c r="X44" s="145">
        <v>-1</v>
      </c>
      <c r="Y44" s="249"/>
      <c r="Z44" s="146">
        <v>1</v>
      </c>
    </row>
    <row r="45" spans="1:26" s="149" customFormat="1" x14ac:dyDescent="0.15">
      <c r="A45" s="149">
        <f t="shared" si="13"/>
        <v>220000301</v>
      </c>
      <c r="B45" s="151">
        <v>22</v>
      </c>
      <c r="C45" s="151">
        <v>0</v>
      </c>
      <c r="D45" s="151">
        <v>0</v>
      </c>
      <c r="E45" s="151">
        <v>3</v>
      </c>
      <c r="F45" s="152">
        <f t="shared" si="11"/>
        <v>1</v>
      </c>
      <c r="G45" s="248"/>
      <c r="H45" s="150">
        <v>1</v>
      </c>
      <c r="I45" s="248"/>
      <c r="J45" s="150" t="s">
        <v>1228</v>
      </c>
      <c r="K45" s="150" t="s">
        <v>910</v>
      </c>
      <c r="L45" s="151" t="s">
        <v>1200</v>
      </c>
      <c r="M45" s="151" t="s">
        <v>609</v>
      </c>
      <c r="N45" s="150">
        <v>1</v>
      </c>
      <c r="O45" s="150">
        <v>4</v>
      </c>
      <c r="P45" s="151" t="s">
        <v>1030</v>
      </c>
      <c r="Q45" s="151">
        <v>220000301</v>
      </c>
      <c r="R45" s="149" t="str">
        <f t="shared" si="4"/>
        <v>UITexture/ItemRes/220000301.png</v>
      </c>
      <c r="S45" s="150" t="s">
        <v>830</v>
      </c>
      <c r="T45" s="248"/>
      <c r="U45" s="150">
        <v>0</v>
      </c>
      <c r="V45" s="150">
        <v>0</v>
      </c>
      <c r="W45" s="150">
        <v>3</v>
      </c>
      <c r="X45" s="149">
        <f t="shared" ref="X45:X63" si="14">A46</f>
        <v>220000302</v>
      </c>
      <c r="Y45" s="248"/>
      <c r="Z45" s="150">
        <v>1</v>
      </c>
    </row>
    <row r="46" spans="1:26" s="145" customFormat="1" x14ac:dyDescent="0.15">
      <c r="A46" s="145">
        <f t="shared" si="13"/>
        <v>220000302</v>
      </c>
      <c r="B46" s="147">
        <v>22</v>
      </c>
      <c r="C46" s="147">
        <v>0</v>
      </c>
      <c r="D46" s="147">
        <v>0</v>
      </c>
      <c r="E46" s="147">
        <v>3</v>
      </c>
      <c r="F46" s="148">
        <f t="shared" si="11"/>
        <v>2</v>
      </c>
      <c r="G46" s="249"/>
      <c r="H46" s="146">
        <v>2</v>
      </c>
      <c r="I46" s="249"/>
      <c r="J46" s="146" t="s">
        <v>1228</v>
      </c>
      <c r="K46" s="146" t="s">
        <v>911</v>
      </c>
      <c r="L46" s="147" t="s">
        <v>1201</v>
      </c>
      <c r="M46" s="147" t="s">
        <v>610</v>
      </c>
      <c r="N46" s="146">
        <v>1</v>
      </c>
      <c r="O46" s="146">
        <v>4</v>
      </c>
      <c r="P46" s="147" t="s">
        <v>1030</v>
      </c>
      <c r="Q46" s="147">
        <v>220000302</v>
      </c>
      <c r="R46" s="145" t="str">
        <f t="shared" si="4"/>
        <v>UITexture/ItemRes/220000302.png</v>
      </c>
      <c r="S46" s="146" t="s">
        <v>831</v>
      </c>
      <c r="T46" s="249"/>
      <c r="U46" s="146">
        <v>0</v>
      </c>
      <c r="V46" s="146">
        <v>0</v>
      </c>
      <c r="W46" s="146">
        <v>3</v>
      </c>
      <c r="X46" s="145">
        <f t="shared" si="14"/>
        <v>220000303</v>
      </c>
      <c r="Y46" s="249"/>
      <c r="Z46" s="146">
        <v>1</v>
      </c>
    </row>
    <row r="47" spans="1:26" s="145" customFormat="1" x14ac:dyDescent="0.15">
      <c r="A47" s="145">
        <f t="shared" si="13"/>
        <v>220000303</v>
      </c>
      <c r="B47" s="147">
        <v>22</v>
      </c>
      <c r="C47" s="147">
        <v>0</v>
      </c>
      <c r="D47" s="147">
        <v>0</v>
      </c>
      <c r="E47" s="147">
        <v>3</v>
      </c>
      <c r="F47" s="148">
        <f t="shared" si="11"/>
        <v>3</v>
      </c>
      <c r="G47" s="249"/>
      <c r="H47" s="146">
        <v>3</v>
      </c>
      <c r="I47" s="249"/>
      <c r="J47" s="146" t="s">
        <v>1228</v>
      </c>
      <c r="K47" s="146" t="s">
        <v>912</v>
      </c>
      <c r="L47" s="147" t="s">
        <v>1202</v>
      </c>
      <c r="M47" s="147" t="s">
        <v>611</v>
      </c>
      <c r="N47" s="146">
        <v>1</v>
      </c>
      <c r="O47" s="146">
        <v>4</v>
      </c>
      <c r="P47" s="147" t="s">
        <v>1030</v>
      </c>
      <c r="Q47" s="147">
        <v>220000303</v>
      </c>
      <c r="R47" s="145" t="str">
        <f t="shared" si="4"/>
        <v>UITexture/ItemRes/220000303.png</v>
      </c>
      <c r="S47" s="146" t="s">
        <v>832</v>
      </c>
      <c r="T47" s="249"/>
      <c r="U47" s="146">
        <v>0</v>
      </c>
      <c r="V47" s="146">
        <v>0</v>
      </c>
      <c r="W47" s="146">
        <v>3</v>
      </c>
      <c r="X47" s="145">
        <f t="shared" si="14"/>
        <v>220000304</v>
      </c>
      <c r="Y47" s="249"/>
      <c r="Z47" s="146">
        <v>1</v>
      </c>
    </row>
    <row r="48" spans="1:26" s="145" customFormat="1" x14ac:dyDescent="0.15">
      <c r="A48" s="145">
        <f t="shared" si="13"/>
        <v>220000304</v>
      </c>
      <c r="B48" s="147">
        <v>22</v>
      </c>
      <c r="C48" s="147">
        <v>0</v>
      </c>
      <c r="D48" s="147">
        <v>0</v>
      </c>
      <c r="E48" s="147">
        <v>3</v>
      </c>
      <c r="F48" s="148">
        <f t="shared" si="11"/>
        <v>4</v>
      </c>
      <c r="G48" s="249"/>
      <c r="H48" s="146">
        <v>4</v>
      </c>
      <c r="I48" s="249"/>
      <c r="J48" s="146" t="s">
        <v>1228</v>
      </c>
      <c r="K48" s="146" t="s">
        <v>913</v>
      </c>
      <c r="L48" s="147" t="s">
        <v>1203</v>
      </c>
      <c r="M48" s="147" t="s">
        <v>612</v>
      </c>
      <c r="N48" s="146">
        <v>1</v>
      </c>
      <c r="O48" s="146">
        <v>4</v>
      </c>
      <c r="P48" s="147" t="s">
        <v>1030</v>
      </c>
      <c r="Q48" s="147">
        <v>220000304</v>
      </c>
      <c r="R48" s="145" t="str">
        <f t="shared" si="4"/>
        <v>UITexture/ItemRes/220000304.png</v>
      </c>
      <c r="S48" s="146" t="s">
        <v>833</v>
      </c>
      <c r="T48" s="249"/>
      <c r="U48" s="146">
        <v>0</v>
      </c>
      <c r="V48" s="146">
        <v>0</v>
      </c>
      <c r="W48" s="146">
        <v>3</v>
      </c>
      <c r="X48" s="145">
        <f t="shared" si="14"/>
        <v>220000305</v>
      </c>
      <c r="Y48" s="249"/>
      <c r="Z48" s="146">
        <v>1</v>
      </c>
    </row>
    <row r="49" spans="1:26" s="145" customFormat="1" x14ac:dyDescent="0.15">
      <c r="A49" s="145">
        <f t="shared" si="13"/>
        <v>220000305</v>
      </c>
      <c r="B49" s="147">
        <v>22</v>
      </c>
      <c r="C49" s="147">
        <v>0</v>
      </c>
      <c r="D49" s="147">
        <v>0</v>
      </c>
      <c r="E49" s="147">
        <v>3</v>
      </c>
      <c r="F49" s="148">
        <f t="shared" si="11"/>
        <v>5</v>
      </c>
      <c r="G49" s="249"/>
      <c r="H49" s="146">
        <v>5</v>
      </c>
      <c r="I49" s="249"/>
      <c r="J49" s="146" t="s">
        <v>1228</v>
      </c>
      <c r="K49" s="146" t="s">
        <v>914</v>
      </c>
      <c r="L49" s="147" t="s">
        <v>1204</v>
      </c>
      <c r="M49" s="147" t="s">
        <v>613</v>
      </c>
      <c r="N49" s="146">
        <v>0</v>
      </c>
      <c r="O49" s="146">
        <v>4</v>
      </c>
      <c r="P49" s="147" t="s">
        <v>1030</v>
      </c>
      <c r="Q49" s="147">
        <v>220000305</v>
      </c>
      <c r="R49" s="145" t="str">
        <f t="shared" si="4"/>
        <v>UITexture/ItemRes/220000305.png</v>
      </c>
      <c r="S49" s="146" t="s">
        <v>834</v>
      </c>
      <c r="T49" s="249"/>
      <c r="U49" s="146">
        <v>0</v>
      </c>
      <c r="V49" s="146">
        <v>0</v>
      </c>
      <c r="W49" s="146">
        <v>3</v>
      </c>
      <c r="X49" s="145">
        <f t="shared" si="14"/>
        <v>220000306</v>
      </c>
      <c r="Y49" s="249"/>
      <c r="Z49" s="146">
        <v>1</v>
      </c>
    </row>
    <row r="50" spans="1:26" s="145" customFormat="1" x14ac:dyDescent="0.15">
      <c r="A50" s="145">
        <f t="shared" si="13"/>
        <v>220000306</v>
      </c>
      <c r="B50" s="147">
        <v>22</v>
      </c>
      <c r="C50" s="147">
        <v>0</v>
      </c>
      <c r="D50" s="147">
        <v>0</v>
      </c>
      <c r="E50" s="147">
        <v>3</v>
      </c>
      <c r="F50" s="148">
        <f t="shared" si="11"/>
        <v>6</v>
      </c>
      <c r="G50" s="249"/>
      <c r="H50" s="146">
        <v>6</v>
      </c>
      <c r="I50" s="249"/>
      <c r="J50" s="146" t="s">
        <v>1228</v>
      </c>
      <c r="K50" s="146" t="s">
        <v>915</v>
      </c>
      <c r="L50" s="147" t="s">
        <v>1205</v>
      </c>
      <c r="M50" s="147" t="s">
        <v>614</v>
      </c>
      <c r="N50" s="146">
        <v>0</v>
      </c>
      <c r="O50" s="146">
        <v>4</v>
      </c>
      <c r="P50" s="147" t="s">
        <v>1030</v>
      </c>
      <c r="Q50" s="147">
        <v>220000306</v>
      </c>
      <c r="R50" s="145" t="str">
        <f t="shared" si="4"/>
        <v>UITexture/ItemRes/220000306.png</v>
      </c>
      <c r="S50" s="146" t="s">
        <v>835</v>
      </c>
      <c r="T50" s="249"/>
      <c r="U50" s="146">
        <v>0</v>
      </c>
      <c r="V50" s="146">
        <v>0</v>
      </c>
      <c r="W50" s="146">
        <v>3</v>
      </c>
      <c r="X50" s="145">
        <f t="shared" si="14"/>
        <v>220000307</v>
      </c>
      <c r="Y50" s="249"/>
      <c r="Z50" s="146">
        <v>1</v>
      </c>
    </row>
    <row r="51" spans="1:26" s="145" customFormat="1" x14ac:dyDescent="0.15">
      <c r="A51" s="145">
        <f t="shared" si="13"/>
        <v>220000307</v>
      </c>
      <c r="B51" s="147">
        <v>22</v>
      </c>
      <c r="C51" s="147">
        <v>0</v>
      </c>
      <c r="D51" s="147">
        <v>0</v>
      </c>
      <c r="E51" s="147">
        <v>3</v>
      </c>
      <c r="F51" s="148">
        <f t="shared" si="11"/>
        <v>7</v>
      </c>
      <c r="G51" s="249"/>
      <c r="H51" s="146">
        <v>7</v>
      </c>
      <c r="I51" s="249"/>
      <c r="J51" s="146" t="s">
        <v>1228</v>
      </c>
      <c r="K51" s="146" t="s">
        <v>916</v>
      </c>
      <c r="L51" s="147" t="s">
        <v>1206</v>
      </c>
      <c r="M51" s="147" t="s">
        <v>615</v>
      </c>
      <c r="N51" s="146">
        <v>0</v>
      </c>
      <c r="O51" s="146">
        <v>4</v>
      </c>
      <c r="P51" s="147" t="s">
        <v>1030</v>
      </c>
      <c r="Q51" s="147">
        <v>220000307</v>
      </c>
      <c r="R51" s="145" t="str">
        <f t="shared" si="4"/>
        <v>UITexture/ItemRes/220000307.png</v>
      </c>
      <c r="S51" s="146" t="s">
        <v>836</v>
      </c>
      <c r="T51" s="249"/>
      <c r="U51" s="146">
        <v>0</v>
      </c>
      <c r="V51" s="146">
        <v>0</v>
      </c>
      <c r="W51" s="146">
        <v>3</v>
      </c>
      <c r="X51" s="145">
        <f t="shared" si="14"/>
        <v>220000308</v>
      </c>
      <c r="Y51" s="249"/>
      <c r="Z51" s="146">
        <v>1</v>
      </c>
    </row>
    <row r="52" spans="1:26" s="145" customFormat="1" x14ac:dyDescent="0.15">
      <c r="A52" s="145">
        <f t="shared" si="13"/>
        <v>220000308</v>
      </c>
      <c r="B52" s="147">
        <v>22</v>
      </c>
      <c r="C52" s="147">
        <v>0</v>
      </c>
      <c r="D52" s="147">
        <v>0</v>
      </c>
      <c r="E52" s="147">
        <v>3</v>
      </c>
      <c r="F52" s="148">
        <f t="shared" si="11"/>
        <v>8</v>
      </c>
      <c r="G52" s="249"/>
      <c r="H52" s="146">
        <v>8</v>
      </c>
      <c r="I52" s="249"/>
      <c r="J52" s="146" t="s">
        <v>1228</v>
      </c>
      <c r="K52" s="146" t="s">
        <v>917</v>
      </c>
      <c r="L52" s="147" t="s">
        <v>1207</v>
      </c>
      <c r="M52" s="147" t="s">
        <v>616</v>
      </c>
      <c r="N52" s="146">
        <v>0</v>
      </c>
      <c r="O52" s="146">
        <v>4</v>
      </c>
      <c r="P52" s="147" t="s">
        <v>1030</v>
      </c>
      <c r="Q52" s="147">
        <v>220000308</v>
      </c>
      <c r="R52" s="145" t="str">
        <f t="shared" si="4"/>
        <v>UITexture/ItemRes/220000308.png</v>
      </c>
      <c r="S52" s="146" t="s">
        <v>837</v>
      </c>
      <c r="T52" s="249"/>
      <c r="U52" s="146">
        <v>0</v>
      </c>
      <c r="V52" s="146">
        <v>0</v>
      </c>
      <c r="W52" s="146">
        <v>3</v>
      </c>
      <c r="X52" s="145">
        <f t="shared" si="14"/>
        <v>220000309</v>
      </c>
      <c r="Y52" s="249"/>
      <c r="Z52" s="146">
        <v>1</v>
      </c>
    </row>
    <row r="53" spans="1:26" s="145" customFormat="1" x14ac:dyDescent="0.15">
      <c r="A53" s="145">
        <f t="shared" si="13"/>
        <v>220000309</v>
      </c>
      <c r="B53" s="147">
        <v>22</v>
      </c>
      <c r="C53" s="147">
        <v>0</v>
      </c>
      <c r="D53" s="147">
        <v>0</v>
      </c>
      <c r="E53" s="147">
        <v>3</v>
      </c>
      <c r="F53" s="148">
        <f t="shared" si="11"/>
        <v>9</v>
      </c>
      <c r="G53" s="249"/>
      <c r="H53" s="146">
        <v>9</v>
      </c>
      <c r="I53" s="249"/>
      <c r="J53" s="146" t="s">
        <v>1228</v>
      </c>
      <c r="K53" s="146" t="s">
        <v>918</v>
      </c>
      <c r="L53" s="147" t="s">
        <v>1208</v>
      </c>
      <c r="M53" s="147" t="s">
        <v>617</v>
      </c>
      <c r="N53" s="146">
        <v>0</v>
      </c>
      <c r="O53" s="146">
        <v>4</v>
      </c>
      <c r="P53" s="147" t="s">
        <v>1030</v>
      </c>
      <c r="Q53" s="147">
        <v>220000309</v>
      </c>
      <c r="R53" s="145" t="str">
        <f t="shared" si="4"/>
        <v>UITexture/ItemRes/220000309.png</v>
      </c>
      <c r="S53" s="146" t="s">
        <v>838</v>
      </c>
      <c r="T53" s="249"/>
      <c r="U53" s="146">
        <v>0</v>
      </c>
      <c r="V53" s="146">
        <v>0</v>
      </c>
      <c r="W53" s="146">
        <v>3</v>
      </c>
      <c r="X53" s="145">
        <f t="shared" si="14"/>
        <v>220000310</v>
      </c>
      <c r="Y53" s="249"/>
      <c r="Z53" s="146">
        <v>1</v>
      </c>
    </row>
    <row r="54" spans="1:26" s="145" customFormat="1" x14ac:dyDescent="0.15">
      <c r="A54" s="145">
        <f t="shared" si="13"/>
        <v>220000310</v>
      </c>
      <c r="B54" s="147">
        <v>22</v>
      </c>
      <c r="C54" s="147">
        <v>0</v>
      </c>
      <c r="D54" s="147">
        <v>0</v>
      </c>
      <c r="E54" s="147">
        <v>3</v>
      </c>
      <c r="F54" s="148">
        <f t="shared" si="11"/>
        <v>10</v>
      </c>
      <c r="G54" s="249"/>
      <c r="H54" s="146">
        <v>10</v>
      </c>
      <c r="I54" s="249"/>
      <c r="J54" s="146" t="s">
        <v>1228</v>
      </c>
      <c r="K54" s="146" t="s">
        <v>919</v>
      </c>
      <c r="L54" s="147" t="s">
        <v>1209</v>
      </c>
      <c r="M54" s="147" t="s">
        <v>618</v>
      </c>
      <c r="N54" s="146">
        <v>0</v>
      </c>
      <c r="O54" s="146">
        <v>4</v>
      </c>
      <c r="P54" s="147" t="s">
        <v>1030</v>
      </c>
      <c r="Q54" s="147">
        <v>220000310</v>
      </c>
      <c r="R54" s="145" t="str">
        <f t="shared" si="4"/>
        <v>UITexture/ItemRes/220000310.png</v>
      </c>
      <c r="S54" s="146" t="s">
        <v>839</v>
      </c>
      <c r="T54" s="249"/>
      <c r="U54" s="146">
        <v>0</v>
      </c>
      <c r="V54" s="146">
        <v>0</v>
      </c>
      <c r="W54" s="146">
        <v>3</v>
      </c>
      <c r="X54" s="145">
        <f t="shared" si="14"/>
        <v>220000311</v>
      </c>
      <c r="Y54" s="249"/>
      <c r="Z54" s="146">
        <v>1</v>
      </c>
    </row>
    <row r="55" spans="1:26" s="145" customFormat="1" x14ac:dyDescent="0.15">
      <c r="A55" s="145">
        <f t="shared" si="13"/>
        <v>220000311</v>
      </c>
      <c r="B55" s="147">
        <v>22</v>
      </c>
      <c r="C55" s="147">
        <v>0</v>
      </c>
      <c r="D55" s="147">
        <v>0</v>
      </c>
      <c r="E55" s="147">
        <v>3</v>
      </c>
      <c r="F55" s="148">
        <f t="shared" si="11"/>
        <v>11</v>
      </c>
      <c r="G55" s="249"/>
      <c r="H55" s="146">
        <v>11</v>
      </c>
      <c r="I55" s="249"/>
      <c r="J55" s="146" t="s">
        <v>1228</v>
      </c>
      <c r="K55" s="146" t="s">
        <v>920</v>
      </c>
      <c r="L55" s="147" t="s">
        <v>619</v>
      </c>
      <c r="M55" s="147" t="s">
        <v>619</v>
      </c>
      <c r="N55" s="146">
        <v>0</v>
      </c>
      <c r="O55" s="146">
        <v>4</v>
      </c>
      <c r="P55" s="147" t="s">
        <v>1030</v>
      </c>
      <c r="Q55" s="147">
        <v>220000311</v>
      </c>
      <c r="R55" s="145" t="str">
        <f t="shared" si="4"/>
        <v>UITexture/ItemRes/220000311.png</v>
      </c>
      <c r="S55" s="146" t="s">
        <v>840</v>
      </c>
      <c r="T55" s="249"/>
      <c r="U55" s="146">
        <v>0</v>
      </c>
      <c r="V55" s="146">
        <v>0</v>
      </c>
      <c r="W55" s="146">
        <v>3</v>
      </c>
      <c r="X55" s="145">
        <f t="shared" si="14"/>
        <v>220000312</v>
      </c>
      <c r="Y55" s="249"/>
      <c r="Z55" s="146">
        <v>1</v>
      </c>
    </row>
    <row r="56" spans="1:26" s="145" customFormat="1" x14ac:dyDescent="0.15">
      <c r="A56" s="145">
        <f t="shared" si="13"/>
        <v>220000312</v>
      </c>
      <c r="B56" s="147">
        <v>22</v>
      </c>
      <c r="C56" s="147">
        <v>0</v>
      </c>
      <c r="D56" s="147">
        <v>0</v>
      </c>
      <c r="E56" s="147">
        <v>3</v>
      </c>
      <c r="F56" s="148">
        <f t="shared" si="11"/>
        <v>12</v>
      </c>
      <c r="G56" s="249"/>
      <c r="H56" s="146">
        <v>12</v>
      </c>
      <c r="I56" s="249"/>
      <c r="J56" s="146" t="s">
        <v>1228</v>
      </c>
      <c r="K56" s="146" t="s">
        <v>921</v>
      </c>
      <c r="L56" s="147" t="s">
        <v>620</v>
      </c>
      <c r="M56" s="147" t="s">
        <v>620</v>
      </c>
      <c r="N56" s="146">
        <v>0</v>
      </c>
      <c r="O56" s="146">
        <v>4</v>
      </c>
      <c r="P56" s="147" t="s">
        <v>1030</v>
      </c>
      <c r="Q56" s="147">
        <v>220000312</v>
      </c>
      <c r="R56" s="145" t="str">
        <f t="shared" si="4"/>
        <v>UITexture/ItemRes/220000312.png</v>
      </c>
      <c r="S56" s="146" t="s">
        <v>841</v>
      </c>
      <c r="T56" s="249"/>
      <c r="U56" s="146">
        <v>0</v>
      </c>
      <c r="V56" s="146">
        <v>0</v>
      </c>
      <c r="W56" s="146">
        <v>3</v>
      </c>
      <c r="X56" s="145">
        <f t="shared" si="14"/>
        <v>220000313</v>
      </c>
      <c r="Y56" s="249"/>
      <c r="Z56" s="146">
        <v>1</v>
      </c>
    </row>
    <row r="57" spans="1:26" s="145" customFormat="1" x14ac:dyDescent="0.15">
      <c r="A57" s="145">
        <f t="shared" si="13"/>
        <v>220000313</v>
      </c>
      <c r="B57" s="147">
        <v>22</v>
      </c>
      <c r="C57" s="147">
        <v>0</v>
      </c>
      <c r="D57" s="147">
        <v>0</v>
      </c>
      <c r="E57" s="147">
        <v>3</v>
      </c>
      <c r="F57" s="148">
        <f t="shared" si="11"/>
        <v>13</v>
      </c>
      <c r="G57" s="249"/>
      <c r="H57" s="146">
        <v>13</v>
      </c>
      <c r="I57" s="249"/>
      <c r="J57" s="146" t="s">
        <v>1228</v>
      </c>
      <c r="K57" s="146" t="s">
        <v>922</v>
      </c>
      <c r="L57" s="147" t="s">
        <v>621</v>
      </c>
      <c r="M57" s="147" t="s">
        <v>621</v>
      </c>
      <c r="N57" s="146">
        <v>0</v>
      </c>
      <c r="O57" s="146">
        <v>4</v>
      </c>
      <c r="P57" s="147" t="s">
        <v>1030</v>
      </c>
      <c r="Q57" s="147">
        <v>220000313</v>
      </c>
      <c r="R57" s="145" t="str">
        <f t="shared" si="4"/>
        <v>UITexture/ItemRes/220000313.png</v>
      </c>
      <c r="S57" s="146" t="s">
        <v>842</v>
      </c>
      <c r="T57" s="249"/>
      <c r="U57" s="146">
        <v>0</v>
      </c>
      <c r="V57" s="146">
        <v>0</v>
      </c>
      <c r="W57" s="146">
        <v>3</v>
      </c>
      <c r="X57" s="145">
        <f t="shared" si="14"/>
        <v>220000314</v>
      </c>
      <c r="Y57" s="249"/>
      <c r="Z57" s="146">
        <v>1</v>
      </c>
    </row>
    <row r="58" spans="1:26" s="145" customFormat="1" x14ac:dyDescent="0.15">
      <c r="A58" s="145">
        <f t="shared" si="13"/>
        <v>220000314</v>
      </c>
      <c r="B58" s="147">
        <v>22</v>
      </c>
      <c r="C58" s="147">
        <v>0</v>
      </c>
      <c r="D58" s="147">
        <v>0</v>
      </c>
      <c r="E58" s="147">
        <v>3</v>
      </c>
      <c r="F58" s="148">
        <f t="shared" si="11"/>
        <v>14</v>
      </c>
      <c r="G58" s="249"/>
      <c r="H58" s="146">
        <v>14</v>
      </c>
      <c r="I58" s="249"/>
      <c r="J58" s="146" t="s">
        <v>1228</v>
      </c>
      <c r="K58" s="146" t="s">
        <v>923</v>
      </c>
      <c r="L58" s="147" t="s">
        <v>622</v>
      </c>
      <c r="M58" s="147" t="s">
        <v>622</v>
      </c>
      <c r="N58" s="146">
        <v>0</v>
      </c>
      <c r="O58" s="146">
        <v>4</v>
      </c>
      <c r="P58" s="147" t="s">
        <v>1030</v>
      </c>
      <c r="Q58" s="147">
        <v>220000314</v>
      </c>
      <c r="R58" s="145" t="str">
        <f t="shared" si="4"/>
        <v>UITexture/ItemRes/220000314.png</v>
      </c>
      <c r="S58" s="146" t="s">
        <v>843</v>
      </c>
      <c r="T58" s="249"/>
      <c r="U58" s="146">
        <v>0</v>
      </c>
      <c r="V58" s="146">
        <v>0</v>
      </c>
      <c r="W58" s="146">
        <v>3</v>
      </c>
      <c r="X58" s="145">
        <f t="shared" si="14"/>
        <v>220000315</v>
      </c>
      <c r="Y58" s="249"/>
      <c r="Z58" s="146">
        <v>1</v>
      </c>
    </row>
    <row r="59" spans="1:26" s="145" customFormat="1" x14ac:dyDescent="0.15">
      <c r="A59" s="145">
        <f t="shared" si="13"/>
        <v>220000315</v>
      </c>
      <c r="B59" s="147">
        <v>22</v>
      </c>
      <c r="C59" s="147">
        <v>0</v>
      </c>
      <c r="D59" s="147">
        <v>0</v>
      </c>
      <c r="E59" s="147">
        <v>3</v>
      </c>
      <c r="F59" s="148">
        <f t="shared" si="11"/>
        <v>15</v>
      </c>
      <c r="G59" s="249"/>
      <c r="H59" s="146">
        <v>15</v>
      </c>
      <c r="I59" s="249"/>
      <c r="J59" s="146" t="s">
        <v>1228</v>
      </c>
      <c r="K59" s="146" t="s">
        <v>924</v>
      </c>
      <c r="L59" s="147" t="s">
        <v>623</v>
      </c>
      <c r="M59" s="147" t="s">
        <v>623</v>
      </c>
      <c r="N59" s="146">
        <v>0</v>
      </c>
      <c r="O59" s="146">
        <v>4</v>
      </c>
      <c r="P59" s="147" t="s">
        <v>1030</v>
      </c>
      <c r="Q59" s="147">
        <v>220000315</v>
      </c>
      <c r="R59" s="145" t="str">
        <f t="shared" si="4"/>
        <v>UITexture/ItemRes/220000315.png</v>
      </c>
      <c r="S59" s="146" t="s">
        <v>844</v>
      </c>
      <c r="T59" s="249"/>
      <c r="U59" s="146">
        <v>0</v>
      </c>
      <c r="V59" s="146">
        <v>0</v>
      </c>
      <c r="W59" s="146">
        <v>3</v>
      </c>
      <c r="X59" s="145">
        <f t="shared" si="14"/>
        <v>220000316</v>
      </c>
      <c r="Y59" s="249"/>
      <c r="Z59" s="146">
        <v>1</v>
      </c>
    </row>
    <row r="60" spans="1:26" s="145" customFormat="1" x14ac:dyDescent="0.15">
      <c r="A60" s="145">
        <f t="shared" ref="A60:A61" si="15">B60*10000000+C60*1000000+D60*10000+E60*100+F60</f>
        <v>220000316</v>
      </c>
      <c r="B60" s="147">
        <v>22</v>
      </c>
      <c r="C60" s="147">
        <v>0</v>
      </c>
      <c r="D60" s="147">
        <v>0</v>
      </c>
      <c r="E60" s="147">
        <v>3</v>
      </c>
      <c r="F60" s="148">
        <f t="shared" si="11"/>
        <v>16</v>
      </c>
      <c r="G60" s="249"/>
      <c r="H60" s="146">
        <v>16</v>
      </c>
      <c r="I60" s="249"/>
      <c r="J60" s="146" t="s">
        <v>1228</v>
      </c>
      <c r="K60" s="146" t="s">
        <v>925</v>
      </c>
      <c r="L60" s="147" t="s">
        <v>624</v>
      </c>
      <c r="M60" s="147" t="s">
        <v>624</v>
      </c>
      <c r="N60" s="146">
        <v>0</v>
      </c>
      <c r="O60" s="146">
        <v>4</v>
      </c>
      <c r="P60" s="147" t="s">
        <v>1030</v>
      </c>
      <c r="Q60" s="147">
        <v>220000316</v>
      </c>
      <c r="R60" s="145" t="str">
        <f t="shared" si="4"/>
        <v>UITexture/ItemRes/220000316.png</v>
      </c>
      <c r="S60" s="146" t="s">
        <v>845</v>
      </c>
      <c r="T60" s="249"/>
      <c r="U60" s="146">
        <v>0</v>
      </c>
      <c r="V60" s="146">
        <v>0</v>
      </c>
      <c r="W60" s="146">
        <v>3</v>
      </c>
      <c r="X60" s="145">
        <f t="shared" si="14"/>
        <v>220000317</v>
      </c>
      <c r="Y60" s="249"/>
      <c r="Z60" s="146">
        <v>1</v>
      </c>
    </row>
    <row r="61" spans="1:26" s="145" customFormat="1" x14ac:dyDescent="0.15">
      <c r="A61" s="145">
        <f t="shared" si="15"/>
        <v>220000317</v>
      </c>
      <c r="B61" s="147">
        <v>22</v>
      </c>
      <c r="C61" s="147">
        <v>0</v>
      </c>
      <c r="D61" s="147">
        <v>0</v>
      </c>
      <c r="E61" s="147">
        <v>3</v>
      </c>
      <c r="F61" s="148">
        <f t="shared" si="11"/>
        <v>17</v>
      </c>
      <c r="G61" s="249"/>
      <c r="H61" s="146">
        <v>17</v>
      </c>
      <c r="I61" s="249"/>
      <c r="J61" s="146" t="s">
        <v>1228</v>
      </c>
      <c r="K61" s="146" t="s">
        <v>926</v>
      </c>
      <c r="L61" s="147" t="s">
        <v>625</v>
      </c>
      <c r="M61" s="147" t="s">
        <v>625</v>
      </c>
      <c r="N61" s="146">
        <v>0</v>
      </c>
      <c r="O61" s="146">
        <v>4</v>
      </c>
      <c r="P61" s="147" t="s">
        <v>1030</v>
      </c>
      <c r="Q61" s="147">
        <v>220000317</v>
      </c>
      <c r="R61" s="145" t="str">
        <f t="shared" si="4"/>
        <v>UITexture/ItemRes/220000317.png</v>
      </c>
      <c r="S61" s="146" t="s">
        <v>846</v>
      </c>
      <c r="T61" s="249"/>
      <c r="U61" s="146">
        <v>0</v>
      </c>
      <c r="V61" s="146">
        <v>0</v>
      </c>
      <c r="W61" s="146">
        <v>3</v>
      </c>
      <c r="X61" s="145">
        <f t="shared" si="14"/>
        <v>220000318</v>
      </c>
      <c r="Y61" s="249"/>
      <c r="Z61" s="146">
        <v>1</v>
      </c>
    </row>
    <row r="62" spans="1:26" s="145" customFormat="1" x14ac:dyDescent="0.15">
      <c r="A62" s="145">
        <f t="shared" si="13"/>
        <v>220000318</v>
      </c>
      <c r="B62" s="147">
        <v>22</v>
      </c>
      <c r="C62" s="147">
        <v>0</v>
      </c>
      <c r="D62" s="147">
        <v>0</v>
      </c>
      <c r="E62" s="147">
        <v>3</v>
      </c>
      <c r="F62" s="148">
        <f t="shared" si="11"/>
        <v>18</v>
      </c>
      <c r="G62" s="249"/>
      <c r="H62" s="146">
        <v>18</v>
      </c>
      <c r="I62" s="249"/>
      <c r="J62" s="146" t="s">
        <v>1228</v>
      </c>
      <c r="K62" s="146" t="s">
        <v>927</v>
      </c>
      <c r="L62" s="147" t="s">
        <v>626</v>
      </c>
      <c r="M62" s="147" t="s">
        <v>626</v>
      </c>
      <c r="N62" s="146">
        <v>0</v>
      </c>
      <c r="O62" s="146">
        <v>4</v>
      </c>
      <c r="P62" s="147" t="s">
        <v>1030</v>
      </c>
      <c r="Q62" s="147">
        <v>220000318</v>
      </c>
      <c r="R62" s="145" t="str">
        <f t="shared" si="4"/>
        <v>UITexture/ItemRes/220000318.png</v>
      </c>
      <c r="S62" s="146" t="s">
        <v>847</v>
      </c>
      <c r="T62" s="249"/>
      <c r="U62" s="146">
        <v>0</v>
      </c>
      <c r="V62" s="146">
        <v>0</v>
      </c>
      <c r="W62" s="146">
        <v>3</v>
      </c>
      <c r="X62" s="145">
        <f t="shared" si="14"/>
        <v>220000319</v>
      </c>
      <c r="Y62" s="249"/>
      <c r="Z62" s="146">
        <v>1</v>
      </c>
    </row>
    <row r="63" spans="1:26" s="145" customFormat="1" x14ac:dyDescent="0.15">
      <c r="A63" s="145">
        <f t="shared" si="13"/>
        <v>220000319</v>
      </c>
      <c r="B63" s="147">
        <v>22</v>
      </c>
      <c r="C63" s="147">
        <v>0</v>
      </c>
      <c r="D63" s="147">
        <v>0</v>
      </c>
      <c r="E63" s="147">
        <v>3</v>
      </c>
      <c r="F63" s="148">
        <f t="shared" si="11"/>
        <v>19</v>
      </c>
      <c r="G63" s="249"/>
      <c r="H63" s="146">
        <v>19</v>
      </c>
      <c r="I63" s="249"/>
      <c r="J63" s="146" t="s">
        <v>1228</v>
      </c>
      <c r="K63" s="146" t="s">
        <v>928</v>
      </c>
      <c r="L63" s="147" t="s">
        <v>714</v>
      </c>
      <c r="M63" s="147" t="s">
        <v>714</v>
      </c>
      <c r="N63" s="146">
        <v>0</v>
      </c>
      <c r="O63" s="146">
        <v>4</v>
      </c>
      <c r="P63" s="147" t="s">
        <v>1030</v>
      </c>
      <c r="Q63" s="147">
        <v>220000319</v>
      </c>
      <c r="R63" s="145" t="str">
        <f t="shared" si="4"/>
        <v>UITexture/ItemRes/220000319.png</v>
      </c>
      <c r="S63" s="146" t="s">
        <v>848</v>
      </c>
      <c r="T63" s="249"/>
      <c r="U63" s="146">
        <v>0</v>
      </c>
      <c r="V63" s="146">
        <v>0</v>
      </c>
      <c r="W63" s="146">
        <v>3</v>
      </c>
      <c r="X63" s="145">
        <f t="shared" si="14"/>
        <v>220000320</v>
      </c>
      <c r="Y63" s="249"/>
      <c r="Z63" s="146">
        <v>1</v>
      </c>
    </row>
    <row r="64" spans="1:26" s="145" customFormat="1" ht="17.25" thickBot="1" x14ac:dyDescent="0.2">
      <c r="A64" s="145">
        <f t="shared" ref="A64:A83" si="16">B64*10000000+C64*1000000+D64*10000+E64*100+F64</f>
        <v>220000320</v>
      </c>
      <c r="B64" s="147">
        <v>22</v>
      </c>
      <c r="C64" s="147">
        <v>0</v>
      </c>
      <c r="D64" s="147">
        <v>0</v>
      </c>
      <c r="E64" s="147">
        <v>3</v>
      </c>
      <c r="F64" s="148">
        <f t="shared" si="11"/>
        <v>20</v>
      </c>
      <c r="G64" s="249"/>
      <c r="H64" s="146">
        <v>20</v>
      </c>
      <c r="I64" s="249"/>
      <c r="J64" s="146" t="s">
        <v>1228</v>
      </c>
      <c r="K64" s="146" t="s">
        <v>929</v>
      </c>
      <c r="L64" s="147" t="s">
        <v>715</v>
      </c>
      <c r="M64" s="147" t="s">
        <v>715</v>
      </c>
      <c r="N64" s="146">
        <v>0</v>
      </c>
      <c r="O64" s="146">
        <v>4</v>
      </c>
      <c r="P64" s="147" t="s">
        <v>1030</v>
      </c>
      <c r="Q64" s="147">
        <v>220000320</v>
      </c>
      <c r="R64" s="145" t="str">
        <f t="shared" si="4"/>
        <v>UITexture/ItemRes/220000320.png</v>
      </c>
      <c r="S64" s="146" t="s">
        <v>849</v>
      </c>
      <c r="T64" s="249"/>
      <c r="U64" s="146">
        <v>0</v>
      </c>
      <c r="V64" s="146">
        <v>0</v>
      </c>
      <c r="W64" s="146">
        <v>3</v>
      </c>
      <c r="X64" s="145">
        <v>-1</v>
      </c>
      <c r="Y64" s="249"/>
      <c r="Z64" s="146">
        <v>1</v>
      </c>
    </row>
    <row r="65" spans="1:26" s="149" customFormat="1" x14ac:dyDescent="0.15">
      <c r="A65" s="149">
        <f t="shared" si="16"/>
        <v>220000401</v>
      </c>
      <c r="B65" s="151">
        <v>22</v>
      </c>
      <c r="C65" s="151">
        <v>0</v>
      </c>
      <c r="D65" s="151">
        <v>0</v>
      </c>
      <c r="E65" s="151">
        <v>4</v>
      </c>
      <c r="F65" s="152">
        <f t="shared" si="11"/>
        <v>1</v>
      </c>
      <c r="G65" s="248"/>
      <c r="H65" s="150">
        <v>1</v>
      </c>
      <c r="I65" s="248"/>
      <c r="J65" s="150" t="s">
        <v>1228</v>
      </c>
      <c r="K65" s="150" t="s">
        <v>930</v>
      </c>
      <c r="L65" s="151" t="s">
        <v>1210</v>
      </c>
      <c r="M65" s="151" t="s">
        <v>627</v>
      </c>
      <c r="N65" s="150">
        <v>1</v>
      </c>
      <c r="O65" s="150">
        <v>4</v>
      </c>
      <c r="P65" s="151" t="s">
        <v>1030</v>
      </c>
      <c r="Q65" s="151">
        <v>220000401</v>
      </c>
      <c r="R65" s="149" t="str">
        <f t="shared" si="4"/>
        <v>UITexture/ItemRes/220000401.png</v>
      </c>
      <c r="S65" s="150" t="s">
        <v>850</v>
      </c>
      <c r="T65" s="248"/>
      <c r="U65" s="150">
        <v>0</v>
      </c>
      <c r="V65" s="150">
        <v>0</v>
      </c>
      <c r="W65" s="150">
        <v>3</v>
      </c>
      <c r="X65" s="149">
        <f t="shared" ref="X65:X83" si="17">A66</f>
        <v>220000402</v>
      </c>
      <c r="Y65" s="248"/>
      <c r="Z65" s="150">
        <v>1</v>
      </c>
    </row>
    <row r="66" spans="1:26" s="145" customFormat="1" x14ac:dyDescent="0.15">
      <c r="A66" s="145">
        <f t="shared" si="16"/>
        <v>220000402</v>
      </c>
      <c r="B66" s="147">
        <v>22</v>
      </c>
      <c r="C66" s="147">
        <v>0</v>
      </c>
      <c r="D66" s="147">
        <v>0</v>
      </c>
      <c r="E66" s="147">
        <v>4</v>
      </c>
      <c r="F66" s="148">
        <f t="shared" si="11"/>
        <v>2</v>
      </c>
      <c r="G66" s="249"/>
      <c r="H66" s="146">
        <v>2</v>
      </c>
      <c r="I66" s="249"/>
      <c r="J66" s="146" t="s">
        <v>1228</v>
      </c>
      <c r="K66" s="146" t="s">
        <v>931</v>
      </c>
      <c r="L66" s="147" t="s">
        <v>1211</v>
      </c>
      <c r="M66" s="147" t="s">
        <v>628</v>
      </c>
      <c r="N66" s="146">
        <v>1</v>
      </c>
      <c r="O66" s="146">
        <v>4</v>
      </c>
      <c r="P66" s="147" t="s">
        <v>1030</v>
      </c>
      <c r="Q66" s="147">
        <v>220000402</v>
      </c>
      <c r="R66" s="145" t="str">
        <f t="shared" si="4"/>
        <v>UITexture/ItemRes/220000402.png</v>
      </c>
      <c r="S66" s="146" t="s">
        <v>851</v>
      </c>
      <c r="T66" s="249"/>
      <c r="U66" s="146">
        <v>0</v>
      </c>
      <c r="V66" s="146">
        <v>0</v>
      </c>
      <c r="W66" s="146">
        <v>3</v>
      </c>
      <c r="X66" s="145">
        <f t="shared" si="17"/>
        <v>220000403</v>
      </c>
      <c r="Y66" s="249"/>
      <c r="Z66" s="146">
        <v>1</v>
      </c>
    </row>
    <row r="67" spans="1:26" s="145" customFormat="1" x14ac:dyDescent="0.15">
      <c r="A67" s="145">
        <f t="shared" si="16"/>
        <v>220000403</v>
      </c>
      <c r="B67" s="147">
        <v>22</v>
      </c>
      <c r="C67" s="147">
        <v>0</v>
      </c>
      <c r="D67" s="147">
        <v>0</v>
      </c>
      <c r="E67" s="147">
        <v>4</v>
      </c>
      <c r="F67" s="148">
        <f t="shared" si="11"/>
        <v>3</v>
      </c>
      <c r="G67" s="249"/>
      <c r="H67" s="146">
        <v>3</v>
      </c>
      <c r="I67" s="249"/>
      <c r="J67" s="146" t="s">
        <v>1228</v>
      </c>
      <c r="K67" s="146" t="s">
        <v>932</v>
      </c>
      <c r="L67" s="147" t="s">
        <v>1212</v>
      </c>
      <c r="M67" s="147" t="s">
        <v>629</v>
      </c>
      <c r="N67" s="146">
        <v>1</v>
      </c>
      <c r="O67" s="146">
        <v>4</v>
      </c>
      <c r="P67" s="147" t="s">
        <v>1030</v>
      </c>
      <c r="Q67" s="147">
        <v>220000403</v>
      </c>
      <c r="R67" s="145" t="str">
        <f t="shared" si="4"/>
        <v>UITexture/ItemRes/220000403.png</v>
      </c>
      <c r="S67" s="146" t="s">
        <v>852</v>
      </c>
      <c r="T67" s="249"/>
      <c r="U67" s="146">
        <v>0</v>
      </c>
      <c r="V67" s="146">
        <v>0</v>
      </c>
      <c r="W67" s="146">
        <v>3</v>
      </c>
      <c r="X67" s="145">
        <f t="shared" si="17"/>
        <v>220000404</v>
      </c>
      <c r="Y67" s="249"/>
      <c r="Z67" s="146">
        <v>1</v>
      </c>
    </row>
    <row r="68" spans="1:26" s="145" customFormat="1" x14ac:dyDescent="0.15">
      <c r="A68" s="145">
        <f t="shared" si="16"/>
        <v>220000404</v>
      </c>
      <c r="B68" s="147">
        <v>22</v>
      </c>
      <c r="C68" s="147">
        <v>0</v>
      </c>
      <c r="D68" s="147">
        <v>0</v>
      </c>
      <c r="E68" s="147">
        <v>4</v>
      </c>
      <c r="F68" s="148">
        <f t="shared" si="11"/>
        <v>4</v>
      </c>
      <c r="G68" s="249"/>
      <c r="H68" s="146">
        <v>4</v>
      </c>
      <c r="I68" s="249"/>
      <c r="J68" s="146" t="s">
        <v>1228</v>
      </c>
      <c r="K68" s="146" t="s">
        <v>933</v>
      </c>
      <c r="L68" s="147" t="s">
        <v>1213</v>
      </c>
      <c r="M68" s="147" t="s">
        <v>630</v>
      </c>
      <c r="N68" s="146">
        <v>1</v>
      </c>
      <c r="O68" s="146">
        <v>4</v>
      </c>
      <c r="P68" s="147" t="s">
        <v>1030</v>
      </c>
      <c r="Q68" s="147">
        <v>220000404</v>
      </c>
      <c r="R68" s="145" t="str">
        <f t="shared" si="4"/>
        <v>UITexture/ItemRes/220000404.png</v>
      </c>
      <c r="S68" s="146" t="s">
        <v>853</v>
      </c>
      <c r="T68" s="249"/>
      <c r="U68" s="146">
        <v>0</v>
      </c>
      <c r="V68" s="146">
        <v>0</v>
      </c>
      <c r="W68" s="146">
        <v>3</v>
      </c>
      <c r="X68" s="145">
        <f t="shared" si="17"/>
        <v>220000405</v>
      </c>
      <c r="Y68" s="249"/>
      <c r="Z68" s="146">
        <v>1</v>
      </c>
    </row>
    <row r="69" spans="1:26" s="145" customFormat="1" x14ac:dyDescent="0.15">
      <c r="A69" s="145">
        <f t="shared" si="16"/>
        <v>220000405</v>
      </c>
      <c r="B69" s="147">
        <v>22</v>
      </c>
      <c r="C69" s="147">
        <v>0</v>
      </c>
      <c r="D69" s="147">
        <v>0</v>
      </c>
      <c r="E69" s="147">
        <v>4</v>
      </c>
      <c r="F69" s="148">
        <f t="shared" ref="F69:F84" si="18">H69</f>
        <v>5</v>
      </c>
      <c r="G69" s="249"/>
      <c r="H69" s="146">
        <v>5</v>
      </c>
      <c r="I69" s="249"/>
      <c r="J69" s="146" t="s">
        <v>1228</v>
      </c>
      <c r="K69" s="146" t="s">
        <v>934</v>
      </c>
      <c r="L69" s="147" t="s">
        <v>1214</v>
      </c>
      <c r="M69" s="147" t="s">
        <v>631</v>
      </c>
      <c r="N69" s="146">
        <v>0</v>
      </c>
      <c r="O69" s="146">
        <v>4</v>
      </c>
      <c r="P69" s="147" t="s">
        <v>1030</v>
      </c>
      <c r="Q69" s="147">
        <v>220000405</v>
      </c>
      <c r="R69" s="145" t="str">
        <f t="shared" si="4"/>
        <v>UITexture/ItemRes/220000405.png</v>
      </c>
      <c r="S69" s="146" t="s">
        <v>854</v>
      </c>
      <c r="T69" s="249"/>
      <c r="U69" s="146">
        <v>0</v>
      </c>
      <c r="V69" s="146">
        <v>0</v>
      </c>
      <c r="W69" s="146">
        <v>3</v>
      </c>
      <c r="X69" s="145">
        <f t="shared" si="17"/>
        <v>220000406</v>
      </c>
      <c r="Y69" s="249"/>
      <c r="Z69" s="146">
        <v>1</v>
      </c>
    </row>
    <row r="70" spans="1:26" s="145" customFormat="1" x14ac:dyDescent="0.15">
      <c r="A70" s="145">
        <f t="shared" si="16"/>
        <v>220000406</v>
      </c>
      <c r="B70" s="147">
        <v>22</v>
      </c>
      <c r="C70" s="147">
        <v>0</v>
      </c>
      <c r="D70" s="147">
        <v>0</v>
      </c>
      <c r="E70" s="147">
        <v>4</v>
      </c>
      <c r="F70" s="148">
        <f t="shared" si="18"/>
        <v>6</v>
      </c>
      <c r="G70" s="249"/>
      <c r="H70" s="146">
        <v>6</v>
      </c>
      <c r="I70" s="249"/>
      <c r="J70" s="146" t="s">
        <v>1228</v>
      </c>
      <c r="K70" s="146" t="s">
        <v>935</v>
      </c>
      <c r="L70" s="147" t="s">
        <v>1215</v>
      </c>
      <c r="M70" s="147" t="s">
        <v>632</v>
      </c>
      <c r="N70" s="146">
        <v>0</v>
      </c>
      <c r="O70" s="146">
        <v>4</v>
      </c>
      <c r="P70" s="147" t="s">
        <v>1030</v>
      </c>
      <c r="Q70" s="147">
        <v>220000406</v>
      </c>
      <c r="R70" s="145" t="str">
        <f t="shared" ref="R70:R84" si="19">CONCATENATE(P70,Q70,".png")</f>
        <v>UITexture/ItemRes/220000406.png</v>
      </c>
      <c r="S70" s="146" t="s">
        <v>855</v>
      </c>
      <c r="T70" s="249"/>
      <c r="U70" s="146">
        <v>0</v>
      </c>
      <c r="V70" s="146">
        <v>0</v>
      </c>
      <c r="W70" s="146">
        <v>3</v>
      </c>
      <c r="X70" s="145">
        <f t="shared" si="17"/>
        <v>220000407</v>
      </c>
      <c r="Y70" s="249"/>
      <c r="Z70" s="146">
        <v>1</v>
      </c>
    </row>
    <row r="71" spans="1:26" s="145" customFormat="1" x14ac:dyDescent="0.15">
      <c r="A71" s="145">
        <f t="shared" si="16"/>
        <v>220000407</v>
      </c>
      <c r="B71" s="147">
        <v>22</v>
      </c>
      <c r="C71" s="147">
        <v>0</v>
      </c>
      <c r="D71" s="147">
        <v>0</v>
      </c>
      <c r="E71" s="147">
        <v>4</v>
      </c>
      <c r="F71" s="148">
        <f t="shared" si="18"/>
        <v>7</v>
      </c>
      <c r="G71" s="249"/>
      <c r="H71" s="146">
        <v>7</v>
      </c>
      <c r="I71" s="249"/>
      <c r="J71" s="146" t="s">
        <v>1228</v>
      </c>
      <c r="K71" s="146" t="s">
        <v>936</v>
      </c>
      <c r="L71" s="147" t="s">
        <v>1216</v>
      </c>
      <c r="M71" s="147" t="s">
        <v>633</v>
      </c>
      <c r="N71" s="146">
        <v>0</v>
      </c>
      <c r="O71" s="146">
        <v>4</v>
      </c>
      <c r="P71" s="147" t="s">
        <v>1030</v>
      </c>
      <c r="Q71" s="147">
        <v>220000407</v>
      </c>
      <c r="R71" s="145" t="str">
        <f t="shared" si="19"/>
        <v>UITexture/ItemRes/220000407.png</v>
      </c>
      <c r="S71" s="146" t="s">
        <v>856</v>
      </c>
      <c r="T71" s="249"/>
      <c r="U71" s="146">
        <v>0</v>
      </c>
      <c r="V71" s="146">
        <v>0</v>
      </c>
      <c r="W71" s="146">
        <v>3</v>
      </c>
      <c r="X71" s="145">
        <f t="shared" si="17"/>
        <v>220000408</v>
      </c>
      <c r="Y71" s="249"/>
      <c r="Z71" s="146">
        <v>1</v>
      </c>
    </row>
    <row r="72" spans="1:26" s="145" customFormat="1" x14ac:dyDescent="0.15">
      <c r="A72" s="145">
        <f t="shared" si="16"/>
        <v>220000408</v>
      </c>
      <c r="B72" s="147">
        <v>22</v>
      </c>
      <c r="C72" s="147">
        <v>0</v>
      </c>
      <c r="D72" s="147">
        <v>0</v>
      </c>
      <c r="E72" s="147">
        <v>4</v>
      </c>
      <c r="F72" s="148">
        <f t="shared" si="18"/>
        <v>8</v>
      </c>
      <c r="G72" s="249"/>
      <c r="H72" s="146">
        <v>8</v>
      </c>
      <c r="I72" s="249"/>
      <c r="J72" s="146" t="s">
        <v>1228</v>
      </c>
      <c r="K72" s="146" t="s">
        <v>937</v>
      </c>
      <c r="L72" s="147" t="s">
        <v>1217</v>
      </c>
      <c r="M72" s="147" t="s">
        <v>634</v>
      </c>
      <c r="N72" s="146">
        <v>0</v>
      </c>
      <c r="O72" s="146">
        <v>4</v>
      </c>
      <c r="P72" s="147" t="s">
        <v>1030</v>
      </c>
      <c r="Q72" s="147">
        <v>220000408</v>
      </c>
      <c r="R72" s="145" t="str">
        <f t="shared" si="19"/>
        <v>UITexture/ItemRes/220000408.png</v>
      </c>
      <c r="S72" s="146" t="s">
        <v>857</v>
      </c>
      <c r="T72" s="249"/>
      <c r="U72" s="146">
        <v>0</v>
      </c>
      <c r="V72" s="146">
        <v>0</v>
      </c>
      <c r="W72" s="146">
        <v>3</v>
      </c>
      <c r="X72" s="145">
        <f t="shared" si="17"/>
        <v>220000409</v>
      </c>
      <c r="Y72" s="249"/>
      <c r="Z72" s="146">
        <v>1</v>
      </c>
    </row>
    <row r="73" spans="1:26" s="145" customFormat="1" x14ac:dyDescent="0.15">
      <c r="A73" s="145">
        <f t="shared" si="16"/>
        <v>220000409</v>
      </c>
      <c r="B73" s="147">
        <v>22</v>
      </c>
      <c r="C73" s="147">
        <v>0</v>
      </c>
      <c r="D73" s="147">
        <v>0</v>
      </c>
      <c r="E73" s="147">
        <v>4</v>
      </c>
      <c r="F73" s="148">
        <f t="shared" si="18"/>
        <v>9</v>
      </c>
      <c r="G73" s="249"/>
      <c r="H73" s="146">
        <v>9</v>
      </c>
      <c r="I73" s="249"/>
      <c r="J73" s="146" t="s">
        <v>1228</v>
      </c>
      <c r="K73" s="146" t="s">
        <v>938</v>
      </c>
      <c r="L73" s="147" t="s">
        <v>1218</v>
      </c>
      <c r="M73" s="147" t="s">
        <v>635</v>
      </c>
      <c r="N73" s="146">
        <v>0</v>
      </c>
      <c r="O73" s="146">
        <v>4</v>
      </c>
      <c r="P73" s="147" t="s">
        <v>1030</v>
      </c>
      <c r="Q73" s="147">
        <v>220000409</v>
      </c>
      <c r="R73" s="145" t="str">
        <f t="shared" si="19"/>
        <v>UITexture/ItemRes/220000409.png</v>
      </c>
      <c r="S73" s="146" t="s">
        <v>858</v>
      </c>
      <c r="T73" s="249"/>
      <c r="U73" s="146">
        <v>0</v>
      </c>
      <c r="V73" s="146">
        <v>0</v>
      </c>
      <c r="W73" s="146">
        <v>3</v>
      </c>
      <c r="X73" s="145">
        <f t="shared" si="17"/>
        <v>220000410</v>
      </c>
      <c r="Y73" s="249"/>
      <c r="Z73" s="146">
        <v>1</v>
      </c>
    </row>
    <row r="74" spans="1:26" s="145" customFormat="1" x14ac:dyDescent="0.15">
      <c r="A74" s="145">
        <f t="shared" si="16"/>
        <v>220000410</v>
      </c>
      <c r="B74" s="147">
        <v>22</v>
      </c>
      <c r="C74" s="147">
        <v>0</v>
      </c>
      <c r="D74" s="147">
        <v>0</v>
      </c>
      <c r="E74" s="147">
        <v>4</v>
      </c>
      <c r="F74" s="148">
        <f t="shared" si="18"/>
        <v>10</v>
      </c>
      <c r="G74" s="249"/>
      <c r="H74" s="146">
        <v>10</v>
      </c>
      <c r="I74" s="249"/>
      <c r="J74" s="146" t="s">
        <v>1228</v>
      </c>
      <c r="K74" s="146" t="s">
        <v>939</v>
      </c>
      <c r="L74" s="147" t="s">
        <v>1219</v>
      </c>
      <c r="M74" s="147" t="s">
        <v>636</v>
      </c>
      <c r="N74" s="146">
        <v>0</v>
      </c>
      <c r="O74" s="146">
        <v>4</v>
      </c>
      <c r="P74" s="147" t="s">
        <v>1030</v>
      </c>
      <c r="Q74" s="147">
        <v>220000410</v>
      </c>
      <c r="R74" s="145" t="str">
        <f t="shared" si="19"/>
        <v>UITexture/ItemRes/220000410.png</v>
      </c>
      <c r="S74" s="146" t="s">
        <v>859</v>
      </c>
      <c r="T74" s="249"/>
      <c r="U74" s="146">
        <v>0</v>
      </c>
      <c r="V74" s="146">
        <v>0</v>
      </c>
      <c r="W74" s="146">
        <v>3</v>
      </c>
      <c r="X74" s="145">
        <f t="shared" si="17"/>
        <v>220000411</v>
      </c>
      <c r="Y74" s="249"/>
      <c r="Z74" s="146">
        <v>1</v>
      </c>
    </row>
    <row r="75" spans="1:26" s="145" customFormat="1" x14ac:dyDescent="0.15">
      <c r="A75" s="145">
        <f t="shared" si="16"/>
        <v>220000411</v>
      </c>
      <c r="B75" s="147">
        <v>22</v>
      </c>
      <c r="C75" s="147">
        <v>0</v>
      </c>
      <c r="D75" s="147">
        <v>0</v>
      </c>
      <c r="E75" s="147">
        <v>4</v>
      </c>
      <c r="F75" s="148">
        <f t="shared" si="18"/>
        <v>11</v>
      </c>
      <c r="G75" s="249"/>
      <c r="H75" s="146">
        <v>11</v>
      </c>
      <c r="I75" s="249"/>
      <c r="J75" s="146" t="s">
        <v>1228</v>
      </c>
      <c r="K75" s="146" t="s">
        <v>940</v>
      </c>
      <c r="L75" s="147" t="s">
        <v>637</v>
      </c>
      <c r="M75" s="147" t="s">
        <v>637</v>
      </c>
      <c r="N75" s="146">
        <v>0</v>
      </c>
      <c r="O75" s="146">
        <v>4</v>
      </c>
      <c r="P75" s="147" t="s">
        <v>1030</v>
      </c>
      <c r="Q75" s="147">
        <v>220000411</v>
      </c>
      <c r="R75" s="145" t="str">
        <f t="shared" si="19"/>
        <v>UITexture/ItemRes/220000411.png</v>
      </c>
      <c r="S75" s="146" t="s">
        <v>860</v>
      </c>
      <c r="T75" s="249"/>
      <c r="U75" s="146">
        <v>0</v>
      </c>
      <c r="V75" s="146">
        <v>0</v>
      </c>
      <c r="W75" s="146">
        <v>3</v>
      </c>
      <c r="X75" s="145">
        <f t="shared" si="17"/>
        <v>220000412</v>
      </c>
      <c r="Y75" s="249"/>
      <c r="Z75" s="146">
        <v>1</v>
      </c>
    </row>
    <row r="76" spans="1:26" s="145" customFormat="1" x14ac:dyDescent="0.15">
      <c r="A76" s="145">
        <f t="shared" si="16"/>
        <v>220000412</v>
      </c>
      <c r="B76" s="147">
        <v>22</v>
      </c>
      <c r="C76" s="147">
        <v>0</v>
      </c>
      <c r="D76" s="147">
        <v>0</v>
      </c>
      <c r="E76" s="147">
        <v>4</v>
      </c>
      <c r="F76" s="148">
        <f t="shared" si="18"/>
        <v>12</v>
      </c>
      <c r="G76" s="249"/>
      <c r="H76" s="146">
        <v>12</v>
      </c>
      <c r="I76" s="249"/>
      <c r="J76" s="146" t="s">
        <v>1228</v>
      </c>
      <c r="K76" s="146" t="s">
        <v>941</v>
      </c>
      <c r="L76" s="147" t="s">
        <v>638</v>
      </c>
      <c r="M76" s="147" t="s">
        <v>638</v>
      </c>
      <c r="N76" s="146">
        <v>0</v>
      </c>
      <c r="O76" s="146">
        <v>4</v>
      </c>
      <c r="P76" s="147" t="s">
        <v>1030</v>
      </c>
      <c r="Q76" s="147">
        <v>220000412</v>
      </c>
      <c r="R76" s="145" t="str">
        <f t="shared" si="19"/>
        <v>UITexture/ItemRes/220000412.png</v>
      </c>
      <c r="S76" s="146" t="s">
        <v>861</v>
      </c>
      <c r="T76" s="249"/>
      <c r="U76" s="146">
        <v>0</v>
      </c>
      <c r="V76" s="146">
        <v>0</v>
      </c>
      <c r="W76" s="146">
        <v>3</v>
      </c>
      <c r="X76" s="145">
        <f t="shared" si="17"/>
        <v>220000413</v>
      </c>
      <c r="Y76" s="249"/>
      <c r="Z76" s="146">
        <v>1</v>
      </c>
    </row>
    <row r="77" spans="1:26" s="145" customFormat="1" x14ac:dyDescent="0.15">
      <c r="A77" s="145">
        <f t="shared" si="16"/>
        <v>220000413</v>
      </c>
      <c r="B77" s="147">
        <v>22</v>
      </c>
      <c r="C77" s="147">
        <v>0</v>
      </c>
      <c r="D77" s="147">
        <v>0</v>
      </c>
      <c r="E77" s="147">
        <v>4</v>
      </c>
      <c r="F77" s="148">
        <f t="shared" si="18"/>
        <v>13</v>
      </c>
      <c r="G77" s="249"/>
      <c r="H77" s="146">
        <v>13</v>
      </c>
      <c r="I77" s="249"/>
      <c r="J77" s="146" t="s">
        <v>1228</v>
      </c>
      <c r="K77" s="146" t="s">
        <v>942</v>
      </c>
      <c r="L77" s="147" t="s">
        <v>639</v>
      </c>
      <c r="M77" s="147" t="s">
        <v>639</v>
      </c>
      <c r="N77" s="146">
        <v>0</v>
      </c>
      <c r="O77" s="146">
        <v>4</v>
      </c>
      <c r="P77" s="147" t="s">
        <v>1030</v>
      </c>
      <c r="Q77" s="147">
        <v>220000413</v>
      </c>
      <c r="R77" s="145" t="str">
        <f t="shared" si="19"/>
        <v>UITexture/ItemRes/220000413.png</v>
      </c>
      <c r="S77" s="146" t="s">
        <v>862</v>
      </c>
      <c r="T77" s="249"/>
      <c r="U77" s="146">
        <v>0</v>
      </c>
      <c r="V77" s="146">
        <v>0</v>
      </c>
      <c r="W77" s="146">
        <v>3</v>
      </c>
      <c r="X77" s="145">
        <f t="shared" si="17"/>
        <v>220000414</v>
      </c>
      <c r="Y77" s="249"/>
      <c r="Z77" s="146">
        <v>1</v>
      </c>
    </row>
    <row r="78" spans="1:26" s="145" customFormat="1" x14ac:dyDescent="0.15">
      <c r="A78" s="145">
        <f t="shared" si="16"/>
        <v>220000414</v>
      </c>
      <c r="B78" s="147">
        <v>22</v>
      </c>
      <c r="C78" s="147">
        <v>0</v>
      </c>
      <c r="D78" s="147">
        <v>0</v>
      </c>
      <c r="E78" s="147">
        <v>4</v>
      </c>
      <c r="F78" s="148">
        <f t="shared" si="18"/>
        <v>14</v>
      </c>
      <c r="G78" s="249"/>
      <c r="H78" s="146">
        <v>14</v>
      </c>
      <c r="I78" s="249"/>
      <c r="J78" s="146" t="s">
        <v>1228</v>
      </c>
      <c r="K78" s="146" t="s">
        <v>943</v>
      </c>
      <c r="L78" s="147" t="s">
        <v>640</v>
      </c>
      <c r="M78" s="147" t="s">
        <v>640</v>
      </c>
      <c r="N78" s="146">
        <v>0</v>
      </c>
      <c r="O78" s="146">
        <v>4</v>
      </c>
      <c r="P78" s="147" t="s">
        <v>1030</v>
      </c>
      <c r="Q78" s="147">
        <v>220000414</v>
      </c>
      <c r="R78" s="145" t="str">
        <f t="shared" si="19"/>
        <v>UITexture/ItemRes/220000414.png</v>
      </c>
      <c r="S78" s="146" t="s">
        <v>863</v>
      </c>
      <c r="T78" s="249"/>
      <c r="U78" s="146">
        <v>0</v>
      </c>
      <c r="V78" s="146">
        <v>0</v>
      </c>
      <c r="W78" s="146">
        <v>3</v>
      </c>
      <c r="X78" s="145">
        <f t="shared" si="17"/>
        <v>220000415</v>
      </c>
      <c r="Y78" s="249"/>
      <c r="Z78" s="146">
        <v>1</v>
      </c>
    </row>
    <row r="79" spans="1:26" s="145" customFormat="1" x14ac:dyDescent="0.15">
      <c r="A79" s="145">
        <f t="shared" si="16"/>
        <v>220000415</v>
      </c>
      <c r="B79" s="147">
        <v>22</v>
      </c>
      <c r="C79" s="147">
        <v>0</v>
      </c>
      <c r="D79" s="147">
        <v>0</v>
      </c>
      <c r="E79" s="147">
        <v>4</v>
      </c>
      <c r="F79" s="148">
        <f t="shared" si="18"/>
        <v>15</v>
      </c>
      <c r="G79" s="249"/>
      <c r="H79" s="146">
        <v>15</v>
      </c>
      <c r="I79" s="249"/>
      <c r="J79" s="146" t="s">
        <v>1228</v>
      </c>
      <c r="K79" s="146" t="s">
        <v>944</v>
      </c>
      <c r="L79" s="147" t="s">
        <v>641</v>
      </c>
      <c r="M79" s="147" t="s">
        <v>641</v>
      </c>
      <c r="N79" s="146">
        <v>0</v>
      </c>
      <c r="O79" s="146">
        <v>4</v>
      </c>
      <c r="P79" s="147" t="s">
        <v>1030</v>
      </c>
      <c r="Q79" s="147">
        <v>220000415</v>
      </c>
      <c r="R79" s="145" t="str">
        <f t="shared" si="19"/>
        <v>UITexture/ItemRes/220000415.png</v>
      </c>
      <c r="S79" s="146" t="s">
        <v>864</v>
      </c>
      <c r="T79" s="249"/>
      <c r="U79" s="146">
        <v>0</v>
      </c>
      <c r="V79" s="146">
        <v>0</v>
      </c>
      <c r="W79" s="146">
        <v>3</v>
      </c>
      <c r="X79" s="145">
        <f t="shared" si="17"/>
        <v>220000416</v>
      </c>
      <c r="Y79" s="249"/>
      <c r="Z79" s="146">
        <v>1</v>
      </c>
    </row>
    <row r="80" spans="1:26" s="145" customFormat="1" x14ac:dyDescent="0.15">
      <c r="A80" s="145">
        <f t="shared" ref="A80:A81" si="20">B80*10000000+C80*1000000+D80*10000+E80*100+F80</f>
        <v>220000416</v>
      </c>
      <c r="B80" s="147">
        <v>22</v>
      </c>
      <c r="C80" s="147">
        <v>0</v>
      </c>
      <c r="D80" s="147">
        <v>0</v>
      </c>
      <c r="E80" s="147">
        <v>4</v>
      </c>
      <c r="F80" s="148">
        <f t="shared" si="18"/>
        <v>16</v>
      </c>
      <c r="G80" s="249"/>
      <c r="H80" s="146">
        <v>16</v>
      </c>
      <c r="I80" s="249"/>
      <c r="J80" s="146" t="s">
        <v>1228</v>
      </c>
      <c r="K80" s="146" t="s">
        <v>945</v>
      </c>
      <c r="L80" s="147" t="s">
        <v>642</v>
      </c>
      <c r="M80" s="147" t="s">
        <v>642</v>
      </c>
      <c r="N80" s="146">
        <v>0</v>
      </c>
      <c r="O80" s="146">
        <v>4</v>
      </c>
      <c r="P80" s="147" t="s">
        <v>1030</v>
      </c>
      <c r="Q80" s="147">
        <v>220000416</v>
      </c>
      <c r="R80" s="145" t="str">
        <f t="shared" si="19"/>
        <v>UITexture/ItemRes/220000416.png</v>
      </c>
      <c r="S80" s="146" t="s">
        <v>865</v>
      </c>
      <c r="T80" s="249"/>
      <c r="U80" s="146">
        <v>0</v>
      </c>
      <c r="V80" s="146">
        <v>0</v>
      </c>
      <c r="W80" s="146">
        <v>3</v>
      </c>
      <c r="X80" s="145">
        <f t="shared" si="17"/>
        <v>220000417</v>
      </c>
      <c r="Y80" s="249"/>
      <c r="Z80" s="146">
        <v>1</v>
      </c>
    </row>
    <row r="81" spans="1:26" s="145" customFormat="1" x14ac:dyDescent="0.15">
      <c r="A81" s="145">
        <f t="shared" si="20"/>
        <v>220000417</v>
      </c>
      <c r="B81" s="147">
        <v>22</v>
      </c>
      <c r="C81" s="147">
        <v>0</v>
      </c>
      <c r="D81" s="147">
        <v>0</v>
      </c>
      <c r="E81" s="147">
        <v>4</v>
      </c>
      <c r="F81" s="148">
        <f t="shared" si="18"/>
        <v>17</v>
      </c>
      <c r="G81" s="249"/>
      <c r="H81" s="146">
        <v>17</v>
      </c>
      <c r="I81" s="249"/>
      <c r="J81" s="146" t="s">
        <v>1228</v>
      </c>
      <c r="K81" s="146" t="s">
        <v>946</v>
      </c>
      <c r="L81" s="147" t="s">
        <v>643</v>
      </c>
      <c r="M81" s="147" t="s">
        <v>643</v>
      </c>
      <c r="N81" s="146">
        <v>0</v>
      </c>
      <c r="O81" s="146">
        <v>4</v>
      </c>
      <c r="P81" s="147" t="s">
        <v>1030</v>
      </c>
      <c r="Q81" s="147">
        <v>220000417</v>
      </c>
      <c r="R81" s="145" t="str">
        <f t="shared" si="19"/>
        <v>UITexture/ItemRes/220000417.png</v>
      </c>
      <c r="S81" s="146" t="s">
        <v>866</v>
      </c>
      <c r="T81" s="249"/>
      <c r="U81" s="146">
        <v>0</v>
      </c>
      <c r="V81" s="146">
        <v>0</v>
      </c>
      <c r="W81" s="146">
        <v>3</v>
      </c>
      <c r="X81" s="145">
        <f t="shared" si="17"/>
        <v>220000418</v>
      </c>
      <c r="Y81" s="249"/>
      <c r="Z81" s="146">
        <v>1</v>
      </c>
    </row>
    <row r="82" spans="1:26" s="145" customFormat="1" x14ac:dyDescent="0.15">
      <c r="A82" s="145">
        <f t="shared" si="16"/>
        <v>220000418</v>
      </c>
      <c r="B82" s="147">
        <v>22</v>
      </c>
      <c r="C82" s="147">
        <v>0</v>
      </c>
      <c r="D82" s="147">
        <v>0</v>
      </c>
      <c r="E82" s="147">
        <v>4</v>
      </c>
      <c r="F82" s="148">
        <f t="shared" si="18"/>
        <v>18</v>
      </c>
      <c r="G82" s="249"/>
      <c r="H82" s="146">
        <v>18</v>
      </c>
      <c r="I82" s="249"/>
      <c r="J82" s="146" t="s">
        <v>1228</v>
      </c>
      <c r="K82" s="146" t="s">
        <v>947</v>
      </c>
      <c r="L82" s="147" t="s">
        <v>644</v>
      </c>
      <c r="M82" s="147" t="s">
        <v>644</v>
      </c>
      <c r="N82" s="146">
        <v>0</v>
      </c>
      <c r="O82" s="146">
        <v>4</v>
      </c>
      <c r="P82" s="147" t="s">
        <v>1030</v>
      </c>
      <c r="Q82" s="147">
        <v>220000418</v>
      </c>
      <c r="R82" s="145" t="str">
        <f t="shared" si="19"/>
        <v>UITexture/ItemRes/220000418.png</v>
      </c>
      <c r="S82" s="146" t="s">
        <v>867</v>
      </c>
      <c r="T82" s="249"/>
      <c r="U82" s="146">
        <v>0</v>
      </c>
      <c r="V82" s="146">
        <v>0</v>
      </c>
      <c r="W82" s="146">
        <v>3</v>
      </c>
      <c r="X82" s="145">
        <f t="shared" si="17"/>
        <v>220000419</v>
      </c>
      <c r="Y82" s="249"/>
      <c r="Z82" s="146">
        <v>1</v>
      </c>
    </row>
    <row r="83" spans="1:26" s="145" customFormat="1" x14ac:dyDescent="0.15">
      <c r="A83" s="145">
        <f t="shared" si="16"/>
        <v>220000419</v>
      </c>
      <c r="B83" s="147">
        <v>22</v>
      </c>
      <c r="C83" s="147">
        <v>0</v>
      </c>
      <c r="D83" s="147">
        <v>0</v>
      </c>
      <c r="E83" s="147">
        <v>4</v>
      </c>
      <c r="F83" s="148">
        <f t="shared" si="18"/>
        <v>19</v>
      </c>
      <c r="G83" s="249"/>
      <c r="H83" s="146">
        <v>19</v>
      </c>
      <c r="I83" s="249"/>
      <c r="J83" s="146" t="s">
        <v>1228</v>
      </c>
      <c r="K83" s="146" t="s">
        <v>948</v>
      </c>
      <c r="L83" s="147" t="s">
        <v>716</v>
      </c>
      <c r="M83" s="147" t="s">
        <v>716</v>
      </c>
      <c r="N83" s="146">
        <v>0</v>
      </c>
      <c r="O83" s="146">
        <v>4</v>
      </c>
      <c r="P83" s="147" t="s">
        <v>1030</v>
      </c>
      <c r="Q83" s="147">
        <v>220000419</v>
      </c>
      <c r="R83" s="145" t="str">
        <f t="shared" si="19"/>
        <v>UITexture/ItemRes/220000419.png</v>
      </c>
      <c r="S83" s="146" t="s">
        <v>868</v>
      </c>
      <c r="T83" s="249"/>
      <c r="U83" s="146">
        <v>0</v>
      </c>
      <c r="V83" s="146">
        <v>0</v>
      </c>
      <c r="W83" s="146">
        <v>3</v>
      </c>
      <c r="X83" s="145">
        <f t="shared" si="17"/>
        <v>220000420</v>
      </c>
      <c r="Y83" s="249"/>
      <c r="Z83" s="146">
        <v>1</v>
      </c>
    </row>
    <row r="84" spans="1:26" s="141" customFormat="1" ht="17.25" thickBot="1" x14ac:dyDescent="0.2">
      <c r="A84" s="141">
        <f t="shared" ref="A84" si="21">B84*10000000+C84*1000000+D84*10000+E84*100+F84</f>
        <v>220000420</v>
      </c>
      <c r="B84" s="143">
        <v>22</v>
      </c>
      <c r="C84" s="143">
        <v>0</v>
      </c>
      <c r="D84" s="143">
        <v>0</v>
      </c>
      <c r="E84" s="143">
        <v>4</v>
      </c>
      <c r="F84" s="144">
        <f t="shared" si="18"/>
        <v>20</v>
      </c>
      <c r="G84" s="250"/>
      <c r="H84" s="142">
        <v>20</v>
      </c>
      <c r="I84" s="250"/>
      <c r="J84" s="142" t="s">
        <v>1228</v>
      </c>
      <c r="K84" s="142" t="s">
        <v>949</v>
      </c>
      <c r="L84" s="143" t="s">
        <v>717</v>
      </c>
      <c r="M84" s="143" t="s">
        <v>717</v>
      </c>
      <c r="N84" s="142">
        <v>0</v>
      </c>
      <c r="O84" s="142">
        <v>4</v>
      </c>
      <c r="P84" s="143" t="s">
        <v>1030</v>
      </c>
      <c r="Q84" s="143">
        <v>220000420</v>
      </c>
      <c r="R84" s="141" t="str">
        <f t="shared" si="19"/>
        <v>UITexture/ItemRes/220000420.png</v>
      </c>
      <c r="S84" s="142" t="s">
        <v>869</v>
      </c>
      <c r="T84" s="250"/>
      <c r="U84" s="142">
        <v>0</v>
      </c>
      <c r="V84" s="142">
        <v>0</v>
      </c>
      <c r="W84" s="142">
        <v>3</v>
      </c>
      <c r="X84" s="141">
        <v>-1</v>
      </c>
      <c r="Y84" s="250"/>
      <c r="Z84" s="142">
        <v>1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7" tint="0.79998168889431442"/>
  </sheetPr>
  <dimension ref="A1:BS82"/>
  <sheetViews>
    <sheetView topLeftCell="I1" workbookViewId="0">
      <selection activeCell="L5" sqref="L5:L59"/>
    </sheetView>
  </sheetViews>
  <sheetFormatPr defaultColWidth="7.75" defaultRowHeight="16.5" x14ac:dyDescent="0.15"/>
  <cols>
    <col min="1" max="1" width="12" style="24" bestFit="1" customWidth="1"/>
    <col min="2" max="2" width="3.25" style="84" customWidth="1"/>
    <col min="3" max="3" width="3.25" style="62" customWidth="1"/>
    <col min="4" max="4" width="3.875" style="62" bestFit="1" customWidth="1"/>
    <col min="5" max="5" width="2.75" style="33" bestFit="1" customWidth="1"/>
    <col min="6" max="6" width="3.25" style="62" bestFit="1" customWidth="1"/>
    <col min="7" max="7" width="5.75" style="243" bestFit="1" customWidth="1"/>
    <col min="8" max="8" width="18.125" style="35" bestFit="1" customWidth="1"/>
    <col min="9" max="9" width="29.75" style="35" bestFit="1" customWidth="1"/>
    <col min="10" max="10" width="14.875" style="35" bestFit="1" customWidth="1"/>
    <col min="11" max="11" width="5.75" style="243" bestFit="1" customWidth="1"/>
    <col min="12" max="12" width="22.75" style="35" customWidth="1"/>
    <col min="13" max="13" width="22.75" style="35" bestFit="1" customWidth="1"/>
    <col min="14" max="14" width="9.875" style="33" bestFit="1" customWidth="1"/>
    <col min="15" max="15" width="5.75" style="33" bestFit="1" customWidth="1"/>
    <col min="16" max="16" width="10" style="35" bestFit="1" customWidth="1"/>
    <col min="17" max="17" width="20.25" style="35" bestFit="1" customWidth="1"/>
    <col min="18" max="18" width="23.125" style="84" bestFit="1" customWidth="1"/>
    <col min="19" max="19" width="14.25" style="84" bestFit="1" customWidth="1"/>
    <col min="20" max="20" width="38.75" style="75" bestFit="1" customWidth="1"/>
    <col min="21" max="21" width="23.125" style="84" bestFit="1" customWidth="1"/>
    <col min="22" max="22" width="18.625" style="84" bestFit="1" customWidth="1"/>
    <col min="23" max="23" width="45.75" style="75" bestFit="1" customWidth="1"/>
    <col min="24" max="24" width="18.125" style="35" bestFit="1" customWidth="1"/>
    <col min="25" max="25" width="10" style="35" bestFit="1" customWidth="1"/>
    <col min="26" max="26" width="5.75" style="243" bestFit="1" customWidth="1"/>
    <col min="27" max="27" width="14.125" style="35" bestFit="1" customWidth="1"/>
    <col min="28" max="28" width="5.75" style="243" bestFit="1" customWidth="1"/>
    <col min="29" max="29" width="25.25" style="35" bestFit="1" customWidth="1"/>
    <col min="30" max="32" width="13.75" style="35" bestFit="1" customWidth="1"/>
    <col min="33" max="33" width="14.25" style="35" bestFit="1" customWidth="1"/>
    <col min="34" max="34" width="14.875" style="35" bestFit="1" customWidth="1"/>
    <col min="35" max="35" width="15.125" style="35" bestFit="1" customWidth="1"/>
    <col min="36" max="36" width="10" style="35" bestFit="1" customWidth="1"/>
    <col min="37" max="37" width="9.75" style="24" customWidth="1"/>
    <col min="38" max="71" width="9.75" style="43" customWidth="1"/>
    <col min="72" max="16384" width="7.75" style="24"/>
  </cols>
  <sheetData>
    <row r="1" spans="1:36" x14ac:dyDescent="0.15">
      <c r="A1" s="24" t="s">
        <v>59</v>
      </c>
      <c r="H1" s="35" t="s">
        <v>60</v>
      </c>
      <c r="I1" s="35" t="s">
        <v>60</v>
      </c>
      <c r="J1" s="35" t="s">
        <v>60</v>
      </c>
      <c r="L1" s="35" t="s">
        <v>60</v>
      </c>
      <c r="M1" s="35" t="s">
        <v>60</v>
      </c>
      <c r="P1" s="35" t="s">
        <v>60</v>
      </c>
      <c r="Q1" s="35" t="s">
        <v>60</v>
      </c>
      <c r="R1" s="215"/>
      <c r="S1" s="215"/>
      <c r="T1" s="145" t="s">
        <v>60</v>
      </c>
      <c r="U1" s="215"/>
      <c r="V1" s="215"/>
      <c r="W1" s="145" t="s">
        <v>60</v>
      </c>
      <c r="X1" s="146" t="s">
        <v>60</v>
      </c>
      <c r="Y1" s="102" t="s">
        <v>60</v>
      </c>
      <c r="AA1" s="102" t="s">
        <v>60</v>
      </c>
      <c r="AC1" s="35" t="s">
        <v>60</v>
      </c>
      <c r="AD1" s="35" t="s">
        <v>60</v>
      </c>
      <c r="AE1" s="35" t="s">
        <v>60</v>
      </c>
      <c r="AF1" s="35" t="s">
        <v>60</v>
      </c>
      <c r="AG1" s="35" t="s">
        <v>60</v>
      </c>
      <c r="AH1" s="35" t="s">
        <v>60</v>
      </c>
      <c r="AI1" s="35" t="s">
        <v>60</v>
      </c>
      <c r="AJ1" s="35" t="s">
        <v>60</v>
      </c>
    </row>
    <row r="2" spans="1:36" x14ac:dyDescent="0.15">
      <c r="A2" s="24" t="s">
        <v>61</v>
      </c>
      <c r="H2" s="35" t="s">
        <v>61</v>
      </c>
      <c r="I2" s="35" t="s">
        <v>61</v>
      </c>
      <c r="J2" s="35" t="s">
        <v>61</v>
      </c>
      <c r="L2" s="35" t="s">
        <v>62</v>
      </c>
      <c r="M2" s="35" t="s">
        <v>62</v>
      </c>
      <c r="P2" s="35" t="s">
        <v>61</v>
      </c>
      <c r="Q2" s="35" t="s">
        <v>61</v>
      </c>
      <c r="R2" s="215"/>
      <c r="S2" s="215"/>
      <c r="T2" s="145" t="s">
        <v>62</v>
      </c>
      <c r="U2" s="215"/>
      <c r="V2" s="215"/>
      <c r="W2" s="145" t="s">
        <v>62</v>
      </c>
      <c r="X2" s="146" t="s">
        <v>62</v>
      </c>
      <c r="Y2" s="102" t="s">
        <v>61</v>
      </c>
      <c r="AA2" s="102" t="s">
        <v>61</v>
      </c>
      <c r="AC2" s="35" t="s">
        <v>61</v>
      </c>
      <c r="AD2" s="35" t="s">
        <v>61</v>
      </c>
      <c r="AE2" s="35" t="s">
        <v>61</v>
      </c>
      <c r="AF2" s="35" t="s">
        <v>61</v>
      </c>
      <c r="AG2" s="35" t="s">
        <v>61</v>
      </c>
      <c r="AH2" s="35" t="s">
        <v>61</v>
      </c>
      <c r="AI2" s="35" t="s">
        <v>61</v>
      </c>
      <c r="AJ2" s="35" t="s">
        <v>61</v>
      </c>
    </row>
    <row r="3" spans="1:36" x14ac:dyDescent="0.15">
      <c r="A3" s="24" t="s">
        <v>360</v>
      </c>
      <c r="H3" s="35" t="s">
        <v>121</v>
      </c>
      <c r="I3" s="35" t="s">
        <v>186</v>
      </c>
      <c r="J3" s="35" t="s">
        <v>1024</v>
      </c>
      <c r="L3" s="35" t="s">
        <v>976</v>
      </c>
      <c r="M3" s="35" t="s">
        <v>184</v>
      </c>
      <c r="P3" s="35" t="s">
        <v>552</v>
      </c>
      <c r="Q3" s="35" t="s">
        <v>1089</v>
      </c>
      <c r="R3" s="215"/>
      <c r="S3" s="215"/>
      <c r="T3" s="145" t="s">
        <v>512</v>
      </c>
      <c r="U3" s="215"/>
      <c r="V3" s="215"/>
      <c r="W3" s="145" t="s">
        <v>1171</v>
      </c>
      <c r="X3" s="146" t="s">
        <v>514</v>
      </c>
      <c r="Y3" s="102" t="s">
        <v>746</v>
      </c>
      <c r="AA3" s="102" t="s">
        <v>1164</v>
      </c>
      <c r="AC3" s="35" t="s">
        <v>555</v>
      </c>
      <c r="AD3" s="35" t="s">
        <v>191</v>
      </c>
      <c r="AE3" s="35" t="s">
        <v>192</v>
      </c>
      <c r="AF3" s="35" t="s">
        <v>193</v>
      </c>
      <c r="AG3" s="35" t="s">
        <v>473</v>
      </c>
      <c r="AH3" s="35" t="s">
        <v>185</v>
      </c>
      <c r="AI3" s="35" t="s">
        <v>127</v>
      </c>
      <c r="AJ3" s="35" t="s">
        <v>657</v>
      </c>
    </row>
    <row r="4" spans="1:36" s="66" customFormat="1" ht="182.25" thickBot="1" x14ac:dyDescent="0.2">
      <c r="A4" s="66" t="s">
        <v>63</v>
      </c>
      <c r="B4" s="100" t="s">
        <v>322</v>
      </c>
      <c r="C4" s="67" t="s">
        <v>110</v>
      </c>
      <c r="D4" s="67" t="s">
        <v>111</v>
      </c>
      <c r="E4" s="68"/>
      <c r="F4" s="67" t="s">
        <v>1025</v>
      </c>
      <c r="G4" s="244" t="s">
        <v>1015</v>
      </c>
      <c r="H4" s="39" t="s">
        <v>534</v>
      </c>
      <c r="I4" s="39" t="s">
        <v>542</v>
      </c>
      <c r="J4" s="39" t="s">
        <v>1025</v>
      </c>
      <c r="K4" s="244" t="s">
        <v>1014</v>
      </c>
      <c r="L4" s="39" t="s">
        <v>975</v>
      </c>
      <c r="M4" s="39" t="s">
        <v>476</v>
      </c>
      <c r="N4" s="68" t="s">
        <v>709</v>
      </c>
      <c r="O4" s="68" t="s">
        <v>64</v>
      </c>
      <c r="P4" s="39" t="s">
        <v>553</v>
      </c>
      <c r="Q4" s="39" t="s">
        <v>1091</v>
      </c>
      <c r="R4" s="216" t="s">
        <v>1011</v>
      </c>
      <c r="S4" s="216" t="s">
        <v>1010</v>
      </c>
      <c r="T4" s="153" t="s">
        <v>513</v>
      </c>
      <c r="U4" s="216" t="s">
        <v>1011</v>
      </c>
      <c r="V4" s="216" t="s">
        <v>1010</v>
      </c>
      <c r="W4" s="153" t="s">
        <v>1220</v>
      </c>
      <c r="X4" s="154" t="s">
        <v>515</v>
      </c>
      <c r="Y4" s="128" t="s">
        <v>747</v>
      </c>
      <c r="Z4" s="244" t="s">
        <v>682</v>
      </c>
      <c r="AA4" s="128" t="s">
        <v>1165</v>
      </c>
      <c r="AB4" s="244" t="s">
        <v>143</v>
      </c>
      <c r="AC4" s="39" t="s">
        <v>554</v>
      </c>
      <c r="AD4" s="39" t="s">
        <v>65</v>
      </c>
      <c r="AE4" s="39" t="s">
        <v>66</v>
      </c>
      <c r="AF4" s="39" t="s">
        <v>67</v>
      </c>
      <c r="AG4" s="39" t="s">
        <v>477</v>
      </c>
      <c r="AH4" s="39" t="s">
        <v>68</v>
      </c>
      <c r="AI4" s="39" t="s">
        <v>478</v>
      </c>
      <c r="AJ4" s="39" t="s">
        <v>658</v>
      </c>
    </row>
    <row r="5" spans="1:36" s="9" customFormat="1" x14ac:dyDescent="0.15">
      <c r="A5" s="9">
        <f>B5*10000000+C5*1000000+D5*10000+E5*100+F5</f>
        <v>11010101</v>
      </c>
      <c r="B5" s="85">
        <v>1</v>
      </c>
      <c r="C5" s="64">
        <f t="shared" ref="C5:C41" si="0">H5</f>
        <v>1</v>
      </c>
      <c r="D5" s="64">
        <f t="shared" ref="D5:D41" si="1">I5</f>
        <v>1</v>
      </c>
      <c r="E5" s="10">
        <v>1</v>
      </c>
      <c r="F5" s="64">
        <f>J5</f>
        <v>1</v>
      </c>
      <c r="G5" s="245"/>
      <c r="H5" s="11">
        <v>1</v>
      </c>
      <c r="I5" s="11">
        <v>1</v>
      </c>
      <c r="J5" s="11">
        <v>1</v>
      </c>
      <c r="K5" s="245"/>
      <c r="L5" s="11" t="s">
        <v>1227</v>
      </c>
      <c r="M5" s="11" t="s">
        <v>973</v>
      </c>
      <c r="N5" s="10" t="s">
        <v>973</v>
      </c>
      <c r="O5" s="10"/>
      <c r="P5" s="77">
        <v>0</v>
      </c>
      <c r="Q5" s="77">
        <v>1</v>
      </c>
      <c r="R5" s="85" t="s">
        <v>1026</v>
      </c>
      <c r="S5" s="56">
        <v>11010101</v>
      </c>
      <c r="T5" s="57" t="str">
        <f>CONCATENATE(R5,S5,".png")</f>
        <v>UITexture/ShipMod/11010101.png</v>
      </c>
      <c r="U5" s="85" t="s">
        <v>1172</v>
      </c>
      <c r="V5" s="56"/>
      <c r="W5" s="57" t="str">
        <f>CONCATENATE(U5,V5,".png")</f>
        <v>UITexture/ShipType/.png</v>
      </c>
      <c r="X5" s="77"/>
      <c r="Y5" s="77"/>
      <c r="Z5" s="245"/>
      <c r="AA5" s="77"/>
      <c r="AB5" s="245"/>
      <c r="AC5" s="11">
        <v>1</v>
      </c>
      <c r="AD5" s="11"/>
      <c r="AE5" s="11"/>
      <c r="AF5" s="11"/>
      <c r="AG5" s="11">
        <v>3</v>
      </c>
      <c r="AH5" s="11">
        <v>3</v>
      </c>
      <c r="AI5" s="11">
        <v>50</v>
      </c>
      <c r="AJ5" s="11">
        <v>1</v>
      </c>
    </row>
    <row r="6" spans="1:36" s="3" customFormat="1" x14ac:dyDescent="0.15">
      <c r="A6" s="3">
        <f t="shared" ref="A6:A44" si="2">B6*10000000+C6*1000000+D6*10000+E6*100+F6</f>
        <v>11010102</v>
      </c>
      <c r="B6" s="86">
        <v>1</v>
      </c>
      <c r="C6" s="65">
        <f t="shared" si="0"/>
        <v>1</v>
      </c>
      <c r="D6" s="65">
        <f t="shared" si="1"/>
        <v>1</v>
      </c>
      <c r="E6" s="4">
        <v>1</v>
      </c>
      <c r="F6" s="65">
        <f t="shared" ref="F6:F59" si="3">J6</f>
        <v>2</v>
      </c>
      <c r="G6" s="246"/>
      <c r="H6" s="5">
        <v>1</v>
      </c>
      <c r="I6" s="5">
        <v>1</v>
      </c>
      <c r="J6" s="5">
        <v>2</v>
      </c>
      <c r="K6" s="246"/>
      <c r="L6" s="5" t="s">
        <v>1227</v>
      </c>
      <c r="M6" s="5"/>
      <c r="N6" s="4"/>
      <c r="O6" s="4"/>
      <c r="P6" s="5">
        <v>0</v>
      </c>
      <c r="Q6" s="5">
        <v>1</v>
      </c>
      <c r="R6" s="86" t="s">
        <v>1026</v>
      </c>
      <c r="S6" s="86">
        <v>11010102</v>
      </c>
      <c r="T6" s="177" t="str">
        <f t="shared" ref="T6:T59" si="4">CONCATENATE(R6,S6,".png")</f>
        <v>UITexture/ShipMod/11010102.png</v>
      </c>
      <c r="U6" s="86" t="s">
        <v>1172</v>
      </c>
      <c r="V6" s="86"/>
      <c r="W6" s="177" t="str">
        <f t="shared" ref="W6:W59" si="5">CONCATENATE(U6,V6,".png")</f>
        <v>UITexture/ShipType/.png</v>
      </c>
      <c r="X6" s="5"/>
      <c r="Y6" s="5"/>
      <c r="Z6" s="246"/>
      <c r="AA6" s="5"/>
      <c r="AB6" s="246"/>
      <c r="AC6" s="5">
        <v>1</v>
      </c>
      <c r="AD6" s="5"/>
      <c r="AE6" s="5"/>
      <c r="AF6" s="5"/>
      <c r="AG6" s="5">
        <v>3</v>
      </c>
      <c r="AH6" s="5">
        <v>3</v>
      </c>
      <c r="AI6" s="5">
        <v>50</v>
      </c>
      <c r="AJ6" s="5">
        <v>1</v>
      </c>
    </row>
    <row r="7" spans="1:36" s="3" customFormat="1" x14ac:dyDescent="0.15">
      <c r="A7" s="3">
        <f t="shared" si="2"/>
        <v>11010103</v>
      </c>
      <c r="B7" s="86">
        <v>1</v>
      </c>
      <c r="C7" s="65">
        <f t="shared" si="0"/>
        <v>1</v>
      </c>
      <c r="D7" s="65">
        <f t="shared" si="1"/>
        <v>1</v>
      </c>
      <c r="E7" s="4">
        <v>1</v>
      </c>
      <c r="F7" s="65">
        <f t="shared" si="3"/>
        <v>3</v>
      </c>
      <c r="G7" s="246"/>
      <c r="H7" s="5">
        <v>1</v>
      </c>
      <c r="I7" s="5">
        <v>1</v>
      </c>
      <c r="J7" s="5">
        <v>3</v>
      </c>
      <c r="K7" s="246"/>
      <c r="L7" s="5" t="s">
        <v>1227</v>
      </c>
      <c r="M7" s="5"/>
      <c r="N7" s="4"/>
      <c r="O7" s="4"/>
      <c r="P7" s="5">
        <v>0</v>
      </c>
      <c r="Q7" s="5">
        <v>1</v>
      </c>
      <c r="R7" s="86" t="s">
        <v>1026</v>
      </c>
      <c r="S7" s="86">
        <v>11010103</v>
      </c>
      <c r="T7" s="177" t="str">
        <f t="shared" si="4"/>
        <v>UITexture/ShipMod/11010103.png</v>
      </c>
      <c r="U7" s="86" t="s">
        <v>1172</v>
      </c>
      <c r="V7" s="86"/>
      <c r="W7" s="177" t="str">
        <f t="shared" si="5"/>
        <v>UITexture/ShipType/.png</v>
      </c>
      <c r="X7" s="5"/>
      <c r="Y7" s="5"/>
      <c r="Z7" s="246"/>
      <c r="AA7" s="5"/>
      <c r="AB7" s="246"/>
      <c r="AC7" s="5">
        <v>1</v>
      </c>
      <c r="AD7" s="5"/>
      <c r="AE7" s="5"/>
      <c r="AF7" s="5"/>
      <c r="AG7" s="5">
        <v>3</v>
      </c>
      <c r="AH7" s="5">
        <v>3</v>
      </c>
      <c r="AI7" s="5">
        <v>50</v>
      </c>
      <c r="AJ7" s="5">
        <v>1</v>
      </c>
    </row>
    <row r="8" spans="1:36" s="3" customFormat="1" x14ac:dyDescent="0.15">
      <c r="A8" s="3">
        <f t="shared" si="2"/>
        <v>11010104</v>
      </c>
      <c r="B8" s="86">
        <v>1</v>
      </c>
      <c r="C8" s="65">
        <f t="shared" si="0"/>
        <v>1</v>
      </c>
      <c r="D8" s="65">
        <f t="shared" si="1"/>
        <v>1</v>
      </c>
      <c r="E8" s="4">
        <v>1</v>
      </c>
      <c r="F8" s="65">
        <f t="shared" si="3"/>
        <v>4</v>
      </c>
      <c r="G8" s="246"/>
      <c r="H8" s="5">
        <v>1</v>
      </c>
      <c r="I8" s="5">
        <v>1</v>
      </c>
      <c r="J8" s="5">
        <v>4</v>
      </c>
      <c r="K8" s="246"/>
      <c r="L8" s="5" t="s">
        <v>1227</v>
      </c>
      <c r="M8" s="5"/>
      <c r="N8" s="4"/>
      <c r="O8" s="4"/>
      <c r="P8" s="5">
        <v>0</v>
      </c>
      <c r="Q8" s="5">
        <v>1</v>
      </c>
      <c r="R8" s="86" t="s">
        <v>1026</v>
      </c>
      <c r="S8" s="86">
        <v>11010104</v>
      </c>
      <c r="T8" s="177" t="str">
        <f t="shared" si="4"/>
        <v>UITexture/ShipMod/11010104.png</v>
      </c>
      <c r="U8" s="86" t="s">
        <v>1172</v>
      </c>
      <c r="V8" s="86"/>
      <c r="W8" s="177" t="str">
        <f t="shared" si="5"/>
        <v>UITexture/ShipType/.png</v>
      </c>
      <c r="X8" s="5"/>
      <c r="Y8" s="5"/>
      <c r="Z8" s="246"/>
      <c r="AA8" s="5"/>
      <c r="AB8" s="246"/>
      <c r="AC8" s="5">
        <v>1</v>
      </c>
      <c r="AD8" s="5"/>
      <c r="AE8" s="5"/>
      <c r="AF8" s="5"/>
      <c r="AG8" s="5">
        <v>3</v>
      </c>
      <c r="AH8" s="5">
        <v>3</v>
      </c>
      <c r="AI8" s="5">
        <v>50</v>
      </c>
      <c r="AJ8" s="5">
        <v>1</v>
      </c>
    </row>
    <row r="9" spans="1:36" s="3" customFormat="1" ht="17.25" thickBot="1" x14ac:dyDescent="0.2">
      <c r="A9" s="3">
        <f t="shared" si="2"/>
        <v>11010105</v>
      </c>
      <c r="B9" s="86">
        <v>1</v>
      </c>
      <c r="C9" s="65">
        <f t="shared" si="0"/>
        <v>1</v>
      </c>
      <c r="D9" s="65">
        <f t="shared" si="1"/>
        <v>1</v>
      </c>
      <c r="E9" s="4">
        <v>1</v>
      </c>
      <c r="F9" s="65">
        <f t="shared" si="3"/>
        <v>5</v>
      </c>
      <c r="G9" s="246"/>
      <c r="H9" s="5">
        <v>1</v>
      </c>
      <c r="I9" s="5">
        <v>1</v>
      </c>
      <c r="J9" s="5">
        <v>5</v>
      </c>
      <c r="K9" s="246"/>
      <c r="L9" s="5" t="s">
        <v>1227</v>
      </c>
      <c r="M9" s="5"/>
      <c r="N9" s="4"/>
      <c r="O9" s="4"/>
      <c r="P9" s="5">
        <v>0</v>
      </c>
      <c r="Q9" s="5">
        <v>1</v>
      </c>
      <c r="R9" s="86" t="s">
        <v>1026</v>
      </c>
      <c r="S9" s="86">
        <v>11010105</v>
      </c>
      <c r="T9" s="177" t="str">
        <f t="shared" si="4"/>
        <v>UITexture/ShipMod/11010105.png</v>
      </c>
      <c r="U9" s="86" t="s">
        <v>1172</v>
      </c>
      <c r="V9" s="86"/>
      <c r="W9" s="177" t="str">
        <f t="shared" si="5"/>
        <v>UITexture/ShipType/.png</v>
      </c>
      <c r="X9" s="5"/>
      <c r="Y9" s="5"/>
      <c r="Z9" s="246"/>
      <c r="AA9" s="5"/>
      <c r="AB9" s="246"/>
      <c r="AC9" s="5">
        <v>1</v>
      </c>
      <c r="AD9" s="5"/>
      <c r="AE9" s="5"/>
      <c r="AF9" s="5"/>
      <c r="AG9" s="5">
        <v>3</v>
      </c>
      <c r="AH9" s="5">
        <v>3</v>
      </c>
      <c r="AI9" s="5">
        <v>50</v>
      </c>
      <c r="AJ9" s="5">
        <v>1</v>
      </c>
    </row>
    <row r="10" spans="1:36" s="9" customFormat="1" x14ac:dyDescent="0.15">
      <c r="A10" s="9">
        <f t="shared" si="2"/>
        <v>11020101</v>
      </c>
      <c r="B10" s="85">
        <v>1</v>
      </c>
      <c r="C10" s="64">
        <f t="shared" si="0"/>
        <v>1</v>
      </c>
      <c r="D10" s="64">
        <f t="shared" si="1"/>
        <v>2</v>
      </c>
      <c r="E10" s="10">
        <v>1</v>
      </c>
      <c r="F10" s="64">
        <f t="shared" si="3"/>
        <v>1</v>
      </c>
      <c r="G10" s="245"/>
      <c r="H10" s="11">
        <v>1</v>
      </c>
      <c r="I10" s="11">
        <v>2</v>
      </c>
      <c r="J10" s="11">
        <v>1</v>
      </c>
      <c r="K10" s="245"/>
      <c r="L10" s="11" t="s">
        <v>1227</v>
      </c>
      <c r="M10" s="11" t="s">
        <v>972</v>
      </c>
      <c r="N10" s="10" t="s">
        <v>972</v>
      </c>
      <c r="O10" s="10"/>
      <c r="P10" s="11">
        <v>0</v>
      </c>
      <c r="Q10" s="11">
        <v>1</v>
      </c>
      <c r="R10" s="85" t="s">
        <v>1026</v>
      </c>
      <c r="S10" s="85">
        <v>11020101</v>
      </c>
      <c r="T10" s="213" t="str">
        <f t="shared" si="4"/>
        <v>UITexture/ShipMod/11020101.png</v>
      </c>
      <c r="U10" s="85" t="s">
        <v>1172</v>
      </c>
      <c r="V10" s="85"/>
      <c r="W10" s="213" t="str">
        <f t="shared" si="5"/>
        <v>UITexture/ShipType/.png</v>
      </c>
      <c r="X10" s="11"/>
      <c r="Y10" s="11"/>
      <c r="Z10" s="245"/>
      <c r="AA10" s="11"/>
      <c r="AB10" s="245"/>
      <c r="AC10" s="11">
        <v>1</v>
      </c>
      <c r="AD10" s="11"/>
      <c r="AE10" s="11"/>
      <c r="AF10" s="11"/>
      <c r="AG10" s="11">
        <v>3</v>
      </c>
      <c r="AH10" s="11">
        <v>3</v>
      </c>
      <c r="AI10" s="11">
        <v>50</v>
      </c>
      <c r="AJ10" s="11">
        <v>1</v>
      </c>
    </row>
    <row r="11" spans="1:36" s="3" customFormat="1" x14ac:dyDescent="0.15">
      <c r="A11" s="3">
        <f t="shared" si="2"/>
        <v>11020102</v>
      </c>
      <c r="B11" s="86">
        <v>1</v>
      </c>
      <c r="C11" s="65">
        <f t="shared" si="0"/>
        <v>1</v>
      </c>
      <c r="D11" s="65">
        <f t="shared" si="1"/>
        <v>2</v>
      </c>
      <c r="E11" s="4">
        <v>1</v>
      </c>
      <c r="F11" s="65">
        <f t="shared" si="3"/>
        <v>2</v>
      </c>
      <c r="G11" s="246"/>
      <c r="H11" s="5">
        <v>1</v>
      </c>
      <c r="I11" s="5">
        <v>2</v>
      </c>
      <c r="J11" s="5">
        <v>2</v>
      </c>
      <c r="K11" s="246"/>
      <c r="L11" s="5" t="s">
        <v>1227</v>
      </c>
      <c r="M11" s="5"/>
      <c r="N11" s="4"/>
      <c r="O11" s="4"/>
      <c r="P11" s="5">
        <v>0</v>
      </c>
      <c r="Q11" s="5">
        <v>1</v>
      </c>
      <c r="R11" s="86" t="s">
        <v>1026</v>
      </c>
      <c r="S11" s="86">
        <v>11020102</v>
      </c>
      <c r="T11" s="177" t="str">
        <f t="shared" si="4"/>
        <v>UITexture/ShipMod/11020102.png</v>
      </c>
      <c r="U11" s="86" t="s">
        <v>1172</v>
      </c>
      <c r="V11" s="86"/>
      <c r="W11" s="177" t="str">
        <f t="shared" si="5"/>
        <v>UITexture/ShipType/.png</v>
      </c>
      <c r="X11" s="5"/>
      <c r="Y11" s="5"/>
      <c r="Z11" s="246"/>
      <c r="AA11" s="5"/>
      <c r="AB11" s="246"/>
      <c r="AC11" s="5">
        <v>1</v>
      </c>
      <c r="AD11" s="5"/>
      <c r="AE11" s="5"/>
      <c r="AF11" s="5"/>
      <c r="AG11" s="5">
        <v>3</v>
      </c>
      <c r="AH11" s="5">
        <v>3</v>
      </c>
      <c r="AI11" s="5">
        <v>50</v>
      </c>
      <c r="AJ11" s="5">
        <v>1</v>
      </c>
    </row>
    <row r="12" spans="1:36" s="3" customFormat="1" x14ac:dyDescent="0.15">
      <c r="A12" s="3">
        <f t="shared" si="2"/>
        <v>11020103</v>
      </c>
      <c r="B12" s="86">
        <v>1</v>
      </c>
      <c r="C12" s="65">
        <f t="shared" si="0"/>
        <v>1</v>
      </c>
      <c r="D12" s="65">
        <f t="shared" si="1"/>
        <v>2</v>
      </c>
      <c r="E12" s="4">
        <v>1</v>
      </c>
      <c r="F12" s="65">
        <f t="shared" si="3"/>
        <v>3</v>
      </c>
      <c r="G12" s="246"/>
      <c r="H12" s="5">
        <v>1</v>
      </c>
      <c r="I12" s="5">
        <v>2</v>
      </c>
      <c r="J12" s="5">
        <v>3</v>
      </c>
      <c r="K12" s="246"/>
      <c r="L12" s="5" t="s">
        <v>1227</v>
      </c>
      <c r="M12" s="5"/>
      <c r="N12" s="4"/>
      <c r="O12" s="4"/>
      <c r="P12" s="5">
        <v>0</v>
      </c>
      <c r="Q12" s="5">
        <v>1</v>
      </c>
      <c r="R12" s="86" t="s">
        <v>1026</v>
      </c>
      <c r="S12" s="86">
        <v>11020103</v>
      </c>
      <c r="T12" s="177" t="str">
        <f t="shared" si="4"/>
        <v>UITexture/ShipMod/11020103.png</v>
      </c>
      <c r="U12" s="86" t="s">
        <v>1172</v>
      </c>
      <c r="V12" s="86"/>
      <c r="W12" s="177" t="str">
        <f t="shared" si="5"/>
        <v>UITexture/ShipType/.png</v>
      </c>
      <c r="X12" s="5"/>
      <c r="Y12" s="5"/>
      <c r="Z12" s="246"/>
      <c r="AA12" s="5"/>
      <c r="AB12" s="246"/>
      <c r="AC12" s="5">
        <v>1</v>
      </c>
      <c r="AD12" s="5"/>
      <c r="AE12" s="5"/>
      <c r="AF12" s="5"/>
      <c r="AG12" s="5">
        <v>3</v>
      </c>
      <c r="AH12" s="5">
        <v>3</v>
      </c>
      <c r="AI12" s="5">
        <v>50</v>
      </c>
      <c r="AJ12" s="5">
        <v>1</v>
      </c>
    </row>
    <row r="13" spans="1:36" s="3" customFormat="1" x14ac:dyDescent="0.15">
      <c r="A13" s="3">
        <f t="shared" si="2"/>
        <v>11020104</v>
      </c>
      <c r="B13" s="86">
        <v>1</v>
      </c>
      <c r="C13" s="65">
        <f t="shared" si="0"/>
        <v>1</v>
      </c>
      <c r="D13" s="65">
        <f t="shared" si="1"/>
        <v>2</v>
      </c>
      <c r="E13" s="4">
        <v>1</v>
      </c>
      <c r="F13" s="65">
        <f t="shared" si="3"/>
        <v>4</v>
      </c>
      <c r="G13" s="246"/>
      <c r="H13" s="5">
        <v>1</v>
      </c>
      <c r="I13" s="5">
        <v>2</v>
      </c>
      <c r="J13" s="5">
        <v>4</v>
      </c>
      <c r="K13" s="246"/>
      <c r="L13" s="5" t="s">
        <v>1227</v>
      </c>
      <c r="M13" s="5"/>
      <c r="N13" s="4"/>
      <c r="O13" s="4"/>
      <c r="P13" s="5">
        <v>0</v>
      </c>
      <c r="Q13" s="5">
        <v>1</v>
      </c>
      <c r="R13" s="86" t="s">
        <v>1026</v>
      </c>
      <c r="S13" s="86">
        <v>11020104</v>
      </c>
      <c r="T13" s="177" t="str">
        <f t="shared" si="4"/>
        <v>UITexture/ShipMod/11020104.png</v>
      </c>
      <c r="U13" s="86" t="s">
        <v>1172</v>
      </c>
      <c r="V13" s="86"/>
      <c r="W13" s="177" t="str">
        <f t="shared" si="5"/>
        <v>UITexture/ShipType/.png</v>
      </c>
      <c r="X13" s="5"/>
      <c r="Y13" s="5"/>
      <c r="Z13" s="246"/>
      <c r="AA13" s="5"/>
      <c r="AB13" s="246"/>
      <c r="AC13" s="5">
        <v>1</v>
      </c>
      <c r="AD13" s="5"/>
      <c r="AE13" s="5"/>
      <c r="AF13" s="5"/>
      <c r="AG13" s="5">
        <v>3</v>
      </c>
      <c r="AH13" s="5">
        <v>3</v>
      </c>
      <c r="AI13" s="5">
        <v>50</v>
      </c>
      <c r="AJ13" s="5">
        <v>1</v>
      </c>
    </row>
    <row r="14" spans="1:36" s="13" customFormat="1" ht="17.25" thickBot="1" x14ac:dyDescent="0.2">
      <c r="A14" s="13">
        <f t="shared" si="2"/>
        <v>11020105</v>
      </c>
      <c r="B14" s="87">
        <v>1</v>
      </c>
      <c r="C14" s="63">
        <f t="shared" si="0"/>
        <v>1</v>
      </c>
      <c r="D14" s="63">
        <f t="shared" si="1"/>
        <v>2</v>
      </c>
      <c r="E14" s="14">
        <v>1</v>
      </c>
      <c r="F14" s="65">
        <f t="shared" si="3"/>
        <v>5</v>
      </c>
      <c r="G14" s="247"/>
      <c r="H14" s="15">
        <v>1</v>
      </c>
      <c r="I14" s="15">
        <v>2</v>
      </c>
      <c r="J14" s="15">
        <v>5</v>
      </c>
      <c r="K14" s="247"/>
      <c r="L14" s="15" t="s">
        <v>1227</v>
      </c>
      <c r="M14" s="15"/>
      <c r="N14" s="14"/>
      <c r="O14" s="14"/>
      <c r="P14" s="15">
        <v>0</v>
      </c>
      <c r="Q14" s="15">
        <v>1</v>
      </c>
      <c r="R14" s="87" t="s">
        <v>1026</v>
      </c>
      <c r="S14" s="87">
        <v>11020105</v>
      </c>
      <c r="T14" s="179" t="str">
        <f t="shared" si="4"/>
        <v>UITexture/ShipMod/11020105.png</v>
      </c>
      <c r="U14" s="87" t="s">
        <v>1172</v>
      </c>
      <c r="V14" s="87"/>
      <c r="W14" s="179" t="str">
        <f t="shared" si="5"/>
        <v>UITexture/ShipType/.png</v>
      </c>
      <c r="X14" s="15"/>
      <c r="Y14" s="15"/>
      <c r="Z14" s="247"/>
      <c r="AA14" s="15"/>
      <c r="AB14" s="247"/>
      <c r="AC14" s="15">
        <v>1</v>
      </c>
      <c r="AD14" s="15"/>
      <c r="AE14" s="15"/>
      <c r="AF14" s="15"/>
      <c r="AG14" s="15">
        <v>3</v>
      </c>
      <c r="AH14" s="15">
        <v>3</v>
      </c>
      <c r="AI14" s="15">
        <v>50</v>
      </c>
      <c r="AJ14" s="15">
        <v>1</v>
      </c>
    </row>
    <row r="15" spans="1:36" s="3" customFormat="1" x14ac:dyDescent="0.15">
      <c r="A15" s="3">
        <f t="shared" si="2"/>
        <v>11030101</v>
      </c>
      <c r="B15" s="86">
        <v>1</v>
      </c>
      <c r="C15" s="65">
        <f t="shared" si="0"/>
        <v>1</v>
      </c>
      <c r="D15" s="65">
        <f t="shared" si="1"/>
        <v>3</v>
      </c>
      <c r="E15" s="4">
        <v>1</v>
      </c>
      <c r="F15" s="64">
        <f t="shared" si="3"/>
        <v>1</v>
      </c>
      <c r="G15" s="246"/>
      <c r="H15" s="5">
        <v>1</v>
      </c>
      <c r="I15" s="5">
        <v>3</v>
      </c>
      <c r="J15" s="5">
        <v>1</v>
      </c>
      <c r="K15" s="246"/>
      <c r="L15" s="5" t="s">
        <v>1227</v>
      </c>
      <c r="M15" s="5" t="s">
        <v>1099</v>
      </c>
      <c r="N15" s="4" t="s">
        <v>971</v>
      </c>
      <c r="O15" s="4"/>
      <c r="P15" s="5">
        <v>1</v>
      </c>
      <c r="Q15" s="5">
        <v>1</v>
      </c>
      <c r="R15" s="86" t="s">
        <v>1026</v>
      </c>
      <c r="S15" s="86">
        <v>11030101</v>
      </c>
      <c r="T15" s="177" t="str">
        <f t="shared" si="4"/>
        <v>UITexture/ShipMod/11030101.png</v>
      </c>
      <c r="U15" s="86" t="s">
        <v>1172</v>
      </c>
      <c r="V15" s="86" t="s">
        <v>1173</v>
      </c>
      <c r="W15" s="177" t="str">
        <f t="shared" si="5"/>
        <v>UITexture/ShipType/EngineeringShip.png</v>
      </c>
      <c r="X15" s="5" t="s">
        <v>1100</v>
      </c>
      <c r="Y15" s="5">
        <v>301</v>
      </c>
      <c r="Z15" s="246"/>
      <c r="AA15" s="5">
        <v>1</v>
      </c>
      <c r="AB15" s="246"/>
      <c r="AC15" s="5">
        <v>1</v>
      </c>
      <c r="AD15" s="5"/>
      <c r="AE15" s="5"/>
      <c r="AF15" s="5"/>
      <c r="AG15" s="5">
        <v>3</v>
      </c>
      <c r="AH15" s="5">
        <v>3</v>
      </c>
      <c r="AI15" s="5">
        <v>50</v>
      </c>
      <c r="AJ15" s="5">
        <v>1</v>
      </c>
    </row>
    <row r="16" spans="1:36" s="3" customFormat="1" x14ac:dyDescent="0.15">
      <c r="A16" s="3">
        <f t="shared" si="2"/>
        <v>11030102</v>
      </c>
      <c r="B16" s="86">
        <v>1</v>
      </c>
      <c r="C16" s="65">
        <f t="shared" si="0"/>
        <v>1</v>
      </c>
      <c r="D16" s="65">
        <f t="shared" si="1"/>
        <v>3</v>
      </c>
      <c r="E16" s="4">
        <v>1</v>
      </c>
      <c r="F16" s="65">
        <f t="shared" si="3"/>
        <v>2</v>
      </c>
      <c r="G16" s="246"/>
      <c r="H16" s="5">
        <v>1</v>
      </c>
      <c r="I16" s="5">
        <v>3</v>
      </c>
      <c r="J16" s="5">
        <v>2</v>
      </c>
      <c r="K16" s="246"/>
      <c r="L16" s="5" t="s">
        <v>1227</v>
      </c>
      <c r="M16" s="5"/>
      <c r="N16" s="4"/>
      <c r="O16" s="4"/>
      <c r="P16" s="5">
        <v>0</v>
      </c>
      <c r="Q16" s="5">
        <v>1</v>
      </c>
      <c r="R16" s="86" t="s">
        <v>1026</v>
      </c>
      <c r="S16" s="86">
        <v>11030101</v>
      </c>
      <c r="T16" s="177" t="str">
        <f t="shared" si="4"/>
        <v>UITexture/ShipMod/11030101.png</v>
      </c>
      <c r="U16" s="86" t="s">
        <v>1172</v>
      </c>
      <c r="V16" s="86"/>
      <c r="W16" s="177" t="str">
        <f t="shared" si="5"/>
        <v>UITexture/ShipType/.png</v>
      </c>
      <c r="X16" s="5"/>
      <c r="Y16" s="5"/>
      <c r="Z16" s="246"/>
      <c r="AA16" s="5"/>
      <c r="AB16" s="246"/>
      <c r="AC16" s="5">
        <v>1</v>
      </c>
      <c r="AD16" s="5"/>
      <c r="AE16" s="5"/>
      <c r="AF16" s="5"/>
      <c r="AG16" s="5">
        <v>3</v>
      </c>
      <c r="AH16" s="5">
        <v>3</v>
      </c>
      <c r="AI16" s="5">
        <v>50</v>
      </c>
      <c r="AJ16" s="5">
        <v>1</v>
      </c>
    </row>
    <row r="17" spans="1:36" s="3" customFormat="1" x14ac:dyDescent="0.15">
      <c r="A17" s="3">
        <f t="shared" si="2"/>
        <v>11030103</v>
      </c>
      <c r="B17" s="86">
        <v>1</v>
      </c>
      <c r="C17" s="65">
        <f t="shared" si="0"/>
        <v>1</v>
      </c>
      <c r="D17" s="65">
        <f t="shared" si="1"/>
        <v>3</v>
      </c>
      <c r="E17" s="4">
        <v>1</v>
      </c>
      <c r="F17" s="65">
        <f t="shared" si="3"/>
        <v>3</v>
      </c>
      <c r="G17" s="246"/>
      <c r="H17" s="5">
        <v>1</v>
      </c>
      <c r="I17" s="5">
        <v>3</v>
      </c>
      <c r="J17" s="5">
        <v>3</v>
      </c>
      <c r="K17" s="246"/>
      <c r="L17" s="5" t="s">
        <v>1227</v>
      </c>
      <c r="M17" s="5"/>
      <c r="N17" s="4"/>
      <c r="O17" s="4"/>
      <c r="P17" s="5">
        <v>0</v>
      </c>
      <c r="Q17" s="5">
        <v>1</v>
      </c>
      <c r="R17" s="86" t="s">
        <v>1026</v>
      </c>
      <c r="S17" s="86">
        <v>11030101</v>
      </c>
      <c r="T17" s="177" t="str">
        <f t="shared" si="4"/>
        <v>UITexture/ShipMod/11030101.png</v>
      </c>
      <c r="U17" s="86" t="s">
        <v>1172</v>
      </c>
      <c r="V17" s="86"/>
      <c r="W17" s="177" t="str">
        <f t="shared" si="5"/>
        <v>UITexture/ShipType/.png</v>
      </c>
      <c r="X17" s="5"/>
      <c r="Y17" s="5"/>
      <c r="Z17" s="246"/>
      <c r="AA17" s="5"/>
      <c r="AB17" s="246"/>
      <c r="AC17" s="5">
        <v>1</v>
      </c>
      <c r="AD17" s="5"/>
      <c r="AE17" s="5"/>
      <c r="AF17" s="5"/>
      <c r="AG17" s="5">
        <v>3</v>
      </c>
      <c r="AH17" s="5">
        <v>3</v>
      </c>
      <c r="AI17" s="5">
        <v>50</v>
      </c>
      <c r="AJ17" s="5">
        <v>1</v>
      </c>
    </row>
    <row r="18" spans="1:36" s="3" customFormat="1" x14ac:dyDescent="0.15">
      <c r="A18" s="3">
        <f t="shared" si="2"/>
        <v>11030104</v>
      </c>
      <c r="B18" s="86">
        <v>1</v>
      </c>
      <c r="C18" s="65">
        <f t="shared" si="0"/>
        <v>1</v>
      </c>
      <c r="D18" s="65">
        <f t="shared" si="1"/>
        <v>3</v>
      </c>
      <c r="E18" s="4">
        <v>1</v>
      </c>
      <c r="F18" s="65">
        <f t="shared" si="3"/>
        <v>4</v>
      </c>
      <c r="G18" s="246"/>
      <c r="H18" s="5">
        <v>1</v>
      </c>
      <c r="I18" s="5">
        <v>3</v>
      </c>
      <c r="J18" s="5">
        <v>4</v>
      </c>
      <c r="K18" s="246"/>
      <c r="L18" s="5" t="s">
        <v>1227</v>
      </c>
      <c r="M18" s="5"/>
      <c r="N18" s="4"/>
      <c r="O18" s="4"/>
      <c r="P18" s="5">
        <v>0</v>
      </c>
      <c r="Q18" s="5">
        <v>1</v>
      </c>
      <c r="R18" s="86" t="s">
        <v>1026</v>
      </c>
      <c r="S18" s="86">
        <v>11030101</v>
      </c>
      <c r="T18" s="177" t="str">
        <f t="shared" si="4"/>
        <v>UITexture/ShipMod/11030101.png</v>
      </c>
      <c r="U18" s="86" t="s">
        <v>1172</v>
      </c>
      <c r="V18" s="86"/>
      <c r="W18" s="177" t="str">
        <f t="shared" si="5"/>
        <v>UITexture/ShipType/.png</v>
      </c>
      <c r="X18" s="5"/>
      <c r="Y18" s="5"/>
      <c r="Z18" s="246"/>
      <c r="AA18" s="5"/>
      <c r="AB18" s="246"/>
      <c r="AC18" s="5">
        <v>1</v>
      </c>
      <c r="AD18" s="5"/>
      <c r="AE18" s="5"/>
      <c r="AF18" s="5"/>
      <c r="AG18" s="5">
        <v>3</v>
      </c>
      <c r="AH18" s="5">
        <v>3</v>
      </c>
      <c r="AI18" s="5">
        <v>50</v>
      </c>
      <c r="AJ18" s="5">
        <v>1</v>
      </c>
    </row>
    <row r="19" spans="1:36" s="3" customFormat="1" ht="17.25" thickBot="1" x14ac:dyDescent="0.2">
      <c r="A19" s="3">
        <f t="shared" si="2"/>
        <v>11030105</v>
      </c>
      <c r="B19" s="86">
        <v>1</v>
      </c>
      <c r="C19" s="65">
        <f t="shared" si="0"/>
        <v>1</v>
      </c>
      <c r="D19" s="65">
        <f t="shared" si="1"/>
        <v>3</v>
      </c>
      <c r="E19" s="4">
        <v>1</v>
      </c>
      <c r="F19" s="65">
        <f t="shared" si="3"/>
        <v>5</v>
      </c>
      <c r="G19" s="246"/>
      <c r="H19" s="5">
        <v>1</v>
      </c>
      <c r="I19" s="5">
        <v>3</v>
      </c>
      <c r="J19" s="5">
        <v>5</v>
      </c>
      <c r="K19" s="246"/>
      <c r="L19" s="5" t="s">
        <v>1227</v>
      </c>
      <c r="M19" s="5"/>
      <c r="N19" s="4"/>
      <c r="O19" s="4"/>
      <c r="P19" s="5">
        <v>0</v>
      </c>
      <c r="Q19" s="5">
        <v>1</v>
      </c>
      <c r="R19" s="86" t="s">
        <v>1026</v>
      </c>
      <c r="S19" s="86">
        <v>11030101</v>
      </c>
      <c r="T19" s="177" t="str">
        <f t="shared" si="4"/>
        <v>UITexture/ShipMod/11030101.png</v>
      </c>
      <c r="U19" s="86" t="s">
        <v>1172</v>
      </c>
      <c r="V19" s="86"/>
      <c r="W19" s="177" t="str">
        <f t="shared" si="5"/>
        <v>UITexture/ShipType/.png</v>
      </c>
      <c r="X19" s="5"/>
      <c r="Y19" s="5"/>
      <c r="Z19" s="246"/>
      <c r="AA19" s="5"/>
      <c r="AB19" s="246"/>
      <c r="AC19" s="5">
        <v>1</v>
      </c>
      <c r="AD19" s="5"/>
      <c r="AE19" s="5"/>
      <c r="AF19" s="5"/>
      <c r="AG19" s="5">
        <v>3</v>
      </c>
      <c r="AH19" s="5">
        <v>3</v>
      </c>
      <c r="AI19" s="5">
        <v>50</v>
      </c>
      <c r="AJ19" s="5">
        <v>1</v>
      </c>
    </row>
    <row r="20" spans="1:36" s="9" customFormat="1" x14ac:dyDescent="0.15">
      <c r="A20" s="9">
        <f t="shared" ref="A20:A24" si="6">B20*10000000+C20*1000000+D20*10000+E20*100+F20</f>
        <v>11030201</v>
      </c>
      <c r="B20" s="85">
        <v>1</v>
      </c>
      <c r="C20" s="64">
        <f t="shared" ref="C20:C24" si="7">H20</f>
        <v>1</v>
      </c>
      <c r="D20" s="64">
        <f t="shared" ref="D20:D24" si="8">I20</f>
        <v>3</v>
      </c>
      <c r="E20" s="10">
        <v>2</v>
      </c>
      <c r="F20" s="64">
        <f t="shared" ref="F20:F24" si="9">J20</f>
        <v>1</v>
      </c>
      <c r="G20" s="245"/>
      <c r="H20" s="11">
        <v>1</v>
      </c>
      <c r="I20" s="11">
        <v>3</v>
      </c>
      <c r="J20" s="11">
        <v>1</v>
      </c>
      <c r="K20" s="245"/>
      <c r="L20" s="11" t="s">
        <v>1227</v>
      </c>
      <c r="M20" s="11" t="s">
        <v>1221</v>
      </c>
      <c r="N20" s="10" t="s">
        <v>971</v>
      </c>
      <c r="O20" s="10"/>
      <c r="P20" s="11">
        <v>1</v>
      </c>
      <c r="Q20" s="11">
        <v>1</v>
      </c>
      <c r="R20" s="85" t="s">
        <v>1026</v>
      </c>
      <c r="S20" s="85">
        <v>11030102</v>
      </c>
      <c r="T20" s="213" t="str">
        <f t="shared" ref="T20:T24" si="10">CONCATENATE(R20,S20,".png")</f>
        <v>UITexture/ShipMod/11030102.png</v>
      </c>
      <c r="U20" s="85" t="s">
        <v>1172</v>
      </c>
      <c r="V20" s="85" t="s">
        <v>1173</v>
      </c>
      <c r="W20" s="213" t="str">
        <f t="shared" ref="W20:W24" si="11">CONCATENATE(U20,V20,".png")</f>
        <v>UITexture/ShipType/EngineeringShip.png</v>
      </c>
      <c r="X20" s="11" t="s">
        <v>1222</v>
      </c>
      <c r="Y20" s="11">
        <v>302</v>
      </c>
      <c r="Z20" s="245"/>
      <c r="AA20" s="11">
        <v>2</v>
      </c>
      <c r="AB20" s="245"/>
      <c r="AC20" s="11">
        <v>1</v>
      </c>
      <c r="AD20" s="11"/>
      <c r="AE20" s="11"/>
      <c r="AF20" s="11"/>
      <c r="AG20" s="11">
        <v>3</v>
      </c>
      <c r="AH20" s="11">
        <v>4</v>
      </c>
      <c r="AI20" s="11">
        <v>50</v>
      </c>
      <c r="AJ20" s="11">
        <v>1</v>
      </c>
    </row>
    <row r="21" spans="1:36" s="3" customFormat="1" x14ac:dyDescent="0.15">
      <c r="A21" s="3">
        <f t="shared" si="6"/>
        <v>11030202</v>
      </c>
      <c r="B21" s="86">
        <v>1</v>
      </c>
      <c r="C21" s="65">
        <f t="shared" si="7"/>
        <v>1</v>
      </c>
      <c r="D21" s="65">
        <f t="shared" si="8"/>
        <v>3</v>
      </c>
      <c r="E21" s="4">
        <v>2</v>
      </c>
      <c r="F21" s="65">
        <f t="shared" si="9"/>
        <v>2</v>
      </c>
      <c r="G21" s="246"/>
      <c r="H21" s="5">
        <v>1</v>
      </c>
      <c r="I21" s="5">
        <v>3</v>
      </c>
      <c r="J21" s="5">
        <v>2</v>
      </c>
      <c r="K21" s="246"/>
      <c r="L21" s="5" t="s">
        <v>1227</v>
      </c>
      <c r="M21" s="5"/>
      <c r="N21" s="4"/>
      <c r="O21" s="4"/>
      <c r="P21" s="5">
        <v>0</v>
      </c>
      <c r="Q21" s="5">
        <v>1</v>
      </c>
      <c r="R21" s="86" t="s">
        <v>1026</v>
      </c>
      <c r="S21" s="86">
        <v>11030101</v>
      </c>
      <c r="T21" s="177" t="str">
        <f t="shared" si="10"/>
        <v>UITexture/ShipMod/11030101.png</v>
      </c>
      <c r="U21" s="86" t="s">
        <v>1172</v>
      </c>
      <c r="V21" s="86"/>
      <c r="W21" s="177" t="str">
        <f t="shared" si="11"/>
        <v>UITexture/ShipType/.png</v>
      </c>
      <c r="X21" s="5"/>
      <c r="Y21" s="5"/>
      <c r="Z21" s="246"/>
      <c r="AA21" s="5"/>
      <c r="AB21" s="246"/>
      <c r="AC21" s="5">
        <v>1</v>
      </c>
      <c r="AD21" s="5"/>
      <c r="AE21" s="5"/>
      <c r="AF21" s="5"/>
      <c r="AG21" s="5">
        <v>3</v>
      </c>
      <c r="AH21" s="5">
        <v>3</v>
      </c>
      <c r="AI21" s="5">
        <v>50</v>
      </c>
      <c r="AJ21" s="5">
        <v>1</v>
      </c>
    </row>
    <row r="22" spans="1:36" s="3" customFormat="1" x14ac:dyDescent="0.15">
      <c r="A22" s="3">
        <f t="shared" si="6"/>
        <v>11030203</v>
      </c>
      <c r="B22" s="86">
        <v>1</v>
      </c>
      <c r="C22" s="65">
        <f t="shared" si="7"/>
        <v>1</v>
      </c>
      <c r="D22" s="65">
        <f t="shared" si="8"/>
        <v>3</v>
      </c>
      <c r="E22" s="4">
        <v>2</v>
      </c>
      <c r="F22" s="65">
        <f t="shared" si="9"/>
        <v>3</v>
      </c>
      <c r="G22" s="246"/>
      <c r="H22" s="5">
        <v>1</v>
      </c>
      <c r="I22" s="5">
        <v>3</v>
      </c>
      <c r="J22" s="5">
        <v>3</v>
      </c>
      <c r="K22" s="246"/>
      <c r="L22" s="5" t="s">
        <v>1227</v>
      </c>
      <c r="M22" s="5"/>
      <c r="N22" s="4"/>
      <c r="O22" s="4"/>
      <c r="P22" s="5">
        <v>0</v>
      </c>
      <c r="Q22" s="5">
        <v>1</v>
      </c>
      <c r="R22" s="86" t="s">
        <v>1026</v>
      </c>
      <c r="S22" s="86">
        <v>11030101</v>
      </c>
      <c r="T22" s="177" t="str">
        <f t="shared" si="10"/>
        <v>UITexture/ShipMod/11030101.png</v>
      </c>
      <c r="U22" s="86" t="s">
        <v>1172</v>
      </c>
      <c r="V22" s="86"/>
      <c r="W22" s="177" t="str">
        <f t="shared" si="11"/>
        <v>UITexture/ShipType/.png</v>
      </c>
      <c r="X22" s="5"/>
      <c r="Y22" s="5"/>
      <c r="Z22" s="246"/>
      <c r="AA22" s="5"/>
      <c r="AB22" s="246"/>
      <c r="AC22" s="5">
        <v>1</v>
      </c>
      <c r="AD22" s="5"/>
      <c r="AE22" s="5"/>
      <c r="AF22" s="5"/>
      <c r="AG22" s="5">
        <v>3</v>
      </c>
      <c r="AH22" s="5">
        <v>3</v>
      </c>
      <c r="AI22" s="5">
        <v>50</v>
      </c>
      <c r="AJ22" s="5">
        <v>1</v>
      </c>
    </row>
    <row r="23" spans="1:36" s="3" customFormat="1" x14ac:dyDescent="0.15">
      <c r="A23" s="3">
        <f t="shared" si="6"/>
        <v>11030204</v>
      </c>
      <c r="B23" s="86">
        <v>1</v>
      </c>
      <c r="C23" s="65">
        <f t="shared" si="7"/>
        <v>1</v>
      </c>
      <c r="D23" s="65">
        <f t="shared" si="8"/>
        <v>3</v>
      </c>
      <c r="E23" s="4">
        <v>2</v>
      </c>
      <c r="F23" s="65">
        <f t="shared" si="9"/>
        <v>4</v>
      </c>
      <c r="G23" s="246"/>
      <c r="H23" s="5">
        <v>1</v>
      </c>
      <c r="I23" s="5">
        <v>3</v>
      </c>
      <c r="J23" s="5">
        <v>4</v>
      </c>
      <c r="K23" s="246"/>
      <c r="L23" s="5" t="s">
        <v>1227</v>
      </c>
      <c r="M23" s="5"/>
      <c r="N23" s="4"/>
      <c r="O23" s="4"/>
      <c r="P23" s="5">
        <v>0</v>
      </c>
      <c r="Q23" s="5">
        <v>1</v>
      </c>
      <c r="R23" s="86" t="s">
        <v>1026</v>
      </c>
      <c r="S23" s="86">
        <v>11030101</v>
      </c>
      <c r="T23" s="177" t="str">
        <f t="shared" si="10"/>
        <v>UITexture/ShipMod/11030101.png</v>
      </c>
      <c r="U23" s="86" t="s">
        <v>1172</v>
      </c>
      <c r="V23" s="86"/>
      <c r="W23" s="177" t="str">
        <f t="shared" si="11"/>
        <v>UITexture/ShipType/.png</v>
      </c>
      <c r="X23" s="5"/>
      <c r="Y23" s="5"/>
      <c r="Z23" s="246"/>
      <c r="AA23" s="5"/>
      <c r="AB23" s="246"/>
      <c r="AC23" s="5">
        <v>1</v>
      </c>
      <c r="AD23" s="5"/>
      <c r="AE23" s="5"/>
      <c r="AF23" s="5"/>
      <c r="AG23" s="5">
        <v>3</v>
      </c>
      <c r="AH23" s="5">
        <v>3</v>
      </c>
      <c r="AI23" s="5">
        <v>50</v>
      </c>
      <c r="AJ23" s="5">
        <v>1</v>
      </c>
    </row>
    <row r="24" spans="1:36" s="13" customFormat="1" ht="17.25" thickBot="1" x14ac:dyDescent="0.2">
      <c r="A24" s="13">
        <f t="shared" si="6"/>
        <v>11030205</v>
      </c>
      <c r="B24" s="87">
        <v>1</v>
      </c>
      <c r="C24" s="63">
        <f t="shared" si="7"/>
        <v>1</v>
      </c>
      <c r="D24" s="63">
        <f t="shared" si="8"/>
        <v>3</v>
      </c>
      <c r="E24" s="14">
        <v>2</v>
      </c>
      <c r="F24" s="63">
        <f t="shared" si="9"/>
        <v>5</v>
      </c>
      <c r="G24" s="247"/>
      <c r="H24" s="15">
        <v>1</v>
      </c>
      <c r="I24" s="15">
        <v>3</v>
      </c>
      <c r="J24" s="15">
        <v>5</v>
      </c>
      <c r="K24" s="247"/>
      <c r="L24" s="15" t="s">
        <v>1227</v>
      </c>
      <c r="M24" s="15"/>
      <c r="N24" s="14"/>
      <c r="O24" s="14"/>
      <c r="P24" s="15">
        <v>0</v>
      </c>
      <c r="Q24" s="15">
        <v>1</v>
      </c>
      <c r="R24" s="87" t="s">
        <v>1026</v>
      </c>
      <c r="S24" s="87">
        <v>11030101</v>
      </c>
      <c r="T24" s="179" t="str">
        <f t="shared" si="10"/>
        <v>UITexture/ShipMod/11030101.png</v>
      </c>
      <c r="U24" s="87" t="s">
        <v>1172</v>
      </c>
      <c r="V24" s="87"/>
      <c r="W24" s="179" t="str">
        <f t="shared" si="11"/>
        <v>UITexture/ShipType/.png</v>
      </c>
      <c r="X24" s="15"/>
      <c r="Y24" s="15"/>
      <c r="Z24" s="247"/>
      <c r="AA24" s="15"/>
      <c r="AB24" s="247"/>
      <c r="AC24" s="15">
        <v>1</v>
      </c>
      <c r="AD24" s="15"/>
      <c r="AE24" s="15"/>
      <c r="AF24" s="15"/>
      <c r="AG24" s="15">
        <v>3</v>
      </c>
      <c r="AH24" s="15">
        <v>3</v>
      </c>
      <c r="AI24" s="15">
        <v>50</v>
      </c>
      <c r="AJ24" s="15">
        <v>1</v>
      </c>
    </row>
    <row r="25" spans="1:36" s="9" customFormat="1" x14ac:dyDescent="0.15">
      <c r="A25" s="9">
        <f t="shared" si="2"/>
        <v>11040101</v>
      </c>
      <c r="B25" s="85">
        <v>1</v>
      </c>
      <c r="C25" s="64">
        <f t="shared" si="0"/>
        <v>1</v>
      </c>
      <c r="D25" s="64">
        <f t="shared" si="1"/>
        <v>4</v>
      </c>
      <c r="E25" s="10">
        <v>1</v>
      </c>
      <c r="F25" s="64">
        <f t="shared" si="3"/>
        <v>1</v>
      </c>
      <c r="G25" s="245"/>
      <c r="H25" s="11">
        <v>1</v>
      </c>
      <c r="I25" s="11">
        <v>4</v>
      </c>
      <c r="J25" s="11">
        <v>1</v>
      </c>
      <c r="K25" s="245"/>
      <c r="L25" s="11" t="s">
        <v>1227</v>
      </c>
      <c r="M25" s="11" t="s">
        <v>970</v>
      </c>
      <c r="N25" s="10" t="s">
        <v>970</v>
      </c>
      <c r="O25" s="10"/>
      <c r="P25" s="11">
        <v>0</v>
      </c>
      <c r="Q25" s="11">
        <v>1</v>
      </c>
      <c r="R25" s="85" t="s">
        <v>1026</v>
      </c>
      <c r="S25" s="85">
        <v>11040101</v>
      </c>
      <c r="T25" s="213" t="str">
        <f t="shared" si="4"/>
        <v>UITexture/ShipMod/11040101.png</v>
      </c>
      <c r="U25" s="85" t="s">
        <v>1172</v>
      </c>
      <c r="V25" s="85"/>
      <c r="W25" s="213" t="str">
        <f t="shared" si="5"/>
        <v>UITexture/ShipType/.png</v>
      </c>
      <c r="X25" s="11"/>
      <c r="Y25" s="11"/>
      <c r="Z25" s="245"/>
      <c r="AA25" s="11"/>
      <c r="AB25" s="245"/>
      <c r="AC25" s="11">
        <v>1</v>
      </c>
      <c r="AD25" s="11"/>
      <c r="AE25" s="11"/>
      <c r="AF25" s="11"/>
      <c r="AG25" s="11">
        <v>3</v>
      </c>
      <c r="AH25" s="11">
        <v>3</v>
      </c>
      <c r="AI25" s="11">
        <v>50</v>
      </c>
      <c r="AJ25" s="11">
        <v>1</v>
      </c>
    </row>
    <row r="26" spans="1:36" s="3" customFormat="1" x14ac:dyDescent="0.15">
      <c r="A26" s="3">
        <f t="shared" si="2"/>
        <v>11040102</v>
      </c>
      <c r="B26" s="86">
        <v>1</v>
      </c>
      <c r="C26" s="65">
        <f t="shared" si="0"/>
        <v>1</v>
      </c>
      <c r="D26" s="65">
        <f t="shared" si="1"/>
        <v>4</v>
      </c>
      <c r="E26" s="4">
        <v>1</v>
      </c>
      <c r="F26" s="65">
        <f t="shared" si="3"/>
        <v>2</v>
      </c>
      <c r="G26" s="246"/>
      <c r="H26" s="5">
        <v>1</v>
      </c>
      <c r="I26" s="5">
        <v>4</v>
      </c>
      <c r="J26" s="5">
        <v>2</v>
      </c>
      <c r="K26" s="246"/>
      <c r="L26" s="5" t="s">
        <v>1227</v>
      </c>
      <c r="M26" s="5"/>
      <c r="N26" s="4"/>
      <c r="O26" s="4"/>
      <c r="P26" s="5">
        <v>0</v>
      </c>
      <c r="Q26" s="5">
        <v>1</v>
      </c>
      <c r="R26" s="86" t="s">
        <v>1026</v>
      </c>
      <c r="S26" s="86">
        <v>11040102</v>
      </c>
      <c r="T26" s="177" t="str">
        <f t="shared" si="4"/>
        <v>UITexture/ShipMod/11040102.png</v>
      </c>
      <c r="U26" s="86" t="s">
        <v>1172</v>
      </c>
      <c r="V26" s="86"/>
      <c r="W26" s="177" t="str">
        <f t="shared" si="5"/>
        <v>UITexture/ShipType/.png</v>
      </c>
      <c r="X26" s="5"/>
      <c r="Y26" s="5"/>
      <c r="Z26" s="246"/>
      <c r="AA26" s="5"/>
      <c r="AB26" s="246"/>
      <c r="AC26" s="5">
        <v>1</v>
      </c>
      <c r="AD26" s="5"/>
      <c r="AE26" s="5"/>
      <c r="AF26" s="5"/>
      <c r="AG26" s="5">
        <v>3</v>
      </c>
      <c r="AH26" s="5">
        <v>3</v>
      </c>
      <c r="AI26" s="5">
        <v>50</v>
      </c>
      <c r="AJ26" s="5">
        <v>1</v>
      </c>
    </row>
    <row r="27" spans="1:36" s="3" customFormat="1" x14ac:dyDescent="0.15">
      <c r="A27" s="3">
        <f t="shared" si="2"/>
        <v>11040103</v>
      </c>
      <c r="B27" s="86">
        <v>1</v>
      </c>
      <c r="C27" s="65">
        <f t="shared" si="0"/>
        <v>1</v>
      </c>
      <c r="D27" s="65">
        <f t="shared" si="1"/>
        <v>4</v>
      </c>
      <c r="E27" s="4">
        <v>1</v>
      </c>
      <c r="F27" s="65">
        <f t="shared" si="3"/>
        <v>3</v>
      </c>
      <c r="G27" s="246"/>
      <c r="H27" s="5">
        <v>1</v>
      </c>
      <c r="I27" s="5">
        <v>4</v>
      </c>
      <c r="J27" s="5">
        <v>3</v>
      </c>
      <c r="K27" s="246"/>
      <c r="L27" s="5" t="s">
        <v>1227</v>
      </c>
      <c r="M27" s="5"/>
      <c r="N27" s="4"/>
      <c r="O27" s="4"/>
      <c r="P27" s="5">
        <v>0</v>
      </c>
      <c r="Q27" s="5">
        <v>1</v>
      </c>
      <c r="R27" s="86" t="s">
        <v>1026</v>
      </c>
      <c r="S27" s="86">
        <v>11040103</v>
      </c>
      <c r="T27" s="177" t="str">
        <f t="shared" si="4"/>
        <v>UITexture/ShipMod/11040103.png</v>
      </c>
      <c r="U27" s="86" t="s">
        <v>1172</v>
      </c>
      <c r="V27" s="86"/>
      <c r="W27" s="177" t="str">
        <f t="shared" si="5"/>
        <v>UITexture/ShipType/.png</v>
      </c>
      <c r="X27" s="5"/>
      <c r="Y27" s="5"/>
      <c r="Z27" s="246"/>
      <c r="AA27" s="5"/>
      <c r="AB27" s="246"/>
      <c r="AC27" s="5">
        <v>1</v>
      </c>
      <c r="AD27" s="5"/>
      <c r="AE27" s="5"/>
      <c r="AF27" s="5"/>
      <c r="AG27" s="5">
        <v>3</v>
      </c>
      <c r="AH27" s="5">
        <v>3</v>
      </c>
      <c r="AI27" s="5">
        <v>50</v>
      </c>
      <c r="AJ27" s="5">
        <v>1</v>
      </c>
    </row>
    <row r="28" spans="1:36" s="3" customFormat="1" x14ac:dyDescent="0.15">
      <c r="A28" s="3">
        <f t="shared" si="2"/>
        <v>11040104</v>
      </c>
      <c r="B28" s="86">
        <v>1</v>
      </c>
      <c r="C28" s="65">
        <f t="shared" si="0"/>
        <v>1</v>
      </c>
      <c r="D28" s="65">
        <f t="shared" si="1"/>
        <v>4</v>
      </c>
      <c r="E28" s="4">
        <v>1</v>
      </c>
      <c r="F28" s="65">
        <f t="shared" si="3"/>
        <v>4</v>
      </c>
      <c r="G28" s="246"/>
      <c r="H28" s="5">
        <v>1</v>
      </c>
      <c r="I28" s="5">
        <v>4</v>
      </c>
      <c r="J28" s="5">
        <v>4</v>
      </c>
      <c r="K28" s="246"/>
      <c r="L28" s="5" t="s">
        <v>1227</v>
      </c>
      <c r="M28" s="5"/>
      <c r="N28" s="4"/>
      <c r="O28" s="4"/>
      <c r="P28" s="5">
        <v>0</v>
      </c>
      <c r="Q28" s="5">
        <v>1</v>
      </c>
      <c r="R28" s="86" t="s">
        <v>1026</v>
      </c>
      <c r="S28" s="86">
        <v>11040104</v>
      </c>
      <c r="T28" s="177" t="str">
        <f t="shared" si="4"/>
        <v>UITexture/ShipMod/11040104.png</v>
      </c>
      <c r="U28" s="86" t="s">
        <v>1172</v>
      </c>
      <c r="V28" s="86"/>
      <c r="W28" s="177" t="str">
        <f t="shared" si="5"/>
        <v>UITexture/ShipType/.png</v>
      </c>
      <c r="X28" s="5"/>
      <c r="Y28" s="5"/>
      <c r="Z28" s="246"/>
      <c r="AA28" s="5"/>
      <c r="AB28" s="246"/>
      <c r="AC28" s="5">
        <v>1</v>
      </c>
      <c r="AD28" s="5"/>
      <c r="AE28" s="5"/>
      <c r="AF28" s="5"/>
      <c r="AG28" s="5">
        <v>3</v>
      </c>
      <c r="AH28" s="5">
        <v>3</v>
      </c>
      <c r="AI28" s="5">
        <v>50</v>
      </c>
      <c r="AJ28" s="5">
        <v>1</v>
      </c>
    </row>
    <row r="29" spans="1:36" s="13" customFormat="1" ht="17.25" thickBot="1" x14ac:dyDescent="0.2">
      <c r="A29" s="13">
        <f t="shared" si="2"/>
        <v>11040105</v>
      </c>
      <c r="B29" s="87">
        <v>1</v>
      </c>
      <c r="C29" s="63">
        <f t="shared" si="0"/>
        <v>1</v>
      </c>
      <c r="D29" s="63">
        <f t="shared" si="1"/>
        <v>4</v>
      </c>
      <c r="E29" s="14">
        <v>1</v>
      </c>
      <c r="F29" s="65">
        <f t="shared" si="3"/>
        <v>5</v>
      </c>
      <c r="G29" s="247"/>
      <c r="H29" s="15">
        <v>1</v>
      </c>
      <c r="I29" s="15">
        <v>4</v>
      </c>
      <c r="J29" s="15">
        <v>5</v>
      </c>
      <c r="K29" s="247"/>
      <c r="L29" s="15" t="s">
        <v>1227</v>
      </c>
      <c r="M29" s="15"/>
      <c r="N29" s="14"/>
      <c r="O29" s="14"/>
      <c r="P29" s="15">
        <v>0</v>
      </c>
      <c r="Q29" s="15">
        <v>1</v>
      </c>
      <c r="R29" s="87" t="s">
        <v>1026</v>
      </c>
      <c r="S29" s="87">
        <v>11040105</v>
      </c>
      <c r="T29" s="179" t="str">
        <f t="shared" si="4"/>
        <v>UITexture/ShipMod/11040105.png</v>
      </c>
      <c r="U29" s="87" t="s">
        <v>1172</v>
      </c>
      <c r="V29" s="87"/>
      <c r="W29" s="179" t="str">
        <f t="shared" si="5"/>
        <v>UITexture/ShipType/.png</v>
      </c>
      <c r="X29" s="15"/>
      <c r="Y29" s="15"/>
      <c r="Z29" s="247"/>
      <c r="AA29" s="15"/>
      <c r="AB29" s="247"/>
      <c r="AC29" s="15">
        <v>1</v>
      </c>
      <c r="AD29" s="15"/>
      <c r="AE29" s="15"/>
      <c r="AF29" s="15"/>
      <c r="AG29" s="15">
        <v>3</v>
      </c>
      <c r="AH29" s="15">
        <v>3</v>
      </c>
      <c r="AI29" s="15">
        <v>50</v>
      </c>
      <c r="AJ29" s="15">
        <v>1</v>
      </c>
    </row>
    <row r="30" spans="1:36" s="3" customFormat="1" x14ac:dyDescent="0.15">
      <c r="A30" s="3">
        <f t="shared" si="2"/>
        <v>11050101</v>
      </c>
      <c r="B30" s="86">
        <v>1</v>
      </c>
      <c r="C30" s="65">
        <f t="shared" si="0"/>
        <v>1</v>
      </c>
      <c r="D30" s="65">
        <f t="shared" si="1"/>
        <v>5</v>
      </c>
      <c r="E30" s="4">
        <v>1</v>
      </c>
      <c r="F30" s="64">
        <f t="shared" si="3"/>
        <v>1</v>
      </c>
      <c r="G30" s="246"/>
      <c r="H30" s="5">
        <v>1</v>
      </c>
      <c r="I30" s="5">
        <v>5</v>
      </c>
      <c r="J30" s="5">
        <v>1</v>
      </c>
      <c r="K30" s="246"/>
      <c r="L30" s="5" t="s">
        <v>1227</v>
      </c>
      <c r="M30" s="5" t="s">
        <v>1052</v>
      </c>
      <c r="N30" s="4" t="s">
        <v>1058</v>
      </c>
      <c r="O30" s="4"/>
      <c r="P30" s="5">
        <v>1</v>
      </c>
      <c r="Q30" s="5">
        <v>1</v>
      </c>
      <c r="R30" s="86" t="s">
        <v>1026</v>
      </c>
      <c r="S30" s="86">
        <v>11050101</v>
      </c>
      <c r="T30" s="177" t="str">
        <f t="shared" si="4"/>
        <v>UITexture/ShipMod/11050101.png</v>
      </c>
      <c r="U30" s="86" t="s">
        <v>1172</v>
      </c>
      <c r="V30" s="86" t="s">
        <v>1174</v>
      </c>
      <c r="W30" s="177" t="str">
        <f t="shared" si="5"/>
        <v>UITexture/ShipType/Corvette.png</v>
      </c>
      <c r="X30" s="5" t="s">
        <v>1051</v>
      </c>
      <c r="Y30" s="5">
        <v>501</v>
      </c>
      <c r="Z30" s="246"/>
      <c r="AA30" s="5">
        <v>3</v>
      </c>
      <c r="AB30" s="246"/>
      <c r="AC30" s="5">
        <v>1</v>
      </c>
      <c r="AD30" s="5"/>
      <c r="AE30" s="5"/>
      <c r="AF30" s="5"/>
      <c r="AG30" s="5">
        <v>4</v>
      </c>
      <c r="AH30" s="5">
        <v>3</v>
      </c>
      <c r="AI30" s="5">
        <v>100</v>
      </c>
      <c r="AJ30" s="5">
        <v>1</v>
      </c>
    </row>
    <row r="31" spans="1:36" s="3" customFormat="1" x14ac:dyDescent="0.15">
      <c r="A31" s="3">
        <f t="shared" si="2"/>
        <v>11050102</v>
      </c>
      <c r="B31" s="86">
        <v>1</v>
      </c>
      <c r="C31" s="65">
        <f t="shared" si="0"/>
        <v>1</v>
      </c>
      <c r="D31" s="65">
        <f t="shared" si="1"/>
        <v>5</v>
      </c>
      <c r="E31" s="4">
        <v>1</v>
      </c>
      <c r="F31" s="65">
        <f t="shared" si="3"/>
        <v>2</v>
      </c>
      <c r="G31" s="246"/>
      <c r="H31" s="5">
        <v>1</v>
      </c>
      <c r="I31" s="5">
        <v>5</v>
      </c>
      <c r="J31" s="5">
        <v>2</v>
      </c>
      <c r="K31" s="246"/>
      <c r="L31" s="5" t="s">
        <v>1227</v>
      </c>
      <c r="M31" s="5"/>
      <c r="N31" s="4"/>
      <c r="O31" s="4"/>
      <c r="P31" s="5">
        <v>0</v>
      </c>
      <c r="Q31" s="5">
        <v>1</v>
      </c>
      <c r="R31" s="86" t="s">
        <v>1026</v>
      </c>
      <c r="S31" s="86">
        <v>11050102</v>
      </c>
      <c r="T31" s="177" t="str">
        <f t="shared" si="4"/>
        <v>UITexture/ShipMod/11050102.png</v>
      </c>
      <c r="U31" s="86" t="s">
        <v>1172</v>
      </c>
      <c r="V31" s="86"/>
      <c r="W31" s="177" t="str">
        <f t="shared" si="5"/>
        <v>UITexture/ShipType/.png</v>
      </c>
      <c r="X31" s="5"/>
      <c r="Y31" s="5"/>
      <c r="Z31" s="246"/>
      <c r="AA31" s="5"/>
      <c r="AB31" s="246"/>
      <c r="AC31" s="5">
        <v>1</v>
      </c>
      <c r="AD31" s="5"/>
      <c r="AE31" s="5"/>
      <c r="AF31" s="5"/>
      <c r="AG31" s="5">
        <v>4</v>
      </c>
      <c r="AH31" s="5">
        <v>3</v>
      </c>
      <c r="AI31" s="5">
        <v>100</v>
      </c>
      <c r="AJ31" s="5">
        <v>1</v>
      </c>
    </row>
    <row r="32" spans="1:36" s="3" customFormat="1" x14ac:dyDescent="0.15">
      <c r="A32" s="3">
        <f t="shared" si="2"/>
        <v>11050103</v>
      </c>
      <c r="B32" s="86">
        <v>1</v>
      </c>
      <c r="C32" s="65">
        <f t="shared" si="0"/>
        <v>1</v>
      </c>
      <c r="D32" s="65">
        <f t="shared" si="1"/>
        <v>5</v>
      </c>
      <c r="E32" s="4">
        <v>1</v>
      </c>
      <c r="F32" s="65">
        <f t="shared" si="3"/>
        <v>3</v>
      </c>
      <c r="G32" s="246"/>
      <c r="H32" s="5">
        <v>1</v>
      </c>
      <c r="I32" s="5">
        <v>5</v>
      </c>
      <c r="J32" s="5">
        <v>3</v>
      </c>
      <c r="K32" s="246"/>
      <c r="L32" s="5" t="s">
        <v>1227</v>
      </c>
      <c r="M32" s="5"/>
      <c r="N32" s="4"/>
      <c r="O32" s="4"/>
      <c r="P32" s="5">
        <v>0</v>
      </c>
      <c r="Q32" s="5">
        <v>1</v>
      </c>
      <c r="R32" s="86" t="s">
        <v>1026</v>
      </c>
      <c r="S32" s="86">
        <v>11050103</v>
      </c>
      <c r="T32" s="177" t="str">
        <f t="shared" si="4"/>
        <v>UITexture/ShipMod/11050103.png</v>
      </c>
      <c r="U32" s="86" t="s">
        <v>1172</v>
      </c>
      <c r="V32" s="86"/>
      <c r="W32" s="177" t="str">
        <f t="shared" si="5"/>
        <v>UITexture/ShipType/.png</v>
      </c>
      <c r="X32" s="5"/>
      <c r="Y32" s="5"/>
      <c r="Z32" s="246"/>
      <c r="AA32" s="5"/>
      <c r="AB32" s="246"/>
      <c r="AC32" s="5">
        <v>1</v>
      </c>
      <c r="AD32" s="5"/>
      <c r="AE32" s="5"/>
      <c r="AF32" s="5"/>
      <c r="AG32" s="5">
        <v>4</v>
      </c>
      <c r="AH32" s="5">
        <v>3</v>
      </c>
      <c r="AI32" s="5">
        <v>100</v>
      </c>
      <c r="AJ32" s="5">
        <v>1</v>
      </c>
    </row>
    <row r="33" spans="1:36" s="3" customFormat="1" x14ac:dyDescent="0.15">
      <c r="A33" s="3">
        <f t="shared" si="2"/>
        <v>11050104</v>
      </c>
      <c r="B33" s="86">
        <v>1</v>
      </c>
      <c r="C33" s="65">
        <f t="shared" si="0"/>
        <v>1</v>
      </c>
      <c r="D33" s="65">
        <f t="shared" si="1"/>
        <v>5</v>
      </c>
      <c r="E33" s="4">
        <v>1</v>
      </c>
      <c r="F33" s="65">
        <f t="shared" si="3"/>
        <v>4</v>
      </c>
      <c r="G33" s="246"/>
      <c r="H33" s="5">
        <v>1</v>
      </c>
      <c r="I33" s="5">
        <v>5</v>
      </c>
      <c r="J33" s="5">
        <v>4</v>
      </c>
      <c r="K33" s="246"/>
      <c r="L33" s="5" t="s">
        <v>1227</v>
      </c>
      <c r="M33" s="5"/>
      <c r="N33" s="4"/>
      <c r="O33" s="4"/>
      <c r="P33" s="5">
        <v>0</v>
      </c>
      <c r="Q33" s="5">
        <v>1</v>
      </c>
      <c r="R33" s="86" t="s">
        <v>1026</v>
      </c>
      <c r="S33" s="86">
        <v>11050104</v>
      </c>
      <c r="T33" s="177" t="str">
        <f t="shared" si="4"/>
        <v>UITexture/ShipMod/11050104.png</v>
      </c>
      <c r="U33" s="86" t="s">
        <v>1172</v>
      </c>
      <c r="V33" s="86"/>
      <c r="W33" s="177" t="str">
        <f t="shared" si="5"/>
        <v>UITexture/ShipType/.png</v>
      </c>
      <c r="X33" s="5"/>
      <c r="Y33" s="5"/>
      <c r="Z33" s="246"/>
      <c r="AA33" s="5"/>
      <c r="AB33" s="246"/>
      <c r="AC33" s="5">
        <v>1</v>
      </c>
      <c r="AD33" s="5"/>
      <c r="AE33" s="5"/>
      <c r="AF33" s="5"/>
      <c r="AG33" s="5">
        <v>4</v>
      </c>
      <c r="AH33" s="5">
        <v>3</v>
      </c>
      <c r="AI33" s="5">
        <v>100</v>
      </c>
      <c r="AJ33" s="5">
        <v>1</v>
      </c>
    </row>
    <row r="34" spans="1:36" s="3" customFormat="1" ht="17.25" thickBot="1" x14ac:dyDescent="0.2">
      <c r="A34" s="3">
        <f t="shared" si="2"/>
        <v>11050105</v>
      </c>
      <c r="B34" s="86">
        <v>1</v>
      </c>
      <c r="C34" s="65">
        <f t="shared" si="0"/>
        <v>1</v>
      </c>
      <c r="D34" s="65">
        <f t="shared" si="1"/>
        <v>5</v>
      </c>
      <c r="E34" s="4">
        <v>1</v>
      </c>
      <c r="F34" s="65">
        <f t="shared" si="3"/>
        <v>5</v>
      </c>
      <c r="G34" s="246"/>
      <c r="H34" s="5">
        <v>1</v>
      </c>
      <c r="I34" s="5">
        <v>5</v>
      </c>
      <c r="J34" s="5">
        <v>5</v>
      </c>
      <c r="K34" s="246"/>
      <c r="L34" s="5" t="s">
        <v>1227</v>
      </c>
      <c r="M34" s="5"/>
      <c r="N34" s="4"/>
      <c r="O34" s="4"/>
      <c r="P34" s="5">
        <v>0</v>
      </c>
      <c r="Q34" s="5">
        <v>1</v>
      </c>
      <c r="R34" s="86" t="s">
        <v>1026</v>
      </c>
      <c r="S34" s="86">
        <v>11050105</v>
      </c>
      <c r="T34" s="177" t="str">
        <f t="shared" si="4"/>
        <v>UITexture/ShipMod/11050105.png</v>
      </c>
      <c r="U34" s="86" t="s">
        <v>1172</v>
      </c>
      <c r="V34" s="86"/>
      <c r="W34" s="177" t="str">
        <f t="shared" si="5"/>
        <v>UITexture/ShipType/.png</v>
      </c>
      <c r="X34" s="5"/>
      <c r="Y34" s="5"/>
      <c r="Z34" s="246"/>
      <c r="AA34" s="5"/>
      <c r="AB34" s="246"/>
      <c r="AC34" s="5">
        <v>1</v>
      </c>
      <c r="AD34" s="5"/>
      <c r="AE34" s="5"/>
      <c r="AF34" s="5"/>
      <c r="AG34" s="5">
        <v>4</v>
      </c>
      <c r="AH34" s="5">
        <v>3</v>
      </c>
      <c r="AI34" s="5">
        <v>100</v>
      </c>
      <c r="AJ34" s="5">
        <v>1</v>
      </c>
    </row>
    <row r="35" spans="1:36" s="9" customFormat="1" x14ac:dyDescent="0.15">
      <c r="A35" s="9">
        <f t="shared" si="2"/>
        <v>11060101</v>
      </c>
      <c r="B35" s="85">
        <v>1</v>
      </c>
      <c r="C35" s="64">
        <f t="shared" si="0"/>
        <v>1</v>
      </c>
      <c r="D35" s="64">
        <f t="shared" si="1"/>
        <v>6</v>
      </c>
      <c r="E35" s="10">
        <v>1</v>
      </c>
      <c r="F35" s="64">
        <f t="shared" si="3"/>
        <v>1</v>
      </c>
      <c r="G35" s="245"/>
      <c r="H35" s="11">
        <v>1</v>
      </c>
      <c r="I35" s="11">
        <v>6</v>
      </c>
      <c r="J35" s="11">
        <v>1</v>
      </c>
      <c r="K35" s="245"/>
      <c r="L35" s="11" t="s">
        <v>1227</v>
      </c>
      <c r="M35" s="11" t="s">
        <v>1019</v>
      </c>
      <c r="N35" s="10" t="s">
        <v>1019</v>
      </c>
      <c r="O35" s="10"/>
      <c r="P35" s="11">
        <v>0</v>
      </c>
      <c r="Q35" s="11">
        <v>1</v>
      </c>
      <c r="R35" s="85" t="s">
        <v>1026</v>
      </c>
      <c r="S35" s="85">
        <v>11060101</v>
      </c>
      <c r="T35" s="213" t="str">
        <f t="shared" si="4"/>
        <v>UITexture/ShipMod/11060101.png</v>
      </c>
      <c r="U35" s="85" t="s">
        <v>1172</v>
      </c>
      <c r="V35" s="85"/>
      <c r="W35" s="213" t="str">
        <f t="shared" si="5"/>
        <v>UITexture/ShipType/.png</v>
      </c>
      <c r="X35" s="11"/>
      <c r="Y35" s="11"/>
      <c r="Z35" s="245"/>
      <c r="AA35" s="11"/>
      <c r="AB35" s="245"/>
      <c r="AC35" s="11">
        <v>1</v>
      </c>
      <c r="AD35" s="11"/>
      <c r="AE35" s="11"/>
      <c r="AF35" s="11"/>
      <c r="AG35" s="11">
        <v>8</v>
      </c>
      <c r="AH35" s="11">
        <v>5</v>
      </c>
      <c r="AI35" s="11">
        <v>200</v>
      </c>
      <c r="AJ35" s="11">
        <v>1</v>
      </c>
    </row>
    <row r="36" spans="1:36" s="3" customFormat="1" x14ac:dyDescent="0.15">
      <c r="A36" s="3">
        <f t="shared" si="2"/>
        <v>11060102</v>
      </c>
      <c r="B36" s="86">
        <v>1</v>
      </c>
      <c r="C36" s="65">
        <f t="shared" si="0"/>
        <v>1</v>
      </c>
      <c r="D36" s="65">
        <f t="shared" si="1"/>
        <v>6</v>
      </c>
      <c r="E36" s="4">
        <v>1</v>
      </c>
      <c r="F36" s="65">
        <f t="shared" si="3"/>
        <v>2</v>
      </c>
      <c r="G36" s="246"/>
      <c r="H36" s="5">
        <v>1</v>
      </c>
      <c r="I36" s="5">
        <v>6</v>
      </c>
      <c r="J36" s="5">
        <v>2</v>
      </c>
      <c r="K36" s="246"/>
      <c r="L36" s="5" t="s">
        <v>1227</v>
      </c>
      <c r="M36" s="5"/>
      <c r="N36" s="4"/>
      <c r="O36" s="4"/>
      <c r="P36" s="5">
        <v>0</v>
      </c>
      <c r="Q36" s="5">
        <v>1</v>
      </c>
      <c r="R36" s="86" t="s">
        <v>1026</v>
      </c>
      <c r="S36" s="86">
        <v>11060102</v>
      </c>
      <c r="T36" s="177" t="str">
        <f t="shared" si="4"/>
        <v>UITexture/ShipMod/11060102.png</v>
      </c>
      <c r="U36" s="86" t="s">
        <v>1172</v>
      </c>
      <c r="V36" s="86"/>
      <c r="W36" s="177" t="str">
        <f t="shared" si="5"/>
        <v>UITexture/ShipType/.png</v>
      </c>
      <c r="X36" s="5"/>
      <c r="Y36" s="5"/>
      <c r="Z36" s="246"/>
      <c r="AA36" s="5"/>
      <c r="AB36" s="246"/>
      <c r="AC36" s="5">
        <v>1</v>
      </c>
      <c r="AD36" s="5"/>
      <c r="AE36" s="5"/>
      <c r="AF36" s="5"/>
      <c r="AG36" s="5"/>
      <c r="AH36" s="5"/>
      <c r="AI36" s="5"/>
      <c r="AJ36" s="5"/>
    </row>
    <row r="37" spans="1:36" s="3" customFormat="1" x14ac:dyDescent="0.15">
      <c r="A37" s="3">
        <f t="shared" si="2"/>
        <v>11060103</v>
      </c>
      <c r="B37" s="86">
        <v>1</v>
      </c>
      <c r="C37" s="65">
        <f t="shared" si="0"/>
        <v>1</v>
      </c>
      <c r="D37" s="65">
        <f t="shared" si="1"/>
        <v>6</v>
      </c>
      <c r="E37" s="4">
        <v>1</v>
      </c>
      <c r="F37" s="65">
        <f t="shared" si="3"/>
        <v>3</v>
      </c>
      <c r="G37" s="246"/>
      <c r="H37" s="5">
        <v>1</v>
      </c>
      <c r="I37" s="5">
        <v>6</v>
      </c>
      <c r="J37" s="5">
        <v>3</v>
      </c>
      <c r="K37" s="246"/>
      <c r="L37" s="5" t="s">
        <v>1227</v>
      </c>
      <c r="M37" s="5"/>
      <c r="N37" s="4"/>
      <c r="O37" s="4"/>
      <c r="P37" s="5">
        <v>0</v>
      </c>
      <c r="Q37" s="5">
        <v>1</v>
      </c>
      <c r="R37" s="86" t="s">
        <v>1026</v>
      </c>
      <c r="S37" s="86">
        <v>11060103</v>
      </c>
      <c r="T37" s="177" t="str">
        <f t="shared" si="4"/>
        <v>UITexture/ShipMod/11060103.png</v>
      </c>
      <c r="U37" s="86" t="s">
        <v>1172</v>
      </c>
      <c r="V37" s="86"/>
      <c r="W37" s="177" t="str">
        <f t="shared" si="5"/>
        <v>UITexture/ShipType/.png</v>
      </c>
      <c r="X37" s="5"/>
      <c r="Y37" s="5"/>
      <c r="Z37" s="246"/>
      <c r="AA37" s="5"/>
      <c r="AB37" s="246"/>
      <c r="AC37" s="5">
        <v>1</v>
      </c>
      <c r="AD37" s="5"/>
      <c r="AE37" s="5"/>
      <c r="AF37" s="5"/>
      <c r="AG37" s="5"/>
      <c r="AH37" s="5"/>
      <c r="AI37" s="5"/>
      <c r="AJ37" s="5"/>
    </row>
    <row r="38" spans="1:36" s="3" customFormat="1" x14ac:dyDescent="0.15">
      <c r="A38" s="3">
        <f t="shared" si="2"/>
        <v>11060104</v>
      </c>
      <c r="B38" s="86">
        <v>1</v>
      </c>
      <c r="C38" s="65">
        <f t="shared" si="0"/>
        <v>1</v>
      </c>
      <c r="D38" s="65">
        <f t="shared" si="1"/>
        <v>6</v>
      </c>
      <c r="E38" s="4">
        <v>1</v>
      </c>
      <c r="F38" s="65">
        <f t="shared" si="3"/>
        <v>4</v>
      </c>
      <c r="G38" s="246"/>
      <c r="H38" s="5">
        <v>1</v>
      </c>
      <c r="I38" s="5">
        <v>6</v>
      </c>
      <c r="J38" s="5">
        <v>4</v>
      </c>
      <c r="K38" s="246"/>
      <c r="L38" s="5" t="s">
        <v>1227</v>
      </c>
      <c r="M38" s="5"/>
      <c r="N38" s="4"/>
      <c r="O38" s="4"/>
      <c r="P38" s="5">
        <v>0</v>
      </c>
      <c r="Q38" s="5">
        <v>1</v>
      </c>
      <c r="R38" s="86" t="s">
        <v>1026</v>
      </c>
      <c r="S38" s="86">
        <v>11060104</v>
      </c>
      <c r="T38" s="177" t="str">
        <f t="shared" si="4"/>
        <v>UITexture/ShipMod/11060104.png</v>
      </c>
      <c r="U38" s="86" t="s">
        <v>1172</v>
      </c>
      <c r="V38" s="86"/>
      <c r="W38" s="177" t="str">
        <f t="shared" si="5"/>
        <v>UITexture/ShipType/.png</v>
      </c>
      <c r="X38" s="5"/>
      <c r="Y38" s="5"/>
      <c r="Z38" s="246"/>
      <c r="AA38" s="5"/>
      <c r="AB38" s="246"/>
      <c r="AC38" s="5">
        <v>1</v>
      </c>
      <c r="AD38" s="5"/>
      <c r="AE38" s="5"/>
      <c r="AF38" s="5"/>
      <c r="AG38" s="5"/>
      <c r="AH38" s="5"/>
      <c r="AI38" s="5"/>
      <c r="AJ38" s="5"/>
    </row>
    <row r="39" spans="1:36" s="3" customFormat="1" ht="17.25" thickBot="1" x14ac:dyDescent="0.2">
      <c r="A39" s="3">
        <f t="shared" si="2"/>
        <v>11060105</v>
      </c>
      <c r="B39" s="86">
        <v>1</v>
      </c>
      <c r="C39" s="65">
        <f t="shared" si="0"/>
        <v>1</v>
      </c>
      <c r="D39" s="65">
        <f t="shared" si="1"/>
        <v>6</v>
      </c>
      <c r="E39" s="4">
        <v>1</v>
      </c>
      <c r="F39" s="65">
        <f t="shared" si="3"/>
        <v>5</v>
      </c>
      <c r="G39" s="246"/>
      <c r="H39" s="5">
        <v>1</v>
      </c>
      <c r="I39" s="5">
        <v>6</v>
      </c>
      <c r="J39" s="5">
        <v>5</v>
      </c>
      <c r="K39" s="246"/>
      <c r="L39" s="5" t="s">
        <v>1227</v>
      </c>
      <c r="M39" s="5"/>
      <c r="N39" s="4"/>
      <c r="O39" s="4"/>
      <c r="P39" s="5">
        <v>0</v>
      </c>
      <c r="Q39" s="5">
        <v>1</v>
      </c>
      <c r="R39" s="86" t="s">
        <v>1026</v>
      </c>
      <c r="S39" s="86">
        <v>11060105</v>
      </c>
      <c r="T39" s="177" t="str">
        <f t="shared" si="4"/>
        <v>UITexture/ShipMod/11060105.png</v>
      </c>
      <c r="U39" s="86" t="s">
        <v>1172</v>
      </c>
      <c r="V39" s="86"/>
      <c r="W39" s="177" t="str">
        <f t="shared" si="5"/>
        <v>UITexture/ShipType/.png</v>
      </c>
      <c r="X39" s="5"/>
      <c r="Y39" s="5"/>
      <c r="Z39" s="246"/>
      <c r="AA39" s="5"/>
      <c r="AB39" s="246"/>
      <c r="AC39" s="5">
        <v>1</v>
      </c>
      <c r="AD39" s="5"/>
      <c r="AE39" s="5"/>
      <c r="AF39" s="5"/>
      <c r="AG39" s="5"/>
      <c r="AH39" s="5"/>
      <c r="AI39" s="5"/>
      <c r="AJ39" s="5"/>
    </row>
    <row r="40" spans="1:36" s="9" customFormat="1" x14ac:dyDescent="0.15">
      <c r="A40" s="9">
        <f t="shared" si="2"/>
        <v>11070101</v>
      </c>
      <c r="B40" s="85">
        <v>1</v>
      </c>
      <c r="C40" s="64">
        <f t="shared" si="0"/>
        <v>1</v>
      </c>
      <c r="D40" s="64">
        <f t="shared" si="1"/>
        <v>7</v>
      </c>
      <c r="E40" s="10">
        <v>1</v>
      </c>
      <c r="F40" s="64">
        <f t="shared" si="3"/>
        <v>1</v>
      </c>
      <c r="G40" s="245"/>
      <c r="H40" s="11">
        <v>1</v>
      </c>
      <c r="I40" s="11">
        <v>7</v>
      </c>
      <c r="J40" s="11">
        <v>1</v>
      </c>
      <c r="K40" s="245"/>
      <c r="L40" s="11" t="s">
        <v>1227</v>
      </c>
      <c r="M40" s="11" t="s">
        <v>1020</v>
      </c>
      <c r="N40" s="10" t="s">
        <v>1020</v>
      </c>
      <c r="O40" s="10"/>
      <c r="P40" s="11">
        <v>0</v>
      </c>
      <c r="Q40" s="11">
        <v>1</v>
      </c>
      <c r="R40" s="85" t="s">
        <v>1026</v>
      </c>
      <c r="S40" s="85">
        <v>11070101</v>
      </c>
      <c r="T40" s="213" t="str">
        <f t="shared" si="4"/>
        <v>UITexture/ShipMod/11070101.png</v>
      </c>
      <c r="U40" s="85" t="s">
        <v>1172</v>
      </c>
      <c r="V40" s="85"/>
      <c r="W40" s="213" t="str">
        <f t="shared" si="5"/>
        <v>UITexture/ShipType/.png</v>
      </c>
      <c r="X40" s="11"/>
      <c r="Y40" s="11"/>
      <c r="Z40" s="245"/>
      <c r="AA40" s="11"/>
      <c r="AB40" s="245"/>
      <c r="AC40" s="11">
        <v>1</v>
      </c>
      <c r="AD40" s="11"/>
      <c r="AE40" s="11"/>
      <c r="AF40" s="11"/>
      <c r="AG40" s="11">
        <v>16</v>
      </c>
      <c r="AH40" s="11">
        <v>5</v>
      </c>
      <c r="AI40" s="11">
        <v>400</v>
      </c>
      <c r="AJ40" s="11">
        <v>2</v>
      </c>
    </row>
    <row r="41" spans="1:36" s="3" customFormat="1" x14ac:dyDescent="0.15">
      <c r="A41" s="3">
        <f t="shared" si="2"/>
        <v>11070102</v>
      </c>
      <c r="B41" s="86">
        <v>1</v>
      </c>
      <c r="C41" s="65">
        <f t="shared" si="0"/>
        <v>1</v>
      </c>
      <c r="D41" s="65">
        <f t="shared" si="1"/>
        <v>7</v>
      </c>
      <c r="E41" s="4">
        <v>1</v>
      </c>
      <c r="F41" s="65">
        <f t="shared" si="3"/>
        <v>2</v>
      </c>
      <c r="G41" s="246"/>
      <c r="H41" s="5">
        <v>1</v>
      </c>
      <c r="I41" s="5">
        <v>7</v>
      </c>
      <c r="J41" s="5">
        <v>2</v>
      </c>
      <c r="K41" s="246"/>
      <c r="L41" s="5" t="s">
        <v>1227</v>
      </c>
      <c r="M41" s="5"/>
      <c r="N41" s="4"/>
      <c r="O41" s="4"/>
      <c r="P41" s="5">
        <v>0</v>
      </c>
      <c r="Q41" s="5">
        <v>1</v>
      </c>
      <c r="R41" s="86" t="s">
        <v>1026</v>
      </c>
      <c r="S41" s="86">
        <v>11070102</v>
      </c>
      <c r="T41" s="177" t="str">
        <f t="shared" si="4"/>
        <v>UITexture/ShipMod/11070102.png</v>
      </c>
      <c r="U41" s="86" t="s">
        <v>1172</v>
      </c>
      <c r="V41" s="86"/>
      <c r="W41" s="177" t="str">
        <f t="shared" si="5"/>
        <v>UITexture/ShipType/.png</v>
      </c>
      <c r="X41" s="5"/>
      <c r="Y41" s="5"/>
      <c r="Z41" s="246"/>
      <c r="AA41" s="5"/>
      <c r="AB41" s="246"/>
      <c r="AC41" s="5">
        <v>1</v>
      </c>
      <c r="AD41" s="5"/>
      <c r="AE41" s="5"/>
      <c r="AF41" s="5"/>
      <c r="AG41" s="5"/>
      <c r="AH41" s="5"/>
      <c r="AI41" s="5"/>
      <c r="AJ41" s="5"/>
    </row>
    <row r="42" spans="1:36" s="3" customFormat="1" x14ac:dyDescent="0.15">
      <c r="A42" s="3">
        <f t="shared" si="2"/>
        <v>11070103</v>
      </c>
      <c r="B42" s="86">
        <v>1</v>
      </c>
      <c r="C42" s="65">
        <f t="shared" ref="C42:C59" si="12">H42</f>
        <v>1</v>
      </c>
      <c r="D42" s="65">
        <f t="shared" ref="D42:D59" si="13">I42</f>
        <v>7</v>
      </c>
      <c r="E42" s="4">
        <v>1</v>
      </c>
      <c r="F42" s="65">
        <f t="shared" si="3"/>
        <v>3</v>
      </c>
      <c r="G42" s="246"/>
      <c r="H42" s="5">
        <v>1</v>
      </c>
      <c r="I42" s="5">
        <v>7</v>
      </c>
      <c r="J42" s="5">
        <v>3</v>
      </c>
      <c r="K42" s="246"/>
      <c r="L42" s="5" t="s">
        <v>1227</v>
      </c>
      <c r="M42" s="5"/>
      <c r="N42" s="4"/>
      <c r="O42" s="4"/>
      <c r="P42" s="5">
        <v>0</v>
      </c>
      <c r="Q42" s="5">
        <v>1</v>
      </c>
      <c r="R42" s="86" t="s">
        <v>1026</v>
      </c>
      <c r="S42" s="86">
        <v>11070103</v>
      </c>
      <c r="T42" s="177" t="str">
        <f t="shared" si="4"/>
        <v>UITexture/ShipMod/11070103.png</v>
      </c>
      <c r="U42" s="86" t="s">
        <v>1172</v>
      </c>
      <c r="V42" s="86"/>
      <c r="W42" s="177" t="str">
        <f t="shared" si="5"/>
        <v>UITexture/ShipType/.png</v>
      </c>
      <c r="X42" s="5"/>
      <c r="Y42" s="5"/>
      <c r="Z42" s="246"/>
      <c r="AA42" s="5"/>
      <c r="AB42" s="246"/>
      <c r="AC42" s="5">
        <v>1</v>
      </c>
      <c r="AD42" s="5"/>
      <c r="AE42" s="5"/>
      <c r="AF42" s="5"/>
      <c r="AG42" s="5"/>
      <c r="AH42" s="5"/>
      <c r="AI42" s="5"/>
      <c r="AJ42" s="5"/>
    </row>
    <row r="43" spans="1:36" s="3" customFormat="1" x14ac:dyDescent="0.15">
      <c r="A43" s="3">
        <f t="shared" si="2"/>
        <v>11070104</v>
      </c>
      <c r="B43" s="86">
        <v>1</v>
      </c>
      <c r="C43" s="65">
        <f t="shared" si="12"/>
        <v>1</v>
      </c>
      <c r="D43" s="65">
        <f t="shared" si="13"/>
        <v>7</v>
      </c>
      <c r="E43" s="4">
        <v>1</v>
      </c>
      <c r="F43" s="65">
        <f t="shared" si="3"/>
        <v>4</v>
      </c>
      <c r="G43" s="246"/>
      <c r="H43" s="5">
        <v>1</v>
      </c>
      <c r="I43" s="5">
        <v>7</v>
      </c>
      <c r="J43" s="5">
        <v>4</v>
      </c>
      <c r="K43" s="246"/>
      <c r="L43" s="5" t="s">
        <v>1227</v>
      </c>
      <c r="M43" s="5"/>
      <c r="N43" s="4"/>
      <c r="O43" s="4"/>
      <c r="P43" s="5">
        <v>0</v>
      </c>
      <c r="Q43" s="5">
        <v>1</v>
      </c>
      <c r="R43" s="86" t="s">
        <v>1026</v>
      </c>
      <c r="S43" s="86">
        <v>11070104</v>
      </c>
      <c r="T43" s="177" t="str">
        <f t="shared" si="4"/>
        <v>UITexture/ShipMod/11070104.png</v>
      </c>
      <c r="U43" s="86" t="s">
        <v>1172</v>
      </c>
      <c r="V43" s="86"/>
      <c r="W43" s="177" t="str">
        <f t="shared" si="5"/>
        <v>UITexture/ShipType/.png</v>
      </c>
      <c r="X43" s="5"/>
      <c r="Y43" s="5"/>
      <c r="Z43" s="246"/>
      <c r="AA43" s="5"/>
      <c r="AB43" s="246"/>
      <c r="AC43" s="5">
        <v>1</v>
      </c>
      <c r="AD43" s="5"/>
      <c r="AE43" s="5"/>
      <c r="AF43" s="5"/>
      <c r="AG43" s="5"/>
      <c r="AH43" s="5"/>
      <c r="AI43" s="5"/>
      <c r="AJ43" s="5"/>
    </row>
    <row r="44" spans="1:36" s="13" customFormat="1" ht="17.25" thickBot="1" x14ac:dyDescent="0.2">
      <c r="A44" s="13">
        <f t="shared" si="2"/>
        <v>11070105</v>
      </c>
      <c r="B44" s="87">
        <v>1</v>
      </c>
      <c r="C44" s="63">
        <f t="shared" si="12"/>
        <v>1</v>
      </c>
      <c r="D44" s="63">
        <f t="shared" si="13"/>
        <v>7</v>
      </c>
      <c r="E44" s="14">
        <v>1</v>
      </c>
      <c r="F44" s="63">
        <f t="shared" si="3"/>
        <v>5</v>
      </c>
      <c r="G44" s="247"/>
      <c r="H44" s="15">
        <v>1</v>
      </c>
      <c r="I44" s="15">
        <v>7</v>
      </c>
      <c r="J44" s="15">
        <v>5</v>
      </c>
      <c r="K44" s="247"/>
      <c r="L44" s="15" t="s">
        <v>1227</v>
      </c>
      <c r="M44" s="15"/>
      <c r="N44" s="14"/>
      <c r="O44" s="14"/>
      <c r="P44" s="15">
        <v>0</v>
      </c>
      <c r="Q44" s="15">
        <v>1</v>
      </c>
      <c r="R44" s="87" t="s">
        <v>1026</v>
      </c>
      <c r="S44" s="87">
        <v>11070105</v>
      </c>
      <c r="T44" s="179" t="str">
        <f t="shared" si="4"/>
        <v>UITexture/ShipMod/11070105.png</v>
      </c>
      <c r="U44" s="87" t="s">
        <v>1172</v>
      </c>
      <c r="V44" s="87"/>
      <c r="W44" s="179" t="str">
        <f t="shared" si="5"/>
        <v>UITexture/ShipType/.png</v>
      </c>
      <c r="X44" s="15"/>
      <c r="Y44" s="15"/>
      <c r="Z44" s="247"/>
      <c r="AA44" s="15"/>
      <c r="AB44" s="247"/>
      <c r="AC44" s="15">
        <v>1</v>
      </c>
      <c r="AD44" s="15"/>
      <c r="AE44" s="15"/>
      <c r="AF44" s="15"/>
      <c r="AG44" s="15"/>
      <c r="AH44" s="15"/>
      <c r="AI44" s="15"/>
      <c r="AJ44" s="15"/>
    </row>
    <row r="45" spans="1:36" s="9" customFormat="1" x14ac:dyDescent="0.15">
      <c r="A45" s="9">
        <f t="shared" ref="A45:A59" si="14">B45*10000000+C45*1000000+D45*10000+E45*100+F45</f>
        <v>11080101</v>
      </c>
      <c r="B45" s="85">
        <v>1</v>
      </c>
      <c r="C45" s="64">
        <f t="shared" si="12"/>
        <v>1</v>
      </c>
      <c r="D45" s="64">
        <f t="shared" si="13"/>
        <v>8</v>
      </c>
      <c r="E45" s="10">
        <v>1</v>
      </c>
      <c r="F45" s="64">
        <f t="shared" si="3"/>
        <v>1</v>
      </c>
      <c r="G45" s="245"/>
      <c r="H45" s="11">
        <v>1</v>
      </c>
      <c r="I45" s="11">
        <v>8</v>
      </c>
      <c r="J45" s="11">
        <v>1</v>
      </c>
      <c r="K45" s="245"/>
      <c r="L45" s="11" t="s">
        <v>1227</v>
      </c>
      <c r="M45" s="11" t="s">
        <v>1021</v>
      </c>
      <c r="N45" s="10" t="s">
        <v>1021</v>
      </c>
      <c r="O45" s="10"/>
      <c r="P45" s="11">
        <v>0</v>
      </c>
      <c r="Q45" s="11">
        <v>1</v>
      </c>
      <c r="R45" s="85" t="s">
        <v>1026</v>
      </c>
      <c r="S45" s="85">
        <v>11080101</v>
      </c>
      <c r="T45" s="213" t="str">
        <f t="shared" si="4"/>
        <v>UITexture/ShipMod/11080101.png</v>
      </c>
      <c r="U45" s="85" t="s">
        <v>1172</v>
      </c>
      <c r="V45" s="85"/>
      <c r="W45" s="213" t="str">
        <f t="shared" si="5"/>
        <v>UITexture/ShipType/.png</v>
      </c>
      <c r="X45" s="11"/>
      <c r="Y45" s="11"/>
      <c r="Z45" s="245"/>
      <c r="AA45" s="11"/>
      <c r="AB45" s="245"/>
      <c r="AC45" s="11">
        <v>1</v>
      </c>
      <c r="AD45" s="11"/>
      <c r="AE45" s="11"/>
      <c r="AF45" s="11"/>
      <c r="AG45" s="11">
        <v>24</v>
      </c>
      <c r="AH45" s="11">
        <v>7</v>
      </c>
      <c r="AI45" s="11">
        <v>600</v>
      </c>
      <c r="AJ45" s="11">
        <v>2</v>
      </c>
    </row>
    <row r="46" spans="1:36" s="3" customFormat="1" x14ac:dyDescent="0.15">
      <c r="A46" s="3">
        <f t="shared" si="14"/>
        <v>11080102</v>
      </c>
      <c r="B46" s="86">
        <v>1</v>
      </c>
      <c r="C46" s="65">
        <f t="shared" si="12"/>
        <v>1</v>
      </c>
      <c r="D46" s="65">
        <f t="shared" si="13"/>
        <v>8</v>
      </c>
      <c r="E46" s="4">
        <v>1</v>
      </c>
      <c r="F46" s="65">
        <f t="shared" si="3"/>
        <v>2</v>
      </c>
      <c r="G46" s="246"/>
      <c r="H46" s="5">
        <v>1</v>
      </c>
      <c r="I46" s="5">
        <v>8</v>
      </c>
      <c r="J46" s="5">
        <v>2</v>
      </c>
      <c r="K46" s="246"/>
      <c r="L46" s="5" t="s">
        <v>1227</v>
      </c>
      <c r="M46" s="5"/>
      <c r="N46" s="4"/>
      <c r="O46" s="4"/>
      <c r="P46" s="5">
        <v>0</v>
      </c>
      <c r="Q46" s="5">
        <v>1</v>
      </c>
      <c r="R46" s="86" t="s">
        <v>1026</v>
      </c>
      <c r="S46" s="86">
        <v>11080102</v>
      </c>
      <c r="T46" s="177" t="str">
        <f t="shared" si="4"/>
        <v>UITexture/ShipMod/11080102.png</v>
      </c>
      <c r="U46" s="86" t="s">
        <v>1172</v>
      </c>
      <c r="V46" s="86"/>
      <c r="W46" s="177" t="str">
        <f t="shared" si="5"/>
        <v>UITexture/ShipType/.png</v>
      </c>
      <c r="X46" s="5"/>
      <c r="Y46" s="5"/>
      <c r="Z46" s="246"/>
      <c r="AA46" s="5"/>
      <c r="AB46" s="246"/>
      <c r="AC46" s="5">
        <v>1</v>
      </c>
      <c r="AD46" s="5"/>
      <c r="AE46" s="5"/>
      <c r="AF46" s="5"/>
      <c r="AG46" s="5"/>
      <c r="AH46" s="5"/>
      <c r="AI46" s="5"/>
      <c r="AJ46" s="5"/>
    </row>
    <row r="47" spans="1:36" s="3" customFormat="1" x14ac:dyDescent="0.15">
      <c r="A47" s="3">
        <f t="shared" si="14"/>
        <v>11080103</v>
      </c>
      <c r="B47" s="86">
        <v>1</v>
      </c>
      <c r="C47" s="65">
        <f t="shared" si="12"/>
        <v>1</v>
      </c>
      <c r="D47" s="65">
        <f t="shared" si="13"/>
        <v>8</v>
      </c>
      <c r="E47" s="4">
        <v>1</v>
      </c>
      <c r="F47" s="65">
        <f t="shared" si="3"/>
        <v>3</v>
      </c>
      <c r="G47" s="246"/>
      <c r="H47" s="5">
        <v>1</v>
      </c>
      <c r="I47" s="5">
        <v>8</v>
      </c>
      <c r="J47" s="5">
        <v>3</v>
      </c>
      <c r="K47" s="246"/>
      <c r="L47" s="5" t="s">
        <v>1227</v>
      </c>
      <c r="M47" s="5"/>
      <c r="N47" s="4"/>
      <c r="O47" s="4"/>
      <c r="P47" s="5">
        <v>0</v>
      </c>
      <c r="Q47" s="5">
        <v>1</v>
      </c>
      <c r="R47" s="86" t="s">
        <v>1026</v>
      </c>
      <c r="S47" s="86">
        <v>11080103</v>
      </c>
      <c r="T47" s="177" t="str">
        <f t="shared" si="4"/>
        <v>UITexture/ShipMod/11080103.png</v>
      </c>
      <c r="U47" s="86" t="s">
        <v>1172</v>
      </c>
      <c r="V47" s="86"/>
      <c r="W47" s="177" t="str">
        <f t="shared" si="5"/>
        <v>UITexture/ShipType/.png</v>
      </c>
      <c r="X47" s="5"/>
      <c r="Y47" s="5"/>
      <c r="Z47" s="246"/>
      <c r="AA47" s="5"/>
      <c r="AB47" s="246"/>
      <c r="AC47" s="5">
        <v>1</v>
      </c>
      <c r="AD47" s="5"/>
      <c r="AE47" s="5"/>
      <c r="AF47" s="5"/>
      <c r="AG47" s="5"/>
      <c r="AH47" s="5"/>
      <c r="AI47" s="5"/>
      <c r="AJ47" s="5"/>
    </row>
    <row r="48" spans="1:36" s="3" customFormat="1" x14ac:dyDescent="0.15">
      <c r="A48" s="3">
        <f t="shared" si="14"/>
        <v>11080104</v>
      </c>
      <c r="B48" s="86">
        <v>1</v>
      </c>
      <c r="C48" s="65">
        <f t="shared" si="12"/>
        <v>1</v>
      </c>
      <c r="D48" s="65">
        <f t="shared" si="13"/>
        <v>8</v>
      </c>
      <c r="E48" s="4">
        <v>1</v>
      </c>
      <c r="F48" s="65">
        <f t="shared" si="3"/>
        <v>4</v>
      </c>
      <c r="G48" s="246"/>
      <c r="H48" s="5">
        <v>1</v>
      </c>
      <c r="I48" s="5">
        <v>8</v>
      </c>
      <c r="J48" s="5">
        <v>4</v>
      </c>
      <c r="K48" s="246"/>
      <c r="L48" s="5" t="s">
        <v>1227</v>
      </c>
      <c r="M48" s="5"/>
      <c r="N48" s="4"/>
      <c r="O48" s="4"/>
      <c r="P48" s="5">
        <v>0</v>
      </c>
      <c r="Q48" s="5">
        <v>1</v>
      </c>
      <c r="R48" s="86" t="s">
        <v>1026</v>
      </c>
      <c r="S48" s="86">
        <v>11080104</v>
      </c>
      <c r="T48" s="177" t="str">
        <f t="shared" si="4"/>
        <v>UITexture/ShipMod/11080104.png</v>
      </c>
      <c r="U48" s="86" t="s">
        <v>1172</v>
      </c>
      <c r="V48" s="86"/>
      <c r="W48" s="177" t="str">
        <f t="shared" si="5"/>
        <v>UITexture/ShipType/.png</v>
      </c>
      <c r="X48" s="5"/>
      <c r="Y48" s="5"/>
      <c r="Z48" s="246"/>
      <c r="AA48" s="5"/>
      <c r="AB48" s="246"/>
      <c r="AC48" s="5">
        <v>1</v>
      </c>
      <c r="AD48" s="5"/>
      <c r="AE48" s="5"/>
      <c r="AF48" s="5"/>
      <c r="AG48" s="5"/>
      <c r="AH48" s="5"/>
      <c r="AI48" s="5"/>
      <c r="AJ48" s="5"/>
    </row>
    <row r="49" spans="1:36" s="3" customFormat="1" ht="17.25" thickBot="1" x14ac:dyDescent="0.2">
      <c r="A49" s="3">
        <f t="shared" si="14"/>
        <v>11080105</v>
      </c>
      <c r="B49" s="86">
        <v>1</v>
      </c>
      <c r="C49" s="65">
        <f t="shared" si="12"/>
        <v>1</v>
      </c>
      <c r="D49" s="65">
        <f t="shared" si="13"/>
        <v>8</v>
      </c>
      <c r="E49" s="4">
        <v>1</v>
      </c>
      <c r="F49" s="65">
        <f t="shared" si="3"/>
        <v>5</v>
      </c>
      <c r="G49" s="246"/>
      <c r="H49" s="5">
        <v>1</v>
      </c>
      <c r="I49" s="5">
        <v>8</v>
      </c>
      <c r="J49" s="5">
        <v>5</v>
      </c>
      <c r="K49" s="246"/>
      <c r="L49" s="5" t="s">
        <v>1227</v>
      </c>
      <c r="M49" s="5"/>
      <c r="N49" s="4"/>
      <c r="O49" s="4"/>
      <c r="P49" s="5">
        <v>0</v>
      </c>
      <c r="Q49" s="5">
        <v>1</v>
      </c>
      <c r="R49" s="86" t="s">
        <v>1026</v>
      </c>
      <c r="S49" s="86">
        <v>11080105</v>
      </c>
      <c r="T49" s="177" t="str">
        <f t="shared" si="4"/>
        <v>UITexture/ShipMod/11080105.png</v>
      </c>
      <c r="U49" s="86" t="s">
        <v>1172</v>
      </c>
      <c r="V49" s="86"/>
      <c r="W49" s="177" t="str">
        <f t="shared" si="5"/>
        <v>UITexture/ShipType/.png</v>
      </c>
      <c r="X49" s="5"/>
      <c r="Y49" s="5"/>
      <c r="Z49" s="246"/>
      <c r="AA49" s="5"/>
      <c r="AB49" s="246"/>
      <c r="AC49" s="5">
        <v>1</v>
      </c>
      <c r="AD49" s="5"/>
      <c r="AE49" s="5"/>
      <c r="AF49" s="5"/>
      <c r="AG49" s="5"/>
      <c r="AH49" s="5"/>
      <c r="AI49" s="5"/>
      <c r="AJ49" s="5"/>
    </row>
    <row r="50" spans="1:36" s="9" customFormat="1" x14ac:dyDescent="0.15">
      <c r="A50" s="9">
        <f t="shared" si="14"/>
        <v>11090101</v>
      </c>
      <c r="B50" s="85">
        <v>1</v>
      </c>
      <c r="C50" s="64">
        <f t="shared" si="12"/>
        <v>1</v>
      </c>
      <c r="D50" s="64">
        <f t="shared" si="13"/>
        <v>9</v>
      </c>
      <c r="E50" s="10">
        <v>1</v>
      </c>
      <c r="F50" s="64">
        <f t="shared" si="3"/>
        <v>1</v>
      </c>
      <c r="G50" s="245"/>
      <c r="H50" s="11">
        <v>1</v>
      </c>
      <c r="I50" s="11">
        <v>9</v>
      </c>
      <c r="J50" s="11">
        <v>1</v>
      </c>
      <c r="K50" s="245"/>
      <c r="L50" s="11" t="s">
        <v>1227</v>
      </c>
      <c r="M50" s="11" t="s">
        <v>1022</v>
      </c>
      <c r="N50" s="10" t="s">
        <v>1022</v>
      </c>
      <c r="O50" s="10"/>
      <c r="P50" s="11">
        <v>0</v>
      </c>
      <c r="Q50" s="11">
        <v>1</v>
      </c>
      <c r="R50" s="85" t="s">
        <v>1026</v>
      </c>
      <c r="S50" s="85">
        <v>11090101</v>
      </c>
      <c r="T50" s="213" t="str">
        <f t="shared" si="4"/>
        <v>UITexture/ShipMod/11090101.png</v>
      </c>
      <c r="U50" s="85" t="s">
        <v>1172</v>
      </c>
      <c r="V50" s="85"/>
      <c r="W50" s="213" t="str">
        <f t="shared" si="5"/>
        <v>UITexture/ShipType/.png</v>
      </c>
      <c r="X50" s="11"/>
      <c r="Y50" s="11"/>
      <c r="Z50" s="245"/>
      <c r="AA50" s="11"/>
      <c r="AB50" s="245"/>
      <c r="AC50" s="11">
        <v>1</v>
      </c>
      <c r="AD50" s="11"/>
      <c r="AE50" s="11"/>
      <c r="AF50" s="11"/>
      <c r="AG50" s="11">
        <v>36</v>
      </c>
      <c r="AH50" s="11">
        <v>7</v>
      </c>
      <c r="AI50" s="11">
        <v>900</v>
      </c>
      <c r="AJ50" s="11">
        <v>3</v>
      </c>
    </row>
    <row r="51" spans="1:36" s="3" customFormat="1" x14ac:dyDescent="0.15">
      <c r="A51" s="3">
        <f t="shared" si="14"/>
        <v>11090102</v>
      </c>
      <c r="B51" s="86">
        <v>1</v>
      </c>
      <c r="C51" s="65">
        <f t="shared" si="12"/>
        <v>1</v>
      </c>
      <c r="D51" s="65">
        <f t="shared" si="13"/>
        <v>9</v>
      </c>
      <c r="E51" s="4">
        <v>1</v>
      </c>
      <c r="F51" s="65">
        <f t="shared" si="3"/>
        <v>2</v>
      </c>
      <c r="G51" s="246"/>
      <c r="H51" s="5">
        <v>1</v>
      </c>
      <c r="I51" s="5">
        <v>9</v>
      </c>
      <c r="J51" s="5">
        <v>2</v>
      </c>
      <c r="K51" s="246"/>
      <c r="L51" s="5" t="s">
        <v>1227</v>
      </c>
      <c r="M51" s="5"/>
      <c r="N51" s="4"/>
      <c r="O51" s="4"/>
      <c r="P51" s="5">
        <v>0</v>
      </c>
      <c r="Q51" s="5">
        <v>1</v>
      </c>
      <c r="R51" s="86" t="s">
        <v>1026</v>
      </c>
      <c r="S51" s="86">
        <v>11090102</v>
      </c>
      <c r="T51" s="177" t="str">
        <f t="shared" si="4"/>
        <v>UITexture/ShipMod/11090102.png</v>
      </c>
      <c r="U51" s="86" t="s">
        <v>1172</v>
      </c>
      <c r="V51" s="86"/>
      <c r="W51" s="177" t="str">
        <f t="shared" si="5"/>
        <v>UITexture/ShipType/.png</v>
      </c>
      <c r="X51" s="5"/>
      <c r="Y51" s="5"/>
      <c r="Z51" s="246"/>
      <c r="AA51" s="5"/>
      <c r="AB51" s="246"/>
      <c r="AC51" s="5">
        <v>1</v>
      </c>
      <c r="AD51" s="5"/>
      <c r="AE51" s="5"/>
      <c r="AF51" s="5"/>
      <c r="AG51" s="5"/>
      <c r="AH51" s="5"/>
      <c r="AI51" s="5"/>
      <c r="AJ51" s="5"/>
    </row>
    <row r="52" spans="1:36" s="3" customFormat="1" x14ac:dyDescent="0.15">
      <c r="A52" s="3">
        <f t="shared" si="14"/>
        <v>11090103</v>
      </c>
      <c r="B52" s="86">
        <v>1</v>
      </c>
      <c r="C52" s="65">
        <f t="shared" si="12"/>
        <v>1</v>
      </c>
      <c r="D52" s="65">
        <f t="shared" si="13"/>
        <v>9</v>
      </c>
      <c r="E52" s="4">
        <v>1</v>
      </c>
      <c r="F52" s="65">
        <f t="shared" si="3"/>
        <v>3</v>
      </c>
      <c r="G52" s="246"/>
      <c r="H52" s="5">
        <v>1</v>
      </c>
      <c r="I52" s="5">
        <v>9</v>
      </c>
      <c r="J52" s="5">
        <v>3</v>
      </c>
      <c r="K52" s="246"/>
      <c r="L52" s="5" t="s">
        <v>1227</v>
      </c>
      <c r="M52" s="5"/>
      <c r="N52" s="4"/>
      <c r="O52" s="4"/>
      <c r="P52" s="5">
        <v>0</v>
      </c>
      <c r="Q52" s="5">
        <v>1</v>
      </c>
      <c r="R52" s="86" t="s">
        <v>1026</v>
      </c>
      <c r="S52" s="86">
        <v>11090103</v>
      </c>
      <c r="T52" s="177" t="str">
        <f t="shared" si="4"/>
        <v>UITexture/ShipMod/11090103.png</v>
      </c>
      <c r="U52" s="86" t="s">
        <v>1172</v>
      </c>
      <c r="V52" s="86"/>
      <c r="W52" s="177" t="str">
        <f t="shared" si="5"/>
        <v>UITexture/ShipType/.png</v>
      </c>
      <c r="X52" s="5"/>
      <c r="Y52" s="5"/>
      <c r="Z52" s="246"/>
      <c r="AA52" s="5"/>
      <c r="AB52" s="246"/>
      <c r="AC52" s="5">
        <v>1</v>
      </c>
      <c r="AD52" s="5"/>
      <c r="AE52" s="5"/>
      <c r="AF52" s="5"/>
      <c r="AG52" s="5"/>
      <c r="AH52" s="5"/>
      <c r="AI52" s="5"/>
      <c r="AJ52" s="5"/>
    </row>
    <row r="53" spans="1:36" s="3" customFormat="1" x14ac:dyDescent="0.15">
      <c r="A53" s="3">
        <f t="shared" si="14"/>
        <v>11090104</v>
      </c>
      <c r="B53" s="86">
        <v>1</v>
      </c>
      <c r="C53" s="65">
        <f t="shared" si="12"/>
        <v>1</v>
      </c>
      <c r="D53" s="65">
        <f t="shared" si="13"/>
        <v>9</v>
      </c>
      <c r="E53" s="4">
        <v>1</v>
      </c>
      <c r="F53" s="65">
        <f t="shared" si="3"/>
        <v>4</v>
      </c>
      <c r="G53" s="246"/>
      <c r="H53" s="5">
        <v>1</v>
      </c>
      <c r="I53" s="5">
        <v>9</v>
      </c>
      <c r="J53" s="5">
        <v>4</v>
      </c>
      <c r="K53" s="246"/>
      <c r="L53" s="5" t="s">
        <v>1227</v>
      </c>
      <c r="M53" s="5"/>
      <c r="N53" s="4"/>
      <c r="O53" s="4"/>
      <c r="P53" s="5">
        <v>0</v>
      </c>
      <c r="Q53" s="5">
        <v>1</v>
      </c>
      <c r="R53" s="86" t="s">
        <v>1026</v>
      </c>
      <c r="S53" s="86">
        <v>11090104</v>
      </c>
      <c r="T53" s="177" t="str">
        <f t="shared" si="4"/>
        <v>UITexture/ShipMod/11090104.png</v>
      </c>
      <c r="U53" s="86" t="s">
        <v>1172</v>
      </c>
      <c r="V53" s="86"/>
      <c r="W53" s="177" t="str">
        <f t="shared" si="5"/>
        <v>UITexture/ShipType/.png</v>
      </c>
      <c r="X53" s="5"/>
      <c r="Y53" s="5"/>
      <c r="Z53" s="246"/>
      <c r="AA53" s="5"/>
      <c r="AB53" s="246"/>
      <c r="AC53" s="5">
        <v>1</v>
      </c>
      <c r="AD53" s="5"/>
      <c r="AE53" s="5"/>
      <c r="AF53" s="5"/>
      <c r="AG53" s="5"/>
      <c r="AH53" s="5"/>
      <c r="AI53" s="5"/>
      <c r="AJ53" s="5"/>
    </row>
    <row r="54" spans="1:36" s="13" customFormat="1" ht="17.25" thickBot="1" x14ac:dyDescent="0.2">
      <c r="A54" s="13">
        <f t="shared" si="14"/>
        <v>11090105</v>
      </c>
      <c r="B54" s="87">
        <v>1</v>
      </c>
      <c r="C54" s="63">
        <f t="shared" si="12"/>
        <v>1</v>
      </c>
      <c r="D54" s="63">
        <f t="shared" si="13"/>
        <v>9</v>
      </c>
      <c r="E54" s="14">
        <v>1</v>
      </c>
      <c r="F54" s="63">
        <f t="shared" si="3"/>
        <v>5</v>
      </c>
      <c r="G54" s="247"/>
      <c r="H54" s="15">
        <v>1</v>
      </c>
      <c r="I54" s="15">
        <v>9</v>
      </c>
      <c r="J54" s="15">
        <v>5</v>
      </c>
      <c r="K54" s="247"/>
      <c r="L54" s="15" t="s">
        <v>1227</v>
      </c>
      <c r="M54" s="15"/>
      <c r="N54" s="14"/>
      <c r="O54" s="14"/>
      <c r="P54" s="15">
        <v>0</v>
      </c>
      <c r="Q54" s="15">
        <v>1</v>
      </c>
      <c r="R54" s="87" t="s">
        <v>1026</v>
      </c>
      <c r="S54" s="87">
        <v>11090105</v>
      </c>
      <c r="T54" s="179" t="str">
        <f t="shared" si="4"/>
        <v>UITexture/ShipMod/11090105.png</v>
      </c>
      <c r="U54" s="87" t="s">
        <v>1172</v>
      </c>
      <c r="V54" s="87"/>
      <c r="W54" s="179" t="str">
        <f t="shared" si="5"/>
        <v>UITexture/ShipType/.png</v>
      </c>
      <c r="X54" s="15"/>
      <c r="Y54" s="15"/>
      <c r="Z54" s="247"/>
      <c r="AA54" s="15"/>
      <c r="AB54" s="247"/>
      <c r="AC54" s="15">
        <v>1</v>
      </c>
      <c r="AD54" s="15"/>
      <c r="AE54" s="15"/>
      <c r="AF54" s="15"/>
      <c r="AG54" s="15"/>
      <c r="AH54" s="15"/>
      <c r="AI54" s="15"/>
      <c r="AJ54" s="15"/>
    </row>
    <row r="55" spans="1:36" s="9" customFormat="1" x14ac:dyDescent="0.15">
      <c r="A55" s="9">
        <f t="shared" si="14"/>
        <v>11100101</v>
      </c>
      <c r="B55" s="85">
        <v>1</v>
      </c>
      <c r="C55" s="64">
        <f t="shared" si="12"/>
        <v>1</v>
      </c>
      <c r="D55" s="64">
        <f t="shared" si="13"/>
        <v>10</v>
      </c>
      <c r="E55" s="10">
        <v>1</v>
      </c>
      <c r="F55" s="64">
        <f t="shared" si="3"/>
        <v>1</v>
      </c>
      <c r="G55" s="245"/>
      <c r="H55" s="11">
        <v>1</v>
      </c>
      <c r="I55" s="11">
        <v>10</v>
      </c>
      <c r="J55" s="11">
        <v>1</v>
      </c>
      <c r="K55" s="245"/>
      <c r="L55" s="11" t="s">
        <v>1227</v>
      </c>
      <c r="M55" s="11" t="s">
        <v>1023</v>
      </c>
      <c r="N55" s="10" t="s">
        <v>1023</v>
      </c>
      <c r="O55" s="10"/>
      <c r="P55" s="11">
        <v>0</v>
      </c>
      <c r="Q55" s="11">
        <v>1</v>
      </c>
      <c r="R55" s="85" t="s">
        <v>1026</v>
      </c>
      <c r="S55" s="85">
        <v>11100101</v>
      </c>
      <c r="T55" s="213" t="str">
        <f t="shared" si="4"/>
        <v>UITexture/ShipMod/11100101.png</v>
      </c>
      <c r="U55" s="85" t="s">
        <v>1172</v>
      </c>
      <c r="V55" s="85"/>
      <c r="W55" s="213" t="str">
        <f t="shared" si="5"/>
        <v>UITexture/ShipType/.png</v>
      </c>
      <c r="X55" s="11"/>
      <c r="Y55" s="11"/>
      <c r="Z55" s="245"/>
      <c r="AA55" s="11"/>
      <c r="AB55" s="245"/>
      <c r="AC55" s="11">
        <v>1</v>
      </c>
      <c r="AD55" s="11"/>
      <c r="AE55" s="11"/>
      <c r="AF55" s="11"/>
      <c r="AG55" s="11">
        <v>60</v>
      </c>
      <c r="AH55" s="11">
        <v>10</v>
      </c>
      <c r="AI55" s="11">
        <v>1500</v>
      </c>
      <c r="AJ55" s="11">
        <v>3</v>
      </c>
    </row>
    <row r="56" spans="1:36" s="3" customFormat="1" x14ac:dyDescent="0.15">
      <c r="A56" s="3">
        <f t="shared" si="14"/>
        <v>11100102</v>
      </c>
      <c r="B56" s="86">
        <v>1</v>
      </c>
      <c r="C56" s="65">
        <f t="shared" si="12"/>
        <v>1</v>
      </c>
      <c r="D56" s="65">
        <f t="shared" si="13"/>
        <v>10</v>
      </c>
      <c r="E56" s="4">
        <v>1</v>
      </c>
      <c r="F56" s="65">
        <f t="shared" si="3"/>
        <v>2</v>
      </c>
      <c r="G56" s="246"/>
      <c r="H56" s="5">
        <v>1</v>
      </c>
      <c r="I56" s="5">
        <v>10</v>
      </c>
      <c r="J56" s="5">
        <v>2</v>
      </c>
      <c r="K56" s="246"/>
      <c r="L56" s="5" t="s">
        <v>1227</v>
      </c>
      <c r="M56" s="5"/>
      <c r="N56" s="4"/>
      <c r="O56" s="4"/>
      <c r="P56" s="5">
        <v>0</v>
      </c>
      <c r="Q56" s="5">
        <v>1</v>
      </c>
      <c r="R56" s="86" t="s">
        <v>1026</v>
      </c>
      <c r="S56" s="86">
        <v>11100102</v>
      </c>
      <c r="T56" s="177" t="str">
        <f t="shared" si="4"/>
        <v>UITexture/ShipMod/11100102.png</v>
      </c>
      <c r="U56" s="86" t="s">
        <v>1172</v>
      </c>
      <c r="V56" s="86"/>
      <c r="W56" s="177" t="str">
        <f t="shared" si="5"/>
        <v>UITexture/ShipType/.png</v>
      </c>
      <c r="X56" s="5"/>
      <c r="Y56" s="5"/>
      <c r="Z56" s="246"/>
      <c r="AA56" s="5"/>
      <c r="AB56" s="246"/>
      <c r="AC56" s="5">
        <v>1</v>
      </c>
      <c r="AD56" s="5"/>
      <c r="AE56" s="5"/>
      <c r="AF56" s="5"/>
      <c r="AG56" s="5"/>
      <c r="AH56" s="5"/>
      <c r="AI56" s="5"/>
      <c r="AJ56" s="5"/>
    </row>
    <row r="57" spans="1:36" s="3" customFormat="1" x14ac:dyDescent="0.15">
      <c r="A57" s="3">
        <f t="shared" si="14"/>
        <v>11100103</v>
      </c>
      <c r="B57" s="86">
        <v>1</v>
      </c>
      <c r="C57" s="65">
        <f t="shared" si="12"/>
        <v>1</v>
      </c>
      <c r="D57" s="65">
        <f t="shared" si="13"/>
        <v>10</v>
      </c>
      <c r="E57" s="4">
        <v>1</v>
      </c>
      <c r="F57" s="65">
        <f t="shared" si="3"/>
        <v>3</v>
      </c>
      <c r="G57" s="246"/>
      <c r="H57" s="5">
        <v>1</v>
      </c>
      <c r="I57" s="5">
        <v>10</v>
      </c>
      <c r="J57" s="5">
        <v>3</v>
      </c>
      <c r="K57" s="246"/>
      <c r="L57" s="5" t="s">
        <v>1227</v>
      </c>
      <c r="M57" s="5"/>
      <c r="N57" s="4"/>
      <c r="O57" s="4"/>
      <c r="P57" s="5">
        <v>0</v>
      </c>
      <c r="Q57" s="5">
        <v>1</v>
      </c>
      <c r="R57" s="86" t="s">
        <v>1026</v>
      </c>
      <c r="S57" s="86">
        <v>11100103</v>
      </c>
      <c r="T57" s="177" t="str">
        <f t="shared" si="4"/>
        <v>UITexture/ShipMod/11100103.png</v>
      </c>
      <c r="U57" s="86" t="s">
        <v>1172</v>
      </c>
      <c r="V57" s="86"/>
      <c r="W57" s="177" t="str">
        <f t="shared" si="5"/>
        <v>UITexture/ShipType/.png</v>
      </c>
      <c r="X57" s="5"/>
      <c r="Y57" s="5"/>
      <c r="Z57" s="246"/>
      <c r="AA57" s="5"/>
      <c r="AB57" s="246"/>
      <c r="AC57" s="5">
        <v>1</v>
      </c>
      <c r="AD57" s="5"/>
      <c r="AE57" s="5"/>
      <c r="AF57" s="5"/>
      <c r="AG57" s="5"/>
      <c r="AH57" s="5"/>
      <c r="AI57" s="5"/>
      <c r="AJ57" s="5"/>
    </row>
    <row r="58" spans="1:36" s="3" customFormat="1" x14ac:dyDescent="0.15">
      <c r="A58" s="3">
        <f t="shared" si="14"/>
        <v>11100104</v>
      </c>
      <c r="B58" s="86">
        <v>1</v>
      </c>
      <c r="C58" s="65">
        <f t="shared" si="12"/>
        <v>1</v>
      </c>
      <c r="D58" s="65">
        <f t="shared" si="13"/>
        <v>10</v>
      </c>
      <c r="E58" s="4">
        <v>1</v>
      </c>
      <c r="F58" s="65">
        <f t="shared" si="3"/>
        <v>4</v>
      </c>
      <c r="G58" s="246"/>
      <c r="H58" s="5">
        <v>1</v>
      </c>
      <c r="I58" s="5">
        <v>10</v>
      </c>
      <c r="J58" s="5">
        <v>4</v>
      </c>
      <c r="K58" s="246"/>
      <c r="L58" s="5" t="s">
        <v>1227</v>
      </c>
      <c r="M58" s="5"/>
      <c r="N58" s="4"/>
      <c r="O58" s="4"/>
      <c r="P58" s="5">
        <v>0</v>
      </c>
      <c r="Q58" s="5">
        <v>1</v>
      </c>
      <c r="R58" s="86" t="s">
        <v>1026</v>
      </c>
      <c r="S58" s="86">
        <v>11100104</v>
      </c>
      <c r="T58" s="177" t="str">
        <f t="shared" si="4"/>
        <v>UITexture/ShipMod/11100104.png</v>
      </c>
      <c r="U58" s="86" t="s">
        <v>1172</v>
      </c>
      <c r="V58" s="86"/>
      <c r="W58" s="177" t="str">
        <f t="shared" si="5"/>
        <v>UITexture/ShipType/.png</v>
      </c>
      <c r="X58" s="5"/>
      <c r="Y58" s="5"/>
      <c r="Z58" s="246"/>
      <c r="AA58" s="5"/>
      <c r="AB58" s="246"/>
      <c r="AC58" s="5">
        <v>1</v>
      </c>
      <c r="AD58" s="5"/>
      <c r="AE58" s="5"/>
      <c r="AF58" s="5"/>
      <c r="AG58" s="5"/>
      <c r="AH58" s="5"/>
      <c r="AI58" s="5"/>
      <c r="AJ58" s="5"/>
    </row>
    <row r="59" spans="1:36" s="13" customFormat="1" ht="17.25" thickBot="1" x14ac:dyDescent="0.2">
      <c r="A59" s="13">
        <f t="shared" si="14"/>
        <v>11100105</v>
      </c>
      <c r="B59" s="87">
        <v>1</v>
      </c>
      <c r="C59" s="63">
        <f t="shared" si="12"/>
        <v>1</v>
      </c>
      <c r="D59" s="63">
        <f t="shared" si="13"/>
        <v>10</v>
      </c>
      <c r="E59" s="14">
        <v>1</v>
      </c>
      <c r="F59" s="63">
        <f t="shared" si="3"/>
        <v>5</v>
      </c>
      <c r="G59" s="247"/>
      <c r="H59" s="15">
        <v>1</v>
      </c>
      <c r="I59" s="15">
        <v>10</v>
      </c>
      <c r="J59" s="15">
        <v>5</v>
      </c>
      <c r="K59" s="247"/>
      <c r="L59" s="15" t="s">
        <v>1227</v>
      </c>
      <c r="M59" s="15"/>
      <c r="N59" s="14"/>
      <c r="O59" s="14"/>
      <c r="P59" s="15">
        <v>0</v>
      </c>
      <c r="Q59" s="15">
        <v>1</v>
      </c>
      <c r="R59" s="87" t="s">
        <v>1026</v>
      </c>
      <c r="S59" s="87">
        <v>11100105</v>
      </c>
      <c r="T59" s="179" t="str">
        <f t="shared" si="4"/>
        <v>UITexture/ShipMod/11100105.png</v>
      </c>
      <c r="U59" s="87" t="s">
        <v>1172</v>
      </c>
      <c r="V59" s="87"/>
      <c r="W59" s="179" t="str">
        <f t="shared" si="5"/>
        <v>UITexture/ShipType/.png</v>
      </c>
      <c r="X59" s="15"/>
      <c r="Y59" s="15"/>
      <c r="Z59" s="247"/>
      <c r="AA59" s="15"/>
      <c r="AB59" s="247"/>
      <c r="AC59" s="15">
        <v>1</v>
      </c>
      <c r="AD59" s="15"/>
      <c r="AE59" s="15"/>
      <c r="AF59" s="15"/>
      <c r="AG59" s="15"/>
      <c r="AH59" s="15"/>
      <c r="AI59" s="15"/>
      <c r="AJ59" s="15"/>
    </row>
    <row r="60" spans="1:36" s="3" customFormat="1" x14ac:dyDescent="0.15">
      <c r="B60" s="86"/>
      <c r="C60" s="65"/>
      <c r="D60" s="65"/>
      <c r="E60" s="4"/>
      <c r="F60" s="65"/>
      <c r="G60" s="246"/>
      <c r="H60" s="5"/>
      <c r="I60" s="5"/>
      <c r="J60" s="5"/>
      <c r="K60" s="246"/>
      <c r="L60" s="5"/>
      <c r="M60" s="5"/>
      <c r="N60" s="4"/>
      <c r="O60" s="4"/>
      <c r="P60" s="5"/>
      <c r="Q60" s="5"/>
      <c r="R60" s="86"/>
      <c r="S60" s="86"/>
      <c r="T60" s="177"/>
      <c r="U60" s="86"/>
      <c r="V60" s="86"/>
      <c r="W60" s="177"/>
      <c r="X60" s="5"/>
      <c r="Y60" s="5"/>
      <c r="Z60" s="246"/>
      <c r="AA60" s="5"/>
      <c r="AB60" s="246"/>
      <c r="AC60" s="5"/>
      <c r="AD60" s="5"/>
      <c r="AE60" s="5"/>
      <c r="AF60" s="5"/>
      <c r="AG60" s="5"/>
      <c r="AH60" s="5"/>
      <c r="AI60" s="5"/>
      <c r="AJ60" s="5"/>
    </row>
    <row r="61" spans="1:36" s="3" customFormat="1" x14ac:dyDescent="0.15">
      <c r="B61" s="86"/>
      <c r="C61" s="65"/>
      <c r="D61" s="65"/>
      <c r="E61" s="4"/>
      <c r="F61" s="65"/>
      <c r="G61" s="246"/>
      <c r="H61" s="5"/>
      <c r="I61" s="5"/>
      <c r="J61" s="5"/>
      <c r="K61" s="246"/>
      <c r="L61" s="5"/>
      <c r="M61" s="5"/>
      <c r="N61" s="4"/>
      <c r="O61" s="4"/>
      <c r="P61" s="5"/>
      <c r="Q61" s="5"/>
      <c r="R61" s="86"/>
      <c r="S61" s="86"/>
      <c r="T61" s="177"/>
      <c r="U61" s="86"/>
      <c r="V61" s="86"/>
      <c r="W61" s="177"/>
      <c r="X61" s="5"/>
      <c r="Y61" s="5"/>
      <c r="Z61" s="246"/>
      <c r="AA61" s="5"/>
      <c r="AB61" s="246"/>
      <c r="AC61" s="5"/>
      <c r="AD61" s="5"/>
      <c r="AE61" s="5"/>
      <c r="AF61" s="5"/>
      <c r="AG61" s="5"/>
      <c r="AH61" s="5"/>
      <c r="AI61" s="5"/>
      <c r="AJ61" s="5"/>
    </row>
    <row r="62" spans="1:36" s="3" customFormat="1" x14ac:dyDescent="0.15">
      <c r="B62" s="86"/>
      <c r="C62" s="65"/>
      <c r="D62" s="65"/>
      <c r="E62" s="4"/>
      <c r="F62" s="65"/>
      <c r="G62" s="246"/>
      <c r="H62" s="5"/>
      <c r="I62" s="5"/>
      <c r="J62" s="5"/>
      <c r="K62" s="246"/>
      <c r="L62" s="5"/>
      <c r="M62" s="5"/>
      <c r="N62" s="4"/>
      <c r="O62" s="4"/>
      <c r="P62" s="5"/>
      <c r="Q62" s="5"/>
      <c r="R62" s="86"/>
      <c r="S62" s="86"/>
      <c r="T62" s="177"/>
      <c r="U62" s="86"/>
      <c r="V62" s="86"/>
      <c r="W62" s="177"/>
      <c r="X62" s="5"/>
      <c r="Y62" s="5"/>
      <c r="Z62" s="246"/>
      <c r="AA62" s="5"/>
      <c r="AB62" s="246"/>
      <c r="AC62" s="5"/>
      <c r="AD62" s="5"/>
      <c r="AE62" s="5"/>
      <c r="AF62" s="5"/>
      <c r="AG62" s="5"/>
      <c r="AH62" s="5"/>
      <c r="AI62" s="5"/>
      <c r="AJ62" s="5"/>
    </row>
    <row r="63" spans="1:36" s="3" customFormat="1" x14ac:dyDescent="0.15">
      <c r="B63" s="86"/>
      <c r="C63" s="65"/>
      <c r="D63" s="65"/>
      <c r="E63" s="4"/>
      <c r="F63" s="65"/>
      <c r="G63" s="246"/>
      <c r="H63" s="5"/>
      <c r="I63" s="5"/>
      <c r="J63" s="5"/>
      <c r="K63" s="246"/>
      <c r="L63" s="5"/>
      <c r="M63" s="5"/>
      <c r="N63" s="4"/>
      <c r="O63" s="4"/>
      <c r="P63" s="5"/>
      <c r="Q63" s="5"/>
      <c r="R63" s="86"/>
      <c r="S63" s="86"/>
      <c r="T63" s="177"/>
      <c r="U63" s="86"/>
      <c r="V63" s="86"/>
      <c r="W63" s="177"/>
      <c r="X63" s="5"/>
      <c r="Y63" s="5"/>
      <c r="Z63" s="246"/>
      <c r="AA63" s="5"/>
      <c r="AB63" s="246"/>
      <c r="AC63" s="5"/>
      <c r="AD63" s="5"/>
      <c r="AE63" s="5"/>
      <c r="AF63" s="5"/>
      <c r="AG63" s="5"/>
      <c r="AH63" s="5"/>
      <c r="AI63" s="5"/>
      <c r="AJ63" s="5"/>
    </row>
    <row r="64" spans="1:36" s="3" customFormat="1" x14ac:dyDescent="0.15">
      <c r="B64" s="86"/>
      <c r="C64" s="65"/>
      <c r="D64" s="65"/>
      <c r="E64" s="4"/>
      <c r="F64" s="65"/>
      <c r="G64" s="246"/>
      <c r="H64" s="5"/>
      <c r="I64" s="5"/>
      <c r="J64" s="5"/>
      <c r="K64" s="246"/>
      <c r="L64" s="5"/>
      <c r="M64" s="5"/>
      <c r="N64" s="4"/>
      <c r="O64" s="4"/>
      <c r="P64" s="5"/>
      <c r="Q64" s="5"/>
      <c r="R64" s="86"/>
      <c r="S64" s="86"/>
      <c r="T64" s="177"/>
      <c r="U64" s="86"/>
      <c r="V64" s="86"/>
      <c r="W64" s="177"/>
      <c r="X64" s="5"/>
      <c r="Y64" s="5"/>
      <c r="Z64" s="246"/>
      <c r="AA64" s="5"/>
      <c r="AB64" s="246"/>
      <c r="AC64" s="5"/>
      <c r="AD64" s="5"/>
      <c r="AE64" s="5"/>
      <c r="AF64" s="5"/>
      <c r="AG64" s="5"/>
      <c r="AH64" s="5"/>
      <c r="AI64" s="5"/>
      <c r="AJ64" s="5"/>
    </row>
    <row r="65" spans="2:36" s="3" customFormat="1" x14ac:dyDescent="0.15">
      <c r="B65" s="86"/>
      <c r="C65" s="65"/>
      <c r="D65" s="65"/>
      <c r="E65" s="4"/>
      <c r="F65" s="65"/>
      <c r="G65" s="246"/>
      <c r="H65" s="5"/>
      <c r="I65" s="5"/>
      <c r="J65" s="5"/>
      <c r="K65" s="246"/>
      <c r="L65" s="5"/>
      <c r="M65" s="5"/>
      <c r="N65" s="4"/>
      <c r="O65" s="4"/>
      <c r="P65" s="5"/>
      <c r="Q65" s="5"/>
      <c r="R65" s="86"/>
      <c r="S65" s="86"/>
      <c r="T65" s="177"/>
      <c r="U65" s="86"/>
      <c r="V65" s="86"/>
      <c r="W65" s="177"/>
      <c r="X65" s="5"/>
      <c r="Y65" s="5"/>
      <c r="Z65" s="246"/>
      <c r="AA65" s="5"/>
      <c r="AB65" s="246"/>
      <c r="AC65" s="5"/>
      <c r="AD65" s="5"/>
      <c r="AE65" s="5"/>
      <c r="AF65" s="5"/>
      <c r="AG65" s="5"/>
      <c r="AH65" s="5"/>
      <c r="AI65" s="5"/>
      <c r="AJ65" s="5"/>
    </row>
    <row r="66" spans="2:36" s="3" customFormat="1" x14ac:dyDescent="0.15">
      <c r="B66" s="86"/>
      <c r="C66" s="65"/>
      <c r="D66" s="65"/>
      <c r="E66" s="4"/>
      <c r="F66" s="65"/>
      <c r="G66" s="246"/>
      <c r="H66" s="5"/>
      <c r="I66" s="5"/>
      <c r="J66" s="5"/>
      <c r="K66" s="246"/>
      <c r="L66" s="5"/>
      <c r="M66" s="5"/>
      <c r="N66" s="4"/>
      <c r="O66" s="4"/>
      <c r="P66" s="5"/>
      <c r="Q66" s="5"/>
      <c r="R66" s="86"/>
      <c r="S66" s="86"/>
      <c r="T66" s="177"/>
      <c r="U66" s="86"/>
      <c r="V66" s="86"/>
      <c r="W66" s="177"/>
      <c r="X66" s="5"/>
      <c r="Y66" s="5"/>
      <c r="Z66" s="246"/>
      <c r="AA66" s="5"/>
      <c r="AB66" s="246"/>
      <c r="AC66" s="5"/>
      <c r="AD66" s="5"/>
      <c r="AE66" s="5"/>
      <c r="AF66" s="5"/>
      <c r="AG66" s="5"/>
      <c r="AH66" s="5"/>
      <c r="AI66" s="5"/>
      <c r="AJ66" s="5"/>
    </row>
    <row r="67" spans="2:36" s="3" customFormat="1" x14ac:dyDescent="0.15">
      <c r="B67" s="86"/>
      <c r="C67" s="65"/>
      <c r="D67" s="65"/>
      <c r="E67" s="4"/>
      <c r="F67" s="65"/>
      <c r="G67" s="246"/>
      <c r="H67" s="5"/>
      <c r="I67" s="5"/>
      <c r="J67" s="5"/>
      <c r="K67" s="246"/>
      <c r="L67" s="5"/>
      <c r="M67" s="5"/>
      <c r="N67" s="4"/>
      <c r="O67" s="4"/>
      <c r="P67" s="5"/>
      <c r="Q67" s="5"/>
      <c r="R67" s="86"/>
      <c r="S67" s="86"/>
      <c r="T67" s="177"/>
      <c r="U67" s="86"/>
      <c r="V67" s="86"/>
      <c r="W67" s="177"/>
      <c r="X67" s="5"/>
      <c r="Y67" s="5"/>
      <c r="Z67" s="246"/>
      <c r="AA67" s="5"/>
      <c r="AB67" s="246"/>
      <c r="AC67" s="5"/>
      <c r="AD67" s="5"/>
      <c r="AE67" s="5"/>
      <c r="AF67" s="5"/>
      <c r="AG67" s="5"/>
      <c r="AH67" s="5"/>
      <c r="AI67" s="5"/>
      <c r="AJ67" s="5"/>
    </row>
    <row r="68" spans="2:36" s="3" customFormat="1" x14ac:dyDescent="0.15">
      <c r="B68" s="86"/>
      <c r="C68" s="65"/>
      <c r="D68" s="65"/>
      <c r="E68" s="4"/>
      <c r="F68" s="65"/>
      <c r="G68" s="246"/>
      <c r="H68" s="5"/>
      <c r="I68" s="5"/>
      <c r="J68" s="5"/>
      <c r="K68" s="246"/>
      <c r="L68" s="5"/>
      <c r="M68" s="5"/>
      <c r="N68" s="4"/>
      <c r="O68" s="4"/>
      <c r="P68" s="5"/>
      <c r="Q68" s="5"/>
      <c r="R68" s="86"/>
      <c r="S68" s="86"/>
      <c r="T68" s="177"/>
      <c r="U68" s="86"/>
      <c r="V68" s="86"/>
      <c r="W68" s="177"/>
      <c r="X68" s="5"/>
      <c r="Y68" s="5"/>
      <c r="Z68" s="246"/>
      <c r="AA68" s="5"/>
      <c r="AB68" s="246"/>
      <c r="AC68" s="5"/>
      <c r="AD68" s="5"/>
      <c r="AE68" s="5"/>
      <c r="AF68" s="5"/>
      <c r="AG68" s="5"/>
      <c r="AH68" s="5"/>
      <c r="AI68" s="5"/>
      <c r="AJ68" s="5"/>
    </row>
    <row r="69" spans="2:36" s="3" customFormat="1" x14ac:dyDescent="0.15">
      <c r="B69" s="86"/>
      <c r="C69" s="65"/>
      <c r="D69" s="65"/>
      <c r="E69" s="4"/>
      <c r="F69" s="65"/>
      <c r="G69" s="246"/>
      <c r="H69" s="5"/>
      <c r="I69" s="5"/>
      <c r="J69" s="5"/>
      <c r="K69" s="246"/>
      <c r="L69" s="5"/>
      <c r="M69" s="5"/>
      <c r="N69" s="4"/>
      <c r="O69" s="4"/>
      <c r="P69" s="5"/>
      <c r="Q69" s="5"/>
      <c r="R69" s="86"/>
      <c r="S69" s="86"/>
      <c r="T69" s="177"/>
      <c r="U69" s="86"/>
      <c r="V69" s="86"/>
      <c r="W69" s="177"/>
      <c r="X69" s="5"/>
      <c r="Y69" s="5"/>
      <c r="Z69" s="246"/>
      <c r="AA69" s="5"/>
      <c r="AB69" s="246"/>
      <c r="AC69" s="5"/>
      <c r="AD69" s="5"/>
      <c r="AE69" s="5"/>
      <c r="AF69" s="5"/>
      <c r="AG69" s="5"/>
      <c r="AH69" s="5"/>
      <c r="AI69" s="5"/>
      <c r="AJ69" s="5"/>
    </row>
    <row r="70" spans="2:36" s="3" customFormat="1" x14ac:dyDescent="0.15">
      <c r="B70" s="86"/>
      <c r="C70" s="65"/>
      <c r="D70" s="65"/>
      <c r="E70" s="4"/>
      <c r="F70" s="65"/>
      <c r="G70" s="246"/>
      <c r="H70" s="5"/>
      <c r="I70" s="5"/>
      <c r="J70" s="5"/>
      <c r="K70" s="246"/>
      <c r="L70" s="5"/>
      <c r="M70" s="5"/>
      <c r="N70" s="4"/>
      <c r="O70" s="4"/>
      <c r="P70" s="5"/>
      <c r="Q70" s="5"/>
      <c r="R70" s="86"/>
      <c r="S70" s="86"/>
      <c r="T70" s="177"/>
      <c r="U70" s="86"/>
      <c r="V70" s="86"/>
      <c r="W70" s="177"/>
      <c r="X70" s="5"/>
      <c r="Y70" s="5"/>
      <c r="Z70" s="246"/>
      <c r="AA70" s="5"/>
      <c r="AB70" s="246"/>
      <c r="AC70" s="5"/>
      <c r="AD70" s="5"/>
      <c r="AE70" s="5"/>
      <c r="AF70" s="5"/>
      <c r="AG70" s="5"/>
      <c r="AH70" s="5"/>
      <c r="AI70" s="5"/>
      <c r="AJ70" s="5"/>
    </row>
    <row r="71" spans="2:36" s="3" customFormat="1" x14ac:dyDescent="0.15">
      <c r="B71" s="86"/>
      <c r="C71" s="65"/>
      <c r="D71" s="65"/>
      <c r="E71" s="4"/>
      <c r="F71" s="65"/>
      <c r="G71" s="246"/>
      <c r="H71" s="5"/>
      <c r="I71" s="5"/>
      <c r="J71" s="5"/>
      <c r="K71" s="246"/>
      <c r="L71" s="5"/>
      <c r="M71" s="5"/>
      <c r="N71" s="4"/>
      <c r="O71" s="4"/>
      <c r="P71" s="5"/>
      <c r="Q71" s="5"/>
      <c r="R71" s="86"/>
      <c r="S71" s="86"/>
      <c r="T71" s="177"/>
      <c r="U71" s="86"/>
      <c r="V71" s="86"/>
      <c r="W71" s="177"/>
      <c r="X71" s="5"/>
      <c r="Y71" s="5"/>
      <c r="Z71" s="246"/>
      <c r="AA71" s="5"/>
      <c r="AB71" s="246"/>
      <c r="AC71" s="5"/>
      <c r="AD71" s="5"/>
      <c r="AE71" s="5"/>
      <c r="AF71" s="5"/>
      <c r="AG71" s="5"/>
      <c r="AH71" s="5"/>
      <c r="AI71" s="5"/>
      <c r="AJ71" s="5"/>
    </row>
    <row r="72" spans="2:36" s="3" customFormat="1" x14ac:dyDescent="0.15">
      <c r="B72" s="86"/>
      <c r="C72" s="65"/>
      <c r="D72" s="65"/>
      <c r="E72" s="4"/>
      <c r="F72" s="65"/>
      <c r="G72" s="246"/>
      <c r="H72" s="5"/>
      <c r="I72" s="5"/>
      <c r="J72" s="5"/>
      <c r="K72" s="246"/>
      <c r="L72" s="5"/>
      <c r="M72" s="5"/>
      <c r="N72" s="4"/>
      <c r="O72" s="4"/>
      <c r="P72" s="5"/>
      <c r="Q72" s="5"/>
      <c r="R72" s="86"/>
      <c r="S72" s="86"/>
      <c r="T72" s="177"/>
      <c r="U72" s="86"/>
      <c r="V72" s="86"/>
      <c r="W72" s="177"/>
      <c r="X72" s="5"/>
      <c r="Y72" s="5"/>
      <c r="Z72" s="246"/>
      <c r="AA72" s="5"/>
      <c r="AB72" s="246"/>
      <c r="AC72" s="5"/>
      <c r="AD72" s="5"/>
      <c r="AE72" s="5"/>
      <c r="AF72" s="5"/>
      <c r="AG72" s="5"/>
      <c r="AH72" s="5"/>
      <c r="AI72" s="5"/>
      <c r="AJ72" s="5"/>
    </row>
    <row r="73" spans="2:36" s="3" customFormat="1" x14ac:dyDescent="0.15">
      <c r="B73" s="86"/>
      <c r="C73" s="65"/>
      <c r="D73" s="65"/>
      <c r="E73" s="4"/>
      <c r="F73" s="65"/>
      <c r="G73" s="246"/>
      <c r="H73" s="5"/>
      <c r="I73" s="5"/>
      <c r="J73" s="5"/>
      <c r="K73" s="246"/>
      <c r="L73" s="5"/>
      <c r="M73" s="5"/>
      <c r="N73" s="4"/>
      <c r="O73" s="4"/>
      <c r="P73" s="5"/>
      <c r="Q73" s="5"/>
      <c r="R73" s="86"/>
      <c r="S73" s="86"/>
      <c r="T73" s="177"/>
      <c r="U73" s="86"/>
      <c r="V73" s="86"/>
      <c r="W73" s="177"/>
      <c r="X73" s="5"/>
      <c r="Y73" s="5"/>
      <c r="Z73" s="246"/>
      <c r="AA73" s="5"/>
      <c r="AB73" s="246"/>
      <c r="AC73" s="5"/>
      <c r="AD73" s="5"/>
      <c r="AE73" s="5"/>
      <c r="AF73" s="5"/>
      <c r="AG73" s="5"/>
      <c r="AH73" s="5"/>
      <c r="AI73" s="5"/>
      <c r="AJ73" s="5"/>
    </row>
    <row r="74" spans="2:36" s="3" customFormat="1" x14ac:dyDescent="0.15">
      <c r="B74" s="86"/>
      <c r="C74" s="65"/>
      <c r="D74" s="65"/>
      <c r="E74" s="4"/>
      <c r="F74" s="65"/>
      <c r="G74" s="246"/>
      <c r="H74" s="5"/>
      <c r="I74" s="5"/>
      <c r="J74" s="5"/>
      <c r="K74" s="246"/>
      <c r="L74" s="5"/>
      <c r="M74" s="5"/>
      <c r="N74" s="4"/>
      <c r="O74" s="4"/>
      <c r="P74" s="5"/>
      <c r="Q74" s="5"/>
      <c r="R74" s="86"/>
      <c r="S74" s="86"/>
      <c r="T74" s="177"/>
      <c r="U74" s="86"/>
      <c r="V74" s="86"/>
      <c r="W74" s="177"/>
      <c r="X74" s="5"/>
      <c r="Y74" s="5"/>
      <c r="Z74" s="246"/>
      <c r="AA74" s="5"/>
      <c r="AB74" s="246"/>
      <c r="AC74" s="5"/>
      <c r="AD74" s="5"/>
      <c r="AE74" s="5"/>
      <c r="AF74" s="5"/>
      <c r="AG74" s="5"/>
      <c r="AH74" s="5"/>
      <c r="AI74" s="5"/>
      <c r="AJ74" s="5"/>
    </row>
    <row r="75" spans="2:36" s="3" customFormat="1" x14ac:dyDescent="0.15">
      <c r="B75" s="86"/>
      <c r="C75" s="65"/>
      <c r="D75" s="65"/>
      <c r="E75" s="4"/>
      <c r="F75" s="65"/>
      <c r="G75" s="246"/>
      <c r="H75" s="5"/>
      <c r="I75" s="5"/>
      <c r="J75" s="5"/>
      <c r="K75" s="246"/>
      <c r="L75" s="5"/>
      <c r="M75" s="5"/>
      <c r="N75" s="4"/>
      <c r="O75" s="4"/>
      <c r="P75" s="5"/>
      <c r="Q75" s="5"/>
      <c r="R75" s="86"/>
      <c r="S75" s="86"/>
      <c r="T75" s="177"/>
      <c r="U75" s="86"/>
      <c r="V75" s="86"/>
      <c r="W75" s="177"/>
      <c r="X75" s="5"/>
      <c r="Y75" s="5"/>
      <c r="Z75" s="246"/>
      <c r="AA75" s="5"/>
      <c r="AB75" s="246"/>
      <c r="AC75" s="5"/>
      <c r="AD75" s="5"/>
      <c r="AE75" s="5"/>
      <c r="AF75" s="5"/>
      <c r="AG75" s="5"/>
      <c r="AH75" s="5"/>
      <c r="AI75" s="5"/>
      <c r="AJ75" s="5"/>
    </row>
    <row r="76" spans="2:36" s="3" customFormat="1" x14ac:dyDescent="0.15">
      <c r="B76" s="86"/>
      <c r="C76" s="65"/>
      <c r="D76" s="65"/>
      <c r="E76" s="4"/>
      <c r="F76" s="65"/>
      <c r="G76" s="246"/>
      <c r="H76" s="5"/>
      <c r="I76" s="5"/>
      <c r="J76" s="5"/>
      <c r="K76" s="246"/>
      <c r="L76" s="5"/>
      <c r="M76" s="5"/>
      <c r="N76" s="4"/>
      <c r="O76" s="4"/>
      <c r="P76" s="5"/>
      <c r="Q76" s="5"/>
      <c r="R76" s="86"/>
      <c r="S76" s="86"/>
      <c r="T76" s="177"/>
      <c r="U76" s="86"/>
      <c r="V76" s="86"/>
      <c r="W76" s="177"/>
      <c r="X76" s="5"/>
      <c r="Y76" s="5"/>
      <c r="Z76" s="246"/>
      <c r="AA76" s="5"/>
      <c r="AB76" s="246"/>
      <c r="AC76" s="5"/>
      <c r="AD76" s="5"/>
      <c r="AE76" s="5"/>
      <c r="AF76" s="5"/>
      <c r="AG76" s="5"/>
      <c r="AH76" s="5"/>
      <c r="AI76" s="5"/>
      <c r="AJ76" s="5"/>
    </row>
    <row r="77" spans="2:36" s="3" customFormat="1" x14ac:dyDescent="0.15">
      <c r="B77" s="86"/>
      <c r="C77" s="65"/>
      <c r="D77" s="65"/>
      <c r="E77" s="4"/>
      <c r="F77" s="65"/>
      <c r="G77" s="246"/>
      <c r="H77" s="5"/>
      <c r="I77" s="5"/>
      <c r="J77" s="5"/>
      <c r="K77" s="246"/>
      <c r="L77" s="5"/>
      <c r="M77" s="5"/>
      <c r="N77" s="4"/>
      <c r="O77" s="4"/>
      <c r="P77" s="5"/>
      <c r="Q77" s="5"/>
      <c r="R77" s="86"/>
      <c r="S77" s="86"/>
      <c r="T77" s="177"/>
      <c r="U77" s="86"/>
      <c r="V77" s="86"/>
      <c r="W77" s="177"/>
      <c r="X77" s="5"/>
      <c r="Y77" s="5"/>
      <c r="Z77" s="246"/>
      <c r="AA77" s="5"/>
      <c r="AB77" s="246"/>
      <c r="AC77" s="5"/>
      <c r="AD77" s="5"/>
      <c r="AE77" s="5"/>
      <c r="AF77" s="5"/>
      <c r="AG77" s="5"/>
      <c r="AH77" s="5"/>
      <c r="AI77" s="5"/>
      <c r="AJ77" s="5"/>
    </row>
    <row r="78" spans="2:36" s="3" customFormat="1" x14ac:dyDescent="0.15">
      <c r="B78" s="86"/>
      <c r="C78" s="65"/>
      <c r="D78" s="65"/>
      <c r="E78" s="4"/>
      <c r="F78" s="65"/>
      <c r="G78" s="246"/>
      <c r="H78" s="5"/>
      <c r="I78" s="5"/>
      <c r="J78" s="5"/>
      <c r="K78" s="246"/>
      <c r="L78" s="5"/>
      <c r="M78" s="5"/>
      <c r="N78" s="4"/>
      <c r="O78" s="4"/>
      <c r="P78" s="5"/>
      <c r="Q78" s="5"/>
      <c r="R78" s="86"/>
      <c r="S78" s="86"/>
      <c r="T78" s="177"/>
      <c r="U78" s="86"/>
      <c r="V78" s="86"/>
      <c r="W78" s="177"/>
      <c r="X78" s="5"/>
      <c r="Y78" s="5"/>
      <c r="Z78" s="246"/>
      <c r="AA78" s="5"/>
      <c r="AB78" s="246"/>
      <c r="AC78" s="5"/>
      <c r="AD78" s="5"/>
      <c r="AE78" s="5"/>
      <c r="AF78" s="5"/>
      <c r="AG78" s="5"/>
      <c r="AH78" s="5"/>
      <c r="AI78" s="5"/>
      <c r="AJ78" s="5"/>
    </row>
    <row r="79" spans="2:36" s="3" customFormat="1" x14ac:dyDescent="0.15">
      <c r="B79" s="86"/>
      <c r="C79" s="65"/>
      <c r="D79" s="65"/>
      <c r="E79" s="4"/>
      <c r="F79" s="65"/>
      <c r="G79" s="246"/>
      <c r="H79" s="5"/>
      <c r="I79" s="5"/>
      <c r="J79" s="5"/>
      <c r="K79" s="246"/>
      <c r="L79" s="5"/>
      <c r="M79" s="5"/>
      <c r="N79" s="4"/>
      <c r="O79" s="4"/>
      <c r="P79" s="5"/>
      <c r="Q79" s="5"/>
      <c r="R79" s="86"/>
      <c r="S79" s="86"/>
      <c r="T79" s="177"/>
      <c r="U79" s="86"/>
      <c r="V79" s="86"/>
      <c r="W79" s="177"/>
      <c r="X79" s="5"/>
      <c r="Y79" s="5"/>
      <c r="Z79" s="246"/>
      <c r="AA79" s="5"/>
      <c r="AB79" s="246"/>
      <c r="AC79" s="5"/>
      <c r="AD79" s="5"/>
      <c r="AE79" s="5"/>
      <c r="AF79" s="5"/>
      <c r="AG79" s="5"/>
      <c r="AH79" s="5"/>
      <c r="AI79" s="5"/>
      <c r="AJ79" s="5"/>
    </row>
    <row r="80" spans="2:36" s="3" customFormat="1" x14ac:dyDescent="0.15">
      <c r="B80" s="86"/>
      <c r="C80" s="65"/>
      <c r="D80" s="65"/>
      <c r="E80" s="4"/>
      <c r="F80" s="65"/>
      <c r="G80" s="246"/>
      <c r="H80" s="5"/>
      <c r="I80" s="5"/>
      <c r="J80" s="5"/>
      <c r="K80" s="246"/>
      <c r="L80" s="5"/>
      <c r="M80" s="5"/>
      <c r="N80" s="4"/>
      <c r="O80" s="4"/>
      <c r="P80" s="5"/>
      <c r="Q80" s="5"/>
      <c r="R80" s="86"/>
      <c r="S80" s="86"/>
      <c r="T80" s="177"/>
      <c r="U80" s="86"/>
      <c r="V80" s="86"/>
      <c r="W80" s="177"/>
      <c r="X80" s="5"/>
      <c r="Y80" s="5"/>
      <c r="Z80" s="246"/>
      <c r="AA80" s="5"/>
      <c r="AB80" s="246"/>
      <c r="AC80" s="5"/>
      <c r="AD80" s="5"/>
      <c r="AE80" s="5"/>
      <c r="AF80" s="5"/>
      <c r="AG80" s="5"/>
      <c r="AH80" s="5"/>
      <c r="AI80" s="5"/>
      <c r="AJ80" s="5"/>
    </row>
    <row r="81" spans="2:36" s="3" customFormat="1" x14ac:dyDescent="0.15">
      <c r="B81" s="86"/>
      <c r="C81" s="65"/>
      <c r="D81" s="65"/>
      <c r="E81" s="4"/>
      <c r="F81" s="65"/>
      <c r="G81" s="246"/>
      <c r="H81" s="5"/>
      <c r="I81" s="5"/>
      <c r="J81" s="5"/>
      <c r="K81" s="246"/>
      <c r="L81" s="5"/>
      <c r="M81" s="5"/>
      <c r="N81" s="4"/>
      <c r="O81" s="4"/>
      <c r="P81" s="5"/>
      <c r="Q81" s="5"/>
      <c r="R81" s="86"/>
      <c r="S81" s="86"/>
      <c r="T81" s="177"/>
      <c r="U81" s="86"/>
      <c r="V81" s="86"/>
      <c r="W81" s="177"/>
      <c r="X81" s="5"/>
      <c r="Y81" s="5"/>
      <c r="Z81" s="246"/>
      <c r="AA81" s="5"/>
      <c r="AB81" s="246"/>
      <c r="AC81" s="5"/>
      <c r="AD81" s="5"/>
      <c r="AE81" s="5"/>
      <c r="AF81" s="5"/>
      <c r="AG81" s="5"/>
      <c r="AH81" s="5"/>
      <c r="AI81" s="5"/>
      <c r="AJ81" s="5"/>
    </row>
    <row r="82" spans="2:36" s="3" customFormat="1" x14ac:dyDescent="0.15">
      <c r="B82" s="86"/>
      <c r="C82" s="65"/>
      <c r="D82" s="65"/>
      <c r="E82" s="4"/>
      <c r="F82" s="65"/>
      <c r="G82" s="246"/>
      <c r="H82" s="5"/>
      <c r="I82" s="5"/>
      <c r="J82" s="5"/>
      <c r="K82" s="246"/>
      <c r="L82" s="5"/>
      <c r="M82" s="5"/>
      <c r="N82" s="4"/>
      <c r="O82" s="4"/>
      <c r="P82" s="5"/>
      <c r="Q82" s="5"/>
      <c r="R82" s="86"/>
      <c r="S82" s="86"/>
      <c r="T82" s="177"/>
      <c r="U82" s="86"/>
      <c r="V82" s="86"/>
      <c r="W82" s="177"/>
      <c r="X82" s="5"/>
      <c r="Y82" s="5"/>
      <c r="Z82" s="246"/>
      <c r="AA82" s="5"/>
      <c r="AB82" s="246"/>
      <c r="AC82" s="5"/>
      <c r="AD82" s="5"/>
      <c r="AE82" s="5"/>
      <c r="AF82" s="5"/>
      <c r="AG82" s="5"/>
      <c r="AH82" s="5"/>
      <c r="AI82" s="5"/>
      <c r="AJ82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 tint="0.79998168889431442"/>
  </sheetPr>
  <dimension ref="A1:EG64"/>
  <sheetViews>
    <sheetView workbookViewId="0">
      <selection activeCell="F21" sqref="F21"/>
    </sheetView>
  </sheetViews>
  <sheetFormatPr defaultColWidth="7.75" defaultRowHeight="16.5" x14ac:dyDescent="0.15"/>
  <cols>
    <col min="1" max="1" width="12" style="24" bestFit="1" customWidth="1"/>
    <col min="2" max="2" width="10.875" style="195" bestFit="1" customWidth="1"/>
    <col min="3" max="102" width="12" style="42" bestFit="1" customWidth="1"/>
    <col min="103" max="103" width="9.75" style="24" customWidth="1"/>
    <col min="104" max="137" width="9.75" style="43" customWidth="1"/>
    <col min="138" max="16384" width="7.75" style="24"/>
  </cols>
  <sheetData>
    <row r="1" spans="1:102" x14ac:dyDescent="0.15">
      <c r="A1" s="24" t="s">
        <v>59</v>
      </c>
      <c r="B1" s="188" t="s">
        <v>112</v>
      </c>
      <c r="C1" s="35" t="s">
        <v>60</v>
      </c>
      <c r="D1" s="35" t="s">
        <v>60</v>
      </c>
      <c r="E1" s="35" t="s">
        <v>60</v>
      </c>
      <c r="F1" s="35" t="s">
        <v>60</v>
      </c>
      <c r="G1" s="35" t="s">
        <v>60</v>
      </c>
      <c r="H1" s="35" t="s">
        <v>60</v>
      </c>
      <c r="I1" s="35" t="s">
        <v>60</v>
      </c>
      <c r="J1" s="35" t="s">
        <v>60</v>
      </c>
      <c r="K1" s="35" t="s">
        <v>60</v>
      </c>
      <c r="L1" s="35" t="s">
        <v>60</v>
      </c>
      <c r="M1" s="35" t="s">
        <v>60</v>
      </c>
      <c r="N1" s="35" t="s">
        <v>60</v>
      </c>
      <c r="O1" s="35" t="s">
        <v>60</v>
      </c>
      <c r="P1" s="35" t="s">
        <v>60</v>
      </c>
      <c r="Q1" s="35" t="s">
        <v>60</v>
      </c>
      <c r="R1" s="35" t="s">
        <v>60</v>
      </c>
      <c r="S1" s="35" t="s">
        <v>60</v>
      </c>
      <c r="T1" s="35" t="s">
        <v>60</v>
      </c>
      <c r="U1" s="35" t="s">
        <v>60</v>
      </c>
      <c r="V1" s="35" t="s">
        <v>60</v>
      </c>
      <c r="W1" s="35" t="s">
        <v>60</v>
      </c>
      <c r="X1" s="35" t="s">
        <v>60</v>
      </c>
      <c r="Y1" s="35" t="s">
        <v>60</v>
      </c>
      <c r="Z1" s="35" t="s">
        <v>60</v>
      </c>
      <c r="AA1" s="35" t="s">
        <v>60</v>
      </c>
      <c r="AB1" s="35" t="s">
        <v>60</v>
      </c>
      <c r="AC1" s="35" t="s">
        <v>60</v>
      </c>
      <c r="AD1" s="35" t="s">
        <v>60</v>
      </c>
      <c r="AE1" s="35" t="s">
        <v>60</v>
      </c>
      <c r="AF1" s="35" t="s">
        <v>60</v>
      </c>
      <c r="AG1" s="35" t="s">
        <v>60</v>
      </c>
      <c r="AH1" s="35" t="s">
        <v>60</v>
      </c>
      <c r="AI1" s="35" t="s">
        <v>60</v>
      </c>
      <c r="AJ1" s="35" t="s">
        <v>60</v>
      </c>
      <c r="AK1" s="35" t="s">
        <v>60</v>
      </c>
      <c r="AL1" s="35" t="s">
        <v>60</v>
      </c>
      <c r="AM1" s="35" t="s">
        <v>60</v>
      </c>
      <c r="AN1" s="35" t="s">
        <v>60</v>
      </c>
      <c r="AO1" s="35" t="s">
        <v>60</v>
      </c>
      <c r="AP1" s="35" t="s">
        <v>60</v>
      </c>
      <c r="AQ1" s="35" t="s">
        <v>60</v>
      </c>
      <c r="AR1" s="35" t="s">
        <v>60</v>
      </c>
      <c r="AS1" s="35" t="s">
        <v>60</v>
      </c>
      <c r="AT1" s="35" t="s">
        <v>60</v>
      </c>
      <c r="AU1" s="35" t="s">
        <v>60</v>
      </c>
      <c r="AV1" s="35" t="s">
        <v>60</v>
      </c>
      <c r="AW1" s="35" t="s">
        <v>60</v>
      </c>
      <c r="AX1" s="35" t="s">
        <v>60</v>
      </c>
      <c r="AY1" s="35" t="s">
        <v>60</v>
      </c>
      <c r="AZ1" s="35" t="s">
        <v>60</v>
      </c>
      <c r="BA1" s="35" t="s">
        <v>60</v>
      </c>
      <c r="BB1" s="35" t="s">
        <v>60</v>
      </c>
      <c r="BC1" s="35" t="s">
        <v>60</v>
      </c>
      <c r="BD1" s="35" t="s">
        <v>60</v>
      </c>
      <c r="BE1" s="35" t="s">
        <v>60</v>
      </c>
      <c r="BF1" s="35" t="s">
        <v>60</v>
      </c>
      <c r="BG1" s="35" t="s">
        <v>60</v>
      </c>
      <c r="BH1" s="35" t="s">
        <v>60</v>
      </c>
      <c r="BI1" s="35" t="s">
        <v>60</v>
      </c>
      <c r="BJ1" s="35" t="s">
        <v>60</v>
      </c>
      <c r="BK1" s="35" t="s">
        <v>60</v>
      </c>
      <c r="BL1" s="35" t="s">
        <v>60</v>
      </c>
      <c r="BM1" s="35" t="s">
        <v>60</v>
      </c>
      <c r="BN1" s="35" t="s">
        <v>60</v>
      </c>
      <c r="BO1" s="35" t="s">
        <v>60</v>
      </c>
      <c r="BP1" s="35" t="s">
        <v>60</v>
      </c>
      <c r="BQ1" s="35" t="s">
        <v>60</v>
      </c>
      <c r="BR1" s="35" t="s">
        <v>60</v>
      </c>
      <c r="BS1" s="35" t="s">
        <v>60</v>
      </c>
      <c r="BT1" s="35" t="s">
        <v>60</v>
      </c>
      <c r="BU1" s="35" t="s">
        <v>60</v>
      </c>
      <c r="BV1" s="35" t="s">
        <v>60</v>
      </c>
      <c r="BW1" s="35" t="s">
        <v>60</v>
      </c>
      <c r="BX1" s="35" t="s">
        <v>60</v>
      </c>
      <c r="BY1" s="35" t="s">
        <v>60</v>
      </c>
      <c r="BZ1" s="35" t="s">
        <v>60</v>
      </c>
      <c r="CA1" s="35" t="s">
        <v>60</v>
      </c>
      <c r="CB1" s="35" t="s">
        <v>60</v>
      </c>
      <c r="CC1" s="35" t="s">
        <v>60</v>
      </c>
      <c r="CD1" s="35" t="s">
        <v>60</v>
      </c>
      <c r="CE1" s="35" t="s">
        <v>60</v>
      </c>
      <c r="CF1" s="35" t="s">
        <v>60</v>
      </c>
      <c r="CG1" s="35" t="s">
        <v>60</v>
      </c>
      <c r="CH1" s="35" t="s">
        <v>60</v>
      </c>
      <c r="CI1" s="35" t="s">
        <v>60</v>
      </c>
      <c r="CJ1" s="35" t="s">
        <v>60</v>
      </c>
      <c r="CK1" s="35" t="s">
        <v>60</v>
      </c>
      <c r="CL1" s="35" t="s">
        <v>60</v>
      </c>
      <c r="CM1" s="35" t="s">
        <v>60</v>
      </c>
      <c r="CN1" s="35" t="s">
        <v>60</v>
      </c>
      <c r="CO1" s="35" t="s">
        <v>60</v>
      </c>
      <c r="CP1" s="35" t="s">
        <v>60</v>
      </c>
      <c r="CQ1" s="35" t="s">
        <v>60</v>
      </c>
      <c r="CR1" s="35" t="s">
        <v>60</v>
      </c>
      <c r="CS1" s="35" t="s">
        <v>60</v>
      </c>
      <c r="CT1" s="35" t="s">
        <v>60</v>
      </c>
      <c r="CU1" s="35" t="s">
        <v>60</v>
      </c>
      <c r="CV1" s="35" t="s">
        <v>60</v>
      </c>
      <c r="CW1" s="35" t="s">
        <v>60</v>
      </c>
      <c r="CX1" s="35" t="s">
        <v>60</v>
      </c>
    </row>
    <row r="2" spans="1:102" x14ac:dyDescent="0.15">
      <c r="A2" s="24" t="s">
        <v>61</v>
      </c>
      <c r="B2" s="195">
        <v>100</v>
      </c>
      <c r="C2" s="42" t="s">
        <v>61</v>
      </c>
      <c r="D2" s="42" t="s">
        <v>61</v>
      </c>
      <c r="E2" s="42" t="s">
        <v>61</v>
      </c>
      <c r="F2" s="42" t="s">
        <v>61</v>
      </c>
      <c r="G2" s="42" t="s">
        <v>61</v>
      </c>
      <c r="H2" s="42" t="s">
        <v>61</v>
      </c>
      <c r="I2" s="42" t="s">
        <v>61</v>
      </c>
      <c r="J2" s="42" t="s">
        <v>61</v>
      </c>
      <c r="K2" s="42" t="s">
        <v>61</v>
      </c>
      <c r="L2" s="42" t="s">
        <v>61</v>
      </c>
      <c r="M2" s="42" t="s">
        <v>61</v>
      </c>
      <c r="N2" s="42" t="s">
        <v>61</v>
      </c>
      <c r="O2" s="42" t="s">
        <v>61</v>
      </c>
      <c r="P2" s="42" t="s">
        <v>61</v>
      </c>
      <c r="Q2" s="42" t="s">
        <v>61</v>
      </c>
      <c r="R2" s="42" t="s">
        <v>61</v>
      </c>
      <c r="S2" s="42" t="s">
        <v>61</v>
      </c>
      <c r="T2" s="42" t="s">
        <v>61</v>
      </c>
      <c r="U2" s="42" t="s">
        <v>61</v>
      </c>
      <c r="V2" s="42" t="s">
        <v>61</v>
      </c>
      <c r="W2" s="42" t="s">
        <v>61</v>
      </c>
      <c r="X2" s="42" t="s">
        <v>61</v>
      </c>
      <c r="Y2" s="42" t="s">
        <v>61</v>
      </c>
      <c r="Z2" s="42" t="s">
        <v>61</v>
      </c>
      <c r="AA2" s="42" t="s">
        <v>61</v>
      </c>
      <c r="AB2" s="42" t="s">
        <v>61</v>
      </c>
      <c r="AC2" s="42" t="s">
        <v>61</v>
      </c>
      <c r="AD2" s="42" t="s">
        <v>61</v>
      </c>
      <c r="AE2" s="42" t="s">
        <v>61</v>
      </c>
      <c r="AF2" s="42" t="s">
        <v>61</v>
      </c>
      <c r="AG2" s="42" t="s">
        <v>61</v>
      </c>
      <c r="AH2" s="42" t="s">
        <v>61</v>
      </c>
      <c r="AI2" s="42" t="s">
        <v>61</v>
      </c>
      <c r="AJ2" s="42" t="s">
        <v>61</v>
      </c>
      <c r="AK2" s="42" t="s">
        <v>61</v>
      </c>
      <c r="AL2" s="42" t="s">
        <v>61</v>
      </c>
      <c r="AM2" s="42" t="s">
        <v>61</v>
      </c>
      <c r="AN2" s="42" t="s">
        <v>61</v>
      </c>
      <c r="AO2" s="42" t="s">
        <v>61</v>
      </c>
      <c r="AP2" s="42" t="s">
        <v>61</v>
      </c>
      <c r="AQ2" s="42" t="s">
        <v>61</v>
      </c>
      <c r="AR2" s="42" t="s">
        <v>61</v>
      </c>
      <c r="AS2" s="42" t="s">
        <v>61</v>
      </c>
      <c r="AT2" s="42" t="s">
        <v>61</v>
      </c>
      <c r="AU2" s="42" t="s">
        <v>61</v>
      </c>
      <c r="AV2" s="42" t="s">
        <v>61</v>
      </c>
      <c r="AW2" s="42" t="s">
        <v>61</v>
      </c>
      <c r="AX2" s="42" t="s">
        <v>61</v>
      </c>
      <c r="AY2" s="42" t="s">
        <v>61</v>
      </c>
      <c r="AZ2" s="42" t="s">
        <v>61</v>
      </c>
      <c r="BA2" s="42" t="s">
        <v>61</v>
      </c>
      <c r="BB2" s="42" t="s">
        <v>61</v>
      </c>
      <c r="BC2" s="42" t="s">
        <v>61</v>
      </c>
      <c r="BD2" s="42" t="s">
        <v>61</v>
      </c>
      <c r="BE2" s="42" t="s">
        <v>61</v>
      </c>
      <c r="BF2" s="42" t="s">
        <v>61</v>
      </c>
      <c r="BG2" s="42" t="s">
        <v>61</v>
      </c>
      <c r="BH2" s="42" t="s">
        <v>61</v>
      </c>
      <c r="BI2" s="42" t="s">
        <v>61</v>
      </c>
      <c r="BJ2" s="42" t="s">
        <v>61</v>
      </c>
      <c r="BK2" s="42" t="s">
        <v>61</v>
      </c>
      <c r="BL2" s="42" t="s">
        <v>61</v>
      </c>
      <c r="BM2" s="42" t="s">
        <v>61</v>
      </c>
      <c r="BN2" s="42" t="s">
        <v>61</v>
      </c>
      <c r="BO2" s="42" t="s">
        <v>61</v>
      </c>
      <c r="BP2" s="42" t="s">
        <v>61</v>
      </c>
      <c r="BQ2" s="42" t="s">
        <v>61</v>
      </c>
      <c r="BR2" s="42" t="s">
        <v>61</v>
      </c>
      <c r="BS2" s="42" t="s">
        <v>61</v>
      </c>
      <c r="BT2" s="42" t="s">
        <v>61</v>
      </c>
      <c r="BU2" s="42" t="s">
        <v>61</v>
      </c>
      <c r="BV2" s="42" t="s">
        <v>61</v>
      </c>
      <c r="BW2" s="42" t="s">
        <v>61</v>
      </c>
      <c r="BX2" s="42" t="s">
        <v>61</v>
      </c>
      <c r="BY2" s="42" t="s">
        <v>61</v>
      </c>
      <c r="BZ2" s="42" t="s">
        <v>61</v>
      </c>
      <c r="CA2" s="42" t="s">
        <v>61</v>
      </c>
      <c r="CB2" s="42" t="s">
        <v>61</v>
      </c>
      <c r="CC2" s="42" t="s">
        <v>61</v>
      </c>
      <c r="CD2" s="42" t="s">
        <v>61</v>
      </c>
      <c r="CE2" s="42" t="s">
        <v>61</v>
      </c>
      <c r="CF2" s="42" t="s">
        <v>61</v>
      </c>
      <c r="CG2" s="42" t="s">
        <v>61</v>
      </c>
      <c r="CH2" s="42" t="s">
        <v>61</v>
      </c>
      <c r="CI2" s="42" t="s">
        <v>61</v>
      </c>
      <c r="CJ2" s="42" t="s">
        <v>61</v>
      </c>
      <c r="CK2" s="42" t="s">
        <v>61</v>
      </c>
      <c r="CL2" s="42" t="s">
        <v>61</v>
      </c>
      <c r="CM2" s="42" t="s">
        <v>61</v>
      </c>
      <c r="CN2" s="42" t="s">
        <v>61</v>
      </c>
      <c r="CO2" s="42" t="s">
        <v>61</v>
      </c>
      <c r="CP2" s="42" t="s">
        <v>61</v>
      </c>
      <c r="CQ2" s="42" t="s">
        <v>61</v>
      </c>
      <c r="CR2" s="42" t="s">
        <v>61</v>
      </c>
      <c r="CS2" s="42" t="s">
        <v>61</v>
      </c>
      <c r="CT2" s="42" t="s">
        <v>61</v>
      </c>
      <c r="CU2" s="42" t="s">
        <v>61</v>
      </c>
      <c r="CV2" s="42" t="s">
        <v>61</v>
      </c>
      <c r="CW2" s="42" t="s">
        <v>61</v>
      </c>
      <c r="CX2" s="42" t="s">
        <v>61</v>
      </c>
    </row>
    <row r="3" spans="1:102" x14ac:dyDescent="0.15">
      <c r="A3" s="24" t="s">
        <v>360</v>
      </c>
      <c r="B3" s="195" t="s">
        <v>138</v>
      </c>
      <c r="C3" s="42" t="s">
        <v>138</v>
      </c>
      <c r="D3" s="42" t="s">
        <v>138</v>
      </c>
      <c r="E3" s="42" t="s">
        <v>138</v>
      </c>
      <c r="F3" s="42" t="s">
        <v>138</v>
      </c>
      <c r="G3" s="42" t="s">
        <v>138</v>
      </c>
      <c r="H3" s="42" t="s">
        <v>138</v>
      </c>
      <c r="I3" s="42" t="s">
        <v>138</v>
      </c>
      <c r="J3" s="42" t="s">
        <v>138</v>
      </c>
      <c r="K3" s="42" t="s">
        <v>138</v>
      </c>
      <c r="L3" s="42" t="s">
        <v>138</v>
      </c>
      <c r="M3" s="42" t="s">
        <v>138</v>
      </c>
      <c r="N3" s="42" t="s">
        <v>138</v>
      </c>
      <c r="O3" s="42" t="s">
        <v>138</v>
      </c>
      <c r="P3" s="42" t="s">
        <v>138</v>
      </c>
      <c r="Q3" s="42" t="s">
        <v>138</v>
      </c>
      <c r="R3" s="42" t="s">
        <v>138</v>
      </c>
      <c r="S3" s="42" t="s">
        <v>138</v>
      </c>
      <c r="T3" s="42" t="s">
        <v>138</v>
      </c>
      <c r="U3" s="42" t="s">
        <v>138</v>
      </c>
      <c r="V3" s="42" t="s">
        <v>138</v>
      </c>
      <c r="W3" s="42" t="s">
        <v>138</v>
      </c>
      <c r="X3" s="42" t="s">
        <v>138</v>
      </c>
      <c r="Y3" s="42" t="s">
        <v>138</v>
      </c>
      <c r="Z3" s="42" t="s">
        <v>138</v>
      </c>
      <c r="AA3" s="42" t="s">
        <v>138</v>
      </c>
      <c r="AB3" s="42" t="s">
        <v>138</v>
      </c>
      <c r="AC3" s="42" t="s">
        <v>138</v>
      </c>
      <c r="AD3" s="42" t="s">
        <v>138</v>
      </c>
      <c r="AE3" s="42" t="s">
        <v>138</v>
      </c>
      <c r="AF3" s="42" t="s">
        <v>138</v>
      </c>
      <c r="AG3" s="42" t="s">
        <v>138</v>
      </c>
      <c r="AH3" s="42" t="s">
        <v>138</v>
      </c>
      <c r="AI3" s="42" t="s">
        <v>138</v>
      </c>
      <c r="AJ3" s="42" t="s">
        <v>138</v>
      </c>
      <c r="AK3" s="42" t="s">
        <v>138</v>
      </c>
      <c r="AL3" s="42" t="s">
        <v>138</v>
      </c>
      <c r="AM3" s="42" t="s">
        <v>138</v>
      </c>
      <c r="AN3" s="42" t="s">
        <v>138</v>
      </c>
      <c r="AO3" s="42" t="s">
        <v>138</v>
      </c>
      <c r="AP3" s="42" t="s">
        <v>138</v>
      </c>
      <c r="AQ3" s="42" t="s">
        <v>138</v>
      </c>
      <c r="AR3" s="42" t="s">
        <v>138</v>
      </c>
      <c r="AS3" s="42" t="s">
        <v>138</v>
      </c>
      <c r="AT3" s="42" t="s">
        <v>138</v>
      </c>
      <c r="AU3" s="42" t="s">
        <v>138</v>
      </c>
      <c r="AV3" s="42" t="s">
        <v>138</v>
      </c>
      <c r="AW3" s="42" t="s">
        <v>138</v>
      </c>
      <c r="AX3" s="42" t="s">
        <v>138</v>
      </c>
      <c r="AY3" s="42" t="s">
        <v>138</v>
      </c>
      <c r="AZ3" s="42" t="s">
        <v>138</v>
      </c>
      <c r="BA3" s="42" t="s">
        <v>138</v>
      </c>
      <c r="BB3" s="42" t="s">
        <v>138</v>
      </c>
      <c r="BC3" s="42" t="s">
        <v>138</v>
      </c>
      <c r="BD3" s="42" t="s">
        <v>138</v>
      </c>
      <c r="BE3" s="42" t="s">
        <v>138</v>
      </c>
      <c r="BF3" s="42" t="s">
        <v>138</v>
      </c>
      <c r="BG3" s="42" t="s">
        <v>138</v>
      </c>
      <c r="BH3" s="42" t="s">
        <v>138</v>
      </c>
      <c r="BI3" s="42" t="s">
        <v>138</v>
      </c>
      <c r="BJ3" s="42" t="s">
        <v>138</v>
      </c>
      <c r="BK3" s="42" t="s">
        <v>138</v>
      </c>
      <c r="BL3" s="42" t="s">
        <v>138</v>
      </c>
      <c r="BM3" s="42" t="s">
        <v>138</v>
      </c>
      <c r="BN3" s="42" t="s">
        <v>138</v>
      </c>
      <c r="BO3" s="42" t="s">
        <v>138</v>
      </c>
      <c r="BP3" s="42" t="s">
        <v>138</v>
      </c>
      <c r="BQ3" s="42" t="s">
        <v>138</v>
      </c>
      <c r="BR3" s="42" t="s">
        <v>138</v>
      </c>
      <c r="BS3" s="42" t="s">
        <v>138</v>
      </c>
      <c r="BT3" s="42" t="s">
        <v>138</v>
      </c>
      <c r="BU3" s="42" t="s">
        <v>138</v>
      </c>
      <c r="BV3" s="42" t="s">
        <v>138</v>
      </c>
      <c r="BW3" s="42" t="s">
        <v>138</v>
      </c>
      <c r="BX3" s="42" t="s">
        <v>138</v>
      </c>
      <c r="BY3" s="42" t="s">
        <v>138</v>
      </c>
      <c r="BZ3" s="42" t="s">
        <v>138</v>
      </c>
      <c r="CA3" s="42" t="s">
        <v>138</v>
      </c>
      <c r="CB3" s="42" t="s">
        <v>138</v>
      </c>
      <c r="CC3" s="42" t="s">
        <v>138</v>
      </c>
      <c r="CD3" s="42" t="s">
        <v>138</v>
      </c>
      <c r="CE3" s="42" t="s">
        <v>138</v>
      </c>
      <c r="CF3" s="42" t="s">
        <v>138</v>
      </c>
      <c r="CG3" s="42" t="s">
        <v>138</v>
      </c>
      <c r="CH3" s="42" t="s">
        <v>138</v>
      </c>
      <c r="CI3" s="42" t="s">
        <v>138</v>
      </c>
      <c r="CJ3" s="42" t="s">
        <v>138</v>
      </c>
      <c r="CK3" s="42" t="s">
        <v>138</v>
      </c>
      <c r="CL3" s="42" t="s">
        <v>138</v>
      </c>
      <c r="CM3" s="42" t="s">
        <v>138</v>
      </c>
      <c r="CN3" s="42" t="s">
        <v>138</v>
      </c>
      <c r="CO3" s="42" t="s">
        <v>138</v>
      </c>
      <c r="CP3" s="42" t="s">
        <v>138</v>
      </c>
      <c r="CQ3" s="42" t="s">
        <v>138</v>
      </c>
      <c r="CR3" s="42" t="s">
        <v>138</v>
      </c>
      <c r="CS3" s="42" t="s">
        <v>138</v>
      </c>
      <c r="CT3" s="42" t="s">
        <v>138</v>
      </c>
      <c r="CU3" s="42" t="s">
        <v>138</v>
      </c>
      <c r="CV3" s="42" t="s">
        <v>138</v>
      </c>
      <c r="CW3" s="42" t="s">
        <v>138</v>
      </c>
      <c r="CX3" s="42" t="s">
        <v>138</v>
      </c>
    </row>
    <row r="4" spans="1:102" s="3" customFormat="1" ht="17.25" thickBot="1" x14ac:dyDescent="0.2">
      <c r="A4" s="3" t="s">
        <v>63</v>
      </c>
      <c r="B4" s="196"/>
      <c r="C4" s="46" t="s">
        <v>70</v>
      </c>
      <c r="D4" s="46" t="s">
        <v>70</v>
      </c>
      <c r="E4" s="46" t="s">
        <v>70</v>
      </c>
      <c r="F4" s="46" t="s">
        <v>70</v>
      </c>
      <c r="G4" s="46" t="s">
        <v>70</v>
      </c>
      <c r="H4" s="46" t="s">
        <v>70</v>
      </c>
      <c r="I4" s="46" t="s">
        <v>70</v>
      </c>
      <c r="J4" s="46" t="s">
        <v>70</v>
      </c>
      <c r="K4" s="46" t="s">
        <v>70</v>
      </c>
      <c r="L4" s="46" t="s">
        <v>70</v>
      </c>
      <c r="M4" s="46" t="s">
        <v>70</v>
      </c>
      <c r="N4" s="46" t="s">
        <v>70</v>
      </c>
      <c r="O4" s="46" t="s">
        <v>70</v>
      </c>
      <c r="P4" s="46" t="s">
        <v>70</v>
      </c>
      <c r="Q4" s="46" t="s">
        <v>70</v>
      </c>
      <c r="R4" s="46" t="s">
        <v>70</v>
      </c>
      <c r="S4" s="46" t="s">
        <v>70</v>
      </c>
      <c r="T4" s="46" t="s">
        <v>70</v>
      </c>
      <c r="U4" s="46" t="s">
        <v>70</v>
      </c>
      <c r="V4" s="46" t="s">
        <v>70</v>
      </c>
      <c r="W4" s="46" t="s">
        <v>70</v>
      </c>
      <c r="X4" s="46" t="s">
        <v>70</v>
      </c>
      <c r="Y4" s="46" t="s">
        <v>70</v>
      </c>
      <c r="Z4" s="46" t="s">
        <v>70</v>
      </c>
      <c r="AA4" s="46" t="s">
        <v>70</v>
      </c>
      <c r="AB4" s="46" t="s">
        <v>70</v>
      </c>
      <c r="AC4" s="46" t="s">
        <v>70</v>
      </c>
      <c r="AD4" s="46" t="s">
        <v>70</v>
      </c>
      <c r="AE4" s="46" t="s">
        <v>70</v>
      </c>
      <c r="AF4" s="46" t="s">
        <v>70</v>
      </c>
      <c r="AG4" s="46" t="s">
        <v>70</v>
      </c>
      <c r="AH4" s="46" t="s">
        <v>70</v>
      </c>
      <c r="AI4" s="46" t="s">
        <v>70</v>
      </c>
      <c r="AJ4" s="46" t="s">
        <v>70</v>
      </c>
      <c r="AK4" s="46" t="s">
        <v>70</v>
      </c>
      <c r="AL4" s="46" t="s">
        <v>70</v>
      </c>
      <c r="AM4" s="46" t="s">
        <v>70</v>
      </c>
      <c r="AN4" s="46" t="s">
        <v>70</v>
      </c>
      <c r="AO4" s="46" t="s">
        <v>70</v>
      </c>
      <c r="AP4" s="46" t="s">
        <v>70</v>
      </c>
      <c r="AQ4" s="46" t="s">
        <v>70</v>
      </c>
      <c r="AR4" s="46" t="s">
        <v>70</v>
      </c>
      <c r="AS4" s="46" t="s">
        <v>70</v>
      </c>
      <c r="AT4" s="46" t="s">
        <v>70</v>
      </c>
      <c r="AU4" s="46" t="s">
        <v>70</v>
      </c>
      <c r="AV4" s="46" t="s">
        <v>70</v>
      </c>
      <c r="AW4" s="46" t="s">
        <v>70</v>
      </c>
      <c r="AX4" s="46" t="s">
        <v>70</v>
      </c>
      <c r="AY4" s="46" t="s">
        <v>70</v>
      </c>
      <c r="AZ4" s="46" t="s">
        <v>70</v>
      </c>
      <c r="BA4" s="46" t="s">
        <v>70</v>
      </c>
      <c r="BB4" s="46" t="s">
        <v>70</v>
      </c>
      <c r="BC4" s="46" t="s">
        <v>70</v>
      </c>
      <c r="BD4" s="46" t="s">
        <v>70</v>
      </c>
      <c r="BE4" s="46" t="s">
        <v>70</v>
      </c>
      <c r="BF4" s="46" t="s">
        <v>70</v>
      </c>
      <c r="BG4" s="46" t="s">
        <v>70</v>
      </c>
      <c r="BH4" s="46" t="s">
        <v>70</v>
      </c>
      <c r="BI4" s="46" t="s">
        <v>70</v>
      </c>
      <c r="BJ4" s="46" t="s">
        <v>70</v>
      </c>
      <c r="BK4" s="46" t="s">
        <v>70</v>
      </c>
      <c r="BL4" s="46" t="s">
        <v>70</v>
      </c>
      <c r="BM4" s="46" t="s">
        <v>70</v>
      </c>
      <c r="BN4" s="46" t="s">
        <v>70</v>
      </c>
      <c r="BO4" s="46" t="s">
        <v>70</v>
      </c>
      <c r="BP4" s="46" t="s">
        <v>70</v>
      </c>
      <c r="BQ4" s="46" t="s">
        <v>70</v>
      </c>
      <c r="BR4" s="46" t="s">
        <v>70</v>
      </c>
      <c r="BS4" s="46" t="s">
        <v>70</v>
      </c>
      <c r="BT4" s="46" t="s">
        <v>70</v>
      </c>
      <c r="BU4" s="46" t="s">
        <v>70</v>
      </c>
      <c r="BV4" s="46" t="s">
        <v>70</v>
      </c>
      <c r="BW4" s="46" t="s">
        <v>70</v>
      </c>
      <c r="BX4" s="46" t="s">
        <v>70</v>
      </c>
      <c r="BY4" s="46" t="s">
        <v>70</v>
      </c>
      <c r="BZ4" s="46" t="s">
        <v>70</v>
      </c>
      <c r="CA4" s="46" t="s">
        <v>70</v>
      </c>
      <c r="CB4" s="46" t="s">
        <v>70</v>
      </c>
      <c r="CC4" s="46" t="s">
        <v>70</v>
      </c>
      <c r="CD4" s="46" t="s">
        <v>70</v>
      </c>
      <c r="CE4" s="46" t="s">
        <v>70</v>
      </c>
      <c r="CF4" s="46" t="s">
        <v>70</v>
      </c>
      <c r="CG4" s="46" t="s">
        <v>70</v>
      </c>
      <c r="CH4" s="46" t="s">
        <v>70</v>
      </c>
      <c r="CI4" s="46" t="s">
        <v>70</v>
      </c>
      <c r="CJ4" s="46" t="s">
        <v>70</v>
      </c>
      <c r="CK4" s="46" t="s">
        <v>70</v>
      </c>
      <c r="CL4" s="46" t="s">
        <v>70</v>
      </c>
      <c r="CM4" s="46" t="s">
        <v>70</v>
      </c>
      <c r="CN4" s="46" t="s">
        <v>70</v>
      </c>
      <c r="CO4" s="46" t="s">
        <v>70</v>
      </c>
      <c r="CP4" s="46" t="s">
        <v>70</v>
      </c>
      <c r="CQ4" s="46" t="s">
        <v>70</v>
      </c>
      <c r="CR4" s="46" t="s">
        <v>70</v>
      </c>
      <c r="CS4" s="46" t="s">
        <v>70</v>
      </c>
      <c r="CT4" s="46" t="s">
        <v>70</v>
      </c>
      <c r="CU4" s="46" t="s">
        <v>70</v>
      </c>
      <c r="CV4" s="46" t="s">
        <v>70</v>
      </c>
      <c r="CW4" s="46" t="s">
        <v>70</v>
      </c>
      <c r="CX4" s="46" t="s">
        <v>70</v>
      </c>
    </row>
    <row r="5" spans="1:102" s="9" customFormat="1" x14ac:dyDescent="0.15">
      <c r="A5" s="9">
        <f>SHIP_MOD_TECH!A5</f>
        <v>11010101</v>
      </c>
      <c r="B5" s="197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45"/>
    </row>
    <row r="6" spans="1:102" s="3" customFormat="1" x14ac:dyDescent="0.15">
      <c r="A6" s="3">
        <f>SHIP_MOD_TECH!A6</f>
        <v>11010102</v>
      </c>
      <c r="B6" s="19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</row>
    <row r="7" spans="1:102" s="3" customFormat="1" x14ac:dyDescent="0.15">
      <c r="A7" s="3">
        <f>SHIP_MOD_TECH!A7</f>
        <v>11010103</v>
      </c>
      <c r="B7" s="19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</row>
    <row r="8" spans="1:102" s="3" customFormat="1" x14ac:dyDescent="0.15">
      <c r="A8" s="3">
        <f>SHIP_MOD_TECH!A8</f>
        <v>11010104</v>
      </c>
      <c r="B8" s="19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</row>
    <row r="9" spans="1:102" s="3" customFormat="1" ht="17.25" thickBot="1" x14ac:dyDescent="0.2">
      <c r="A9" s="3">
        <f>SHIP_MOD_TECH!A9</f>
        <v>11010105</v>
      </c>
      <c r="B9" s="19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</row>
    <row r="10" spans="1:102" s="9" customFormat="1" x14ac:dyDescent="0.15">
      <c r="A10" s="9">
        <f>SHIP_MOD_TECH!A10</f>
        <v>11020101</v>
      </c>
      <c r="B10" s="197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</row>
    <row r="11" spans="1:102" s="3" customFormat="1" x14ac:dyDescent="0.15">
      <c r="A11" s="3">
        <f>SHIP_MOD_TECH!A11</f>
        <v>11020102</v>
      </c>
      <c r="B11" s="19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</row>
    <row r="12" spans="1:102" s="3" customFormat="1" x14ac:dyDescent="0.15">
      <c r="A12" s="3">
        <f>SHIP_MOD_TECH!A12</f>
        <v>11020103</v>
      </c>
      <c r="B12" s="19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</row>
    <row r="13" spans="1:102" s="3" customFormat="1" x14ac:dyDescent="0.15">
      <c r="A13" s="3">
        <f>SHIP_MOD_TECH!A13</f>
        <v>11020104</v>
      </c>
      <c r="B13" s="19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</row>
    <row r="14" spans="1:102" s="13" customFormat="1" ht="17.25" thickBot="1" x14ac:dyDescent="0.2">
      <c r="A14" s="13">
        <f>SHIP_MOD_TECH!A14</f>
        <v>11020105</v>
      </c>
      <c r="B14" s="198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</row>
    <row r="15" spans="1:102" s="9" customFormat="1" x14ac:dyDescent="0.15">
      <c r="A15" s="9">
        <f>SHIP_MOD_TECH!A15</f>
        <v>11030101</v>
      </c>
      <c r="B15" s="197">
        <v>3</v>
      </c>
      <c r="C15" s="45">
        <v>21110401</v>
      </c>
      <c r="D15" s="45">
        <v>21120401</v>
      </c>
      <c r="E15" s="45">
        <v>21130101</v>
      </c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45"/>
    </row>
    <row r="16" spans="1:102" s="3" customFormat="1" x14ac:dyDescent="0.15">
      <c r="A16" s="3">
        <f>SHIP_MOD_TECH!A16</f>
        <v>11030102</v>
      </c>
      <c r="B16" s="19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</row>
    <row r="17" spans="1:102" s="3" customFormat="1" x14ac:dyDescent="0.15">
      <c r="A17" s="3">
        <f>SHIP_MOD_TECH!A17</f>
        <v>11030103</v>
      </c>
      <c r="B17" s="19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</row>
    <row r="18" spans="1:102" s="3" customFormat="1" x14ac:dyDescent="0.15">
      <c r="A18" s="3">
        <f>SHIP_MOD_TECH!A18</f>
        <v>11030104</v>
      </c>
      <c r="B18" s="19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</row>
    <row r="19" spans="1:102" s="3" customFormat="1" ht="17.25" thickBot="1" x14ac:dyDescent="0.2">
      <c r="A19" s="3">
        <f>SHIP_MOD_TECH!A19</f>
        <v>11030105</v>
      </c>
      <c r="B19" s="19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</row>
    <row r="20" spans="1:102" s="9" customFormat="1" x14ac:dyDescent="0.15">
      <c r="A20" s="9">
        <f>SHIP_MOD_TECH!A20</f>
        <v>11030201</v>
      </c>
      <c r="B20" s="197">
        <v>3</v>
      </c>
      <c r="C20" s="45">
        <v>21110401</v>
      </c>
      <c r="D20" s="45">
        <v>21120401</v>
      </c>
      <c r="E20" s="45">
        <v>21130101</v>
      </c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  <c r="CM20" s="45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5"/>
    </row>
    <row r="21" spans="1:102" s="3" customFormat="1" x14ac:dyDescent="0.15">
      <c r="A21" s="3">
        <f>SHIP_MOD_TECH!A21</f>
        <v>11030202</v>
      </c>
      <c r="B21" s="19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</row>
    <row r="22" spans="1:102" s="3" customFormat="1" x14ac:dyDescent="0.15">
      <c r="A22" s="3">
        <f>SHIP_MOD_TECH!A22</f>
        <v>11030203</v>
      </c>
      <c r="B22" s="19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</row>
    <row r="23" spans="1:102" s="3" customFormat="1" x14ac:dyDescent="0.15">
      <c r="A23" s="3">
        <f>SHIP_MOD_TECH!A23</f>
        <v>11030204</v>
      </c>
      <c r="B23" s="19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</row>
    <row r="24" spans="1:102" s="3" customFormat="1" ht="17.25" thickBot="1" x14ac:dyDescent="0.2">
      <c r="A24" s="3">
        <f>SHIP_MOD_TECH!A24</f>
        <v>11030205</v>
      </c>
      <c r="B24" s="19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</row>
    <row r="25" spans="1:102" s="9" customFormat="1" x14ac:dyDescent="0.15">
      <c r="A25" s="9">
        <f>SHIP_MOD_TECH!A25</f>
        <v>11040101</v>
      </c>
      <c r="B25" s="197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45"/>
      <c r="BZ25" s="45"/>
      <c r="CA25" s="45"/>
      <c r="CB25" s="45"/>
      <c r="CC25" s="45"/>
      <c r="CD25" s="45"/>
      <c r="CE25" s="45"/>
      <c r="CF25" s="45"/>
      <c r="CG25" s="45"/>
      <c r="CH25" s="45"/>
      <c r="CI25" s="45"/>
      <c r="CJ25" s="45"/>
      <c r="CK25" s="45"/>
      <c r="CL25" s="45"/>
      <c r="CM25" s="45"/>
      <c r="CN25" s="45"/>
      <c r="CO25" s="45"/>
      <c r="CP25" s="45"/>
      <c r="CQ25" s="45"/>
      <c r="CR25" s="45"/>
      <c r="CS25" s="45"/>
      <c r="CT25" s="45"/>
      <c r="CU25" s="45"/>
      <c r="CV25" s="45"/>
      <c r="CW25" s="45"/>
      <c r="CX25" s="45"/>
    </row>
    <row r="26" spans="1:102" s="3" customFormat="1" x14ac:dyDescent="0.15">
      <c r="A26" s="3">
        <f>SHIP_MOD_TECH!A26</f>
        <v>11040102</v>
      </c>
      <c r="B26" s="19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</row>
    <row r="27" spans="1:102" s="3" customFormat="1" x14ac:dyDescent="0.15">
      <c r="A27" s="3">
        <f>SHIP_MOD_TECH!A27</f>
        <v>11040103</v>
      </c>
      <c r="B27" s="19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</row>
    <row r="28" spans="1:102" s="3" customFormat="1" x14ac:dyDescent="0.15">
      <c r="A28" s="3">
        <f>SHIP_MOD_TECH!A28</f>
        <v>11040104</v>
      </c>
      <c r="B28" s="19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</row>
    <row r="29" spans="1:102" s="13" customFormat="1" ht="17.25" thickBot="1" x14ac:dyDescent="0.2">
      <c r="A29" s="13">
        <f>SHIP_MOD_TECH!A29</f>
        <v>11040105</v>
      </c>
      <c r="B29" s="198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</row>
    <row r="30" spans="1:102" s="3" customFormat="1" x14ac:dyDescent="0.15">
      <c r="A30" s="3">
        <f>SHIP_MOD_TECH!A30</f>
        <v>11050101</v>
      </c>
      <c r="B30" s="196">
        <v>3</v>
      </c>
      <c r="C30" s="46">
        <v>21210101</v>
      </c>
      <c r="D30" s="46">
        <v>21220101</v>
      </c>
      <c r="E30" s="46">
        <v>21230101</v>
      </c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</row>
    <row r="31" spans="1:102" s="3" customFormat="1" x14ac:dyDescent="0.15">
      <c r="A31" s="3">
        <f>SHIP_MOD_TECH!A31</f>
        <v>11050102</v>
      </c>
      <c r="B31" s="19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</row>
    <row r="32" spans="1:102" s="3" customFormat="1" x14ac:dyDescent="0.15">
      <c r="A32" s="3">
        <f>SHIP_MOD_TECH!A32</f>
        <v>11050103</v>
      </c>
      <c r="B32" s="19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</row>
    <row r="33" spans="1:102" s="3" customFormat="1" x14ac:dyDescent="0.15">
      <c r="A33" s="3">
        <f>SHIP_MOD_TECH!A33</f>
        <v>11050104</v>
      </c>
      <c r="B33" s="19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</row>
    <row r="34" spans="1:102" s="3" customFormat="1" ht="17.25" thickBot="1" x14ac:dyDescent="0.2">
      <c r="A34" s="13">
        <f>SHIP_MOD_TECH!A34</f>
        <v>11050105</v>
      </c>
      <c r="B34" s="19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</row>
    <row r="35" spans="1:102" s="9" customFormat="1" x14ac:dyDescent="0.15">
      <c r="A35" s="9">
        <f>SHIP_MOD_TECH!A35</f>
        <v>11060101</v>
      </c>
      <c r="B35" s="197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45"/>
      <c r="BE35" s="45"/>
      <c r="BF35" s="45"/>
      <c r="BG35" s="45"/>
      <c r="BH35" s="45"/>
      <c r="BI35" s="45"/>
      <c r="BJ35" s="45"/>
      <c r="BK35" s="45"/>
      <c r="BL35" s="45"/>
      <c r="BM35" s="45"/>
      <c r="BN35" s="45"/>
      <c r="BO35" s="45"/>
      <c r="BP35" s="45"/>
      <c r="BQ35" s="45"/>
      <c r="BR35" s="45"/>
      <c r="BS35" s="45"/>
      <c r="BT35" s="45"/>
      <c r="BU35" s="45"/>
      <c r="BV35" s="45"/>
      <c r="BW35" s="45"/>
      <c r="BX35" s="45"/>
      <c r="BY35" s="45"/>
      <c r="BZ35" s="45"/>
      <c r="CA35" s="45"/>
      <c r="CB35" s="45"/>
      <c r="CC35" s="45"/>
      <c r="CD35" s="45"/>
      <c r="CE35" s="45"/>
      <c r="CF35" s="45"/>
      <c r="CG35" s="45"/>
      <c r="CH35" s="45"/>
      <c r="CI35" s="45"/>
      <c r="CJ35" s="45"/>
      <c r="CK35" s="45"/>
      <c r="CL35" s="45"/>
      <c r="CM35" s="45"/>
      <c r="CN35" s="45"/>
      <c r="CO35" s="45"/>
      <c r="CP35" s="45"/>
      <c r="CQ35" s="45"/>
      <c r="CR35" s="45"/>
      <c r="CS35" s="45"/>
      <c r="CT35" s="45"/>
      <c r="CU35" s="45"/>
      <c r="CV35" s="45"/>
      <c r="CW35" s="45"/>
      <c r="CX35" s="45"/>
    </row>
    <row r="36" spans="1:102" s="3" customFormat="1" x14ac:dyDescent="0.15">
      <c r="A36" s="3">
        <f>SHIP_MOD_TECH!A36</f>
        <v>11060102</v>
      </c>
      <c r="B36" s="19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</row>
    <row r="37" spans="1:102" s="3" customFormat="1" x14ac:dyDescent="0.15">
      <c r="A37" s="3">
        <f>SHIP_MOD_TECH!A37</f>
        <v>11060103</v>
      </c>
      <c r="B37" s="19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46"/>
      <c r="BZ37" s="46"/>
      <c r="CA37" s="46"/>
      <c r="CB37" s="46"/>
      <c r="CC37" s="46"/>
      <c r="CD37" s="46"/>
      <c r="CE37" s="46"/>
      <c r="CF37" s="46"/>
      <c r="CG37" s="46"/>
      <c r="CH37" s="46"/>
      <c r="CI37" s="46"/>
      <c r="CJ37" s="46"/>
      <c r="CK37" s="46"/>
      <c r="CL37" s="46"/>
      <c r="CM37" s="46"/>
      <c r="CN37" s="46"/>
      <c r="CO37" s="46"/>
      <c r="CP37" s="46"/>
      <c r="CQ37" s="46"/>
      <c r="CR37" s="46"/>
      <c r="CS37" s="46"/>
      <c r="CT37" s="46"/>
      <c r="CU37" s="46"/>
      <c r="CV37" s="46"/>
      <c r="CW37" s="46"/>
      <c r="CX37" s="46"/>
    </row>
    <row r="38" spans="1:102" s="3" customFormat="1" x14ac:dyDescent="0.15">
      <c r="A38" s="3">
        <f>SHIP_MOD_TECH!A38</f>
        <v>11060104</v>
      </c>
      <c r="B38" s="19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46"/>
      <c r="BN38" s="46"/>
      <c r="BO38" s="46"/>
      <c r="BP38" s="46"/>
      <c r="BQ38" s="46"/>
      <c r="BR38" s="46"/>
      <c r="BS38" s="46"/>
      <c r="BT38" s="46"/>
      <c r="BU38" s="46"/>
      <c r="BV38" s="46"/>
      <c r="BW38" s="46"/>
      <c r="BX38" s="46"/>
      <c r="BY38" s="46"/>
      <c r="BZ38" s="46"/>
      <c r="CA38" s="46"/>
      <c r="CB38" s="46"/>
      <c r="CC38" s="46"/>
      <c r="CD38" s="46"/>
      <c r="CE38" s="46"/>
      <c r="CF38" s="46"/>
      <c r="CG38" s="46"/>
      <c r="CH38" s="46"/>
      <c r="CI38" s="46"/>
      <c r="CJ38" s="46"/>
      <c r="CK38" s="46"/>
      <c r="CL38" s="46"/>
      <c r="CM38" s="46"/>
      <c r="CN38" s="46"/>
      <c r="CO38" s="46"/>
      <c r="CP38" s="46"/>
      <c r="CQ38" s="46"/>
      <c r="CR38" s="46"/>
      <c r="CS38" s="46"/>
      <c r="CT38" s="46"/>
      <c r="CU38" s="46"/>
      <c r="CV38" s="46"/>
      <c r="CW38" s="46"/>
      <c r="CX38" s="46"/>
    </row>
    <row r="39" spans="1:102" s="13" customFormat="1" ht="17.25" thickBot="1" x14ac:dyDescent="0.2">
      <c r="A39" s="13">
        <f>SHIP_MOD_TECH!A39</f>
        <v>11060105</v>
      </c>
      <c r="B39" s="198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</row>
    <row r="40" spans="1:102" s="3" customFormat="1" x14ac:dyDescent="0.15">
      <c r="A40" s="9">
        <f>SHIP_MOD_TECH!A40</f>
        <v>11070101</v>
      </c>
      <c r="B40" s="19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46"/>
      <c r="BX40" s="46"/>
      <c r="BY40" s="46"/>
      <c r="BZ40" s="46"/>
      <c r="CA40" s="46"/>
      <c r="CB40" s="46"/>
      <c r="CC40" s="46"/>
      <c r="CD40" s="46"/>
      <c r="CE40" s="46"/>
      <c r="CF40" s="46"/>
      <c r="CG40" s="46"/>
      <c r="CH40" s="46"/>
      <c r="CI40" s="46"/>
      <c r="CJ40" s="46"/>
      <c r="CK40" s="46"/>
      <c r="CL40" s="46"/>
      <c r="CM40" s="46"/>
      <c r="CN40" s="46"/>
      <c r="CO40" s="46"/>
      <c r="CP40" s="46"/>
      <c r="CQ40" s="46"/>
      <c r="CR40" s="46"/>
      <c r="CS40" s="46"/>
      <c r="CT40" s="46"/>
      <c r="CU40" s="46"/>
      <c r="CV40" s="46"/>
      <c r="CW40" s="46"/>
      <c r="CX40" s="46"/>
    </row>
    <row r="41" spans="1:102" s="3" customFormat="1" x14ac:dyDescent="0.15">
      <c r="A41" s="3">
        <f>SHIP_MOD_TECH!A41</f>
        <v>11070102</v>
      </c>
      <c r="B41" s="19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</row>
    <row r="42" spans="1:102" s="3" customFormat="1" x14ac:dyDescent="0.15">
      <c r="A42" s="3">
        <f>SHIP_MOD_TECH!A42</f>
        <v>11070103</v>
      </c>
      <c r="B42" s="19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46"/>
      <c r="BZ42" s="46"/>
      <c r="CA42" s="46"/>
      <c r="CB42" s="46"/>
      <c r="CC42" s="46"/>
      <c r="CD42" s="46"/>
      <c r="CE42" s="46"/>
      <c r="CF42" s="46"/>
      <c r="CG42" s="46"/>
      <c r="CH42" s="46"/>
      <c r="CI42" s="46"/>
      <c r="CJ42" s="46"/>
      <c r="CK42" s="46"/>
      <c r="CL42" s="46"/>
      <c r="CM42" s="46"/>
      <c r="CN42" s="46"/>
      <c r="CO42" s="46"/>
      <c r="CP42" s="46"/>
      <c r="CQ42" s="46"/>
      <c r="CR42" s="46"/>
      <c r="CS42" s="46"/>
      <c r="CT42" s="46"/>
      <c r="CU42" s="46"/>
      <c r="CV42" s="46"/>
      <c r="CW42" s="46"/>
      <c r="CX42" s="46"/>
    </row>
    <row r="43" spans="1:102" s="3" customFormat="1" x14ac:dyDescent="0.15">
      <c r="A43" s="3">
        <f>SHIP_MOD_TECH!A43</f>
        <v>11070104</v>
      </c>
      <c r="B43" s="19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  <c r="CW43" s="46"/>
      <c r="CX43" s="46"/>
    </row>
    <row r="44" spans="1:102" s="3" customFormat="1" ht="17.25" thickBot="1" x14ac:dyDescent="0.2">
      <c r="A44" s="13">
        <f>SHIP_MOD_TECH!A44</f>
        <v>11070105</v>
      </c>
      <c r="B44" s="19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46"/>
      <c r="BX44" s="46"/>
      <c r="BY44" s="46"/>
      <c r="BZ44" s="46"/>
      <c r="CA44" s="46"/>
      <c r="CB44" s="46"/>
      <c r="CC44" s="46"/>
      <c r="CD44" s="46"/>
      <c r="CE44" s="46"/>
      <c r="CF44" s="46"/>
      <c r="CG44" s="46"/>
      <c r="CH44" s="46"/>
      <c r="CI44" s="46"/>
      <c r="CJ44" s="46"/>
      <c r="CK44" s="46"/>
      <c r="CL44" s="46"/>
      <c r="CM44" s="46"/>
      <c r="CN44" s="46"/>
      <c r="CO44" s="46"/>
      <c r="CP44" s="46"/>
      <c r="CQ44" s="46"/>
      <c r="CR44" s="46"/>
      <c r="CS44" s="46"/>
      <c r="CT44" s="46"/>
      <c r="CU44" s="46"/>
      <c r="CV44" s="46"/>
      <c r="CW44" s="46"/>
      <c r="CX44" s="46"/>
    </row>
    <row r="45" spans="1:102" s="9" customFormat="1" x14ac:dyDescent="0.15">
      <c r="A45" s="9">
        <f>SHIP_MOD_TECH!A45</f>
        <v>11080101</v>
      </c>
      <c r="B45" s="197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  <c r="BZ45" s="45"/>
      <c r="CA45" s="45"/>
      <c r="CB45" s="45"/>
      <c r="CC45" s="45"/>
      <c r="CD45" s="45"/>
      <c r="CE45" s="45"/>
      <c r="CF45" s="45"/>
      <c r="CG45" s="45"/>
      <c r="CH45" s="45"/>
      <c r="CI45" s="45"/>
      <c r="CJ45" s="45"/>
      <c r="CK45" s="45"/>
      <c r="CL45" s="45"/>
      <c r="CM45" s="45"/>
      <c r="CN45" s="45"/>
      <c r="CO45" s="45"/>
      <c r="CP45" s="45"/>
      <c r="CQ45" s="45"/>
      <c r="CR45" s="45"/>
      <c r="CS45" s="45"/>
      <c r="CT45" s="45"/>
      <c r="CU45" s="45"/>
      <c r="CV45" s="45"/>
      <c r="CW45" s="45"/>
      <c r="CX45" s="45"/>
    </row>
    <row r="46" spans="1:102" s="3" customFormat="1" x14ac:dyDescent="0.15">
      <c r="A46" s="3">
        <f>SHIP_MOD_TECH!A46</f>
        <v>11080102</v>
      </c>
      <c r="B46" s="19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46"/>
      <c r="BX46" s="46"/>
      <c r="BY46" s="46"/>
      <c r="BZ46" s="46"/>
      <c r="CA46" s="46"/>
      <c r="CB46" s="46"/>
      <c r="CC46" s="46"/>
      <c r="CD46" s="46"/>
      <c r="CE46" s="46"/>
      <c r="CF46" s="46"/>
      <c r="CG46" s="46"/>
      <c r="CH46" s="46"/>
      <c r="CI46" s="46"/>
      <c r="CJ46" s="46"/>
      <c r="CK46" s="46"/>
      <c r="CL46" s="46"/>
      <c r="CM46" s="46"/>
      <c r="CN46" s="46"/>
      <c r="CO46" s="46"/>
      <c r="CP46" s="46"/>
      <c r="CQ46" s="46"/>
      <c r="CR46" s="46"/>
      <c r="CS46" s="46"/>
      <c r="CT46" s="46"/>
      <c r="CU46" s="46"/>
      <c r="CV46" s="46"/>
      <c r="CW46" s="46"/>
      <c r="CX46" s="46"/>
    </row>
    <row r="47" spans="1:102" s="3" customFormat="1" x14ac:dyDescent="0.15">
      <c r="A47" s="3">
        <f>SHIP_MOD_TECH!A47</f>
        <v>11080103</v>
      </c>
      <c r="B47" s="19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46"/>
      <c r="BX47" s="46"/>
      <c r="BY47" s="46"/>
      <c r="BZ47" s="46"/>
      <c r="CA47" s="46"/>
      <c r="CB47" s="46"/>
      <c r="CC47" s="46"/>
      <c r="CD47" s="46"/>
      <c r="CE47" s="46"/>
      <c r="CF47" s="46"/>
      <c r="CG47" s="46"/>
      <c r="CH47" s="46"/>
      <c r="CI47" s="46"/>
      <c r="CJ47" s="46"/>
      <c r="CK47" s="46"/>
      <c r="CL47" s="46"/>
      <c r="CM47" s="46"/>
      <c r="CN47" s="46"/>
      <c r="CO47" s="46"/>
      <c r="CP47" s="46"/>
      <c r="CQ47" s="46"/>
      <c r="CR47" s="46"/>
      <c r="CS47" s="46"/>
      <c r="CT47" s="46"/>
      <c r="CU47" s="46"/>
      <c r="CV47" s="46"/>
      <c r="CW47" s="46"/>
      <c r="CX47" s="46"/>
    </row>
    <row r="48" spans="1:102" s="3" customFormat="1" x14ac:dyDescent="0.15">
      <c r="A48" s="3">
        <f>SHIP_MOD_TECH!A48</f>
        <v>11080104</v>
      </c>
      <c r="B48" s="19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</row>
    <row r="49" spans="1:102" s="13" customFormat="1" ht="17.25" thickBot="1" x14ac:dyDescent="0.2">
      <c r="A49" s="13">
        <f>SHIP_MOD_TECH!A49</f>
        <v>11080105</v>
      </c>
      <c r="B49" s="198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</row>
    <row r="50" spans="1:102" s="3" customFormat="1" x14ac:dyDescent="0.15">
      <c r="A50" s="9">
        <f>SHIP_MOD_TECH!A50</f>
        <v>11090101</v>
      </c>
      <c r="B50" s="19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</row>
    <row r="51" spans="1:102" x14ac:dyDescent="0.15">
      <c r="A51" s="3">
        <f>SHIP_MOD_TECH!A51</f>
        <v>11090102</v>
      </c>
    </row>
    <row r="52" spans="1:102" x14ac:dyDescent="0.15">
      <c r="A52" s="3">
        <f>SHIP_MOD_TECH!A52</f>
        <v>11090103</v>
      </c>
    </row>
    <row r="53" spans="1:102" x14ac:dyDescent="0.15">
      <c r="A53" s="3">
        <f>SHIP_MOD_TECH!A53</f>
        <v>11090104</v>
      </c>
    </row>
    <row r="54" spans="1:102" s="3" customFormat="1" ht="17.25" thickBot="1" x14ac:dyDescent="0.2">
      <c r="A54" s="13">
        <f>SHIP_MOD_TECH!A54</f>
        <v>11090105</v>
      </c>
      <c r="B54" s="19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</row>
    <row r="55" spans="1:102" s="9" customFormat="1" x14ac:dyDescent="0.15">
      <c r="A55" s="9">
        <f>SHIP_MOD_TECH!A55</f>
        <v>11100101</v>
      </c>
      <c r="B55" s="197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  <c r="BE55" s="45"/>
      <c r="BF55" s="45"/>
      <c r="BG55" s="45"/>
      <c r="BH55" s="45"/>
      <c r="BI55" s="45"/>
      <c r="BJ55" s="45"/>
      <c r="BK55" s="45"/>
      <c r="BL55" s="45"/>
      <c r="BM55" s="45"/>
      <c r="BN55" s="45"/>
      <c r="BO55" s="45"/>
      <c r="BP55" s="45"/>
      <c r="BQ55" s="45"/>
      <c r="BR55" s="45"/>
      <c r="BS55" s="45"/>
      <c r="BT55" s="45"/>
      <c r="BU55" s="45"/>
      <c r="BV55" s="45"/>
      <c r="BW55" s="45"/>
      <c r="BX55" s="45"/>
      <c r="BY55" s="45"/>
      <c r="BZ55" s="45"/>
      <c r="CA55" s="45"/>
      <c r="CB55" s="45"/>
      <c r="CC55" s="45"/>
      <c r="CD55" s="45"/>
      <c r="CE55" s="45"/>
      <c r="CF55" s="45"/>
      <c r="CG55" s="45"/>
      <c r="CH55" s="45"/>
      <c r="CI55" s="45"/>
      <c r="CJ55" s="45"/>
      <c r="CK55" s="45"/>
      <c r="CL55" s="45"/>
      <c r="CM55" s="45"/>
      <c r="CN55" s="45"/>
      <c r="CO55" s="45"/>
      <c r="CP55" s="45"/>
      <c r="CQ55" s="45"/>
      <c r="CR55" s="45"/>
      <c r="CS55" s="45"/>
      <c r="CT55" s="45"/>
      <c r="CU55" s="45"/>
      <c r="CV55" s="45"/>
      <c r="CW55" s="45"/>
      <c r="CX55" s="45"/>
    </row>
    <row r="56" spans="1:102" s="3" customFormat="1" x14ac:dyDescent="0.15">
      <c r="A56" s="3">
        <f>SHIP_MOD_TECH!A56</f>
        <v>11100102</v>
      </c>
      <c r="B56" s="19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</row>
    <row r="57" spans="1:102" s="3" customFormat="1" x14ac:dyDescent="0.15">
      <c r="A57" s="3">
        <f>SHIP_MOD_TECH!A57</f>
        <v>11100103</v>
      </c>
      <c r="B57" s="19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</row>
    <row r="58" spans="1:102" s="3" customFormat="1" x14ac:dyDescent="0.15">
      <c r="A58" s="3">
        <f>SHIP_MOD_TECH!A58</f>
        <v>11100104</v>
      </c>
      <c r="B58" s="19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</row>
    <row r="59" spans="1:102" s="13" customFormat="1" ht="17.25" thickBot="1" x14ac:dyDescent="0.2">
      <c r="A59" s="13">
        <f>SHIP_MOD_TECH!A59</f>
        <v>11100105</v>
      </c>
      <c r="B59" s="198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  <c r="CX59" s="44"/>
    </row>
    <row r="60" spans="1:102" s="3" customFormat="1" x14ac:dyDescent="0.15">
      <c r="A60" s="9"/>
      <c r="B60" s="19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</row>
    <row r="61" spans="1:102" x14ac:dyDescent="0.15">
      <c r="A61" s="3"/>
    </row>
    <row r="62" spans="1:102" x14ac:dyDescent="0.15">
      <c r="A62" s="3"/>
    </row>
    <row r="63" spans="1:102" x14ac:dyDescent="0.15">
      <c r="A63" s="3"/>
    </row>
    <row r="64" spans="1:102" x14ac:dyDescent="0.15">
      <c r="A64" s="3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7" tint="0.79998168889431442"/>
  </sheetPr>
  <dimension ref="A1:EG60"/>
  <sheetViews>
    <sheetView workbookViewId="0">
      <selection activeCell="A27" sqref="A27"/>
    </sheetView>
  </sheetViews>
  <sheetFormatPr defaultColWidth="7.75" defaultRowHeight="16.5" x14ac:dyDescent="0.15"/>
  <cols>
    <col min="1" max="1" width="12" style="24" bestFit="1" customWidth="1"/>
    <col min="2" max="2" width="10.875" style="195" bestFit="1" customWidth="1"/>
    <col min="3" max="5" width="11.75" style="42" bestFit="1" customWidth="1"/>
    <col min="6" max="102" width="10" style="42" bestFit="1" customWidth="1"/>
    <col min="103" max="103" width="9.75" style="24" customWidth="1"/>
    <col min="104" max="137" width="9.75" style="43" customWidth="1"/>
    <col min="138" max="16384" width="7.75" style="24"/>
  </cols>
  <sheetData>
    <row r="1" spans="1:102" x14ac:dyDescent="0.15">
      <c r="A1" s="24" t="s">
        <v>59</v>
      </c>
      <c r="B1" s="188" t="s">
        <v>112</v>
      </c>
      <c r="C1" s="35" t="s">
        <v>60</v>
      </c>
      <c r="D1" s="35" t="s">
        <v>60</v>
      </c>
      <c r="E1" s="35" t="s">
        <v>60</v>
      </c>
      <c r="F1" s="35" t="s">
        <v>60</v>
      </c>
      <c r="G1" s="35" t="s">
        <v>60</v>
      </c>
      <c r="H1" s="35" t="s">
        <v>60</v>
      </c>
      <c r="I1" s="35" t="s">
        <v>60</v>
      </c>
      <c r="J1" s="35" t="s">
        <v>60</v>
      </c>
      <c r="K1" s="35" t="s">
        <v>60</v>
      </c>
      <c r="L1" s="35" t="s">
        <v>60</v>
      </c>
      <c r="M1" s="35" t="s">
        <v>60</v>
      </c>
      <c r="N1" s="35" t="s">
        <v>60</v>
      </c>
      <c r="O1" s="35" t="s">
        <v>60</v>
      </c>
      <c r="P1" s="35" t="s">
        <v>60</v>
      </c>
      <c r="Q1" s="35" t="s">
        <v>60</v>
      </c>
      <c r="R1" s="35" t="s">
        <v>60</v>
      </c>
      <c r="S1" s="35" t="s">
        <v>60</v>
      </c>
      <c r="T1" s="35" t="s">
        <v>60</v>
      </c>
      <c r="U1" s="35" t="s">
        <v>60</v>
      </c>
      <c r="V1" s="35" t="s">
        <v>60</v>
      </c>
      <c r="W1" s="35" t="s">
        <v>60</v>
      </c>
      <c r="X1" s="35" t="s">
        <v>60</v>
      </c>
      <c r="Y1" s="35" t="s">
        <v>60</v>
      </c>
      <c r="Z1" s="35" t="s">
        <v>60</v>
      </c>
      <c r="AA1" s="35" t="s">
        <v>60</v>
      </c>
      <c r="AB1" s="35" t="s">
        <v>60</v>
      </c>
      <c r="AC1" s="35" t="s">
        <v>60</v>
      </c>
      <c r="AD1" s="35" t="s">
        <v>60</v>
      </c>
      <c r="AE1" s="35" t="s">
        <v>60</v>
      </c>
      <c r="AF1" s="35" t="s">
        <v>60</v>
      </c>
      <c r="AG1" s="35" t="s">
        <v>60</v>
      </c>
      <c r="AH1" s="35" t="s">
        <v>60</v>
      </c>
      <c r="AI1" s="35" t="s">
        <v>60</v>
      </c>
      <c r="AJ1" s="35" t="s">
        <v>60</v>
      </c>
      <c r="AK1" s="35" t="s">
        <v>60</v>
      </c>
      <c r="AL1" s="35" t="s">
        <v>60</v>
      </c>
      <c r="AM1" s="35" t="s">
        <v>60</v>
      </c>
      <c r="AN1" s="35" t="s">
        <v>60</v>
      </c>
      <c r="AO1" s="35" t="s">
        <v>60</v>
      </c>
      <c r="AP1" s="35" t="s">
        <v>60</v>
      </c>
      <c r="AQ1" s="35" t="s">
        <v>60</v>
      </c>
      <c r="AR1" s="35" t="s">
        <v>60</v>
      </c>
      <c r="AS1" s="35" t="s">
        <v>60</v>
      </c>
      <c r="AT1" s="35" t="s">
        <v>60</v>
      </c>
      <c r="AU1" s="35" t="s">
        <v>60</v>
      </c>
      <c r="AV1" s="35" t="s">
        <v>60</v>
      </c>
      <c r="AW1" s="35" t="s">
        <v>60</v>
      </c>
      <c r="AX1" s="35" t="s">
        <v>60</v>
      </c>
      <c r="AY1" s="35" t="s">
        <v>60</v>
      </c>
      <c r="AZ1" s="35" t="s">
        <v>60</v>
      </c>
      <c r="BA1" s="35" t="s">
        <v>60</v>
      </c>
      <c r="BB1" s="35" t="s">
        <v>60</v>
      </c>
      <c r="BC1" s="35" t="s">
        <v>60</v>
      </c>
      <c r="BD1" s="35" t="s">
        <v>60</v>
      </c>
      <c r="BE1" s="35" t="s">
        <v>60</v>
      </c>
      <c r="BF1" s="35" t="s">
        <v>60</v>
      </c>
      <c r="BG1" s="35" t="s">
        <v>60</v>
      </c>
      <c r="BH1" s="35" t="s">
        <v>60</v>
      </c>
      <c r="BI1" s="35" t="s">
        <v>60</v>
      </c>
      <c r="BJ1" s="35" t="s">
        <v>60</v>
      </c>
      <c r="BK1" s="35" t="s">
        <v>60</v>
      </c>
      <c r="BL1" s="35" t="s">
        <v>60</v>
      </c>
      <c r="BM1" s="35" t="s">
        <v>60</v>
      </c>
      <c r="BN1" s="35" t="s">
        <v>60</v>
      </c>
      <c r="BO1" s="35" t="s">
        <v>60</v>
      </c>
      <c r="BP1" s="35" t="s">
        <v>60</v>
      </c>
      <c r="BQ1" s="35" t="s">
        <v>60</v>
      </c>
      <c r="BR1" s="35" t="s">
        <v>60</v>
      </c>
      <c r="BS1" s="35" t="s">
        <v>60</v>
      </c>
      <c r="BT1" s="35" t="s">
        <v>60</v>
      </c>
      <c r="BU1" s="35" t="s">
        <v>60</v>
      </c>
      <c r="BV1" s="35" t="s">
        <v>60</v>
      </c>
      <c r="BW1" s="35" t="s">
        <v>60</v>
      </c>
      <c r="BX1" s="35" t="s">
        <v>60</v>
      </c>
      <c r="BY1" s="35" t="s">
        <v>60</v>
      </c>
      <c r="BZ1" s="35" t="s">
        <v>60</v>
      </c>
      <c r="CA1" s="35" t="s">
        <v>60</v>
      </c>
      <c r="CB1" s="35" t="s">
        <v>60</v>
      </c>
      <c r="CC1" s="35" t="s">
        <v>60</v>
      </c>
      <c r="CD1" s="35" t="s">
        <v>60</v>
      </c>
      <c r="CE1" s="35" t="s">
        <v>60</v>
      </c>
      <c r="CF1" s="35" t="s">
        <v>60</v>
      </c>
      <c r="CG1" s="35" t="s">
        <v>60</v>
      </c>
      <c r="CH1" s="35" t="s">
        <v>60</v>
      </c>
      <c r="CI1" s="35" t="s">
        <v>60</v>
      </c>
      <c r="CJ1" s="35" t="s">
        <v>60</v>
      </c>
      <c r="CK1" s="35" t="s">
        <v>60</v>
      </c>
      <c r="CL1" s="35" t="s">
        <v>60</v>
      </c>
      <c r="CM1" s="35" t="s">
        <v>60</v>
      </c>
      <c r="CN1" s="35" t="s">
        <v>60</v>
      </c>
      <c r="CO1" s="35" t="s">
        <v>60</v>
      </c>
      <c r="CP1" s="35" t="s">
        <v>60</v>
      </c>
      <c r="CQ1" s="35" t="s">
        <v>60</v>
      </c>
      <c r="CR1" s="35" t="s">
        <v>60</v>
      </c>
      <c r="CS1" s="35" t="s">
        <v>60</v>
      </c>
      <c r="CT1" s="35" t="s">
        <v>60</v>
      </c>
      <c r="CU1" s="35" t="s">
        <v>60</v>
      </c>
      <c r="CV1" s="35" t="s">
        <v>60</v>
      </c>
      <c r="CW1" s="35" t="s">
        <v>60</v>
      </c>
      <c r="CX1" s="35" t="s">
        <v>60</v>
      </c>
    </row>
    <row r="2" spans="1:102" x14ac:dyDescent="0.15">
      <c r="A2" s="24" t="s">
        <v>61</v>
      </c>
      <c r="B2" s="195">
        <v>100</v>
      </c>
      <c r="C2" s="42" t="s">
        <v>61</v>
      </c>
      <c r="D2" s="42" t="s">
        <v>61</v>
      </c>
      <c r="E2" s="42" t="s">
        <v>61</v>
      </c>
      <c r="F2" s="42" t="s">
        <v>61</v>
      </c>
      <c r="G2" s="42" t="s">
        <v>61</v>
      </c>
      <c r="H2" s="42" t="s">
        <v>61</v>
      </c>
      <c r="I2" s="42" t="s">
        <v>61</v>
      </c>
      <c r="J2" s="42" t="s">
        <v>61</v>
      </c>
      <c r="K2" s="42" t="s">
        <v>61</v>
      </c>
      <c r="L2" s="42" t="s">
        <v>61</v>
      </c>
      <c r="M2" s="42" t="s">
        <v>61</v>
      </c>
      <c r="N2" s="42" t="s">
        <v>61</v>
      </c>
      <c r="O2" s="42" t="s">
        <v>61</v>
      </c>
      <c r="P2" s="42" t="s">
        <v>61</v>
      </c>
      <c r="Q2" s="42" t="s">
        <v>61</v>
      </c>
      <c r="R2" s="42" t="s">
        <v>61</v>
      </c>
      <c r="S2" s="42" t="s">
        <v>61</v>
      </c>
      <c r="T2" s="42" t="s">
        <v>61</v>
      </c>
      <c r="U2" s="42" t="s">
        <v>61</v>
      </c>
      <c r="V2" s="42" t="s">
        <v>61</v>
      </c>
      <c r="W2" s="42" t="s">
        <v>61</v>
      </c>
      <c r="X2" s="42" t="s">
        <v>61</v>
      </c>
      <c r="Y2" s="42" t="s">
        <v>61</v>
      </c>
      <c r="Z2" s="42" t="s">
        <v>61</v>
      </c>
      <c r="AA2" s="42" t="s">
        <v>61</v>
      </c>
      <c r="AB2" s="42" t="s">
        <v>61</v>
      </c>
      <c r="AC2" s="42" t="s">
        <v>61</v>
      </c>
      <c r="AD2" s="42" t="s">
        <v>61</v>
      </c>
      <c r="AE2" s="42" t="s">
        <v>61</v>
      </c>
      <c r="AF2" s="42" t="s">
        <v>61</v>
      </c>
      <c r="AG2" s="42" t="s">
        <v>61</v>
      </c>
      <c r="AH2" s="42" t="s">
        <v>61</v>
      </c>
      <c r="AI2" s="42" t="s">
        <v>61</v>
      </c>
      <c r="AJ2" s="42" t="s">
        <v>61</v>
      </c>
      <c r="AK2" s="42" t="s">
        <v>61</v>
      </c>
      <c r="AL2" s="42" t="s">
        <v>61</v>
      </c>
      <c r="AM2" s="42" t="s">
        <v>61</v>
      </c>
      <c r="AN2" s="42" t="s">
        <v>61</v>
      </c>
      <c r="AO2" s="42" t="s">
        <v>61</v>
      </c>
      <c r="AP2" s="42" t="s">
        <v>61</v>
      </c>
      <c r="AQ2" s="42" t="s">
        <v>61</v>
      </c>
      <c r="AR2" s="42" t="s">
        <v>61</v>
      </c>
      <c r="AS2" s="42" t="s">
        <v>61</v>
      </c>
      <c r="AT2" s="42" t="s">
        <v>61</v>
      </c>
      <c r="AU2" s="42" t="s">
        <v>61</v>
      </c>
      <c r="AV2" s="42" t="s">
        <v>61</v>
      </c>
      <c r="AW2" s="42" t="s">
        <v>61</v>
      </c>
      <c r="AX2" s="42" t="s">
        <v>61</v>
      </c>
      <c r="AY2" s="42" t="s">
        <v>61</v>
      </c>
      <c r="AZ2" s="42" t="s">
        <v>61</v>
      </c>
      <c r="BA2" s="42" t="s">
        <v>61</v>
      </c>
      <c r="BB2" s="42" t="s">
        <v>61</v>
      </c>
      <c r="BC2" s="42" t="s">
        <v>61</v>
      </c>
      <c r="BD2" s="42" t="s">
        <v>61</v>
      </c>
      <c r="BE2" s="42" t="s">
        <v>61</v>
      </c>
      <c r="BF2" s="42" t="s">
        <v>61</v>
      </c>
      <c r="BG2" s="42" t="s">
        <v>61</v>
      </c>
      <c r="BH2" s="42" t="s">
        <v>61</v>
      </c>
      <c r="BI2" s="42" t="s">
        <v>61</v>
      </c>
      <c r="BJ2" s="42" t="s">
        <v>61</v>
      </c>
      <c r="BK2" s="42" t="s">
        <v>61</v>
      </c>
      <c r="BL2" s="42" t="s">
        <v>61</v>
      </c>
      <c r="BM2" s="42" t="s">
        <v>61</v>
      </c>
      <c r="BN2" s="42" t="s">
        <v>61</v>
      </c>
      <c r="BO2" s="42" t="s">
        <v>61</v>
      </c>
      <c r="BP2" s="42" t="s">
        <v>61</v>
      </c>
      <c r="BQ2" s="42" t="s">
        <v>61</v>
      </c>
      <c r="BR2" s="42" t="s">
        <v>61</v>
      </c>
      <c r="BS2" s="42" t="s">
        <v>61</v>
      </c>
      <c r="BT2" s="42" t="s">
        <v>61</v>
      </c>
      <c r="BU2" s="42" t="s">
        <v>61</v>
      </c>
      <c r="BV2" s="42" t="s">
        <v>61</v>
      </c>
      <c r="BW2" s="42" t="s">
        <v>61</v>
      </c>
      <c r="BX2" s="42" t="s">
        <v>61</v>
      </c>
      <c r="BY2" s="42" t="s">
        <v>61</v>
      </c>
      <c r="BZ2" s="42" t="s">
        <v>61</v>
      </c>
      <c r="CA2" s="42" t="s">
        <v>61</v>
      </c>
      <c r="CB2" s="42" t="s">
        <v>61</v>
      </c>
      <c r="CC2" s="42" t="s">
        <v>61</v>
      </c>
      <c r="CD2" s="42" t="s">
        <v>61</v>
      </c>
      <c r="CE2" s="42" t="s">
        <v>61</v>
      </c>
      <c r="CF2" s="42" t="s">
        <v>61</v>
      </c>
      <c r="CG2" s="42" t="s">
        <v>61</v>
      </c>
      <c r="CH2" s="42" t="s">
        <v>61</v>
      </c>
      <c r="CI2" s="42" t="s">
        <v>61</v>
      </c>
      <c r="CJ2" s="42" t="s">
        <v>61</v>
      </c>
      <c r="CK2" s="42" t="s">
        <v>61</v>
      </c>
      <c r="CL2" s="42" t="s">
        <v>61</v>
      </c>
      <c r="CM2" s="42" t="s">
        <v>61</v>
      </c>
      <c r="CN2" s="42" t="s">
        <v>61</v>
      </c>
      <c r="CO2" s="42" t="s">
        <v>61</v>
      </c>
      <c r="CP2" s="42" t="s">
        <v>61</v>
      </c>
      <c r="CQ2" s="42" t="s">
        <v>61</v>
      </c>
      <c r="CR2" s="42" t="s">
        <v>61</v>
      </c>
      <c r="CS2" s="42" t="s">
        <v>61</v>
      </c>
      <c r="CT2" s="42" t="s">
        <v>61</v>
      </c>
      <c r="CU2" s="42" t="s">
        <v>61</v>
      </c>
      <c r="CV2" s="42" t="s">
        <v>61</v>
      </c>
      <c r="CW2" s="42" t="s">
        <v>61</v>
      </c>
      <c r="CX2" s="42" t="s">
        <v>61</v>
      </c>
    </row>
    <row r="3" spans="1:102" x14ac:dyDescent="0.15">
      <c r="A3" s="24" t="s">
        <v>360</v>
      </c>
      <c r="B3" s="195" t="s">
        <v>189</v>
      </c>
      <c r="C3" s="42" t="s">
        <v>189</v>
      </c>
      <c r="D3" s="42" t="s">
        <v>189</v>
      </c>
      <c r="E3" s="42" t="s">
        <v>189</v>
      </c>
      <c r="F3" s="42" t="s">
        <v>189</v>
      </c>
      <c r="G3" s="42" t="s">
        <v>189</v>
      </c>
      <c r="H3" s="42" t="s">
        <v>189</v>
      </c>
      <c r="I3" s="42" t="s">
        <v>189</v>
      </c>
      <c r="J3" s="42" t="s">
        <v>189</v>
      </c>
      <c r="K3" s="42" t="s">
        <v>189</v>
      </c>
      <c r="L3" s="42" t="s">
        <v>189</v>
      </c>
      <c r="M3" s="42" t="s">
        <v>189</v>
      </c>
      <c r="N3" s="42" t="s">
        <v>189</v>
      </c>
      <c r="O3" s="42" t="s">
        <v>189</v>
      </c>
      <c r="P3" s="42" t="s">
        <v>189</v>
      </c>
      <c r="Q3" s="42" t="s">
        <v>189</v>
      </c>
      <c r="R3" s="42" t="s">
        <v>189</v>
      </c>
      <c r="S3" s="42" t="s">
        <v>189</v>
      </c>
      <c r="T3" s="42" t="s">
        <v>189</v>
      </c>
      <c r="U3" s="42" t="s">
        <v>189</v>
      </c>
      <c r="V3" s="42" t="s">
        <v>189</v>
      </c>
      <c r="W3" s="42" t="s">
        <v>189</v>
      </c>
      <c r="X3" s="42" t="s">
        <v>189</v>
      </c>
      <c r="Y3" s="42" t="s">
        <v>189</v>
      </c>
      <c r="Z3" s="42" t="s">
        <v>189</v>
      </c>
      <c r="AA3" s="42" t="s">
        <v>189</v>
      </c>
      <c r="AB3" s="42" t="s">
        <v>189</v>
      </c>
      <c r="AC3" s="42" t="s">
        <v>189</v>
      </c>
      <c r="AD3" s="42" t="s">
        <v>189</v>
      </c>
      <c r="AE3" s="42" t="s">
        <v>189</v>
      </c>
      <c r="AF3" s="42" t="s">
        <v>189</v>
      </c>
      <c r="AG3" s="42" t="s">
        <v>189</v>
      </c>
      <c r="AH3" s="42" t="s">
        <v>189</v>
      </c>
      <c r="AI3" s="42" t="s">
        <v>189</v>
      </c>
      <c r="AJ3" s="42" t="s">
        <v>189</v>
      </c>
      <c r="AK3" s="42" t="s">
        <v>189</v>
      </c>
      <c r="AL3" s="42" t="s">
        <v>189</v>
      </c>
      <c r="AM3" s="42" t="s">
        <v>189</v>
      </c>
      <c r="AN3" s="42" t="s">
        <v>189</v>
      </c>
      <c r="AO3" s="42" t="s">
        <v>189</v>
      </c>
      <c r="AP3" s="42" t="s">
        <v>189</v>
      </c>
      <c r="AQ3" s="42" t="s">
        <v>189</v>
      </c>
      <c r="AR3" s="42" t="s">
        <v>189</v>
      </c>
      <c r="AS3" s="42" t="s">
        <v>189</v>
      </c>
      <c r="AT3" s="42" t="s">
        <v>189</v>
      </c>
      <c r="AU3" s="42" t="s">
        <v>189</v>
      </c>
      <c r="AV3" s="42" t="s">
        <v>189</v>
      </c>
      <c r="AW3" s="42" t="s">
        <v>189</v>
      </c>
      <c r="AX3" s="42" t="s">
        <v>189</v>
      </c>
      <c r="AY3" s="42" t="s">
        <v>189</v>
      </c>
      <c r="AZ3" s="42" t="s">
        <v>189</v>
      </c>
      <c r="BA3" s="42" t="s">
        <v>189</v>
      </c>
      <c r="BB3" s="42" t="s">
        <v>189</v>
      </c>
      <c r="BC3" s="42" t="s">
        <v>189</v>
      </c>
      <c r="BD3" s="42" t="s">
        <v>189</v>
      </c>
      <c r="BE3" s="42" t="s">
        <v>189</v>
      </c>
      <c r="BF3" s="42" t="s">
        <v>189</v>
      </c>
      <c r="BG3" s="42" t="s">
        <v>189</v>
      </c>
      <c r="BH3" s="42" t="s">
        <v>189</v>
      </c>
      <c r="BI3" s="42" t="s">
        <v>189</v>
      </c>
      <c r="BJ3" s="42" t="s">
        <v>189</v>
      </c>
      <c r="BK3" s="42" t="s">
        <v>189</v>
      </c>
      <c r="BL3" s="42" t="s">
        <v>189</v>
      </c>
      <c r="BM3" s="42" t="s">
        <v>189</v>
      </c>
      <c r="BN3" s="42" t="s">
        <v>189</v>
      </c>
      <c r="BO3" s="42" t="s">
        <v>189</v>
      </c>
      <c r="BP3" s="42" t="s">
        <v>189</v>
      </c>
      <c r="BQ3" s="42" t="s">
        <v>189</v>
      </c>
      <c r="BR3" s="42" t="s">
        <v>189</v>
      </c>
      <c r="BS3" s="42" t="s">
        <v>189</v>
      </c>
      <c r="BT3" s="42" t="s">
        <v>189</v>
      </c>
      <c r="BU3" s="42" t="s">
        <v>189</v>
      </c>
      <c r="BV3" s="42" t="s">
        <v>189</v>
      </c>
      <c r="BW3" s="42" t="s">
        <v>189</v>
      </c>
      <c r="BX3" s="42" t="s">
        <v>189</v>
      </c>
      <c r="BY3" s="42" t="s">
        <v>189</v>
      </c>
      <c r="BZ3" s="42" t="s">
        <v>189</v>
      </c>
      <c r="CA3" s="42" t="s">
        <v>189</v>
      </c>
      <c r="CB3" s="42" t="s">
        <v>189</v>
      </c>
      <c r="CC3" s="42" t="s">
        <v>189</v>
      </c>
      <c r="CD3" s="42" t="s">
        <v>189</v>
      </c>
      <c r="CE3" s="42" t="s">
        <v>189</v>
      </c>
      <c r="CF3" s="42" t="s">
        <v>189</v>
      </c>
      <c r="CG3" s="42" t="s">
        <v>189</v>
      </c>
      <c r="CH3" s="42" t="s">
        <v>189</v>
      </c>
      <c r="CI3" s="42" t="s">
        <v>189</v>
      </c>
      <c r="CJ3" s="42" t="s">
        <v>189</v>
      </c>
      <c r="CK3" s="42" t="s">
        <v>189</v>
      </c>
      <c r="CL3" s="42" t="s">
        <v>189</v>
      </c>
      <c r="CM3" s="42" t="s">
        <v>189</v>
      </c>
      <c r="CN3" s="42" t="s">
        <v>189</v>
      </c>
      <c r="CO3" s="42" t="s">
        <v>189</v>
      </c>
      <c r="CP3" s="42" t="s">
        <v>189</v>
      </c>
      <c r="CQ3" s="42" t="s">
        <v>189</v>
      </c>
      <c r="CR3" s="42" t="s">
        <v>189</v>
      </c>
      <c r="CS3" s="42" t="s">
        <v>189</v>
      </c>
      <c r="CT3" s="42" t="s">
        <v>189</v>
      </c>
      <c r="CU3" s="42" t="s">
        <v>189</v>
      </c>
      <c r="CV3" s="42" t="s">
        <v>189</v>
      </c>
      <c r="CW3" s="42" t="s">
        <v>189</v>
      </c>
      <c r="CX3" s="42" t="s">
        <v>189</v>
      </c>
    </row>
    <row r="4" spans="1:102" s="13" customFormat="1" ht="17.25" thickBot="1" x14ac:dyDescent="0.2">
      <c r="A4" s="13" t="s">
        <v>63</v>
      </c>
      <c r="B4" s="198"/>
      <c r="C4" s="44" t="s">
        <v>87</v>
      </c>
      <c r="D4" s="44" t="s">
        <v>87</v>
      </c>
      <c r="E4" s="44" t="s">
        <v>87</v>
      </c>
      <c r="F4" s="44" t="s">
        <v>87</v>
      </c>
      <c r="G4" s="44" t="s">
        <v>87</v>
      </c>
      <c r="H4" s="44" t="s">
        <v>87</v>
      </c>
      <c r="I4" s="44" t="s">
        <v>87</v>
      </c>
      <c r="J4" s="44" t="s">
        <v>87</v>
      </c>
      <c r="K4" s="44" t="s">
        <v>87</v>
      </c>
      <c r="L4" s="44" t="s">
        <v>87</v>
      </c>
      <c r="M4" s="44" t="s">
        <v>87</v>
      </c>
      <c r="N4" s="44" t="s">
        <v>87</v>
      </c>
      <c r="O4" s="44" t="s">
        <v>87</v>
      </c>
      <c r="P4" s="44" t="s">
        <v>87</v>
      </c>
      <c r="Q4" s="44" t="s">
        <v>87</v>
      </c>
      <c r="R4" s="44" t="s">
        <v>87</v>
      </c>
      <c r="S4" s="44" t="s">
        <v>87</v>
      </c>
      <c r="T4" s="44" t="s">
        <v>87</v>
      </c>
      <c r="U4" s="44" t="s">
        <v>87</v>
      </c>
      <c r="V4" s="44" t="s">
        <v>87</v>
      </c>
      <c r="W4" s="44" t="s">
        <v>87</v>
      </c>
      <c r="X4" s="44" t="s">
        <v>87</v>
      </c>
      <c r="Y4" s="44" t="s">
        <v>87</v>
      </c>
      <c r="Z4" s="44" t="s">
        <v>87</v>
      </c>
      <c r="AA4" s="44" t="s">
        <v>87</v>
      </c>
      <c r="AB4" s="44" t="s">
        <v>87</v>
      </c>
      <c r="AC4" s="44" t="s">
        <v>87</v>
      </c>
      <c r="AD4" s="44" t="s">
        <v>87</v>
      </c>
      <c r="AE4" s="44" t="s">
        <v>87</v>
      </c>
      <c r="AF4" s="44" t="s">
        <v>87</v>
      </c>
      <c r="AG4" s="44" t="s">
        <v>87</v>
      </c>
      <c r="AH4" s="44" t="s">
        <v>87</v>
      </c>
      <c r="AI4" s="44" t="s">
        <v>87</v>
      </c>
      <c r="AJ4" s="44" t="s">
        <v>87</v>
      </c>
      <c r="AK4" s="44" t="s">
        <v>87</v>
      </c>
      <c r="AL4" s="44" t="s">
        <v>87</v>
      </c>
      <c r="AM4" s="44" t="s">
        <v>87</v>
      </c>
      <c r="AN4" s="44" t="s">
        <v>87</v>
      </c>
      <c r="AO4" s="44" t="s">
        <v>87</v>
      </c>
      <c r="AP4" s="44" t="s">
        <v>87</v>
      </c>
      <c r="AQ4" s="44" t="s">
        <v>87</v>
      </c>
      <c r="AR4" s="44" t="s">
        <v>87</v>
      </c>
      <c r="AS4" s="44" t="s">
        <v>87</v>
      </c>
      <c r="AT4" s="44" t="s">
        <v>87</v>
      </c>
      <c r="AU4" s="44" t="s">
        <v>87</v>
      </c>
      <c r="AV4" s="44" t="s">
        <v>87</v>
      </c>
      <c r="AW4" s="44" t="s">
        <v>87</v>
      </c>
      <c r="AX4" s="44" t="s">
        <v>87</v>
      </c>
      <c r="AY4" s="44" t="s">
        <v>87</v>
      </c>
      <c r="AZ4" s="44" t="s">
        <v>87</v>
      </c>
      <c r="BA4" s="44" t="s">
        <v>87</v>
      </c>
      <c r="BB4" s="44" t="s">
        <v>87</v>
      </c>
      <c r="BC4" s="44" t="s">
        <v>87</v>
      </c>
      <c r="BD4" s="44" t="s">
        <v>87</v>
      </c>
      <c r="BE4" s="44" t="s">
        <v>87</v>
      </c>
      <c r="BF4" s="44" t="s">
        <v>87</v>
      </c>
      <c r="BG4" s="44" t="s">
        <v>87</v>
      </c>
      <c r="BH4" s="44" t="s">
        <v>87</v>
      </c>
      <c r="BI4" s="44" t="s">
        <v>87</v>
      </c>
      <c r="BJ4" s="44" t="s">
        <v>87</v>
      </c>
      <c r="BK4" s="44" t="s">
        <v>87</v>
      </c>
      <c r="BL4" s="44" t="s">
        <v>87</v>
      </c>
      <c r="BM4" s="44" t="s">
        <v>87</v>
      </c>
      <c r="BN4" s="44" t="s">
        <v>87</v>
      </c>
      <c r="BO4" s="44" t="s">
        <v>87</v>
      </c>
      <c r="BP4" s="44" t="s">
        <v>87</v>
      </c>
      <c r="BQ4" s="44" t="s">
        <v>87</v>
      </c>
      <c r="BR4" s="44" t="s">
        <v>87</v>
      </c>
      <c r="BS4" s="44" t="s">
        <v>87</v>
      </c>
      <c r="BT4" s="44" t="s">
        <v>87</v>
      </c>
      <c r="BU4" s="44" t="s">
        <v>87</v>
      </c>
      <c r="BV4" s="44" t="s">
        <v>87</v>
      </c>
      <c r="BW4" s="44" t="s">
        <v>87</v>
      </c>
      <c r="BX4" s="44" t="s">
        <v>87</v>
      </c>
      <c r="BY4" s="44" t="s">
        <v>87</v>
      </c>
      <c r="BZ4" s="44" t="s">
        <v>87</v>
      </c>
      <c r="CA4" s="44" t="s">
        <v>87</v>
      </c>
      <c r="CB4" s="44" t="s">
        <v>87</v>
      </c>
      <c r="CC4" s="44" t="s">
        <v>87</v>
      </c>
      <c r="CD4" s="44" t="s">
        <v>87</v>
      </c>
      <c r="CE4" s="44" t="s">
        <v>87</v>
      </c>
      <c r="CF4" s="44" t="s">
        <v>87</v>
      </c>
      <c r="CG4" s="44" t="s">
        <v>87</v>
      </c>
      <c r="CH4" s="44" t="s">
        <v>87</v>
      </c>
      <c r="CI4" s="44" t="s">
        <v>87</v>
      </c>
      <c r="CJ4" s="44" t="s">
        <v>87</v>
      </c>
      <c r="CK4" s="44" t="s">
        <v>87</v>
      </c>
      <c r="CL4" s="44" t="s">
        <v>87</v>
      </c>
      <c r="CM4" s="44" t="s">
        <v>87</v>
      </c>
      <c r="CN4" s="44" t="s">
        <v>87</v>
      </c>
      <c r="CO4" s="44" t="s">
        <v>87</v>
      </c>
      <c r="CP4" s="44" t="s">
        <v>87</v>
      </c>
      <c r="CQ4" s="44" t="s">
        <v>87</v>
      </c>
      <c r="CR4" s="44" t="s">
        <v>87</v>
      </c>
      <c r="CS4" s="44" t="s">
        <v>87</v>
      </c>
      <c r="CT4" s="44" t="s">
        <v>87</v>
      </c>
      <c r="CU4" s="44" t="s">
        <v>87</v>
      </c>
      <c r="CV4" s="44" t="s">
        <v>87</v>
      </c>
      <c r="CW4" s="44" t="s">
        <v>87</v>
      </c>
      <c r="CX4" s="44" t="s">
        <v>87</v>
      </c>
    </row>
    <row r="5" spans="1:102" s="9" customFormat="1" x14ac:dyDescent="0.15">
      <c r="A5" s="9">
        <f>SHIP_MOD_TECH!A5</f>
        <v>11010101</v>
      </c>
      <c r="B5" s="197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45"/>
    </row>
    <row r="6" spans="1:102" s="3" customFormat="1" x14ac:dyDescent="0.15">
      <c r="A6" s="3">
        <f>SHIP_MOD_TECH!A6</f>
        <v>11010102</v>
      </c>
      <c r="B6" s="19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</row>
    <row r="7" spans="1:102" s="3" customFormat="1" x14ac:dyDescent="0.15">
      <c r="A7" s="3">
        <f>SHIP_MOD_TECH!A7</f>
        <v>11010103</v>
      </c>
      <c r="B7" s="19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</row>
    <row r="8" spans="1:102" s="3" customFormat="1" x14ac:dyDescent="0.15">
      <c r="A8" s="3">
        <f>SHIP_MOD_TECH!A8</f>
        <v>11010104</v>
      </c>
      <c r="B8" s="19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</row>
    <row r="9" spans="1:102" s="3" customFormat="1" ht="17.25" thickBot="1" x14ac:dyDescent="0.2">
      <c r="A9" s="3">
        <f>SHIP_MOD_TECH!A9</f>
        <v>11010105</v>
      </c>
      <c r="B9" s="19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</row>
    <row r="10" spans="1:102" s="9" customFormat="1" x14ac:dyDescent="0.15">
      <c r="A10" s="9">
        <f>SHIP_MOD_TECH!A10</f>
        <v>11020101</v>
      </c>
      <c r="B10" s="197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</row>
    <row r="11" spans="1:102" s="3" customFormat="1" x14ac:dyDescent="0.15">
      <c r="A11" s="3">
        <f>SHIP_MOD_TECH!A11</f>
        <v>11020102</v>
      </c>
      <c r="B11" s="19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</row>
    <row r="12" spans="1:102" s="3" customFormat="1" x14ac:dyDescent="0.15">
      <c r="A12" s="3">
        <f>SHIP_MOD_TECH!A12</f>
        <v>11020103</v>
      </c>
      <c r="B12" s="19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</row>
    <row r="13" spans="1:102" s="3" customFormat="1" x14ac:dyDescent="0.15">
      <c r="A13" s="3">
        <f>SHIP_MOD_TECH!A13</f>
        <v>11020104</v>
      </c>
      <c r="B13" s="19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</row>
    <row r="14" spans="1:102" s="13" customFormat="1" ht="17.25" thickBot="1" x14ac:dyDescent="0.2">
      <c r="A14" s="13">
        <f>SHIP_MOD_TECH!A14</f>
        <v>11020105</v>
      </c>
      <c r="B14" s="198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</row>
    <row r="15" spans="1:102" s="3" customFormat="1" x14ac:dyDescent="0.15">
      <c r="A15" s="3">
        <f>SHIP_MOD_TECH!A15</f>
        <v>11030101</v>
      </c>
      <c r="B15" s="196">
        <v>3</v>
      </c>
      <c r="C15" s="45">
        <v>31000101</v>
      </c>
      <c r="D15" s="45">
        <v>32000101</v>
      </c>
      <c r="E15" s="45">
        <v>33000101</v>
      </c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</row>
    <row r="16" spans="1:102" s="3" customFormat="1" x14ac:dyDescent="0.15">
      <c r="A16" s="3">
        <f>SHIP_MOD_TECH!A16</f>
        <v>11030102</v>
      </c>
      <c r="B16" s="19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</row>
    <row r="17" spans="1:102" s="3" customFormat="1" x14ac:dyDescent="0.15">
      <c r="A17" s="3">
        <f>SHIP_MOD_TECH!A17</f>
        <v>11030103</v>
      </c>
      <c r="B17" s="19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</row>
    <row r="18" spans="1:102" s="3" customFormat="1" x14ac:dyDescent="0.15">
      <c r="A18" s="3">
        <f>SHIP_MOD_TECH!A18</f>
        <v>11030104</v>
      </c>
      <c r="B18" s="19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</row>
    <row r="19" spans="1:102" s="3" customFormat="1" ht="17.25" thickBot="1" x14ac:dyDescent="0.2">
      <c r="A19" s="3">
        <f>SHIP_MOD_TECH!A19</f>
        <v>11030105</v>
      </c>
      <c r="B19" s="19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</row>
    <row r="20" spans="1:102" s="9" customFormat="1" x14ac:dyDescent="0.15">
      <c r="A20" s="9">
        <f>SHIP_MOD_TECH!A20</f>
        <v>11030201</v>
      </c>
      <c r="B20" s="197">
        <v>3</v>
      </c>
      <c r="C20" s="45">
        <v>31000101</v>
      </c>
      <c r="D20" s="45">
        <v>32000101</v>
      </c>
      <c r="E20" s="45">
        <v>33000101</v>
      </c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  <c r="CM20" s="45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5"/>
    </row>
    <row r="21" spans="1:102" s="3" customFormat="1" x14ac:dyDescent="0.15">
      <c r="A21" s="3">
        <f>SHIP_MOD_TECH!A21</f>
        <v>11030202</v>
      </c>
      <c r="B21" s="19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</row>
    <row r="22" spans="1:102" s="3" customFormat="1" x14ac:dyDescent="0.15">
      <c r="A22" s="3">
        <f>SHIP_MOD_TECH!A22</f>
        <v>11030203</v>
      </c>
      <c r="B22" s="19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</row>
    <row r="23" spans="1:102" s="3" customFormat="1" x14ac:dyDescent="0.15">
      <c r="A23" s="3">
        <f>SHIP_MOD_TECH!A23</f>
        <v>11030204</v>
      </c>
      <c r="B23" s="19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</row>
    <row r="24" spans="1:102" s="13" customFormat="1" ht="17.25" thickBot="1" x14ac:dyDescent="0.2">
      <c r="A24" s="13">
        <f>SHIP_MOD_TECH!A24</f>
        <v>11030205</v>
      </c>
      <c r="B24" s="198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</row>
    <row r="25" spans="1:102" s="9" customFormat="1" x14ac:dyDescent="0.15">
      <c r="A25" s="9">
        <f>SHIP_MOD_TECH!A25</f>
        <v>11040101</v>
      </c>
      <c r="B25" s="197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45"/>
      <c r="BZ25" s="45"/>
      <c r="CA25" s="45"/>
      <c r="CB25" s="45"/>
      <c r="CC25" s="45"/>
      <c r="CD25" s="45"/>
      <c r="CE25" s="45"/>
      <c r="CF25" s="45"/>
      <c r="CG25" s="45"/>
      <c r="CH25" s="45"/>
      <c r="CI25" s="45"/>
      <c r="CJ25" s="45"/>
      <c r="CK25" s="45"/>
      <c r="CL25" s="45"/>
      <c r="CM25" s="45"/>
      <c r="CN25" s="45"/>
      <c r="CO25" s="45"/>
      <c r="CP25" s="45"/>
      <c r="CQ25" s="45"/>
      <c r="CR25" s="45"/>
      <c r="CS25" s="45"/>
      <c r="CT25" s="45"/>
      <c r="CU25" s="45"/>
      <c r="CV25" s="45"/>
      <c r="CW25" s="45"/>
      <c r="CX25" s="45"/>
    </row>
    <row r="26" spans="1:102" s="3" customFormat="1" x14ac:dyDescent="0.15">
      <c r="A26" s="3">
        <f>SHIP_MOD_TECH!A26</f>
        <v>11040102</v>
      </c>
      <c r="B26" s="19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</row>
    <row r="27" spans="1:102" s="3" customFormat="1" x14ac:dyDescent="0.15">
      <c r="A27" s="3">
        <f>SHIP_MOD_TECH!A27</f>
        <v>11040103</v>
      </c>
      <c r="B27" s="19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</row>
    <row r="28" spans="1:102" s="3" customFormat="1" x14ac:dyDescent="0.15">
      <c r="A28" s="3">
        <f>SHIP_MOD_TECH!A28</f>
        <v>11040104</v>
      </c>
      <c r="B28" s="19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</row>
    <row r="29" spans="1:102" s="13" customFormat="1" ht="17.25" thickBot="1" x14ac:dyDescent="0.2">
      <c r="A29" s="13">
        <f>SHIP_MOD_TECH!A29</f>
        <v>11040105</v>
      </c>
      <c r="B29" s="198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</row>
    <row r="30" spans="1:102" s="3" customFormat="1" x14ac:dyDescent="0.15">
      <c r="A30" s="9">
        <f>SHIP_MOD_TECH!A30</f>
        <v>11050101</v>
      </c>
      <c r="B30" s="196">
        <v>3</v>
      </c>
      <c r="C30" s="46">
        <v>31000101</v>
      </c>
      <c r="D30" s="46">
        <v>32000101</v>
      </c>
      <c r="E30" s="46">
        <v>33000101</v>
      </c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</row>
    <row r="31" spans="1:102" s="3" customFormat="1" x14ac:dyDescent="0.15">
      <c r="A31" s="3">
        <f>SHIP_MOD_TECH!A31</f>
        <v>11050102</v>
      </c>
      <c r="B31" s="19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</row>
    <row r="32" spans="1:102" s="3" customFormat="1" x14ac:dyDescent="0.15">
      <c r="A32" s="3">
        <f>SHIP_MOD_TECH!A32</f>
        <v>11050103</v>
      </c>
      <c r="B32" s="19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</row>
    <row r="33" spans="1:102" s="3" customFormat="1" x14ac:dyDescent="0.15">
      <c r="A33" s="3">
        <f>SHIP_MOD_TECH!A33</f>
        <v>11050104</v>
      </c>
      <c r="B33" s="19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</row>
    <row r="34" spans="1:102" s="3" customFormat="1" ht="17.25" thickBot="1" x14ac:dyDescent="0.2">
      <c r="A34" s="3">
        <f>SHIP_MOD_TECH!A34</f>
        <v>11050105</v>
      </c>
      <c r="B34" s="19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</row>
    <row r="35" spans="1:102" s="9" customFormat="1" x14ac:dyDescent="0.15">
      <c r="A35" s="9">
        <f>SHIP_MOD_TECH!A35</f>
        <v>11060101</v>
      </c>
      <c r="B35" s="197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45"/>
      <c r="BE35" s="45"/>
      <c r="BF35" s="45"/>
      <c r="BG35" s="45"/>
      <c r="BH35" s="45"/>
      <c r="BI35" s="45"/>
      <c r="BJ35" s="45"/>
      <c r="BK35" s="45"/>
      <c r="BL35" s="45"/>
      <c r="BM35" s="45"/>
      <c r="BN35" s="45"/>
      <c r="BO35" s="45"/>
      <c r="BP35" s="45"/>
      <c r="BQ35" s="45"/>
      <c r="BR35" s="45"/>
      <c r="BS35" s="45"/>
      <c r="BT35" s="45"/>
      <c r="BU35" s="45"/>
      <c r="BV35" s="45"/>
      <c r="BW35" s="45"/>
      <c r="BX35" s="45"/>
      <c r="BY35" s="45"/>
      <c r="BZ35" s="45"/>
      <c r="CA35" s="45"/>
      <c r="CB35" s="45"/>
      <c r="CC35" s="45"/>
      <c r="CD35" s="45"/>
      <c r="CE35" s="45"/>
      <c r="CF35" s="45"/>
      <c r="CG35" s="45"/>
      <c r="CH35" s="45"/>
      <c r="CI35" s="45"/>
      <c r="CJ35" s="45"/>
      <c r="CK35" s="45"/>
      <c r="CL35" s="45"/>
      <c r="CM35" s="45"/>
      <c r="CN35" s="45"/>
      <c r="CO35" s="45"/>
      <c r="CP35" s="45"/>
      <c r="CQ35" s="45"/>
      <c r="CR35" s="45"/>
      <c r="CS35" s="45"/>
      <c r="CT35" s="45"/>
      <c r="CU35" s="45"/>
      <c r="CV35" s="45"/>
      <c r="CW35" s="45"/>
      <c r="CX35" s="45"/>
    </row>
    <row r="36" spans="1:102" s="3" customFormat="1" x14ac:dyDescent="0.15">
      <c r="A36" s="3">
        <f>SHIP_MOD_TECH!A36</f>
        <v>11060102</v>
      </c>
      <c r="B36" s="19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</row>
    <row r="37" spans="1:102" s="3" customFormat="1" x14ac:dyDescent="0.15">
      <c r="A37" s="3">
        <f>SHIP_MOD_TECH!A37</f>
        <v>11060103</v>
      </c>
      <c r="B37" s="19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46"/>
      <c r="BZ37" s="46"/>
      <c r="CA37" s="46"/>
      <c r="CB37" s="46"/>
      <c r="CC37" s="46"/>
      <c r="CD37" s="46"/>
      <c r="CE37" s="46"/>
      <c r="CF37" s="46"/>
      <c r="CG37" s="46"/>
      <c r="CH37" s="46"/>
      <c r="CI37" s="46"/>
      <c r="CJ37" s="46"/>
      <c r="CK37" s="46"/>
      <c r="CL37" s="46"/>
      <c r="CM37" s="46"/>
      <c r="CN37" s="46"/>
      <c r="CO37" s="46"/>
      <c r="CP37" s="46"/>
      <c r="CQ37" s="46"/>
      <c r="CR37" s="46"/>
      <c r="CS37" s="46"/>
      <c r="CT37" s="46"/>
      <c r="CU37" s="46"/>
      <c r="CV37" s="46"/>
      <c r="CW37" s="46"/>
      <c r="CX37" s="46"/>
    </row>
    <row r="38" spans="1:102" s="3" customFormat="1" x14ac:dyDescent="0.15">
      <c r="A38" s="3">
        <f>SHIP_MOD_TECH!A38</f>
        <v>11060104</v>
      </c>
      <c r="B38" s="19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46"/>
      <c r="BN38" s="46"/>
      <c r="BO38" s="46"/>
      <c r="BP38" s="46"/>
      <c r="BQ38" s="46"/>
      <c r="BR38" s="46"/>
      <c r="BS38" s="46"/>
      <c r="BT38" s="46"/>
      <c r="BU38" s="46"/>
      <c r="BV38" s="46"/>
      <c r="BW38" s="46"/>
      <c r="BX38" s="46"/>
      <c r="BY38" s="46"/>
      <c r="BZ38" s="46"/>
      <c r="CA38" s="46"/>
      <c r="CB38" s="46"/>
      <c r="CC38" s="46"/>
      <c r="CD38" s="46"/>
      <c r="CE38" s="46"/>
      <c r="CF38" s="46"/>
      <c r="CG38" s="46"/>
      <c r="CH38" s="46"/>
      <c r="CI38" s="46"/>
      <c r="CJ38" s="46"/>
      <c r="CK38" s="46"/>
      <c r="CL38" s="46"/>
      <c r="CM38" s="46"/>
      <c r="CN38" s="46"/>
      <c r="CO38" s="46"/>
      <c r="CP38" s="46"/>
      <c r="CQ38" s="46"/>
      <c r="CR38" s="46"/>
      <c r="CS38" s="46"/>
      <c r="CT38" s="46"/>
      <c r="CU38" s="46"/>
      <c r="CV38" s="46"/>
      <c r="CW38" s="46"/>
      <c r="CX38" s="46"/>
    </row>
    <row r="39" spans="1:102" s="13" customFormat="1" ht="17.25" thickBot="1" x14ac:dyDescent="0.2">
      <c r="A39" s="13">
        <f>SHIP_MOD_TECH!A39</f>
        <v>11060105</v>
      </c>
      <c r="B39" s="198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</row>
    <row r="40" spans="1:102" s="3" customFormat="1" x14ac:dyDescent="0.15">
      <c r="A40" s="9">
        <f>SHIP_MOD_TECH!A40</f>
        <v>11070101</v>
      </c>
      <c r="B40" s="19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46"/>
      <c r="BX40" s="46"/>
      <c r="BY40" s="46"/>
      <c r="BZ40" s="46"/>
      <c r="CA40" s="46"/>
      <c r="CB40" s="46"/>
      <c r="CC40" s="46"/>
      <c r="CD40" s="46"/>
      <c r="CE40" s="46"/>
      <c r="CF40" s="46"/>
      <c r="CG40" s="46"/>
      <c r="CH40" s="46"/>
      <c r="CI40" s="46"/>
      <c r="CJ40" s="46"/>
      <c r="CK40" s="46"/>
      <c r="CL40" s="46"/>
      <c r="CM40" s="46"/>
      <c r="CN40" s="46"/>
      <c r="CO40" s="46"/>
      <c r="CP40" s="46"/>
      <c r="CQ40" s="46"/>
      <c r="CR40" s="46"/>
      <c r="CS40" s="46"/>
      <c r="CT40" s="46"/>
      <c r="CU40" s="46"/>
      <c r="CV40" s="46"/>
      <c r="CW40" s="46"/>
      <c r="CX40" s="46"/>
    </row>
    <row r="41" spans="1:102" s="3" customFormat="1" x14ac:dyDescent="0.15">
      <c r="A41" s="3">
        <f>SHIP_MOD_TECH!A41</f>
        <v>11070102</v>
      </c>
      <c r="B41" s="19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</row>
    <row r="42" spans="1:102" s="3" customFormat="1" x14ac:dyDescent="0.15">
      <c r="A42" s="3">
        <f>SHIP_MOD_TECH!A42</f>
        <v>11070103</v>
      </c>
      <c r="B42" s="19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46"/>
      <c r="BZ42" s="46"/>
      <c r="CA42" s="46"/>
      <c r="CB42" s="46"/>
      <c r="CC42" s="46"/>
      <c r="CD42" s="46"/>
      <c r="CE42" s="46"/>
      <c r="CF42" s="46"/>
      <c r="CG42" s="46"/>
      <c r="CH42" s="46"/>
      <c r="CI42" s="46"/>
      <c r="CJ42" s="46"/>
      <c r="CK42" s="46"/>
      <c r="CL42" s="46"/>
      <c r="CM42" s="46"/>
      <c r="CN42" s="46"/>
      <c r="CO42" s="46"/>
      <c r="CP42" s="46"/>
      <c r="CQ42" s="46"/>
      <c r="CR42" s="46"/>
      <c r="CS42" s="46"/>
      <c r="CT42" s="46"/>
      <c r="CU42" s="46"/>
      <c r="CV42" s="46"/>
      <c r="CW42" s="46"/>
      <c r="CX42" s="46"/>
    </row>
    <row r="43" spans="1:102" s="3" customFormat="1" x14ac:dyDescent="0.15">
      <c r="A43" s="3">
        <f>SHIP_MOD_TECH!A43</f>
        <v>11070104</v>
      </c>
      <c r="B43" s="19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  <c r="CW43" s="46"/>
      <c r="CX43" s="46"/>
    </row>
    <row r="44" spans="1:102" s="3" customFormat="1" ht="17.25" thickBot="1" x14ac:dyDescent="0.2">
      <c r="A44" s="3">
        <f>SHIP_MOD_TECH!A44</f>
        <v>11070105</v>
      </c>
      <c r="B44" s="19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46"/>
      <c r="BX44" s="46"/>
      <c r="BY44" s="46"/>
      <c r="BZ44" s="46"/>
      <c r="CA44" s="46"/>
      <c r="CB44" s="46"/>
      <c r="CC44" s="46"/>
      <c r="CD44" s="46"/>
      <c r="CE44" s="46"/>
      <c r="CF44" s="46"/>
      <c r="CG44" s="46"/>
      <c r="CH44" s="46"/>
      <c r="CI44" s="46"/>
      <c r="CJ44" s="46"/>
      <c r="CK44" s="46"/>
      <c r="CL44" s="46"/>
      <c r="CM44" s="46"/>
      <c r="CN44" s="46"/>
      <c r="CO44" s="46"/>
      <c r="CP44" s="46"/>
      <c r="CQ44" s="46"/>
      <c r="CR44" s="46"/>
      <c r="CS44" s="46"/>
      <c r="CT44" s="46"/>
      <c r="CU44" s="46"/>
      <c r="CV44" s="46"/>
      <c r="CW44" s="46"/>
      <c r="CX44" s="46"/>
    </row>
    <row r="45" spans="1:102" s="9" customFormat="1" x14ac:dyDescent="0.15">
      <c r="A45" s="9">
        <f>SHIP_MOD_TECH!A45</f>
        <v>11080101</v>
      </c>
      <c r="B45" s="197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  <c r="BZ45" s="45"/>
      <c r="CA45" s="45"/>
      <c r="CB45" s="45"/>
      <c r="CC45" s="45"/>
      <c r="CD45" s="45"/>
      <c r="CE45" s="45"/>
      <c r="CF45" s="45"/>
      <c r="CG45" s="45"/>
      <c r="CH45" s="45"/>
      <c r="CI45" s="45"/>
      <c r="CJ45" s="45"/>
      <c r="CK45" s="45"/>
      <c r="CL45" s="45"/>
      <c r="CM45" s="45"/>
      <c r="CN45" s="45"/>
      <c r="CO45" s="45"/>
      <c r="CP45" s="45"/>
      <c r="CQ45" s="45"/>
      <c r="CR45" s="45"/>
      <c r="CS45" s="45"/>
      <c r="CT45" s="45"/>
      <c r="CU45" s="45"/>
      <c r="CV45" s="45"/>
      <c r="CW45" s="45"/>
      <c r="CX45" s="45"/>
    </row>
    <row r="46" spans="1:102" s="3" customFormat="1" x14ac:dyDescent="0.15">
      <c r="A46" s="3">
        <f>SHIP_MOD_TECH!A46</f>
        <v>11080102</v>
      </c>
      <c r="B46" s="19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46"/>
      <c r="BX46" s="46"/>
      <c r="BY46" s="46"/>
      <c r="BZ46" s="46"/>
      <c r="CA46" s="46"/>
      <c r="CB46" s="46"/>
      <c r="CC46" s="46"/>
      <c r="CD46" s="46"/>
      <c r="CE46" s="46"/>
      <c r="CF46" s="46"/>
      <c r="CG46" s="46"/>
      <c r="CH46" s="46"/>
      <c r="CI46" s="46"/>
      <c r="CJ46" s="46"/>
      <c r="CK46" s="46"/>
      <c r="CL46" s="46"/>
      <c r="CM46" s="46"/>
      <c r="CN46" s="46"/>
      <c r="CO46" s="46"/>
      <c r="CP46" s="46"/>
      <c r="CQ46" s="46"/>
      <c r="CR46" s="46"/>
      <c r="CS46" s="46"/>
      <c r="CT46" s="46"/>
      <c r="CU46" s="46"/>
      <c r="CV46" s="46"/>
      <c r="CW46" s="46"/>
      <c r="CX46" s="46"/>
    </row>
    <row r="47" spans="1:102" s="3" customFormat="1" x14ac:dyDescent="0.15">
      <c r="A47" s="3">
        <f>SHIP_MOD_TECH!A47</f>
        <v>11080103</v>
      </c>
      <c r="B47" s="19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46"/>
      <c r="BX47" s="46"/>
      <c r="BY47" s="46"/>
      <c r="BZ47" s="46"/>
      <c r="CA47" s="46"/>
      <c r="CB47" s="46"/>
      <c r="CC47" s="46"/>
      <c r="CD47" s="46"/>
      <c r="CE47" s="46"/>
      <c r="CF47" s="46"/>
      <c r="CG47" s="46"/>
      <c r="CH47" s="46"/>
      <c r="CI47" s="46"/>
      <c r="CJ47" s="46"/>
      <c r="CK47" s="46"/>
      <c r="CL47" s="46"/>
      <c r="CM47" s="46"/>
      <c r="CN47" s="46"/>
      <c r="CO47" s="46"/>
      <c r="CP47" s="46"/>
      <c r="CQ47" s="46"/>
      <c r="CR47" s="46"/>
      <c r="CS47" s="46"/>
      <c r="CT47" s="46"/>
      <c r="CU47" s="46"/>
      <c r="CV47" s="46"/>
      <c r="CW47" s="46"/>
      <c r="CX47" s="46"/>
    </row>
    <row r="48" spans="1:102" s="3" customFormat="1" x14ac:dyDescent="0.15">
      <c r="A48" s="3">
        <f>SHIP_MOD_TECH!A48</f>
        <v>11080104</v>
      </c>
      <c r="B48" s="19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</row>
    <row r="49" spans="1:102" s="13" customFormat="1" ht="17.25" thickBot="1" x14ac:dyDescent="0.2">
      <c r="A49" s="13">
        <f>SHIP_MOD_TECH!A49</f>
        <v>11080105</v>
      </c>
      <c r="B49" s="198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</row>
    <row r="50" spans="1:102" s="3" customFormat="1" x14ac:dyDescent="0.15">
      <c r="A50" s="9">
        <f>SHIP_MOD_TECH!A50</f>
        <v>11090101</v>
      </c>
      <c r="B50" s="19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</row>
    <row r="51" spans="1:102" s="3" customFormat="1" x14ac:dyDescent="0.15">
      <c r="A51" s="3">
        <f>SHIP_MOD_TECH!A51</f>
        <v>11090102</v>
      </c>
      <c r="B51" s="19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</row>
    <row r="52" spans="1:102" x14ac:dyDescent="0.15">
      <c r="A52" s="3">
        <f>SHIP_MOD_TECH!A52</f>
        <v>11090103</v>
      </c>
    </row>
    <row r="53" spans="1:102" x14ac:dyDescent="0.15">
      <c r="A53" s="3">
        <f>SHIP_MOD_TECH!A53</f>
        <v>11090104</v>
      </c>
    </row>
    <row r="54" spans="1:102" s="3" customFormat="1" ht="17.25" thickBot="1" x14ac:dyDescent="0.2">
      <c r="A54" s="3">
        <f>SHIP_MOD_TECH!A54</f>
        <v>11090105</v>
      </c>
      <c r="B54" s="19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</row>
    <row r="55" spans="1:102" s="9" customFormat="1" x14ac:dyDescent="0.15">
      <c r="A55" s="9">
        <f>SHIP_MOD_TECH!A55</f>
        <v>11100101</v>
      </c>
      <c r="B55" s="197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  <c r="BE55" s="45"/>
      <c r="BF55" s="45"/>
      <c r="BG55" s="45"/>
      <c r="BH55" s="45"/>
      <c r="BI55" s="45"/>
      <c r="BJ55" s="45"/>
      <c r="BK55" s="45"/>
      <c r="BL55" s="45"/>
      <c r="BM55" s="45"/>
      <c r="BN55" s="45"/>
      <c r="BO55" s="45"/>
      <c r="BP55" s="45"/>
      <c r="BQ55" s="45"/>
      <c r="BR55" s="45"/>
      <c r="BS55" s="45"/>
      <c r="BT55" s="45"/>
      <c r="BU55" s="45"/>
      <c r="BV55" s="45"/>
      <c r="BW55" s="45"/>
      <c r="BX55" s="45"/>
      <c r="BY55" s="45"/>
      <c r="BZ55" s="45"/>
      <c r="CA55" s="45"/>
      <c r="CB55" s="45"/>
      <c r="CC55" s="45"/>
      <c r="CD55" s="45"/>
      <c r="CE55" s="45"/>
      <c r="CF55" s="45"/>
      <c r="CG55" s="45"/>
      <c r="CH55" s="45"/>
      <c r="CI55" s="45"/>
      <c r="CJ55" s="45"/>
      <c r="CK55" s="45"/>
      <c r="CL55" s="45"/>
      <c r="CM55" s="45"/>
      <c r="CN55" s="45"/>
      <c r="CO55" s="45"/>
      <c r="CP55" s="45"/>
      <c r="CQ55" s="45"/>
      <c r="CR55" s="45"/>
      <c r="CS55" s="45"/>
      <c r="CT55" s="45"/>
      <c r="CU55" s="45"/>
      <c r="CV55" s="45"/>
      <c r="CW55" s="45"/>
      <c r="CX55" s="45"/>
    </row>
    <row r="56" spans="1:102" s="3" customFormat="1" x14ac:dyDescent="0.15">
      <c r="A56" s="3">
        <f>SHIP_MOD_TECH!A56</f>
        <v>11100102</v>
      </c>
      <c r="B56" s="19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</row>
    <row r="57" spans="1:102" s="3" customFormat="1" x14ac:dyDescent="0.15">
      <c r="A57" s="3">
        <f>SHIP_MOD_TECH!A57</f>
        <v>11100103</v>
      </c>
      <c r="B57" s="19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</row>
    <row r="58" spans="1:102" s="3" customFormat="1" x14ac:dyDescent="0.15">
      <c r="A58" s="3">
        <f>SHIP_MOD_TECH!A58</f>
        <v>11100104</v>
      </c>
      <c r="B58" s="19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</row>
    <row r="59" spans="1:102" s="13" customFormat="1" ht="17.25" thickBot="1" x14ac:dyDescent="0.2">
      <c r="A59" s="13">
        <f>SHIP_MOD_TECH!A59</f>
        <v>11100105</v>
      </c>
      <c r="B59" s="198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  <c r="CX59" s="44"/>
    </row>
    <row r="60" spans="1:102" s="3" customFormat="1" x14ac:dyDescent="0.15">
      <c r="A60" s="9"/>
      <c r="B60" s="19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7" tint="0.79998168889431442"/>
  </sheetPr>
  <dimension ref="A1:EF169"/>
  <sheetViews>
    <sheetView zoomScaleNormal="100" workbookViewId="0">
      <selection activeCell="Q5" sqref="Q5:Q46"/>
    </sheetView>
  </sheetViews>
  <sheetFormatPr defaultColWidth="7.75" defaultRowHeight="16.5" x14ac:dyDescent="0.15"/>
  <cols>
    <col min="1" max="1" width="9.875" style="84" bestFit="1" customWidth="1"/>
    <col min="2" max="2" width="9.875" style="62" bestFit="1" customWidth="1"/>
    <col min="3" max="3" width="9.875" style="84" bestFit="1" customWidth="1"/>
    <col min="4" max="4" width="12" style="24" bestFit="1" customWidth="1"/>
    <col min="5" max="5" width="3.25" style="33" bestFit="1" customWidth="1"/>
    <col min="6" max="6" width="3.25" style="62" customWidth="1"/>
    <col min="7" max="7" width="3.875" style="62" bestFit="1" customWidth="1"/>
    <col min="8" max="8" width="2.75" style="84" bestFit="1" customWidth="1"/>
    <col min="9" max="9" width="3.25" style="62" bestFit="1" customWidth="1"/>
    <col min="10" max="10" width="5.75" style="233" bestFit="1" customWidth="1"/>
    <col min="11" max="11" width="18.125" style="35" bestFit="1" customWidth="1"/>
    <col min="12" max="12" width="9.875" style="62" bestFit="1" customWidth="1"/>
    <col min="13" max="14" width="10.75" style="35" bestFit="1" customWidth="1"/>
    <col min="15" max="15" width="10" style="188" bestFit="1" customWidth="1"/>
    <col min="16" max="16" width="5.75" style="233" bestFit="1" customWidth="1"/>
    <col min="17" max="17" width="20.25" style="35" bestFit="1" customWidth="1"/>
    <col min="18" max="18" width="25.125" style="35" customWidth="1"/>
    <col min="19" max="19" width="17.125" style="33" bestFit="1" customWidth="1"/>
    <col min="20" max="20" width="5.75" style="33" customWidth="1"/>
    <col min="21" max="21" width="10" style="35" bestFit="1" customWidth="1"/>
    <col min="22" max="22" width="14.25" style="35" bestFit="1" customWidth="1"/>
    <col min="23" max="23" width="22.25" style="35" bestFit="1" customWidth="1"/>
    <col min="24" max="24" width="22.25" style="84" bestFit="1" customWidth="1"/>
    <col min="25" max="25" width="14.25" style="84" bestFit="1" customWidth="1"/>
    <col min="26" max="26" width="37.75" style="75" bestFit="1" customWidth="1"/>
    <col min="27" max="27" width="23.75" style="35" bestFit="1" customWidth="1"/>
    <col min="28" max="29" width="14.75" style="188" bestFit="1" customWidth="1"/>
    <col min="30" max="30" width="5.75" style="233" bestFit="1" customWidth="1"/>
    <col min="31" max="31" width="14.75" style="188" bestFit="1" customWidth="1"/>
    <col min="32" max="32" width="19.125" style="188" bestFit="1" customWidth="1"/>
    <col min="33" max="33" width="14.25" style="188" bestFit="1" customWidth="1"/>
    <col min="34" max="34" width="16" style="188" bestFit="1" customWidth="1"/>
    <col min="35" max="35" width="16.125" style="188" bestFit="1" customWidth="1"/>
    <col min="36" max="36" width="15.875" style="188" bestFit="1" customWidth="1"/>
    <col min="37" max="37" width="5.75" style="233" bestFit="1" customWidth="1"/>
    <col min="38" max="38" width="15.875" style="188" bestFit="1" customWidth="1"/>
    <col min="39" max="39" width="5.75" style="233" bestFit="1" customWidth="1"/>
    <col min="40" max="41" width="10.75" style="36" customWidth="1"/>
    <col min="42" max="42" width="10.125" style="35" bestFit="1" customWidth="1"/>
    <col min="43" max="45" width="3.25" style="33" bestFit="1" customWidth="1"/>
    <col min="46" max="46" width="11.25" style="35" bestFit="1" customWidth="1"/>
    <col min="47" max="47" width="10.75" style="35" bestFit="1" customWidth="1"/>
    <col min="48" max="48" width="10" style="35" bestFit="1" customWidth="1"/>
    <col min="49" max="49" width="5.75" style="233" bestFit="1" customWidth="1"/>
    <col min="50" max="50" width="10" style="35" bestFit="1" customWidth="1"/>
    <col min="51" max="51" width="15" style="35" bestFit="1" customWidth="1"/>
    <col min="52" max="52" width="11.125" style="35" bestFit="1" customWidth="1"/>
    <col min="53" max="53" width="12.875" style="35" bestFit="1" customWidth="1"/>
    <col min="54" max="54" width="10" style="35" bestFit="1" customWidth="1"/>
    <col min="55" max="55" width="11.75" style="35" bestFit="1" customWidth="1"/>
    <col min="56" max="57" width="10" style="35" bestFit="1" customWidth="1"/>
    <col min="58" max="58" width="17.25" style="35" bestFit="1" customWidth="1"/>
    <col min="59" max="59" width="15.875" style="35" bestFit="1" customWidth="1"/>
    <col min="60" max="60" width="16.875" style="35" customWidth="1"/>
    <col min="61" max="61" width="17.75" style="35" bestFit="1" customWidth="1"/>
    <col min="62" max="62" width="18.125" style="35" bestFit="1" customWidth="1"/>
    <col min="63" max="63" width="12.25" style="35" bestFit="1" customWidth="1"/>
    <col min="64" max="64" width="14.25" style="34" customWidth="1"/>
    <col min="65" max="67" width="12.25" style="35" bestFit="1" customWidth="1"/>
    <col min="68" max="68" width="5.75" style="233" bestFit="1" customWidth="1"/>
    <col min="69" max="69" width="5.75" style="50" bestFit="1" customWidth="1"/>
    <col min="70" max="70" width="12.75" style="51" bestFit="1" customWidth="1"/>
    <col min="71" max="71" width="14.875" style="53" bestFit="1" customWidth="1"/>
    <col min="72" max="72" width="9.875" style="50" bestFit="1" customWidth="1"/>
    <col min="73" max="77" width="9.875" style="52" bestFit="1" customWidth="1"/>
    <col min="78" max="78" width="14.25" style="53" bestFit="1" customWidth="1"/>
    <col min="79" max="79" width="17" style="53" bestFit="1" customWidth="1"/>
    <col min="80" max="80" width="14.25" style="53" bestFit="1" customWidth="1"/>
    <col min="81" max="81" width="14.75" style="53" bestFit="1" customWidth="1"/>
    <col min="82" max="82" width="15.75" style="51" bestFit="1" customWidth="1"/>
    <col min="83" max="84" width="14.25" style="51" bestFit="1" customWidth="1"/>
    <col min="85" max="85" width="18.125" style="51" bestFit="1" customWidth="1"/>
    <col min="86" max="86" width="16.75" style="53" bestFit="1" customWidth="1"/>
    <col min="87" max="87" width="17.25" style="53" bestFit="1" customWidth="1"/>
    <col min="88" max="88" width="11.125" style="51" bestFit="1" customWidth="1"/>
    <col min="89" max="89" width="16.75" style="51" bestFit="1" customWidth="1"/>
    <col min="90" max="90" width="13.75" style="51" bestFit="1" customWidth="1"/>
    <col min="91" max="91" width="14.25" style="52" bestFit="1" customWidth="1"/>
    <col min="92" max="94" width="13.25" style="51" bestFit="1" customWidth="1"/>
    <col min="95" max="95" width="5.75" style="233" bestFit="1" customWidth="1"/>
    <col min="96" max="96" width="14.25" style="34" customWidth="1"/>
    <col min="97" max="97" width="10" style="35" bestFit="1" customWidth="1"/>
    <col min="98" max="98" width="15.25" style="35" bestFit="1" customWidth="1"/>
    <col min="99" max="99" width="23.25" style="35" bestFit="1" customWidth="1"/>
    <col min="100" max="100" width="5.75" style="233" bestFit="1" customWidth="1"/>
    <col min="101" max="101" width="21" style="35" bestFit="1" customWidth="1"/>
    <col min="102" max="102" width="14.25" style="35" bestFit="1" customWidth="1"/>
    <col min="103" max="103" width="19.875" style="35" bestFit="1" customWidth="1"/>
    <col min="104" max="104" width="15.25" style="35" bestFit="1" customWidth="1"/>
    <col min="105" max="105" width="10" style="35" bestFit="1" customWidth="1"/>
    <col min="106" max="106" width="14.25" style="35" bestFit="1" customWidth="1"/>
    <col min="107" max="107" width="5.75" style="233" bestFit="1" customWidth="1"/>
    <col min="108" max="108" width="11.25" style="104" bestFit="1" customWidth="1"/>
    <col min="109" max="110" width="3.25" style="103" bestFit="1" customWidth="1"/>
    <col min="111" max="112" width="3.875" style="103" bestFit="1" customWidth="1"/>
    <col min="113" max="113" width="10" style="35" bestFit="1" customWidth="1"/>
    <col min="114" max="114" width="12" style="172" bestFit="1" customWidth="1"/>
    <col min="115" max="115" width="17.125" style="104" bestFit="1" customWidth="1"/>
    <col min="116" max="116" width="12.875" style="104" bestFit="1" customWidth="1"/>
    <col min="117" max="117" width="9.875" style="103" bestFit="1" customWidth="1"/>
    <col min="118" max="118" width="16.25" style="102" bestFit="1" customWidth="1"/>
    <col min="119" max="119" width="17.125" style="104" bestFit="1" customWidth="1"/>
    <col min="120" max="120" width="12.875" style="104" bestFit="1" customWidth="1"/>
    <col min="121" max="121" width="9.875" style="103" bestFit="1" customWidth="1"/>
    <col min="122" max="122" width="16.25" style="102" bestFit="1" customWidth="1"/>
    <col min="123" max="123" width="17.125" style="104" bestFit="1" customWidth="1"/>
    <col min="124" max="124" width="10" style="104" bestFit="1" customWidth="1"/>
    <col min="125" max="125" width="9.875" style="103" bestFit="1" customWidth="1"/>
    <col min="126" max="126" width="16.25" style="102" bestFit="1" customWidth="1"/>
    <col min="127" max="127" width="17.125" style="104" bestFit="1" customWidth="1"/>
    <col min="128" max="128" width="10" style="104" bestFit="1" customWidth="1"/>
    <col min="129" max="129" width="9.875" style="103" bestFit="1" customWidth="1"/>
    <col min="130" max="130" width="16.25" style="102" bestFit="1" customWidth="1"/>
    <col min="131" max="131" width="17.125" style="104" bestFit="1" customWidth="1"/>
    <col min="132" max="132" width="10" style="104" bestFit="1" customWidth="1"/>
    <col min="133" max="133" width="9.875" style="103" bestFit="1" customWidth="1"/>
    <col min="134" max="134" width="16.25" style="102" bestFit="1" customWidth="1"/>
    <col min="135" max="135" width="5.75" style="233" bestFit="1" customWidth="1"/>
    <col min="136" max="136" width="10.25" style="35" bestFit="1" customWidth="1"/>
    <col min="137" max="16384" width="7.75" style="24"/>
  </cols>
  <sheetData>
    <row r="1" spans="1:136" x14ac:dyDescent="0.15">
      <c r="D1" s="24" t="s">
        <v>59</v>
      </c>
      <c r="K1" s="35" t="s">
        <v>60</v>
      </c>
      <c r="M1" s="35" t="s">
        <v>60</v>
      </c>
      <c r="N1" s="35" t="s">
        <v>60</v>
      </c>
      <c r="O1" s="188" t="s">
        <v>60</v>
      </c>
      <c r="Q1" s="35" t="s">
        <v>60</v>
      </c>
      <c r="R1" s="35" t="s">
        <v>60</v>
      </c>
      <c r="U1" s="35" t="s">
        <v>60</v>
      </c>
      <c r="V1" s="35" t="s">
        <v>60</v>
      </c>
      <c r="W1" s="35" t="s">
        <v>60</v>
      </c>
      <c r="Z1" s="137" t="s">
        <v>60</v>
      </c>
      <c r="AA1" s="138" t="s">
        <v>60</v>
      </c>
      <c r="AB1" s="188" t="s">
        <v>60</v>
      </c>
      <c r="AC1" s="188" t="s">
        <v>60</v>
      </c>
      <c r="AE1" s="188" t="s">
        <v>60</v>
      </c>
      <c r="AF1" s="188" t="s">
        <v>60</v>
      </c>
      <c r="AG1" s="188" t="s">
        <v>60</v>
      </c>
      <c r="AH1" s="188" t="s">
        <v>60</v>
      </c>
      <c r="AI1" s="188" t="s">
        <v>60</v>
      </c>
      <c r="AJ1" s="188" t="s">
        <v>60</v>
      </c>
      <c r="AL1" s="188" t="s">
        <v>60</v>
      </c>
      <c r="AP1" s="35" t="s">
        <v>60</v>
      </c>
      <c r="AT1" s="35" t="s">
        <v>60</v>
      </c>
      <c r="AU1" s="35" t="s">
        <v>60</v>
      </c>
      <c r="AV1" s="35" t="s">
        <v>60</v>
      </c>
      <c r="AX1" s="35" t="s">
        <v>60</v>
      </c>
      <c r="AY1" s="35" t="s">
        <v>60</v>
      </c>
      <c r="AZ1" s="35" t="s">
        <v>60</v>
      </c>
      <c r="BA1" s="35" t="s">
        <v>60</v>
      </c>
      <c r="BB1" s="35" t="s">
        <v>60</v>
      </c>
      <c r="BC1" s="35" t="s">
        <v>60</v>
      </c>
      <c r="BD1" s="35" t="s">
        <v>60</v>
      </c>
      <c r="BE1" s="35" t="s">
        <v>60</v>
      </c>
      <c r="BF1" s="35" t="s">
        <v>60</v>
      </c>
      <c r="BG1" s="35" t="s">
        <v>60</v>
      </c>
      <c r="BH1" s="35" t="s">
        <v>60</v>
      </c>
      <c r="BI1" s="35" t="s">
        <v>60</v>
      </c>
      <c r="BJ1" s="35" t="s">
        <v>60</v>
      </c>
      <c r="BK1" s="35" t="s">
        <v>60</v>
      </c>
      <c r="BM1" s="35" t="s">
        <v>60</v>
      </c>
      <c r="BN1" s="35" t="s">
        <v>60</v>
      </c>
      <c r="BO1" s="35" t="s">
        <v>60</v>
      </c>
      <c r="BR1" s="51" t="s">
        <v>60</v>
      </c>
      <c r="BS1" s="75" t="s">
        <v>60</v>
      </c>
      <c r="BZ1" s="75" t="s">
        <v>60</v>
      </c>
      <c r="CA1" s="75" t="s">
        <v>60</v>
      </c>
      <c r="CB1" s="75" t="s">
        <v>60</v>
      </c>
      <c r="CC1" s="75" t="s">
        <v>60</v>
      </c>
      <c r="CD1" s="51" t="s">
        <v>60</v>
      </c>
      <c r="CE1" s="51" t="s">
        <v>60</v>
      </c>
      <c r="CF1" s="51" t="s">
        <v>60</v>
      </c>
      <c r="CG1" s="51" t="s">
        <v>60</v>
      </c>
      <c r="CH1" s="53" t="s">
        <v>60</v>
      </c>
      <c r="CI1" s="53" t="s">
        <v>60</v>
      </c>
      <c r="CJ1" s="51" t="s">
        <v>60</v>
      </c>
      <c r="CK1" s="51" t="s">
        <v>60</v>
      </c>
      <c r="CL1" s="51" t="s">
        <v>60</v>
      </c>
      <c r="CN1" s="51" t="s">
        <v>60</v>
      </c>
      <c r="CO1" s="51" t="s">
        <v>60</v>
      </c>
      <c r="CP1" s="51" t="s">
        <v>60</v>
      </c>
      <c r="CS1" s="35" t="s">
        <v>60</v>
      </c>
      <c r="CT1" s="35" t="s">
        <v>60</v>
      </c>
      <c r="CU1" s="35" t="s">
        <v>60</v>
      </c>
      <c r="CW1" s="35" t="s">
        <v>60</v>
      </c>
      <c r="CX1" s="35" t="s">
        <v>60</v>
      </c>
      <c r="CY1" s="35" t="s">
        <v>60</v>
      </c>
      <c r="CZ1" s="35" t="s">
        <v>60</v>
      </c>
      <c r="DA1" s="35" t="s">
        <v>60</v>
      </c>
      <c r="DB1" s="35" t="s">
        <v>60</v>
      </c>
      <c r="DD1" s="136" t="s">
        <v>60</v>
      </c>
      <c r="DE1" s="135"/>
      <c r="DF1" s="135"/>
      <c r="DG1" s="135"/>
      <c r="DH1" s="135"/>
      <c r="DI1" s="35" t="s">
        <v>60</v>
      </c>
      <c r="DJ1" s="183" t="s">
        <v>112</v>
      </c>
      <c r="DK1" s="136" t="s">
        <v>404</v>
      </c>
      <c r="DL1" s="136" t="s">
        <v>60</v>
      </c>
      <c r="DM1" s="135"/>
      <c r="DN1" s="134" t="s">
        <v>60</v>
      </c>
      <c r="DO1" s="136" t="s">
        <v>404</v>
      </c>
      <c r="DP1" s="136" t="s">
        <v>60</v>
      </c>
      <c r="DQ1" s="135"/>
      <c r="DR1" s="134" t="s">
        <v>60</v>
      </c>
      <c r="DS1" s="136" t="s">
        <v>404</v>
      </c>
      <c r="DT1" s="136" t="s">
        <v>60</v>
      </c>
      <c r="DU1" s="135"/>
      <c r="DV1" s="134" t="s">
        <v>60</v>
      </c>
      <c r="DW1" s="136" t="s">
        <v>404</v>
      </c>
      <c r="DX1" s="136" t="s">
        <v>60</v>
      </c>
      <c r="DY1" s="135"/>
      <c r="DZ1" s="134" t="s">
        <v>60</v>
      </c>
      <c r="EA1" s="136" t="s">
        <v>404</v>
      </c>
      <c r="EB1" s="136" t="s">
        <v>60</v>
      </c>
      <c r="EC1" s="135"/>
      <c r="ED1" s="134" t="s">
        <v>60</v>
      </c>
      <c r="EF1" s="35" t="s">
        <v>60</v>
      </c>
    </row>
    <row r="2" spans="1:136" x14ac:dyDescent="0.15">
      <c r="D2" s="24" t="s">
        <v>61</v>
      </c>
      <c r="K2" s="35" t="s">
        <v>61</v>
      </c>
      <c r="M2" s="35" t="s">
        <v>61</v>
      </c>
      <c r="N2" s="35" t="s">
        <v>61</v>
      </c>
      <c r="O2" s="188" t="s">
        <v>61</v>
      </c>
      <c r="Q2" s="35" t="s">
        <v>62</v>
      </c>
      <c r="R2" s="35" t="s">
        <v>62</v>
      </c>
      <c r="U2" s="35" t="s">
        <v>61</v>
      </c>
      <c r="V2" s="35" t="s">
        <v>61</v>
      </c>
      <c r="W2" s="35" t="s">
        <v>62</v>
      </c>
      <c r="Z2" s="137" t="s">
        <v>62</v>
      </c>
      <c r="AA2" s="138" t="s">
        <v>62</v>
      </c>
      <c r="AB2" s="188" t="s">
        <v>61</v>
      </c>
      <c r="AC2" s="188" t="s">
        <v>61</v>
      </c>
      <c r="AE2" s="188" t="s">
        <v>61</v>
      </c>
      <c r="AF2" s="188" t="s">
        <v>61</v>
      </c>
      <c r="AG2" s="188" t="s">
        <v>61</v>
      </c>
      <c r="AH2" s="188" t="s">
        <v>61</v>
      </c>
      <c r="AI2" s="188" t="s">
        <v>61</v>
      </c>
      <c r="AJ2" s="188" t="s">
        <v>61</v>
      </c>
      <c r="AL2" s="188" t="s">
        <v>61</v>
      </c>
      <c r="AP2" s="35" t="s">
        <v>61</v>
      </c>
      <c r="AT2" s="35" t="s">
        <v>61</v>
      </c>
      <c r="AU2" s="35" t="s">
        <v>61</v>
      </c>
      <c r="AV2" s="35" t="s">
        <v>61</v>
      </c>
      <c r="AX2" s="35" t="s">
        <v>61</v>
      </c>
      <c r="AY2" s="35" t="s">
        <v>61</v>
      </c>
      <c r="AZ2" s="35" t="s">
        <v>61</v>
      </c>
      <c r="BA2" s="35" t="s">
        <v>61</v>
      </c>
      <c r="BB2" s="35" t="s">
        <v>61</v>
      </c>
      <c r="BC2" s="35" t="s">
        <v>61</v>
      </c>
      <c r="BD2" s="35" t="s">
        <v>61</v>
      </c>
      <c r="BE2" s="35" t="s">
        <v>61</v>
      </c>
      <c r="BF2" s="35" t="s">
        <v>61</v>
      </c>
      <c r="BG2" s="35" t="s">
        <v>61</v>
      </c>
      <c r="BH2" s="35" t="s">
        <v>61</v>
      </c>
      <c r="BI2" s="35" t="s">
        <v>61</v>
      </c>
      <c r="BJ2" s="35" t="s">
        <v>61</v>
      </c>
      <c r="BK2" s="35" t="s">
        <v>61</v>
      </c>
      <c r="BM2" s="35" t="s">
        <v>61</v>
      </c>
      <c r="BN2" s="35" t="s">
        <v>61</v>
      </c>
      <c r="BO2" s="35" t="s">
        <v>61</v>
      </c>
      <c r="BR2" s="51" t="s">
        <v>61</v>
      </c>
      <c r="BS2" s="53" t="s">
        <v>61</v>
      </c>
      <c r="BZ2" s="53" t="s">
        <v>61</v>
      </c>
      <c r="CA2" s="53" t="s">
        <v>61</v>
      </c>
      <c r="CB2" s="53" t="s">
        <v>61</v>
      </c>
      <c r="CC2" s="53" t="s">
        <v>61</v>
      </c>
      <c r="CD2" s="51" t="s">
        <v>61</v>
      </c>
      <c r="CE2" s="51" t="s">
        <v>61</v>
      </c>
      <c r="CF2" s="51" t="s">
        <v>61</v>
      </c>
      <c r="CG2" s="51" t="s">
        <v>61</v>
      </c>
      <c r="CH2" s="53" t="s">
        <v>61</v>
      </c>
      <c r="CI2" s="53" t="s">
        <v>61</v>
      </c>
      <c r="CJ2" s="51" t="s">
        <v>61</v>
      </c>
      <c r="CK2" s="51" t="s">
        <v>61</v>
      </c>
      <c r="CL2" s="51" t="s">
        <v>61</v>
      </c>
      <c r="CN2" s="51" t="s">
        <v>61</v>
      </c>
      <c r="CO2" s="51" t="s">
        <v>61</v>
      </c>
      <c r="CP2" s="51" t="s">
        <v>61</v>
      </c>
      <c r="CS2" s="35" t="s">
        <v>61</v>
      </c>
      <c r="CT2" s="35" t="s">
        <v>61</v>
      </c>
      <c r="CU2" s="35" t="s">
        <v>61</v>
      </c>
      <c r="CW2" s="35" t="s">
        <v>61</v>
      </c>
      <c r="CX2" s="35" t="s">
        <v>61</v>
      </c>
      <c r="CY2" s="35" t="s">
        <v>61</v>
      </c>
      <c r="CZ2" s="35" t="s">
        <v>61</v>
      </c>
      <c r="DA2" s="35" t="s">
        <v>61</v>
      </c>
      <c r="DB2" s="35" t="s">
        <v>61</v>
      </c>
      <c r="DD2" s="133" t="s">
        <v>61</v>
      </c>
      <c r="DE2" s="132"/>
      <c r="DF2" s="132"/>
      <c r="DG2" s="132"/>
      <c r="DH2" s="132"/>
      <c r="DI2" s="35" t="s">
        <v>61</v>
      </c>
      <c r="DJ2" s="184">
        <v>5</v>
      </c>
      <c r="DK2" s="133">
        <v>3</v>
      </c>
      <c r="DL2" s="133" t="s">
        <v>61</v>
      </c>
      <c r="DM2" s="132"/>
      <c r="DN2" s="131" t="s">
        <v>61</v>
      </c>
      <c r="DO2" s="133">
        <v>3</v>
      </c>
      <c r="DP2" s="133" t="s">
        <v>61</v>
      </c>
      <c r="DQ2" s="132"/>
      <c r="DR2" s="131" t="s">
        <v>61</v>
      </c>
      <c r="DS2" s="133">
        <v>3</v>
      </c>
      <c r="DT2" s="133" t="s">
        <v>61</v>
      </c>
      <c r="DU2" s="132"/>
      <c r="DV2" s="131" t="s">
        <v>61</v>
      </c>
      <c r="DW2" s="133">
        <v>3</v>
      </c>
      <c r="DX2" s="133" t="s">
        <v>61</v>
      </c>
      <c r="DY2" s="132"/>
      <c r="DZ2" s="131" t="s">
        <v>61</v>
      </c>
      <c r="EA2" s="133">
        <v>3</v>
      </c>
      <c r="EB2" s="133" t="s">
        <v>61</v>
      </c>
      <c r="EC2" s="132"/>
      <c r="ED2" s="131" t="s">
        <v>61</v>
      </c>
      <c r="EF2" s="35" t="s">
        <v>61</v>
      </c>
    </row>
    <row r="3" spans="1:136" x14ac:dyDescent="0.15">
      <c r="D3" s="24" t="s">
        <v>360</v>
      </c>
      <c r="K3" s="35" t="s">
        <v>121</v>
      </c>
      <c r="M3" s="35" t="s">
        <v>141</v>
      </c>
      <c r="N3" s="35" t="s">
        <v>139</v>
      </c>
      <c r="O3" s="188" t="s">
        <v>660</v>
      </c>
      <c r="Q3" s="35" t="s">
        <v>976</v>
      </c>
      <c r="R3" s="35" t="s">
        <v>140</v>
      </c>
      <c r="U3" s="35" t="s">
        <v>552</v>
      </c>
      <c r="V3" s="35" t="s">
        <v>1092</v>
      </c>
      <c r="W3" s="35" t="s">
        <v>399</v>
      </c>
      <c r="Z3" s="137" t="s">
        <v>512</v>
      </c>
      <c r="AA3" s="138" t="s">
        <v>514</v>
      </c>
      <c r="AB3" s="188" t="s">
        <v>746</v>
      </c>
      <c r="AC3" s="188" t="s">
        <v>1169</v>
      </c>
      <c r="AE3" s="188" t="s">
        <v>651</v>
      </c>
      <c r="AF3" s="188" t="s">
        <v>652</v>
      </c>
      <c r="AG3" s="188" t="s">
        <v>653</v>
      </c>
      <c r="AH3" s="188" t="s">
        <v>654</v>
      </c>
      <c r="AI3" s="188" t="s">
        <v>655</v>
      </c>
      <c r="AJ3" s="188" t="s">
        <v>656</v>
      </c>
      <c r="AL3" s="188" t="s">
        <v>1164</v>
      </c>
      <c r="AP3" s="35" t="s">
        <v>479</v>
      </c>
      <c r="AT3" s="35" t="s">
        <v>142</v>
      </c>
      <c r="AU3" s="35" t="s">
        <v>194</v>
      </c>
      <c r="AV3" s="35" t="s">
        <v>146</v>
      </c>
      <c r="AX3" s="35" t="s">
        <v>156</v>
      </c>
      <c r="AY3" s="35" t="s">
        <v>161</v>
      </c>
      <c r="AZ3" s="35" t="s">
        <v>69</v>
      </c>
      <c r="BA3" s="35" t="s">
        <v>233</v>
      </c>
      <c r="BB3" s="35" t="s">
        <v>208</v>
      </c>
      <c r="BC3" s="35" t="s">
        <v>209</v>
      </c>
      <c r="BD3" s="35" t="s">
        <v>195</v>
      </c>
      <c r="BE3" s="35" t="s">
        <v>207</v>
      </c>
      <c r="BF3" s="35" t="s">
        <v>211</v>
      </c>
      <c r="BG3" s="35" t="s">
        <v>212</v>
      </c>
      <c r="BH3" s="35" t="s">
        <v>296</v>
      </c>
      <c r="BI3" s="35" t="s">
        <v>216</v>
      </c>
      <c r="BJ3" s="35" t="s">
        <v>543</v>
      </c>
      <c r="BK3" s="35" t="s">
        <v>217</v>
      </c>
      <c r="BM3" s="35" t="s">
        <v>218</v>
      </c>
      <c r="BN3" s="35" t="s">
        <v>219</v>
      </c>
      <c r="BO3" s="35" t="s">
        <v>220</v>
      </c>
      <c r="BR3" s="51" t="s">
        <v>312</v>
      </c>
      <c r="BS3" s="53" t="s">
        <v>236</v>
      </c>
      <c r="BZ3" s="53" t="s">
        <v>246</v>
      </c>
      <c r="CA3" s="53" t="s">
        <v>247</v>
      </c>
      <c r="CB3" s="53" t="s">
        <v>248</v>
      </c>
      <c r="CC3" s="53" t="s">
        <v>249</v>
      </c>
      <c r="CD3" s="51" t="s">
        <v>253</v>
      </c>
      <c r="CE3" s="51" t="s">
        <v>254</v>
      </c>
      <c r="CF3" s="51" t="s">
        <v>255</v>
      </c>
      <c r="CG3" s="51" t="s">
        <v>256</v>
      </c>
      <c r="CH3" s="53" t="s">
        <v>257</v>
      </c>
      <c r="CI3" s="53" t="s">
        <v>258</v>
      </c>
      <c r="CJ3" s="51" t="s">
        <v>259</v>
      </c>
      <c r="CK3" s="51" t="s">
        <v>265</v>
      </c>
      <c r="CL3" s="51" t="s">
        <v>269</v>
      </c>
      <c r="CN3" s="51" t="s">
        <v>272</v>
      </c>
      <c r="CO3" s="51" t="s">
        <v>273</v>
      </c>
      <c r="CP3" s="51" t="s">
        <v>274</v>
      </c>
      <c r="CS3" s="35" t="s">
        <v>275</v>
      </c>
      <c r="CT3" s="35" t="s">
        <v>277</v>
      </c>
      <c r="CU3" s="35" t="s">
        <v>283</v>
      </c>
      <c r="CW3" s="35" t="s">
        <v>292</v>
      </c>
      <c r="CX3" s="35" t="s">
        <v>293</v>
      </c>
      <c r="CY3" s="35" t="s">
        <v>726</v>
      </c>
      <c r="CZ3" s="35" t="s">
        <v>182</v>
      </c>
      <c r="DA3" s="35" t="s">
        <v>181</v>
      </c>
      <c r="DB3" s="35" t="s">
        <v>291</v>
      </c>
      <c r="DD3" s="133" t="s">
        <v>398</v>
      </c>
      <c r="DE3" s="132"/>
      <c r="DF3" s="132"/>
      <c r="DG3" s="132"/>
      <c r="DH3" s="132"/>
      <c r="DI3" s="35" t="s">
        <v>688</v>
      </c>
      <c r="DJ3" s="184" t="s">
        <v>409</v>
      </c>
      <c r="DK3" s="133" t="s">
        <v>410</v>
      </c>
      <c r="DL3" s="133" t="s">
        <v>397</v>
      </c>
      <c r="DM3" s="132"/>
      <c r="DN3" s="131" t="s">
        <v>396</v>
      </c>
      <c r="DO3" s="133" t="s">
        <v>410</v>
      </c>
      <c r="DP3" s="133" t="s">
        <v>397</v>
      </c>
      <c r="DQ3" s="132"/>
      <c r="DR3" s="131" t="s">
        <v>396</v>
      </c>
      <c r="DS3" s="133" t="s">
        <v>410</v>
      </c>
      <c r="DT3" s="133" t="s">
        <v>397</v>
      </c>
      <c r="DU3" s="132"/>
      <c r="DV3" s="131" t="s">
        <v>396</v>
      </c>
      <c r="DW3" s="133" t="s">
        <v>410</v>
      </c>
      <c r="DX3" s="133" t="s">
        <v>397</v>
      </c>
      <c r="DY3" s="132"/>
      <c r="DZ3" s="131" t="s">
        <v>396</v>
      </c>
      <c r="EA3" s="133" t="s">
        <v>410</v>
      </c>
      <c r="EB3" s="133" t="s">
        <v>397</v>
      </c>
      <c r="EC3" s="132"/>
      <c r="ED3" s="131" t="s">
        <v>396</v>
      </c>
      <c r="EF3" s="35" t="s">
        <v>544</v>
      </c>
    </row>
    <row r="4" spans="1:136" s="66" customFormat="1" ht="116.25" thickBot="1" x14ac:dyDescent="0.2">
      <c r="A4" s="100" t="s">
        <v>310</v>
      </c>
      <c r="B4" s="71" t="s">
        <v>310</v>
      </c>
      <c r="C4" s="73" t="s">
        <v>310</v>
      </c>
      <c r="D4" s="66" t="s">
        <v>70</v>
      </c>
      <c r="E4" s="68" t="s">
        <v>323</v>
      </c>
      <c r="F4" s="67" t="s">
        <v>110</v>
      </c>
      <c r="G4" s="67" t="s">
        <v>659</v>
      </c>
      <c r="H4" s="100"/>
      <c r="I4" s="67" t="s">
        <v>1018</v>
      </c>
      <c r="J4" s="234" t="s">
        <v>1015</v>
      </c>
      <c r="K4" s="39" t="s">
        <v>534</v>
      </c>
      <c r="L4" s="67" t="s">
        <v>659</v>
      </c>
      <c r="M4" s="39" t="s">
        <v>974</v>
      </c>
      <c r="N4" s="39" t="s">
        <v>341</v>
      </c>
      <c r="O4" s="182" t="s">
        <v>1018</v>
      </c>
      <c r="P4" s="234" t="s">
        <v>1014</v>
      </c>
      <c r="Q4" s="39" t="s">
        <v>975</v>
      </c>
      <c r="R4" s="39" t="s">
        <v>71</v>
      </c>
      <c r="S4" s="68" t="s">
        <v>709</v>
      </c>
      <c r="T4" s="68" t="s">
        <v>64</v>
      </c>
      <c r="U4" s="39" t="s">
        <v>553</v>
      </c>
      <c r="V4" s="39" t="s">
        <v>1093</v>
      </c>
      <c r="W4" s="8" t="s">
        <v>390</v>
      </c>
      <c r="X4" s="214" t="s">
        <v>1011</v>
      </c>
      <c r="Y4" s="214" t="s">
        <v>1010</v>
      </c>
      <c r="Z4" s="153" t="s">
        <v>513</v>
      </c>
      <c r="AA4" s="154" t="s">
        <v>515</v>
      </c>
      <c r="AB4" s="182" t="s">
        <v>747</v>
      </c>
      <c r="AC4" s="182" t="s">
        <v>1170</v>
      </c>
      <c r="AD4" s="234" t="s">
        <v>1012</v>
      </c>
      <c r="AE4" s="182" t="s">
        <v>645</v>
      </c>
      <c r="AF4" s="182" t="s">
        <v>646</v>
      </c>
      <c r="AG4" s="182" t="s">
        <v>647</v>
      </c>
      <c r="AH4" s="182" t="s">
        <v>648</v>
      </c>
      <c r="AI4" s="182" t="s">
        <v>649</v>
      </c>
      <c r="AJ4" s="182" t="s">
        <v>650</v>
      </c>
      <c r="AK4" s="234" t="s">
        <v>682</v>
      </c>
      <c r="AL4" s="182" t="s">
        <v>1165</v>
      </c>
      <c r="AM4" s="234" t="s">
        <v>1013</v>
      </c>
      <c r="AN4" s="70" t="s">
        <v>72</v>
      </c>
      <c r="AO4" s="70" t="s">
        <v>73</v>
      </c>
      <c r="AP4" s="39" t="s">
        <v>74</v>
      </c>
      <c r="AQ4" s="68" t="s">
        <v>75</v>
      </c>
      <c r="AR4" s="68" t="s">
        <v>76</v>
      </c>
      <c r="AS4" s="68" t="s">
        <v>77</v>
      </c>
      <c r="AT4" s="39" t="s">
        <v>78</v>
      </c>
      <c r="AU4" s="39" t="s">
        <v>79</v>
      </c>
      <c r="AV4" s="39" t="s">
        <v>80</v>
      </c>
      <c r="AW4" s="234" t="s">
        <v>687</v>
      </c>
      <c r="AX4" s="79" t="s">
        <v>300</v>
      </c>
      <c r="AY4" s="39" t="s">
        <v>480</v>
      </c>
      <c r="AZ4" s="79" t="s">
        <v>301</v>
      </c>
      <c r="BA4" s="79" t="s">
        <v>302</v>
      </c>
      <c r="BB4" s="79" t="s">
        <v>303</v>
      </c>
      <c r="BC4" s="79" t="s">
        <v>304</v>
      </c>
      <c r="BD4" s="79" t="s">
        <v>305</v>
      </c>
      <c r="BE4" s="79" t="s">
        <v>306</v>
      </c>
      <c r="BF4" s="39" t="s">
        <v>481</v>
      </c>
      <c r="BG4" s="39" t="s">
        <v>482</v>
      </c>
      <c r="BH4" s="39" t="s">
        <v>484</v>
      </c>
      <c r="BI4" s="39" t="s">
        <v>483</v>
      </c>
      <c r="BJ4" s="39" t="s">
        <v>485</v>
      </c>
      <c r="BK4" s="79" t="s">
        <v>307</v>
      </c>
      <c r="BL4" s="69" t="s">
        <v>81</v>
      </c>
      <c r="BM4" s="39" t="s">
        <v>82</v>
      </c>
      <c r="BN4" s="39" t="s">
        <v>83</v>
      </c>
      <c r="BO4" s="39" t="s">
        <v>84</v>
      </c>
      <c r="BP4" s="234" t="s">
        <v>686</v>
      </c>
      <c r="BQ4" s="71" t="s">
        <v>94</v>
      </c>
      <c r="BR4" s="72" t="s">
        <v>313</v>
      </c>
      <c r="BS4" s="178" t="s">
        <v>486</v>
      </c>
      <c r="BT4" s="71" t="s">
        <v>96</v>
      </c>
      <c r="BU4" s="73" t="s">
        <v>97</v>
      </c>
      <c r="BV4" s="73" t="s">
        <v>98</v>
      </c>
      <c r="BW4" s="73" t="s">
        <v>99</v>
      </c>
      <c r="BX4" s="73" t="s">
        <v>100</v>
      </c>
      <c r="BY4" s="73" t="s">
        <v>101</v>
      </c>
      <c r="BZ4" s="178" t="s">
        <v>487</v>
      </c>
      <c r="CA4" s="74" t="s">
        <v>102</v>
      </c>
      <c r="CB4" s="74" t="s">
        <v>103</v>
      </c>
      <c r="CC4" s="74" t="s">
        <v>104</v>
      </c>
      <c r="CD4" s="182" t="s">
        <v>488</v>
      </c>
      <c r="CE4" s="72" t="s">
        <v>238</v>
      </c>
      <c r="CF4" s="72" t="s">
        <v>239</v>
      </c>
      <c r="CG4" s="72" t="s">
        <v>240</v>
      </c>
      <c r="CH4" s="74" t="s">
        <v>241</v>
      </c>
      <c r="CI4" s="178" t="s">
        <v>242</v>
      </c>
      <c r="CJ4" s="72" t="s">
        <v>105</v>
      </c>
      <c r="CK4" s="182" t="s">
        <v>489</v>
      </c>
      <c r="CL4" s="72" t="s">
        <v>237</v>
      </c>
      <c r="CM4" s="73" t="s">
        <v>106</v>
      </c>
      <c r="CN4" s="72" t="s">
        <v>107</v>
      </c>
      <c r="CO4" s="72" t="s">
        <v>108</v>
      </c>
      <c r="CP4" s="72" t="s">
        <v>109</v>
      </c>
      <c r="CQ4" s="234" t="s">
        <v>685</v>
      </c>
      <c r="CR4" s="69" t="s">
        <v>85</v>
      </c>
      <c r="CS4" s="39" t="s">
        <v>86</v>
      </c>
      <c r="CT4" s="39" t="s">
        <v>490</v>
      </c>
      <c r="CU4" s="39" t="s">
        <v>491</v>
      </c>
      <c r="CV4" s="234" t="s">
        <v>684</v>
      </c>
      <c r="CW4" s="39" t="s">
        <v>493</v>
      </c>
      <c r="CX4" s="39" t="s">
        <v>463</v>
      </c>
      <c r="CY4" s="39" t="s">
        <v>727</v>
      </c>
      <c r="CZ4" s="39" t="s">
        <v>330</v>
      </c>
      <c r="DA4" s="39" t="s">
        <v>461</v>
      </c>
      <c r="DB4" s="39" t="s">
        <v>492</v>
      </c>
      <c r="DC4" s="234" t="s">
        <v>281</v>
      </c>
      <c r="DD4" s="126" t="s">
        <v>389</v>
      </c>
      <c r="DE4" s="127" t="s">
        <v>388</v>
      </c>
      <c r="DF4" s="127" t="s">
        <v>387</v>
      </c>
      <c r="DG4" s="127" t="s">
        <v>386</v>
      </c>
      <c r="DH4" s="127" t="s">
        <v>385</v>
      </c>
      <c r="DI4" s="39" t="s">
        <v>689</v>
      </c>
      <c r="DJ4" s="185"/>
      <c r="DK4" s="125" t="s">
        <v>409</v>
      </c>
      <c r="DL4" s="125" t="s">
        <v>384</v>
      </c>
      <c r="DM4" s="124" t="s">
        <v>383</v>
      </c>
      <c r="DN4" s="181" t="s">
        <v>474</v>
      </c>
      <c r="DO4" s="125" t="s">
        <v>409</v>
      </c>
      <c r="DP4" s="125" t="s">
        <v>384</v>
      </c>
      <c r="DQ4" s="124" t="s">
        <v>383</v>
      </c>
      <c r="DR4" s="181" t="s">
        <v>474</v>
      </c>
      <c r="DS4" s="125" t="s">
        <v>409</v>
      </c>
      <c r="DT4" s="125" t="s">
        <v>384</v>
      </c>
      <c r="DU4" s="124" t="s">
        <v>383</v>
      </c>
      <c r="DV4" s="181" t="s">
        <v>474</v>
      </c>
      <c r="DW4" s="125" t="s">
        <v>409</v>
      </c>
      <c r="DX4" s="125" t="s">
        <v>384</v>
      </c>
      <c r="DY4" s="124" t="s">
        <v>383</v>
      </c>
      <c r="DZ4" s="181" t="s">
        <v>474</v>
      </c>
      <c r="EA4" s="125" t="s">
        <v>409</v>
      </c>
      <c r="EB4" s="125" t="s">
        <v>384</v>
      </c>
      <c r="EC4" s="124" t="s">
        <v>383</v>
      </c>
      <c r="ED4" s="181" t="s">
        <v>474</v>
      </c>
      <c r="EE4" s="234" t="s">
        <v>683</v>
      </c>
      <c r="EF4" s="39" t="s">
        <v>545</v>
      </c>
    </row>
    <row r="5" spans="1:136" s="9" customFormat="1" x14ac:dyDescent="0.15">
      <c r="A5" s="85"/>
      <c r="B5" s="64">
        <f>IF(C5=1,D5,)</f>
        <v>0</v>
      </c>
      <c r="C5" s="85"/>
      <c r="D5" s="9">
        <f>E5*10000000+F5*1000000+G5*10000+H5*100+I5</f>
        <v>21110101</v>
      </c>
      <c r="E5" s="10">
        <v>2</v>
      </c>
      <c r="F5" s="64">
        <f t="shared" ref="F5:F46" si="0">K5</f>
        <v>1</v>
      </c>
      <c r="G5" s="64">
        <f t="shared" ref="G5:G46" si="1">L5</f>
        <v>11</v>
      </c>
      <c r="H5" s="85">
        <v>1</v>
      </c>
      <c r="I5" s="64">
        <f t="shared" ref="I5:I46" si="2">O5</f>
        <v>1</v>
      </c>
      <c r="J5" s="235"/>
      <c r="K5" s="11">
        <v>1</v>
      </c>
      <c r="L5" s="64">
        <f>M5*10+N5</f>
        <v>11</v>
      </c>
      <c r="M5" s="11">
        <v>1</v>
      </c>
      <c r="N5" s="11">
        <v>1</v>
      </c>
      <c r="O5" s="189">
        <v>1</v>
      </c>
      <c r="P5" s="235"/>
      <c r="Q5" s="11" t="s">
        <v>1229</v>
      </c>
      <c r="R5" s="11" t="s">
        <v>999</v>
      </c>
      <c r="S5" s="10" t="s">
        <v>999</v>
      </c>
      <c r="T5" s="10"/>
      <c r="U5" s="77">
        <v>0</v>
      </c>
      <c r="V5" s="77">
        <v>1</v>
      </c>
      <c r="W5" s="11" t="s">
        <v>718</v>
      </c>
      <c r="X5" s="85" t="s">
        <v>1027</v>
      </c>
      <c r="Y5" s="85">
        <v>21110101</v>
      </c>
      <c r="Z5" s="213" t="str">
        <f>CONCATENATE(X5,Y5,".png")</f>
        <v>UITexture/ShipHull/21110101.png</v>
      </c>
      <c r="AA5" s="11"/>
      <c r="AB5" s="189">
        <v>0</v>
      </c>
      <c r="AC5" s="189">
        <v>100</v>
      </c>
      <c r="AD5" s="235"/>
      <c r="AE5" s="189">
        <v>0</v>
      </c>
      <c r="AF5" s="189">
        <v>0</v>
      </c>
      <c r="AG5" s="189">
        <v>0</v>
      </c>
      <c r="AH5" s="189">
        <v>0</v>
      </c>
      <c r="AI5" s="189">
        <v>0</v>
      </c>
      <c r="AJ5" s="189">
        <v>1</v>
      </c>
      <c r="AK5" s="235"/>
      <c r="AL5" s="189">
        <v>0</v>
      </c>
      <c r="AM5" s="235"/>
      <c r="AN5" s="40"/>
      <c r="AO5" s="40"/>
      <c r="AP5" s="11">
        <v>1</v>
      </c>
      <c r="AQ5" s="10">
        <v>1</v>
      </c>
      <c r="AR5" s="10">
        <v>0</v>
      </c>
      <c r="AS5" s="10">
        <v>0</v>
      </c>
      <c r="AT5" s="11">
        <v>0</v>
      </c>
      <c r="AU5" s="11">
        <v>50</v>
      </c>
      <c r="AV5" s="11">
        <v>100</v>
      </c>
      <c r="AW5" s="235"/>
      <c r="AX5" s="11">
        <v>200</v>
      </c>
      <c r="AY5" s="11">
        <v>0</v>
      </c>
      <c r="AZ5" s="11">
        <v>0</v>
      </c>
      <c r="BA5" s="11">
        <v>0</v>
      </c>
      <c r="BB5" s="11">
        <v>0</v>
      </c>
      <c r="BC5" s="11">
        <v>0</v>
      </c>
      <c r="BD5" s="11">
        <v>0</v>
      </c>
      <c r="BE5" s="11">
        <v>0</v>
      </c>
      <c r="BF5" s="11">
        <v>100</v>
      </c>
      <c r="BG5" s="11">
        <v>100</v>
      </c>
      <c r="BH5" s="11">
        <v>100</v>
      </c>
      <c r="BI5" s="11">
        <v>100</v>
      </c>
      <c r="BJ5" s="11">
        <v>0</v>
      </c>
      <c r="BK5" s="11">
        <v>0</v>
      </c>
      <c r="BL5" s="38"/>
      <c r="BM5" s="11"/>
      <c r="BN5" s="11"/>
      <c r="BO5" s="11"/>
      <c r="BP5" s="235"/>
      <c r="BQ5" s="54"/>
      <c r="BR5" s="55"/>
      <c r="BS5" s="57"/>
      <c r="BT5" s="54"/>
      <c r="BU5" s="56"/>
      <c r="BV5" s="56"/>
      <c r="BW5" s="56"/>
      <c r="BX5" s="56"/>
      <c r="BY5" s="56"/>
      <c r="BZ5" s="57"/>
      <c r="CA5" s="57"/>
      <c r="CB5" s="57"/>
      <c r="CC5" s="57"/>
      <c r="CD5" s="55"/>
      <c r="CE5" s="55"/>
      <c r="CF5" s="55"/>
      <c r="CG5" s="55"/>
      <c r="CH5" s="57"/>
      <c r="CI5" s="57"/>
      <c r="CJ5" s="55"/>
      <c r="CK5" s="55"/>
      <c r="CL5" s="55"/>
      <c r="CM5" s="56"/>
      <c r="CN5" s="55"/>
      <c r="CO5" s="55"/>
      <c r="CP5" s="55"/>
      <c r="CQ5" s="235"/>
      <c r="CR5" s="38"/>
      <c r="CS5" s="11"/>
      <c r="CT5" s="11"/>
      <c r="CU5" s="11"/>
      <c r="CV5" s="235"/>
      <c r="CW5" s="11"/>
      <c r="CX5" s="11"/>
      <c r="CY5" s="11"/>
      <c r="CZ5" s="11"/>
      <c r="DA5" s="11"/>
      <c r="DB5" s="11"/>
      <c r="DC5" s="235"/>
      <c r="DD5" s="118">
        <f t="shared" ref="DD5:DD44" si="3">((DE5*24+DF5)*60+DG5)*60+DH5</f>
        <v>90</v>
      </c>
      <c r="DE5" s="117"/>
      <c r="DF5" s="117"/>
      <c r="DG5" s="117">
        <v>1</v>
      </c>
      <c r="DH5" s="117">
        <v>30</v>
      </c>
      <c r="DI5" s="11">
        <v>20</v>
      </c>
      <c r="DJ5" s="174">
        <v>2</v>
      </c>
      <c r="DK5" s="118"/>
      <c r="DL5" s="118">
        <f ca="1">IFERROR(OFFSET(ITEM_RES!$A$5,MATCH(DM5,ITEM_RES!$M$5:$M$84,0)-1,0),0)</f>
        <v>220000101</v>
      </c>
      <c r="DM5" s="117" t="s">
        <v>573</v>
      </c>
      <c r="DN5" s="116">
        <v>100</v>
      </c>
      <c r="DO5" s="118"/>
      <c r="DP5" s="118">
        <f ca="1">IFERROR(OFFSET(ITEM_RES!$A$5,MATCH(DQ5,ITEM_RES!$M$5:$M$84,0)-1,0),0)</f>
        <v>220000201</v>
      </c>
      <c r="DQ5" s="117" t="s">
        <v>591</v>
      </c>
      <c r="DR5" s="116">
        <v>100</v>
      </c>
      <c r="DS5" s="118"/>
      <c r="DT5" s="118"/>
      <c r="DU5" s="117"/>
      <c r="DV5" s="116"/>
      <c r="DW5" s="118"/>
      <c r="DX5" s="118"/>
      <c r="DY5" s="117"/>
      <c r="DZ5" s="116"/>
      <c r="EA5" s="118"/>
      <c r="EB5" s="118"/>
      <c r="EC5" s="117"/>
      <c r="ED5" s="116"/>
      <c r="EE5" s="235"/>
      <c r="EF5" s="11">
        <v>50</v>
      </c>
    </row>
    <row r="6" spans="1:136" s="3" customFormat="1" x14ac:dyDescent="0.15">
      <c r="A6" s="86"/>
      <c r="B6" s="65">
        <f>IF(C6=1,D6,)</f>
        <v>0</v>
      </c>
      <c r="C6" s="86"/>
      <c r="D6" s="3">
        <f>E6*10000000+F6*1000000+G6*10000+H6*100+I6</f>
        <v>21110102</v>
      </c>
      <c r="E6" s="4">
        <v>2</v>
      </c>
      <c r="F6" s="65">
        <f t="shared" si="0"/>
        <v>1</v>
      </c>
      <c r="G6" s="65">
        <f t="shared" si="1"/>
        <v>11</v>
      </c>
      <c r="H6" s="86">
        <v>1</v>
      </c>
      <c r="I6" s="65">
        <f t="shared" si="2"/>
        <v>2</v>
      </c>
      <c r="J6" s="236"/>
      <c r="K6" s="5">
        <v>1</v>
      </c>
      <c r="L6" s="65">
        <f>M6*10+N6</f>
        <v>11</v>
      </c>
      <c r="M6" s="5">
        <v>1</v>
      </c>
      <c r="N6" s="5">
        <v>1</v>
      </c>
      <c r="O6" s="190">
        <v>2</v>
      </c>
      <c r="P6" s="236"/>
      <c r="Q6" s="5" t="s">
        <v>1229</v>
      </c>
      <c r="R6" s="5" t="s">
        <v>1000</v>
      </c>
      <c r="S6" s="4" t="s">
        <v>1000</v>
      </c>
      <c r="T6" s="4"/>
      <c r="U6" s="78">
        <v>0</v>
      </c>
      <c r="V6" s="78">
        <v>1</v>
      </c>
      <c r="W6" s="78" t="s">
        <v>718</v>
      </c>
      <c r="X6" s="60" t="s">
        <v>1027</v>
      </c>
      <c r="Y6" s="60">
        <v>21110102</v>
      </c>
      <c r="Z6" s="177" t="str">
        <f t="shared" ref="Z6:Z46" si="4">CONCATENATE(X6,Y6,".png")</f>
        <v>UITexture/ShipHull/21110102.png</v>
      </c>
      <c r="AA6" s="5"/>
      <c r="AB6" s="190">
        <v>0</v>
      </c>
      <c r="AC6" s="190">
        <v>100</v>
      </c>
      <c r="AD6" s="236"/>
      <c r="AE6" s="190">
        <v>0</v>
      </c>
      <c r="AF6" s="190">
        <v>0</v>
      </c>
      <c r="AG6" s="190">
        <v>0</v>
      </c>
      <c r="AH6" s="190">
        <v>0</v>
      </c>
      <c r="AI6" s="190">
        <v>0</v>
      </c>
      <c r="AJ6" s="190">
        <v>1</v>
      </c>
      <c r="AK6" s="236"/>
      <c r="AL6" s="190">
        <v>0</v>
      </c>
      <c r="AM6" s="236"/>
      <c r="AN6" s="41"/>
      <c r="AO6" s="41"/>
      <c r="AP6" s="5">
        <v>1</v>
      </c>
      <c r="AQ6" s="4">
        <v>1</v>
      </c>
      <c r="AR6" s="4">
        <v>0</v>
      </c>
      <c r="AS6" s="4">
        <v>0</v>
      </c>
      <c r="AT6" s="5">
        <v>0</v>
      </c>
      <c r="AU6" s="5">
        <v>50</v>
      </c>
      <c r="AV6" s="5">
        <v>100</v>
      </c>
      <c r="AW6" s="236"/>
      <c r="AX6" s="5">
        <v>200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100</v>
      </c>
      <c r="BG6" s="5">
        <v>100</v>
      </c>
      <c r="BH6" s="5">
        <v>100</v>
      </c>
      <c r="BI6" s="5">
        <v>100</v>
      </c>
      <c r="BJ6" s="5">
        <v>0</v>
      </c>
      <c r="BK6" s="5">
        <v>0</v>
      </c>
      <c r="BL6" s="37"/>
      <c r="BM6" s="5"/>
      <c r="BN6" s="5"/>
      <c r="BO6" s="5"/>
      <c r="BP6" s="236"/>
      <c r="BQ6" s="58"/>
      <c r="BR6" s="59"/>
      <c r="BS6" s="61"/>
      <c r="BT6" s="58"/>
      <c r="BU6" s="60"/>
      <c r="BV6" s="60"/>
      <c r="BW6" s="60"/>
      <c r="BX6" s="60"/>
      <c r="BY6" s="60"/>
      <c r="BZ6" s="61"/>
      <c r="CA6" s="61"/>
      <c r="CB6" s="61"/>
      <c r="CC6" s="61"/>
      <c r="CD6" s="59"/>
      <c r="CE6" s="59"/>
      <c r="CF6" s="59"/>
      <c r="CG6" s="59"/>
      <c r="CH6" s="61"/>
      <c r="CI6" s="61"/>
      <c r="CJ6" s="59"/>
      <c r="CK6" s="59"/>
      <c r="CL6" s="59"/>
      <c r="CM6" s="60"/>
      <c r="CN6" s="59"/>
      <c r="CO6" s="59"/>
      <c r="CP6" s="59"/>
      <c r="CQ6" s="236"/>
      <c r="CR6" s="37"/>
      <c r="CS6" s="5"/>
      <c r="CT6" s="5"/>
      <c r="CU6" s="5"/>
      <c r="CV6" s="236"/>
      <c r="CW6" s="5"/>
      <c r="CX6" s="5"/>
      <c r="CY6" s="5"/>
      <c r="CZ6" s="5"/>
      <c r="DA6" s="5"/>
      <c r="DB6" s="5"/>
      <c r="DC6" s="236"/>
      <c r="DD6" s="104">
        <f t="shared" ref="DD6" si="5">((DE6*24+DF6)*60+DG6)*60+DH6</f>
        <v>90</v>
      </c>
      <c r="DE6" s="103"/>
      <c r="DF6" s="103"/>
      <c r="DG6" s="103">
        <v>1</v>
      </c>
      <c r="DH6" s="103">
        <v>30</v>
      </c>
      <c r="DI6" s="5">
        <v>20</v>
      </c>
      <c r="DJ6" s="172">
        <v>2</v>
      </c>
      <c r="DK6" s="104"/>
      <c r="DL6" s="104">
        <f ca="1">IFERROR(OFFSET(ITEM_RES!$A$5,MATCH(DM6,ITEM_RES!$M$5:$M$84,0)-1,0),0)</f>
        <v>220000101</v>
      </c>
      <c r="DM6" s="103" t="s">
        <v>573</v>
      </c>
      <c r="DN6" s="102">
        <v>100</v>
      </c>
      <c r="DO6" s="104"/>
      <c r="DP6" s="104">
        <f ca="1">IFERROR(OFFSET(ITEM_RES!$A$5,MATCH(DQ6,ITEM_RES!$M$5:$M$84,0)-1,0),0)</f>
        <v>220000201</v>
      </c>
      <c r="DQ6" s="103" t="s">
        <v>591</v>
      </c>
      <c r="DR6" s="102">
        <v>100</v>
      </c>
      <c r="DS6" s="104"/>
      <c r="DT6" s="104"/>
      <c r="DU6" s="103"/>
      <c r="DV6" s="102"/>
      <c r="DW6" s="104"/>
      <c r="DX6" s="104"/>
      <c r="DY6" s="103"/>
      <c r="DZ6" s="102"/>
      <c r="EA6" s="104"/>
      <c r="EB6" s="104"/>
      <c r="EC6" s="103"/>
      <c r="ED6" s="102"/>
      <c r="EE6" s="236"/>
      <c r="EF6" s="5">
        <v>50</v>
      </c>
    </row>
    <row r="7" spans="1:136" s="3" customFormat="1" x14ac:dyDescent="0.15">
      <c r="A7" s="86"/>
      <c r="B7" s="65">
        <f>IF(C7=1,D7,)</f>
        <v>0</v>
      </c>
      <c r="C7" s="86"/>
      <c r="D7" s="3">
        <f>E7*10000000+F7*1000000+G7*10000+H7*100+I7</f>
        <v>21110103</v>
      </c>
      <c r="E7" s="4">
        <v>2</v>
      </c>
      <c r="F7" s="65">
        <f t="shared" si="0"/>
        <v>1</v>
      </c>
      <c r="G7" s="65">
        <f t="shared" si="1"/>
        <v>11</v>
      </c>
      <c r="H7" s="86">
        <v>1</v>
      </c>
      <c r="I7" s="65">
        <f t="shared" si="2"/>
        <v>3</v>
      </c>
      <c r="J7" s="236"/>
      <c r="K7" s="5">
        <v>1</v>
      </c>
      <c r="L7" s="65">
        <f>M7*10+N7</f>
        <v>11</v>
      </c>
      <c r="M7" s="5">
        <v>1</v>
      </c>
      <c r="N7" s="5">
        <v>1</v>
      </c>
      <c r="O7" s="190">
        <v>3</v>
      </c>
      <c r="P7" s="236"/>
      <c r="Q7" s="5" t="s">
        <v>1229</v>
      </c>
      <c r="R7" s="5" t="s">
        <v>1001</v>
      </c>
      <c r="S7" s="4" t="s">
        <v>1001</v>
      </c>
      <c r="T7" s="4"/>
      <c r="U7" s="78">
        <v>0</v>
      </c>
      <c r="V7" s="78">
        <v>1</v>
      </c>
      <c r="W7" s="78" t="s">
        <v>718</v>
      </c>
      <c r="X7" s="60" t="s">
        <v>1027</v>
      </c>
      <c r="Y7" s="60">
        <v>21110103</v>
      </c>
      <c r="Z7" s="177" t="str">
        <f t="shared" si="4"/>
        <v>UITexture/ShipHull/21110103.png</v>
      </c>
      <c r="AA7" s="5"/>
      <c r="AB7" s="190">
        <v>0</v>
      </c>
      <c r="AC7" s="190">
        <v>100</v>
      </c>
      <c r="AD7" s="236"/>
      <c r="AE7" s="190">
        <v>0</v>
      </c>
      <c r="AF7" s="190">
        <v>0</v>
      </c>
      <c r="AG7" s="190">
        <v>0</v>
      </c>
      <c r="AH7" s="190">
        <v>0</v>
      </c>
      <c r="AI7" s="190">
        <v>0</v>
      </c>
      <c r="AJ7" s="190">
        <v>1</v>
      </c>
      <c r="AK7" s="236"/>
      <c r="AL7" s="190">
        <v>0</v>
      </c>
      <c r="AM7" s="236"/>
      <c r="AN7" s="41"/>
      <c r="AO7" s="41"/>
      <c r="AP7" s="5">
        <v>1</v>
      </c>
      <c r="AQ7" s="4">
        <v>1</v>
      </c>
      <c r="AR7" s="4">
        <v>0</v>
      </c>
      <c r="AS7" s="4">
        <v>0</v>
      </c>
      <c r="AT7" s="5">
        <v>0</v>
      </c>
      <c r="AU7" s="5">
        <v>50</v>
      </c>
      <c r="AV7" s="5">
        <v>100</v>
      </c>
      <c r="AW7" s="236"/>
      <c r="AX7" s="5">
        <v>200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100</v>
      </c>
      <c r="BG7" s="5">
        <v>100</v>
      </c>
      <c r="BH7" s="5">
        <v>100</v>
      </c>
      <c r="BI7" s="5">
        <v>100</v>
      </c>
      <c r="BJ7" s="5">
        <v>0</v>
      </c>
      <c r="BK7" s="5">
        <v>0</v>
      </c>
      <c r="BL7" s="37"/>
      <c r="BM7" s="5"/>
      <c r="BN7" s="5"/>
      <c r="BO7" s="5"/>
      <c r="BP7" s="236"/>
      <c r="BQ7" s="58"/>
      <c r="BR7" s="59"/>
      <c r="BS7" s="61"/>
      <c r="BT7" s="58"/>
      <c r="BU7" s="60"/>
      <c r="BV7" s="60"/>
      <c r="BW7" s="60"/>
      <c r="BX7" s="60"/>
      <c r="BY7" s="60"/>
      <c r="BZ7" s="61"/>
      <c r="CA7" s="61"/>
      <c r="CB7" s="61"/>
      <c r="CC7" s="61"/>
      <c r="CD7" s="59"/>
      <c r="CE7" s="59"/>
      <c r="CF7" s="59"/>
      <c r="CG7" s="59"/>
      <c r="CH7" s="61"/>
      <c r="CI7" s="61"/>
      <c r="CJ7" s="59"/>
      <c r="CK7" s="59"/>
      <c r="CL7" s="59"/>
      <c r="CM7" s="60"/>
      <c r="CN7" s="59"/>
      <c r="CO7" s="59"/>
      <c r="CP7" s="59"/>
      <c r="CQ7" s="236"/>
      <c r="CR7" s="37"/>
      <c r="CS7" s="5"/>
      <c r="CT7" s="5"/>
      <c r="CU7" s="5"/>
      <c r="CV7" s="236"/>
      <c r="CW7" s="5"/>
      <c r="CX7" s="5"/>
      <c r="CY7" s="5"/>
      <c r="CZ7" s="5"/>
      <c r="DA7" s="5"/>
      <c r="DB7" s="5"/>
      <c r="DC7" s="236"/>
      <c r="DD7" s="104">
        <f t="shared" ref="DD7" si="6">((DE7*24+DF7)*60+DG7)*60+DH7</f>
        <v>90</v>
      </c>
      <c r="DE7" s="103"/>
      <c r="DF7" s="103"/>
      <c r="DG7" s="103">
        <v>1</v>
      </c>
      <c r="DH7" s="103">
        <v>30</v>
      </c>
      <c r="DI7" s="5">
        <v>20</v>
      </c>
      <c r="DJ7" s="172">
        <v>2</v>
      </c>
      <c r="DK7" s="104"/>
      <c r="DL7" s="104">
        <f ca="1">IFERROR(OFFSET(ITEM_RES!$A$5,MATCH(DM7,ITEM_RES!$M$5:$M$84,0)-1,0),0)</f>
        <v>220000101</v>
      </c>
      <c r="DM7" s="103" t="s">
        <v>573</v>
      </c>
      <c r="DN7" s="102">
        <v>100</v>
      </c>
      <c r="DO7" s="104"/>
      <c r="DP7" s="104">
        <f ca="1">IFERROR(OFFSET(ITEM_RES!$A$5,MATCH(DQ7,ITEM_RES!$M$5:$M$84,0)-1,0),0)</f>
        <v>220000201</v>
      </c>
      <c r="DQ7" s="103" t="s">
        <v>591</v>
      </c>
      <c r="DR7" s="102">
        <v>100</v>
      </c>
      <c r="DS7" s="104"/>
      <c r="DT7" s="104"/>
      <c r="DU7" s="103"/>
      <c r="DV7" s="102"/>
      <c r="DW7" s="104"/>
      <c r="DX7" s="104"/>
      <c r="DY7" s="103"/>
      <c r="DZ7" s="102"/>
      <c r="EA7" s="104"/>
      <c r="EB7" s="104"/>
      <c r="EC7" s="103"/>
      <c r="ED7" s="102"/>
      <c r="EE7" s="236"/>
      <c r="EF7" s="5">
        <v>50</v>
      </c>
    </row>
    <row r="8" spans="1:136" s="3" customFormat="1" x14ac:dyDescent="0.15">
      <c r="A8" s="86"/>
      <c r="B8" s="65">
        <f t="shared" ref="B8:B44" si="7">IF(C8=1,D8,)</f>
        <v>0</v>
      </c>
      <c r="C8" s="86"/>
      <c r="D8" s="3">
        <f t="shared" ref="D8:D44" si="8">E8*10000000+F8*1000000+G8*10000+H8*100+I8</f>
        <v>21110201</v>
      </c>
      <c r="E8" s="4">
        <v>2</v>
      </c>
      <c r="F8" s="65">
        <f t="shared" si="0"/>
        <v>1</v>
      </c>
      <c r="G8" s="65">
        <f t="shared" si="1"/>
        <v>11</v>
      </c>
      <c r="H8" s="86">
        <v>2</v>
      </c>
      <c r="I8" s="65">
        <f t="shared" si="2"/>
        <v>1</v>
      </c>
      <c r="J8" s="236"/>
      <c r="K8" s="5">
        <v>1</v>
      </c>
      <c r="L8" s="65">
        <f t="shared" ref="L8:L44" si="9">M8*10+N8</f>
        <v>11</v>
      </c>
      <c r="M8" s="5">
        <v>1</v>
      </c>
      <c r="N8" s="5">
        <v>1</v>
      </c>
      <c r="O8" s="190">
        <v>1</v>
      </c>
      <c r="P8" s="236"/>
      <c r="Q8" s="5" t="s">
        <v>1229</v>
      </c>
      <c r="R8" s="5" t="s">
        <v>977</v>
      </c>
      <c r="S8" s="4" t="s">
        <v>977</v>
      </c>
      <c r="T8" s="4"/>
      <c r="U8" s="78">
        <v>0</v>
      </c>
      <c r="V8" s="78">
        <v>1</v>
      </c>
      <c r="W8" s="5" t="s">
        <v>719</v>
      </c>
      <c r="X8" s="86" t="s">
        <v>1027</v>
      </c>
      <c r="Y8" s="86">
        <v>21110201</v>
      </c>
      <c r="Z8" s="177" t="str">
        <f t="shared" si="4"/>
        <v>UITexture/ShipHull/21110201.png</v>
      </c>
      <c r="AA8" s="5"/>
      <c r="AB8" s="190">
        <v>0</v>
      </c>
      <c r="AC8" s="190">
        <v>100</v>
      </c>
      <c r="AD8" s="236"/>
      <c r="AE8" s="190">
        <v>0</v>
      </c>
      <c r="AF8" s="190">
        <v>0</v>
      </c>
      <c r="AG8" s="190">
        <v>0</v>
      </c>
      <c r="AH8" s="190">
        <v>0</v>
      </c>
      <c r="AI8" s="190">
        <v>0</v>
      </c>
      <c r="AJ8" s="190">
        <v>1</v>
      </c>
      <c r="AK8" s="236"/>
      <c r="AL8" s="190">
        <v>0</v>
      </c>
      <c r="AM8" s="236"/>
      <c r="AN8" s="41"/>
      <c r="AO8" s="41"/>
      <c r="AP8" s="5">
        <v>1</v>
      </c>
      <c r="AQ8" s="4">
        <v>1</v>
      </c>
      <c r="AR8" s="4">
        <v>0</v>
      </c>
      <c r="AS8" s="4">
        <v>0</v>
      </c>
      <c r="AT8" s="5">
        <v>1</v>
      </c>
      <c r="AU8" s="5">
        <v>50</v>
      </c>
      <c r="AV8" s="5">
        <v>100</v>
      </c>
      <c r="AW8" s="236"/>
      <c r="AX8" s="5">
        <v>200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100</v>
      </c>
      <c r="BG8" s="5">
        <v>100</v>
      </c>
      <c r="BH8" s="5">
        <v>100</v>
      </c>
      <c r="BI8" s="5">
        <v>100</v>
      </c>
      <c r="BJ8" s="5">
        <v>0</v>
      </c>
      <c r="BK8" s="5">
        <v>0</v>
      </c>
      <c r="BL8" s="37"/>
      <c r="BM8" s="5"/>
      <c r="BN8" s="5"/>
      <c r="BO8" s="5"/>
      <c r="BP8" s="236"/>
      <c r="BQ8" s="58"/>
      <c r="BR8" s="59"/>
      <c r="BS8" s="61"/>
      <c r="BT8" s="58"/>
      <c r="BU8" s="60"/>
      <c r="BV8" s="60"/>
      <c r="BW8" s="60"/>
      <c r="BX8" s="60"/>
      <c r="BY8" s="60"/>
      <c r="BZ8" s="61"/>
      <c r="CA8" s="61"/>
      <c r="CB8" s="61"/>
      <c r="CC8" s="61"/>
      <c r="CD8" s="59"/>
      <c r="CE8" s="59"/>
      <c r="CF8" s="59"/>
      <c r="CG8" s="59"/>
      <c r="CH8" s="61"/>
      <c r="CI8" s="61"/>
      <c r="CJ8" s="59"/>
      <c r="CK8" s="59"/>
      <c r="CL8" s="59"/>
      <c r="CM8" s="60"/>
      <c r="CN8" s="59"/>
      <c r="CO8" s="59"/>
      <c r="CP8" s="59"/>
      <c r="CQ8" s="236"/>
      <c r="CR8" s="37"/>
      <c r="CS8" s="5"/>
      <c r="CT8" s="5"/>
      <c r="CU8" s="5"/>
      <c r="CV8" s="236"/>
      <c r="CW8" s="5"/>
      <c r="CX8" s="5"/>
      <c r="CY8" s="5"/>
      <c r="CZ8" s="5"/>
      <c r="DA8" s="5"/>
      <c r="DB8" s="5">
        <v>100</v>
      </c>
      <c r="DC8" s="236"/>
      <c r="DD8" s="104">
        <f t="shared" si="3"/>
        <v>90</v>
      </c>
      <c r="DE8" s="103"/>
      <c r="DF8" s="103"/>
      <c r="DG8" s="103">
        <v>1</v>
      </c>
      <c r="DH8" s="103">
        <v>30</v>
      </c>
      <c r="DI8" s="5">
        <v>20</v>
      </c>
      <c r="DJ8" s="172">
        <v>2</v>
      </c>
      <c r="DK8" s="104"/>
      <c r="DL8" s="104">
        <f ca="1">IFERROR(OFFSET(ITEM_RES!$A$5,MATCH(DM8,ITEM_RES!$M$5:$M$84,0)-1,0),0)</f>
        <v>220000101</v>
      </c>
      <c r="DM8" s="103" t="s">
        <v>573</v>
      </c>
      <c r="DN8" s="102">
        <v>100</v>
      </c>
      <c r="DO8" s="104"/>
      <c r="DP8" s="104">
        <f ca="1">IFERROR(OFFSET(ITEM_RES!$A$5,MATCH(DQ8,ITEM_RES!$M$5:$M$84,0)-1,0),0)</f>
        <v>220000201</v>
      </c>
      <c r="DQ8" s="103" t="s">
        <v>591</v>
      </c>
      <c r="DR8" s="102">
        <v>100</v>
      </c>
      <c r="DS8" s="104"/>
      <c r="DT8" s="104"/>
      <c r="DU8" s="103"/>
      <c r="DV8" s="102"/>
      <c r="DW8" s="104"/>
      <c r="DX8" s="104"/>
      <c r="DY8" s="103"/>
      <c r="DZ8" s="102"/>
      <c r="EA8" s="104"/>
      <c r="EB8" s="104"/>
      <c r="EC8" s="103"/>
      <c r="ED8" s="102"/>
      <c r="EE8" s="236"/>
      <c r="EF8" s="5">
        <v>50</v>
      </c>
    </row>
    <row r="9" spans="1:136" s="3" customFormat="1" x14ac:dyDescent="0.15">
      <c r="A9" s="86"/>
      <c r="B9" s="65">
        <f t="shared" ref="B9" si="10">IF(C9=1,D9,)</f>
        <v>0</v>
      </c>
      <c r="C9" s="86"/>
      <c r="D9" s="3">
        <f t="shared" ref="D9" si="11">E9*10000000+F9*1000000+G9*10000+H9*100+I9</f>
        <v>21110202</v>
      </c>
      <c r="E9" s="4">
        <v>2</v>
      </c>
      <c r="F9" s="65">
        <f t="shared" si="0"/>
        <v>1</v>
      </c>
      <c r="G9" s="65">
        <f t="shared" si="1"/>
        <v>11</v>
      </c>
      <c r="H9" s="86">
        <v>2</v>
      </c>
      <c r="I9" s="65">
        <f t="shared" si="2"/>
        <v>2</v>
      </c>
      <c r="J9" s="236"/>
      <c r="K9" s="5">
        <v>1</v>
      </c>
      <c r="L9" s="65">
        <f t="shared" ref="L9" si="12">M9*10+N9</f>
        <v>11</v>
      </c>
      <c r="M9" s="5">
        <v>1</v>
      </c>
      <c r="N9" s="5">
        <v>1</v>
      </c>
      <c r="O9" s="190">
        <v>2</v>
      </c>
      <c r="P9" s="236"/>
      <c r="Q9" s="5" t="s">
        <v>1229</v>
      </c>
      <c r="R9" s="5" t="s">
        <v>978</v>
      </c>
      <c r="S9" s="4" t="s">
        <v>978</v>
      </c>
      <c r="T9" s="4"/>
      <c r="U9" s="78">
        <v>0</v>
      </c>
      <c r="V9" s="78">
        <v>1</v>
      </c>
      <c r="W9" s="5" t="s">
        <v>719</v>
      </c>
      <c r="X9" s="86" t="s">
        <v>1027</v>
      </c>
      <c r="Y9" s="86">
        <v>21110202</v>
      </c>
      <c r="Z9" s="177" t="str">
        <f t="shared" si="4"/>
        <v>UITexture/ShipHull/21110202.png</v>
      </c>
      <c r="AA9" s="5"/>
      <c r="AB9" s="190">
        <v>0</v>
      </c>
      <c r="AC9" s="190">
        <v>100</v>
      </c>
      <c r="AD9" s="236"/>
      <c r="AE9" s="190">
        <v>0</v>
      </c>
      <c r="AF9" s="190">
        <v>0</v>
      </c>
      <c r="AG9" s="190">
        <v>0</v>
      </c>
      <c r="AH9" s="190">
        <v>0</v>
      </c>
      <c r="AI9" s="190">
        <v>0</v>
      </c>
      <c r="AJ9" s="190">
        <v>1</v>
      </c>
      <c r="AK9" s="236"/>
      <c r="AL9" s="190">
        <v>0</v>
      </c>
      <c r="AM9" s="236"/>
      <c r="AN9" s="41"/>
      <c r="AO9" s="41"/>
      <c r="AP9" s="5">
        <v>1</v>
      </c>
      <c r="AQ9" s="4">
        <v>1</v>
      </c>
      <c r="AR9" s="4">
        <v>0</v>
      </c>
      <c r="AS9" s="4">
        <v>0</v>
      </c>
      <c r="AT9" s="5">
        <v>1</v>
      </c>
      <c r="AU9" s="5">
        <v>50</v>
      </c>
      <c r="AV9" s="5">
        <v>100</v>
      </c>
      <c r="AW9" s="236"/>
      <c r="AX9" s="5">
        <v>200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100</v>
      </c>
      <c r="BG9" s="5">
        <v>100</v>
      </c>
      <c r="BH9" s="5">
        <v>100</v>
      </c>
      <c r="BI9" s="5">
        <v>100</v>
      </c>
      <c r="BJ9" s="5">
        <v>0</v>
      </c>
      <c r="BK9" s="5">
        <v>0</v>
      </c>
      <c r="BL9" s="37"/>
      <c r="BM9" s="5"/>
      <c r="BN9" s="5"/>
      <c r="BO9" s="5"/>
      <c r="BP9" s="236"/>
      <c r="BQ9" s="58"/>
      <c r="BR9" s="59"/>
      <c r="BS9" s="61"/>
      <c r="BT9" s="58"/>
      <c r="BU9" s="60"/>
      <c r="BV9" s="60"/>
      <c r="BW9" s="60"/>
      <c r="BX9" s="60"/>
      <c r="BY9" s="60"/>
      <c r="BZ9" s="61"/>
      <c r="CA9" s="61"/>
      <c r="CB9" s="61"/>
      <c r="CC9" s="61"/>
      <c r="CD9" s="59"/>
      <c r="CE9" s="59"/>
      <c r="CF9" s="59"/>
      <c r="CG9" s="59"/>
      <c r="CH9" s="61"/>
      <c r="CI9" s="61"/>
      <c r="CJ9" s="59"/>
      <c r="CK9" s="59"/>
      <c r="CL9" s="59"/>
      <c r="CM9" s="60"/>
      <c r="CN9" s="59"/>
      <c r="CO9" s="59"/>
      <c r="CP9" s="59"/>
      <c r="CQ9" s="236"/>
      <c r="CR9" s="37"/>
      <c r="CS9" s="5"/>
      <c r="CT9" s="5"/>
      <c r="CU9" s="5"/>
      <c r="CV9" s="236"/>
      <c r="CW9" s="5"/>
      <c r="CX9" s="5"/>
      <c r="CY9" s="5"/>
      <c r="CZ9" s="5"/>
      <c r="DA9" s="5"/>
      <c r="DB9" s="5">
        <v>100</v>
      </c>
      <c r="DC9" s="236"/>
      <c r="DD9" s="104">
        <f t="shared" ref="DD9" si="13">((DE9*24+DF9)*60+DG9)*60+DH9</f>
        <v>90</v>
      </c>
      <c r="DE9" s="103"/>
      <c r="DF9" s="103"/>
      <c r="DG9" s="103">
        <v>1</v>
      </c>
      <c r="DH9" s="103">
        <v>30</v>
      </c>
      <c r="DI9" s="5">
        <v>20</v>
      </c>
      <c r="DJ9" s="172">
        <v>2</v>
      </c>
      <c r="DK9" s="104"/>
      <c r="DL9" s="104">
        <f ca="1">IFERROR(OFFSET(ITEM_RES!$A$5,MATCH(DM9,ITEM_RES!$M$5:$M$84,0)-1,0),0)</f>
        <v>220000101</v>
      </c>
      <c r="DM9" s="103" t="s">
        <v>573</v>
      </c>
      <c r="DN9" s="102">
        <v>100</v>
      </c>
      <c r="DO9" s="104"/>
      <c r="DP9" s="104">
        <f ca="1">IFERROR(OFFSET(ITEM_RES!$A$5,MATCH(DQ9,ITEM_RES!$M$5:$M$84,0)-1,0),0)</f>
        <v>220000201</v>
      </c>
      <c r="DQ9" s="103" t="s">
        <v>591</v>
      </c>
      <c r="DR9" s="102">
        <v>100</v>
      </c>
      <c r="DS9" s="104"/>
      <c r="DT9" s="104"/>
      <c r="DU9" s="103"/>
      <c r="DV9" s="102"/>
      <c r="DW9" s="104"/>
      <c r="DX9" s="104"/>
      <c r="DY9" s="103"/>
      <c r="DZ9" s="102"/>
      <c r="EA9" s="104"/>
      <c r="EB9" s="104"/>
      <c r="EC9" s="103"/>
      <c r="ED9" s="102"/>
      <c r="EE9" s="236"/>
      <c r="EF9" s="5">
        <v>50</v>
      </c>
    </row>
    <row r="10" spans="1:136" s="3" customFormat="1" x14ac:dyDescent="0.15">
      <c r="A10" s="86"/>
      <c r="B10" s="65">
        <f t="shared" ref="B10" si="14">IF(C10=1,D10,)</f>
        <v>0</v>
      </c>
      <c r="C10" s="86"/>
      <c r="D10" s="3">
        <f t="shared" ref="D10" si="15">E10*10000000+F10*1000000+G10*10000+H10*100+I10</f>
        <v>21110203</v>
      </c>
      <c r="E10" s="4">
        <v>2</v>
      </c>
      <c r="F10" s="65">
        <f t="shared" si="0"/>
        <v>1</v>
      </c>
      <c r="G10" s="65">
        <f t="shared" si="1"/>
        <v>11</v>
      </c>
      <c r="H10" s="86">
        <v>2</v>
      </c>
      <c r="I10" s="65">
        <f t="shared" si="2"/>
        <v>3</v>
      </c>
      <c r="J10" s="236"/>
      <c r="K10" s="5">
        <v>1</v>
      </c>
      <c r="L10" s="65">
        <f t="shared" ref="L10" si="16">M10*10+N10</f>
        <v>11</v>
      </c>
      <c r="M10" s="5">
        <v>1</v>
      </c>
      <c r="N10" s="5">
        <v>1</v>
      </c>
      <c r="O10" s="190">
        <v>3</v>
      </c>
      <c r="P10" s="236"/>
      <c r="Q10" s="5" t="s">
        <v>1229</v>
      </c>
      <c r="R10" s="5" t="s">
        <v>979</v>
      </c>
      <c r="S10" s="4" t="s">
        <v>979</v>
      </c>
      <c r="T10" s="4"/>
      <c r="U10" s="78">
        <v>0</v>
      </c>
      <c r="V10" s="78">
        <v>1</v>
      </c>
      <c r="W10" s="5" t="s">
        <v>719</v>
      </c>
      <c r="X10" s="86" t="s">
        <v>1027</v>
      </c>
      <c r="Y10" s="86">
        <v>21110203</v>
      </c>
      <c r="Z10" s="177" t="str">
        <f t="shared" si="4"/>
        <v>UITexture/ShipHull/21110203.png</v>
      </c>
      <c r="AA10" s="5"/>
      <c r="AB10" s="190">
        <v>0</v>
      </c>
      <c r="AC10" s="190">
        <v>100</v>
      </c>
      <c r="AD10" s="236"/>
      <c r="AE10" s="190">
        <v>0</v>
      </c>
      <c r="AF10" s="190">
        <v>0</v>
      </c>
      <c r="AG10" s="190">
        <v>0</v>
      </c>
      <c r="AH10" s="190">
        <v>0</v>
      </c>
      <c r="AI10" s="190">
        <v>0</v>
      </c>
      <c r="AJ10" s="190">
        <v>1</v>
      </c>
      <c r="AK10" s="236"/>
      <c r="AL10" s="190">
        <v>0</v>
      </c>
      <c r="AM10" s="236"/>
      <c r="AN10" s="41"/>
      <c r="AO10" s="41"/>
      <c r="AP10" s="5">
        <v>1</v>
      </c>
      <c r="AQ10" s="4">
        <v>1</v>
      </c>
      <c r="AR10" s="4">
        <v>0</v>
      </c>
      <c r="AS10" s="4">
        <v>0</v>
      </c>
      <c r="AT10" s="5">
        <v>1</v>
      </c>
      <c r="AU10" s="5">
        <v>50</v>
      </c>
      <c r="AV10" s="5">
        <v>100</v>
      </c>
      <c r="AW10" s="236"/>
      <c r="AX10" s="5">
        <v>200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100</v>
      </c>
      <c r="BG10" s="5">
        <v>100</v>
      </c>
      <c r="BH10" s="5">
        <v>100</v>
      </c>
      <c r="BI10" s="5">
        <v>100</v>
      </c>
      <c r="BJ10" s="5">
        <v>0</v>
      </c>
      <c r="BK10" s="5">
        <v>0</v>
      </c>
      <c r="BL10" s="37"/>
      <c r="BM10" s="5"/>
      <c r="BN10" s="5"/>
      <c r="BO10" s="5"/>
      <c r="BP10" s="236"/>
      <c r="BQ10" s="58"/>
      <c r="BR10" s="59"/>
      <c r="BS10" s="61"/>
      <c r="BT10" s="58"/>
      <c r="BU10" s="60"/>
      <c r="BV10" s="60"/>
      <c r="BW10" s="60"/>
      <c r="BX10" s="60"/>
      <c r="BY10" s="60"/>
      <c r="BZ10" s="61"/>
      <c r="CA10" s="61"/>
      <c r="CB10" s="61"/>
      <c r="CC10" s="61"/>
      <c r="CD10" s="59"/>
      <c r="CE10" s="59"/>
      <c r="CF10" s="59"/>
      <c r="CG10" s="59"/>
      <c r="CH10" s="61"/>
      <c r="CI10" s="61"/>
      <c r="CJ10" s="59"/>
      <c r="CK10" s="59"/>
      <c r="CL10" s="59"/>
      <c r="CM10" s="60"/>
      <c r="CN10" s="59"/>
      <c r="CO10" s="59"/>
      <c r="CP10" s="59"/>
      <c r="CQ10" s="236"/>
      <c r="CR10" s="37"/>
      <c r="CS10" s="5"/>
      <c r="CT10" s="5"/>
      <c r="CU10" s="5"/>
      <c r="CV10" s="236"/>
      <c r="CW10" s="5"/>
      <c r="CX10" s="5"/>
      <c r="CY10" s="5"/>
      <c r="CZ10" s="5"/>
      <c r="DA10" s="5"/>
      <c r="DB10" s="5">
        <v>100</v>
      </c>
      <c r="DC10" s="236"/>
      <c r="DD10" s="104">
        <f t="shared" ref="DD10" si="17">((DE10*24+DF10)*60+DG10)*60+DH10</f>
        <v>90</v>
      </c>
      <c r="DE10" s="103"/>
      <c r="DF10" s="103"/>
      <c r="DG10" s="103">
        <v>1</v>
      </c>
      <c r="DH10" s="103">
        <v>30</v>
      </c>
      <c r="DI10" s="5">
        <v>20</v>
      </c>
      <c r="DJ10" s="172">
        <v>2</v>
      </c>
      <c r="DK10" s="104"/>
      <c r="DL10" s="104">
        <f ca="1">IFERROR(OFFSET(ITEM_RES!$A$5,MATCH(DM10,ITEM_RES!$M$5:$M$84,0)-1,0),0)</f>
        <v>220000101</v>
      </c>
      <c r="DM10" s="103" t="s">
        <v>573</v>
      </c>
      <c r="DN10" s="102">
        <v>100</v>
      </c>
      <c r="DO10" s="104"/>
      <c r="DP10" s="104">
        <f ca="1">IFERROR(OFFSET(ITEM_RES!$A$5,MATCH(DQ10,ITEM_RES!$M$5:$M$84,0)-1,0),0)</f>
        <v>220000201</v>
      </c>
      <c r="DQ10" s="103" t="s">
        <v>591</v>
      </c>
      <c r="DR10" s="102">
        <v>100</v>
      </c>
      <c r="DS10" s="104"/>
      <c r="DT10" s="104"/>
      <c r="DU10" s="103"/>
      <c r="DV10" s="102"/>
      <c r="DW10" s="104"/>
      <c r="DX10" s="104"/>
      <c r="DY10" s="103"/>
      <c r="DZ10" s="102"/>
      <c r="EA10" s="104"/>
      <c r="EB10" s="104"/>
      <c r="EC10" s="103"/>
      <c r="ED10" s="102"/>
      <c r="EE10" s="236"/>
      <c r="EF10" s="5">
        <v>50</v>
      </c>
    </row>
    <row r="11" spans="1:136" s="3" customFormat="1" x14ac:dyDescent="0.15">
      <c r="A11" s="86"/>
      <c r="B11" s="65">
        <f t="shared" si="7"/>
        <v>0</v>
      </c>
      <c r="C11" s="86"/>
      <c r="D11" s="3">
        <f t="shared" si="8"/>
        <v>21110301</v>
      </c>
      <c r="E11" s="4">
        <v>2</v>
      </c>
      <c r="F11" s="65">
        <f t="shared" si="0"/>
        <v>1</v>
      </c>
      <c r="G11" s="65">
        <f t="shared" si="1"/>
        <v>11</v>
      </c>
      <c r="H11" s="86">
        <v>3</v>
      </c>
      <c r="I11" s="65">
        <f t="shared" si="2"/>
        <v>1</v>
      </c>
      <c r="J11" s="236"/>
      <c r="K11" s="5">
        <v>1</v>
      </c>
      <c r="L11" s="65">
        <f t="shared" si="9"/>
        <v>11</v>
      </c>
      <c r="M11" s="5">
        <v>1</v>
      </c>
      <c r="N11" s="5">
        <v>1</v>
      </c>
      <c r="O11" s="190">
        <v>1</v>
      </c>
      <c r="P11" s="236"/>
      <c r="Q11" s="5" t="s">
        <v>1229</v>
      </c>
      <c r="R11" s="5" t="s">
        <v>980</v>
      </c>
      <c r="S11" s="4" t="s">
        <v>980</v>
      </c>
      <c r="T11" s="4"/>
      <c r="U11" s="5">
        <v>0</v>
      </c>
      <c r="V11" s="5">
        <v>1</v>
      </c>
      <c r="W11" s="5" t="s">
        <v>720</v>
      </c>
      <c r="X11" s="86" t="s">
        <v>1027</v>
      </c>
      <c r="Y11" s="86">
        <v>21110301</v>
      </c>
      <c r="Z11" s="177" t="str">
        <f t="shared" si="4"/>
        <v>UITexture/ShipHull/21110301.png</v>
      </c>
      <c r="AA11" s="5"/>
      <c r="AB11" s="190">
        <v>0</v>
      </c>
      <c r="AC11" s="190">
        <v>100</v>
      </c>
      <c r="AD11" s="236"/>
      <c r="AE11" s="190">
        <v>0</v>
      </c>
      <c r="AF11" s="190">
        <v>0</v>
      </c>
      <c r="AG11" s="190">
        <v>0</v>
      </c>
      <c r="AH11" s="190">
        <v>0</v>
      </c>
      <c r="AI11" s="190">
        <v>0</v>
      </c>
      <c r="AJ11" s="190">
        <v>1</v>
      </c>
      <c r="AK11" s="236"/>
      <c r="AL11" s="190">
        <v>0</v>
      </c>
      <c r="AM11" s="236"/>
      <c r="AN11" s="41"/>
      <c r="AO11" s="41"/>
      <c r="AP11" s="5">
        <v>1</v>
      </c>
      <c r="AQ11" s="4">
        <v>1</v>
      </c>
      <c r="AR11" s="4">
        <v>0</v>
      </c>
      <c r="AS11" s="4">
        <v>0</v>
      </c>
      <c r="AT11" s="5">
        <v>2</v>
      </c>
      <c r="AU11" s="5">
        <v>50</v>
      </c>
      <c r="AV11" s="5">
        <v>100</v>
      </c>
      <c r="AW11" s="236"/>
      <c r="AX11" s="5">
        <v>200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100</v>
      </c>
      <c r="BG11" s="5">
        <v>100</v>
      </c>
      <c r="BH11" s="5">
        <v>100</v>
      </c>
      <c r="BI11" s="5">
        <v>100</v>
      </c>
      <c r="BJ11" s="5">
        <v>0</v>
      </c>
      <c r="BK11" s="5">
        <v>0</v>
      </c>
      <c r="BL11" s="37"/>
      <c r="BM11" s="5"/>
      <c r="BN11" s="5"/>
      <c r="BO11" s="5"/>
      <c r="BP11" s="236"/>
      <c r="BQ11" s="58"/>
      <c r="BR11" s="59"/>
      <c r="BS11" s="61"/>
      <c r="BT11" s="58"/>
      <c r="BU11" s="60"/>
      <c r="BV11" s="60"/>
      <c r="BW11" s="60"/>
      <c r="BX11" s="60"/>
      <c r="BY11" s="60"/>
      <c r="BZ11" s="61"/>
      <c r="CA11" s="61"/>
      <c r="CB11" s="61"/>
      <c r="CC11" s="61"/>
      <c r="CD11" s="59"/>
      <c r="CE11" s="59"/>
      <c r="CF11" s="59"/>
      <c r="CG11" s="59"/>
      <c r="CH11" s="61"/>
      <c r="CI11" s="61"/>
      <c r="CJ11" s="59"/>
      <c r="CK11" s="59"/>
      <c r="CL11" s="59"/>
      <c r="CM11" s="60"/>
      <c r="CN11" s="59"/>
      <c r="CO11" s="59"/>
      <c r="CP11" s="59"/>
      <c r="CQ11" s="236"/>
      <c r="CR11" s="37"/>
      <c r="CS11" s="5"/>
      <c r="CT11" s="5"/>
      <c r="CU11" s="5"/>
      <c r="CV11" s="236"/>
      <c r="CW11" s="5">
        <v>1</v>
      </c>
      <c r="CX11" s="5">
        <v>10000</v>
      </c>
      <c r="CY11" s="5"/>
      <c r="CZ11" s="5"/>
      <c r="DA11" s="5"/>
      <c r="DB11" s="5"/>
      <c r="DC11" s="236"/>
      <c r="DD11" s="104">
        <f t="shared" si="3"/>
        <v>90</v>
      </c>
      <c r="DE11" s="103"/>
      <c r="DF11" s="103"/>
      <c r="DG11" s="103">
        <v>1</v>
      </c>
      <c r="DH11" s="103">
        <v>30</v>
      </c>
      <c r="DI11" s="5">
        <v>20</v>
      </c>
      <c r="DJ11" s="172">
        <v>2</v>
      </c>
      <c r="DK11" s="104"/>
      <c r="DL11" s="104">
        <f ca="1">IFERROR(OFFSET(ITEM_RES!$A$5,MATCH(DM11,ITEM_RES!$M$5:$M$84,0)-1,0),0)</f>
        <v>220000101</v>
      </c>
      <c r="DM11" s="103" t="s">
        <v>573</v>
      </c>
      <c r="DN11" s="102">
        <v>100</v>
      </c>
      <c r="DO11" s="104"/>
      <c r="DP11" s="104">
        <f ca="1">IFERROR(OFFSET(ITEM_RES!$A$5,MATCH(DQ11,ITEM_RES!$M$5:$M$84,0)-1,0),0)</f>
        <v>220000201</v>
      </c>
      <c r="DQ11" s="103" t="s">
        <v>591</v>
      </c>
      <c r="DR11" s="102">
        <v>100</v>
      </c>
      <c r="DS11" s="104"/>
      <c r="DT11" s="104"/>
      <c r="DU11" s="103"/>
      <c r="DV11" s="102"/>
      <c r="DW11" s="104"/>
      <c r="DX11" s="104"/>
      <c r="DY11" s="103"/>
      <c r="DZ11" s="102"/>
      <c r="EA11" s="104"/>
      <c r="EB11" s="104"/>
      <c r="EC11" s="103"/>
      <c r="ED11" s="102"/>
      <c r="EE11" s="236"/>
      <c r="EF11" s="5">
        <v>50</v>
      </c>
    </row>
    <row r="12" spans="1:136" s="3" customFormat="1" x14ac:dyDescent="0.15">
      <c r="A12" s="86"/>
      <c r="B12" s="65">
        <f t="shared" ref="B12" si="18">IF(C12=1,D12,)</f>
        <v>0</v>
      </c>
      <c r="C12" s="86"/>
      <c r="D12" s="3">
        <f t="shared" ref="D12" si="19">E12*10000000+F12*1000000+G12*10000+H12*100+I12</f>
        <v>21110302</v>
      </c>
      <c r="E12" s="4">
        <v>2</v>
      </c>
      <c r="F12" s="65">
        <f t="shared" si="0"/>
        <v>1</v>
      </c>
      <c r="G12" s="65">
        <f t="shared" si="1"/>
        <v>11</v>
      </c>
      <c r="H12" s="86">
        <v>3</v>
      </c>
      <c r="I12" s="65">
        <f t="shared" si="2"/>
        <v>2</v>
      </c>
      <c r="J12" s="236"/>
      <c r="K12" s="5">
        <v>1</v>
      </c>
      <c r="L12" s="65">
        <f t="shared" ref="L12" si="20">M12*10+N12</f>
        <v>11</v>
      </c>
      <c r="M12" s="5">
        <v>1</v>
      </c>
      <c r="N12" s="5">
        <v>1</v>
      </c>
      <c r="O12" s="190">
        <v>2</v>
      </c>
      <c r="P12" s="236"/>
      <c r="Q12" s="5" t="s">
        <v>1229</v>
      </c>
      <c r="R12" s="5" t="s">
        <v>981</v>
      </c>
      <c r="S12" s="4" t="s">
        <v>981</v>
      </c>
      <c r="T12" s="4"/>
      <c r="U12" s="5">
        <v>0</v>
      </c>
      <c r="V12" s="5">
        <v>1</v>
      </c>
      <c r="W12" s="5" t="s">
        <v>720</v>
      </c>
      <c r="X12" s="86" t="s">
        <v>1027</v>
      </c>
      <c r="Y12" s="86">
        <v>21110302</v>
      </c>
      <c r="Z12" s="177" t="str">
        <f t="shared" si="4"/>
        <v>UITexture/ShipHull/21110302.png</v>
      </c>
      <c r="AA12" s="5"/>
      <c r="AB12" s="190">
        <v>0</v>
      </c>
      <c r="AC12" s="190">
        <v>100</v>
      </c>
      <c r="AD12" s="236"/>
      <c r="AE12" s="190">
        <v>0</v>
      </c>
      <c r="AF12" s="190">
        <v>0</v>
      </c>
      <c r="AG12" s="190">
        <v>0</v>
      </c>
      <c r="AH12" s="190">
        <v>0</v>
      </c>
      <c r="AI12" s="190">
        <v>0</v>
      </c>
      <c r="AJ12" s="190">
        <v>1</v>
      </c>
      <c r="AK12" s="236"/>
      <c r="AL12" s="190">
        <v>0</v>
      </c>
      <c r="AM12" s="236"/>
      <c r="AN12" s="41"/>
      <c r="AO12" s="41"/>
      <c r="AP12" s="5">
        <v>1</v>
      </c>
      <c r="AQ12" s="4">
        <v>1</v>
      </c>
      <c r="AR12" s="4">
        <v>0</v>
      </c>
      <c r="AS12" s="4">
        <v>0</v>
      </c>
      <c r="AT12" s="5">
        <v>2</v>
      </c>
      <c r="AU12" s="5">
        <v>50</v>
      </c>
      <c r="AV12" s="5">
        <v>100</v>
      </c>
      <c r="AW12" s="236"/>
      <c r="AX12" s="5">
        <v>200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100</v>
      </c>
      <c r="BG12" s="5">
        <v>100</v>
      </c>
      <c r="BH12" s="5">
        <v>100</v>
      </c>
      <c r="BI12" s="5">
        <v>100</v>
      </c>
      <c r="BJ12" s="5">
        <v>0</v>
      </c>
      <c r="BK12" s="5">
        <v>0</v>
      </c>
      <c r="BL12" s="37"/>
      <c r="BM12" s="5"/>
      <c r="BN12" s="5"/>
      <c r="BO12" s="5"/>
      <c r="BP12" s="236"/>
      <c r="BQ12" s="58"/>
      <c r="BR12" s="59"/>
      <c r="BS12" s="61"/>
      <c r="BT12" s="58"/>
      <c r="BU12" s="60"/>
      <c r="BV12" s="60"/>
      <c r="BW12" s="60"/>
      <c r="BX12" s="60"/>
      <c r="BY12" s="60"/>
      <c r="BZ12" s="61"/>
      <c r="CA12" s="61"/>
      <c r="CB12" s="61"/>
      <c r="CC12" s="61"/>
      <c r="CD12" s="59"/>
      <c r="CE12" s="59"/>
      <c r="CF12" s="59"/>
      <c r="CG12" s="59"/>
      <c r="CH12" s="61"/>
      <c r="CI12" s="61"/>
      <c r="CJ12" s="59"/>
      <c r="CK12" s="59"/>
      <c r="CL12" s="59"/>
      <c r="CM12" s="60"/>
      <c r="CN12" s="59"/>
      <c r="CO12" s="59"/>
      <c r="CP12" s="59"/>
      <c r="CQ12" s="236"/>
      <c r="CR12" s="37"/>
      <c r="CS12" s="5"/>
      <c r="CT12" s="5"/>
      <c r="CU12" s="5"/>
      <c r="CV12" s="236"/>
      <c r="CW12" s="5">
        <v>1</v>
      </c>
      <c r="CX12" s="5">
        <v>10000</v>
      </c>
      <c r="CY12" s="5"/>
      <c r="CZ12" s="5"/>
      <c r="DA12" s="5"/>
      <c r="DB12" s="5"/>
      <c r="DC12" s="236"/>
      <c r="DD12" s="104">
        <f t="shared" ref="DD12" si="21">((DE12*24+DF12)*60+DG12)*60+DH12</f>
        <v>90</v>
      </c>
      <c r="DE12" s="103"/>
      <c r="DF12" s="103"/>
      <c r="DG12" s="103">
        <v>1</v>
      </c>
      <c r="DH12" s="103">
        <v>30</v>
      </c>
      <c r="DI12" s="5">
        <v>20</v>
      </c>
      <c r="DJ12" s="172">
        <v>2</v>
      </c>
      <c r="DK12" s="104"/>
      <c r="DL12" s="104">
        <f ca="1">IFERROR(OFFSET(ITEM_RES!$A$5,MATCH(DM12,ITEM_RES!$M$5:$M$84,0)-1,0),0)</f>
        <v>220000101</v>
      </c>
      <c r="DM12" s="103" t="s">
        <v>573</v>
      </c>
      <c r="DN12" s="102">
        <v>100</v>
      </c>
      <c r="DO12" s="104"/>
      <c r="DP12" s="104">
        <f ca="1">IFERROR(OFFSET(ITEM_RES!$A$5,MATCH(DQ12,ITEM_RES!$M$5:$M$84,0)-1,0),0)</f>
        <v>220000201</v>
      </c>
      <c r="DQ12" s="103" t="s">
        <v>591</v>
      </c>
      <c r="DR12" s="102">
        <v>100</v>
      </c>
      <c r="DS12" s="104"/>
      <c r="DT12" s="104"/>
      <c r="DU12" s="103"/>
      <c r="DV12" s="102"/>
      <c r="DW12" s="104"/>
      <c r="DX12" s="104"/>
      <c r="DY12" s="103"/>
      <c r="DZ12" s="102"/>
      <c r="EA12" s="104"/>
      <c r="EB12" s="104"/>
      <c r="EC12" s="103"/>
      <c r="ED12" s="102"/>
      <c r="EE12" s="236"/>
      <c r="EF12" s="5">
        <v>50</v>
      </c>
    </row>
    <row r="13" spans="1:136" s="3" customFormat="1" x14ac:dyDescent="0.15">
      <c r="A13" s="86"/>
      <c r="B13" s="65">
        <f t="shared" ref="B13" si="22">IF(C13=1,D13,)</f>
        <v>0</v>
      </c>
      <c r="C13" s="86"/>
      <c r="D13" s="3">
        <f t="shared" ref="D13" si="23">E13*10000000+F13*1000000+G13*10000+H13*100+I13</f>
        <v>21110303</v>
      </c>
      <c r="E13" s="4">
        <v>2</v>
      </c>
      <c r="F13" s="65">
        <f t="shared" si="0"/>
        <v>1</v>
      </c>
      <c r="G13" s="65">
        <f t="shared" si="1"/>
        <v>11</v>
      </c>
      <c r="H13" s="86">
        <v>3</v>
      </c>
      <c r="I13" s="65">
        <f t="shared" si="2"/>
        <v>3</v>
      </c>
      <c r="J13" s="236"/>
      <c r="K13" s="5">
        <v>1</v>
      </c>
      <c r="L13" s="65">
        <f t="shared" ref="L13" si="24">M13*10+N13</f>
        <v>11</v>
      </c>
      <c r="M13" s="5">
        <v>1</v>
      </c>
      <c r="N13" s="5">
        <v>1</v>
      </c>
      <c r="O13" s="190">
        <v>3</v>
      </c>
      <c r="P13" s="236"/>
      <c r="Q13" s="5" t="s">
        <v>1229</v>
      </c>
      <c r="R13" s="5" t="s">
        <v>982</v>
      </c>
      <c r="S13" s="4" t="s">
        <v>982</v>
      </c>
      <c r="T13" s="4"/>
      <c r="U13" s="5">
        <v>0</v>
      </c>
      <c r="V13" s="5">
        <v>1</v>
      </c>
      <c r="W13" s="5" t="s">
        <v>720</v>
      </c>
      <c r="X13" s="86" t="s">
        <v>1027</v>
      </c>
      <c r="Y13" s="86">
        <v>21110303</v>
      </c>
      <c r="Z13" s="177" t="str">
        <f t="shared" si="4"/>
        <v>UITexture/ShipHull/21110303.png</v>
      </c>
      <c r="AA13" s="5"/>
      <c r="AB13" s="190">
        <v>0</v>
      </c>
      <c r="AC13" s="190">
        <v>100</v>
      </c>
      <c r="AD13" s="236"/>
      <c r="AE13" s="190">
        <v>0</v>
      </c>
      <c r="AF13" s="190">
        <v>0</v>
      </c>
      <c r="AG13" s="190">
        <v>0</v>
      </c>
      <c r="AH13" s="190">
        <v>0</v>
      </c>
      <c r="AI13" s="190">
        <v>0</v>
      </c>
      <c r="AJ13" s="190">
        <v>1</v>
      </c>
      <c r="AK13" s="236"/>
      <c r="AL13" s="190">
        <v>0</v>
      </c>
      <c r="AM13" s="236"/>
      <c r="AN13" s="41"/>
      <c r="AO13" s="41"/>
      <c r="AP13" s="5">
        <v>1</v>
      </c>
      <c r="AQ13" s="4">
        <v>1</v>
      </c>
      <c r="AR13" s="4">
        <v>0</v>
      </c>
      <c r="AS13" s="4">
        <v>0</v>
      </c>
      <c r="AT13" s="5">
        <v>2</v>
      </c>
      <c r="AU13" s="5">
        <v>50</v>
      </c>
      <c r="AV13" s="5">
        <v>100</v>
      </c>
      <c r="AW13" s="236"/>
      <c r="AX13" s="5">
        <v>200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100</v>
      </c>
      <c r="BG13" s="5">
        <v>100</v>
      </c>
      <c r="BH13" s="5">
        <v>100</v>
      </c>
      <c r="BI13" s="5">
        <v>100</v>
      </c>
      <c r="BJ13" s="5">
        <v>0</v>
      </c>
      <c r="BK13" s="5">
        <v>0</v>
      </c>
      <c r="BL13" s="37"/>
      <c r="BM13" s="5"/>
      <c r="BN13" s="5"/>
      <c r="BO13" s="5"/>
      <c r="BP13" s="236"/>
      <c r="BQ13" s="58"/>
      <c r="BR13" s="59"/>
      <c r="BS13" s="61"/>
      <c r="BT13" s="58"/>
      <c r="BU13" s="60"/>
      <c r="BV13" s="60"/>
      <c r="BW13" s="60"/>
      <c r="BX13" s="60"/>
      <c r="BY13" s="60"/>
      <c r="BZ13" s="61"/>
      <c r="CA13" s="61"/>
      <c r="CB13" s="61"/>
      <c r="CC13" s="61"/>
      <c r="CD13" s="59"/>
      <c r="CE13" s="59"/>
      <c r="CF13" s="59"/>
      <c r="CG13" s="59"/>
      <c r="CH13" s="61"/>
      <c r="CI13" s="61"/>
      <c r="CJ13" s="59"/>
      <c r="CK13" s="59"/>
      <c r="CL13" s="59"/>
      <c r="CM13" s="60"/>
      <c r="CN13" s="59"/>
      <c r="CO13" s="59"/>
      <c r="CP13" s="59"/>
      <c r="CQ13" s="236"/>
      <c r="CR13" s="37"/>
      <c r="CS13" s="5"/>
      <c r="CT13" s="5"/>
      <c r="CU13" s="5"/>
      <c r="CV13" s="236"/>
      <c r="CW13" s="5">
        <v>1</v>
      </c>
      <c r="CX13" s="5">
        <v>10000</v>
      </c>
      <c r="CY13" s="5"/>
      <c r="CZ13" s="5"/>
      <c r="DA13" s="5"/>
      <c r="DB13" s="5"/>
      <c r="DC13" s="236"/>
      <c r="DD13" s="104">
        <f t="shared" ref="DD13" si="25">((DE13*24+DF13)*60+DG13)*60+DH13</f>
        <v>90</v>
      </c>
      <c r="DE13" s="103"/>
      <c r="DF13" s="103"/>
      <c r="DG13" s="103">
        <v>1</v>
      </c>
      <c r="DH13" s="103">
        <v>30</v>
      </c>
      <c r="DI13" s="5">
        <v>20</v>
      </c>
      <c r="DJ13" s="172">
        <v>2</v>
      </c>
      <c r="DK13" s="104"/>
      <c r="DL13" s="104">
        <f ca="1">IFERROR(OFFSET(ITEM_RES!$A$5,MATCH(DM13,ITEM_RES!$M$5:$M$84,0)-1,0),0)</f>
        <v>220000101</v>
      </c>
      <c r="DM13" s="103" t="s">
        <v>573</v>
      </c>
      <c r="DN13" s="102">
        <v>100</v>
      </c>
      <c r="DO13" s="104"/>
      <c r="DP13" s="104">
        <f ca="1">IFERROR(OFFSET(ITEM_RES!$A$5,MATCH(DQ13,ITEM_RES!$M$5:$M$84,0)-1,0),0)</f>
        <v>220000201</v>
      </c>
      <c r="DQ13" s="103" t="s">
        <v>591</v>
      </c>
      <c r="DR13" s="102">
        <v>100</v>
      </c>
      <c r="DS13" s="104"/>
      <c r="DT13" s="104"/>
      <c r="DU13" s="103"/>
      <c r="DV13" s="102"/>
      <c r="DW13" s="104"/>
      <c r="DX13" s="104"/>
      <c r="DY13" s="103"/>
      <c r="DZ13" s="102"/>
      <c r="EA13" s="104"/>
      <c r="EB13" s="104"/>
      <c r="EC13" s="103"/>
      <c r="ED13" s="102"/>
      <c r="EE13" s="236"/>
      <c r="EF13" s="5">
        <v>50</v>
      </c>
    </row>
    <row r="14" spans="1:136" s="3" customFormat="1" x14ac:dyDescent="0.15">
      <c r="A14" s="86"/>
      <c r="B14" s="65">
        <f t="shared" ref="B14" si="26">IF(C14=1,D14,)</f>
        <v>0</v>
      </c>
      <c r="C14" s="86"/>
      <c r="D14" s="3">
        <f t="shared" ref="D14" si="27">E14*10000000+F14*1000000+G14*10000+H14*100+I14</f>
        <v>21110401</v>
      </c>
      <c r="E14" s="4">
        <v>2</v>
      </c>
      <c r="F14" s="65">
        <f t="shared" si="0"/>
        <v>1</v>
      </c>
      <c r="G14" s="65">
        <f t="shared" si="1"/>
        <v>11</v>
      </c>
      <c r="H14" s="86">
        <v>4</v>
      </c>
      <c r="I14" s="65">
        <f t="shared" si="2"/>
        <v>1</v>
      </c>
      <c r="J14" s="236"/>
      <c r="K14" s="5">
        <v>1</v>
      </c>
      <c r="L14" s="65">
        <f t="shared" ref="L14" si="28">M14*10+N14</f>
        <v>11</v>
      </c>
      <c r="M14" s="5">
        <v>1</v>
      </c>
      <c r="N14" s="5">
        <v>1</v>
      </c>
      <c r="O14" s="190">
        <v>1</v>
      </c>
      <c r="P14" s="236"/>
      <c r="Q14" s="5" t="s">
        <v>1229</v>
      </c>
      <c r="R14" s="5" t="s">
        <v>1034</v>
      </c>
      <c r="S14" s="4" t="s">
        <v>1053</v>
      </c>
      <c r="T14" s="4"/>
      <c r="U14" s="5">
        <v>1</v>
      </c>
      <c r="V14" s="5">
        <v>1</v>
      </c>
      <c r="W14" s="5" t="s">
        <v>1225</v>
      </c>
      <c r="X14" s="86" t="s">
        <v>1027</v>
      </c>
      <c r="Y14" s="86">
        <v>21110401</v>
      </c>
      <c r="Z14" s="177" t="str">
        <f t="shared" si="4"/>
        <v>UITexture/ShipHull/21110401.png</v>
      </c>
      <c r="AA14" s="5" t="s">
        <v>1037</v>
      </c>
      <c r="AB14" s="190">
        <v>1</v>
      </c>
      <c r="AC14" s="190">
        <v>43</v>
      </c>
      <c r="AD14" s="236"/>
      <c r="AE14" s="190">
        <v>0</v>
      </c>
      <c r="AF14" s="190">
        <v>0</v>
      </c>
      <c r="AG14" s="190">
        <v>0</v>
      </c>
      <c r="AH14" s="190">
        <v>0</v>
      </c>
      <c r="AI14" s="190">
        <v>0</v>
      </c>
      <c r="AJ14" s="190">
        <v>1</v>
      </c>
      <c r="AK14" s="236"/>
      <c r="AL14" s="190">
        <v>1</v>
      </c>
      <c r="AM14" s="236"/>
      <c r="AN14" s="41"/>
      <c r="AO14" s="41"/>
      <c r="AP14" s="5">
        <v>1</v>
      </c>
      <c r="AQ14" s="4">
        <v>1</v>
      </c>
      <c r="AR14" s="4">
        <v>0</v>
      </c>
      <c r="AS14" s="4">
        <v>0</v>
      </c>
      <c r="AT14" s="5">
        <v>3</v>
      </c>
      <c r="AU14" s="5">
        <v>50</v>
      </c>
      <c r="AV14" s="5">
        <v>100</v>
      </c>
      <c r="AW14" s="236"/>
      <c r="AX14" s="5">
        <v>200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100</v>
      </c>
      <c r="BG14" s="5">
        <v>100</v>
      </c>
      <c r="BH14" s="5">
        <v>100</v>
      </c>
      <c r="BI14" s="5">
        <v>100</v>
      </c>
      <c r="BJ14" s="5">
        <v>0</v>
      </c>
      <c r="BK14" s="5">
        <v>0</v>
      </c>
      <c r="BL14" s="37"/>
      <c r="BM14" s="5"/>
      <c r="BN14" s="5"/>
      <c r="BO14" s="5"/>
      <c r="BP14" s="236"/>
      <c r="BQ14" s="58"/>
      <c r="BR14" s="59"/>
      <c r="BS14" s="61"/>
      <c r="BT14" s="58"/>
      <c r="BU14" s="60"/>
      <c r="BV14" s="60"/>
      <c r="BW14" s="60"/>
      <c r="BX14" s="60"/>
      <c r="BY14" s="60"/>
      <c r="BZ14" s="61"/>
      <c r="CA14" s="61"/>
      <c r="CB14" s="61"/>
      <c r="CC14" s="61"/>
      <c r="CD14" s="59"/>
      <c r="CE14" s="59"/>
      <c r="CF14" s="59"/>
      <c r="CG14" s="59"/>
      <c r="CH14" s="61"/>
      <c r="CI14" s="61"/>
      <c r="CJ14" s="59"/>
      <c r="CK14" s="59"/>
      <c r="CL14" s="59"/>
      <c r="CM14" s="60"/>
      <c r="CN14" s="59"/>
      <c r="CO14" s="59"/>
      <c r="CP14" s="59"/>
      <c r="CQ14" s="236"/>
      <c r="CR14" s="37"/>
      <c r="CS14" s="5"/>
      <c r="CT14" s="5"/>
      <c r="CU14" s="5"/>
      <c r="CV14" s="236"/>
      <c r="CW14" s="5"/>
      <c r="CX14" s="5"/>
      <c r="CY14" s="5">
        <v>300</v>
      </c>
      <c r="CZ14" s="5"/>
      <c r="DA14" s="5"/>
      <c r="DB14" s="5"/>
      <c r="DC14" s="236"/>
      <c r="DD14" s="104">
        <f t="shared" ref="DD14" si="29">((DE14*24+DF14)*60+DG14)*60+DH14</f>
        <v>90</v>
      </c>
      <c r="DE14" s="103"/>
      <c r="DF14" s="103"/>
      <c r="DG14" s="103">
        <v>1</v>
      </c>
      <c r="DH14" s="103">
        <v>30</v>
      </c>
      <c r="DI14" s="5">
        <v>20</v>
      </c>
      <c r="DJ14" s="172">
        <v>2</v>
      </c>
      <c r="DK14" s="104"/>
      <c r="DL14" s="104">
        <f ca="1">IFERROR(OFFSET(ITEM_RES!$A$5,MATCH(DM14,ITEM_RES!$M$5:$M$84,0)-1,0),0)</f>
        <v>220000101</v>
      </c>
      <c r="DM14" s="103" t="s">
        <v>573</v>
      </c>
      <c r="DN14" s="102">
        <v>100</v>
      </c>
      <c r="DO14" s="104"/>
      <c r="DP14" s="104">
        <f ca="1">IFERROR(OFFSET(ITEM_RES!$A$5,MATCH(DQ14,ITEM_RES!$M$5:$M$84,0)-1,0),0)</f>
        <v>220000201</v>
      </c>
      <c r="DQ14" s="103" t="s">
        <v>591</v>
      </c>
      <c r="DR14" s="102">
        <v>100</v>
      </c>
      <c r="DS14" s="104"/>
      <c r="DT14" s="104"/>
      <c r="DU14" s="103"/>
      <c r="DV14" s="102"/>
      <c r="DW14" s="104"/>
      <c r="DX14" s="104"/>
      <c r="DY14" s="103"/>
      <c r="DZ14" s="102"/>
      <c r="EA14" s="104"/>
      <c r="EB14" s="104"/>
      <c r="EC14" s="103"/>
      <c r="ED14" s="102"/>
      <c r="EE14" s="236"/>
      <c r="EF14" s="5">
        <v>50</v>
      </c>
    </row>
    <row r="15" spans="1:136" s="3" customFormat="1" x14ac:dyDescent="0.15">
      <c r="A15" s="86"/>
      <c r="B15" s="65">
        <f t="shared" ref="B15:B16" si="30">IF(C15=1,D15,)</f>
        <v>0</v>
      </c>
      <c r="C15" s="86"/>
      <c r="D15" s="3">
        <f t="shared" ref="D15:D16" si="31">E15*10000000+F15*1000000+G15*10000+H15*100+I15</f>
        <v>21110402</v>
      </c>
      <c r="E15" s="4">
        <v>2</v>
      </c>
      <c r="F15" s="65">
        <f t="shared" si="0"/>
        <v>1</v>
      </c>
      <c r="G15" s="65">
        <f t="shared" si="1"/>
        <v>11</v>
      </c>
      <c r="H15" s="86">
        <v>4</v>
      </c>
      <c r="I15" s="65">
        <f t="shared" si="2"/>
        <v>2</v>
      </c>
      <c r="J15" s="236"/>
      <c r="K15" s="5">
        <v>1</v>
      </c>
      <c r="L15" s="65">
        <f t="shared" si="9"/>
        <v>11</v>
      </c>
      <c r="M15" s="5">
        <v>1</v>
      </c>
      <c r="N15" s="5">
        <v>1</v>
      </c>
      <c r="O15" s="190">
        <v>2</v>
      </c>
      <c r="P15" s="236"/>
      <c r="Q15" s="5" t="s">
        <v>1229</v>
      </c>
      <c r="R15" s="5" t="s">
        <v>983</v>
      </c>
      <c r="S15" s="4" t="s">
        <v>983</v>
      </c>
      <c r="T15" s="4"/>
      <c r="U15" s="5">
        <v>0</v>
      </c>
      <c r="V15" s="5">
        <v>1</v>
      </c>
      <c r="W15" s="5" t="s">
        <v>718</v>
      </c>
      <c r="X15" s="86" t="s">
        <v>1027</v>
      </c>
      <c r="Y15" s="86">
        <v>21110402</v>
      </c>
      <c r="Z15" s="177" t="str">
        <f t="shared" si="4"/>
        <v>UITexture/ShipHull/21110402.png</v>
      </c>
      <c r="AA15" s="5"/>
      <c r="AB15" s="190">
        <v>0</v>
      </c>
      <c r="AC15" s="190">
        <v>100</v>
      </c>
      <c r="AD15" s="236"/>
      <c r="AE15" s="190">
        <v>0</v>
      </c>
      <c r="AF15" s="190">
        <v>0</v>
      </c>
      <c r="AG15" s="190">
        <v>0</v>
      </c>
      <c r="AH15" s="190">
        <v>0</v>
      </c>
      <c r="AI15" s="190">
        <v>0</v>
      </c>
      <c r="AJ15" s="190">
        <v>1</v>
      </c>
      <c r="AK15" s="236"/>
      <c r="AL15" s="190">
        <v>0</v>
      </c>
      <c r="AM15" s="236"/>
      <c r="AN15" s="41"/>
      <c r="AO15" s="41"/>
      <c r="AP15" s="5">
        <v>1</v>
      </c>
      <c r="AQ15" s="4">
        <v>1</v>
      </c>
      <c r="AR15" s="4">
        <v>0</v>
      </c>
      <c r="AS15" s="4">
        <v>0</v>
      </c>
      <c r="AT15" s="5">
        <v>3</v>
      </c>
      <c r="AU15" s="5">
        <v>50</v>
      </c>
      <c r="AV15" s="5">
        <v>100</v>
      </c>
      <c r="AW15" s="236"/>
      <c r="AX15" s="5">
        <v>200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100</v>
      </c>
      <c r="BG15" s="5">
        <v>100</v>
      </c>
      <c r="BH15" s="5">
        <v>100</v>
      </c>
      <c r="BI15" s="5">
        <v>100</v>
      </c>
      <c r="BJ15" s="5">
        <v>0</v>
      </c>
      <c r="BK15" s="5">
        <v>0</v>
      </c>
      <c r="BL15" s="37"/>
      <c r="BM15" s="5"/>
      <c r="BN15" s="5"/>
      <c r="BO15" s="5"/>
      <c r="BP15" s="236"/>
      <c r="BQ15" s="58"/>
      <c r="BR15" s="59"/>
      <c r="BS15" s="61"/>
      <c r="BT15" s="58"/>
      <c r="BU15" s="60"/>
      <c r="BV15" s="60"/>
      <c r="BW15" s="60"/>
      <c r="BX15" s="60"/>
      <c r="BY15" s="60"/>
      <c r="BZ15" s="61"/>
      <c r="CA15" s="61"/>
      <c r="CB15" s="61"/>
      <c r="CC15" s="61"/>
      <c r="CD15" s="59"/>
      <c r="CE15" s="59"/>
      <c r="CF15" s="59"/>
      <c r="CG15" s="59"/>
      <c r="CH15" s="61"/>
      <c r="CI15" s="61"/>
      <c r="CJ15" s="59"/>
      <c r="CK15" s="59"/>
      <c r="CL15" s="59"/>
      <c r="CM15" s="60"/>
      <c r="CN15" s="59"/>
      <c r="CO15" s="59"/>
      <c r="CP15" s="59"/>
      <c r="CQ15" s="236"/>
      <c r="CR15" s="37"/>
      <c r="CS15" s="5"/>
      <c r="CT15" s="5"/>
      <c r="CU15" s="5"/>
      <c r="CV15" s="236"/>
      <c r="CW15" s="5"/>
      <c r="CX15" s="5"/>
      <c r="CY15" s="5">
        <v>330</v>
      </c>
      <c r="CZ15" s="5"/>
      <c r="DA15" s="5"/>
      <c r="DB15" s="5"/>
      <c r="DC15" s="236"/>
      <c r="DD15" s="104">
        <f t="shared" si="3"/>
        <v>90</v>
      </c>
      <c r="DE15" s="103"/>
      <c r="DF15" s="103"/>
      <c r="DG15" s="103">
        <v>1</v>
      </c>
      <c r="DH15" s="103">
        <v>30</v>
      </c>
      <c r="DI15" s="5">
        <v>20</v>
      </c>
      <c r="DJ15" s="172">
        <v>2</v>
      </c>
      <c r="DK15" s="104"/>
      <c r="DL15" s="104">
        <f ca="1">IFERROR(OFFSET(ITEM_RES!$A$5,MATCH(DM15,ITEM_RES!$M$5:$M$84,0)-1,0),0)</f>
        <v>220000101</v>
      </c>
      <c r="DM15" s="103" t="s">
        <v>573</v>
      </c>
      <c r="DN15" s="102">
        <v>100</v>
      </c>
      <c r="DO15" s="104"/>
      <c r="DP15" s="104">
        <f ca="1">IFERROR(OFFSET(ITEM_RES!$A$5,MATCH(DQ15,ITEM_RES!$M$5:$M$84,0)-1,0),0)</f>
        <v>220000201</v>
      </c>
      <c r="DQ15" s="103" t="s">
        <v>591</v>
      </c>
      <c r="DR15" s="102">
        <v>100</v>
      </c>
      <c r="DS15" s="104"/>
      <c r="DT15" s="104"/>
      <c r="DU15" s="103"/>
      <c r="DV15" s="102"/>
      <c r="DW15" s="104"/>
      <c r="DX15" s="104"/>
      <c r="DY15" s="103"/>
      <c r="DZ15" s="102"/>
      <c r="EA15" s="104"/>
      <c r="EB15" s="104"/>
      <c r="EC15" s="103"/>
      <c r="ED15" s="102"/>
      <c r="EE15" s="236"/>
      <c r="EF15" s="5">
        <v>50</v>
      </c>
    </row>
    <row r="16" spans="1:136" s="3" customFormat="1" x14ac:dyDescent="0.15">
      <c r="A16" s="86"/>
      <c r="B16" s="65">
        <f t="shared" si="30"/>
        <v>0</v>
      </c>
      <c r="C16" s="86"/>
      <c r="D16" s="3">
        <f t="shared" si="31"/>
        <v>21110403</v>
      </c>
      <c r="E16" s="4">
        <v>2</v>
      </c>
      <c r="F16" s="65">
        <f t="shared" si="0"/>
        <v>1</v>
      </c>
      <c r="G16" s="65">
        <f t="shared" si="1"/>
        <v>11</v>
      </c>
      <c r="H16" s="86">
        <v>4</v>
      </c>
      <c r="I16" s="65">
        <f t="shared" si="2"/>
        <v>3</v>
      </c>
      <c r="J16" s="236"/>
      <c r="K16" s="5">
        <v>1</v>
      </c>
      <c r="L16" s="65">
        <f t="shared" si="9"/>
        <v>11</v>
      </c>
      <c r="M16" s="5">
        <v>1</v>
      </c>
      <c r="N16" s="5">
        <v>1</v>
      </c>
      <c r="O16" s="190">
        <v>3</v>
      </c>
      <c r="P16" s="236"/>
      <c r="Q16" s="5" t="s">
        <v>1229</v>
      </c>
      <c r="R16" s="5" t="s">
        <v>984</v>
      </c>
      <c r="S16" s="4" t="s">
        <v>984</v>
      </c>
      <c r="T16" s="4"/>
      <c r="U16" s="5">
        <v>0</v>
      </c>
      <c r="V16" s="5">
        <v>1</v>
      </c>
      <c r="W16" s="5" t="s">
        <v>718</v>
      </c>
      <c r="X16" s="86" t="s">
        <v>1027</v>
      </c>
      <c r="Y16" s="86">
        <v>21110403</v>
      </c>
      <c r="Z16" s="177" t="str">
        <f t="shared" si="4"/>
        <v>UITexture/ShipHull/21110403.png</v>
      </c>
      <c r="AA16" s="5"/>
      <c r="AB16" s="190">
        <v>0</v>
      </c>
      <c r="AC16" s="190">
        <v>100</v>
      </c>
      <c r="AD16" s="236"/>
      <c r="AE16" s="190">
        <v>0</v>
      </c>
      <c r="AF16" s="190">
        <v>0</v>
      </c>
      <c r="AG16" s="190">
        <v>0</v>
      </c>
      <c r="AH16" s="190">
        <v>0</v>
      </c>
      <c r="AI16" s="190">
        <v>0</v>
      </c>
      <c r="AJ16" s="190">
        <v>1</v>
      </c>
      <c r="AK16" s="236"/>
      <c r="AL16" s="190">
        <v>0</v>
      </c>
      <c r="AM16" s="236"/>
      <c r="AN16" s="41"/>
      <c r="AO16" s="41"/>
      <c r="AP16" s="5">
        <v>1</v>
      </c>
      <c r="AQ16" s="4">
        <v>1</v>
      </c>
      <c r="AR16" s="4">
        <v>0</v>
      </c>
      <c r="AS16" s="4">
        <v>0</v>
      </c>
      <c r="AT16" s="5">
        <v>3</v>
      </c>
      <c r="AU16" s="5">
        <v>50</v>
      </c>
      <c r="AV16" s="5">
        <v>100</v>
      </c>
      <c r="AW16" s="236"/>
      <c r="AX16" s="5">
        <v>200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100</v>
      </c>
      <c r="BG16" s="5">
        <v>100</v>
      </c>
      <c r="BH16" s="5">
        <v>100</v>
      </c>
      <c r="BI16" s="5">
        <v>100</v>
      </c>
      <c r="BJ16" s="5">
        <v>0</v>
      </c>
      <c r="BK16" s="5">
        <v>0</v>
      </c>
      <c r="BL16" s="37"/>
      <c r="BM16" s="5"/>
      <c r="BN16" s="5"/>
      <c r="BO16" s="5"/>
      <c r="BP16" s="236"/>
      <c r="BQ16" s="58"/>
      <c r="BR16" s="59"/>
      <c r="BS16" s="61"/>
      <c r="BT16" s="58"/>
      <c r="BU16" s="60"/>
      <c r="BV16" s="60"/>
      <c r="BW16" s="60"/>
      <c r="BX16" s="60"/>
      <c r="BY16" s="60"/>
      <c r="BZ16" s="61"/>
      <c r="CA16" s="61"/>
      <c r="CB16" s="61"/>
      <c r="CC16" s="61"/>
      <c r="CD16" s="59"/>
      <c r="CE16" s="59"/>
      <c r="CF16" s="59"/>
      <c r="CG16" s="59"/>
      <c r="CH16" s="61"/>
      <c r="CI16" s="61"/>
      <c r="CJ16" s="59"/>
      <c r="CK16" s="59"/>
      <c r="CL16" s="59"/>
      <c r="CM16" s="60"/>
      <c r="CN16" s="59"/>
      <c r="CO16" s="59"/>
      <c r="CP16" s="59"/>
      <c r="CQ16" s="236"/>
      <c r="CR16" s="37"/>
      <c r="CS16" s="5"/>
      <c r="CT16" s="5"/>
      <c r="CU16" s="5"/>
      <c r="CV16" s="236"/>
      <c r="CW16" s="5"/>
      <c r="CX16" s="5"/>
      <c r="CY16" s="5">
        <v>360</v>
      </c>
      <c r="CZ16" s="5"/>
      <c r="DA16" s="5"/>
      <c r="DB16" s="5"/>
      <c r="DC16" s="236"/>
      <c r="DD16" s="104">
        <f t="shared" si="3"/>
        <v>90</v>
      </c>
      <c r="DE16" s="103"/>
      <c r="DF16" s="103"/>
      <c r="DG16" s="103">
        <v>1</v>
      </c>
      <c r="DH16" s="103">
        <v>30</v>
      </c>
      <c r="DI16" s="5">
        <v>20</v>
      </c>
      <c r="DJ16" s="172">
        <v>2</v>
      </c>
      <c r="DK16" s="104"/>
      <c r="DL16" s="104">
        <f ca="1">IFERROR(OFFSET(ITEM_RES!$A$5,MATCH(DM16,ITEM_RES!$M$5:$M$84,0)-1,0),0)</f>
        <v>220000101</v>
      </c>
      <c r="DM16" s="103" t="s">
        <v>573</v>
      </c>
      <c r="DN16" s="102">
        <v>100</v>
      </c>
      <c r="DO16" s="104"/>
      <c r="DP16" s="104">
        <f ca="1">IFERROR(OFFSET(ITEM_RES!$A$5,MATCH(DQ16,ITEM_RES!$M$5:$M$84,0)-1,0),0)</f>
        <v>220000201</v>
      </c>
      <c r="DQ16" s="103" t="s">
        <v>591</v>
      </c>
      <c r="DR16" s="102">
        <v>100</v>
      </c>
      <c r="DS16" s="104"/>
      <c r="DT16" s="104"/>
      <c r="DU16" s="103"/>
      <c r="DV16" s="102"/>
      <c r="DW16" s="104"/>
      <c r="DX16" s="104"/>
      <c r="DY16" s="103"/>
      <c r="DZ16" s="102"/>
      <c r="EA16" s="104"/>
      <c r="EB16" s="104"/>
      <c r="EC16" s="103"/>
      <c r="ED16" s="102"/>
      <c r="EE16" s="236"/>
      <c r="EF16" s="5">
        <v>50</v>
      </c>
    </row>
    <row r="17" spans="1:136" s="3" customFormat="1" x14ac:dyDescent="0.15">
      <c r="A17" s="86"/>
      <c r="B17" s="65">
        <f t="shared" si="7"/>
        <v>0</v>
      </c>
      <c r="C17" s="86"/>
      <c r="D17" s="3">
        <f t="shared" si="8"/>
        <v>21110501</v>
      </c>
      <c r="E17" s="4">
        <v>2</v>
      </c>
      <c r="F17" s="65">
        <f t="shared" si="0"/>
        <v>1</v>
      </c>
      <c r="G17" s="65">
        <f t="shared" si="1"/>
        <v>11</v>
      </c>
      <c r="H17" s="86">
        <v>5</v>
      </c>
      <c r="I17" s="65">
        <f t="shared" si="2"/>
        <v>1</v>
      </c>
      <c r="J17" s="236"/>
      <c r="K17" s="5">
        <v>1</v>
      </c>
      <c r="L17" s="65">
        <f t="shared" si="9"/>
        <v>11</v>
      </c>
      <c r="M17" s="5">
        <v>1</v>
      </c>
      <c r="N17" s="5">
        <v>1</v>
      </c>
      <c r="O17" s="190">
        <v>1</v>
      </c>
      <c r="P17" s="236"/>
      <c r="Q17" s="5" t="s">
        <v>1229</v>
      </c>
      <c r="R17" s="5" t="s">
        <v>985</v>
      </c>
      <c r="S17" s="4" t="s">
        <v>985</v>
      </c>
      <c r="T17" s="4"/>
      <c r="U17" s="78">
        <v>0</v>
      </c>
      <c r="V17" s="78">
        <v>1</v>
      </c>
      <c r="W17" s="78" t="s">
        <v>719</v>
      </c>
      <c r="X17" s="60" t="s">
        <v>1027</v>
      </c>
      <c r="Y17" s="60">
        <v>21110501</v>
      </c>
      <c r="Z17" s="61" t="str">
        <f t="shared" si="4"/>
        <v>UITexture/ShipHull/21110501.png</v>
      </c>
      <c r="AA17" s="78"/>
      <c r="AB17" s="190">
        <v>0</v>
      </c>
      <c r="AC17" s="190">
        <v>100</v>
      </c>
      <c r="AD17" s="236"/>
      <c r="AE17" s="190">
        <v>0</v>
      </c>
      <c r="AF17" s="190">
        <v>0</v>
      </c>
      <c r="AG17" s="190">
        <v>0</v>
      </c>
      <c r="AH17" s="190">
        <v>0</v>
      </c>
      <c r="AI17" s="190">
        <v>0</v>
      </c>
      <c r="AJ17" s="190">
        <v>1</v>
      </c>
      <c r="AK17" s="236"/>
      <c r="AL17" s="190">
        <v>0</v>
      </c>
      <c r="AM17" s="236"/>
      <c r="AN17" s="41"/>
      <c r="AO17" s="41"/>
      <c r="AP17" s="5">
        <v>1</v>
      </c>
      <c r="AQ17" s="4">
        <v>1</v>
      </c>
      <c r="AR17" s="4">
        <v>0</v>
      </c>
      <c r="AS17" s="4">
        <v>0</v>
      </c>
      <c r="AT17" s="5">
        <v>4</v>
      </c>
      <c r="AU17" s="5">
        <v>50</v>
      </c>
      <c r="AV17" s="5">
        <v>100</v>
      </c>
      <c r="AW17" s="236"/>
      <c r="AX17" s="5">
        <v>200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100</v>
      </c>
      <c r="BG17" s="5">
        <v>100</v>
      </c>
      <c r="BH17" s="5">
        <v>100</v>
      </c>
      <c r="BI17" s="5">
        <v>100</v>
      </c>
      <c r="BJ17" s="5">
        <v>0</v>
      </c>
      <c r="BK17" s="5">
        <v>0</v>
      </c>
      <c r="BL17" s="37"/>
      <c r="BM17" s="5"/>
      <c r="BN17" s="5"/>
      <c r="BO17" s="5"/>
      <c r="BP17" s="236"/>
      <c r="BQ17" s="58"/>
      <c r="BR17" s="59"/>
      <c r="BS17" s="61"/>
      <c r="BT17" s="58"/>
      <c r="BU17" s="60"/>
      <c r="BV17" s="60"/>
      <c r="BW17" s="60"/>
      <c r="BX17" s="60"/>
      <c r="BY17" s="60"/>
      <c r="BZ17" s="61"/>
      <c r="CA17" s="61"/>
      <c r="CB17" s="61"/>
      <c r="CC17" s="61"/>
      <c r="CD17" s="59"/>
      <c r="CE17" s="59"/>
      <c r="CF17" s="59"/>
      <c r="CG17" s="59"/>
      <c r="CH17" s="61"/>
      <c r="CI17" s="61"/>
      <c r="CJ17" s="59"/>
      <c r="CK17" s="59"/>
      <c r="CL17" s="59"/>
      <c r="CM17" s="60"/>
      <c r="CN17" s="59"/>
      <c r="CO17" s="59"/>
      <c r="CP17" s="59"/>
      <c r="CQ17" s="236"/>
      <c r="CR17" s="37"/>
      <c r="CS17" s="5"/>
      <c r="CT17" s="5"/>
      <c r="CU17" s="5"/>
      <c r="CV17" s="236"/>
      <c r="CW17" s="5"/>
      <c r="CX17" s="5"/>
      <c r="CY17" s="5"/>
      <c r="CZ17" s="5">
        <v>2</v>
      </c>
      <c r="DA17" s="5">
        <v>1000</v>
      </c>
      <c r="DB17" s="5"/>
      <c r="DC17" s="236"/>
      <c r="DD17" s="104">
        <f t="shared" si="3"/>
        <v>90</v>
      </c>
      <c r="DE17" s="103"/>
      <c r="DF17" s="103"/>
      <c r="DG17" s="103">
        <v>1</v>
      </c>
      <c r="DH17" s="103">
        <v>30</v>
      </c>
      <c r="DI17" s="5">
        <v>20</v>
      </c>
      <c r="DJ17" s="172">
        <v>2</v>
      </c>
      <c r="DK17" s="104"/>
      <c r="DL17" s="104">
        <f ca="1">IFERROR(OFFSET(ITEM_RES!$A$5,MATCH(DM17,ITEM_RES!$M$5:$M$84,0)-1,0),0)</f>
        <v>220000101</v>
      </c>
      <c r="DM17" s="103" t="s">
        <v>573</v>
      </c>
      <c r="DN17" s="102">
        <v>100</v>
      </c>
      <c r="DO17" s="104"/>
      <c r="DP17" s="104">
        <f ca="1">IFERROR(OFFSET(ITEM_RES!$A$5,MATCH(DQ17,ITEM_RES!$M$5:$M$84,0)-1,0),0)</f>
        <v>220000201</v>
      </c>
      <c r="DQ17" s="103" t="s">
        <v>591</v>
      </c>
      <c r="DR17" s="102">
        <v>100</v>
      </c>
      <c r="DS17" s="104"/>
      <c r="DT17" s="104"/>
      <c r="DU17" s="103"/>
      <c r="DV17" s="102"/>
      <c r="DW17" s="104"/>
      <c r="DX17" s="104"/>
      <c r="DY17" s="103"/>
      <c r="DZ17" s="102"/>
      <c r="EA17" s="104"/>
      <c r="EB17" s="104"/>
      <c r="EC17" s="103"/>
      <c r="ED17" s="102"/>
      <c r="EE17" s="236"/>
      <c r="EF17" s="5">
        <v>50</v>
      </c>
    </row>
    <row r="18" spans="1:136" s="3" customFormat="1" x14ac:dyDescent="0.15">
      <c r="A18" s="86"/>
      <c r="B18" s="65">
        <f t="shared" ref="B18" si="32">IF(C18=1,D18,)</f>
        <v>0</v>
      </c>
      <c r="C18" s="86"/>
      <c r="D18" s="3">
        <f t="shared" ref="D18" si="33">E18*10000000+F18*1000000+G18*10000+H18*100+I18</f>
        <v>21110502</v>
      </c>
      <c r="E18" s="4">
        <v>2</v>
      </c>
      <c r="F18" s="65">
        <f t="shared" si="0"/>
        <v>1</v>
      </c>
      <c r="G18" s="65">
        <f t="shared" si="1"/>
        <v>11</v>
      </c>
      <c r="H18" s="86">
        <v>5</v>
      </c>
      <c r="I18" s="65">
        <f t="shared" si="2"/>
        <v>2</v>
      </c>
      <c r="J18" s="236"/>
      <c r="K18" s="5">
        <v>1</v>
      </c>
      <c r="L18" s="65">
        <f t="shared" ref="L18" si="34">M18*10+N18</f>
        <v>11</v>
      </c>
      <c r="M18" s="5">
        <v>1</v>
      </c>
      <c r="N18" s="5">
        <v>1</v>
      </c>
      <c r="O18" s="190">
        <v>2</v>
      </c>
      <c r="P18" s="236"/>
      <c r="Q18" s="5" t="s">
        <v>1229</v>
      </c>
      <c r="R18" s="5" t="s">
        <v>986</v>
      </c>
      <c r="S18" s="4" t="s">
        <v>986</v>
      </c>
      <c r="T18" s="4"/>
      <c r="U18" s="78">
        <v>0</v>
      </c>
      <c r="V18" s="78">
        <v>1</v>
      </c>
      <c r="W18" s="78" t="s">
        <v>719</v>
      </c>
      <c r="X18" s="60" t="s">
        <v>1027</v>
      </c>
      <c r="Y18" s="60">
        <v>21110502</v>
      </c>
      <c r="Z18" s="61" t="str">
        <f t="shared" si="4"/>
        <v>UITexture/ShipHull/21110502.png</v>
      </c>
      <c r="AA18" s="78"/>
      <c r="AB18" s="190">
        <v>0</v>
      </c>
      <c r="AC18" s="190">
        <v>100</v>
      </c>
      <c r="AD18" s="236"/>
      <c r="AE18" s="190">
        <v>0</v>
      </c>
      <c r="AF18" s="190">
        <v>0</v>
      </c>
      <c r="AG18" s="190">
        <v>0</v>
      </c>
      <c r="AH18" s="190">
        <v>0</v>
      </c>
      <c r="AI18" s="190">
        <v>0</v>
      </c>
      <c r="AJ18" s="190">
        <v>1</v>
      </c>
      <c r="AK18" s="236"/>
      <c r="AL18" s="190">
        <v>0</v>
      </c>
      <c r="AM18" s="236"/>
      <c r="AN18" s="41"/>
      <c r="AO18" s="41"/>
      <c r="AP18" s="5">
        <v>1</v>
      </c>
      <c r="AQ18" s="4">
        <v>1</v>
      </c>
      <c r="AR18" s="4">
        <v>0</v>
      </c>
      <c r="AS18" s="4">
        <v>0</v>
      </c>
      <c r="AT18" s="5">
        <v>4</v>
      </c>
      <c r="AU18" s="5">
        <v>50</v>
      </c>
      <c r="AV18" s="5">
        <v>100</v>
      </c>
      <c r="AW18" s="236"/>
      <c r="AX18" s="5">
        <v>200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100</v>
      </c>
      <c r="BG18" s="5">
        <v>100</v>
      </c>
      <c r="BH18" s="5">
        <v>100</v>
      </c>
      <c r="BI18" s="5">
        <v>100</v>
      </c>
      <c r="BJ18" s="5">
        <v>0</v>
      </c>
      <c r="BK18" s="5">
        <v>0</v>
      </c>
      <c r="BL18" s="37"/>
      <c r="BM18" s="5"/>
      <c r="BN18" s="5"/>
      <c r="BO18" s="5"/>
      <c r="BP18" s="236"/>
      <c r="BQ18" s="58"/>
      <c r="BR18" s="59"/>
      <c r="BS18" s="61"/>
      <c r="BT18" s="58"/>
      <c r="BU18" s="60"/>
      <c r="BV18" s="60"/>
      <c r="BW18" s="60"/>
      <c r="BX18" s="60"/>
      <c r="BY18" s="60"/>
      <c r="BZ18" s="61"/>
      <c r="CA18" s="61"/>
      <c r="CB18" s="61"/>
      <c r="CC18" s="61"/>
      <c r="CD18" s="59"/>
      <c r="CE18" s="59"/>
      <c r="CF18" s="59"/>
      <c r="CG18" s="59"/>
      <c r="CH18" s="61"/>
      <c r="CI18" s="61"/>
      <c r="CJ18" s="59"/>
      <c r="CK18" s="59"/>
      <c r="CL18" s="59"/>
      <c r="CM18" s="60"/>
      <c r="CN18" s="59"/>
      <c r="CO18" s="59"/>
      <c r="CP18" s="59"/>
      <c r="CQ18" s="236"/>
      <c r="CR18" s="37"/>
      <c r="CS18" s="5"/>
      <c r="CT18" s="5"/>
      <c r="CU18" s="5"/>
      <c r="CV18" s="236"/>
      <c r="CW18" s="5"/>
      <c r="CX18" s="5"/>
      <c r="CY18" s="5"/>
      <c r="CZ18" s="5">
        <v>2</v>
      </c>
      <c r="DA18" s="5">
        <v>1000</v>
      </c>
      <c r="DB18" s="5"/>
      <c r="DC18" s="236"/>
      <c r="DD18" s="104">
        <f t="shared" ref="DD18" si="35">((DE18*24+DF18)*60+DG18)*60+DH18</f>
        <v>90</v>
      </c>
      <c r="DE18" s="103"/>
      <c r="DF18" s="103"/>
      <c r="DG18" s="103">
        <v>1</v>
      </c>
      <c r="DH18" s="103">
        <v>30</v>
      </c>
      <c r="DI18" s="5">
        <v>20</v>
      </c>
      <c r="DJ18" s="172">
        <v>2</v>
      </c>
      <c r="DK18" s="104"/>
      <c r="DL18" s="104">
        <f ca="1">IFERROR(OFFSET(ITEM_RES!$A$5,MATCH(DM18,ITEM_RES!$M$5:$M$84,0)-1,0),0)</f>
        <v>220000101</v>
      </c>
      <c r="DM18" s="103" t="s">
        <v>573</v>
      </c>
      <c r="DN18" s="102">
        <v>100</v>
      </c>
      <c r="DO18" s="104"/>
      <c r="DP18" s="104">
        <f ca="1">IFERROR(OFFSET(ITEM_RES!$A$5,MATCH(DQ18,ITEM_RES!$M$5:$M$84,0)-1,0),0)</f>
        <v>220000201</v>
      </c>
      <c r="DQ18" s="103" t="s">
        <v>591</v>
      </c>
      <c r="DR18" s="102">
        <v>100</v>
      </c>
      <c r="DS18" s="104"/>
      <c r="DT18" s="104"/>
      <c r="DU18" s="103"/>
      <c r="DV18" s="102"/>
      <c r="DW18" s="104"/>
      <c r="DX18" s="104"/>
      <c r="DY18" s="103"/>
      <c r="DZ18" s="102"/>
      <c r="EA18" s="104"/>
      <c r="EB18" s="104"/>
      <c r="EC18" s="103"/>
      <c r="ED18" s="102"/>
      <c r="EE18" s="236"/>
      <c r="EF18" s="5">
        <v>50</v>
      </c>
    </row>
    <row r="19" spans="1:136" s="3" customFormat="1" x14ac:dyDescent="0.15">
      <c r="A19" s="86"/>
      <c r="B19" s="65">
        <f t="shared" ref="B19" si="36">IF(C19=1,D19,)</f>
        <v>0</v>
      </c>
      <c r="C19" s="86"/>
      <c r="D19" s="3">
        <f t="shared" ref="D19" si="37">E19*10000000+F19*1000000+G19*10000+H19*100+I19</f>
        <v>21110503</v>
      </c>
      <c r="E19" s="4">
        <v>2</v>
      </c>
      <c r="F19" s="65">
        <f t="shared" si="0"/>
        <v>1</v>
      </c>
      <c r="G19" s="65">
        <f t="shared" si="1"/>
        <v>11</v>
      </c>
      <c r="H19" s="86">
        <v>5</v>
      </c>
      <c r="I19" s="65">
        <f t="shared" si="2"/>
        <v>3</v>
      </c>
      <c r="J19" s="236"/>
      <c r="K19" s="5">
        <v>1</v>
      </c>
      <c r="L19" s="65">
        <f t="shared" ref="L19" si="38">M19*10+N19</f>
        <v>11</v>
      </c>
      <c r="M19" s="5">
        <v>1</v>
      </c>
      <c r="N19" s="5">
        <v>1</v>
      </c>
      <c r="O19" s="190">
        <v>3</v>
      </c>
      <c r="P19" s="236"/>
      <c r="Q19" s="5" t="s">
        <v>1229</v>
      </c>
      <c r="R19" s="5" t="s">
        <v>987</v>
      </c>
      <c r="S19" s="4" t="s">
        <v>987</v>
      </c>
      <c r="T19" s="4"/>
      <c r="U19" s="78">
        <v>0</v>
      </c>
      <c r="V19" s="78">
        <v>1</v>
      </c>
      <c r="W19" s="78" t="s">
        <v>719</v>
      </c>
      <c r="X19" s="60" t="s">
        <v>1027</v>
      </c>
      <c r="Y19" s="60">
        <v>21110503</v>
      </c>
      <c r="Z19" s="61" t="str">
        <f t="shared" si="4"/>
        <v>UITexture/ShipHull/21110503.png</v>
      </c>
      <c r="AA19" s="78"/>
      <c r="AB19" s="190">
        <v>0</v>
      </c>
      <c r="AC19" s="190">
        <v>100</v>
      </c>
      <c r="AD19" s="236"/>
      <c r="AE19" s="190">
        <v>0</v>
      </c>
      <c r="AF19" s="190">
        <v>0</v>
      </c>
      <c r="AG19" s="190">
        <v>0</v>
      </c>
      <c r="AH19" s="190">
        <v>0</v>
      </c>
      <c r="AI19" s="190">
        <v>0</v>
      </c>
      <c r="AJ19" s="190">
        <v>1</v>
      </c>
      <c r="AK19" s="236"/>
      <c r="AL19" s="190">
        <v>0</v>
      </c>
      <c r="AM19" s="236"/>
      <c r="AN19" s="41"/>
      <c r="AO19" s="41"/>
      <c r="AP19" s="5">
        <v>1</v>
      </c>
      <c r="AQ19" s="4">
        <v>1</v>
      </c>
      <c r="AR19" s="4">
        <v>0</v>
      </c>
      <c r="AS19" s="4">
        <v>0</v>
      </c>
      <c r="AT19" s="5">
        <v>4</v>
      </c>
      <c r="AU19" s="5">
        <v>50</v>
      </c>
      <c r="AV19" s="5">
        <v>100</v>
      </c>
      <c r="AW19" s="236"/>
      <c r="AX19" s="5">
        <v>200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100</v>
      </c>
      <c r="BG19" s="5">
        <v>100</v>
      </c>
      <c r="BH19" s="5">
        <v>100</v>
      </c>
      <c r="BI19" s="5">
        <v>100</v>
      </c>
      <c r="BJ19" s="5">
        <v>0</v>
      </c>
      <c r="BK19" s="5">
        <v>0</v>
      </c>
      <c r="BL19" s="37"/>
      <c r="BM19" s="5"/>
      <c r="BN19" s="5"/>
      <c r="BO19" s="5"/>
      <c r="BP19" s="236"/>
      <c r="BQ19" s="58"/>
      <c r="BR19" s="59"/>
      <c r="BS19" s="61"/>
      <c r="BT19" s="58"/>
      <c r="BU19" s="60"/>
      <c r="BV19" s="60"/>
      <c r="BW19" s="60"/>
      <c r="BX19" s="60"/>
      <c r="BY19" s="60"/>
      <c r="BZ19" s="61"/>
      <c r="CA19" s="61"/>
      <c r="CB19" s="61"/>
      <c r="CC19" s="61"/>
      <c r="CD19" s="59"/>
      <c r="CE19" s="59"/>
      <c r="CF19" s="59"/>
      <c r="CG19" s="59"/>
      <c r="CH19" s="61"/>
      <c r="CI19" s="61"/>
      <c r="CJ19" s="59"/>
      <c r="CK19" s="59"/>
      <c r="CL19" s="59"/>
      <c r="CM19" s="60"/>
      <c r="CN19" s="59"/>
      <c r="CO19" s="59"/>
      <c r="CP19" s="59"/>
      <c r="CQ19" s="236"/>
      <c r="CR19" s="37"/>
      <c r="CS19" s="5"/>
      <c r="CT19" s="5"/>
      <c r="CU19" s="5"/>
      <c r="CV19" s="236"/>
      <c r="CW19" s="5"/>
      <c r="CX19" s="5"/>
      <c r="CY19" s="5"/>
      <c r="CZ19" s="5">
        <v>2</v>
      </c>
      <c r="DA19" s="5">
        <v>1000</v>
      </c>
      <c r="DB19" s="5"/>
      <c r="DC19" s="236"/>
      <c r="DD19" s="104">
        <f t="shared" ref="DD19" si="39">((DE19*24+DF19)*60+DG19)*60+DH19</f>
        <v>90</v>
      </c>
      <c r="DE19" s="103"/>
      <c r="DF19" s="103"/>
      <c r="DG19" s="103">
        <v>1</v>
      </c>
      <c r="DH19" s="103">
        <v>30</v>
      </c>
      <c r="DI19" s="5">
        <v>20</v>
      </c>
      <c r="DJ19" s="172">
        <v>2</v>
      </c>
      <c r="DK19" s="104"/>
      <c r="DL19" s="104">
        <f ca="1">IFERROR(OFFSET(ITEM_RES!$A$5,MATCH(DM19,ITEM_RES!$M$5:$M$84,0)-1,0),0)</f>
        <v>220000101</v>
      </c>
      <c r="DM19" s="103" t="s">
        <v>573</v>
      </c>
      <c r="DN19" s="102">
        <v>100</v>
      </c>
      <c r="DO19" s="104"/>
      <c r="DP19" s="104">
        <f ca="1">IFERROR(OFFSET(ITEM_RES!$A$5,MATCH(DQ19,ITEM_RES!$M$5:$M$84,0)-1,0),0)</f>
        <v>220000201</v>
      </c>
      <c r="DQ19" s="103" t="s">
        <v>591</v>
      </c>
      <c r="DR19" s="102">
        <v>100</v>
      </c>
      <c r="DS19" s="104"/>
      <c r="DT19" s="104"/>
      <c r="DU19" s="103"/>
      <c r="DV19" s="102"/>
      <c r="DW19" s="104"/>
      <c r="DX19" s="104"/>
      <c r="DY19" s="103"/>
      <c r="DZ19" s="102"/>
      <c r="EA19" s="104"/>
      <c r="EB19" s="104"/>
      <c r="EC19" s="103"/>
      <c r="ED19" s="102"/>
      <c r="EE19" s="236"/>
      <c r="EF19" s="5">
        <v>50</v>
      </c>
    </row>
    <row r="20" spans="1:136" s="3" customFormat="1" x14ac:dyDescent="0.15">
      <c r="A20" s="86"/>
      <c r="B20" s="65">
        <f>IF(C20=1,D20,)</f>
        <v>0</v>
      </c>
      <c r="C20" s="86"/>
      <c r="D20" s="3">
        <f>E20*10000000+F20*1000000+G20*10000+H20*100+I20</f>
        <v>21120101</v>
      </c>
      <c r="E20" s="4">
        <v>2</v>
      </c>
      <c r="F20" s="65">
        <f t="shared" si="0"/>
        <v>1</v>
      </c>
      <c r="G20" s="65">
        <f t="shared" si="1"/>
        <v>12</v>
      </c>
      <c r="H20" s="86">
        <v>1</v>
      </c>
      <c r="I20" s="65">
        <f t="shared" si="2"/>
        <v>1</v>
      </c>
      <c r="J20" s="236"/>
      <c r="K20" s="5">
        <v>1</v>
      </c>
      <c r="L20" s="65">
        <f>M20*10+N20</f>
        <v>12</v>
      </c>
      <c r="M20" s="5">
        <v>1</v>
      </c>
      <c r="N20" s="5">
        <v>2</v>
      </c>
      <c r="O20" s="190">
        <v>1</v>
      </c>
      <c r="P20" s="236"/>
      <c r="Q20" s="5" t="s">
        <v>1229</v>
      </c>
      <c r="R20" s="5" t="s">
        <v>997</v>
      </c>
      <c r="S20" s="4" t="s">
        <v>997</v>
      </c>
      <c r="T20" s="4"/>
      <c r="U20" s="78">
        <v>0</v>
      </c>
      <c r="V20" s="78">
        <v>1</v>
      </c>
      <c r="W20" s="5" t="s">
        <v>723</v>
      </c>
      <c r="X20" s="86" t="s">
        <v>1027</v>
      </c>
      <c r="Y20" s="86">
        <v>21120101</v>
      </c>
      <c r="Z20" s="61" t="str">
        <f t="shared" si="4"/>
        <v>UITexture/ShipHull/21120101.png</v>
      </c>
      <c r="AA20" s="78"/>
      <c r="AB20" s="190">
        <v>0</v>
      </c>
      <c r="AC20" s="190">
        <v>100</v>
      </c>
      <c r="AD20" s="236"/>
      <c r="AE20" s="190">
        <v>0</v>
      </c>
      <c r="AF20" s="190">
        <v>0</v>
      </c>
      <c r="AG20" s="190">
        <v>1</v>
      </c>
      <c r="AH20" s="190">
        <v>1</v>
      </c>
      <c r="AI20" s="190">
        <v>1</v>
      </c>
      <c r="AJ20" s="190">
        <v>1</v>
      </c>
      <c r="AK20" s="236"/>
      <c r="AL20" s="190">
        <v>0</v>
      </c>
      <c r="AM20" s="236"/>
      <c r="AN20" s="41"/>
      <c r="AO20" s="41"/>
      <c r="AP20" s="5">
        <v>1</v>
      </c>
      <c r="AQ20" s="4">
        <v>1</v>
      </c>
      <c r="AR20" s="4">
        <v>1</v>
      </c>
      <c r="AS20" s="4">
        <v>0</v>
      </c>
      <c r="AT20" s="5">
        <v>0</v>
      </c>
      <c r="AU20" s="5">
        <v>50</v>
      </c>
      <c r="AV20" s="5">
        <v>300</v>
      </c>
      <c r="AW20" s="236"/>
      <c r="AX20" s="5">
        <v>500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100</v>
      </c>
      <c r="BG20" s="5">
        <v>100</v>
      </c>
      <c r="BH20" s="5">
        <v>100</v>
      </c>
      <c r="BI20" s="5">
        <v>100</v>
      </c>
      <c r="BJ20" s="5">
        <v>0</v>
      </c>
      <c r="BK20" s="5">
        <v>0</v>
      </c>
      <c r="BL20" s="37"/>
      <c r="BM20" s="5"/>
      <c r="BN20" s="5"/>
      <c r="BO20" s="5"/>
      <c r="BP20" s="236"/>
      <c r="BQ20" s="58"/>
      <c r="BR20" s="59">
        <v>1</v>
      </c>
      <c r="BS20" s="61">
        <f>(BV20*0.4+BW20*0.7+BX20*1.7+BY20*1.4)</f>
        <v>150</v>
      </c>
      <c r="BT20" s="58">
        <f t="shared" ref="BT20:BT31" si="40">AP20*0.6+1</f>
        <v>1.6</v>
      </c>
      <c r="BU20" s="60">
        <v>12</v>
      </c>
      <c r="BV20" s="60"/>
      <c r="BW20" s="60">
        <v>20</v>
      </c>
      <c r="BX20" s="60">
        <v>80</v>
      </c>
      <c r="BY20" s="60"/>
      <c r="BZ20" s="61">
        <f>BV20*BT20*BU20/100</f>
        <v>0</v>
      </c>
      <c r="CA20" s="61">
        <f>BW20*BT20*BU20/100</f>
        <v>3.84</v>
      </c>
      <c r="CB20" s="61">
        <f>BX20*BT20*BU20/100</f>
        <v>15.36</v>
      </c>
      <c r="CC20" s="61">
        <f>BY20*BT20*BU20/100</f>
        <v>0</v>
      </c>
      <c r="CD20" s="59">
        <v>1</v>
      </c>
      <c r="CE20" s="59">
        <v>0.5</v>
      </c>
      <c r="CF20" s="59">
        <v>0.2</v>
      </c>
      <c r="CG20" s="59">
        <v>0.4</v>
      </c>
      <c r="CH20" s="61">
        <f>3*CG20</f>
        <v>1.2000000000000002</v>
      </c>
      <c r="CI20" s="61">
        <f>5*CG20</f>
        <v>2</v>
      </c>
      <c r="CJ20" s="59">
        <v>1</v>
      </c>
      <c r="CK20" s="59">
        <v>0</v>
      </c>
      <c r="CL20" s="59">
        <v>5</v>
      </c>
      <c r="CM20" s="60"/>
      <c r="CN20" s="59"/>
      <c r="CO20" s="59"/>
      <c r="CP20" s="59"/>
      <c r="CQ20" s="236"/>
      <c r="CR20" s="37"/>
      <c r="CS20" s="5"/>
      <c r="CT20" s="5"/>
      <c r="CU20" s="5"/>
      <c r="CV20" s="236"/>
      <c r="CW20" s="5"/>
      <c r="CX20" s="5"/>
      <c r="CY20" s="5"/>
      <c r="CZ20" s="5"/>
      <c r="DA20" s="5"/>
      <c r="DB20" s="5"/>
      <c r="DC20" s="236"/>
      <c r="DD20" s="104">
        <f>((DE20*24+DF20)*60+DG20)*60+DH20</f>
        <v>90</v>
      </c>
      <c r="DE20" s="103"/>
      <c r="DF20" s="103"/>
      <c r="DG20" s="103">
        <v>1</v>
      </c>
      <c r="DH20" s="103">
        <v>30</v>
      </c>
      <c r="DI20" s="5">
        <v>20</v>
      </c>
      <c r="DJ20" s="172">
        <v>2</v>
      </c>
      <c r="DK20" s="104"/>
      <c r="DL20" s="104">
        <f ca="1">IFERROR(OFFSET(ITEM_RES!$A$5,MATCH(DM20,ITEM_RES!$M$5:$M$84,0)-1,0),0)</f>
        <v>220000101</v>
      </c>
      <c r="DM20" s="103" t="s">
        <v>573</v>
      </c>
      <c r="DN20" s="102">
        <v>100</v>
      </c>
      <c r="DO20" s="104"/>
      <c r="DP20" s="104">
        <f ca="1">IFERROR(OFFSET(ITEM_RES!$A$5,MATCH(DQ20,ITEM_RES!$M$5:$M$84,0)-1,0),0)</f>
        <v>220000201</v>
      </c>
      <c r="DQ20" s="103" t="s">
        <v>591</v>
      </c>
      <c r="DR20" s="102">
        <v>100</v>
      </c>
      <c r="DS20" s="104"/>
      <c r="DT20" s="104"/>
      <c r="DU20" s="103"/>
      <c r="DV20" s="102"/>
      <c r="DW20" s="104"/>
      <c r="DX20" s="104"/>
      <c r="DY20" s="103"/>
      <c r="DZ20" s="102"/>
      <c r="EA20" s="104"/>
      <c r="EB20" s="104"/>
      <c r="EC20" s="103"/>
      <c r="ED20" s="102"/>
      <c r="EE20" s="236"/>
      <c r="EF20" s="5">
        <v>50</v>
      </c>
    </row>
    <row r="21" spans="1:136" s="3" customFormat="1" x14ac:dyDescent="0.15">
      <c r="A21" s="86"/>
      <c r="B21" s="65">
        <f t="shared" ref="B21" si="41">IF(C21=1,D21,)</f>
        <v>0</v>
      </c>
      <c r="C21" s="86"/>
      <c r="D21" s="3">
        <f t="shared" ref="D21" si="42">E21*10000000+F21*1000000+G21*10000+H21*100+I21</f>
        <v>21120102</v>
      </c>
      <c r="E21" s="4">
        <v>2</v>
      </c>
      <c r="F21" s="65">
        <f t="shared" si="0"/>
        <v>1</v>
      </c>
      <c r="G21" s="65">
        <f t="shared" si="1"/>
        <v>12</v>
      </c>
      <c r="H21" s="86">
        <v>1</v>
      </c>
      <c r="I21" s="65">
        <f t="shared" si="2"/>
        <v>2</v>
      </c>
      <c r="J21" s="236"/>
      <c r="K21" s="5">
        <v>1</v>
      </c>
      <c r="L21" s="65">
        <f t="shared" ref="L21" si="43">M21*10+N21</f>
        <v>12</v>
      </c>
      <c r="M21" s="5">
        <v>1</v>
      </c>
      <c r="N21" s="5">
        <v>2</v>
      </c>
      <c r="O21" s="190">
        <v>2</v>
      </c>
      <c r="P21" s="236"/>
      <c r="Q21" s="5" t="s">
        <v>1229</v>
      </c>
      <c r="R21" s="5" t="s">
        <v>998</v>
      </c>
      <c r="S21" s="4" t="s">
        <v>998</v>
      </c>
      <c r="T21" s="4"/>
      <c r="U21" s="78">
        <v>0</v>
      </c>
      <c r="V21" s="78">
        <v>1</v>
      </c>
      <c r="W21" s="5" t="s">
        <v>723</v>
      </c>
      <c r="X21" s="86" t="s">
        <v>1027</v>
      </c>
      <c r="Y21" s="86">
        <v>21120102</v>
      </c>
      <c r="Z21" s="61" t="str">
        <f t="shared" si="4"/>
        <v>UITexture/ShipHull/21120102.png</v>
      </c>
      <c r="AA21" s="78"/>
      <c r="AB21" s="190">
        <v>0</v>
      </c>
      <c r="AC21" s="190">
        <v>100</v>
      </c>
      <c r="AD21" s="236"/>
      <c r="AE21" s="190">
        <v>0</v>
      </c>
      <c r="AF21" s="190">
        <v>0</v>
      </c>
      <c r="AG21" s="190">
        <v>1</v>
      </c>
      <c r="AH21" s="190">
        <v>1</v>
      </c>
      <c r="AI21" s="190">
        <v>1</v>
      </c>
      <c r="AJ21" s="190">
        <v>1</v>
      </c>
      <c r="AK21" s="236"/>
      <c r="AL21" s="190">
        <v>0</v>
      </c>
      <c r="AM21" s="236"/>
      <c r="AN21" s="41"/>
      <c r="AO21" s="41"/>
      <c r="AP21" s="5">
        <v>1</v>
      </c>
      <c r="AQ21" s="4">
        <v>1</v>
      </c>
      <c r="AR21" s="4">
        <v>1</v>
      </c>
      <c r="AS21" s="4">
        <v>0</v>
      </c>
      <c r="AT21" s="5">
        <v>0</v>
      </c>
      <c r="AU21" s="5">
        <v>50</v>
      </c>
      <c r="AV21" s="5">
        <v>300</v>
      </c>
      <c r="AW21" s="236"/>
      <c r="AX21" s="5">
        <v>500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100</v>
      </c>
      <c r="BG21" s="5">
        <v>100</v>
      </c>
      <c r="BH21" s="5">
        <v>100</v>
      </c>
      <c r="BI21" s="5">
        <v>100</v>
      </c>
      <c r="BJ21" s="5">
        <v>0</v>
      </c>
      <c r="BK21" s="5">
        <v>0</v>
      </c>
      <c r="BL21" s="37"/>
      <c r="BM21" s="5"/>
      <c r="BN21" s="5"/>
      <c r="BO21" s="5"/>
      <c r="BP21" s="236"/>
      <c r="BQ21" s="58"/>
      <c r="BR21" s="59">
        <v>1</v>
      </c>
      <c r="BS21" s="61">
        <f>(BV21*0.4+BW21*0.7+BX21*1.7+BY21*1.4)</f>
        <v>150</v>
      </c>
      <c r="BT21" s="58">
        <f t="shared" si="40"/>
        <v>1.6</v>
      </c>
      <c r="BU21" s="60">
        <v>12</v>
      </c>
      <c r="BV21" s="60"/>
      <c r="BW21" s="60">
        <v>20</v>
      </c>
      <c r="BX21" s="60">
        <v>80</v>
      </c>
      <c r="BY21" s="60"/>
      <c r="BZ21" s="61">
        <f>BV21*BT21*BU21/100</f>
        <v>0</v>
      </c>
      <c r="CA21" s="61">
        <f>BW21*BT21*BU21/100</f>
        <v>3.84</v>
      </c>
      <c r="CB21" s="61">
        <f>BX21*BT21*BU21/100</f>
        <v>15.36</v>
      </c>
      <c r="CC21" s="61">
        <f>BY21*BT21*BU21/100</f>
        <v>0</v>
      </c>
      <c r="CD21" s="59">
        <v>1</v>
      </c>
      <c r="CE21" s="59">
        <v>0.5</v>
      </c>
      <c r="CF21" s="59">
        <v>0.2</v>
      </c>
      <c r="CG21" s="59">
        <v>0.4</v>
      </c>
      <c r="CH21" s="61">
        <f>3*CG21</f>
        <v>1.2000000000000002</v>
      </c>
      <c r="CI21" s="61">
        <f>5*CG21</f>
        <v>2</v>
      </c>
      <c r="CJ21" s="59">
        <v>1</v>
      </c>
      <c r="CK21" s="59">
        <v>0</v>
      </c>
      <c r="CL21" s="59">
        <v>5</v>
      </c>
      <c r="CM21" s="60"/>
      <c r="CN21" s="59"/>
      <c r="CO21" s="59"/>
      <c r="CP21" s="59"/>
      <c r="CQ21" s="236"/>
      <c r="CR21" s="37"/>
      <c r="CS21" s="5"/>
      <c r="CT21" s="5"/>
      <c r="CU21" s="5"/>
      <c r="CV21" s="236"/>
      <c r="CW21" s="5"/>
      <c r="CX21" s="5"/>
      <c r="CY21" s="5"/>
      <c r="CZ21" s="5"/>
      <c r="DA21" s="5"/>
      <c r="DB21" s="5"/>
      <c r="DC21" s="236"/>
      <c r="DD21" s="104">
        <f t="shared" ref="DD21" si="44">((DE21*24+DF21)*60+DG21)*60+DH21</f>
        <v>90</v>
      </c>
      <c r="DE21" s="103"/>
      <c r="DF21" s="103"/>
      <c r="DG21" s="103">
        <v>1</v>
      </c>
      <c r="DH21" s="103">
        <v>30</v>
      </c>
      <c r="DI21" s="5">
        <v>20</v>
      </c>
      <c r="DJ21" s="172">
        <v>2</v>
      </c>
      <c r="DK21" s="104"/>
      <c r="DL21" s="104">
        <f ca="1">IFERROR(OFFSET(ITEM_RES!$A$5,MATCH(DM21,ITEM_RES!$M$5:$M$84,0)-1,0),0)</f>
        <v>220000101</v>
      </c>
      <c r="DM21" s="103" t="s">
        <v>573</v>
      </c>
      <c r="DN21" s="102">
        <v>100</v>
      </c>
      <c r="DO21" s="104"/>
      <c r="DP21" s="104">
        <f ca="1">IFERROR(OFFSET(ITEM_RES!$A$5,MATCH(DQ21,ITEM_RES!$M$5:$M$84,0)-1,0),0)</f>
        <v>220000201</v>
      </c>
      <c r="DQ21" s="103" t="s">
        <v>591</v>
      </c>
      <c r="DR21" s="102">
        <v>100</v>
      </c>
      <c r="DS21" s="104"/>
      <c r="DT21" s="104"/>
      <c r="DU21" s="103"/>
      <c r="DV21" s="102"/>
      <c r="DW21" s="104"/>
      <c r="DX21" s="104"/>
      <c r="DY21" s="103"/>
      <c r="DZ21" s="102"/>
      <c r="EA21" s="104"/>
      <c r="EB21" s="104"/>
      <c r="EC21" s="103"/>
      <c r="ED21" s="102"/>
      <c r="EE21" s="236"/>
      <c r="EF21" s="5">
        <v>50</v>
      </c>
    </row>
    <row r="22" spans="1:136" s="3" customFormat="1" x14ac:dyDescent="0.15">
      <c r="A22" s="86"/>
      <c r="B22" s="65">
        <f t="shared" ref="B22" si="45">IF(C22=1,D22,)</f>
        <v>0</v>
      </c>
      <c r="C22" s="86"/>
      <c r="D22" s="3">
        <f t="shared" ref="D22" si="46">E22*10000000+F22*1000000+G22*10000+H22*100+I22</f>
        <v>21120103</v>
      </c>
      <c r="E22" s="4">
        <v>2</v>
      </c>
      <c r="F22" s="65">
        <f t="shared" si="0"/>
        <v>1</v>
      </c>
      <c r="G22" s="65">
        <f t="shared" si="1"/>
        <v>12</v>
      </c>
      <c r="H22" s="86">
        <v>1</v>
      </c>
      <c r="I22" s="65">
        <f t="shared" si="2"/>
        <v>3</v>
      </c>
      <c r="J22" s="236"/>
      <c r="K22" s="5">
        <v>1</v>
      </c>
      <c r="L22" s="65">
        <f t="shared" ref="L22" si="47">M22*10+N22</f>
        <v>12</v>
      </c>
      <c r="M22" s="5">
        <v>1</v>
      </c>
      <c r="N22" s="5">
        <v>2</v>
      </c>
      <c r="O22" s="190">
        <v>3</v>
      </c>
      <c r="P22" s="236"/>
      <c r="Q22" s="5" t="s">
        <v>1229</v>
      </c>
      <c r="R22" s="5" t="s">
        <v>996</v>
      </c>
      <c r="S22" s="4" t="s">
        <v>996</v>
      </c>
      <c r="T22" s="4"/>
      <c r="U22" s="78">
        <v>0</v>
      </c>
      <c r="V22" s="78">
        <v>1</v>
      </c>
      <c r="W22" s="5" t="s">
        <v>723</v>
      </c>
      <c r="X22" s="86" t="s">
        <v>1027</v>
      </c>
      <c r="Y22" s="86">
        <v>21120103</v>
      </c>
      <c r="Z22" s="61" t="str">
        <f t="shared" si="4"/>
        <v>UITexture/ShipHull/21120103.png</v>
      </c>
      <c r="AA22" s="78"/>
      <c r="AB22" s="190">
        <v>0</v>
      </c>
      <c r="AC22" s="190">
        <v>100</v>
      </c>
      <c r="AD22" s="236"/>
      <c r="AE22" s="190">
        <v>0</v>
      </c>
      <c r="AF22" s="190">
        <v>0</v>
      </c>
      <c r="AG22" s="190">
        <v>1</v>
      </c>
      <c r="AH22" s="190">
        <v>1</v>
      </c>
      <c r="AI22" s="190">
        <v>1</v>
      </c>
      <c r="AJ22" s="190">
        <v>1</v>
      </c>
      <c r="AK22" s="236"/>
      <c r="AL22" s="190">
        <v>0</v>
      </c>
      <c r="AM22" s="236"/>
      <c r="AN22" s="41"/>
      <c r="AO22" s="41"/>
      <c r="AP22" s="5">
        <v>1</v>
      </c>
      <c r="AQ22" s="4">
        <v>1</v>
      </c>
      <c r="AR22" s="4">
        <v>1</v>
      </c>
      <c r="AS22" s="4">
        <v>0</v>
      </c>
      <c r="AT22" s="5">
        <v>0</v>
      </c>
      <c r="AU22" s="5">
        <v>50</v>
      </c>
      <c r="AV22" s="5">
        <v>300</v>
      </c>
      <c r="AW22" s="236"/>
      <c r="AX22" s="5">
        <v>500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100</v>
      </c>
      <c r="BG22" s="5">
        <v>100</v>
      </c>
      <c r="BH22" s="5">
        <v>100</v>
      </c>
      <c r="BI22" s="5">
        <v>100</v>
      </c>
      <c r="BJ22" s="5">
        <v>0</v>
      </c>
      <c r="BK22" s="5">
        <v>0</v>
      </c>
      <c r="BL22" s="37"/>
      <c r="BM22" s="5"/>
      <c r="BN22" s="5"/>
      <c r="BO22" s="5"/>
      <c r="BP22" s="236"/>
      <c r="BQ22" s="58"/>
      <c r="BR22" s="59">
        <v>1</v>
      </c>
      <c r="BS22" s="61">
        <f>(BV22*0.4+BW22*0.7+BX22*1.7+BY22*1.4)</f>
        <v>150</v>
      </c>
      <c r="BT22" s="58">
        <f t="shared" si="40"/>
        <v>1.6</v>
      </c>
      <c r="BU22" s="60">
        <v>12</v>
      </c>
      <c r="BV22" s="60"/>
      <c r="BW22" s="60">
        <v>20</v>
      </c>
      <c r="BX22" s="60">
        <v>80</v>
      </c>
      <c r="BY22" s="60"/>
      <c r="BZ22" s="61">
        <f>BV22*BT22*BU22/100</f>
        <v>0</v>
      </c>
      <c r="CA22" s="61">
        <f>BW22*BT22*BU22/100</f>
        <v>3.84</v>
      </c>
      <c r="CB22" s="61">
        <f>BX22*BT22*BU22/100</f>
        <v>15.36</v>
      </c>
      <c r="CC22" s="61">
        <f>BY22*BT22*BU22/100</f>
        <v>0</v>
      </c>
      <c r="CD22" s="59">
        <v>1</v>
      </c>
      <c r="CE22" s="59">
        <v>0.5</v>
      </c>
      <c r="CF22" s="59">
        <v>0.2</v>
      </c>
      <c r="CG22" s="59">
        <v>0.4</v>
      </c>
      <c r="CH22" s="61">
        <f>3*CG22</f>
        <v>1.2000000000000002</v>
      </c>
      <c r="CI22" s="61">
        <f>5*CG22</f>
        <v>2</v>
      </c>
      <c r="CJ22" s="59">
        <v>1</v>
      </c>
      <c r="CK22" s="59">
        <v>0</v>
      </c>
      <c r="CL22" s="59">
        <v>5</v>
      </c>
      <c r="CM22" s="60"/>
      <c r="CN22" s="59"/>
      <c r="CO22" s="59"/>
      <c r="CP22" s="59"/>
      <c r="CQ22" s="236"/>
      <c r="CR22" s="37"/>
      <c r="CS22" s="5"/>
      <c r="CT22" s="5"/>
      <c r="CU22" s="5"/>
      <c r="CV22" s="236"/>
      <c r="CW22" s="5"/>
      <c r="CX22" s="5"/>
      <c r="CY22" s="5"/>
      <c r="CZ22" s="5"/>
      <c r="DA22" s="5"/>
      <c r="DB22" s="5"/>
      <c r="DC22" s="236"/>
      <c r="DD22" s="104">
        <f t="shared" ref="DD22" si="48">((DE22*24+DF22)*60+DG22)*60+DH22</f>
        <v>90</v>
      </c>
      <c r="DE22" s="103"/>
      <c r="DF22" s="103"/>
      <c r="DG22" s="103">
        <v>1</v>
      </c>
      <c r="DH22" s="103">
        <v>30</v>
      </c>
      <c r="DI22" s="5">
        <v>20</v>
      </c>
      <c r="DJ22" s="172">
        <v>2</v>
      </c>
      <c r="DK22" s="104"/>
      <c r="DL22" s="104">
        <f ca="1">IFERROR(OFFSET(ITEM_RES!$A$5,MATCH(DM22,ITEM_RES!$M$5:$M$84,0)-1,0),0)</f>
        <v>220000101</v>
      </c>
      <c r="DM22" s="103" t="s">
        <v>573</v>
      </c>
      <c r="DN22" s="102">
        <v>100</v>
      </c>
      <c r="DO22" s="104"/>
      <c r="DP22" s="104">
        <f ca="1">IFERROR(OFFSET(ITEM_RES!$A$5,MATCH(DQ22,ITEM_RES!$M$5:$M$84,0)-1,0),0)</f>
        <v>220000201</v>
      </c>
      <c r="DQ22" s="103" t="s">
        <v>591</v>
      </c>
      <c r="DR22" s="102">
        <v>100</v>
      </c>
      <c r="DS22" s="104"/>
      <c r="DT22" s="104"/>
      <c r="DU22" s="103"/>
      <c r="DV22" s="102"/>
      <c r="DW22" s="104"/>
      <c r="DX22" s="104"/>
      <c r="DY22" s="103"/>
      <c r="DZ22" s="102"/>
      <c r="EA22" s="104"/>
      <c r="EB22" s="104"/>
      <c r="EC22" s="103"/>
      <c r="ED22" s="102"/>
      <c r="EE22" s="236"/>
      <c r="EF22" s="5">
        <v>50</v>
      </c>
    </row>
    <row r="23" spans="1:136" s="3" customFormat="1" x14ac:dyDescent="0.15">
      <c r="A23" s="86"/>
      <c r="B23" s="65">
        <f>IF(C23=1,D23,)</f>
        <v>0</v>
      </c>
      <c r="C23" s="86"/>
      <c r="D23" s="3">
        <f>E23*10000000+F23*1000000+G23*10000+H23*100+I23</f>
        <v>21120201</v>
      </c>
      <c r="E23" s="4">
        <v>2</v>
      </c>
      <c r="F23" s="65">
        <f t="shared" si="0"/>
        <v>1</v>
      </c>
      <c r="G23" s="65">
        <f t="shared" si="1"/>
        <v>12</v>
      </c>
      <c r="H23" s="86">
        <v>2</v>
      </c>
      <c r="I23" s="65">
        <f t="shared" si="2"/>
        <v>1</v>
      </c>
      <c r="J23" s="236"/>
      <c r="K23" s="5">
        <v>1</v>
      </c>
      <c r="L23" s="65">
        <f>M23*10+N23</f>
        <v>12</v>
      </c>
      <c r="M23" s="5">
        <v>1</v>
      </c>
      <c r="N23" s="5">
        <v>2</v>
      </c>
      <c r="O23" s="190">
        <v>1</v>
      </c>
      <c r="P23" s="236"/>
      <c r="Q23" s="5" t="s">
        <v>1229</v>
      </c>
      <c r="R23" s="5" t="s">
        <v>988</v>
      </c>
      <c r="S23" s="4" t="s">
        <v>988</v>
      </c>
      <c r="T23" s="4"/>
      <c r="U23" s="78">
        <v>0</v>
      </c>
      <c r="V23" s="78">
        <v>1</v>
      </c>
      <c r="W23" s="5" t="s">
        <v>724</v>
      </c>
      <c r="X23" s="86" t="s">
        <v>1027</v>
      </c>
      <c r="Y23" s="86">
        <v>21120201</v>
      </c>
      <c r="Z23" s="61" t="str">
        <f t="shared" si="4"/>
        <v>UITexture/ShipHull/21120201.png</v>
      </c>
      <c r="AA23" s="78"/>
      <c r="AB23" s="190">
        <v>0</v>
      </c>
      <c r="AC23" s="190">
        <v>100</v>
      </c>
      <c r="AD23" s="236"/>
      <c r="AE23" s="190">
        <v>0</v>
      </c>
      <c r="AF23" s="190">
        <v>0</v>
      </c>
      <c r="AG23" s="190">
        <v>0</v>
      </c>
      <c r="AH23" s="190">
        <v>0</v>
      </c>
      <c r="AI23" s="190">
        <v>1</v>
      </c>
      <c r="AJ23" s="190">
        <v>1</v>
      </c>
      <c r="AK23" s="236"/>
      <c r="AL23" s="190">
        <v>0</v>
      </c>
      <c r="AM23" s="236"/>
      <c r="AN23" s="41"/>
      <c r="AO23" s="41"/>
      <c r="AP23" s="5">
        <v>1</v>
      </c>
      <c r="AQ23" s="4">
        <v>1</v>
      </c>
      <c r="AR23" s="4">
        <v>1</v>
      </c>
      <c r="AS23" s="4">
        <v>0</v>
      </c>
      <c r="AT23" s="5">
        <v>4</v>
      </c>
      <c r="AU23" s="5">
        <v>50</v>
      </c>
      <c r="AV23" s="5">
        <v>300</v>
      </c>
      <c r="AW23" s="236"/>
      <c r="AX23" s="5">
        <v>500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100</v>
      </c>
      <c r="BG23" s="5">
        <v>100</v>
      </c>
      <c r="BH23" s="5">
        <v>100</v>
      </c>
      <c r="BI23" s="5">
        <v>100</v>
      </c>
      <c r="BJ23" s="5">
        <v>0</v>
      </c>
      <c r="BK23" s="5">
        <v>0</v>
      </c>
      <c r="BL23" s="37"/>
      <c r="BM23" s="5"/>
      <c r="BN23" s="5"/>
      <c r="BO23" s="5"/>
      <c r="BP23" s="236"/>
      <c r="BQ23" s="58"/>
      <c r="BR23" s="59">
        <v>1</v>
      </c>
      <c r="BS23" s="61">
        <f t="shared" ref="BS23:BS26" si="49">(BV23*0.4+BW23*0.7+BX23*1.7+BY23*1.4)</f>
        <v>150</v>
      </c>
      <c r="BT23" s="58">
        <f t="shared" si="40"/>
        <v>1.6</v>
      </c>
      <c r="BU23" s="60">
        <v>12</v>
      </c>
      <c r="BV23" s="60"/>
      <c r="BW23" s="60">
        <v>20</v>
      </c>
      <c r="BX23" s="60">
        <v>80</v>
      </c>
      <c r="BY23" s="60"/>
      <c r="BZ23" s="61">
        <f t="shared" ref="BZ23:BZ26" si="50">BV23*BT23*BU23/100</f>
        <v>0</v>
      </c>
      <c r="CA23" s="61">
        <f t="shared" ref="CA23:CA26" si="51">BW23*BT23*BU23/100</f>
        <v>3.84</v>
      </c>
      <c r="CB23" s="61">
        <f t="shared" ref="CB23:CB26" si="52">BX23*BT23*BU23/100</f>
        <v>15.36</v>
      </c>
      <c r="CC23" s="61">
        <f t="shared" ref="CC23:CC26" si="53">BY23*BT23*BU23/100</f>
        <v>0</v>
      </c>
      <c r="CD23" s="59">
        <v>1</v>
      </c>
      <c r="CE23" s="59">
        <v>0.5</v>
      </c>
      <c r="CF23" s="59">
        <v>0.2</v>
      </c>
      <c r="CG23" s="59">
        <v>0.4</v>
      </c>
      <c r="CH23" s="61">
        <f t="shared" ref="CH23:CH26" si="54">3*CG23</f>
        <v>1.2000000000000002</v>
      </c>
      <c r="CI23" s="61">
        <f t="shared" ref="CI23:CI26" si="55">5*CG23</f>
        <v>2</v>
      </c>
      <c r="CJ23" s="59">
        <v>1</v>
      </c>
      <c r="CK23" s="59">
        <v>0</v>
      </c>
      <c r="CL23" s="59">
        <v>5</v>
      </c>
      <c r="CM23" s="60"/>
      <c r="CN23" s="59"/>
      <c r="CO23" s="59"/>
      <c r="CP23" s="59"/>
      <c r="CQ23" s="236"/>
      <c r="CR23" s="37"/>
      <c r="CS23" s="5"/>
      <c r="CT23" s="5"/>
      <c r="CU23" s="5"/>
      <c r="CV23" s="236"/>
      <c r="CW23" s="5"/>
      <c r="CX23" s="5"/>
      <c r="CY23" s="5"/>
      <c r="CZ23" s="5">
        <v>1</v>
      </c>
      <c r="DA23" s="5">
        <v>1000</v>
      </c>
      <c r="DB23" s="5"/>
      <c r="DC23" s="236"/>
      <c r="DD23" s="104">
        <f>((DE23*24+DF23)*60+DG23)*60+DH23</f>
        <v>90</v>
      </c>
      <c r="DE23" s="103"/>
      <c r="DF23" s="103"/>
      <c r="DG23" s="103">
        <v>1</v>
      </c>
      <c r="DH23" s="103">
        <v>30</v>
      </c>
      <c r="DI23" s="5">
        <v>20</v>
      </c>
      <c r="DJ23" s="172">
        <v>2</v>
      </c>
      <c r="DK23" s="104"/>
      <c r="DL23" s="104">
        <f ca="1">IFERROR(OFFSET(ITEM_RES!$A$5,MATCH(DM23,ITEM_RES!$M$5:$M$84,0)-1,0),0)</f>
        <v>220000101</v>
      </c>
      <c r="DM23" s="103" t="s">
        <v>573</v>
      </c>
      <c r="DN23" s="102">
        <v>100</v>
      </c>
      <c r="DO23" s="104"/>
      <c r="DP23" s="104">
        <f ca="1">IFERROR(OFFSET(ITEM_RES!$A$5,MATCH(DQ23,ITEM_RES!$M$5:$M$84,0)-1,0),0)</f>
        <v>220000201</v>
      </c>
      <c r="DQ23" s="103" t="s">
        <v>591</v>
      </c>
      <c r="DR23" s="102">
        <v>100</v>
      </c>
      <c r="DS23" s="104"/>
      <c r="DT23" s="104"/>
      <c r="DU23" s="103"/>
      <c r="DV23" s="102"/>
      <c r="DW23" s="104"/>
      <c r="DX23" s="104"/>
      <c r="DY23" s="103"/>
      <c r="DZ23" s="102"/>
      <c r="EA23" s="104"/>
      <c r="EB23" s="104"/>
      <c r="EC23" s="103"/>
      <c r="ED23" s="102"/>
      <c r="EE23" s="236"/>
      <c r="EF23" s="5">
        <v>50</v>
      </c>
    </row>
    <row r="24" spans="1:136" s="3" customFormat="1" x14ac:dyDescent="0.15">
      <c r="A24" s="86"/>
      <c r="B24" s="65">
        <f t="shared" ref="B24" si="56">IF(C24=1,D24,)</f>
        <v>0</v>
      </c>
      <c r="C24" s="86"/>
      <c r="D24" s="3">
        <f t="shared" ref="D24" si="57">E24*10000000+F24*1000000+G24*10000+H24*100+I24</f>
        <v>21120202</v>
      </c>
      <c r="E24" s="4">
        <v>2</v>
      </c>
      <c r="F24" s="65">
        <f t="shared" si="0"/>
        <v>1</v>
      </c>
      <c r="G24" s="65">
        <f t="shared" si="1"/>
        <v>12</v>
      </c>
      <c r="H24" s="86">
        <v>2</v>
      </c>
      <c r="I24" s="65">
        <f t="shared" si="2"/>
        <v>2</v>
      </c>
      <c r="J24" s="236"/>
      <c r="K24" s="5">
        <v>1</v>
      </c>
      <c r="L24" s="65">
        <f t="shared" ref="L24" si="58">M24*10+N24</f>
        <v>12</v>
      </c>
      <c r="M24" s="5">
        <v>1</v>
      </c>
      <c r="N24" s="5">
        <v>2</v>
      </c>
      <c r="O24" s="190">
        <v>2</v>
      </c>
      <c r="P24" s="236"/>
      <c r="Q24" s="5" t="s">
        <v>1229</v>
      </c>
      <c r="R24" s="5" t="s">
        <v>989</v>
      </c>
      <c r="S24" s="4" t="s">
        <v>989</v>
      </c>
      <c r="T24" s="4"/>
      <c r="U24" s="78">
        <v>0</v>
      </c>
      <c r="V24" s="78">
        <v>1</v>
      </c>
      <c r="W24" s="5" t="s">
        <v>724</v>
      </c>
      <c r="X24" s="86" t="s">
        <v>1027</v>
      </c>
      <c r="Y24" s="86">
        <v>21120202</v>
      </c>
      <c r="Z24" s="61" t="str">
        <f t="shared" si="4"/>
        <v>UITexture/ShipHull/21120202.png</v>
      </c>
      <c r="AA24" s="78"/>
      <c r="AB24" s="190">
        <v>0</v>
      </c>
      <c r="AC24" s="190">
        <v>100</v>
      </c>
      <c r="AD24" s="236"/>
      <c r="AE24" s="190">
        <v>0</v>
      </c>
      <c r="AF24" s="190">
        <v>0</v>
      </c>
      <c r="AG24" s="190">
        <v>0</v>
      </c>
      <c r="AH24" s="190">
        <v>0</v>
      </c>
      <c r="AI24" s="190">
        <v>1</v>
      </c>
      <c r="AJ24" s="190">
        <v>1</v>
      </c>
      <c r="AK24" s="236"/>
      <c r="AL24" s="190">
        <v>0</v>
      </c>
      <c r="AM24" s="236"/>
      <c r="AN24" s="41"/>
      <c r="AO24" s="41"/>
      <c r="AP24" s="5">
        <v>1</v>
      </c>
      <c r="AQ24" s="4">
        <v>1</v>
      </c>
      <c r="AR24" s="4">
        <v>1</v>
      </c>
      <c r="AS24" s="4">
        <v>0</v>
      </c>
      <c r="AT24" s="5">
        <v>4</v>
      </c>
      <c r="AU24" s="5">
        <v>50</v>
      </c>
      <c r="AV24" s="5">
        <v>300</v>
      </c>
      <c r="AW24" s="236"/>
      <c r="AX24" s="5">
        <v>500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100</v>
      </c>
      <c r="BG24" s="5">
        <v>100</v>
      </c>
      <c r="BH24" s="5">
        <v>100</v>
      </c>
      <c r="BI24" s="5">
        <v>100</v>
      </c>
      <c r="BJ24" s="5">
        <v>0</v>
      </c>
      <c r="BK24" s="5">
        <v>0</v>
      </c>
      <c r="BL24" s="37"/>
      <c r="BM24" s="5"/>
      <c r="BN24" s="5"/>
      <c r="BO24" s="5"/>
      <c r="BP24" s="236"/>
      <c r="BQ24" s="58"/>
      <c r="BR24" s="59">
        <v>1</v>
      </c>
      <c r="BS24" s="61">
        <f t="shared" ref="BS24" si="59">(BV24*0.4+BW24*0.7+BX24*1.7+BY24*1.4)</f>
        <v>150</v>
      </c>
      <c r="BT24" s="58">
        <f t="shared" si="40"/>
        <v>1.6</v>
      </c>
      <c r="BU24" s="60">
        <v>12</v>
      </c>
      <c r="BV24" s="60"/>
      <c r="BW24" s="60">
        <v>20</v>
      </c>
      <c r="BX24" s="60">
        <v>80</v>
      </c>
      <c r="BY24" s="60"/>
      <c r="BZ24" s="61">
        <f t="shared" ref="BZ24" si="60">BV24*BT24*BU24/100</f>
        <v>0</v>
      </c>
      <c r="CA24" s="61">
        <f t="shared" ref="CA24" si="61">BW24*BT24*BU24/100</f>
        <v>3.84</v>
      </c>
      <c r="CB24" s="61">
        <f t="shared" ref="CB24" si="62">BX24*BT24*BU24/100</f>
        <v>15.36</v>
      </c>
      <c r="CC24" s="61">
        <f t="shared" ref="CC24" si="63">BY24*BT24*BU24/100</f>
        <v>0</v>
      </c>
      <c r="CD24" s="59">
        <v>1</v>
      </c>
      <c r="CE24" s="59">
        <v>0.5</v>
      </c>
      <c r="CF24" s="59">
        <v>0.2</v>
      </c>
      <c r="CG24" s="59">
        <v>0.4</v>
      </c>
      <c r="CH24" s="61">
        <f t="shared" ref="CH24" si="64">3*CG24</f>
        <v>1.2000000000000002</v>
      </c>
      <c r="CI24" s="61">
        <f t="shared" ref="CI24" si="65">5*CG24</f>
        <v>2</v>
      </c>
      <c r="CJ24" s="59">
        <v>1</v>
      </c>
      <c r="CK24" s="59">
        <v>0</v>
      </c>
      <c r="CL24" s="59">
        <v>5</v>
      </c>
      <c r="CM24" s="60"/>
      <c r="CN24" s="59"/>
      <c r="CO24" s="59"/>
      <c r="CP24" s="59"/>
      <c r="CQ24" s="236"/>
      <c r="CR24" s="37"/>
      <c r="CS24" s="5"/>
      <c r="CT24" s="5"/>
      <c r="CU24" s="5"/>
      <c r="CV24" s="236"/>
      <c r="CW24" s="5"/>
      <c r="CX24" s="5"/>
      <c r="CY24" s="5"/>
      <c r="CZ24" s="5">
        <v>1</v>
      </c>
      <c r="DA24" s="5">
        <v>1000</v>
      </c>
      <c r="DB24" s="5"/>
      <c r="DC24" s="236"/>
      <c r="DD24" s="104">
        <f t="shared" ref="DD24" si="66">((DE24*24+DF24)*60+DG24)*60+DH24</f>
        <v>90</v>
      </c>
      <c r="DE24" s="103"/>
      <c r="DF24" s="103"/>
      <c r="DG24" s="103">
        <v>1</v>
      </c>
      <c r="DH24" s="103">
        <v>30</v>
      </c>
      <c r="DI24" s="5">
        <v>20</v>
      </c>
      <c r="DJ24" s="172">
        <v>2</v>
      </c>
      <c r="DK24" s="104"/>
      <c r="DL24" s="104">
        <f ca="1">IFERROR(OFFSET(ITEM_RES!$A$5,MATCH(DM24,ITEM_RES!$M$5:$M$84,0)-1,0),0)</f>
        <v>220000101</v>
      </c>
      <c r="DM24" s="103" t="s">
        <v>573</v>
      </c>
      <c r="DN24" s="102">
        <v>100</v>
      </c>
      <c r="DO24" s="104"/>
      <c r="DP24" s="104">
        <f ca="1">IFERROR(OFFSET(ITEM_RES!$A$5,MATCH(DQ24,ITEM_RES!$M$5:$M$84,0)-1,0),0)</f>
        <v>220000201</v>
      </c>
      <c r="DQ24" s="103" t="s">
        <v>591</v>
      </c>
      <c r="DR24" s="102">
        <v>100</v>
      </c>
      <c r="DS24" s="104"/>
      <c r="DT24" s="104"/>
      <c r="DU24" s="103"/>
      <c r="DV24" s="102"/>
      <c r="DW24" s="104"/>
      <c r="DX24" s="104"/>
      <c r="DY24" s="103"/>
      <c r="DZ24" s="102"/>
      <c r="EA24" s="104"/>
      <c r="EB24" s="104"/>
      <c r="EC24" s="103"/>
      <c r="ED24" s="102"/>
      <c r="EE24" s="236"/>
      <c r="EF24" s="5">
        <v>50</v>
      </c>
    </row>
    <row r="25" spans="1:136" s="3" customFormat="1" x14ac:dyDescent="0.15">
      <c r="A25" s="86"/>
      <c r="B25" s="65">
        <f t="shared" ref="B25" si="67">IF(C25=1,D25,)</f>
        <v>0</v>
      </c>
      <c r="C25" s="86"/>
      <c r="D25" s="3">
        <f t="shared" ref="D25" si="68">E25*10000000+F25*1000000+G25*10000+H25*100+I25</f>
        <v>21120203</v>
      </c>
      <c r="E25" s="4">
        <v>2</v>
      </c>
      <c r="F25" s="65">
        <f t="shared" si="0"/>
        <v>1</v>
      </c>
      <c r="G25" s="65">
        <f t="shared" si="1"/>
        <v>12</v>
      </c>
      <c r="H25" s="86">
        <v>2</v>
      </c>
      <c r="I25" s="65">
        <f t="shared" si="2"/>
        <v>3</v>
      </c>
      <c r="J25" s="236"/>
      <c r="K25" s="5">
        <v>1</v>
      </c>
      <c r="L25" s="65">
        <f t="shared" ref="L25" si="69">M25*10+N25</f>
        <v>12</v>
      </c>
      <c r="M25" s="5">
        <v>1</v>
      </c>
      <c r="N25" s="5">
        <v>2</v>
      </c>
      <c r="O25" s="190">
        <v>3</v>
      </c>
      <c r="P25" s="236"/>
      <c r="Q25" s="5" t="s">
        <v>1229</v>
      </c>
      <c r="R25" s="5" t="s">
        <v>990</v>
      </c>
      <c r="S25" s="4" t="s">
        <v>990</v>
      </c>
      <c r="T25" s="4"/>
      <c r="U25" s="78">
        <v>0</v>
      </c>
      <c r="V25" s="78">
        <v>1</v>
      </c>
      <c r="W25" s="5" t="s">
        <v>724</v>
      </c>
      <c r="X25" s="86" t="s">
        <v>1027</v>
      </c>
      <c r="Y25" s="86">
        <v>21120203</v>
      </c>
      <c r="Z25" s="61" t="str">
        <f t="shared" si="4"/>
        <v>UITexture/ShipHull/21120203.png</v>
      </c>
      <c r="AA25" s="78"/>
      <c r="AB25" s="190">
        <v>0</v>
      </c>
      <c r="AC25" s="190">
        <v>100</v>
      </c>
      <c r="AD25" s="236"/>
      <c r="AE25" s="190">
        <v>0</v>
      </c>
      <c r="AF25" s="190">
        <v>0</v>
      </c>
      <c r="AG25" s="190">
        <v>0</v>
      </c>
      <c r="AH25" s="190">
        <v>0</v>
      </c>
      <c r="AI25" s="190">
        <v>1</v>
      </c>
      <c r="AJ25" s="190">
        <v>1</v>
      </c>
      <c r="AK25" s="236"/>
      <c r="AL25" s="190">
        <v>0</v>
      </c>
      <c r="AM25" s="236"/>
      <c r="AN25" s="41"/>
      <c r="AO25" s="41"/>
      <c r="AP25" s="5">
        <v>1</v>
      </c>
      <c r="AQ25" s="4">
        <v>1</v>
      </c>
      <c r="AR25" s="4">
        <v>1</v>
      </c>
      <c r="AS25" s="4">
        <v>0</v>
      </c>
      <c r="AT25" s="5">
        <v>4</v>
      </c>
      <c r="AU25" s="5">
        <v>50</v>
      </c>
      <c r="AV25" s="5">
        <v>300</v>
      </c>
      <c r="AW25" s="236"/>
      <c r="AX25" s="5">
        <v>500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100</v>
      </c>
      <c r="BG25" s="5">
        <v>100</v>
      </c>
      <c r="BH25" s="5">
        <v>100</v>
      </c>
      <c r="BI25" s="5">
        <v>100</v>
      </c>
      <c r="BJ25" s="5">
        <v>0</v>
      </c>
      <c r="BK25" s="5">
        <v>0</v>
      </c>
      <c r="BL25" s="37"/>
      <c r="BM25" s="5"/>
      <c r="BN25" s="5"/>
      <c r="BO25" s="5"/>
      <c r="BP25" s="236"/>
      <c r="BQ25" s="58"/>
      <c r="BR25" s="59">
        <v>1</v>
      </c>
      <c r="BS25" s="61">
        <f t="shared" ref="BS25" si="70">(BV25*0.4+BW25*0.7+BX25*1.7+BY25*1.4)</f>
        <v>150</v>
      </c>
      <c r="BT25" s="58">
        <f t="shared" si="40"/>
        <v>1.6</v>
      </c>
      <c r="BU25" s="60">
        <v>12</v>
      </c>
      <c r="BV25" s="60"/>
      <c r="BW25" s="60">
        <v>20</v>
      </c>
      <c r="BX25" s="60">
        <v>80</v>
      </c>
      <c r="BY25" s="60"/>
      <c r="BZ25" s="61">
        <f t="shared" ref="BZ25" si="71">BV25*BT25*BU25/100</f>
        <v>0</v>
      </c>
      <c r="CA25" s="61">
        <f t="shared" ref="CA25" si="72">BW25*BT25*BU25/100</f>
        <v>3.84</v>
      </c>
      <c r="CB25" s="61">
        <f t="shared" ref="CB25" si="73">BX25*BT25*BU25/100</f>
        <v>15.36</v>
      </c>
      <c r="CC25" s="61">
        <f t="shared" ref="CC25" si="74">BY25*BT25*BU25/100</f>
        <v>0</v>
      </c>
      <c r="CD25" s="59">
        <v>1</v>
      </c>
      <c r="CE25" s="59">
        <v>0.5</v>
      </c>
      <c r="CF25" s="59">
        <v>0.2</v>
      </c>
      <c r="CG25" s="59">
        <v>0.4</v>
      </c>
      <c r="CH25" s="61">
        <f t="shared" ref="CH25" si="75">3*CG25</f>
        <v>1.2000000000000002</v>
      </c>
      <c r="CI25" s="61">
        <f t="shared" ref="CI25" si="76">5*CG25</f>
        <v>2</v>
      </c>
      <c r="CJ25" s="59">
        <v>1</v>
      </c>
      <c r="CK25" s="59">
        <v>0</v>
      </c>
      <c r="CL25" s="59">
        <v>5</v>
      </c>
      <c r="CM25" s="60"/>
      <c r="CN25" s="59"/>
      <c r="CO25" s="59"/>
      <c r="CP25" s="59"/>
      <c r="CQ25" s="236"/>
      <c r="CR25" s="37"/>
      <c r="CS25" s="5"/>
      <c r="CT25" s="5"/>
      <c r="CU25" s="5"/>
      <c r="CV25" s="236"/>
      <c r="CW25" s="5"/>
      <c r="CX25" s="5"/>
      <c r="CY25" s="5"/>
      <c r="CZ25" s="5">
        <v>1</v>
      </c>
      <c r="DA25" s="5">
        <v>1000</v>
      </c>
      <c r="DB25" s="5"/>
      <c r="DC25" s="236"/>
      <c r="DD25" s="104">
        <f t="shared" ref="DD25" si="77">((DE25*24+DF25)*60+DG25)*60+DH25</f>
        <v>90</v>
      </c>
      <c r="DE25" s="103"/>
      <c r="DF25" s="103"/>
      <c r="DG25" s="103">
        <v>1</v>
      </c>
      <c r="DH25" s="103">
        <v>30</v>
      </c>
      <c r="DI25" s="5">
        <v>20</v>
      </c>
      <c r="DJ25" s="172">
        <v>2</v>
      </c>
      <c r="DK25" s="104"/>
      <c r="DL25" s="104">
        <f ca="1">IFERROR(OFFSET(ITEM_RES!$A$5,MATCH(DM25,ITEM_RES!$M$5:$M$84,0)-1,0),0)</f>
        <v>220000101</v>
      </c>
      <c r="DM25" s="103" t="s">
        <v>573</v>
      </c>
      <c r="DN25" s="102">
        <v>100</v>
      </c>
      <c r="DO25" s="104"/>
      <c r="DP25" s="104">
        <f ca="1">IFERROR(OFFSET(ITEM_RES!$A$5,MATCH(DQ25,ITEM_RES!$M$5:$M$84,0)-1,0),0)</f>
        <v>220000201</v>
      </c>
      <c r="DQ25" s="103" t="s">
        <v>591</v>
      </c>
      <c r="DR25" s="102">
        <v>100</v>
      </c>
      <c r="DS25" s="104"/>
      <c r="DT25" s="104"/>
      <c r="DU25" s="103"/>
      <c r="DV25" s="102"/>
      <c r="DW25" s="104"/>
      <c r="DX25" s="104"/>
      <c r="DY25" s="103"/>
      <c r="DZ25" s="102"/>
      <c r="EA25" s="104"/>
      <c r="EB25" s="104"/>
      <c r="EC25" s="103"/>
      <c r="ED25" s="102"/>
      <c r="EE25" s="236"/>
      <c r="EF25" s="5">
        <v>50</v>
      </c>
    </row>
    <row r="26" spans="1:136" s="3" customFormat="1" x14ac:dyDescent="0.15">
      <c r="A26" s="86"/>
      <c r="B26" s="65">
        <f>IF(C26=1,D26,)</f>
        <v>0</v>
      </c>
      <c r="C26" s="86"/>
      <c r="D26" s="3">
        <f>E26*10000000+F26*1000000+G26*10000+H26*100+I26</f>
        <v>21120301</v>
      </c>
      <c r="E26" s="4">
        <v>2</v>
      </c>
      <c r="F26" s="65">
        <f t="shared" si="0"/>
        <v>1</v>
      </c>
      <c r="G26" s="65">
        <f t="shared" si="1"/>
        <v>12</v>
      </c>
      <c r="H26" s="86">
        <v>3</v>
      </c>
      <c r="I26" s="65">
        <f t="shared" si="2"/>
        <v>1</v>
      </c>
      <c r="J26" s="236"/>
      <c r="K26" s="5">
        <v>1</v>
      </c>
      <c r="L26" s="65">
        <f>M26*10+N26</f>
        <v>12</v>
      </c>
      <c r="M26" s="5">
        <v>1</v>
      </c>
      <c r="N26" s="5">
        <v>2</v>
      </c>
      <c r="O26" s="190">
        <v>1</v>
      </c>
      <c r="P26" s="236"/>
      <c r="Q26" s="5" t="s">
        <v>1229</v>
      </c>
      <c r="R26" s="5" t="s">
        <v>991</v>
      </c>
      <c r="S26" s="4" t="s">
        <v>991</v>
      </c>
      <c r="T26" s="4"/>
      <c r="U26" s="78">
        <v>0</v>
      </c>
      <c r="V26" s="78">
        <v>1</v>
      </c>
      <c r="W26" s="5" t="s">
        <v>725</v>
      </c>
      <c r="X26" s="86" t="s">
        <v>1027</v>
      </c>
      <c r="Y26" s="86">
        <v>21120301</v>
      </c>
      <c r="Z26" s="61" t="str">
        <f t="shared" si="4"/>
        <v>UITexture/ShipHull/21120301.png</v>
      </c>
      <c r="AA26" s="78"/>
      <c r="AB26" s="190">
        <v>0</v>
      </c>
      <c r="AC26" s="190">
        <v>100</v>
      </c>
      <c r="AD26" s="236"/>
      <c r="AE26" s="190">
        <v>0</v>
      </c>
      <c r="AF26" s="190">
        <v>0</v>
      </c>
      <c r="AG26" s="190">
        <v>0</v>
      </c>
      <c r="AH26" s="190">
        <v>0</v>
      </c>
      <c r="AI26" s="190">
        <v>1</v>
      </c>
      <c r="AJ26" s="190">
        <v>1</v>
      </c>
      <c r="AK26" s="236"/>
      <c r="AL26" s="190">
        <v>0</v>
      </c>
      <c r="AM26" s="236"/>
      <c r="AN26" s="41"/>
      <c r="AO26" s="41"/>
      <c r="AP26" s="5">
        <v>1</v>
      </c>
      <c r="AQ26" s="4">
        <v>1</v>
      </c>
      <c r="AR26" s="4">
        <v>1</v>
      </c>
      <c r="AS26" s="4">
        <v>0</v>
      </c>
      <c r="AT26" s="5">
        <v>4</v>
      </c>
      <c r="AU26" s="5">
        <v>50</v>
      </c>
      <c r="AV26" s="5">
        <v>300</v>
      </c>
      <c r="AW26" s="236"/>
      <c r="AX26" s="5">
        <v>500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100</v>
      </c>
      <c r="BG26" s="5">
        <v>100</v>
      </c>
      <c r="BH26" s="5">
        <v>100</v>
      </c>
      <c r="BI26" s="5">
        <v>100</v>
      </c>
      <c r="BJ26" s="5">
        <v>0</v>
      </c>
      <c r="BK26" s="5">
        <v>0</v>
      </c>
      <c r="BL26" s="37"/>
      <c r="BM26" s="5"/>
      <c r="BN26" s="5"/>
      <c r="BO26" s="5"/>
      <c r="BP26" s="236"/>
      <c r="BQ26" s="58"/>
      <c r="BR26" s="59">
        <v>1</v>
      </c>
      <c r="BS26" s="61">
        <f t="shared" si="49"/>
        <v>150</v>
      </c>
      <c r="BT26" s="58">
        <f t="shared" si="40"/>
        <v>1.6</v>
      </c>
      <c r="BU26" s="60">
        <v>12</v>
      </c>
      <c r="BV26" s="60"/>
      <c r="BW26" s="60">
        <v>20</v>
      </c>
      <c r="BX26" s="60">
        <v>80</v>
      </c>
      <c r="BY26" s="60"/>
      <c r="BZ26" s="61">
        <f t="shared" si="50"/>
        <v>0</v>
      </c>
      <c r="CA26" s="61">
        <f t="shared" si="51"/>
        <v>3.84</v>
      </c>
      <c r="CB26" s="61">
        <f t="shared" si="52"/>
        <v>15.36</v>
      </c>
      <c r="CC26" s="61">
        <f t="shared" si="53"/>
        <v>0</v>
      </c>
      <c r="CD26" s="59">
        <v>1</v>
      </c>
      <c r="CE26" s="59">
        <v>0.5</v>
      </c>
      <c r="CF26" s="59">
        <v>0.2</v>
      </c>
      <c r="CG26" s="59">
        <v>0.4</v>
      </c>
      <c r="CH26" s="61">
        <f t="shared" si="54"/>
        <v>1.2000000000000002</v>
      </c>
      <c r="CI26" s="61">
        <f t="shared" si="55"/>
        <v>2</v>
      </c>
      <c r="CJ26" s="59">
        <v>1</v>
      </c>
      <c r="CK26" s="59">
        <v>0</v>
      </c>
      <c r="CL26" s="59">
        <v>5</v>
      </c>
      <c r="CM26" s="60"/>
      <c r="CN26" s="59"/>
      <c r="CO26" s="59"/>
      <c r="CP26" s="59"/>
      <c r="CQ26" s="236"/>
      <c r="CR26" s="37"/>
      <c r="CS26" s="5"/>
      <c r="CT26" s="5"/>
      <c r="CU26" s="5"/>
      <c r="CV26" s="236"/>
      <c r="CW26" s="5"/>
      <c r="CX26" s="5"/>
      <c r="CY26" s="5"/>
      <c r="CZ26" s="5">
        <v>2</v>
      </c>
      <c r="DA26" s="5">
        <v>1000</v>
      </c>
      <c r="DB26" s="5"/>
      <c r="DC26" s="236"/>
      <c r="DD26" s="104">
        <f>((DE26*24+DF26)*60+DG26)*60+DH26</f>
        <v>90</v>
      </c>
      <c r="DE26" s="103"/>
      <c r="DF26" s="103"/>
      <c r="DG26" s="103">
        <v>1</v>
      </c>
      <c r="DH26" s="103">
        <v>30</v>
      </c>
      <c r="DI26" s="5">
        <v>20</v>
      </c>
      <c r="DJ26" s="172">
        <v>2</v>
      </c>
      <c r="DK26" s="104"/>
      <c r="DL26" s="104">
        <f ca="1">IFERROR(OFFSET(ITEM_RES!$A$5,MATCH(DM26,ITEM_RES!$M$5:$M$84,0)-1,0),0)</f>
        <v>220000101</v>
      </c>
      <c r="DM26" s="103" t="s">
        <v>573</v>
      </c>
      <c r="DN26" s="102">
        <v>100</v>
      </c>
      <c r="DO26" s="104"/>
      <c r="DP26" s="104">
        <f ca="1">IFERROR(OFFSET(ITEM_RES!$A$5,MATCH(DQ26,ITEM_RES!$M$5:$M$84,0)-1,0),0)</f>
        <v>220000201</v>
      </c>
      <c r="DQ26" s="103" t="s">
        <v>591</v>
      </c>
      <c r="DR26" s="102">
        <v>100</v>
      </c>
      <c r="DS26" s="104"/>
      <c r="DT26" s="104"/>
      <c r="DU26" s="103"/>
      <c r="DV26" s="102"/>
      <c r="DW26" s="104"/>
      <c r="DX26" s="104"/>
      <c r="DY26" s="103"/>
      <c r="DZ26" s="102"/>
      <c r="EA26" s="104"/>
      <c r="EB26" s="104"/>
      <c r="EC26" s="103"/>
      <c r="ED26" s="102"/>
      <c r="EE26" s="236"/>
      <c r="EF26" s="5">
        <v>50</v>
      </c>
    </row>
    <row r="27" spans="1:136" s="3" customFormat="1" x14ac:dyDescent="0.15">
      <c r="A27" s="86"/>
      <c r="B27" s="65">
        <f t="shared" ref="B27" si="78">IF(C27=1,D27,)</f>
        <v>0</v>
      </c>
      <c r="C27" s="86"/>
      <c r="D27" s="3">
        <f t="shared" ref="D27" si="79">E27*10000000+F27*1000000+G27*10000+H27*100+I27</f>
        <v>21120302</v>
      </c>
      <c r="E27" s="4">
        <v>2</v>
      </c>
      <c r="F27" s="65">
        <f t="shared" si="0"/>
        <v>1</v>
      </c>
      <c r="G27" s="65">
        <f t="shared" si="1"/>
        <v>12</v>
      </c>
      <c r="H27" s="86">
        <v>3</v>
      </c>
      <c r="I27" s="65">
        <f t="shared" si="2"/>
        <v>2</v>
      </c>
      <c r="J27" s="236"/>
      <c r="K27" s="5">
        <v>1</v>
      </c>
      <c r="L27" s="65">
        <f t="shared" ref="L27" si="80">M27*10+N27</f>
        <v>12</v>
      </c>
      <c r="M27" s="5">
        <v>1</v>
      </c>
      <c r="N27" s="5">
        <v>2</v>
      </c>
      <c r="O27" s="190">
        <v>2</v>
      </c>
      <c r="P27" s="236"/>
      <c r="Q27" s="5" t="s">
        <v>1229</v>
      </c>
      <c r="R27" s="5" t="s">
        <v>992</v>
      </c>
      <c r="S27" s="4" t="s">
        <v>992</v>
      </c>
      <c r="T27" s="4"/>
      <c r="U27" s="78">
        <v>0</v>
      </c>
      <c r="V27" s="78">
        <v>1</v>
      </c>
      <c r="W27" s="5" t="s">
        <v>725</v>
      </c>
      <c r="X27" s="86" t="s">
        <v>1027</v>
      </c>
      <c r="Y27" s="86">
        <v>21120302</v>
      </c>
      <c r="Z27" s="61" t="str">
        <f t="shared" si="4"/>
        <v>UITexture/ShipHull/21120302.png</v>
      </c>
      <c r="AA27" s="78"/>
      <c r="AB27" s="190">
        <v>0</v>
      </c>
      <c r="AC27" s="190">
        <v>100</v>
      </c>
      <c r="AD27" s="236"/>
      <c r="AE27" s="190">
        <v>0</v>
      </c>
      <c r="AF27" s="190">
        <v>0</v>
      </c>
      <c r="AG27" s="190">
        <v>0</v>
      </c>
      <c r="AH27" s="190">
        <v>0</v>
      </c>
      <c r="AI27" s="190">
        <v>1</v>
      </c>
      <c r="AJ27" s="190">
        <v>1</v>
      </c>
      <c r="AK27" s="236"/>
      <c r="AL27" s="190">
        <v>0</v>
      </c>
      <c r="AM27" s="236"/>
      <c r="AN27" s="41"/>
      <c r="AO27" s="41"/>
      <c r="AP27" s="5">
        <v>1</v>
      </c>
      <c r="AQ27" s="4">
        <v>1</v>
      </c>
      <c r="AR27" s="4">
        <v>1</v>
      </c>
      <c r="AS27" s="4">
        <v>0</v>
      </c>
      <c r="AT27" s="5">
        <v>4</v>
      </c>
      <c r="AU27" s="5">
        <v>50</v>
      </c>
      <c r="AV27" s="5">
        <v>300</v>
      </c>
      <c r="AW27" s="236"/>
      <c r="AX27" s="5">
        <v>500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100</v>
      </c>
      <c r="BG27" s="5">
        <v>100</v>
      </c>
      <c r="BH27" s="5">
        <v>100</v>
      </c>
      <c r="BI27" s="5">
        <v>100</v>
      </c>
      <c r="BJ27" s="5">
        <v>0</v>
      </c>
      <c r="BK27" s="5">
        <v>0</v>
      </c>
      <c r="BL27" s="37"/>
      <c r="BM27" s="5"/>
      <c r="BN27" s="5"/>
      <c r="BO27" s="5"/>
      <c r="BP27" s="236"/>
      <c r="BQ27" s="58"/>
      <c r="BR27" s="59">
        <v>1</v>
      </c>
      <c r="BS27" s="61">
        <f t="shared" ref="BS27" si="81">(BV27*0.4+BW27*0.7+BX27*1.7+BY27*1.4)</f>
        <v>150</v>
      </c>
      <c r="BT27" s="58">
        <f t="shared" si="40"/>
        <v>1.6</v>
      </c>
      <c r="BU27" s="60">
        <v>12</v>
      </c>
      <c r="BV27" s="60"/>
      <c r="BW27" s="60">
        <v>20</v>
      </c>
      <c r="BX27" s="60">
        <v>80</v>
      </c>
      <c r="BY27" s="60"/>
      <c r="BZ27" s="61">
        <f t="shared" ref="BZ27" si="82">BV27*BT27*BU27/100</f>
        <v>0</v>
      </c>
      <c r="CA27" s="61">
        <f t="shared" ref="CA27" si="83">BW27*BT27*BU27/100</f>
        <v>3.84</v>
      </c>
      <c r="CB27" s="61">
        <f t="shared" ref="CB27" si="84">BX27*BT27*BU27/100</f>
        <v>15.36</v>
      </c>
      <c r="CC27" s="61">
        <f t="shared" ref="CC27" si="85">BY27*BT27*BU27/100</f>
        <v>0</v>
      </c>
      <c r="CD27" s="59">
        <v>1</v>
      </c>
      <c r="CE27" s="59">
        <v>0.5</v>
      </c>
      <c r="CF27" s="59">
        <v>0.2</v>
      </c>
      <c r="CG27" s="59">
        <v>0.4</v>
      </c>
      <c r="CH27" s="61">
        <f t="shared" ref="CH27" si="86">3*CG27</f>
        <v>1.2000000000000002</v>
      </c>
      <c r="CI27" s="61">
        <f t="shared" ref="CI27" si="87">5*CG27</f>
        <v>2</v>
      </c>
      <c r="CJ27" s="59">
        <v>1</v>
      </c>
      <c r="CK27" s="59">
        <v>0</v>
      </c>
      <c r="CL27" s="59">
        <v>5</v>
      </c>
      <c r="CM27" s="60"/>
      <c r="CN27" s="59"/>
      <c r="CO27" s="59"/>
      <c r="CP27" s="59"/>
      <c r="CQ27" s="236"/>
      <c r="CR27" s="37"/>
      <c r="CS27" s="5"/>
      <c r="CT27" s="5"/>
      <c r="CU27" s="5"/>
      <c r="CV27" s="236"/>
      <c r="CW27" s="5"/>
      <c r="CX27" s="5"/>
      <c r="CY27" s="5"/>
      <c r="CZ27" s="5">
        <v>2</v>
      </c>
      <c r="DA27" s="5">
        <v>1000</v>
      </c>
      <c r="DB27" s="5"/>
      <c r="DC27" s="236"/>
      <c r="DD27" s="104">
        <f t="shared" ref="DD27" si="88">((DE27*24+DF27)*60+DG27)*60+DH27</f>
        <v>90</v>
      </c>
      <c r="DE27" s="103"/>
      <c r="DF27" s="103"/>
      <c r="DG27" s="103">
        <v>1</v>
      </c>
      <c r="DH27" s="103">
        <v>30</v>
      </c>
      <c r="DI27" s="5">
        <v>20</v>
      </c>
      <c r="DJ27" s="172">
        <v>2</v>
      </c>
      <c r="DK27" s="104"/>
      <c r="DL27" s="104">
        <f ca="1">IFERROR(OFFSET(ITEM_RES!$A$5,MATCH(DM27,ITEM_RES!$M$5:$M$84,0)-1,0),0)</f>
        <v>220000101</v>
      </c>
      <c r="DM27" s="103" t="s">
        <v>573</v>
      </c>
      <c r="DN27" s="102">
        <v>100</v>
      </c>
      <c r="DO27" s="104"/>
      <c r="DP27" s="104">
        <f ca="1">IFERROR(OFFSET(ITEM_RES!$A$5,MATCH(DQ27,ITEM_RES!$M$5:$M$84,0)-1,0),0)</f>
        <v>220000201</v>
      </c>
      <c r="DQ27" s="103" t="s">
        <v>591</v>
      </c>
      <c r="DR27" s="102">
        <v>100</v>
      </c>
      <c r="DS27" s="104"/>
      <c r="DT27" s="104"/>
      <c r="DU27" s="103"/>
      <c r="DV27" s="102"/>
      <c r="DW27" s="104"/>
      <c r="DX27" s="104"/>
      <c r="DY27" s="103"/>
      <c r="DZ27" s="102"/>
      <c r="EA27" s="104"/>
      <c r="EB27" s="104"/>
      <c r="EC27" s="103"/>
      <c r="ED27" s="102"/>
      <c r="EE27" s="236"/>
      <c r="EF27" s="5">
        <v>50</v>
      </c>
    </row>
    <row r="28" spans="1:136" s="3" customFormat="1" x14ac:dyDescent="0.15">
      <c r="A28" s="86"/>
      <c r="B28" s="65">
        <f t="shared" ref="B28" si="89">IF(C28=1,D28,)</f>
        <v>0</v>
      </c>
      <c r="C28" s="86"/>
      <c r="D28" s="3">
        <f t="shared" ref="D28" si="90">E28*10000000+F28*1000000+G28*10000+H28*100+I28</f>
        <v>21120303</v>
      </c>
      <c r="E28" s="4">
        <v>2</v>
      </c>
      <c r="F28" s="65">
        <f t="shared" si="0"/>
        <v>1</v>
      </c>
      <c r="G28" s="65">
        <f t="shared" si="1"/>
        <v>12</v>
      </c>
      <c r="H28" s="86">
        <v>3</v>
      </c>
      <c r="I28" s="65">
        <f t="shared" si="2"/>
        <v>3</v>
      </c>
      <c r="J28" s="236"/>
      <c r="K28" s="5">
        <v>1</v>
      </c>
      <c r="L28" s="65">
        <f t="shared" ref="L28" si="91">M28*10+N28</f>
        <v>12</v>
      </c>
      <c r="M28" s="5">
        <v>1</v>
      </c>
      <c r="N28" s="5">
        <v>2</v>
      </c>
      <c r="O28" s="190">
        <v>3</v>
      </c>
      <c r="P28" s="236"/>
      <c r="Q28" s="5" t="s">
        <v>1229</v>
      </c>
      <c r="R28" s="5" t="s">
        <v>993</v>
      </c>
      <c r="S28" s="4" t="s">
        <v>993</v>
      </c>
      <c r="T28" s="4"/>
      <c r="U28" s="78">
        <v>0</v>
      </c>
      <c r="V28" s="78">
        <v>1</v>
      </c>
      <c r="W28" s="5" t="s">
        <v>725</v>
      </c>
      <c r="X28" s="86" t="s">
        <v>1027</v>
      </c>
      <c r="Y28" s="86">
        <v>21120303</v>
      </c>
      <c r="Z28" s="61" t="str">
        <f t="shared" si="4"/>
        <v>UITexture/ShipHull/21120303.png</v>
      </c>
      <c r="AA28" s="78"/>
      <c r="AB28" s="190">
        <v>0</v>
      </c>
      <c r="AC28" s="190">
        <v>100</v>
      </c>
      <c r="AD28" s="236"/>
      <c r="AE28" s="190">
        <v>0</v>
      </c>
      <c r="AF28" s="190">
        <v>0</v>
      </c>
      <c r="AG28" s="190">
        <v>0</v>
      </c>
      <c r="AH28" s="190">
        <v>0</v>
      </c>
      <c r="AI28" s="190">
        <v>1</v>
      </c>
      <c r="AJ28" s="190">
        <v>1</v>
      </c>
      <c r="AK28" s="236"/>
      <c r="AL28" s="190">
        <v>0</v>
      </c>
      <c r="AM28" s="236"/>
      <c r="AN28" s="41"/>
      <c r="AO28" s="41"/>
      <c r="AP28" s="5">
        <v>1</v>
      </c>
      <c r="AQ28" s="4">
        <v>1</v>
      </c>
      <c r="AR28" s="4">
        <v>1</v>
      </c>
      <c r="AS28" s="4">
        <v>0</v>
      </c>
      <c r="AT28" s="5">
        <v>4</v>
      </c>
      <c r="AU28" s="5">
        <v>50</v>
      </c>
      <c r="AV28" s="5">
        <v>300</v>
      </c>
      <c r="AW28" s="236"/>
      <c r="AX28" s="5">
        <v>500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100</v>
      </c>
      <c r="BG28" s="5">
        <v>100</v>
      </c>
      <c r="BH28" s="5">
        <v>100</v>
      </c>
      <c r="BI28" s="5">
        <v>100</v>
      </c>
      <c r="BJ28" s="5">
        <v>0</v>
      </c>
      <c r="BK28" s="5">
        <v>0</v>
      </c>
      <c r="BL28" s="37"/>
      <c r="BM28" s="5"/>
      <c r="BN28" s="5"/>
      <c r="BO28" s="5"/>
      <c r="BP28" s="236"/>
      <c r="BQ28" s="58"/>
      <c r="BR28" s="59">
        <v>1</v>
      </c>
      <c r="BS28" s="61">
        <f t="shared" ref="BS28" si="92">(BV28*0.4+BW28*0.7+BX28*1.7+BY28*1.4)</f>
        <v>150</v>
      </c>
      <c r="BT28" s="58">
        <f t="shared" si="40"/>
        <v>1.6</v>
      </c>
      <c r="BU28" s="60">
        <v>12</v>
      </c>
      <c r="BV28" s="60"/>
      <c r="BW28" s="60">
        <v>20</v>
      </c>
      <c r="BX28" s="60">
        <v>80</v>
      </c>
      <c r="BY28" s="60"/>
      <c r="BZ28" s="61">
        <f t="shared" ref="BZ28" si="93">BV28*BT28*BU28/100</f>
        <v>0</v>
      </c>
      <c r="CA28" s="61">
        <f t="shared" ref="CA28" si="94">BW28*BT28*BU28/100</f>
        <v>3.84</v>
      </c>
      <c r="CB28" s="61">
        <f t="shared" ref="CB28" si="95">BX28*BT28*BU28/100</f>
        <v>15.36</v>
      </c>
      <c r="CC28" s="61">
        <f t="shared" ref="CC28" si="96">BY28*BT28*BU28/100</f>
        <v>0</v>
      </c>
      <c r="CD28" s="59">
        <v>1</v>
      </c>
      <c r="CE28" s="59">
        <v>0.5</v>
      </c>
      <c r="CF28" s="59">
        <v>0.2</v>
      </c>
      <c r="CG28" s="59">
        <v>0.4</v>
      </c>
      <c r="CH28" s="61">
        <f t="shared" ref="CH28" si="97">3*CG28</f>
        <v>1.2000000000000002</v>
      </c>
      <c r="CI28" s="61">
        <f t="shared" ref="CI28" si="98">5*CG28</f>
        <v>2</v>
      </c>
      <c r="CJ28" s="59">
        <v>1</v>
      </c>
      <c r="CK28" s="59">
        <v>0</v>
      </c>
      <c r="CL28" s="59">
        <v>5</v>
      </c>
      <c r="CM28" s="60"/>
      <c r="CN28" s="59"/>
      <c r="CO28" s="59"/>
      <c r="CP28" s="59"/>
      <c r="CQ28" s="236"/>
      <c r="CR28" s="37"/>
      <c r="CS28" s="5"/>
      <c r="CT28" s="5"/>
      <c r="CU28" s="5"/>
      <c r="CV28" s="236"/>
      <c r="CW28" s="5"/>
      <c r="CX28" s="5"/>
      <c r="CY28" s="5"/>
      <c r="CZ28" s="5">
        <v>2</v>
      </c>
      <c r="DA28" s="5">
        <v>1000</v>
      </c>
      <c r="DB28" s="5"/>
      <c r="DC28" s="236"/>
      <c r="DD28" s="104">
        <f t="shared" ref="DD28" si="99">((DE28*24+DF28)*60+DG28)*60+DH28</f>
        <v>90</v>
      </c>
      <c r="DE28" s="103"/>
      <c r="DF28" s="103"/>
      <c r="DG28" s="103">
        <v>1</v>
      </c>
      <c r="DH28" s="103">
        <v>30</v>
      </c>
      <c r="DI28" s="5">
        <v>20</v>
      </c>
      <c r="DJ28" s="172">
        <v>2</v>
      </c>
      <c r="DK28" s="104"/>
      <c r="DL28" s="104">
        <f ca="1">IFERROR(OFFSET(ITEM_RES!$A$5,MATCH(DM28,ITEM_RES!$M$5:$M$84,0)-1,0),0)</f>
        <v>220000101</v>
      </c>
      <c r="DM28" s="103" t="s">
        <v>573</v>
      </c>
      <c r="DN28" s="102">
        <v>100</v>
      </c>
      <c r="DO28" s="104"/>
      <c r="DP28" s="104">
        <f ca="1">IFERROR(OFFSET(ITEM_RES!$A$5,MATCH(DQ28,ITEM_RES!$M$5:$M$84,0)-1,0),0)</f>
        <v>220000201</v>
      </c>
      <c r="DQ28" s="103" t="s">
        <v>591</v>
      </c>
      <c r="DR28" s="102">
        <v>100</v>
      </c>
      <c r="DS28" s="104"/>
      <c r="DT28" s="104"/>
      <c r="DU28" s="103"/>
      <c r="DV28" s="102"/>
      <c r="DW28" s="104"/>
      <c r="DX28" s="104"/>
      <c r="DY28" s="103"/>
      <c r="DZ28" s="102"/>
      <c r="EA28" s="104"/>
      <c r="EB28" s="104"/>
      <c r="EC28" s="103"/>
      <c r="ED28" s="102"/>
      <c r="EE28" s="236"/>
      <c r="EF28" s="5">
        <v>50</v>
      </c>
    </row>
    <row r="29" spans="1:136" s="3" customFormat="1" x14ac:dyDescent="0.15">
      <c r="A29" s="86"/>
      <c r="B29" s="65">
        <f>IF(C29=1,D29,)</f>
        <v>0</v>
      </c>
      <c r="C29" s="86"/>
      <c r="D29" s="3">
        <f>E29*10000000+F29*1000000+G29*10000+H29*100+I29</f>
        <v>21120401</v>
      </c>
      <c r="E29" s="4">
        <v>2</v>
      </c>
      <c r="F29" s="65">
        <f t="shared" si="0"/>
        <v>1</v>
      </c>
      <c r="G29" s="65">
        <f t="shared" si="1"/>
        <v>12</v>
      </c>
      <c r="H29" s="86">
        <v>4</v>
      </c>
      <c r="I29" s="65">
        <f t="shared" si="2"/>
        <v>1</v>
      </c>
      <c r="J29" s="236"/>
      <c r="K29" s="5">
        <v>1</v>
      </c>
      <c r="L29" s="65">
        <f>M29*10+N29</f>
        <v>12</v>
      </c>
      <c r="M29" s="5">
        <v>1</v>
      </c>
      <c r="N29" s="5">
        <v>2</v>
      </c>
      <c r="O29" s="190">
        <v>1</v>
      </c>
      <c r="P29" s="236"/>
      <c r="Q29" s="5" t="s">
        <v>1229</v>
      </c>
      <c r="R29" s="5" t="s">
        <v>1156</v>
      </c>
      <c r="S29" s="4" t="s">
        <v>1054</v>
      </c>
      <c r="T29" s="4"/>
      <c r="U29" s="5">
        <v>1</v>
      </c>
      <c r="V29" s="5">
        <v>1</v>
      </c>
      <c r="W29" s="5" t="s">
        <v>1223</v>
      </c>
      <c r="X29" s="86" t="s">
        <v>1027</v>
      </c>
      <c r="Y29" s="86">
        <v>21120401</v>
      </c>
      <c r="Z29" s="177" t="str">
        <f t="shared" si="4"/>
        <v>UITexture/ShipHull/21120401.png</v>
      </c>
      <c r="AA29" s="5" t="s">
        <v>1157</v>
      </c>
      <c r="AB29" s="190">
        <v>2</v>
      </c>
      <c r="AC29" s="190">
        <v>43</v>
      </c>
      <c r="AD29" s="236"/>
      <c r="AE29" s="190">
        <v>0</v>
      </c>
      <c r="AF29" s="190">
        <v>0</v>
      </c>
      <c r="AG29" s="190">
        <v>0</v>
      </c>
      <c r="AH29" s="190">
        <v>0</v>
      </c>
      <c r="AI29" s="190">
        <v>1</v>
      </c>
      <c r="AJ29" s="190">
        <v>1</v>
      </c>
      <c r="AK29" s="236"/>
      <c r="AL29" s="190">
        <v>1</v>
      </c>
      <c r="AM29" s="236"/>
      <c r="AN29" s="41"/>
      <c r="AO29" s="41"/>
      <c r="AP29" s="5">
        <v>1</v>
      </c>
      <c r="AQ29" s="4">
        <v>1</v>
      </c>
      <c r="AR29" s="4">
        <v>1</v>
      </c>
      <c r="AS29" s="4">
        <v>0</v>
      </c>
      <c r="AT29" s="5">
        <v>3</v>
      </c>
      <c r="AU29" s="5">
        <v>50</v>
      </c>
      <c r="AV29" s="5">
        <v>300</v>
      </c>
      <c r="AW29" s="236"/>
      <c r="AX29" s="5">
        <v>500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100</v>
      </c>
      <c r="BG29" s="5">
        <v>100</v>
      </c>
      <c r="BH29" s="5">
        <v>100</v>
      </c>
      <c r="BI29" s="5">
        <v>100</v>
      </c>
      <c r="BJ29" s="5">
        <v>0</v>
      </c>
      <c r="BK29" s="5">
        <v>0</v>
      </c>
      <c r="BL29" s="37"/>
      <c r="BM29" s="5"/>
      <c r="BN29" s="5"/>
      <c r="BO29" s="5"/>
      <c r="BP29" s="236"/>
      <c r="BQ29" s="58"/>
      <c r="BR29" s="59">
        <v>2</v>
      </c>
      <c r="BS29" s="61">
        <f t="shared" ref="BS29" si="100">(BV29*0.4+BW29*0.7+BX29*1.7+BY29*1.4)</f>
        <v>150</v>
      </c>
      <c r="BT29" s="58">
        <f t="shared" si="40"/>
        <v>1.6</v>
      </c>
      <c r="BU29" s="60">
        <v>12</v>
      </c>
      <c r="BV29" s="60"/>
      <c r="BW29" s="60">
        <v>20</v>
      </c>
      <c r="BX29" s="60">
        <v>80</v>
      </c>
      <c r="BY29" s="60"/>
      <c r="BZ29" s="61">
        <f t="shared" ref="BZ29" si="101">BV29*BT29*BU29/100</f>
        <v>0</v>
      </c>
      <c r="CA29" s="61">
        <f t="shared" ref="CA29" si="102">BW29*BT29*BU29/100</f>
        <v>3.84</v>
      </c>
      <c r="CB29" s="61">
        <f t="shared" ref="CB29" si="103">BX29*BT29*BU29/100</f>
        <v>15.36</v>
      </c>
      <c r="CC29" s="61">
        <f t="shared" ref="CC29" si="104">BY29*BT29*BU29/100</f>
        <v>0</v>
      </c>
      <c r="CD29" s="59">
        <v>1</v>
      </c>
      <c r="CE29" s="59">
        <v>0.5</v>
      </c>
      <c r="CF29" s="59">
        <v>0.2</v>
      </c>
      <c r="CG29" s="59">
        <v>0.4</v>
      </c>
      <c r="CH29" s="61">
        <f t="shared" ref="CH29" si="105">3*CG29</f>
        <v>1.2000000000000002</v>
      </c>
      <c r="CI29" s="61">
        <f t="shared" ref="CI29" si="106">5*CG29</f>
        <v>2</v>
      </c>
      <c r="CJ29" s="59">
        <v>1</v>
      </c>
      <c r="CK29" s="59">
        <v>0</v>
      </c>
      <c r="CL29" s="59">
        <v>5</v>
      </c>
      <c r="CM29" s="60"/>
      <c r="CN29" s="59"/>
      <c r="CO29" s="59"/>
      <c r="CP29" s="59"/>
      <c r="CQ29" s="236"/>
      <c r="CR29" s="37"/>
      <c r="CS29" s="5"/>
      <c r="CT29" s="5"/>
      <c r="CU29" s="5"/>
      <c r="CV29" s="236"/>
      <c r="CW29" s="5"/>
      <c r="CX29" s="5"/>
      <c r="CY29" s="5"/>
      <c r="CZ29" s="5">
        <v>3</v>
      </c>
      <c r="DA29" s="5">
        <v>1000</v>
      </c>
      <c r="DB29" s="5"/>
      <c r="DC29" s="236"/>
      <c r="DD29" s="104">
        <f>((DE29*24+DF29)*60+DG29)*60+DH29</f>
        <v>90</v>
      </c>
      <c r="DE29" s="103"/>
      <c r="DF29" s="103"/>
      <c r="DG29" s="103">
        <v>1</v>
      </c>
      <c r="DH29" s="103">
        <v>30</v>
      </c>
      <c r="DI29" s="5">
        <v>20</v>
      </c>
      <c r="DJ29" s="172">
        <v>2</v>
      </c>
      <c r="DK29" s="104"/>
      <c r="DL29" s="104">
        <f ca="1">IFERROR(OFFSET(ITEM_RES!$A$5,MATCH(DM29,ITEM_RES!$M$5:$M$84,0)-1,0),0)</f>
        <v>220000101</v>
      </c>
      <c r="DM29" s="103" t="s">
        <v>573</v>
      </c>
      <c r="DN29" s="102">
        <v>100</v>
      </c>
      <c r="DO29" s="104"/>
      <c r="DP29" s="104">
        <f ca="1">IFERROR(OFFSET(ITEM_RES!$A$5,MATCH(DQ29,ITEM_RES!$M$5:$M$84,0)-1,0),0)</f>
        <v>220000201</v>
      </c>
      <c r="DQ29" s="103" t="s">
        <v>591</v>
      </c>
      <c r="DR29" s="102">
        <v>100</v>
      </c>
      <c r="DS29" s="104"/>
      <c r="DT29" s="104"/>
      <c r="DU29" s="103"/>
      <c r="DV29" s="102"/>
      <c r="DW29" s="104"/>
      <c r="DX29" s="104"/>
      <c r="DY29" s="103"/>
      <c r="DZ29" s="102"/>
      <c r="EA29" s="104"/>
      <c r="EB29" s="104"/>
      <c r="EC29" s="103"/>
      <c r="ED29" s="102"/>
      <c r="EE29" s="236"/>
      <c r="EF29" s="5">
        <v>50</v>
      </c>
    </row>
    <row r="30" spans="1:136" s="3" customFormat="1" x14ac:dyDescent="0.15">
      <c r="A30" s="86"/>
      <c r="B30" s="65">
        <f t="shared" ref="B30" si="107">IF(C30=1,D30,)</f>
        <v>0</v>
      </c>
      <c r="C30" s="86"/>
      <c r="D30" s="3">
        <f t="shared" ref="D30" si="108">E30*10000000+F30*1000000+G30*10000+H30*100+I30</f>
        <v>21120402</v>
      </c>
      <c r="E30" s="4">
        <v>2</v>
      </c>
      <c r="F30" s="65">
        <f t="shared" si="0"/>
        <v>1</v>
      </c>
      <c r="G30" s="65">
        <f t="shared" si="1"/>
        <v>12</v>
      </c>
      <c r="H30" s="86">
        <v>4</v>
      </c>
      <c r="I30" s="65">
        <f t="shared" si="2"/>
        <v>2</v>
      </c>
      <c r="J30" s="236"/>
      <c r="K30" s="5">
        <v>1</v>
      </c>
      <c r="L30" s="65">
        <f t="shared" ref="L30" si="109">M30*10+N30</f>
        <v>12</v>
      </c>
      <c r="M30" s="5">
        <v>1</v>
      </c>
      <c r="N30" s="5">
        <v>2</v>
      </c>
      <c r="O30" s="190">
        <v>2</v>
      </c>
      <c r="P30" s="236"/>
      <c r="Q30" s="5" t="s">
        <v>1229</v>
      </c>
      <c r="R30" s="5" t="s">
        <v>1002</v>
      </c>
      <c r="S30" s="4" t="s">
        <v>1002</v>
      </c>
      <c r="T30" s="4"/>
      <c r="U30" s="5">
        <v>0</v>
      </c>
      <c r="V30" s="5">
        <v>1</v>
      </c>
      <c r="W30" s="5" t="s">
        <v>724</v>
      </c>
      <c r="X30" s="86" t="s">
        <v>1027</v>
      </c>
      <c r="Y30" s="86">
        <v>21120402</v>
      </c>
      <c r="Z30" s="177" t="str">
        <f t="shared" si="4"/>
        <v>UITexture/ShipHull/21120402.png</v>
      </c>
      <c r="AA30" s="5"/>
      <c r="AB30" s="190">
        <v>0</v>
      </c>
      <c r="AC30" s="190">
        <v>100</v>
      </c>
      <c r="AD30" s="236"/>
      <c r="AE30" s="190">
        <v>0</v>
      </c>
      <c r="AF30" s="190">
        <v>0</v>
      </c>
      <c r="AG30" s="190">
        <v>0</v>
      </c>
      <c r="AH30" s="190">
        <v>0</v>
      </c>
      <c r="AI30" s="190">
        <v>1</v>
      </c>
      <c r="AJ30" s="190">
        <v>1</v>
      </c>
      <c r="AK30" s="236"/>
      <c r="AL30" s="190">
        <v>0</v>
      </c>
      <c r="AM30" s="236"/>
      <c r="AN30" s="41"/>
      <c r="AO30" s="41"/>
      <c r="AP30" s="5">
        <v>1</v>
      </c>
      <c r="AQ30" s="4">
        <v>1</v>
      </c>
      <c r="AR30" s="4">
        <v>1</v>
      </c>
      <c r="AS30" s="4">
        <v>0</v>
      </c>
      <c r="AT30" s="5">
        <v>3</v>
      </c>
      <c r="AU30" s="5">
        <v>50</v>
      </c>
      <c r="AV30" s="5">
        <v>300</v>
      </c>
      <c r="AW30" s="236"/>
      <c r="AX30" s="5">
        <v>500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100</v>
      </c>
      <c r="BG30" s="5">
        <v>100</v>
      </c>
      <c r="BH30" s="5">
        <v>100</v>
      </c>
      <c r="BI30" s="5">
        <v>100</v>
      </c>
      <c r="BJ30" s="5">
        <v>0</v>
      </c>
      <c r="BK30" s="5">
        <v>0</v>
      </c>
      <c r="BL30" s="37"/>
      <c r="BM30" s="5"/>
      <c r="BN30" s="5"/>
      <c r="BO30" s="5"/>
      <c r="BP30" s="236"/>
      <c r="BQ30" s="58"/>
      <c r="BR30" s="59">
        <v>2</v>
      </c>
      <c r="BS30" s="61">
        <f t="shared" ref="BS30" si="110">(BV30*0.4+BW30*0.7+BX30*1.7+BY30*1.4)</f>
        <v>150</v>
      </c>
      <c r="BT30" s="58">
        <f t="shared" si="40"/>
        <v>1.6</v>
      </c>
      <c r="BU30" s="60">
        <v>12</v>
      </c>
      <c r="BV30" s="60"/>
      <c r="BW30" s="60">
        <v>20</v>
      </c>
      <c r="BX30" s="60">
        <v>80</v>
      </c>
      <c r="BY30" s="60"/>
      <c r="BZ30" s="61">
        <f t="shared" ref="BZ30" si="111">BV30*BT30*BU30/100</f>
        <v>0</v>
      </c>
      <c r="CA30" s="61">
        <f t="shared" ref="CA30" si="112">BW30*BT30*BU30/100</f>
        <v>3.84</v>
      </c>
      <c r="CB30" s="61">
        <f t="shared" ref="CB30" si="113">BX30*BT30*BU30/100</f>
        <v>15.36</v>
      </c>
      <c r="CC30" s="61">
        <f t="shared" ref="CC30" si="114">BY30*BT30*BU30/100</f>
        <v>0</v>
      </c>
      <c r="CD30" s="59">
        <v>1</v>
      </c>
      <c r="CE30" s="59">
        <v>0.5</v>
      </c>
      <c r="CF30" s="59">
        <v>0.2</v>
      </c>
      <c r="CG30" s="59">
        <v>0.4</v>
      </c>
      <c r="CH30" s="61">
        <f t="shared" ref="CH30" si="115">3*CG30</f>
        <v>1.2000000000000002</v>
      </c>
      <c r="CI30" s="61">
        <f t="shared" ref="CI30" si="116">5*CG30</f>
        <v>2</v>
      </c>
      <c r="CJ30" s="59">
        <v>1</v>
      </c>
      <c r="CK30" s="59">
        <v>0</v>
      </c>
      <c r="CL30" s="59">
        <v>5</v>
      </c>
      <c r="CM30" s="60"/>
      <c r="CN30" s="59"/>
      <c r="CO30" s="59"/>
      <c r="CP30" s="59"/>
      <c r="CQ30" s="236"/>
      <c r="CR30" s="37"/>
      <c r="CS30" s="5"/>
      <c r="CT30" s="5"/>
      <c r="CU30" s="5"/>
      <c r="CV30" s="236"/>
      <c r="CW30" s="5"/>
      <c r="CX30" s="5"/>
      <c r="CY30" s="5"/>
      <c r="CZ30" s="5">
        <v>3</v>
      </c>
      <c r="DA30" s="5">
        <v>1000</v>
      </c>
      <c r="DB30" s="5"/>
      <c r="DC30" s="236"/>
      <c r="DD30" s="104">
        <f t="shared" ref="DD30" si="117">((DE30*24+DF30)*60+DG30)*60+DH30</f>
        <v>90</v>
      </c>
      <c r="DE30" s="103"/>
      <c r="DF30" s="103"/>
      <c r="DG30" s="103">
        <v>1</v>
      </c>
      <c r="DH30" s="103">
        <v>30</v>
      </c>
      <c r="DI30" s="5">
        <v>20</v>
      </c>
      <c r="DJ30" s="172">
        <v>2</v>
      </c>
      <c r="DK30" s="104"/>
      <c r="DL30" s="104">
        <f ca="1">IFERROR(OFFSET(ITEM_RES!$A$5,MATCH(DM30,ITEM_RES!$M$5:$M$84,0)-1,0),0)</f>
        <v>220000101</v>
      </c>
      <c r="DM30" s="103" t="s">
        <v>573</v>
      </c>
      <c r="DN30" s="102">
        <v>100</v>
      </c>
      <c r="DO30" s="104"/>
      <c r="DP30" s="104">
        <f ca="1">IFERROR(OFFSET(ITEM_RES!$A$5,MATCH(DQ30,ITEM_RES!$M$5:$M$84,0)-1,0),0)</f>
        <v>220000201</v>
      </c>
      <c r="DQ30" s="103" t="s">
        <v>591</v>
      </c>
      <c r="DR30" s="102">
        <v>100</v>
      </c>
      <c r="DS30" s="104"/>
      <c r="DT30" s="104"/>
      <c r="DU30" s="103"/>
      <c r="DV30" s="102"/>
      <c r="DW30" s="104"/>
      <c r="DX30" s="104"/>
      <c r="DY30" s="103"/>
      <c r="DZ30" s="102"/>
      <c r="EA30" s="104"/>
      <c r="EB30" s="104"/>
      <c r="EC30" s="103"/>
      <c r="ED30" s="102"/>
      <c r="EE30" s="236"/>
      <c r="EF30" s="5">
        <v>50</v>
      </c>
    </row>
    <row r="31" spans="1:136" s="3" customFormat="1" x14ac:dyDescent="0.15">
      <c r="A31" s="86"/>
      <c r="B31" s="65">
        <f t="shared" ref="B31" si="118">IF(C31=1,D31,)</f>
        <v>0</v>
      </c>
      <c r="C31" s="86"/>
      <c r="D31" s="3">
        <f t="shared" ref="D31" si="119">E31*10000000+F31*1000000+G31*10000+H31*100+I31</f>
        <v>21120403</v>
      </c>
      <c r="E31" s="4">
        <v>2</v>
      </c>
      <c r="F31" s="65">
        <f t="shared" si="0"/>
        <v>1</v>
      </c>
      <c r="G31" s="65">
        <f t="shared" si="1"/>
        <v>12</v>
      </c>
      <c r="H31" s="86">
        <v>4</v>
      </c>
      <c r="I31" s="65">
        <f t="shared" si="2"/>
        <v>3</v>
      </c>
      <c r="J31" s="236"/>
      <c r="K31" s="5">
        <v>1</v>
      </c>
      <c r="L31" s="65">
        <f t="shared" ref="L31" si="120">M31*10+N31</f>
        <v>12</v>
      </c>
      <c r="M31" s="5">
        <v>1</v>
      </c>
      <c r="N31" s="5">
        <v>2</v>
      </c>
      <c r="O31" s="190">
        <v>3</v>
      </c>
      <c r="P31" s="236"/>
      <c r="Q31" s="5" t="s">
        <v>1229</v>
      </c>
      <c r="R31" s="5" t="s">
        <v>1003</v>
      </c>
      <c r="S31" s="4" t="s">
        <v>1003</v>
      </c>
      <c r="T31" s="4"/>
      <c r="U31" s="5">
        <v>0</v>
      </c>
      <c r="V31" s="5">
        <v>1</v>
      </c>
      <c r="W31" s="5" t="s">
        <v>725</v>
      </c>
      <c r="X31" s="86" t="s">
        <v>1027</v>
      </c>
      <c r="Y31" s="86">
        <v>21120403</v>
      </c>
      <c r="Z31" s="177" t="str">
        <f t="shared" si="4"/>
        <v>UITexture/ShipHull/21120403.png</v>
      </c>
      <c r="AA31" s="5"/>
      <c r="AB31" s="190">
        <v>0</v>
      </c>
      <c r="AC31" s="190">
        <v>100</v>
      </c>
      <c r="AD31" s="236"/>
      <c r="AE31" s="190">
        <v>0</v>
      </c>
      <c r="AF31" s="190">
        <v>0</v>
      </c>
      <c r="AG31" s="190">
        <v>0</v>
      </c>
      <c r="AH31" s="190">
        <v>0</v>
      </c>
      <c r="AI31" s="190">
        <v>1</v>
      </c>
      <c r="AJ31" s="190">
        <v>1</v>
      </c>
      <c r="AK31" s="236"/>
      <c r="AL31" s="190">
        <v>0</v>
      </c>
      <c r="AM31" s="236"/>
      <c r="AN31" s="41"/>
      <c r="AO31" s="41"/>
      <c r="AP31" s="5">
        <v>1</v>
      </c>
      <c r="AQ31" s="4">
        <v>1</v>
      </c>
      <c r="AR31" s="4">
        <v>1</v>
      </c>
      <c r="AS31" s="4">
        <v>0</v>
      </c>
      <c r="AT31" s="5">
        <v>3</v>
      </c>
      <c r="AU31" s="5">
        <v>50</v>
      </c>
      <c r="AV31" s="5">
        <v>300</v>
      </c>
      <c r="AW31" s="236"/>
      <c r="AX31" s="5">
        <v>500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100</v>
      </c>
      <c r="BG31" s="5">
        <v>100</v>
      </c>
      <c r="BH31" s="5">
        <v>100</v>
      </c>
      <c r="BI31" s="5">
        <v>100</v>
      </c>
      <c r="BJ31" s="5">
        <v>0</v>
      </c>
      <c r="BK31" s="5">
        <v>0</v>
      </c>
      <c r="BL31" s="37"/>
      <c r="BM31" s="5"/>
      <c r="BN31" s="5"/>
      <c r="BO31" s="5"/>
      <c r="BP31" s="236"/>
      <c r="BQ31" s="58"/>
      <c r="BR31" s="59">
        <v>2</v>
      </c>
      <c r="BS31" s="61">
        <f t="shared" ref="BS31" si="121">(BV31*0.4+BW31*0.7+BX31*1.7+BY31*1.4)</f>
        <v>150</v>
      </c>
      <c r="BT31" s="58">
        <f t="shared" si="40"/>
        <v>1.6</v>
      </c>
      <c r="BU31" s="60">
        <v>12</v>
      </c>
      <c r="BV31" s="60"/>
      <c r="BW31" s="60">
        <v>20</v>
      </c>
      <c r="BX31" s="60">
        <v>80</v>
      </c>
      <c r="BY31" s="60"/>
      <c r="BZ31" s="61">
        <f t="shared" ref="BZ31" si="122">BV31*BT31*BU31/100</f>
        <v>0</v>
      </c>
      <c r="CA31" s="61">
        <f t="shared" ref="CA31" si="123">BW31*BT31*BU31/100</f>
        <v>3.84</v>
      </c>
      <c r="CB31" s="61">
        <f t="shared" ref="CB31" si="124">BX31*BT31*BU31/100</f>
        <v>15.36</v>
      </c>
      <c r="CC31" s="61">
        <f t="shared" ref="CC31" si="125">BY31*BT31*BU31/100</f>
        <v>0</v>
      </c>
      <c r="CD31" s="59">
        <v>1</v>
      </c>
      <c r="CE31" s="59">
        <v>0.5</v>
      </c>
      <c r="CF31" s="59">
        <v>0.2</v>
      </c>
      <c r="CG31" s="59">
        <v>0.4</v>
      </c>
      <c r="CH31" s="61">
        <f t="shared" ref="CH31" si="126">3*CG31</f>
        <v>1.2000000000000002</v>
      </c>
      <c r="CI31" s="61">
        <f t="shared" ref="CI31" si="127">5*CG31</f>
        <v>2</v>
      </c>
      <c r="CJ31" s="59">
        <v>1</v>
      </c>
      <c r="CK31" s="59">
        <v>0</v>
      </c>
      <c r="CL31" s="59">
        <v>5</v>
      </c>
      <c r="CM31" s="60"/>
      <c r="CN31" s="59"/>
      <c r="CO31" s="59"/>
      <c r="CP31" s="59"/>
      <c r="CQ31" s="236"/>
      <c r="CR31" s="37"/>
      <c r="CS31" s="5"/>
      <c r="CT31" s="5"/>
      <c r="CU31" s="5"/>
      <c r="CV31" s="236"/>
      <c r="CW31" s="5"/>
      <c r="CX31" s="5"/>
      <c r="CY31" s="5"/>
      <c r="CZ31" s="5">
        <v>3</v>
      </c>
      <c r="DA31" s="5">
        <v>1000</v>
      </c>
      <c r="DB31" s="5"/>
      <c r="DC31" s="236"/>
      <c r="DD31" s="104">
        <f t="shared" ref="DD31" si="128">((DE31*24+DF31)*60+DG31)*60+DH31</f>
        <v>90</v>
      </c>
      <c r="DE31" s="103"/>
      <c r="DF31" s="103"/>
      <c r="DG31" s="103">
        <v>1</v>
      </c>
      <c r="DH31" s="103">
        <v>30</v>
      </c>
      <c r="DI31" s="5">
        <v>20</v>
      </c>
      <c r="DJ31" s="172">
        <v>2</v>
      </c>
      <c r="DK31" s="104"/>
      <c r="DL31" s="104">
        <f ca="1">IFERROR(OFFSET(ITEM_RES!$A$5,MATCH(DM31,ITEM_RES!$M$5:$M$84,0)-1,0),0)</f>
        <v>220000101</v>
      </c>
      <c r="DM31" s="103" t="s">
        <v>573</v>
      </c>
      <c r="DN31" s="102">
        <v>100</v>
      </c>
      <c r="DO31" s="104"/>
      <c r="DP31" s="104">
        <f ca="1">IFERROR(OFFSET(ITEM_RES!$A$5,MATCH(DQ31,ITEM_RES!$M$5:$M$84,0)-1,0),0)</f>
        <v>220000201</v>
      </c>
      <c r="DQ31" s="103" t="s">
        <v>591</v>
      </c>
      <c r="DR31" s="102">
        <v>100</v>
      </c>
      <c r="DS31" s="104"/>
      <c r="DT31" s="104"/>
      <c r="DU31" s="103"/>
      <c r="DV31" s="102"/>
      <c r="DW31" s="104"/>
      <c r="DX31" s="104"/>
      <c r="DY31" s="103"/>
      <c r="DZ31" s="102"/>
      <c r="EA31" s="104"/>
      <c r="EB31" s="104"/>
      <c r="EC31" s="103"/>
      <c r="ED31" s="102"/>
      <c r="EE31" s="236"/>
      <c r="EF31" s="5">
        <v>50</v>
      </c>
    </row>
    <row r="32" spans="1:136" s="3" customFormat="1" x14ac:dyDescent="0.15">
      <c r="A32" s="86"/>
      <c r="B32" s="65">
        <f t="shared" si="7"/>
        <v>0</v>
      </c>
      <c r="C32" s="86"/>
      <c r="D32" s="3">
        <f t="shared" si="8"/>
        <v>21130101</v>
      </c>
      <c r="E32" s="4">
        <v>2</v>
      </c>
      <c r="F32" s="65">
        <f t="shared" si="0"/>
        <v>1</v>
      </c>
      <c r="G32" s="65">
        <f t="shared" si="1"/>
        <v>13</v>
      </c>
      <c r="H32" s="86">
        <v>1</v>
      </c>
      <c r="I32" s="65">
        <f t="shared" si="2"/>
        <v>1</v>
      </c>
      <c r="J32" s="236"/>
      <c r="K32" s="5">
        <v>1</v>
      </c>
      <c r="L32" s="65">
        <f t="shared" si="9"/>
        <v>13</v>
      </c>
      <c r="M32" s="5">
        <v>1</v>
      </c>
      <c r="N32" s="5">
        <v>3</v>
      </c>
      <c r="O32" s="190">
        <v>1</v>
      </c>
      <c r="P32" s="236"/>
      <c r="Q32" s="5" t="s">
        <v>1229</v>
      </c>
      <c r="R32" s="5" t="s">
        <v>1155</v>
      </c>
      <c r="S32" s="4" t="s">
        <v>1055</v>
      </c>
      <c r="T32" s="4"/>
      <c r="U32" s="78">
        <v>1</v>
      </c>
      <c r="V32" s="78">
        <v>1</v>
      </c>
      <c r="W32" s="5" t="s">
        <v>1224</v>
      </c>
      <c r="X32" s="60" t="s">
        <v>1027</v>
      </c>
      <c r="Y32" s="60">
        <v>21130101</v>
      </c>
      <c r="Z32" s="61" t="str">
        <f t="shared" si="4"/>
        <v>UITexture/ShipHull/21130101.png</v>
      </c>
      <c r="AA32" s="5" t="s">
        <v>1038</v>
      </c>
      <c r="AB32" s="190">
        <v>3</v>
      </c>
      <c r="AC32" s="190">
        <v>43</v>
      </c>
      <c r="AD32" s="236"/>
      <c r="AE32" s="190">
        <v>0</v>
      </c>
      <c r="AF32" s="190">
        <v>0</v>
      </c>
      <c r="AG32" s="190">
        <v>0</v>
      </c>
      <c r="AH32" s="190">
        <v>0</v>
      </c>
      <c r="AI32" s="190">
        <v>1</v>
      </c>
      <c r="AJ32" s="190">
        <v>0</v>
      </c>
      <c r="AK32" s="236"/>
      <c r="AL32" s="190">
        <v>1</v>
      </c>
      <c r="AM32" s="236"/>
      <c r="AN32" s="41"/>
      <c r="AO32" s="41"/>
      <c r="AP32" s="5">
        <v>1</v>
      </c>
      <c r="AQ32" s="4">
        <v>0</v>
      </c>
      <c r="AR32" s="4">
        <v>0</v>
      </c>
      <c r="AS32" s="4">
        <v>1</v>
      </c>
      <c r="AT32" s="5">
        <v>0</v>
      </c>
      <c r="AU32" s="5">
        <v>20</v>
      </c>
      <c r="AV32" s="5">
        <v>100</v>
      </c>
      <c r="AW32" s="236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37"/>
      <c r="BM32" s="5"/>
      <c r="BN32" s="5"/>
      <c r="BO32" s="5"/>
      <c r="BP32" s="236"/>
      <c r="BQ32" s="58"/>
      <c r="BR32" s="59"/>
      <c r="BS32" s="61"/>
      <c r="BT32" s="58"/>
      <c r="BU32" s="60"/>
      <c r="BV32" s="60"/>
      <c r="BW32" s="60"/>
      <c r="BX32" s="60"/>
      <c r="BY32" s="60"/>
      <c r="BZ32" s="61"/>
      <c r="CA32" s="61"/>
      <c r="CB32" s="61"/>
      <c r="CC32" s="61"/>
      <c r="CD32" s="59"/>
      <c r="CE32" s="59"/>
      <c r="CF32" s="59"/>
      <c r="CG32" s="59"/>
      <c r="CH32" s="61"/>
      <c r="CI32" s="61"/>
      <c r="CJ32" s="59"/>
      <c r="CK32" s="59"/>
      <c r="CL32" s="59"/>
      <c r="CM32" s="60"/>
      <c r="CN32" s="59"/>
      <c r="CO32" s="59"/>
      <c r="CP32" s="59"/>
      <c r="CQ32" s="236"/>
      <c r="CR32" s="37">
        <f>CT32/CU32</f>
        <v>1000</v>
      </c>
      <c r="CS32" s="5">
        <v>80000</v>
      </c>
      <c r="CT32" s="5">
        <v>10000</v>
      </c>
      <c r="CU32" s="5">
        <v>10</v>
      </c>
      <c r="CV32" s="236"/>
      <c r="CW32" s="5"/>
      <c r="CX32" s="5"/>
      <c r="CY32" s="5"/>
      <c r="CZ32" s="5"/>
      <c r="DA32" s="5"/>
      <c r="DB32" s="5"/>
      <c r="DC32" s="236"/>
      <c r="DD32" s="104">
        <f t="shared" si="3"/>
        <v>90</v>
      </c>
      <c r="DE32" s="103"/>
      <c r="DF32" s="103"/>
      <c r="DG32" s="103">
        <v>1</v>
      </c>
      <c r="DH32" s="103">
        <v>30</v>
      </c>
      <c r="DI32" s="5">
        <v>20</v>
      </c>
      <c r="DJ32" s="172">
        <v>2</v>
      </c>
      <c r="DK32" s="104"/>
      <c r="DL32" s="104">
        <f ca="1">IFERROR(OFFSET(ITEM_RES!$A$5,MATCH(DM32,ITEM_RES!$M$5:$M$84,0)-1,0),0)</f>
        <v>220000101</v>
      </c>
      <c r="DM32" s="103" t="s">
        <v>573</v>
      </c>
      <c r="DN32" s="102">
        <v>100</v>
      </c>
      <c r="DO32" s="104"/>
      <c r="DP32" s="104">
        <f ca="1">IFERROR(OFFSET(ITEM_RES!$A$5,MATCH(DQ32,ITEM_RES!$M$5:$M$84,0)-1,0),0)</f>
        <v>220000201</v>
      </c>
      <c r="DQ32" s="103" t="s">
        <v>591</v>
      </c>
      <c r="DR32" s="102">
        <v>100</v>
      </c>
      <c r="DS32" s="104"/>
      <c r="DT32" s="104"/>
      <c r="DU32" s="103"/>
      <c r="DV32" s="102"/>
      <c r="DW32" s="104"/>
      <c r="DX32" s="104"/>
      <c r="DY32" s="103"/>
      <c r="DZ32" s="102"/>
      <c r="EA32" s="104"/>
      <c r="EB32" s="104"/>
      <c r="EC32" s="103"/>
      <c r="ED32" s="102"/>
      <c r="EE32" s="236"/>
      <c r="EF32" s="5">
        <v>50</v>
      </c>
    </row>
    <row r="33" spans="1:136" s="3" customFormat="1" x14ac:dyDescent="0.15">
      <c r="A33" s="86"/>
      <c r="B33" s="65">
        <f t="shared" ref="B33" si="129">IF(C33=1,D33,)</f>
        <v>0</v>
      </c>
      <c r="C33" s="86"/>
      <c r="D33" s="3">
        <f t="shared" ref="D33" si="130">E33*10000000+F33*1000000+G33*10000+H33*100+I33</f>
        <v>21130102</v>
      </c>
      <c r="E33" s="4">
        <v>2</v>
      </c>
      <c r="F33" s="65">
        <f t="shared" si="0"/>
        <v>1</v>
      </c>
      <c r="G33" s="65">
        <f t="shared" si="1"/>
        <v>13</v>
      </c>
      <c r="H33" s="86">
        <v>1</v>
      </c>
      <c r="I33" s="65">
        <f t="shared" si="2"/>
        <v>2</v>
      </c>
      <c r="J33" s="236"/>
      <c r="K33" s="5">
        <v>1</v>
      </c>
      <c r="L33" s="65">
        <f t="shared" ref="L33" si="131">M33*10+N33</f>
        <v>13</v>
      </c>
      <c r="M33" s="5">
        <v>1</v>
      </c>
      <c r="N33" s="5">
        <v>3</v>
      </c>
      <c r="O33" s="190">
        <v>2</v>
      </c>
      <c r="P33" s="236"/>
      <c r="Q33" s="5" t="s">
        <v>1229</v>
      </c>
      <c r="R33" s="5" t="s">
        <v>994</v>
      </c>
      <c r="S33" s="4" t="s">
        <v>994</v>
      </c>
      <c r="T33" s="4"/>
      <c r="U33" s="78">
        <v>0</v>
      </c>
      <c r="V33" s="78">
        <v>1</v>
      </c>
      <c r="W33" s="5" t="s">
        <v>722</v>
      </c>
      <c r="X33" s="86" t="s">
        <v>1027</v>
      </c>
      <c r="Y33" s="86">
        <v>21130102</v>
      </c>
      <c r="Z33" s="61" t="str">
        <f t="shared" si="4"/>
        <v>UITexture/ShipHull/21130102.png</v>
      </c>
      <c r="AA33" s="78"/>
      <c r="AB33" s="190">
        <v>0</v>
      </c>
      <c r="AC33" s="190">
        <v>100</v>
      </c>
      <c r="AD33" s="236"/>
      <c r="AE33" s="190">
        <v>0</v>
      </c>
      <c r="AF33" s="190">
        <v>0</v>
      </c>
      <c r="AG33" s="190">
        <v>0</v>
      </c>
      <c r="AH33" s="190">
        <v>0</v>
      </c>
      <c r="AI33" s="190">
        <v>1</v>
      </c>
      <c r="AJ33" s="190">
        <v>0</v>
      </c>
      <c r="AK33" s="236"/>
      <c r="AL33" s="190">
        <v>0</v>
      </c>
      <c r="AM33" s="236"/>
      <c r="AN33" s="41"/>
      <c r="AO33" s="41"/>
      <c r="AP33" s="5">
        <v>1</v>
      </c>
      <c r="AQ33" s="4">
        <v>0</v>
      </c>
      <c r="AR33" s="4">
        <v>0</v>
      </c>
      <c r="AS33" s="4">
        <v>1</v>
      </c>
      <c r="AT33" s="5">
        <v>0</v>
      </c>
      <c r="AU33" s="5">
        <v>20</v>
      </c>
      <c r="AV33" s="5">
        <v>100</v>
      </c>
      <c r="AW33" s="236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37"/>
      <c r="BM33" s="5"/>
      <c r="BN33" s="5"/>
      <c r="BO33" s="5"/>
      <c r="BP33" s="236"/>
      <c r="BQ33" s="58"/>
      <c r="BR33" s="59"/>
      <c r="BS33" s="61"/>
      <c r="BT33" s="58"/>
      <c r="BU33" s="60"/>
      <c r="BV33" s="60"/>
      <c r="BW33" s="60"/>
      <c r="BX33" s="60"/>
      <c r="BY33" s="60"/>
      <c r="BZ33" s="61"/>
      <c r="CA33" s="61"/>
      <c r="CB33" s="61"/>
      <c r="CC33" s="61"/>
      <c r="CD33" s="59"/>
      <c r="CE33" s="59"/>
      <c r="CF33" s="59"/>
      <c r="CG33" s="59"/>
      <c r="CH33" s="61"/>
      <c r="CI33" s="61"/>
      <c r="CJ33" s="59"/>
      <c r="CK33" s="59"/>
      <c r="CL33" s="59"/>
      <c r="CM33" s="60"/>
      <c r="CN33" s="59"/>
      <c r="CO33" s="59"/>
      <c r="CP33" s="59"/>
      <c r="CQ33" s="236"/>
      <c r="CR33" s="37">
        <f>CT33/CU33</f>
        <v>1000</v>
      </c>
      <c r="CS33" s="5">
        <v>80000</v>
      </c>
      <c r="CT33" s="5">
        <v>10000</v>
      </c>
      <c r="CU33" s="5">
        <v>10</v>
      </c>
      <c r="CV33" s="236"/>
      <c r="CW33" s="5"/>
      <c r="CX33" s="5"/>
      <c r="CY33" s="5"/>
      <c r="CZ33" s="5"/>
      <c r="DA33" s="5"/>
      <c r="DB33" s="5"/>
      <c r="DC33" s="236"/>
      <c r="DD33" s="104">
        <f t="shared" ref="DD33" si="132">((DE33*24+DF33)*60+DG33)*60+DH33</f>
        <v>90</v>
      </c>
      <c r="DE33" s="103"/>
      <c r="DF33" s="103"/>
      <c r="DG33" s="103">
        <v>1</v>
      </c>
      <c r="DH33" s="103">
        <v>30</v>
      </c>
      <c r="DI33" s="5">
        <v>20</v>
      </c>
      <c r="DJ33" s="172">
        <v>2</v>
      </c>
      <c r="DK33" s="104"/>
      <c r="DL33" s="104">
        <f ca="1">IFERROR(OFFSET(ITEM_RES!$A$5,MATCH(DM33,ITEM_RES!$M$5:$M$84,0)-1,0),0)</f>
        <v>220000101</v>
      </c>
      <c r="DM33" s="103" t="s">
        <v>573</v>
      </c>
      <c r="DN33" s="102">
        <v>100</v>
      </c>
      <c r="DO33" s="104"/>
      <c r="DP33" s="104">
        <f ca="1">IFERROR(OFFSET(ITEM_RES!$A$5,MATCH(DQ33,ITEM_RES!$M$5:$M$84,0)-1,0),0)</f>
        <v>220000201</v>
      </c>
      <c r="DQ33" s="103" t="s">
        <v>591</v>
      </c>
      <c r="DR33" s="102">
        <v>100</v>
      </c>
      <c r="DS33" s="104"/>
      <c r="DT33" s="104"/>
      <c r="DU33" s="103"/>
      <c r="DV33" s="102"/>
      <c r="DW33" s="104"/>
      <c r="DX33" s="104"/>
      <c r="DY33" s="103"/>
      <c r="DZ33" s="102"/>
      <c r="EA33" s="104"/>
      <c r="EB33" s="104"/>
      <c r="EC33" s="103"/>
      <c r="ED33" s="102"/>
      <c r="EE33" s="236"/>
      <c r="EF33" s="5">
        <v>50</v>
      </c>
    </row>
    <row r="34" spans="1:136" s="3" customFormat="1" ht="17.25" thickBot="1" x14ac:dyDescent="0.2">
      <c r="A34" s="86"/>
      <c r="B34" s="65">
        <f t="shared" ref="B34" si="133">IF(C34=1,D34,)</f>
        <v>0</v>
      </c>
      <c r="C34" s="86"/>
      <c r="D34" s="3">
        <f t="shared" ref="D34" si="134">E34*10000000+F34*1000000+G34*10000+H34*100+I34</f>
        <v>21130103</v>
      </c>
      <c r="E34" s="4">
        <v>2</v>
      </c>
      <c r="F34" s="65">
        <f t="shared" si="0"/>
        <v>1</v>
      </c>
      <c r="G34" s="65">
        <f t="shared" si="1"/>
        <v>13</v>
      </c>
      <c r="H34" s="86">
        <v>1</v>
      </c>
      <c r="I34" s="65">
        <f t="shared" si="2"/>
        <v>3</v>
      </c>
      <c r="J34" s="236"/>
      <c r="K34" s="5">
        <v>1</v>
      </c>
      <c r="L34" s="65">
        <f t="shared" ref="L34" si="135">M34*10+N34</f>
        <v>13</v>
      </c>
      <c r="M34" s="5">
        <v>1</v>
      </c>
      <c r="N34" s="5">
        <v>3</v>
      </c>
      <c r="O34" s="190">
        <v>3</v>
      </c>
      <c r="P34" s="236"/>
      <c r="Q34" s="5" t="s">
        <v>1229</v>
      </c>
      <c r="R34" s="5" t="s">
        <v>995</v>
      </c>
      <c r="S34" s="4" t="s">
        <v>995</v>
      </c>
      <c r="T34" s="4"/>
      <c r="U34" s="78">
        <v>0</v>
      </c>
      <c r="V34" s="78">
        <v>1</v>
      </c>
      <c r="W34" s="5" t="s">
        <v>721</v>
      </c>
      <c r="X34" s="86" t="s">
        <v>1027</v>
      </c>
      <c r="Y34" s="86">
        <v>21130103</v>
      </c>
      <c r="Z34" s="61" t="str">
        <f t="shared" si="4"/>
        <v>UITexture/ShipHull/21130103.png</v>
      </c>
      <c r="AA34" s="78"/>
      <c r="AB34" s="190">
        <v>0</v>
      </c>
      <c r="AC34" s="190">
        <v>100</v>
      </c>
      <c r="AD34" s="236"/>
      <c r="AE34" s="190">
        <v>0</v>
      </c>
      <c r="AF34" s="190">
        <v>0</v>
      </c>
      <c r="AG34" s="190">
        <v>0</v>
      </c>
      <c r="AH34" s="190">
        <v>0</v>
      </c>
      <c r="AI34" s="190">
        <v>1</v>
      </c>
      <c r="AJ34" s="190">
        <v>0</v>
      </c>
      <c r="AK34" s="236"/>
      <c r="AL34" s="190">
        <v>0</v>
      </c>
      <c r="AM34" s="236"/>
      <c r="AN34" s="41"/>
      <c r="AO34" s="41"/>
      <c r="AP34" s="5">
        <v>1</v>
      </c>
      <c r="AQ34" s="4">
        <v>0</v>
      </c>
      <c r="AR34" s="4">
        <v>0</v>
      </c>
      <c r="AS34" s="4">
        <v>1</v>
      </c>
      <c r="AT34" s="5">
        <v>0</v>
      </c>
      <c r="AU34" s="5">
        <v>20</v>
      </c>
      <c r="AV34" s="5">
        <v>100</v>
      </c>
      <c r="AW34" s="236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37"/>
      <c r="BM34" s="5"/>
      <c r="BN34" s="5"/>
      <c r="BO34" s="5"/>
      <c r="BP34" s="236"/>
      <c r="BQ34" s="58"/>
      <c r="BR34" s="59"/>
      <c r="BS34" s="61"/>
      <c r="BT34" s="58"/>
      <c r="BU34" s="60"/>
      <c r="BV34" s="60"/>
      <c r="BW34" s="60"/>
      <c r="BX34" s="60"/>
      <c r="BY34" s="60"/>
      <c r="BZ34" s="61"/>
      <c r="CA34" s="61"/>
      <c r="CB34" s="61"/>
      <c r="CC34" s="61"/>
      <c r="CD34" s="59"/>
      <c r="CE34" s="59"/>
      <c r="CF34" s="59"/>
      <c r="CG34" s="59"/>
      <c r="CH34" s="61"/>
      <c r="CI34" s="61"/>
      <c r="CJ34" s="59"/>
      <c r="CK34" s="59"/>
      <c r="CL34" s="59"/>
      <c r="CM34" s="60"/>
      <c r="CN34" s="59"/>
      <c r="CO34" s="59"/>
      <c r="CP34" s="59"/>
      <c r="CQ34" s="236"/>
      <c r="CR34" s="37">
        <f>CT34/CU34</f>
        <v>1000</v>
      </c>
      <c r="CS34" s="5">
        <v>80000</v>
      </c>
      <c r="CT34" s="5">
        <v>10000</v>
      </c>
      <c r="CU34" s="5">
        <v>10</v>
      </c>
      <c r="CV34" s="236"/>
      <c r="CW34" s="5"/>
      <c r="CX34" s="5"/>
      <c r="CY34" s="5"/>
      <c r="CZ34" s="5"/>
      <c r="DA34" s="5"/>
      <c r="DB34" s="5"/>
      <c r="DC34" s="236"/>
      <c r="DD34" s="104">
        <f t="shared" ref="DD34" si="136">((DE34*24+DF34)*60+DG34)*60+DH34</f>
        <v>90</v>
      </c>
      <c r="DE34" s="103"/>
      <c r="DF34" s="103"/>
      <c r="DG34" s="103">
        <v>1</v>
      </c>
      <c r="DH34" s="103">
        <v>30</v>
      </c>
      <c r="DI34" s="5">
        <v>20</v>
      </c>
      <c r="DJ34" s="172">
        <v>2</v>
      </c>
      <c r="DK34" s="104"/>
      <c r="DL34" s="104">
        <f ca="1">IFERROR(OFFSET(ITEM_RES!$A$5,MATCH(DM34,ITEM_RES!$M$5:$M$84,0)-1,0),0)</f>
        <v>220000101</v>
      </c>
      <c r="DM34" s="103" t="s">
        <v>573</v>
      </c>
      <c r="DN34" s="102">
        <v>100</v>
      </c>
      <c r="DO34" s="104"/>
      <c r="DP34" s="104">
        <f ca="1">IFERROR(OFFSET(ITEM_RES!$A$5,MATCH(DQ34,ITEM_RES!$M$5:$M$84,0)-1,0),0)</f>
        <v>220000201</v>
      </c>
      <c r="DQ34" s="103" t="s">
        <v>591</v>
      </c>
      <c r="DR34" s="102">
        <v>100</v>
      </c>
      <c r="DS34" s="104"/>
      <c r="DT34" s="104"/>
      <c r="DU34" s="103"/>
      <c r="DV34" s="102"/>
      <c r="DW34" s="104"/>
      <c r="DX34" s="104"/>
      <c r="DY34" s="103"/>
      <c r="DZ34" s="102"/>
      <c r="EA34" s="104"/>
      <c r="EB34" s="104"/>
      <c r="EC34" s="103"/>
      <c r="ED34" s="102"/>
      <c r="EE34" s="236"/>
      <c r="EF34" s="5">
        <v>50</v>
      </c>
    </row>
    <row r="35" spans="1:136" s="9" customFormat="1" x14ac:dyDescent="0.15">
      <c r="A35" s="85"/>
      <c r="B35" s="64">
        <f t="shared" si="7"/>
        <v>0</v>
      </c>
      <c r="C35" s="85"/>
      <c r="D35" s="9">
        <f t="shared" si="8"/>
        <v>21210101</v>
      </c>
      <c r="E35" s="10">
        <v>2</v>
      </c>
      <c r="F35" s="64">
        <f t="shared" si="0"/>
        <v>1</v>
      </c>
      <c r="G35" s="64">
        <f t="shared" si="1"/>
        <v>21</v>
      </c>
      <c r="H35" s="85">
        <v>1</v>
      </c>
      <c r="I35" s="64">
        <f t="shared" si="2"/>
        <v>1</v>
      </c>
      <c r="J35" s="235"/>
      <c r="K35" s="11">
        <v>1</v>
      </c>
      <c r="L35" s="64">
        <f t="shared" si="9"/>
        <v>21</v>
      </c>
      <c r="M35" s="11">
        <v>2</v>
      </c>
      <c r="N35" s="11">
        <v>1</v>
      </c>
      <c r="O35" s="189">
        <v>1</v>
      </c>
      <c r="P35" s="235"/>
      <c r="Q35" s="11" t="s">
        <v>1229</v>
      </c>
      <c r="R35" s="11" t="s">
        <v>1035</v>
      </c>
      <c r="S35" s="10" t="s">
        <v>1056</v>
      </c>
      <c r="T35" s="10"/>
      <c r="U35" s="11">
        <v>1</v>
      </c>
      <c r="V35" s="11">
        <v>1</v>
      </c>
      <c r="W35" s="11" t="s">
        <v>1101</v>
      </c>
      <c r="X35" s="85" t="s">
        <v>1027</v>
      </c>
      <c r="Y35" s="85">
        <v>21210101</v>
      </c>
      <c r="Z35" s="213" t="str">
        <f t="shared" si="4"/>
        <v>UITexture/ShipHull/21210101.png</v>
      </c>
      <c r="AA35" s="11" t="s">
        <v>1039</v>
      </c>
      <c r="AB35" s="189">
        <v>4</v>
      </c>
      <c r="AC35" s="189">
        <v>100</v>
      </c>
      <c r="AD35" s="235"/>
      <c r="AE35" s="189">
        <v>0</v>
      </c>
      <c r="AF35" s="189">
        <v>0</v>
      </c>
      <c r="AG35" s="189">
        <v>0</v>
      </c>
      <c r="AH35" s="189">
        <v>0</v>
      </c>
      <c r="AI35" s="189">
        <v>0</v>
      </c>
      <c r="AJ35" s="189">
        <v>1</v>
      </c>
      <c r="AK35" s="235"/>
      <c r="AL35" s="189">
        <v>3</v>
      </c>
      <c r="AM35" s="235"/>
      <c r="AN35" s="40"/>
      <c r="AO35" s="40"/>
      <c r="AP35" s="11">
        <v>2</v>
      </c>
      <c r="AQ35" s="10">
        <v>1</v>
      </c>
      <c r="AR35" s="10">
        <v>0</v>
      </c>
      <c r="AS35" s="10">
        <v>0</v>
      </c>
      <c r="AT35" s="11">
        <v>0</v>
      </c>
      <c r="AU35" s="11">
        <v>50</v>
      </c>
      <c r="AV35" s="11">
        <v>100</v>
      </c>
      <c r="AW35" s="235"/>
      <c r="AX35" s="11">
        <v>1000</v>
      </c>
      <c r="AY35" s="11">
        <v>0</v>
      </c>
      <c r="AZ35" s="11">
        <v>500</v>
      </c>
      <c r="BA35" s="11">
        <v>5</v>
      </c>
      <c r="BB35" s="11">
        <v>0</v>
      </c>
      <c r="BC35" s="11">
        <v>0</v>
      </c>
      <c r="BD35" s="11">
        <v>0</v>
      </c>
      <c r="BE35" s="11">
        <v>0</v>
      </c>
      <c r="BF35" s="11">
        <v>100</v>
      </c>
      <c r="BG35" s="11">
        <v>100</v>
      </c>
      <c r="BH35" s="11">
        <v>100</v>
      </c>
      <c r="BI35" s="11">
        <v>100</v>
      </c>
      <c r="BJ35" s="11">
        <v>0</v>
      </c>
      <c r="BK35" s="11">
        <v>0</v>
      </c>
      <c r="BL35" s="38"/>
      <c r="BM35" s="11"/>
      <c r="BN35" s="11"/>
      <c r="BO35" s="11"/>
      <c r="BP35" s="235"/>
      <c r="BQ35" s="54"/>
      <c r="BR35" s="55"/>
      <c r="BS35" s="57"/>
      <c r="BT35" s="54"/>
      <c r="BU35" s="56"/>
      <c r="BV35" s="56"/>
      <c r="BW35" s="56"/>
      <c r="BX35" s="56"/>
      <c r="BY35" s="56"/>
      <c r="BZ35" s="57"/>
      <c r="CA35" s="57"/>
      <c r="CB35" s="57"/>
      <c r="CC35" s="57"/>
      <c r="CD35" s="55"/>
      <c r="CE35" s="55"/>
      <c r="CF35" s="55"/>
      <c r="CG35" s="55"/>
      <c r="CH35" s="57"/>
      <c r="CI35" s="57"/>
      <c r="CJ35" s="55"/>
      <c r="CK35" s="55"/>
      <c r="CL35" s="55"/>
      <c r="CM35" s="56"/>
      <c r="CN35" s="55"/>
      <c r="CO35" s="55"/>
      <c r="CP35" s="55"/>
      <c r="CQ35" s="235"/>
      <c r="CR35" s="38"/>
      <c r="CS35" s="11"/>
      <c r="CT35" s="11"/>
      <c r="CU35" s="11"/>
      <c r="CV35" s="235"/>
      <c r="CW35" s="11"/>
      <c r="CX35" s="11"/>
      <c r="CY35" s="11"/>
      <c r="CZ35" s="11"/>
      <c r="DA35" s="11"/>
      <c r="DB35" s="11"/>
      <c r="DC35" s="235"/>
      <c r="DD35" s="118">
        <f t="shared" si="3"/>
        <v>300</v>
      </c>
      <c r="DE35" s="117"/>
      <c r="DF35" s="117"/>
      <c r="DG35" s="117">
        <v>5</v>
      </c>
      <c r="DH35" s="117"/>
      <c r="DI35" s="11">
        <v>50</v>
      </c>
      <c r="DJ35" s="174">
        <v>2</v>
      </c>
      <c r="DK35" s="118"/>
      <c r="DL35" s="118">
        <f ca="1">IFERROR(OFFSET(ITEM_RES!$A$5,MATCH(DM35,ITEM_RES!$M$5:$M$84,0)-1,0),0)</f>
        <v>220000102</v>
      </c>
      <c r="DM35" s="117" t="s">
        <v>574</v>
      </c>
      <c r="DN35" s="116">
        <v>150</v>
      </c>
      <c r="DO35" s="118"/>
      <c r="DP35" s="118">
        <f ca="1">IFERROR(OFFSET(ITEM_RES!$A$5,MATCH(DQ35,ITEM_RES!$M$5:$M$84,0)-1,0),0)</f>
        <v>220000202</v>
      </c>
      <c r="DQ35" s="117" t="s">
        <v>592</v>
      </c>
      <c r="DR35" s="116">
        <v>150</v>
      </c>
      <c r="DS35" s="118"/>
      <c r="DT35" s="118"/>
      <c r="DU35" s="117"/>
      <c r="DV35" s="116"/>
      <c r="DW35" s="118"/>
      <c r="DX35" s="118"/>
      <c r="DY35" s="117"/>
      <c r="DZ35" s="116"/>
      <c r="EA35" s="118"/>
      <c r="EB35" s="118"/>
      <c r="EC35" s="117"/>
      <c r="ED35" s="116"/>
      <c r="EE35" s="235"/>
      <c r="EF35" s="11">
        <v>200</v>
      </c>
    </row>
    <row r="36" spans="1:136" s="3" customFormat="1" x14ac:dyDescent="0.15">
      <c r="A36" s="86"/>
      <c r="B36" s="65">
        <f t="shared" ref="B36" si="137">IF(C36=1,D36,)</f>
        <v>0</v>
      </c>
      <c r="C36" s="86"/>
      <c r="D36" s="3">
        <f t="shared" ref="D36" si="138">E36*10000000+F36*1000000+G36*10000+H36*100+I36</f>
        <v>21210102</v>
      </c>
      <c r="E36" s="4">
        <v>2</v>
      </c>
      <c r="F36" s="65">
        <f t="shared" si="0"/>
        <v>1</v>
      </c>
      <c r="G36" s="65">
        <f t="shared" si="1"/>
        <v>21</v>
      </c>
      <c r="H36" s="86">
        <v>1</v>
      </c>
      <c r="I36" s="65">
        <f t="shared" si="2"/>
        <v>2</v>
      </c>
      <c r="J36" s="236"/>
      <c r="K36" s="5">
        <v>1</v>
      </c>
      <c r="L36" s="65">
        <f t="shared" ref="L36" si="139">M36*10+N36</f>
        <v>21</v>
      </c>
      <c r="M36" s="5">
        <v>2</v>
      </c>
      <c r="N36" s="5">
        <v>1</v>
      </c>
      <c r="O36" s="190">
        <v>2</v>
      </c>
      <c r="P36" s="236"/>
      <c r="Q36" s="5" t="s">
        <v>1229</v>
      </c>
      <c r="R36" s="5" t="s">
        <v>1006</v>
      </c>
      <c r="S36" s="4" t="s">
        <v>1006</v>
      </c>
      <c r="T36" s="4"/>
      <c r="U36" s="5">
        <v>0</v>
      </c>
      <c r="V36" s="5">
        <v>1</v>
      </c>
      <c r="W36" s="5" t="s">
        <v>1101</v>
      </c>
      <c r="X36" s="86" t="s">
        <v>1027</v>
      </c>
      <c r="Y36" s="86">
        <v>21210102</v>
      </c>
      <c r="Z36" s="177" t="str">
        <f t="shared" si="4"/>
        <v>UITexture/ShipHull/21210102.png</v>
      </c>
      <c r="AA36" s="5"/>
      <c r="AB36" s="190">
        <v>0</v>
      </c>
      <c r="AC36" s="190">
        <v>100</v>
      </c>
      <c r="AD36" s="236"/>
      <c r="AE36" s="190">
        <v>0</v>
      </c>
      <c r="AF36" s="190">
        <v>0</v>
      </c>
      <c r="AG36" s="190">
        <v>0</v>
      </c>
      <c r="AH36" s="190">
        <v>0</v>
      </c>
      <c r="AI36" s="190">
        <v>0</v>
      </c>
      <c r="AJ36" s="190">
        <v>1</v>
      </c>
      <c r="AK36" s="236"/>
      <c r="AL36" s="190">
        <v>0</v>
      </c>
      <c r="AM36" s="236"/>
      <c r="AN36" s="41"/>
      <c r="AO36" s="41"/>
      <c r="AP36" s="5">
        <v>2</v>
      </c>
      <c r="AQ36" s="4">
        <v>1</v>
      </c>
      <c r="AR36" s="4">
        <v>0</v>
      </c>
      <c r="AS36" s="4">
        <v>0</v>
      </c>
      <c r="AT36" s="5">
        <v>0</v>
      </c>
      <c r="AU36" s="5">
        <v>50</v>
      </c>
      <c r="AV36" s="5">
        <v>100</v>
      </c>
      <c r="AW36" s="236"/>
      <c r="AX36" s="5">
        <v>1000</v>
      </c>
      <c r="AY36" s="5">
        <v>0</v>
      </c>
      <c r="AZ36" s="5">
        <v>500</v>
      </c>
      <c r="BA36" s="5">
        <v>5</v>
      </c>
      <c r="BB36" s="5">
        <v>0</v>
      </c>
      <c r="BC36" s="5">
        <v>0</v>
      </c>
      <c r="BD36" s="5">
        <v>0</v>
      </c>
      <c r="BE36" s="5">
        <v>0</v>
      </c>
      <c r="BF36" s="5">
        <v>100</v>
      </c>
      <c r="BG36" s="5">
        <v>100</v>
      </c>
      <c r="BH36" s="5">
        <v>100</v>
      </c>
      <c r="BI36" s="5">
        <v>100</v>
      </c>
      <c r="BJ36" s="5">
        <v>0</v>
      </c>
      <c r="BK36" s="5">
        <v>0</v>
      </c>
      <c r="BL36" s="37"/>
      <c r="BM36" s="5"/>
      <c r="BN36" s="5"/>
      <c r="BO36" s="5"/>
      <c r="BP36" s="236"/>
      <c r="BQ36" s="58"/>
      <c r="BR36" s="59"/>
      <c r="BS36" s="61"/>
      <c r="BT36" s="58"/>
      <c r="BU36" s="60"/>
      <c r="BV36" s="60"/>
      <c r="BW36" s="60"/>
      <c r="BX36" s="60"/>
      <c r="BY36" s="60"/>
      <c r="BZ36" s="61"/>
      <c r="CA36" s="61"/>
      <c r="CB36" s="61"/>
      <c r="CC36" s="61"/>
      <c r="CD36" s="59"/>
      <c r="CE36" s="59"/>
      <c r="CF36" s="59"/>
      <c r="CG36" s="59"/>
      <c r="CH36" s="61"/>
      <c r="CI36" s="61"/>
      <c r="CJ36" s="59"/>
      <c r="CK36" s="59"/>
      <c r="CL36" s="59"/>
      <c r="CM36" s="60"/>
      <c r="CN36" s="59"/>
      <c r="CO36" s="59"/>
      <c r="CP36" s="59"/>
      <c r="CQ36" s="236"/>
      <c r="CR36" s="37"/>
      <c r="CS36" s="5"/>
      <c r="CT36" s="5"/>
      <c r="CU36" s="5"/>
      <c r="CV36" s="236"/>
      <c r="CW36" s="5"/>
      <c r="CX36" s="5"/>
      <c r="CY36" s="5"/>
      <c r="CZ36" s="5"/>
      <c r="DA36" s="5"/>
      <c r="DB36" s="5"/>
      <c r="DC36" s="236"/>
      <c r="DD36" s="104">
        <f t="shared" ref="DD36" si="140">((DE36*24+DF36)*60+DG36)*60+DH36</f>
        <v>60</v>
      </c>
      <c r="DE36" s="103"/>
      <c r="DF36" s="103"/>
      <c r="DG36" s="103">
        <v>1</v>
      </c>
      <c r="DH36" s="103"/>
      <c r="DI36" s="5">
        <v>50</v>
      </c>
      <c r="DJ36" s="172">
        <v>2</v>
      </c>
      <c r="DK36" s="104"/>
      <c r="DL36" s="104">
        <f ca="1">IFERROR(OFFSET(ITEM_RES!$A$5,MATCH(DM36,ITEM_RES!$M$5:$M$84,0)-1,0),0)</f>
        <v>220000101</v>
      </c>
      <c r="DM36" s="103" t="s">
        <v>573</v>
      </c>
      <c r="DN36" s="102">
        <v>100</v>
      </c>
      <c r="DO36" s="104"/>
      <c r="DP36" s="104">
        <f ca="1">IFERROR(OFFSET(ITEM_RES!$A$5,MATCH(DQ36,ITEM_RES!$M$5:$M$84,0)-1,0),0)</f>
        <v>220000201</v>
      </c>
      <c r="DQ36" s="103" t="s">
        <v>591</v>
      </c>
      <c r="DR36" s="102">
        <v>100</v>
      </c>
      <c r="DS36" s="104"/>
      <c r="DT36" s="104"/>
      <c r="DU36" s="103"/>
      <c r="DV36" s="102"/>
      <c r="DW36" s="104"/>
      <c r="DX36" s="104"/>
      <c r="DY36" s="103"/>
      <c r="DZ36" s="102"/>
      <c r="EA36" s="104"/>
      <c r="EB36" s="104"/>
      <c r="EC36" s="103"/>
      <c r="ED36" s="102"/>
      <c r="EE36" s="236"/>
      <c r="EF36" s="5">
        <v>200</v>
      </c>
    </row>
    <row r="37" spans="1:136" s="3" customFormat="1" x14ac:dyDescent="0.15">
      <c r="A37" s="86"/>
      <c r="B37" s="65">
        <f t="shared" ref="B37" si="141">IF(C37=1,D37,)</f>
        <v>0</v>
      </c>
      <c r="C37" s="86"/>
      <c r="D37" s="3">
        <f t="shared" ref="D37" si="142">E37*10000000+F37*1000000+G37*10000+H37*100+I37</f>
        <v>21210103</v>
      </c>
      <c r="E37" s="4">
        <v>2</v>
      </c>
      <c r="F37" s="65">
        <f t="shared" si="0"/>
        <v>1</v>
      </c>
      <c r="G37" s="65">
        <f t="shared" si="1"/>
        <v>21</v>
      </c>
      <c r="H37" s="86">
        <v>1</v>
      </c>
      <c r="I37" s="65">
        <f t="shared" si="2"/>
        <v>3</v>
      </c>
      <c r="J37" s="236"/>
      <c r="K37" s="5">
        <v>1</v>
      </c>
      <c r="L37" s="65">
        <f t="shared" ref="L37" si="143">M37*10+N37</f>
        <v>21</v>
      </c>
      <c r="M37" s="5">
        <v>2</v>
      </c>
      <c r="N37" s="5">
        <v>1</v>
      </c>
      <c r="O37" s="190">
        <v>3</v>
      </c>
      <c r="P37" s="236"/>
      <c r="Q37" s="5" t="s">
        <v>1229</v>
      </c>
      <c r="R37" s="5" t="s">
        <v>1007</v>
      </c>
      <c r="S37" s="4" t="s">
        <v>1007</v>
      </c>
      <c r="T37" s="4"/>
      <c r="U37" s="5">
        <v>0</v>
      </c>
      <c r="V37" s="5">
        <v>1</v>
      </c>
      <c r="W37" s="5" t="s">
        <v>1101</v>
      </c>
      <c r="X37" s="86" t="s">
        <v>1027</v>
      </c>
      <c r="Y37" s="86">
        <v>21210103</v>
      </c>
      <c r="Z37" s="177" t="str">
        <f t="shared" si="4"/>
        <v>UITexture/ShipHull/21210103.png</v>
      </c>
      <c r="AA37" s="5"/>
      <c r="AB37" s="190">
        <v>0</v>
      </c>
      <c r="AC37" s="190">
        <v>100</v>
      </c>
      <c r="AD37" s="236"/>
      <c r="AE37" s="190">
        <v>0</v>
      </c>
      <c r="AF37" s="190">
        <v>0</v>
      </c>
      <c r="AG37" s="190">
        <v>0</v>
      </c>
      <c r="AH37" s="190">
        <v>0</v>
      </c>
      <c r="AI37" s="190">
        <v>0</v>
      </c>
      <c r="AJ37" s="190">
        <v>1</v>
      </c>
      <c r="AK37" s="236"/>
      <c r="AL37" s="190">
        <v>0</v>
      </c>
      <c r="AM37" s="236"/>
      <c r="AN37" s="41"/>
      <c r="AO37" s="41"/>
      <c r="AP37" s="5">
        <v>2</v>
      </c>
      <c r="AQ37" s="4">
        <v>1</v>
      </c>
      <c r="AR37" s="4">
        <v>0</v>
      </c>
      <c r="AS37" s="4">
        <v>0</v>
      </c>
      <c r="AT37" s="5">
        <v>0</v>
      </c>
      <c r="AU37" s="5">
        <v>50</v>
      </c>
      <c r="AV37" s="5">
        <v>100</v>
      </c>
      <c r="AW37" s="236"/>
      <c r="AX37" s="5">
        <v>1000</v>
      </c>
      <c r="AY37" s="5">
        <v>0</v>
      </c>
      <c r="AZ37" s="5">
        <v>500</v>
      </c>
      <c r="BA37" s="5">
        <v>5</v>
      </c>
      <c r="BB37" s="5">
        <v>0</v>
      </c>
      <c r="BC37" s="5">
        <v>0</v>
      </c>
      <c r="BD37" s="5">
        <v>0</v>
      </c>
      <c r="BE37" s="5">
        <v>0</v>
      </c>
      <c r="BF37" s="5">
        <v>100</v>
      </c>
      <c r="BG37" s="5">
        <v>100</v>
      </c>
      <c r="BH37" s="5">
        <v>100</v>
      </c>
      <c r="BI37" s="5">
        <v>100</v>
      </c>
      <c r="BJ37" s="5">
        <v>0</v>
      </c>
      <c r="BK37" s="5">
        <v>0</v>
      </c>
      <c r="BL37" s="37"/>
      <c r="BM37" s="5"/>
      <c r="BN37" s="5"/>
      <c r="BO37" s="5"/>
      <c r="BP37" s="236"/>
      <c r="BQ37" s="58"/>
      <c r="BR37" s="59"/>
      <c r="BS37" s="61"/>
      <c r="BT37" s="58"/>
      <c r="BU37" s="60"/>
      <c r="BV37" s="60"/>
      <c r="BW37" s="60"/>
      <c r="BX37" s="60"/>
      <c r="BY37" s="60"/>
      <c r="BZ37" s="61"/>
      <c r="CA37" s="61"/>
      <c r="CB37" s="61"/>
      <c r="CC37" s="61"/>
      <c r="CD37" s="59"/>
      <c r="CE37" s="59"/>
      <c r="CF37" s="59"/>
      <c r="CG37" s="59"/>
      <c r="CH37" s="61"/>
      <c r="CI37" s="61"/>
      <c r="CJ37" s="59"/>
      <c r="CK37" s="59"/>
      <c r="CL37" s="59"/>
      <c r="CM37" s="60"/>
      <c r="CN37" s="59"/>
      <c r="CO37" s="59"/>
      <c r="CP37" s="59"/>
      <c r="CQ37" s="236"/>
      <c r="CR37" s="37"/>
      <c r="CS37" s="5"/>
      <c r="CT37" s="5"/>
      <c r="CU37" s="5"/>
      <c r="CV37" s="236"/>
      <c r="CW37" s="5"/>
      <c r="CX37" s="5"/>
      <c r="CY37" s="5"/>
      <c r="CZ37" s="5"/>
      <c r="DA37" s="5"/>
      <c r="DB37" s="5"/>
      <c r="DC37" s="236"/>
      <c r="DD37" s="104">
        <f t="shared" ref="DD37" si="144">((DE37*24+DF37)*60+DG37)*60+DH37</f>
        <v>60</v>
      </c>
      <c r="DE37" s="103"/>
      <c r="DF37" s="103"/>
      <c r="DG37" s="103">
        <v>1</v>
      </c>
      <c r="DH37" s="103"/>
      <c r="DI37" s="5">
        <v>50</v>
      </c>
      <c r="DJ37" s="172">
        <v>2</v>
      </c>
      <c r="DK37" s="104"/>
      <c r="DL37" s="104">
        <f ca="1">IFERROR(OFFSET(ITEM_RES!$A$5,MATCH(DM37,ITEM_RES!$M$5:$M$84,0)-1,0),0)</f>
        <v>220000101</v>
      </c>
      <c r="DM37" s="103" t="s">
        <v>573</v>
      </c>
      <c r="DN37" s="102">
        <v>100</v>
      </c>
      <c r="DO37" s="104"/>
      <c r="DP37" s="104">
        <f ca="1">IFERROR(OFFSET(ITEM_RES!$A$5,MATCH(DQ37,ITEM_RES!$M$5:$M$84,0)-1,0),0)</f>
        <v>220000201</v>
      </c>
      <c r="DQ37" s="103" t="s">
        <v>591</v>
      </c>
      <c r="DR37" s="102">
        <v>100</v>
      </c>
      <c r="DS37" s="104"/>
      <c r="DT37" s="104"/>
      <c r="DU37" s="103"/>
      <c r="DV37" s="102"/>
      <c r="DW37" s="104"/>
      <c r="DX37" s="104"/>
      <c r="DY37" s="103"/>
      <c r="DZ37" s="102"/>
      <c r="EA37" s="104"/>
      <c r="EB37" s="104"/>
      <c r="EC37" s="103"/>
      <c r="ED37" s="102"/>
      <c r="EE37" s="236"/>
      <c r="EF37" s="5">
        <v>200</v>
      </c>
    </row>
    <row r="38" spans="1:136" s="3" customFormat="1" x14ac:dyDescent="0.15">
      <c r="A38" s="86"/>
      <c r="B38" s="65">
        <f t="shared" ref="B38" si="145">IF(C38=1,D38,)</f>
        <v>0</v>
      </c>
      <c r="C38" s="86"/>
      <c r="D38" s="3">
        <f t="shared" ref="D38" si="146">E38*10000000+F38*1000000+G38*10000+H38*100+I38</f>
        <v>21220101</v>
      </c>
      <c r="E38" s="4">
        <v>2</v>
      </c>
      <c r="F38" s="65">
        <f t="shared" si="0"/>
        <v>1</v>
      </c>
      <c r="G38" s="65">
        <f t="shared" si="1"/>
        <v>22</v>
      </c>
      <c r="H38" s="86">
        <v>1</v>
      </c>
      <c r="I38" s="65">
        <f t="shared" si="2"/>
        <v>1</v>
      </c>
      <c r="J38" s="236"/>
      <c r="K38" s="5">
        <v>1</v>
      </c>
      <c r="L38" s="65">
        <f t="shared" ref="L38" si="147">M38*10+N38</f>
        <v>22</v>
      </c>
      <c r="M38" s="5">
        <v>2</v>
      </c>
      <c r="N38" s="5">
        <v>2</v>
      </c>
      <c r="O38" s="190">
        <v>1</v>
      </c>
      <c r="P38" s="236"/>
      <c r="Q38" s="5" t="s">
        <v>1229</v>
      </c>
      <c r="R38" s="5" t="s">
        <v>1111</v>
      </c>
      <c r="S38" s="4" t="s">
        <v>1104</v>
      </c>
      <c r="T38" s="4"/>
      <c r="U38" s="5">
        <v>1</v>
      </c>
      <c r="V38" s="5">
        <v>1</v>
      </c>
      <c r="W38" s="5" t="s">
        <v>1102</v>
      </c>
      <c r="X38" s="86" t="s">
        <v>1027</v>
      </c>
      <c r="Y38" s="86">
        <v>21220101</v>
      </c>
      <c r="Z38" s="177" t="str">
        <f t="shared" si="4"/>
        <v>UITexture/ShipHull/21220101.png</v>
      </c>
      <c r="AA38" s="5" t="s">
        <v>1112</v>
      </c>
      <c r="AB38" s="190">
        <v>5</v>
      </c>
      <c r="AC38" s="190">
        <v>100</v>
      </c>
      <c r="AD38" s="236"/>
      <c r="AE38" s="190">
        <v>0</v>
      </c>
      <c r="AF38" s="190">
        <v>0</v>
      </c>
      <c r="AG38" s="190">
        <v>1</v>
      </c>
      <c r="AH38" s="190">
        <v>1</v>
      </c>
      <c r="AI38" s="190">
        <v>1</v>
      </c>
      <c r="AJ38" s="190">
        <v>1</v>
      </c>
      <c r="AK38" s="236"/>
      <c r="AL38" s="190">
        <v>3</v>
      </c>
      <c r="AM38" s="236"/>
      <c r="AN38" s="41"/>
      <c r="AO38" s="41"/>
      <c r="AP38" s="5">
        <v>2</v>
      </c>
      <c r="AQ38" s="4">
        <v>1</v>
      </c>
      <c r="AR38" s="4">
        <v>0</v>
      </c>
      <c r="AS38" s="4">
        <v>0</v>
      </c>
      <c r="AT38" s="5">
        <v>0</v>
      </c>
      <c r="AU38" s="5">
        <v>50</v>
      </c>
      <c r="AV38" s="5">
        <v>100</v>
      </c>
      <c r="AW38" s="236"/>
      <c r="AX38" s="5">
        <v>1000</v>
      </c>
      <c r="AY38" s="5">
        <v>0</v>
      </c>
      <c r="AZ38" s="5">
        <v>500</v>
      </c>
      <c r="BA38" s="5">
        <v>5</v>
      </c>
      <c r="BB38" s="5">
        <v>0</v>
      </c>
      <c r="BC38" s="5">
        <v>0</v>
      </c>
      <c r="BD38" s="5">
        <v>0</v>
      </c>
      <c r="BE38" s="5">
        <v>0</v>
      </c>
      <c r="BF38" s="5">
        <v>100</v>
      </c>
      <c r="BG38" s="5">
        <v>100</v>
      </c>
      <c r="BH38" s="5">
        <v>100</v>
      </c>
      <c r="BI38" s="5">
        <v>100</v>
      </c>
      <c r="BJ38" s="5">
        <v>0</v>
      </c>
      <c r="BK38" s="5">
        <v>0</v>
      </c>
      <c r="BL38" s="37"/>
      <c r="BM38" s="5"/>
      <c r="BN38" s="5"/>
      <c r="BO38" s="5"/>
      <c r="BP38" s="236"/>
      <c r="BQ38" s="58"/>
      <c r="BR38" s="59"/>
      <c r="BS38" s="61"/>
      <c r="BT38" s="58"/>
      <c r="BU38" s="60"/>
      <c r="BV38" s="60"/>
      <c r="BW38" s="60"/>
      <c r="BX38" s="60"/>
      <c r="BY38" s="60"/>
      <c r="BZ38" s="61"/>
      <c r="CA38" s="61"/>
      <c r="CB38" s="61"/>
      <c r="CC38" s="61"/>
      <c r="CD38" s="59"/>
      <c r="CE38" s="59"/>
      <c r="CF38" s="59"/>
      <c r="CG38" s="59"/>
      <c r="CH38" s="61"/>
      <c r="CI38" s="61"/>
      <c r="CJ38" s="59"/>
      <c r="CK38" s="59"/>
      <c r="CL38" s="59"/>
      <c r="CM38" s="60"/>
      <c r="CN38" s="59"/>
      <c r="CO38" s="59"/>
      <c r="CP38" s="59"/>
      <c r="CQ38" s="236"/>
      <c r="CR38" s="37"/>
      <c r="CS38" s="5"/>
      <c r="CT38" s="5"/>
      <c r="CU38" s="5"/>
      <c r="CV38" s="236"/>
      <c r="CW38" s="5"/>
      <c r="CX38" s="5"/>
      <c r="CY38" s="5"/>
      <c r="CZ38" s="5"/>
      <c r="DA38" s="5"/>
      <c r="DB38" s="5"/>
      <c r="DC38" s="236"/>
      <c r="DD38" s="104">
        <f t="shared" ref="DD38" si="148">((DE38*24+DF38)*60+DG38)*60+DH38</f>
        <v>600</v>
      </c>
      <c r="DE38" s="103"/>
      <c r="DF38" s="103"/>
      <c r="DG38" s="103">
        <v>10</v>
      </c>
      <c r="DH38" s="103"/>
      <c r="DI38" s="5">
        <v>100</v>
      </c>
      <c r="DJ38" s="172">
        <v>2</v>
      </c>
      <c r="DK38" s="104"/>
      <c r="DL38" s="104">
        <f ca="1">IFERROR(OFFSET(ITEM_RES!$A$5,MATCH(DM38,ITEM_RES!$M$5:$M$84,0)-1,0),0)</f>
        <v>220000102</v>
      </c>
      <c r="DM38" s="103" t="s">
        <v>574</v>
      </c>
      <c r="DN38" s="102">
        <v>300</v>
      </c>
      <c r="DO38" s="104"/>
      <c r="DP38" s="104">
        <f ca="1">IFERROR(OFFSET(ITEM_RES!$A$5,MATCH(DQ38,ITEM_RES!$M$5:$M$84,0)-1,0),0)</f>
        <v>220000202</v>
      </c>
      <c r="DQ38" s="103" t="s">
        <v>592</v>
      </c>
      <c r="DR38" s="102">
        <v>300</v>
      </c>
      <c r="DS38" s="104"/>
      <c r="DT38" s="104"/>
      <c r="DU38" s="103"/>
      <c r="DV38" s="102"/>
      <c r="DW38" s="104"/>
      <c r="DX38" s="104"/>
      <c r="DY38" s="103"/>
      <c r="DZ38" s="102"/>
      <c r="EA38" s="104"/>
      <c r="EB38" s="104"/>
      <c r="EC38" s="103"/>
      <c r="ED38" s="102"/>
      <c r="EE38" s="236"/>
      <c r="EF38" s="5">
        <v>200</v>
      </c>
    </row>
    <row r="39" spans="1:136" s="3" customFormat="1" x14ac:dyDescent="0.15">
      <c r="A39" s="86"/>
      <c r="B39" s="65">
        <f t="shared" ref="B39" si="149">IF(C39=1,D39,)</f>
        <v>0</v>
      </c>
      <c r="C39" s="86"/>
      <c r="D39" s="3">
        <f t="shared" ref="D39" si="150">E39*10000000+F39*1000000+G39*10000+H39*100+I39</f>
        <v>21220102</v>
      </c>
      <c r="E39" s="4">
        <v>2</v>
      </c>
      <c r="F39" s="65">
        <f t="shared" si="0"/>
        <v>1</v>
      </c>
      <c r="G39" s="65">
        <f t="shared" si="1"/>
        <v>22</v>
      </c>
      <c r="H39" s="86">
        <v>1</v>
      </c>
      <c r="I39" s="65">
        <f t="shared" si="2"/>
        <v>2</v>
      </c>
      <c r="J39" s="236"/>
      <c r="K39" s="5">
        <v>1</v>
      </c>
      <c r="L39" s="65">
        <f t="shared" ref="L39" si="151">M39*10+N39</f>
        <v>22</v>
      </c>
      <c r="M39" s="5">
        <v>2</v>
      </c>
      <c r="N39" s="5">
        <v>2</v>
      </c>
      <c r="O39" s="190">
        <v>2</v>
      </c>
      <c r="P39" s="236"/>
      <c r="Q39" s="5" t="s">
        <v>1229</v>
      </c>
      <c r="R39" s="5" t="s">
        <v>1008</v>
      </c>
      <c r="S39" s="4" t="s">
        <v>1105</v>
      </c>
      <c r="T39" s="4"/>
      <c r="U39" s="5">
        <v>0</v>
      </c>
      <c r="V39" s="5">
        <v>1</v>
      </c>
      <c r="W39" s="5" t="s">
        <v>1102</v>
      </c>
      <c r="X39" s="86" t="s">
        <v>1027</v>
      </c>
      <c r="Y39" s="86">
        <v>21220102</v>
      </c>
      <c r="Z39" s="177" t="str">
        <f t="shared" si="4"/>
        <v>UITexture/ShipHull/21220102.png</v>
      </c>
      <c r="AA39" s="5"/>
      <c r="AB39" s="190">
        <v>0</v>
      </c>
      <c r="AC39" s="190">
        <v>100</v>
      </c>
      <c r="AD39" s="236"/>
      <c r="AE39" s="190">
        <v>0</v>
      </c>
      <c r="AF39" s="190">
        <v>0</v>
      </c>
      <c r="AG39" s="190">
        <v>1</v>
      </c>
      <c r="AH39" s="190">
        <v>1</v>
      </c>
      <c r="AI39" s="190">
        <v>1</v>
      </c>
      <c r="AJ39" s="190">
        <v>1</v>
      </c>
      <c r="AK39" s="236"/>
      <c r="AL39" s="190">
        <v>0</v>
      </c>
      <c r="AM39" s="236"/>
      <c r="AN39" s="41"/>
      <c r="AO39" s="41"/>
      <c r="AP39" s="5">
        <v>2</v>
      </c>
      <c r="AQ39" s="4">
        <v>1</v>
      </c>
      <c r="AR39" s="4">
        <v>0</v>
      </c>
      <c r="AS39" s="4">
        <v>0</v>
      </c>
      <c r="AT39" s="5">
        <v>0</v>
      </c>
      <c r="AU39" s="5">
        <v>50</v>
      </c>
      <c r="AV39" s="5">
        <v>100</v>
      </c>
      <c r="AW39" s="236"/>
      <c r="AX39" s="5">
        <v>1000</v>
      </c>
      <c r="AY39" s="5">
        <v>0</v>
      </c>
      <c r="AZ39" s="5">
        <v>500</v>
      </c>
      <c r="BA39" s="5">
        <v>5</v>
      </c>
      <c r="BB39" s="5">
        <v>0</v>
      </c>
      <c r="BC39" s="5">
        <v>0</v>
      </c>
      <c r="BD39" s="5">
        <v>0</v>
      </c>
      <c r="BE39" s="5">
        <v>0</v>
      </c>
      <c r="BF39" s="5">
        <v>100</v>
      </c>
      <c r="BG39" s="5">
        <v>100</v>
      </c>
      <c r="BH39" s="5">
        <v>100</v>
      </c>
      <c r="BI39" s="5">
        <v>100</v>
      </c>
      <c r="BJ39" s="5">
        <v>0</v>
      </c>
      <c r="BK39" s="5">
        <v>0</v>
      </c>
      <c r="BL39" s="37"/>
      <c r="BM39" s="5"/>
      <c r="BN39" s="5"/>
      <c r="BO39" s="5"/>
      <c r="BP39" s="236"/>
      <c r="BQ39" s="58"/>
      <c r="BR39" s="59"/>
      <c r="BS39" s="61"/>
      <c r="BT39" s="58"/>
      <c r="BU39" s="60"/>
      <c r="BV39" s="60"/>
      <c r="BW39" s="60"/>
      <c r="BX39" s="60"/>
      <c r="BY39" s="60"/>
      <c r="BZ39" s="61"/>
      <c r="CA39" s="61"/>
      <c r="CB39" s="61"/>
      <c r="CC39" s="61"/>
      <c r="CD39" s="59"/>
      <c r="CE39" s="59"/>
      <c r="CF39" s="59"/>
      <c r="CG39" s="59"/>
      <c r="CH39" s="61"/>
      <c r="CI39" s="61"/>
      <c r="CJ39" s="59"/>
      <c r="CK39" s="59"/>
      <c r="CL39" s="59"/>
      <c r="CM39" s="60"/>
      <c r="CN39" s="59"/>
      <c r="CO39" s="59"/>
      <c r="CP39" s="59"/>
      <c r="CQ39" s="236"/>
      <c r="CR39" s="37"/>
      <c r="CS39" s="5"/>
      <c r="CT39" s="5"/>
      <c r="CU39" s="5"/>
      <c r="CV39" s="236"/>
      <c r="CW39" s="5"/>
      <c r="CX39" s="5"/>
      <c r="CY39" s="5"/>
      <c r="CZ39" s="5"/>
      <c r="DA39" s="5"/>
      <c r="DB39" s="5"/>
      <c r="DC39" s="236"/>
      <c r="DD39" s="104">
        <f t="shared" ref="DD39" si="152">((DE39*24+DF39)*60+DG39)*60+DH39</f>
        <v>60</v>
      </c>
      <c r="DE39" s="103"/>
      <c r="DF39" s="103"/>
      <c r="DG39" s="103">
        <v>1</v>
      </c>
      <c r="DH39" s="103"/>
      <c r="DI39" s="5">
        <v>100</v>
      </c>
      <c r="DJ39" s="172">
        <v>2</v>
      </c>
      <c r="DK39" s="104"/>
      <c r="DL39" s="104">
        <f ca="1">IFERROR(OFFSET(ITEM_RES!$A$5,MATCH(DM39,ITEM_RES!$M$5:$M$84,0)-1,0),0)</f>
        <v>220000101</v>
      </c>
      <c r="DM39" s="103" t="s">
        <v>573</v>
      </c>
      <c r="DN39" s="102">
        <v>100</v>
      </c>
      <c r="DO39" s="104"/>
      <c r="DP39" s="104">
        <f ca="1">IFERROR(OFFSET(ITEM_RES!$A$5,MATCH(DQ39,ITEM_RES!$M$5:$M$84,0)-1,0),0)</f>
        <v>220000201</v>
      </c>
      <c r="DQ39" s="103" t="s">
        <v>591</v>
      </c>
      <c r="DR39" s="102">
        <v>100</v>
      </c>
      <c r="DS39" s="104"/>
      <c r="DT39" s="104"/>
      <c r="DU39" s="103"/>
      <c r="DV39" s="102"/>
      <c r="DW39" s="104"/>
      <c r="DX39" s="104"/>
      <c r="DY39" s="103"/>
      <c r="DZ39" s="102"/>
      <c r="EA39" s="104"/>
      <c r="EB39" s="104"/>
      <c r="EC39" s="103"/>
      <c r="ED39" s="102"/>
      <c r="EE39" s="236"/>
      <c r="EF39" s="5">
        <v>200</v>
      </c>
    </row>
    <row r="40" spans="1:136" s="3" customFormat="1" x14ac:dyDescent="0.15">
      <c r="A40" s="86"/>
      <c r="B40" s="65">
        <f t="shared" ref="B40:B42" si="153">IF(C40=1,D40,)</f>
        <v>0</v>
      </c>
      <c r="C40" s="86"/>
      <c r="D40" s="3">
        <f t="shared" ref="D40:D42" si="154">E40*10000000+F40*1000000+G40*10000+H40*100+I40</f>
        <v>21220103</v>
      </c>
      <c r="E40" s="4">
        <v>2</v>
      </c>
      <c r="F40" s="65">
        <f t="shared" si="0"/>
        <v>1</v>
      </c>
      <c r="G40" s="65">
        <f t="shared" si="1"/>
        <v>22</v>
      </c>
      <c r="H40" s="86">
        <v>1</v>
      </c>
      <c r="I40" s="65">
        <f t="shared" si="2"/>
        <v>3</v>
      </c>
      <c r="J40" s="236"/>
      <c r="K40" s="5">
        <v>1</v>
      </c>
      <c r="L40" s="65">
        <f t="shared" ref="L40:L42" si="155">M40*10+N40</f>
        <v>22</v>
      </c>
      <c r="M40" s="5">
        <v>2</v>
      </c>
      <c r="N40" s="5">
        <v>2</v>
      </c>
      <c r="O40" s="190">
        <v>3</v>
      </c>
      <c r="P40" s="236"/>
      <c r="Q40" s="5" t="s">
        <v>1229</v>
      </c>
      <c r="R40" s="5" t="s">
        <v>1009</v>
      </c>
      <c r="S40" s="4" t="s">
        <v>1106</v>
      </c>
      <c r="T40" s="4"/>
      <c r="U40" s="5">
        <v>0</v>
      </c>
      <c r="V40" s="5">
        <v>1</v>
      </c>
      <c r="W40" s="5" t="s">
        <v>1102</v>
      </c>
      <c r="X40" s="86" t="s">
        <v>1027</v>
      </c>
      <c r="Y40" s="86">
        <v>21220103</v>
      </c>
      <c r="Z40" s="177" t="str">
        <f t="shared" si="4"/>
        <v>UITexture/ShipHull/21220103.png</v>
      </c>
      <c r="AA40" s="5"/>
      <c r="AB40" s="190">
        <v>0</v>
      </c>
      <c r="AC40" s="190">
        <v>100</v>
      </c>
      <c r="AD40" s="236"/>
      <c r="AE40" s="190">
        <v>0</v>
      </c>
      <c r="AF40" s="190">
        <v>0</v>
      </c>
      <c r="AG40" s="190">
        <v>1</v>
      </c>
      <c r="AH40" s="190">
        <v>1</v>
      </c>
      <c r="AI40" s="190">
        <v>1</v>
      </c>
      <c r="AJ40" s="190">
        <v>1</v>
      </c>
      <c r="AK40" s="236"/>
      <c r="AL40" s="190">
        <v>0</v>
      </c>
      <c r="AM40" s="236"/>
      <c r="AN40" s="41"/>
      <c r="AO40" s="41"/>
      <c r="AP40" s="5">
        <v>2</v>
      </c>
      <c r="AQ40" s="4">
        <v>1</v>
      </c>
      <c r="AR40" s="4">
        <v>0</v>
      </c>
      <c r="AS40" s="4">
        <v>0</v>
      </c>
      <c r="AT40" s="5">
        <v>0</v>
      </c>
      <c r="AU40" s="5">
        <v>50</v>
      </c>
      <c r="AV40" s="5">
        <v>100</v>
      </c>
      <c r="AW40" s="236"/>
      <c r="AX40" s="5">
        <v>1000</v>
      </c>
      <c r="AY40" s="5">
        <v>0</v>
      </c>
      <c r="AZ40" s="5">
        <v>500</v>
      </c>
      <c r="BA40" s="5">
        <v>5</v>
      </c>
      <c r="BB40" s="5">
        <v>0</v>
      </c>
      <c r="BC40" s="5">
        <v>0</v>
      </c>
      <c r="BD40" s="5">
        <v>0</v>
      </c>
      <c r="BE40" s="5">
        <v>0</v>
      </c>
      <c r="BF40" s="5">
        <v>100</v>
      </c>
      <c r="BG40" s="5">
        <v>100</v>
      </c>
      <c r="BH40" s="5">
        <v>100</v>
      </c>
      <c r="BI40" s="5">
        <v>100</v>
      </c>
      <c r="BJ40" s="5">
        <v>0</v>
      </c>
      <c r="BK40" s="5">
        <v>0</v>
      </c>
      <c r="BL40" s="37"/>
      <c r="BM40" s="5"/>
      <c r="BN40" s="5"/>
      <c r="BO40" s="5"/>
      <c r="BP40" s="236"/>
      <c r="BQ40" s="58"/>
      <c r="BR40" s="59"/>
      <c r="BS40" s="61"/>
      <c r="BT40" s="58"/>
      <c r="BU40" s="60"/>
      <c r="BV40" s="60"/>
      <c r="BW40" s="60"/>
      <c r="BX40" s="60"/>
      <c r="BY40" s="60"/>
      <c r="BZ40" s="61"/>
      <c r="CA40" s="61"/>
      <c r="CB40" s="61"/>
      <c r="CC40" s="61"/>
      <c r="CD40" s="59"/>
      <c r="CE40" s="59"/>
      <c r="CF40" s="59"/>
      <c r="CG40" s="59"/>
      <c r="CH40" s="61"/>
      <c r="CI40" s="61"/>
      <c r="CJ40" s="59"/>
      <c r="CK40" s="59"/>
      <c r="CL40" s="59"/>
      <c r="CM40" s="60"/>
      <c r="CN40" s="59"/>
      <c r="CO40" s="59"/>
      <c r="CP40" s="59"/>
      <c r="CQ40" s="236"/>
      <c r="CR40" s="37"/>
      <c r="CS40" s="5"/>
      <c r="CT40" s="5"/>
      <c r="CU40" s="5"/>
      <c r="CV40" s="236"/>
      <c r="CW40" s="5"/>
      <c r="CX40" s="5"/>
      <c r="CY40" s="5"/>
      <c r="CZ40" s="5"/>
      <c r="DA40" s="5"/>
      <c r="DB40" s="5"/>
      <c r="DC40" s="236"/>
      <c r="DD40" s="104">
        <f t="shared" ref="DD40:DD42" si="156">((DE40*24+DF40)*60+DG40)*60+DH40</f>
        <v>60</v>
      </c>
      <c r="DE40" s="103"/>
      <c r="DF40" s="103"/>
      <c r="DG40" s="103">
        <v>1</v>
      </c>
      <c r="DH40" s="103"/>
      <c r="DI40" s="5">
        <v>100</v>
      </c>
      <c r="DJ40" s="172">
        <v>2</v>
      </c>
      <c r="DK40" s="104"/>
      <c r="DL40" s="104">
        <f ca="1">IFERROR(OFFSET(ITEM_RES!$A$5,MATCH(DM40,ITEM_RES!$M$5:$M$84,0)-1,0),0)</f>
        <v>220000101</v>
      </c>
      <c r="DM40" s="103" t="s">
        <v>573</v>
      </c>
      <c r="DN40" s="102">
        <v>100</v>
      </c>
      <c r="DO40" s="104"/>
      <c r="DP40" s="104">
        <f ca="1">IFERROR(OFFSET(ITEM_RES!$A$5,MATCH(DQ40,ITEM_RES!$M$5:$M$84,0)-1,0),0)</f>
        <v>220000201</v>
      </c>
      <c r="DQ40" s="103" t="s">
        <v>591</v>
      </c>
      <c r="DR40" s="102">
        <v>100</v>
      </c>
      <c r="DS40" s="104"/>
      <c r="DT40" s="104"/>
      <c r="DU40" s="103"/>
      <c r="DV40" s="102"/>
      <c r="DW40" s="104"/>
      <c r="DX40" s="104"/>
      <c r="DY40" s="103"/>
      <c r="DZ40" s="102"/>
      <c r="EA40" s="104"/>
      <c r="EB40" s="104"/>
      <c r="EC40" s="103"/>
      <c r="ED40" s="102"/>
      <c r="EE40" s="236"/>
      <c r="EF40" s="5">
        <v>200</v>
      </c>
    </row>
    <row r="41" spans="1:136" s="3" customFormat="1" x14ac:dyDescent="0.15">
      <c r="A41" s="86"/>
      <c r="B41" s="65">
        <f t="shared" si="153"/>
        <v>0</v>
      </c>
      <c r="C41" s="86"/>
      <c r="D41" s="3">
        <f t="shared" si="154"/>
        <v>21220201</v>
      </c>
      <c r="E41" s="4">
        <v>2</v>
      </c>
      <c r="F41" s="65">
        <f t="shared" ref="F41:F43" si="157">K41</f>
        <v>1</v>
      </c>
      <c r="G41" s="65">
        <f t="shared" ref="G41:G43" si="158">L41</f>
        <v>22</v>
      </c>
      <c r="H41" s="86">
        <v>2</v>
      </c>
      <c r="I41" s="65">
        <f t="shared" ref="I41:I43" si="159">O41</f>
        <v>1</v>
      </c>
      <c r="J41" s="236"/>
      <c r="K41" s="5">
        <v>1</v>
      </c>
      <c r="L41" s="65">
        <f t="shared" si="155"/>
        <v>22</v>
      </c>
      <c r="M41" s="5">
        <v>2</v>
      </c>
      <c r="N41" s="5">
        <v>2</v>
      </c>
      <c r="O41" s="190">
        <v>1</v>
      </c>
      <c r="P41" s="236"/>
      <c r="Q41" s="5" t="s">
        <v>1229</v>
      </c>
      <c r="R41" s="5" t="s">
        <v>1114</v>
      </c>
      <c r="S41" s="4" t="s">
        <v>1107</v>
      </c>
      <c r="T41" s="4"/>
      <c r="U41" s="5">
        <v>1</v>
      </c>
      <c r="V41" s="5">
        <v>1</v>
      </c>
      <c r="W41" s="5" t="s">
        <v>1110</v>
      </c>
      <c r="X41" s="86" t="s">
        <v>1027</v>
      </c>
      <c r="Y41" s="86">
        <v>21220201</v>
      </c>
      <c r="Z41" s="177" t="str">
        <f t="shared" ref="Z41:Z43" si="160">CONCATENATE(X41,Y41,".png")</f>
        <v>UITexture/ShipHull/21220201.png</v>
      </c>
      <c r="AA41" s="5" t="s">
        <v>1113</v>
      </c>
      <c r="AB41" s="190">
        <v>6</v>
      </c>
      <c r="AC41" s="190">
        <v>100</v>
      </c>
      <c r="AD41" s="236"/>
      <c r="AE41" s="190">
        <v>0</v>
      </c>
      <c r="AF41" s="190">
        <v>0</v>
      </c>
      <c r="AG41" s="190">
        <v>1</v>
      </c>
      <c r="AH41" s="190">
        <v>1</v>
      </c>
      <c r="AI41" s="190">
        <v>1</v>
      </c>
      <c r="AJ41" s="190">
        <v>1</v>
      </c>
      <c r="AK41" s="236"/>
      <c r="AL41" s="190">
        <v>3</v>
      </c>
      <c r="AM41" s="236"/>
      <c r="AN41" s="41"/>
      <c r="AO41" s="41"/>
      <c r="AP41" s="5">
        <v>2</v>
      </c>
      <c r="AQ41" s="4">
        <v>1</v>
      </c>
      <c r="AR41" s="4">
        <v>0</v>
      </c>
      <c r="AS41" s="4">
        <v>0</v>
      </c>
      <c r="AT41" s="5">
        <v>0</v>
      </c>
      <c r="AU41" s="5">
        <v>50</v>
      </c>
      <c r="AV41" s="5">
        <v>100</v>
      </c>
      <c r="AW41" s="236"/>
      <c r="AX41" s="5">
        <v>1000</v>
      </c>
      <c r="AY41" s="5">
        <v>0</v>
      </c>
      <c r="AZ41" s="5">
        <v>500</v>
      </c>
      <c r="BA41" s="5">
        <v>5</v>
      </c>
      <c r="BB41" s="5">
        <v>0</v>
      </c>
      <c r="BC41" s="5">
        <v>0</v>
      </c>
      <c r="BD41" s="5">
        <v>0</v>
      </c>
      <c r="BE41" s="5">
        <v>0</v>
      </c>
      <c r="BF41" s="5">
        <v>100</v>
      </c>
      <c r="BG41" s="5">
        <v>100</v>
      </c>
      <c r="BH41" s="5">
        <v>100</v>
      </c>
      <c r="BI41" s="5">
        <v>100</v>
      </c>
      <c r="BJ41" s="5">
        <v>0</v>
      </c>
      <c r="BK41" s="5">
        <v>0</v>
      </c>
      <c r="BL41" s="37"/>
      <c r="BM41" s="5"/>
      <c r="BN41" s="5"/>
      <c r="BO41" s="5"/>
      <c r="BP41" s="236"/>
      <c r="BQ41" s="58"/>
      <c r="BR41" s="59"/>
      <c r="BS41" s="61"/>
      <c r="BT41" s="58"/>
      <c r="BU41" s="60"/>
      <c r="BV41" s="60"/>
      <c r="BW41" s="60"/>
      <c r="BX41" s="60"/>
      <c r="BY41" s="60"/>
      <c r="BZ41" s="61"/>
      <c r="CA41" s="61"/>
      <c r="CB41" s="61"/>
      <c r="CC41" s="61"/>
      <c r="CD41" s="59"/>
      <c r="CE41" s="59"/>
      <c r="CF41" s="59"/>
      <c r="CG41" s="59"/>
      <c r="CH41" s="61"/>
      <c r="CI41" s="61"/>
      <c r="CJ41" s="59"/>
      <c r="CK41" s="59"/>
      <c r="CL41" s="59"/>
      <c r="CM41" s="60"/>
      <c r="CN41" s="59"/>
      <c r="CO41" s="59"/>
      <c r="CP41" s="59"/>
      <c r="CQ41" s="236"/>
      <c r="CR41" s="37"/>
      <c r="CS41" s="5"/>
      <c r="CT41" s="5"/>
      <c r="CU41" s="5"/>
      <c r="CV41" s="236"/>
      <c r="CW41" s="5"/>
      <c r="CX41" s="5"/>
      <c r="CY41" s="5"/>
      <c r="CZ41" s="5"/>
      <c r="DA41" s="5"/>
      <c r="DB41" s="5"/>
      <c r="DC41" s="236"/>
      <c r="DD41" s="104">
        <f t="shared" si="156"/>
        <v>600</v>
      </c>
      <c r="DE41" s="103"/>
      <c r="DF41" s="103"/>
      <c r="DG41" s="103">
        <v>10</v>
      </c>
      <c r="DH41" s="103"/>
      <c r="DI41" s="5">
        <v>100</v>
      </c>
      <c r="DJ41" s="172">
        <v>2</v>
      </c>
      <c r="DK41" s="104"/>
      <c r="DL41" s="104">
        <f ca="1">IFERROR(OFFSET(ITEM_RES!$A$5,MATCH(DM41,ITEM_RES!$M$5:$M$84,0)-1,0),0)</f>
        <v>220000102</v>
      </c>
      <c r="DM41" s="103" t="s">
        <v>574</v>
      </c>
      <c r="DN41" s="102">
        <v>400</v>
      </c>
      <c r="DO41" s="104"/>
      <c r="DP41" s="104">
        <f ca="1">IFERROR(OFFSET(ITEM_RES!$A$5,MATCH(DQ41,ITEM_RES!$M$5:$M$84,0)-1,0),0)</f>
        <v>220000202</v>
      </c>
      <c r="DQ41" s="103" t="s">
        <v>592</v>
      </c>
      <c r="DR41" s="102">
        <v>400</v>
      </c>
      <c r="DS41" s="104"/>
      <c r="DT41" s="104"/>
      <c r="DU41" s="103"/>
      <c r="DV41" s="102"/>
      <c r="DW41" s="104"/>
      <c r="DX41" s="104"/>
      <c r="DY41" s="103"/>
      <c r="DZ41" s="102"/>
      <c r="EA41" s="104"/>
      <c r="EB41" s="104"/>
      <c r="EC41" s="103"/>
      <c r="ED41" s="102"/>
      <c r="EE41" s="236"/>
      <c r="EF41" s="5">
        <v>200</v>
      </c>
    </row>
    <row r="42" spans="1:136" s="3" customFormat="1" x14ac:dyDescent="0.15">
      <c r="A42" s="86"/>
      <c r="B42" s="65">
        <f t="shared" si="153"/>
        <v>0</v>
      </c>
      <c r="C42" s="86"/>
      <c r="D42" s="3">
        <f t="shared" si="154"/>
        <v>21220202</v>
      </c>
      <c r="E42" s="4">
        <v>2</v>
      </c>
      <c r="F42" s="65">
        <f t="shared" si="157"/>
        <v>1</v>
      </c>
      <c r="G42" s="65">
        <f t="shared" si="158"/>
        <v>22</v>
      </c>
      <c r="H42" s="86">
        <v>2</v>
      </c>
      <c r="I42" s="65">
        <f t="shared" si="159"/>
        <v>2</v>
      </c>
      <c r="J42" s="236"/>
      <c r="K42" s="5">
        <v>1</v>
      </c>
      <c r="L42" s="65">
        <f t="shared" si="155"/>
        <v>22</v>
      </c>
      <c r="M42" s="5">
        <v>2</v>
      </c>
      <c r="N42" s="5">
        <v>2</v>
      </c>
      <c r="O42" s="190">
        <v>2</v>
      </c>
      <c r="P42" s="236"/>
      <c r="Q42" s="5" t="s">
        <v>1229</v>
      </c>
      <c r="R42" s="5" t="s">
        <v>1008</v>
      </c>
      <c r="S42" s="4" t="s">
        <v>1108</v>
      </c>
      <c r="T42" s="4"/>
      <c r="U42" s="5">
        <v>0</v>
      </c>
      <c r="V42" s="5">
        <v>1</v>
      </c>
      <c r="W42" s="5" t="s">
        <v>1110</v>
      </c>
      <c r="X42" s="86" t="s">
        <v>1027</v>
      </c>
      <c r="Y42" s="86">
        <v>21220202</v>
      </c>
      <c r="Z42" s="177" t="str">
        <f t="shared" si="160"/>
        <v>UITexture/ShipHull/21220202.png</v>
      </c>
      <c r="AA42" s="5"/>
      <c r="AB42" s="190">
        <v>0</v>
      </c>
      <c r="AC42" s="190">
        <v>100</v>
      </c>
      <c r="AD42" s="236"/>
      <c r="AE42" s="190">
        <v>0</v>
      </c>
      <c r="AF42" s="190">
        <v>0</v>
      </c>
      <c r="AG42" s="190">
        <v>1</v>
      </c>
      <c r="AH42" s="190">
        <v>1</v>
      </c>
      <c r="AI42" s="190">
        <v>1</v>
      </c>
      <c r="AJ42" s="190">
        <v>1</v>
      </c>
      <c r="AK42" s="236"/>
      <c r="AL42" s="190">
        <v>0</v>
      </c>
      <c r="AM42" s="236"/>
      <c r="AN42" s="41"/>
      <c r="AO42" s="41"/>
      <c r="AP42" s="5">
        <v>2</v>
      </c>
      <c r="AQ42" s="4">
        <v>1</v>
      </c>
      <c r="AR42" s="4">
        <v>0</v>
      </c>
      <c r="AS42" s="4">
        <v>0</v>
      </c>
      <c r="AT42" s="5">
        <v>0</v>
      </c>
      <c r="AU42" s="5">
        <v>50</v>
      </c>
      <c r="AV42" s="5">
        <v>100</v>
      </c>
      <c r="AW42" s="236"/>
      <c r="AX42" s="5">
        <v>1000</v>
      </c>
      <c r="AY42" s="5">
        <v>0</v>
      </c>
      <c r="AZ42" s="5">
        <v>500</v>
      </c>
      <c r="BA42" s="5">
        <v>5</v>
      </c>
      <c r="BB42" s="5">
        <v>0</v>
      </c>
      <c r="BC42" s="5">
        <v>0</v>
      </c>
      <c r="BD42" s="5">
        <v>0</v>
      </c>
      <c r="BE42" s="5">
        <v>0</v>
      </c>
      <c r="BF42" s="5">
        <v>100</v>
      </c>
      <c r="BG42" s="5">
        <v>100</v>
      </c>
      <c r="BH42" s="5">
        <v>100</v>
      </c>
      <c r="BI42" s="5">
        <v>100</v>
      </c>
      <c r="BJ42" s="5">
        <v>0</v>
      </c>
      <c r="BK42" s="5">
        <v>0</v>
      </c>
      <c r="BL42" s="37"/>
      <c r="BM42" s="5"/>
      <c r="BN42" s="5"/>
      <c r="BO42" s="5"/>
      <c r="BP42" s="236"/>
      <c r="BQ42" s="58"/>
      <c r="BR42" s="59"/>
      <c r="BS42" s="61"/>
      <c r="BT42" s="58"/>
      <c r="BU42" s="60"/>
      <c r="BV42" s="60"/>
      <c r="BW42" s="60"/>
      <c r="BX42" s="60"/>
      <c r="BY42" s="60"/>
      <c r="BZ42" s="61"/>
      <c r="CA42" s="61"/>
      <c r="CB42" s="61"/>
      <c r="CC42" s="61"/>
      <c r="CD42" s="59"/>
      <c r="CE42" s="59"/>
      <c r="CF42" s="59"/>
      <c r="CG42" s="59"/>
      <c r="CH42" s="61"/>
      <c r="CI42" s="61"/>
      <c r="CJ42" s="59"/>
      <c r="CK42" s="59"/>
      <c r="CL42" s="59"/>
      <c r="CM42" s="60"/>
      <c r="CN42" s="59"/>
      <c r="CO42" s="59"/>
      <c r="CP42" s="59"/>
      <c r="CQ42" s="236"/>
      <c r="CR42" s="37"/>
      <c r="CS42" s="5"/>
      <c r="CT42" s="5"/>
      <c r="CU42" s="5"/>
      <c r="CV42" s="236"/>
      <c r="CW42" s="5"/>
      <c r="CX42" s="5"/>
      <c r="CY42" s="5"/>
      <c r="CZ42" s="5"/>
      <c r="DA42" s="5"/>
      <c r="DB42" s="5"/>
      <c r="DC42" s="236"/>
      <c r="DD42" s="104">
        <f t="shared" si="156"/>
        <v>60</v>
      </c>
      <c r="DE42" s="103"/>
      <c r="DF42" s="103"/>
      <c r="DG42" s="103">
        <v>1</v>
      </c>
      <c r="DH42" s="103"/>
      <c r="DI42" s="5">
        <v>100</v>
      </c>
      <c r="DJ42" s="172">
        <v>2</v>
      </c>
      <c r="DK42" s="104"/>
      <c r="DL42" s="104">
        <f ca="1">IFERROR(OFFSET(ITEM_RES!$A$5,MATCH(DM42,ITEM_RES!$M$5:$M$84,0)-1,0),0)</f>
        <v>220000101</v>
      </c>
      <c r="DM42" s="103" t="s">
        <v>573</v>
      </c>
      <c r="DN42" s="102">
        <v>100</v>
      </c>
      <c r="DO42" s="104"/>
      <c r="DP42" s="104">
        <f ca="1">IFERROR(OFFSET(ITEM_RES!$A$5,MATCH(DQ42,ITEM_RES!$M$5:$M$84,0)-1,0),0)</f>
        <v>220000201</v>
      </c>
      <c r="DQ42" s="103" t="s">
        <v>591</v>
      </c>
      <c r="DR42" s="102">
        <v>100</v>
      </c>
      <c r="DS42" s="104"/>
      <c r="DT42" s="104"/>
      <c r="DU42" s="103"/>
      <c r="DV42" s="102"/>
      <c r="DW42" s="104"/>
      <c r="DX42" s="104"/>
      <c r="DY42" s="103"/>
      <c r="DZ42" s="102"/>
      <c r="EA42" s="104"/>
      <c r="EB42" s="104"/>
      <c r="EC42" s="103"/>
      <c r="ED42" s="102"/>
      <c r="EE42" s="236"/>
      <c r="EF42" s="5">
        <v>200</v>
      </c>
    </row>
    <row r="43" spans="1:136" s="3" customFormat="1" x14ac:dyDescent="0.15">
      <c r="A43" s="86"/>
      <c r="B43" s="65">
        <f t="shared" ref="B43" si="161">IF(C43=1,D43,)</f>
        <v>0</v>
      </c>
      <c r="C43" s="86"/>
      <c r="D43" s="3">
        <f t="shared" ref="D43" si="162">E43*10000000+F43*1000000+G43*10000+H43*100+I43</f>
        <v>21220203</v>
      </c>
      <c r="E43" s="4">
        <v>2</v>
      </c>
      <c r="F43" s="65">
        <f t="shared" si="157"/>
        <v>1</v>
      </c>
      <c r="G43" s="65">
        <f t="shared" si="158"/>
        <v>22</v>
      </c>
      <c r="H43" s="86">
        <v>2</v>
      </c>
      <c r="I43" s="65">
        <f t="shared" si="159"/>
        <v>3</v>
      </c>
      <c r="J43" s="236"/>
      <c r="K43" s="5">
        <v>1</v>
      </c>
      <c r="L43" s="65">
        <f t="shared" ref="L43" si="163">M43*10+N43</f>
        <v>22</v>
      </c>
      <c r="M43" s="5">
        <v>2</v>
      </c>
      <c r="N43" s="5">
        <v>2</v>
      </c>
      <c r="O43" s="190">
        <v>3</v>
      </c>
      <c r="P43" s="236"/>
      <c r="Q43" s="5" t="s">
        <v>1229</v>
      </c>
      <c r="R43" s="5" t="s">
        <v>1009</v>
      </c>
      <c r="S43" s="4" t="s">
        <v>1109</v>
      </c>
      <c r="T43" s="4"/>
      <c r="U43" s="5">
        <v>0</v>
      </c>
      <c r="V43" s="5">
        <v>1</v>
      </c>
      <c r="W43" s="5" t="s">
        <v>1110</v>
      </c>
      <c r="X43" s="86" t="s">
        <v>1027</v>
      </c>
      <c r="Y43" s="86">
        <v>21220203</v>
      </c>
      <c r="Z43" s="177" t="str">
        <f t="shared" si="160"/>
        <v>UITexture/ShipHull/21220203.png</v>
      </c>
      <c r="AA43" s="5"/>
      <c r="AB43" s="190">
        <v>0</v>
      </c>
      <c r="AC43" s="190">
        <v>100</v>
      </c>
      <c r="AD43" s="236"/>
      <c r="AE43" s="190">
        <v>0</v>
      </c>
      <c r="AF43" s="190">
        <v>0</v>
      </c>
      <c r="AG43" s="190">
        <v>1</v>
      </c>
      <c r="AH43" s="190">
        <v>1</v>
      </c>
      <c r="AI43" s="190">
        <v>1</v>
      </c>
      <c r="AJ43" s="190">
        <v>1</v>
      </c>
      <c r="AK43" s="236"/>
      <c r="AL43" s="190">
        <v>0</v>
      </c>
      <c r="AM43" s="236"/>
      <c r="AN43" s="41"/>
      <c r="AO43" s="41"/>
      <c r="AP43" s="5">
        <v>2</v>
      </c>
      <c r="AQ43" s="4">
        <v>1</v>
      </c>
      <c r="AR43" s="4">
        <v>0</v>
      </c>
      <c r="AS43" s="4">
        <v>0</v>
      </c>
      <c r="AT43" s="5">
        <v>0</v>
      </c>
      <c r="AU43" s="5">
        <v>50</v>
      </c>
      <c r="AV43" s="5">
        <v>100</v>
      </c>
      <c r="AW43" s="236"/>
      <c r="AX43" s="5">
        <v>1000</v>
      </c>
      <c r="AY43" s="5">
        <v>0</v>
      </c>
      <c r="AZ43" s="5">
        <v>500</v>
      </c>
      <c r="BA43" s="5">
        <v>5</v>
      </c>
      <c r="BB43" s="5">
        <v>0</v>
      </c>
      <c r="BC43" s="5">
        <v>0</v>
      </c>
      <c r="BD43" s="5">
        <v>0</v>
      </c>
      <c r="BE43" s="5">
        <v>0</v>
      </c>
      <c r="BF43" s="5">
        <v>100</v>
      </c>
      <c r="BG43" s="5">
        <v>100</v>
      </c>
      <c r="BH43" s="5">
        <v>100</v>
      </c>
      <c r="BI43" s="5">
        <v>100</v>
      </c>
      <c r="BJ43" s="5">
        <v>0</v>
      </c>
      <c r="BK43" s="5">
        <v>0</v>
      </c>
      <c r="BL43" s="37"/>
      <c r="BM43" s="5"/>
      <c r="BN43" s="5"/>
      <c r="BO43" s="5"/>
      <c r="BP43" s="236"/>
      <c r="BQ43" s="58"/>
      <c r="BR43" s="59"/>
      <c r="BS43" s="61"/>
      <c r="BT43" s="58"/>
      <c r="BU43" s="60"/>
      <c r="BV43" s="60"/>
      <c r="BW43" s="60"/>
      <c r="BX43" s="60"/>
      <c r="BY43" s="60"/>
      <c r="BZ43" s="61"/>
      <c r="CA43" s="61"/>
      <c r="CB43" s="61"/>
      <c r="CC43" s="61"/>
      <c r="CD43" s="59"/>
      <c r="CE43" s="59"/>
      <c r="CF43" s="59"/>
      <c r="CG43" s="59"/>
      <c r="CH43" s="61"/>
      <c r="CI43" s="61"/>
      <c r="CJ43" s="59"/>
      <c r="CK43" s="59"/>
      <c r="CL43" s="59"/>
      <c r="CM43" s="60"/>
      <c r="CN43" s="59"/>
      <c r="CO43" s="59"/>
      <c r="CP43" s="59"/>
      <c r="CQ43" s="236"/>
      <c r="CR43" s="37"/>
      <c r="CS43" s="5"/>
      <c r="CT43" s="5"/>
      <c r="CU43" s="5"/>
      <c r="CV43" s="236"/>
      <c r="CW43" s="5"/>
      <c r="CX43" s="5"/>
      <c r="CY43" s="5"/>
      <c r="CZ43" s="5"/>
      <c r="DA43" s="5"/>
      <c r="DB43" s="5"/>
      <c r="DC43" s="236"/>
      <c r="DD43" s="104">
        <f t="shared" ref="DD43" si="164">((DE43*24+DF43)*60+DG43)*60+DH43</f>
        <v>60</v>
      </c>
      <c r="DE43" s="103"/>
      <c r="DF43" s="103"/>
      <c r="DG43" s="103">
        <v>1</v>
      </c>
      <c r="DH43" s="103"/>
      <c r="DI43" s="5">
        <v>100</v>
      </c>
      <c r="DJ43" s="172">
        <v>2</v>
      </c>
      <c r="DK43" s="104"/>
      <c r="DL43" s="104">
        <f ca="1">IFERROR(OFFSET(ITEM_RES!$A$5,MATCH(DM43,ITEM_RES!$M$5:$M$84,0)-1,0),0)</f>
        <v>220000101</v>
      </c>
      <c r="DM43" s="103" t="s">
        <v>573</v>
      </c>
      <c r="DN43" s="102">
        <v>100</v>
      </c>
      <c r="DO43" s="104"/>
      <c r="DP43" s="104">
        <f ca="1">IFERROR(OFFSET(ITEM_RES!$A$5,MATCH(DQ43,ITEM_RES!$M$5:$M$84,0)-1,0),0)</f>
        <v>220000201</v>
      </c>
      <c r="DQ43" s="103" t="s">
        <v>591</v>
      </c>
      <c r="DR43" s="102">
        <v>100</v>
      </c>
      <c r="DS43" s="104"/>
      <c r="DT43" s="104"/>
      <c r="DU43" s="103"/>
      <c r="DV43" s="102"/>
      <c r="DW43" s="104"/>
      <c r="DX43" s="104"/>
      <c r="DY43" s="103"/>
      <c r="DZ43" s="102"/>
      <c r="EA43" s="104"/>
      <c r="EB43" s="104"/>
      <c r="EC43" s="103"/>
      <c r="ED43" s="102"/>
      <c r="EE43" s="236"/>
      <c r="EF43" s="5">
        <v>200</v>
      </c>
    </row>
    <row r="44" spans="1:136" s="3" customFormat="1" x14ac:dyDescent="0.15">
      <c r="A44" s="86"/>
      <c r="B44" s="65">
        <f t="shared" si="7"/>
        <v>0</v>
      </c>
      <c r="C44" s="86"/>
      <c r="D44" s="3">
        <f t="shared" si="8"/>
        <v>21230101</v>
      </c>
      <c r="E44" s="4">
        <v>2</v>
      </c>
      <c r="F44" s="65">
        <f t="shared" si="0"/>
        <v>1</v>
      </c>
      <c r="G44" s="65">
        <f t="shared" si="1"/>
        <v>23</v>
      </c>
      <c r="H44" s="86">
        <v>1</v>
      </c>
      <c r="I44" s="65">
        <f t="shared" si="2"/>
        <v>1</v>
      </c>
      <c r="J44" s="236"/>
      <c r="K44" s="5">
        <v>1</v>
      </c>
      <c r="L44" s="65">
        <f t="shared" si="9"/>
        <v>23</v>
      </c>
      <c r="M44" s="5">
        <v>2</v>
      </c>
      <c r="N44" s="5">
        <v>3</v>
      </c>
      <c r="O44" s="190">
        <v>1</v>
      </c>
      <c r="P44" s="236"/>
      <c r="Q44" s="5" t="s">
        <v>1229</v>
      </c>
      <c r="R44" s="5" t="s">
        <v>1036</v>
      </c>
      <c r="S44" s="4" t="s">
        <v>1057</v>
      </c>
      <c r="T44" s="4"/>
      <c r="U44" s="5">
        <v>1</v>
      </c>
      <c r="V44" s="5">
        <v>1</v>
      </c>
      <c r="W44" s="5" t="s">
        <v>1103</v>
      </c>
      <c r="X44" s="86" t="s">
        <v>1027</v>
      </c>
      <c r="Y44" s="86">
        <v>21230101</v>
      </c>
      <c r="Z44" s="177" t="str">
        <f t="shared" si="4"/>
        <v>UITexture/ShipHull/21230101.png</v>
      </c>
      <c r="AA44" s="5" t="s">
        <v>1040</v>
      </c>
      <c r="AB44" s="190">
        <v>7</v>
      </c>
      <c r="AC44" s="190">
        <v>100</v>
      </c>
      <c r="AD44" s="236"/>
      <c r="AE44" s="190">
        <v>0</v>
      </c>
      <c r="AF44" s="190">
        <v>0</v>
      </c>
      <c r="AG44" s="190">
        <v>0</v>
      </c>
      <c r="AH44" s="190">
        <v>0</v>
      </c>
      <c r="AI44" s="190">
        <v>1</v>
      </c>
      <c r="AJ44" s="190">
        <v>0</v>
      </c>
      <c r="AK44" s="236"/>
      <c r="AL44" s="190">
        <v>3</v>
      </c>
      <c r="AM44" s="236"/>
      <c r="AN44" s="41"/>
      <c r="AO44" s="41"/>
      <c r="AP44" s="5">
        <v>2</v>
      </c>
      <c r="AQ44" s="4">
        <v>0</v>
      </c>
      <c r="AR44" s="4">
        <v>0</v>
      </c>
      <c r="AS44" s="4">
        <v>1</v>
      </c>
      <c r="AT44" s="5">
        <v>0</v>
      </c>
      <c r="AU44" s="5">
        <v>50</v>
      </c>
      <c r="AV44" s="5">
        <v>100</v>
      </c>
      <c r="AW44" s="236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37"/>
      <c r="BM44" s="5"/>
      <c r="BN44" s="5"/>
      <c r="BO44" s="5"/>
      <c r="BP44" s="236"/>
      <c r="BQ44" s="58"/>
      <c r="BR44" s="59"/>
      <c r="BS44" s="61"/>
      <c r="BT44" s="58"/>
      <c r="BU44" s="60"/>
      <c r="BV44" s="60"/>
      <c r="BW44" s="60"/>
      <c r="BX44" s="60"/>
      <c r="BY44" s="60"/>
      <c r="BZ44" s="61"/>
      <c r="CA44" s="61"/>
      <c r="CB44" s="61"/>
      <c r="CC44" s="61"/>
      <c r="CD44" s="59"/>
      <c r="CE44" s="59"/>
      <c r="CF44" s="59"/>
      <c r="CG44" s="59"/>
      <c r="CH44" s="61"/>
      <c r="CI44" s="61"/>
      <c r="CJ44" s="59"/>
      <c r="CK44" s="59"/>
      <c r="CL44" s="59"/>
      <c r="CM44" s="60"/>
      <c r="CN44" s="59"/>
      <c r="CO44" s="59"/>
      <c r="CP44" s="59"/>
      <c r="CQ44" s="236"/>
      <c r="CR44" s="37">
        <v>1000</v>
      </c>
      <c r="CS44" s="5">
        <v>50000</v>
      </c>
      <c r="CT44" s="5">
        <v>10000</v>
      </c>
      <c r="CU44" s="5">
        <v>10</v>
      </c>
      <c r="CV44" s="236"/>
      <c r="CW44" s="5"/>
      <c r="CX44" s="5"/>
      <c r="CY44" s="5"/>
      <c r="CZ44" s="5"/>
      <c r="DA44" s="5"/>
      <c r="DB44" s="5"/>
      <c r="DC44" s="236"/>
      <c r="DD44" s="104">
        <f t="shared" si="3"/>
        <v>300</v>
      </c>
      <c r="DE44" s="103"/>
      <c r="DF44" s="103"/>
      <c r="DG44" s="103">
        <v>5</v>
      </c>
      <c r="DH44" s="103"/>
      <c r="DI44" s="5">
        <v>50</v>
      </c>
      <c r="DJ44" s="172">
        <v>2</v>
      </c>
      <c r="DK44" s="104"/>
      <c r="DL44" s="104">
        <f ca="1">IFERROR(OFFSET(ITEM_RES!$A$5,MATCH(DM44,ITEM_RES!$M$5:$M$84,0)-1,0),0)</f>
        <v>220000102</v>
      </c>
      <c r="DM44" s="103" t="s">
        <v>574</v>
      </c>
      <c r="DN44" s="102">
        <v>150</v>
      </c>
      <c r="DO44" s="104"/>
      <c r="DP44" s="104">
        <f ca="1">IFERROR(OFFSET(ITEM_RES!$A$5,MATCH(DQ44,ITEM_RES!$M$5:$M$84,0)-1,0),0)</f>
        <v>220000202</v>
      </c>
      <c r="DQ44" s="103" t="s">
        <v>592</v>
      </c>
      <c r="DR44" s="102">
        <v>150</v>
      </c>
      <c r="DS44" s="104"/>
      <c r="DT44" s="104"/>
      <c r="DU44" s="103"/>
      <c r="DV44" s="102"/>
      <c r="DW44" s="104"/>
      <c r="DX44" s="104"/>
      <c r="DY44" s="103"/>
      <c r="DZ44" s="102"/>
      <c r="EA44" s="104"/>
      <c r="EB44" s="104"/>
      <c r="EC44" s="103"/>
      <c r="ED44" s="102"/>
      <c r="EE44" s="236"/>
      <c r="EF44" s="5">
        <v>200</v>
      </c>
    </row>
    <row r="45" spans="1:136" s="3" customFormat="1" x14ac:dyDescent="0.15">
      <c r="A45" s="86"/>
      <c r="B45" s="65">
        <f t="shared" ref="B45" si="165">IF(C45=1,D45,)</f>
        <v>0</v>
      </c>
      <c r="C45" s="86"/>
      <c r="D45" s="3">
        <f t="shared" ref="D45" si="166">E45*10000000+F45*1000000+G45*10000+H45*100+I45</f>
        <v>21230102</v>
      </c>
      <c r="E45" s="4">
        <v>2</v>
      </c>
      <c r="F45" s="65">
        <f t="shared" si="0"/>
        <v>1</v>
      </c>
      <c r="G45" s="65">
        <f t="shared" si="1"/>
        <v>23</v>
      </c>
      <c r="H45" s="86">
        <v>1</v>
      </c>
      <c r="I45" s="65">
        <f t="shared" si="2"/>
        <v>2</v>
      </c>
      <c r="J45" s="236"/>
      <c r="K45" s="5">
        <v>1</v>
      </c>
      <c r="L45" s="65">
        <f t="shared" ref="L45" si="167">M45*10+N45</f>
        <v>23</v>
      </c>
      <c r="M45" s="5">
        <v>2</v>
      </c>
      <c r="N45" s="5">
        <v>3</v>
      </c>
      <c r="O45" s="190">
        <v>2</v>
      </c>
      <c r="P45" s="236"/>
      <c r="Q45" s="5" t="s">
        <v>1229</v>
      </c>
      <c r="R45" s="5" t="s">
        <v>1004</v>
      </c>
      <c r="S45" s="4" t="s">
        <v>1004</v>
      </c>
      <c r="T45" s="4"/>
      <c r="U45" s="5">
        <v>0</v>
      </c>
      <c r="V45" s="5">
        <v>1</v>
      </c>
      <c r="W45" s="5" t="s">
        <v>1103</v>
      </c>
      <c r="X45" s="86" t="s">
        <v>1027</v>
      </c>
      <c r="Y45" s="86">
        <v>21230102</v>
      </c>
      <c r="Z45" s="177" t="str">
        <f t="shared" si="4"/>
        <v>UITexture/ShipHull/21230102.png</v>
      </c>
      <c r="AA45" s="5"/>
      <c r="AB45" s="190">
        <v>0</v>
      </c>
      <c r="AC45" s="190">
        <v>100</v>
      </c>
      <c r="AD45" s="236"/>
      <c r="AE45" s="190">
        <v>0</v>
      </c>
      <c r="AF45" s="190">
        <v>0</v>
      </c>
      <c r="AG45" s="190">
        <v>0</v>
      </c>
      <c r="AH45" s="190">
        <v>0</v>
      </c>
      <c r="AI45" s="190">
        <v>1</v>
      </c>
      <c r="AJ45" s="190">
        <v>0</v>
      </c>
      <c r="AK45" s="236"/>
      <c r="AL45" s="190">
        <v>0</v>
      </c>
      <c r="AM45" s="236"/>
      <c r="AN45" s="41"/>
      <c r="AO45" s="41"/>
      <c r="AP45" s="5">
        <v>2</v>
      </c>
      <c r="AQ45" s="4">
        <v>0</v>
      </c>
      <c r="AR45" s="4">
        <v>0</v>
      </c>
      <c r="AS45" s="4">
        <v>1</v>
      </c>
      <c r="AT45" s="5">
        <v>0</v>
      </c>
      <c r="AU45" s="5">
        <v>50</v>
      </c>
      <c r="AV45" s="5">
        <v>100</v>
      </c>
      <c r="AW45" s="236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37"/>
      <c r="BM45" s="5"/>
      <c r="BN45" s="5"/>
      <c r="BO45" s="5"/>
      <c r="BP45" s="236"/>
      <c r="BQ45" s="58"/>
      <c r="BR45" s="59"/>
      <c r="BS45" s="61"/>
      <c r="BT45" s="58"/>
      <c r="BU45" s="60"/>
      <c r="BV45" s="60"/>
      <c r="BW45" s="60"/>
      <c r="BX45" s="60"/>
      <c r="BY45" s="60"/>
      <c r="BZ45" s="61"/>
      <c r="CA45" s="61"/>
      <c r="CB45" s="61"/>
      <c r="CC45" s="61"/>
      <c r="CD45" s="59"/>
      <c r="CE45" s="59"/>
      <c r="CF45" s="59"/>
      <c r="CG45" s="59"/>
      <c r="CH45" s="61"/>
      <c r="CI45" s="61"/>
      <c r="CJ45" s="59"/>
      <c r="CK45" s="59"/>
      <c r="CL45" s="59"/>
      <c r="CM45" s="60"/>
      <c r="CN45" s="59"/>
      <c r="CO45" s="59"/>
      <c r="CP45" s="59"/>
      <c r="CQ45" s="236"/>
      <c r="CR45" s="37">
        <v>1000</v>
      </c>
      <c r="CS45" s="5">
        <v>50000</v>
      </c>
      <c r="CT45" s="5">
        <v>10000</v>
      </c>
      <c r="CU45" s="5">
        <v>10</v>
      </c>
      <c r="CV45" s="236"/>
      <c r="CW45" s="5"/>
      <c r="CX45" s="5"/>
      <c r="CY45" s="5"/>
      <c r="CZ45" s="5"/>
      <c r="DA45" s="5"/>
      <c r="DB45" s="5"/>
      <c r="DC45" s="236"/>
      <c r="DD45" s="104">
        <f t="shared" ref="DD45" si="168">((DE45*24+DF45)*60+DG45)*60+DH45</f>
        <v>60</v>
      </c>
      <c r="DE45" s="103"/>
      <c r="DF45" s="103"/>
      <c r="DG45" s="103">
        <v>1</v>
      </c>
      <c r="DH45" s="103"/>
      <c r="DI45" s="5">
        <v>50</v>
      </c>
      <c r="DJ45" s="172">
        <v>2</v>
      </c>
      <c r="DK45" s="104"/>
      <c r="DL45" s="104">
        <f ca="1">IFERROR(OFFSET(ITEM_RES!$A$5,MATCH(DM45,ITEM_RES!$M$5:$M$84,0)-1,0),0)</f>
        <v>220000101</v>
      </c>
      <c r="DM45" s="103" t="s">
        <v>573</v>
      </c>
      <c r="DN45" s="102">
        <v>100</v>
      </c>
      <c r="DO45" s="104"/>
      <c r="DP45" s="104">
        <f ca="1">IFERROR(OFFSET(ITEM_RES!$A$5,MATCH(DQ45,ITEM_RES!$M$5:$M$84,0)-1,0),0)</f>
        <v>220000201</v>
      </c>
      <c r="DQ45" s="103" t="s">
        <v>591</v>
      </c>
      <c r="DR45" s="102">
        <v>100</v>
      </c>
      <c r="DS45" s="104"/>
      <c r="DT45" s="104"/>
      <c r="DU45" s="103"/>
      <c r="DV45" s="102"/>
      <c r="DW45" s="104"/>
      <c r="DX45" s="104"/>
      <c r="DY45" s="103"/>
      <c r="DZ45" s="102"/>
      <c r="EA45" s="104"/>
      <c r="EB45" s="104"/>
      <c r="EC45" s="103"/>
      <c r="ED45" s="102"/>
      <c r="EE45" s="236"/>
      <c r="EF45" s="5">
        <v>200</v>
      </c>
    </row>
    <row r="46" spans="1:136" s="13" customFormat="1" ht="17.25" thickBot="1" x14ac:dyDescent="0.2">
      <c r="A46" s="87"/>
      <c r="B46" s="63">
        <f t="shared" ref="B46" si="169">IF(C46=1,D46,)</f>
        <v>0</v>
      </c>
      <c r="C46" s="87"/>
      <c r="D46" s="13">
        <f t="shared" ref="D46" si="170">E46*10000000+F46*1000000+G46*10000+H46*100+I46</f>
        <v>21230103</v>
      </c>
      <c r="E46" s="14">
        <v>2</v>
      </c>
      <c r="F46" s="63">
        <f t="shared" si="0"/>
        <v>1</v>
      </c>
      <c r="G46" s="63">
        <f t="shared" si="1"/>
        <v>23</v>
      </c>
      <c r="H46" s="87">
        <v>1</v>
      </c>
      <c r="I46" s="63">
        <f t="shared" si="2"/>
        <v>3</v>
      </c>
      <c r="J46" s="237"/>
      <c r="K46" s="15">
        <v>1</v>
      </c>
      <c r="L46" s="63">
        <f t="shared" ref="L46" si="171">M46*10+N46</f>
        <v>23</v>
      </c>
      <c r="M46" s="15">
        <v>2</v>
      </c>
      <c r="N46" s="15">
        <v>3</v>
      </c>
      <c r="O46" s="191">
        <v>3</v>
      </c>
      <c r="P46" s="237"/>
      <c r="Q46" s="15" t="s">
        <v>1229</v>
      </c>
      <c r="R46" s="15" t="s">
        <v>1005</v>
      </c>
      <c r="S46" s="14" t="s">
        <v>1005</v>
      </c>
      <c r="T46" s="14"/>
      <c r="U46" s="15">
        <v>0</v>
      </c>
      <c r="V46" s="15">
        <v>1</v>
      </c>
      <c r="W46" s="15" t="s">
        <v>1103</v>
      </c>
      <c r="X46" s="87" t="s">
        <v>1027</v>
      </c>
      <c r="Y46" s="87">
        <v>21230103</v>
      </c>
      <c r="Z46" s="179" t="str">
        <f t="shared" si="4"/>
        <v>UITexture/ShipHull/21230103.png</v>
      </c>
      <c r="AA46" s="15"/>
      <c r="AB46" s="191">
        <v>0</v>
      </c>
      <c r="AC46" s="191">
        <v>100</v>
      </c>
      <c r="AD46" s="237"/>
      <c r="AE46" s="191">
        <v>0</v>
      </c>
      <c r="AF46" s="191">
        <v>0</v>
      </c>
      <c r="AG46" s="191">
        <v>0</v>
      </c>
      <c r="AH46" s="191">
        <v>0</v>
      </c>
      <c r="AI46" s="191">
        <v>1</v>
      </c>
      <c r="AJ46" s="191">
        <v>0</v>
      </c>
      <c r="AK46" s="237"/>
      <c r="AL46" s="191">
        <v>0</v>
      </c>
      <c r="AM46" s="237"/>
      <c r="AN46" s="199"/>
      <c r="AO46" s="199"/>
      <c r="AP46" s="15">
        <v>2</v>
      </c>
      <c r="AQ46" s="14">
        <v>0</v>
      </c>
      <c r="AR46" s="14">
        <v>0</v>
      </c>
      <c r="AS46" s="14">
        <v>1</v>
      </c>
      <c r="AT46" s="15">
        <v>0</v>
      </c>
      <c r="AU46" s="15">
        <v>50</v>
      </c>
      <c r="AV46" s="15">
        <v>100</v>
      </c>
      <c r="AW46" s="237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200"/>
      <c r="BM46" s="15"/>
      <c r="BN46" s="15"/>
      <c r="BO46" s="15"/>
      <c r="BP46" s="237"/>
      <c r="BQ46" s="201"/>
      <c r="BR46" s="202"/>
      <c r="BS46" s="203"/>
      <c r="BT46" s="201"/>
      <c r="BU46" s="204"/>
      <c r="BV46" s="204"/>
      <c r="BW46" s="204"/>
      <c r="BX46" s="204"/>
      <c r="BY46" s="204"/>
      <c r="BZ46" s="203"/>
      <c r="CA46" s="203"/>
      <c r="CB46" s="203"/>
      <c r="CC46" s="203"/>
      <c r="CD46" s="202"/>
      <c r="CE46" s="202"/>
      <c r="CF46" s="202"/>
      <c r="CG46" s="202"/>
      <c r="CH46" s="203"/>
      <c r="CI46" s="203"/>
      <c r="CJ46" s="202"/>
      <c r="CK46" s="202"/>
      <c r="CL46" s="202"/>
      <c r="CM46" s="204"/>
      <c r="CN46" s="202"/>
      <c r="CO46" s="202"/>
      <c r="CP46" s="202"/>
      <c r="CQ46" s="237"/>
      <c r="CR46" s="200">
        <v>1000</v>
      </c>
      <c r="CS46" s="15">
        <v>50000</v>
      </c>
      <c r="CT46" s="15">
        <v>10000</v>
      </c>
      <c r="CU46" s="15">
        <v>10</v>
      </c>
      <c r="CV46" s="237"/>
      <c r="CW46" s="15"/>
      <c r="CX46" s="15"/>
      <c r="CY46" s="15"/>
      <c r="CZ46" s="15"/>
      <c r="DA46" s="15"/>
      <c r="DB46" s="15"/>
      <c r="DC46" s="237"/>
      <c r="DD46" s="111">
        <f t="shared" ref="DD46" si="172">((DE46*24+DF46)*60+DG46)*60+DH46</f>
        <v>60</v>
      </c>
      <c r="DE46" s="110"/>
      <c r="DF46" s="110"/>
      <c r="DG46" s="110">
        <v>1</v>
      </c>
      <c r="DH46" s="110"/>
      <c r="DI46" s="15">
        <v>50</v>
      </c>
      <c r="DJ46" s="175">
        <v>2</v>
      </c>
      <c r="DK46" s="111"/>
      <c r="DL46" s="111">
        <f ca="1">IFERROR(OFFSET(ITEM_RES!$A$5,MATCH(DM46,ITEM_RES!$M$5:$M$84,0)-1,0),0)</f>
        <v>220000101</v>
      </c>
      <c r="DM46" s="110" t="s">
        <v>573</v>
      </c>
      <c r="DN46" s="109">
        <v>100</v>
      </c>
      <c r="DO46" s="111"/>
      <c r="DP46" s="111">
        <f ca="1">IFERROR(OFFSET(ITEM_RES!$A$5,MATCH(DQ46,ITEM_RES!$M$5:$M$84,0)-1,0),0)</f>
        <v>220000201</v>
      </c>
      <c r="DQ46" s="110" t="s">
        <v>591</v>
      </c>
      <c r="DR46" s="109">
        <v>100</v>
      </c>
      <c r="DS46" s="111"/>
      <c r="DT46" s="111"/>
      <c r="DU46" s="110"/>
      <c r="DV46" s="109"/>
      <c r="DW46" s="111"/>
      <c r="DX46" s="111"/>
      <c r="DY46" s="110"/>
      <c r="DZ46" s="109"/>
      <c r="EA46" s="111"/>
      <c r="EB46" s="111"/>
      <c r="EC46" s="110"/>
      <c r="ED46" s="109"/>
      <c r="EE46" s="237"/>
      <c r="EF46" s="15">
        <v>200</v>
      </c>
    </row>
    <row r="47" spans="1:136" s="3" customFormat="1" x14ac:dyDescent="0.15">
      <c r="A47" s="86"/>
      <c r="B47" s="65"/>
      <c r="C47" s="86"/>
      <c r="E47" s="4"/>
      <c r="F47" s="65"/>
      <c r="G47" s="65"/>
      <c r="H47" s="86"/>
      <c r="I47" s="65"/>
      <c r="J47" s="236"/>
      <c r="K47" s="5"/>
      <c r="L47" s="65"/>
      <c r="M47" s="5"/>
      <c r="N47" s="5"/>
      <c r="O47" s="190"/>
      <c r="P47" s="236"/>
      <c r="Q47" s="5"/>
      <c r="R47" s="5"/>
      <c r="S47" s="4"/>
      <c r="T47" s="4"/>
      <c r="U47" s="5"/>
      <c r="V47" s="5"/>
      <c r="W47" s="5"/>
      <c r="X47" s="86"/>
      <c r="Y47" s="86"/>
      <c r="Z47" s="177"/>
      <c r="AA47" s="5"/>
      <c r="AB47" s="190"/>
      <c r="AC47" s="190"/>
      <c r="AD47" s="236"/>
      <c r="AE47" s="190"/>
      <c r="AF47" s="190"/>
      <c r="AG47" s="190"/>
      <c r="AH47" s="190"/>
      <c r="AI47" s="190"/>
      <c r="AJ47" s="190"/>
      <c r="AK47" s="236"/>
      <c r="AL47" s="190">
        <v>0</v>
      </c>
      <c r="AM47" s="236"/>
      <c r="AN47" s="41"/>
      <c r="AO47" s="41"/>
      <c r="AP47" s="5"/>
      <c r="AQ47" s="4"/>
      <c r="AR47" s="4"/>
      <c r="AS47" s="4"/>
      <c r="AT47" s="5"/>
      <c r="AU47" s="5"/>
      <c r="AV47" s="5"/>
      <c r="AW47" s="236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37"/>
      <c r="BM47" s="5"/>
      <c r="BN47" s="5"/>
      <c r="BO47" s="5"/>
      <c r="BP47" s="236"/>
      <c r="BQ47" s="58"/>
      <c r="BR47" s="59"/>
      <c r="BS47" s="61"/>
      <c r="BT47" s="58"/>
      <c r="BU47" s="60"/>
      <c r="BV47" s="60"/>
      <c r="BW47" s="60"/>
      <c r="BX47" s="60"/>
      <c r="BY47" s="60"/>
      <c r="BZ47" s="61"/>
      <c r="CA47" s="61"/>
      <c r="CB47" s="61"/>
      <c r="CC47" s="61"/>
      <c r="CD47" s="59"/>
      <c r="CE47" s="59"/>
      <c r="CF47" s="59"/>
      <c r="CG47" s="59"/>
      <c r="CH47" s="61"/>
      <c r="CI47" s="61"/>
      <c r="CJ47" s="59"/>
      <c r="CK47" s="59"/>
      <c r="CL47" s="59"/>
      <c r="CM47" s="60"/>
      <c r="CN47" s="59"/>
      <c r="CO47" s="59"/>
      <c r="CP47" s="59"/>
      <c r="CQ47" s="236"/>
      <c r="CR47" s="37"/>
      <c r="CS47" s="5"/>
      <c r="CT47" s="5"/>
      <c r="CU47" s="5"/>
      <c r="CV47" s="236"/>
      <c r="CW47" s="5"/>
      <c r="CX47" s="5"/>
      <c r="CY47" s="5"/>
      <c r="CZ47" s="5"/>
      <c r="DA47" s="5"/>
      <c r="DB47" s="5"/>
      <c r="DC47" s="236"/>
      <c r="DD47" s="104"/>
      <c r="DE47" s="103"/>
      <c r="DF47" s="103"/>
      <c r="DG47" s="103"/>
      <c r="DH47" s="103"/>
      <c r="DI47" s="5"/>
      <c r="DJ47" s="172"/>
      <c r="DK47" s="104"/>
      <c r="DL47" s="104"/>
      <c r="DM47" s="103"/>
      <c r="DN47" s="102"/>
      <c r="DO47" s="104"/>
      <c r="DP47" s="104"/>
      <c r="DQ47" s="103"/>
      <c r="DR47" s="102"/>
      <c r="DS47" s="104"/>
      <c r="DT47" s="104"/>
      <c r="DU47" s="103"/>
      <c r="DV47" s="102"/>
      <c r="DW47" s="104"/>
      <c r="DX47" s="104"/>
      <c r="DY47" s="103"/>
      <c r="DZ47" s="102"/>
      <c r="EA47" s="104"/>
      <c r="EB47" s="104"/>
      <c r="EC47" s="103"/>
      <c r="ED47" s="102"/>
      <c r="EE47" s="236"/>
      <c r="EF47" s="5"/>
    </row>
    <row r="48" spans="1:136" s="3" customFormat="1" x14ac:dyDescent="0.15">
      <c r="A48" s="86"/>
      <c r="B48" s="65"/>
      <c r="C48" s="86"/>
      <c r="E48" s="4"/>
      <c r="F48" s="65"/>
      <c r="G48" s="65"/>
      <c r="H48" s="86"/>
      <c r="I48" s="65"/>
      <c r="J48" s="236"/>
      <c r="K48" s="5"/>
      <c r="L48" s="65"/>
      <c r="M48" s="5"/>
      <c r="N48" s="5"/>
      <c r="O48" s="190"/>
      <c r="P48" s="236"/>
      <c r="Q48" s="5"/>
      <c r="R48" s="5"/>
      <c r="S48" s="4"/>
      <c r="T48" s="4"/>
      <c r="U48" s="5"/>
      <c r="V48" s="5"/>
      <c r="W48" s="5"/>
      <c r="X48" s="86"/>
      <c r="Y48" s="86"/>
      <c r="Z48" s="177"/>
      <c r="AA48" s="5"/>
      <c r="AB48" s="190"/>
      <c r="AC48" s="190"/>
      <c r="AD48" s="236"/>
      <c r="AE48" s="190"/>
      <c r="AF48" s="190"/>
      <c r="AG48" s="190"/>
      <c r="AH48" s="190"/>
      <c r="AI48" s="190"/>
      <c r="AJ48" s="190"/>
      <c r="AK48" s="236"/>
      <c r="AL48" s="190">
        <v>0</v>
      </c>
      <c r="AM48" s="236"/>
      <c r="AN48" s="41"/>
      <c r="AO48" s="41"/>
      <c r="AP48" s="5"/>
      <c r="AQ48" s="4"/>
      <c r="AR48" s="4"/>
      <c r="AS48" s="4"/>
      <c r="AT48" s="5"/>
      <c r="AU48" s="5"/>
      <c r="AV48" s="5"/>
      <c r="AW48" s="236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37"/>
      <c r="BM48" s="5"/>
      <c r="BN48" s="5"/>
      <c r="BO48" s="5"/>
      <c r="BP48" s="236"/>
      <c r="BQ48" s="58"/>
      <c r="BR48" s="59"/>
      <c r="BS48" s="61"/>
      <c r="BT48" s="58"/>
      <c r="BU48" s="60"/>
      <c r="BV48" s="60"/>
      <c r="BW48" s="60"/>
      <c r="BX48" s="60"/>
      <c r="BY48" s="60"/>
      <c r="BZ48" s="61"/>
      <c r="CA48" s="61"/>
      <c r="CB48" s="61"/>
      <c r="CC48" s="61"/>
      <c r="CD48" s="59"/>
      <c r="CE48" s="59"/>
      <c r="CF48" s="59"/>
      <c r="CG48" s="59"/>
      <c r="CH48" s="61"/>
      <c r="CI48" s="61"/>
      <c r="CJ48" s="59"/>
      <c r="CK48" s="59"/>
      <c r="CL48" s="59"/>
      <c r="CM48" s="60"/>
      <c r="CN48" s="59"/>
      <c r="CO48" s="59"/>
      <c r="CP48" s="59"/>
      <c r="CQ48" s="236"/>
      <c r="CR48" s="37"/>
      <c r="CS48" s="5"/>
      <c r="CT48" s="5"/>
      <c r="CU48" s="5"/>
      <c r="CV48" s="236"/>
      <c r="CW48" s="5"/>
      <c r="CX48" s="5"/>
      <c r="CY48" s="5"/>
      <c r="CZ48" s="5"/>
      <c r="DA48" s="5"/>
      <c r="DB48" s="5"/>
      <c r="DC48" s="236"/>
      <c r="DD48" s="104"/>
      <c r="DE48" s="103"/>
      <c r="DF48" s="103"/>
      <c r="DG48" s="103"/>
      <c r="DH48" s="103"/>
      <c r="DI48" s="5"/>
      <c r="DJ48" s="172"/>
      <c r="DK48" s="104"/>
      <c r="DL48" s="104"/>
      <c r="DM48" s="103"/>
      <c r="DN48" s="102"/>
      <c r="DO48" s="104"/>
      <c r="DP48" s="104"/>
      <c r="DQ48" s="103"/>
      <c r="DR48" s="102"/>
      <c r="DS48" s="104"/>
      <c r="DT48" s="104"/>
      <c r="DU48" s="103"/>
      <c r="DV48" s="102"/>
      <c r="DW48" s="104"/>
      <c r="DX48" s="104"/>
      <c r="DY48" s="103"/>
      <c r="DZ48" s="102"/>
      <c r="EA48" s="104"/>
      <c r="EB48" s="104"/>
      <c r="EC48" s="103"/>
      <c r="ED48" s="102"/>
      <c r="EE48" s="236"/>
      <c r="EF48" s="5"/>
    </row>
    <row r="49" spans="1:136" s="3" customFormat="1" x14ac:dyDescent="0.15">
      <c r="A49" s="86"/>
      <c r="B49" s="65"/>
      <c r="C49" s="86"/>
      <c r="E49" s="4"/>
      <c r="F49" s="65"/>
      <c r="G49" s="65"/>
      <c r="H49" s="86"/>
      <c r="I49" s="65"/>
      <c r="J49" s="236"/>
      <c r="K49" s="5"/>
      <c r="L49" s="65"/>
      <c r="M49" s="5"/>
      <c r="N49" s="5"/>
      <c r="O49" s="190"/>
      <c r="P49" s="236"/>
      <c r="Q49" s="5"/>
      <c r="R49" s="5"/>
      <c r="S49" s="4"/>
      <c r="T49" s="4"/>
      <c r="U49" s="5"/>
      <c r="V49" s="5"/>
      <c r="W49" s="5"/>
      <c r="X49" s="86"/>
      <c r="Y49" s="86"/>
      <c r="Z49" s="177"/>
      <c r="AA49" s="5"/>
      <c r="AB49" s="190"/>
      <c r="AC49" s="190"/>
      <c r="AD49" s="236"/>
      <c r="AE49" s="190"/>
      <c r="AF49" s="190"/>
      <c r="AG49" s="190"/>
      <c r="AH49" s="190"/>
      <c r="AI49" s="190"/>
      <c r="AJ49" s="190"/>
      <c r="AK49" s="236"/>
      <c r="AL49" s="190">
        <v>0</v>
      </c>
      <c r="AM49" s="236"/>
      <c r="AN49" s="41"/>
      <c r="AO49" s="41"/>
      <c r="AP49" s="5"/>
      <c r="AQ49" s="4"/>
      <c r="AR49" s="4"/>
      <c r="AS49" s="4"/>
      <c r="AT49" s="5"/>
      <c r="AU49" s="5"/>
      <c r="AV49" s="5"/>
      <c r="AW49" s="236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37"/>
      <c r="BM49" s="5"/>
      <c r="BN49" s="5"/>
      <c r="BO49" s="5"/>
      <c r="BP49" s="236"/>
      <c r="BQ49" s="58"/>
      <c r="BR49" s="59"/>
      <c r="BS49" s="61"/>
      <c r="BT49" s="58"/>
      <c r="BU49" s="60"/>
      <c r="BV49" s="60"/>
      <c r="BW49" s="60"/>
      <c r="BX49" s="60"/>
      <c r="BY49" s="60"/>
      <c r="BZ49" s="61"/>
      <c r="CA49" s="61"/>
      <c r="CB49" s="61"/>
      <c r="CC49" s="61"/>
      <c r="CD49" s="59"/>
      <c r="CE49" s="59"/>
      <c r="CF49" s="59"/>
      <c r="CG49" s="59"/>
      <c r="CH49" s="61"/>
      <c r="CI49" s="61"/>
      <c r="CJ49" s="59"/>
      <c r="CK49" s="59"/>
      <c r="CL49" s="59"/>
      <c r="CM49" s="60"/>
      <c r="CN49" s="59"/>
      <c r="CO49" s="59"/>
      <c r="CP49" s="59"/>
      <c r="CQ49" s="236"/>
      <c r="CR49" s="37"/>
      <c r="CS49" s="5"/>
      <c r="CT49" s="5"/>
      <c r="CU49" s="5"/>
      <c r="CV49" s="236"/>
      <c r="CW49" s="5"/>
      <c r="CX49" s="5"/>
      <c r="CY49" s="5"/>
      <c r="CZ49" s="5"/>
      <c r="DA49" s="5"/>
      <c r="DB49" s="5"/>
      <c r="DC49" s="236"/>
      <c r="DD49" s="104"/>
      <c r="DE49" s="103"/>
      <c r="DF49" s="103"/>
      <c r="DG49" s="103"/>
      <c r="DH49" s="103"/>
      <c r="DI49" s="5"/>
      <c r="DJ49" s="172"/>
      <c r="DK49" s="104"/>
      <c r="DL49" s="104"/>
      <c r="DM49" s="103"/>
      <c r="DN49" s="102"/>
      <c r="DO49" s="104"/>
      <c r="DP49" s="104"/>
      <c r="DQ49" s="103"/>
      <c r="DR49" s="102"/>
      <c r="DS49" s="104"/>
      <c r="DT49" s="104"/>
      <c r="DU49" s="103"/>
      <c r="DV49" s="102"/>
      <c r="DW49" s="104"/>
      <c r="DX49" s="104"/>
      <c r="DY49" s="103"/>
      <c r="DZ49" s="102"/>
      <c r="EA49" s="104"/>
      <c r="EB49" s="104"/>
      <c r="EC49" s="103"/>
      <c r="ED49" s="102"/>
      <c r="EE49" s="236"/>
      <c r="EF49" s="5"/>
    </row>
    <row r="50" spans="1:136" s="3" customFormat="1" x14ac:dyDescent="0.15">
      <c r="A50" s="86"/>
      <c r="B50" s="65"/>
      <c r="C50" s="86"/>
      <c r="E50" s="4"/>
      <c r="F50" s="65"/>
      <c r="G50" s="65"/>
      <c r="H50" s="86"/>
      <c r="I50" s="65"/>
      <c r="J50" s="236"/>
      <c r="K50" s="5"/>
      <c r="L50" s="65"/>
      <c r="M50" s="5"/>
      <c r="N50" s="5"/>
      <c r="O50" s="190"/>
      <c r="P50" s="236"/>
      <c r="Q50" s="5"/>
      <c r="R50" s="5"/>
      <c r="S50" s="4"/>
      <c r="T50" s="4"/>
      <c r="U50" s="5"/>
      <c r="V50" s="5"/>
      <c r="W50" s="5"/>
      <c r="X50" s="86"/>
      <c r="Y50" s="86"/>
      <c r="Z50" s="177"/>
      <c r="AA50" s="5"/>
      <c r="AB50" s="190"/>
      <c r="AC50" s="190"/>
      <c r="AD50" s="236"/>
      <c r="AE50" s="190"/>
      <c r="AF50" s="190"/>
      <c r="AG50" s="190"/>
      <c r="AH50" s="190"/>
      <c r="AI50" s="190"/>
      <c r="AJ50" s="190"/>
      <c r="AK50" s="236"/>
      <c r="AL50" s="190">
        <v>0</v>
      </c>
      <c r="AM50" s="236"/>
      <c r="AN50" s="41"/>
      <c r="AO50" s="41"/>
      <c r="AP50" s="5"/>
      <c r="AQ50" s="4"/>
      <c r="AR50" s="4"/>
      <c r="AS50" s="4"/>
      <c r="AT50" s="5"/>
      <c r="AU50" s="5"/>
      <c r="AV50" s="5"/>
      <c r="AW50" s="236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37"/>
      <c r="BM50" s="5"/>
      <c r="BN50" s="5"/>
      <c r="BO50" s="5"/>
      <c r="BP50" s="236"/>
      <c r="BQ50" s="58"/>
      <c r="BR50" s="59"/>
      <c r="BS50" s="61"/>
      <c r="BT50" s="58"/>
      <c r="BU50" s="60"/>
      <c r="BV50" s="60"/>
      <c r="BW50" s="60"/>
      <c r="BX50" s="60"/>
      <c r="BY50" s="60"/>
      <c r="BZ50" s="61"/>
      <c r="CA50" s="61"/>
      <c r="CB50" s="61"/>
      <c r="CC50" s="61"/>
      <c r="CD50" s="59"/>
      <c r="CE50" s="59"/>
      <c r="CF50" s="59"/>
      <c r="CG50" s="59"/>
      <c r="CH50" s="61"/>
      <c r="CI50" s="61"/>
      <c r="CJ50" s="59"/>
      <c r="CK50" s="59"/>
      <c r="CL50" s="59"/>
      <c r="CM50" s="60"/>
      <c r="CN50" s="59"/>
      <c r="CO50" s="59"/>
      <c r="CP50" s="59"/>
      <c r="CQ50" s="236"/>
      <c r="CR50" s="37"/>
      <c r="CS50" s="5"/>
      <c r="CT50" s="5"/>
      <c r="CU50" s="5"/>
      <c r="CV50" s="236"/>
      <c r="CW50" s="5"/>
      <c r="CX50" s="5"/>
      <c r="CY50" s="5"/>
      <c r="CZ50" s="5"/>
      <c r="DA50" s="5"/>
      <c r="DB50" s="5"/>
      <c r="DC50" s="236"/>
      <c r="DD50" s="104"/>
      <c r="DE50" s="103"/>
      <c r="DF50" s="103"/>
      <c r="DG50" s="103"/>
      <c r="DH50" s="103"/>
      <c r="DI50" s="5"/>
      <c r="DJ50" s="172"/>
      <c r="DK50" s="104"/>
      <c r="DL50" s="104"/>
      <c r="DM50" s="103"/>
      <c r="DN50" s="102"/>
      <c r="DO50" s="104"/>
      <c r="DP50" s="104"/>
      <c r="DQ50" s="103"/>
      <c r="DR50" s="102"/>
      <c r="DS50" s="104"/>
      <c r="DT50" s="104"/>
      <c r="DU50" s="103"/>
      <c r="DV50" s="102"/>
      <c r="DW50" s="104"/>
      <c r="DX50" s="104"/>
      <c r="DY50" s="103"/>
      <c r="DZ50" s="102"/>
      <c r="EA50" s="104"/>
      <c r="EB50" s="104"/>
      <c r="EC50" s="103"/>
      <c r="ED50" s="102"/>
      <c r="EE50" s="236"/>
      <c r="EF50" s="5"/>
    </row>
    <row r="51" spans="1:136" s="3" customFormat="1" x14ac:dyDescent="0.15">
      <c r="A51" s="86"/>
      <c r="B51" s="65"/>
      <c r="C51" s="86"/>
      <c r="E51" s="4"/>
      <c r="F51" s="65"/>
      <c r="G51" s="65"/>
      <c r="H51" s="86"/>
      <c r="I51" s="65"/>
      <c r="J51" s="236"/>
      <c r="K51" s="5"/>
      <c r="L51" s="65"/>
      <c r="M51" s="5"/>
      <c r="N51" s="5"/>
      <c r="O51" s="190"/>
      <c r="P51" s="236"/>
      <c r="Q51" s="5"/>
      <c r="R51" s="5"/>
      <c r="S51" s="4"/>
      <c r="T51" s="4"/>
      <c r="U51" s="5"/>
      <c r="V51" s="5"/>
      <c r="W51" s="5"/>
      <c r="X51" s="86"/>
      <c r="Y51" s="86"/>
      <c r="Z51" s="177"/>
      <c r="AA51" s="5"/>
      <c r="AB51" s="190"/>
      <c r="AC51" s="190"/>
      <c r="AD51" s="236"/>
      <c r="AE51" s="190"/>
      <c r="AF51" s="190"/>
      <c r="AG51" s="190"/>
      <c r="AH51" s="190"/>
      <c r="AI51" s="190"/>
      <c r="AJ51" s="190"/>
      <c r="AK51" s="236"/>
      <c r="AL51" s="190">
        <v>0</v>
      </c>
      <c r="AM51" s="236"/>
      <c r="AN51" s="41"/>
      <c r="AO51" s="41"/>
      <c r="AP51" s="5"/>
      <c r="AQ51" s="4"/>
      <c r="AR51" s="4"/>
      <c r="AS51" s="4"/>
      <c r="AT51" s="5"/>
      <c r="AU51" s="5"/>
      <c r="AV51" s="5"/>
      <c r="AW51" s="236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37"/>
      <c r="BM51" s="5"/>
      <c r="BN51" s="5"/>
      <c r="BO51" s="5"/>
      <c r="BP51" s="236"/>
      <c r="BQ51" s="58"/>
      <c r="BR51" s="59"/>
      <c r="BS51" s="61"/>
      <c r="BT51" s="58"/>
      <c r="BU51" s="60"/>
      <c r="BV51" s="60"/>
      <c r="BW51" s="60"/>
      <c r="BX51" s="60"/>
      <c r="BY51" s="60"/>
      <c r="BZ51" s="61"/>
      <c r="CA51" s="61"/>
      <c r="CB51" s="61"/>
      <c r="CC51" s="61"/>
      <c r="CD51" s="59"/>
      <c r="CE51" s="59"/>
      <c r="CF51" s="59"/>
      <c r="CG51" s="59"/>
      <c r="CH51" s="61"/>
      <c r="CI51" s="61"/>
      <c r="CJ51" s="59"/>
      <c r="CK51" s="59"/>
      <c r="CL51" s="59"/>
      <c r="CM51" s="60"/>
      <c r="CN51" s="59"/>
      <c r="CO51" s="59"/>
      <c r="CP51" s="59"/>
      <c r="CQ51" s="236"/>
      <c r="CR51" s="37"/>
      <c r="CS51" s="5"/>
      <c r="CT51" s="5"/>
      <c r="CU51" s="5"/>
      <c r="CV51" s="236"/>
      <c r="CW51" s="5"/>
      <c r="CX51" s="5"/>
      <c r="CY51" s="5"/>
      <c r="CZ51" s="5"/>
      <c r="DA51" s="5"/>
      <c r="DB51" s="5"/>
      <c r="DC51" s="236"/>
      <c r="DD51" s="104"/>
      <c r="DE51" s="103"/>
      <c r="DF51" s="103"/>
      <c r="DG51" s="103"/>
      <c r="DH51" s="103"/>
      <c r="DI51" s="5"/>
      <c r="DJ51" s="172"/>
      <c r="DK51" s="104"/>
      <c r="DL51" s="104"/>
      <c r="DM51" s="103"/>
      <c r="DN51" s="102"/>
      <c r="DO51" s="104"/>
      <c r="DP51" s="104"/>
      <c r="DQ51" s="103"/>
      <c r="DR51" s="102"/>
      <c r="DS51" s="104"/>
      <c r="DT51" s="104"/>
      <c r="DU51" s="103"/>
      <c r="DV51" s="102"/>
      <c r="DW51" s="104"/>
      <c r="DX51" s="104"/>
      <c r="DY51" s="103"/>
      <c r="DZ51" s="102"/>
      <c r="EA51" s="104"/>
      <c r="EB51" s="104"/>
      <c r="EC51" s="103"/>
      <c r="ED51" s="102"/>
      <c r="EE51" s="236"/>
      <c r="EF51" s="5"/>
    </row>
    <row r="52" spans="1:136" s="3" customFormat="1" x14ac:dyDescent="0.15">
      <c r="A52" s="86"/>
      <c r="B52" s="65"/>
      <c r="C52" s="86"/>
      <c r="E52" s="4"/>
      <c r="F52" s="65"/>
      <c r="G52" s="65"/>
      <c r="H52" s="86"/>
      <c r="I52" s="65"/>
      <c r="J52" s="236"/>
      <c r="K52" s="5"/>
      <c r="L52" s="65"/>
      <c r="M52" s="5"/>
      <c r="N52" s="5"/>
      <c r="O52" s="190"/>
      <c r="P52" s="236"/>
      <c r="Q52" s="5"/>
      <c r="R52" s="5"/>
      <c r="S52" s="4"/>
      <c r="T52" s="4"/>
      <c r="U52" s="5"/>
      <c r="V52" s="5"/>
      <c r="W52" s="5"/>
      <c r="X52" s="86"/>
      <c r="Y52" s="86"/>
      <c r="Z52" s="177"/>
      <c r="AA52" s="5"/>
      <c r="AB52" s="190"/>
      <c r="AC52" s="190"/>
      <c r="AD52" s="236"/>
      <c r="AE52" s="190"/>
      <c r="AF52" s="190"/>
      <c r="AG52" s="190"/>
      <c r="AH52" s="190"/>
      <c r="AI52" s="190"/>
      <c r="AJ52" s="190"/>
      <c r="AK52" s="236"/>
      <c r="AL52" s="190"/>
      <c r="AM52" s="236"/>
      <c r="AN52" s="41"/>
      <c r="AO52" s="41"/>
      <c r="AP52" s="5"/>
      <c r="AQ52" s="4"/>
      <c r="AR52" s="4"/>
      <c r="AS52" s="4"/>
      <c r="AT52" s="5"/>
      <c r="AU52" s="5"/>
      <c r="AV52" s="5"/>
      <c r="AW52" s="236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37"/>
      <c r="BM52" s="5"/>
      <c r="BN52" s="5"/>
      <c r="BO52" s="5"/>
      <c r="BP52" s="236"/>
      <c r="BQ52" s="58"/>
      <c r="BR52" s="59"/>
      <c r="BS52" s="61"/>
      <c r="BT52" s="58"/>
      <c r="BU52" s="60"/>
      <c r="BV52" s="60"/>
      <c r="BW52" s="60"/>
      <c r="BX52" s="60"/>
      <c r="BY52" s="60"/>
      <c r="BZ52" s="61"/>
      <c r="CA52" s="61"/>
      <c r="CB52" s="61"/>
      <c r="CC52" s="61"/>
      <c r="CD52" s="59"/>
      <c r="CE52" s="59"/>
      <c r="CF52" s="59"/>
      <c r="CG52" s="59"/>
      <c r="CH52" s="61"/>
      <c r="CI52" s="61"/>
      <c r="CJ52" s="59"/>
      <c r="CK52" s="59"/>
      <c r="CL52" s="59"/>
      <c r="CM52" s="60"/>
      <c r="CN52" s="59"/>
      <c r="CO52" s="59"/>
      <c r="CP52" s="59"/>
      <c r="CQ52" s="236"/>
      <c r="CR52" s="37"/>
      <c r="CS52" s="5"/>
      <c r="CT52" s="5"/>
      <c r="CU52" s="5"/>
      <c r="CV52" s="236"/>
      <c r="CW52" s="5"/>
      <c r="CX52" s="5"/>
      <c r="CY52" s="5"/>
      <c r="CZ52" s="5"/>
      <c r="DA52" s="5"/>
      <c r="DB52" s="5"/>
      <c r="DC52" s="236"/>
      <c r="DD52" s="104"/>
      <c r="DE52" s="103"/>
      <c r="DF52" s="103"/>
      <c r="DG52" s="103"/>
      <c r="DH52" s="103"/>
      <c r="DI52" s="5"/>
      <c r="DJ52" s="172"/>
      <c r="DK52" s="104"/>
      <c r="DL52" s="104"/>
      <c r="DM52" s="103"/>
      <c r="DN52" s="102"/>
      <c r="DO52" s="104"/>
      <c r="DP52" s="104"/>
      <c r="DQ52" s="103"/>
      <c r="DR52" s="102"/>
      <c r="DS52" s="104"/>
      <c r="DT52" s="104"/>
      <c r="DU52" s="103"/>
      <c r="DV52" s="102"/>
      <c r="DW52" s="104"/>
      <c r="DX52" s="104"/>
      <c r="DY52" s="103"/>
      <c r="DZ52" s="102"/>
      <c r="EA52" s="104"/>
      <c r="EB52" s="104"/>
      <c r="EC52" s="103"/>
      <c r="ED52" s="102"/>
      <c r="EE52" s="236"/>
      <c r="EF52" s="5"/>
    </row>
    <row r="53" spans="1:136" s="3" customFormat="1" x14ac:dyDescent="0.15">
      <c r="A53" s="86"/>
      <c r="B53" s="65"/>
      <c r="C53" s="86"/>
      <c r="E53" s="4"/>
      <c r="F53" s="65"/>
      <c r="G53" s="65"/>
      <c r="H53" s="86"/>
      <c r="I53" s="65"/>
      <c r="J53" s="236"/>
      <c r="K53" s="5"/>
      <c r="L53" s="65"/>
      <c r="M53" s="5"/>
      <c r="N53" s="5"/>
      <c r="O53" s="190"/>
      <c r="P53" s="236"/>
      <c r="Q53" s="5"/>
      <c r="R53" s="5"/>
      <c r="S53" s="4"/>
      <c r="T53" s="4"/>
      <c r="U53" s="5"/>
      <c r="V53" s="5"/>
      <c r="W53" s="5"/>
      <c r="X53" s="86"/>
      <c r="Y53" s="86"/>
      <c r="Z53" s="177"/>
      <c r="AA53" s="5"/>
      <c r="AB53" s="190"/>
      <c r="AC53" s="190"/>
      <c r="AD53" s="236"/>
      <c r="AE53" s="190"/>
      <c r="AF53" s="190"/>
      <c r="AG53" s="190"/>
      <c r="AH53" s="190"/>
      <c r="AI53" s="190"/>
      <c r="AJ53" s="190"/>
      <c r="AK53" s="236"/>
      <c r="AL53" s="190"/>
      <c r="AM53" s="236"/>
      <c r="AN53" s="41"/>
      <c r="AO53" s="41"/>
      <c r="AP53" s="5"/>
      <c r="AQ53" s="4"/>
      <c r="AR53" s="4"/>
      <c r="AS53" s="4"/>
      <c r="AT53" s="5"/>
      <c r="AU53" s="5"/>
      <c r="AV53" s="5"/>
      <c r="AW53" s="236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37"/>
      <c r="BM53" s="5"/>
      <c r="BN53" s="5"/>
      <c r="BO53" s="5"/>
      <c r="BP53" s="236"/>
      <c r="BQ53" s="58"/>
      <c r="BR53" s="59"/>
      <c r="BS53" s="61"/>
      <c r="BT53" s="58"/>
      <c r="BU53" s="60"/>
      <c r="BV53" s="60"/>
      <c r="BW53" s="60"/>
      <c r="BX53" s="60"/>
      <c r="BY53" s="60"/>
      <c r="BZ53" s="61"/>
      <c r="CA53" s="61"/>
      <c r="CB53" s="61"/>
      <c r="CC53" s="61"/>
      <c r="CD53" s="59"/>
      <c r="CE53" s="59"/>
      <c r="CF53" s="59"/>
      <c r="CG53" s="59"/>
      <c r="CH53" s="61"/>
      <c r="CI53" s="61"/>
      <c r="CJ53" s="59"/>
      <c r="CK53" s="59"/>
      <c r="CL53" s="59"/>
      <c r="CM53" s="60"/>
      <c r="CN53" s="59"/>
      <c r="CO53" s="59"/>
      <c r="CP53" s="59"/>
      <c r="CQ53" s="236"/>
      <c r="CR53" s="37"/>
      <c r="CS53" s="5"/>
      <c r="CT53" s="5"/>
      <c r="CU53" s="5"/>
      <c r="CV53" s="236"/>
      <c r="CW53" s="5"/>
      <c r="CX53" s="5"/>
      <c r="CY53" s="5"/>
      <c r="CZ53" s="5"/>
      <c r="DA53" s="5"/>
      <c r="DB53" s="5"/>
      <c r="DC53" s="236"/>
      <c r="DD53" s="104"/>
      <c r="DE53" s="103"/>
      <c r="DF53" s="103"/>
      <c r="DG53" s="103"/>
      <c r="DH53" s="103"/>
      <c r="DI53" s="5"/>
      <c r="DJ53" s="172"/>
      <c r="DK53" s="104"/>
      <c r="DL53" s="104"/>
      <c r="DM53" s="103"/>
      <c r="DN53" s="102"/>
      <c r="DO53" s="104"/>
      <c r="DP53" s="104"/>
      <c r="DQ53" s="103"/>
      <c r="DR53" s="102"/>
      <c r="DS53" s="104"/>
      <c r="DT53" s="104"/>
      <c r="DU53" s="103"/>
      <c r="DV53" s="102"/>
      <c r="DW53" s="104"/>
      <c r="DX53" s="104"/>
      <c r="DY53" s="103"/>
      <c r="DZ53" s="102"/>
      <c r="EA53" s="104"/>
      <c r="EB53" s="104"/>
      <c r="EC53" s="103"/>
      <c r="ED53" s="102"/>
      <c r="EE53" s="236"/>
      <c r="EF53" s="5"/>
    </row>
    <row r="54" spans="1:136" s="3" customFormat="1" x14ac:dyDescent="0.15">
      <c r="A54" s="86"/>
      <c r="B54" s="65"/>
      <c r="C54" s="86"/>
      <c r="E54" s="4"/>
      <c r="F54" s="65"/>
      <c r="G54" s="65"/>
      <c r="H54" s="86"/>
      <c r="I54" s="65"/>
      <c r="J54" s="236"/>
      <c r="K54" s="5"/>
      <c r="L54" s="65"/>
      <c r="M54" s="5"/>
      <c r="N54" s="5"/>
      <c r="O54" s="190"/>
      <c r="P54" s="236"/>
      <c r="Q54" s="5"/>
      <c r="R54" s="5"/>
      <c r="S54" s="4"/>
      <c r="T54" s="4"/>
      <c r="U54" s="5"/>
      <c r="V54" s="5"/>
      <c r="W54" s="5"/>
      <c r="X54" s="86"/>
      <c r="Y54" s="86"/>
      <c r="Z54" s="177"/>
      <c r="AA54" s="5"/>
      <c r="AB54" s="190"/>
      <c r="AC54" s="190"/>
      <c r="AD54" s="236"/>
      <c r="AE54" s="190"/>
      <c r="AF54" s="190"/>
      <c r="AG54" s="190"/>
      <c r="AH54" s="190"/>
      <c r="AI54" s="190"/>
      <c r="AJ54" s="190"/>
      <c r="AK54" s="236"/>
      <c r="AL54" s="190"/>
      <c r="AM54" s="236"/>
      <c r="AN54" s="41"/>
      <c r="AO54" s="41"/>
      <c r="AP54" s="5"/>
      <c r="AQ54" s="4"/>
      <c r="AR54" s="4"/>
      <c r="AS54" s="4"/>
      <c r="AT54" s="5"/>
      <c r="AU54" s="5"/>
      <c r="AV54" s="5"/>
      <c r="AW54" s="236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37"/>
      <c r="BM54" s="5"/>
      <c r="BN54" s="5"/>
      <c r="BO54" s="5"/>
      <c r="BP54" s="236"/>
      <c r="BQ54" s="58"/>
      <c r="BR54" s="59"/>
      <c r="BS54" s="61"/>
      <c r="BT54" s="58"/>
      <c r="BU54" s="60"/>
      <c r="BV54" s="60"/>
      <c r="BW54" s="60"/>
      <c r="BX54" s="60"/>
      <c r="BY54" s="60"/>
      <c r="BZ54" s="61"/>
      <c r="CA54" s="61"/>
      <c r="CB54" s="61"/>
      <c r="CC54" s="61"/>
      <c r="CD54" s="59"/>
      <c r="CE54" s="59"/>
      <c r="CF54" s="59"/>
      <c r="CG54" s="59"/>
      <c r="CH54" s="61"/>
      <c r="CI54" s="61"/>
      <c r="CJ54" s="59"/>
      <c r="CK54" s="59"/>
      <c r="CL54" s="59"/>
      <c r="CM54" s="60"/>
      <c r="CN54" s="59"/>
      <c r="CO54" s="59"/>
      <c r="CP54" s="59"/>
      <c r="CQ54" s="236"/>
      <c r="CR54" s="37"/>
      <c r="CS54" s="5"/>
      <c r="CT54" s="5"/>
      <c r="CU54" s="5"/>
      <c r="CV54" s="236"/>
      <c r="CW54" s="5"/>
      <c r="CX54" s="5"/>
      <c r="CY54" s="5"/>
      <c r="CZ54" s="5"/>
      <c r="DA54" s="5"/>
      <c r="DB54" s="5"/>
      <c r="DC54" s="236"/>
      <c r="DD54" s="104"/>
      <c r="DE54" s="103"/>
      <c r="DF54" s="103"/>
      <c r="DG54" s="103"/>
      <c r="DH54" s="103"/>
      <c r="DI54" s="5"/>
      <c r="DJ54" s="172"/>
      <c r="DK54" s="104"/>
      <c r="DL54" s="104"/>
      <c r="DM54" s="103"/>
      <c r="DN54" s="102"/>
      <c r="DO54" s="104"/>
      <c r="DP54" s="104"/>
      <c r="DQ54" s="103"/>
      <c r="DR54" s="102"/>
      <c r="DS54" s="104"/>
      <c r="DT54" s="104"/>
      <c r="DU54" s="103"/>
      <c r="DV54" s="102"/>
      <c r="DW54" s="104"/>
      <c r="DX54" s="104"/>
      <c r="DY54" s="103"/>
      <c r="DZ54" s="102"/>
      <c r="EA54" s="104"/>
      <c r="EB54" s="104"/>
      <c r="EC54" s="103"/>
      <c r="ED54" s="102"/>
      <c r="EE54" s="236"/>
      <c r="EF54" s="5"/>
    </row>
    <row r="55" spans="1:136" s="3" customFormat="1" x14ac:dyDescent="0.15">
      <c r="A55" s="86"/>
      <c r="B55" s="65"/>
      <c r="C55" s="86"/>
      <c r="E55" s="4"/>
      <c r="F55" s="65"/>
      <c r="G55" s="65"/>
      <c r="H55" s="86"/>
      <c r="I55" s="65"/>
      <c r="J55" s="236"/>
      <c r="K55" s="5"/>
      <c r="L55" s="65"/>
      <c r="M55" s="5"/>
      <c r="N55" s="5"/>
      <c r="O55" s="190"/>
      <c r="P55" s="236"/>
      <c r="Q55" s="5"/>
      <c r="R55" s="5"/>
      <c r="S55" s="4"/>
      <c r="T55" s="4"/>
      <c r="U55" s="5"/>
      <c r="V55" s="5"/>
      <c r="W55" s="5"/>
      <c r="X55" s="86"/>
      <c r="Y55" s="86"/>
      <c r="Z55" s="177"/>
      <c r="AA55" s="5"/>
      <c r="AB55" s="190"/>
      <c r="AC55" s="190"/>
      <c r="AD55" s="236"/>
      <c r="AE55" s="190"/>
      <c r="AF55" s="190"/>
      <c r="AG55" s="190"/>
      <c r="AH55" s="190"/>
      <c r="AI55" s="190"/>
      <c r="AJ55" s="190"/>
      <c r="AK55" s="236"/>
      <c r="AL55" s="190"/>
      <c r="AM55" s="236"/>
      <c r="AN55" s="41"/>
      <c r="AO55" s="41"/>
      <c r="AP55" s="5"/>
      <c r="AQ55" s="4"/>
      <c r="AR55" s="4"/>
      <c r="AS55" s="4"/>
      <c r="AT55" s="5"/>
      <c r="AU55" s="5"/>
      <c r="AV55" s="5"/>
      <c r="AW55" s="236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37"/>
      <c r="BM55" s="5"/>
      <c r="BN55" s="5"/>
      <c r="BO55" s="5"/>
      <c r="BP55" s="236"/>
      <c r="BQ55" s="58"/>
      <c r="BR55" s="59"/>
      <c r="BS55" s="61"/>
      <c r="BT55" s="58"/>
      <c r="BU55" s="60"/>
      <c r="BV55" s="60"/>
      <c r="BW55" s="60"/>
      <c r="BX55" s="60"/>
      <c r="BY55" s="60"/>
      <c r="BZ55" s="61"/>
      <c r="CA55" s="61"/>
      <c r="CB55" s="61"/>
      <c r="CC55" s="61"/>
      <c r="CD55" s="59"/>
      <c r="CE55" s="59"/>
      <c r="CF55" s="59"/>
      <c r="CG55" s="59"/>
      <c r="CH55" s="61"/>
      <c r="CI55" s="61"/>
      <c r="CJ55" s="59"/>
      <c r="CK55" s="59"/>
      <c r="CL55" s="59"/>
      <c r="CM55" s="60"/>
      <c r="CN55" s="59"/>
      <c r="CO55" s="59"/>
      <c r="CP55" s="59"/>
      <c r="CQ55" s="236"/>
      <c r="CR55" s="37"/>
      <c r="CS55" s="5"/>
      <c r="CT55" s="5"/>
      <c r="CU55" s="5"/>
      <c r="CV55" s="236"/>
      <c r="CW55" s="5"/>
      <c r="CX55" s="5"/>
      <c r="CY55" s="5"/>
      <c r="CZ55" s="5"/>
      <c r="DA55" s="5"/>
      <c r="DB55" s="5"/>
      <c r="DC55" s="236"/>
      <c r="DD55" s="104"/>
      <c r="DE55" s="103"/>
      <c r="DF55" s="103"/>
      <c r="DG55" s="103"/>
      <c r="DH55" s="103"/>
      <c r="DI55" s="5"/>
      <c r="DJ55" s="172"/>
      <c r="DK55" s="104"/>
      <c r="DL55" s="104"/>
      <c r="DM55" s="103"/>
      <c r="DN55" s="102"/>
      <c r="DO55" s="104"/>
      <c r="DP55" s="104"/>
      <c r="DQ55" s="103"/>
      <c r="DR55" s="102"/>
      <c r="DS55" s="104"/>
      <c r="DT55" s="104"/>
      <c r="DU55" s="103"/>
      <c r="DV55" s="102"/>
      <c r="DW55" s="104"/>
      <c r="DX55" s="104"/>
      <c r="DY55" s="103"/>
      <c r="DZ55" s="102"/>
      <c r="EA55" s="104"/>
      <c r="EB55" s="104"/>
      <c r="EC55" s="103"/>
      <c r="ED55" s="102"/>
      <c r="EE55" s="236"/>
      <c r="EF55" s="5"/>
    </row>
    <row r="56" spans="1:136" s="3" customFormat="1" x14ac:dyDescent="0.15">
      <c r="A56" s="86"/>
      <c r="B56" s="65"/>
      <c r="C56" s="86"/>
      <c r="E56" s="4"/>
      <c r="F56" s="65"/>
      <c r="G56" s="65"/>
      <c r="H56" s="86"/>
      <c r="I56" s="65"/>
      <c r="J56" s="236"/>
      <c r="K56" s="5"/>
      <c r="L56" s="65"/>
      <c r="M56" s="5"/>
      <c r="N56" s="5"/>
      <c r="O56" s="190"/>
      <c r="P56" s="236"/>
      <c r="Q56" s="5"/>
      <c r="R56" s="5"/>
      <c r="S56" s="4"/>
      <c r="T56" s="4"/>
      <c r="U56" s="5"/>
      <c r="V56" s="5"/>
      <c r="W56" s="5"/>
      <c r="X56" s="86"/>
      <c r="Y56" s="86"/>
      <c r="Z56" s="177"/>
      <c r="AA56" s="5"/>
      <c r="AB56" s="190"/>
      <c r="AC56" s="190"/>
      <c r="AD56" s="236"/>
      <c r="AE56" s="190"/>
      <c r="AF56" s="190"/>
      <c r="AG56" s="190"/>
      <c r="AH56" s="190"/>
      <c r="AI56" s="190"/>
      <c r="AJ56" s="190"/>
      <c r="AK56" s="236"/>
      <c r="AL56" s="190"/>
      <c r="AM56" s="236"/>
      <c r="AN56" s="41"/>
      <c r="AO56" s="41"/>
      <c r="AP56" s="5"/>
      <c r="AQ56" s="4"/>
      <c r="AR56" s="4"/>
      <c r="AS56" s="4"/>
      <c r="AT56" s="5"/>
      <c r="AU56" s="5"/>
      <c r="AV56" s="5"/>
      <c r="AW56" s="236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37"/>
      <c r="BM56" s="5"/>
      <c r="BN56" s="5"/>
      <c r="BO56" s="5"/>
      <c r="BP56" s="236"/>
      <c r="BQ56" s="58"/>
      <c r="BR56" s="59"/>
      <c r="BS56" s="61"/>
      <c r="BT56" s="58"/>
      <c r="BU56" s="60"/>
      <c r="BV56" s="60"/>
      <c r="BW56" s="60"/>
      <c r="BX56" s="60"/>
      <c r="BY56" s="60"/>
      <c r="BZ56" s="61"/>
      <c r="CA56" s="61"/>
      <c r="CB56" s="61"/>
      <c r="CC56" s="61"/>
      <c r="CD56" s="59"/>
      <c r="CE56" s="59"/>
      <c r="CF56" s="59"/>
      <c r="CG56" s="59"/>
      <c r="CH56" s="61"/>
      <c r="CI56" s="61"/>
      <c r="CJ56" s="59"/>
      <c r="CK56" s="59"/>
      <c r="CL56" s="59"/>
      <c r="CM56" s="60"/>
      <c r="CN56" s="59"/>
      <c r="CO56" s="59"/>
      <c r="CP56" s="59"/>
      <c r="CQ56" s="236"/>
      <c r="CR56" s="37"/>
      <c r="CS56" s="5"/>
      <c r="CT56" s="5"/>
      <c r="CU56" s="5"/>
      <c r="CV56" s="236"/>
      <c r="CW56" s="5"/>
      <c r="CX56" s="5"/>
      <c r="CY56" s="5"/>
      <c r="CZ56" s="5"/>
      <c r="DA56" s="5"/>
      <c r="DB56" s="5"/>
      <c r="DC56" s="236"/>
      <c r="DD56" s="104"/>
      <c r="DE56" s="103"/>
      <c r="DF56" s="103"/>
      <c r="DG56" s="103"/>
      <c r="DH56" s="103"/>
      <c r="DI56" s="5"/>
      <c r="DJ56" s="172"/>
      <c r="DK56" s="104"/>
      <c r="DL56" s="104"/>
      <c r="DM56" s="103"/>
      <c r="DN56" s="102"/>
      <c r="DO56" s="104"/>
      <c r="DP56" s="104"/>
      <c r="DQ56" s="103"/>
      <c r="DR56" s="102"/>
      <c r="DS56" s="104"/>
      <c r="DT56" s="104"/>
      <c r="DU56" s="103"/>
      <c r="DV56" s="102"/>
      <c r="DW56" s="104"/>
      <c r="DX56" s="104"/>
      <c r="DY56" s="103"/>
      <c r="DZ56" s="102"/>
      <c r="EA56" s="104"/>
      <c r="EB56" s="104"/>
      <c r="EC56" s="103"/>
      <c r="ED56" s="102"/>
      <c r="EE56" s="236"/>
      <c r="EF56" s="5"/>
    </row>
    <row r="57" spans="1:136" s="3" customFormat="1" x14ac:dyDescent="0.15">
      <c r="A57" s="86"/>
      <c r="B57" s="65"/>
      <c r="C57" s="86"/>
      <c r="E57" s="4"/>
      <c r="F57" s="65"/>
      <c r="G57" s="65"/>
      <c r="H57" s="86"/>
      <c r="I57" s="65"/>
      <c r="J57" s="236"/>
      <c r="K57" s="5"/>
      <c r="L57" s="65"/>
      <c r="M57" s="5"/>
      <c r="N57" s="5"/>
      <c r="O57" s="190"/>
      <c r="P57" s="236"/>
      <c r="Q57" s="5"/>
      <c r="R57" s="5"/>
      <c r="S57" s="4"/>
      <c r="T57" s="4"/>
      <c r="U57" s="5"/>
      <c r="V57" s="5"/>
      <c r="W57" s="5"/>
      <c r="X57" s="86"/>
      <c r="Y57" s="86"/>
      <c r="Z57" s="177"/>
      <c r="AA57" s="5"/>
      <c r="AB57" s="190"/>
      <c r="AC57" s="190"/>
      <c r="AD57" s="236"/>
      <c r="AE57" s="190"/>
      <c r="AF57" s="190"/>
      <c r="AG57" s="190"/>
      <c r="AH57" s="190"/>
      <c r="AI57" s="190"/>
      <c r="AJ57" s="190"/>
      <c r="AK57" s="236"/>
      <c r="AL57" s="190"/>
      <c r="AM57" s="236"/>
      <c r="AN57" s="41"/>
      <c r="AO57" s="41"/>
      <c r="AP57" s="5"/>
      <c r="AQ57" s="4"/>
      <c r="AR57" s="4"/>
      <c r="AS57" s="4"/>
      <c r="AT57" s="5"/>
      <c r="AU57" s="5"/>
      <c r="AV57" s="5"/>
      <c r="AW57" s="236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37"/>
      <c r="BM57" s="5"/>
      <c r="BN57" s="5"/>
      <c r="BO57" s="5"/>
      <c r="BP57" s="236"/>
      <c r="BQ57" s="58"/>
      <c r="BR57" s="59"/>
      <c r="BS57" s="61"/>
      <c r="BT57" s="58"/>
      <c r="BU57" s="60"/>
      <c r="BV57" s="60"/>
      <c r="BW57" s="60"/>
      <c r="BX57" s="60"/>
      <c r="BY57" s="60"/>
      <c r="BZ57" s="61"/>
      <c r="CA57" s="61"/>
      <c r="CB57" s="61"/>
      <c r="CC57" s="61"/>
      <c r="CD57" s="59"/>
      <c r="CE57" s="59"/>
      <c r="CF57" s="59"/>
      <c r="CG57" s="59"/>
      <c r="CH57" s="61"/>
      <c r="CI57" s="61"/>
      <c r="CJ57" s="59"/>
      <c r="CK57" s="59"/>
      <c r="CL57" s="59"/>
      <c r="CM57" s="60"/>
      <c r="CN57" s="59"/>
      <c r="CO57" s="59"/>
      <c r="CP57" s="59"/>
      <c r="CQ57" s="236"/>
      <c r="CR57" s="37"/>
      <c r="CS57" s="5"/>
      <c r="CT57" s="5"/>
      <c r="CU57" s="5"/>
      <c r="CV57" s="236"/>
      <c r="CW57" s="5"/>
      <c r="CX57" s="5"/>
      <c r="CY57" s="5"/>
      <c r="CZ57" s="5"/>
      <c r="DA57" s="5"/>
      <c r="DB57" s="5"/>
      <c r="DC57" s="236"/>
      <c r="DD57" s="104"/>
      <c r="DE57" s="103"/>
      <c r="DF57" s="103"/>
      <c r="DG57" s="103"/>
      <c r="DH57" s="103"/>
      <c r="DI57" s="5"/>
      <c r="DJ57" s="172"/>
      <c r="DK57" s="104"/>
      <c r="DL57" s="104"/>
      <c r="DM57" s="103"/>
      <c r="DN57" s="102"/>
      <c r="DO57" s="104"/>
      <c r="DP57" s="104"/>
      <c r="DQ57" s="103"/>
      <c r="DR57" s="102"/>
      <c r="DS57" s="104"/>
      <c r="DT57" s="104"/>
      <c r="DU57" s="103"/>
      <c r="DV57" s="102"/>
      <c r="DW57" s="104"/>
      <c r="DX57" s="104"/>
      <c r="DY57" s="103"/>
      <c r="DZ57" s="102"/>
      <c r="EA57" s="104"/>
      <c r="EB57" s="104"/>
      <c r="EC57" s="103"/>
      <c r="ED57" s="102"/>
      <c r="EE57" s="236"/>
      <c r="EF57" s="5"/>
    </row>
    <row r="58" spans="1:136" s="3" customFormat="1" x14ac:dyDescent="0.15">
      <c r="A58" s="86"/>
      <c r="B58" s="65"/>
      <c r="C58" s="86"/>
      <c r="E58" s="4"/>
      <c r="F58" s="65"/>
      <c r="G58" s="65"/>
      <c r="H58" s="86"/>
      <c r="I58" s="65"/>
      <c r="J58" s="236"/>
      <c r="K58" s="5"/>
      <c r="L58" s="65"/>
      <c r="M58" s="5"/>
      <c r="N58" s="5"/>
      <c r="O58" s="190"/>
      <c r="P58" s="236"/>
      <c r="Q58" s="5"/>
      <c r="R58" s="5"/>
      <c r="S58" s="4"/>
      <c r="T58" s="4"/>
      <c r="U58" s="5"/>
      <c r="V58" s="5"/>
      <c r="W58" s="5"/>
      <c r="X58" s="86"/>
      <c r="Y58" s="86"/>
      <c r="Z58" s="177"/>
      <c r="AA58" s="5"/>
      <c r="AB58" s="190"/>
      <c r="AC58" s="190"/>
      <c r="AD58" s="236"/>
      <c r="AE58" s="190"/>
      <c r="AF58" s="190"/>
      <c r="AG58" s="190"/>
      <c r="AH58" s="190"/>
      <c r="AI58" s="190"/>
      <c r="AJ58" s="190"/>
      <c r="AK58" s="236"/>
      <c r="AL58" s="190"/>
      <c r="AM58" s="236"/>
      <c r="AN58" s="41"/>
      <c r="AO58" s="41"/>
      <c r="AP58" s="5"/>
      <c r="AQ58" s="4"/>
      <c r="AR58" s="4"/>
      <c r="AS58" s="4"/>
      <c r="AT58" s="5"/>
      <c r="AU58" s="5"/>
      <c r="AV58" s="5"/>
      <c r="AW58" s="236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37"/>
      <c r="BM58" s="5"/>
      <c r="BN58" s="5"/>
      <c r="BO58" s="5"/>
      <c r="BP58" s="236"/>
      <c r="BQ58" s="58"/>
      <c r="BR58" s="59"/>
      <c r="BS58" s="61"/>
      <c r="BT58" s="58"/>
      <c r="BU58" s="60"/>
      <c r="BV58" s="60"/>
      <c r="BW58" s="60"/>
      <c r="BX58" s="60"/>
      <c r="BY58" s="60"/>
      <c r="BZ58" s="61"/>
      <c r="CA58" s="61"/>
      <c r="CB58" s="61"/>
      <c r="CC58" s="61"/>
      <c r="CD58" s="59"/>
      <c r="CE58" s="59"/>
      <c r="CF58" s="59"/>
      <c r="CG58" s="59"/>
      <c r="CH58" s="61"/>
      <c r="CI58" s="61"/>
      <c r="CJ58" s="59"/>
      <c r="CK58" s="59"/>
      <c r="CL58" s="59"/>
      <c r="CM58" s="60"/>
      <c r="CN58" s="59"/>
      <c r="CO58" s="59"/>
      <c r="CP58" s="59"/>
      <c r="CQ58" s="236"/>
      <c r="CR58" s="37"/>
      <c r="CS58" s="5"/>
      <c r="CT58" s="5"/>
      <c r="CU58" s="5"/>
      <c r="CV58" s="236"/>
      <c r="CW58" s="5"/>
      <c r="CX58" s="5"/>
      <c r="CY58" s="5"/>
      <c r="CZ58" s="5"/>
      <c r="DA58" s="5"/>
      <c r="DB58" s="5"/>
      <c r="DC58" s="236"/>
      <c r="DD58" s="104"/>
      <c r="DE58" s="103"/>
      <c r="DF58" s="103"/>
      <c r="DG58" s="103"/>
      <c r="DH58" s="103"/>
      <c r="DI58" s="5"/>
      <c r="DJ58" s="172"/>
      <c r="DK58" s="104"/>
      <c r="DL58" s="104"/>
      <c r="DM58" s="103"/>
      <c r="DN58" s="102"/>
      <c r="DO58" s="104"/>
      <c r="DP58" s="104"/>
      <c r="DQ58" s="103"/>
      <c r="DR58" s="102"/>
      <c r="DS58" s="104"/>
      <c r="DT58" s="104"/>
      <c r="DU58" s="103"/>
      <c r="DV58" s="102"/>
      <c r="DW58" s="104"/>
      <c r="DX58" s="104"/>
      <c r="DY58" s="103"/>
      <c r="DZ58" s="102"/>
      <c r="EA58" s="104"/>
      <c r="EB58" s="104"/>
      <c r="EC58" s="103"/>
      <c r="ED58" s="102"/>
      <c r="EE58" s="236"/>
      <c r="EF58" s="5"/>
    </row>
    <row r="59" spans="1:136" s="3" customFormat="1" x14ac:dyDescent="0.15">
      <c r="A59" s="86"/>
      <c r="B59" s="65"/>
      <c r="C59" s="86"/>
      <c r="E59" s="4"/>
      <c r="F59" s="65"/>
      <c r="G59" s="65"/>
      <c r="H59" s="86"/>
      <c r="I59" s="65"/>
      <c r="J59" s="236"/>
      <c r="K59" s="5"/>
      <c r="L59" s="65"/>
      <c r="M59" s="5"/>
      <c r="N59" s="5"/>
      <c r="O59" s="190"/>
      <c r="P59" s="236"/>
      <c r="Q59" s="5"/>
      <c r="R59" s="5"/>
      <c r="S59" s="4"/>
      <c r="T59" s="4"/>
      <c r="U59" s="5"/>
      <c r="V59" s="5"/>
      <c r="W59" s="5"/>
      <c r="X59" s="86"/>
      <c r="Y59" s="86"/>
      <c r="Z59" s="177"/>
      <c r="AA59" s="5"/>
      <c r="AB59" s="190"/>
      <c r="AC59" s="190"/>
      <c r="AD59" s="236"/>
      <c r="AE59" s="190"/>
      <c r="AF59" s="190"/>
      <c r="AG59" s="190"/>
      <c r="AH59" s="190"/>
      <c r="AI59" s="190"/>
      <c r="AJ59" s="190"/>
      <c r="AK59" s="236"/>
      <c r="AL59" s="190"/>
      <c r="AM59" s="236"/>
      <c r="AN59" s="41"/>
      <c r="AO59" s="41"/>
      <c r="AP59" s="5"/>
      <c r="AQ59" s="4"/>
      <c r="AR59" s="4"/>
      <c r="AS59" s="4"/>
      <c r="AT59" s="5"/>
      <c r="AU59" s="5"/>
      <c r="AV59" s="5"/>
      <c r="AW59" s="236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37"/>
      <c r="BM59" s="5"/>
      <c r="BN59" s="5"/>
      <c r="BO59" s="5"/>
      <c r="BP59" s="236"/>
      <c r="BQ59" s="58"/>
      <c r="BR59" s="59"/>
      <c r="BS59" s="61"/>
      <c r="BT59" s="58"/>
      <c r="BU59" s="60"/>
      <c r="BV59" s="60"/>
      <c r="BW59" s="60"/>
      <c r="BX59" s="60"/>
      <c r="BY59" s="60"/>
      <c r="BZ59" s="61"/>
      <c r="CA59" s="61"/>
      <c r="CB59" s="61"/>
      <c r="CC59" s="61"/>
      <c r="CD59" s="59"/>
      <c r="CE59" s="59"/>
      <c r="CF59" s="59"/>
      <c r="CG59" s="59"/>
      <c r="CH59" s="61"/>
      <c r="CI59" s="61"/>
      <c r="CJ59" s="59"/>
      <c r="CK59" s="59"/>
      <c r="CL59" s="59"/>
      <c r="CM59" s="60"/>
      <c r="CN59" s="59"/>
      <c r="CO59" s="59"/>
      <c r="CP59" s="59"/>
      <c r="CQ59" s="236"/>
      <c r="CR59" s="37"/>
      <c r="CS59" s="5"/>
      <c r="CT59" s="5"/>
      <c r="CU59" s="5"/>
      <c r="CV59" s="236"/>
      <c r="CW59" s="5"/>
      <c r="CX59" s="5"/>
      <c r="CY59" s="5"/>
      <c r="CZ59" s="5"/>
      <c r="DA59" s="5"/>
      <c r="DB59" s="5"/>
      <c r="DC59" s="236"/>
      <c r="DD59" s="104"/>
      <c r="DE59" s="103"/>
      <c r="DF59" s="103"/>
      <c r="DG59" s="103"/>
      <c r="DH59" s="103"/>
      <c r="DI59" s="5"/>
      <c r="DJ59" s="172"/>
      <c r="DK59" s="104"/>
      <c r="DL59" s="104"/>
      <c r="DM59" s="103"/>
      <c r="DN59" s="102"/>
      <c r="DO59" s="104"/>
      <c r="DP59" s="104"/>
      <c r="DQ59" s="103"/>
      <c r="DR59" s="102"/>
      <c r="DS59" s="104"/>
      <c r="DT59" s="104"/>
      <c r="DU59" s="103"/>
      <c r="DV59" s="102"/>
      <c r="DW59" s="104"/>
      <c r="DX59" s="104"/>
      <c r="DY59" s="103"/>
      <c r="DZ59" s="102"/>
      <c r="EA59" s="104"/>
      <c r="EB59" s="104"/>
      <c r="EC59" s="103"/>
      <c r="ED59" s="102"/>
      <c r="EE59" s="236"/>
      <c r="EF59" s="5"/>
    </row>
    <row r="60" spans="1:136" s="3" customFormat="1" x14ac:dyDescent="0.15">
      <c r="A60" s="86"/>
      <c r="B60" s="65"/>
      <c r="C60" s="86"/>
      <c r="E60" s="4"/>
      <c r="F60" s="65"/>
      <c r="G60" s="65"/>
      <c r="H60" s="86"/>
      <c r="I60" s="65"/>
      <c r="J60" s="236"/>
      <c r="K60" s="5"/>
      <c r="L60" s="65"/>
      <c r="M60" s="5"/>
      <c r="N60" s="5"/>
      <c r="O60" s="190"/>
      <c r="P60" s="236"/>
      <c r="Q60" s="5"/>
      <c r="R60" s="5"/>
      <c r="S60" s="4"/>
      <c r="T60" s="4"/>
      <c r="U60" s="5"/>
      <c r="V60" s="5"/>
      <c r="W60" s="5"/>
      <c r="X60" s="86"/>
      <c r="Y60" s="86"/>
      <c r="Z60" s="177"/>
      <c r="AA60" s="5"/>
      <c r="AB60" s="190"/>
      <c r="AC60" s="190"/>
      <c r="AD60" s="236"/>
      <c r="AE60" s="190"/>
      <c r="AF60" s="190"/>
      <c r="AG60" s="190"/>
      <c r="AH60" s="190"/>
      <c r="AI60" s="190"/>
      <c r="AJ60" s="190"/>
      <c r="AK60" s="236"/>
      <c r="AL60" s="190"/>
      <c r="AM60" s="236"/>
      <c r="AN60" s="41"/>
      <c r="AO60" s="41"/>
      <c r="AP60" s="5"/>
      <c r="AQ60" s="4"/>
      <c r="AR60" s="4"/>
      <c r="AS60" s="4"/>
      <c r="AT60" s="5"/>
      <c r="AU60" s="5"/>
      <c r="AV60" s="5"/>
      <c r="AW60" s="236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37"/>
      <c r="BM60" s="5"/>
      <c r="BN60" s="5"/>
      <c r="BO60" s="5"/>
      <c r="BP60" s="236"/>
      <c r="BQ60" s="58"/>
      <c r="BR60" s="59"/>
      <c r="BS60" s="61"/>
      <c r="BT60" s="58"/>
      <c r="BU60" s="60"/>
      <c r="BV60" s="60"/>
      <c r="BW60" s="60"/>
      <c r="BX60" s="60"/>
      <c r="BY60" s="60"/>
      <c r="BZ60" s="61"/>
      <c r="CA60" s="61"/>
      <c r="CB60" s="61"/>
      <c r="CC60" s="61"/>
      <c r="CD60" s="59"/>
      <c r="CE60" s="59"/>
      <c r="CF60" s="59"/>
      <c r="CG60" s="59"/>
      <c r="CH60" s="61"/>
      <c r="CI60" s="61"/>
      <c r="CJ60" s="59"/>
      <c r="CK60" s="59"/>
      <c r="CL60" s="59"/>
      <c r="CM60" s="60"/>
      <c r="CN60" s="59"/>
      <c r="CO60" s="59"/>
      <c r="CP60" s="59"/>
      <c r="CQ60" s="236"/>
      <c r="CR60" s="37"/>
      <c r="CS60" s="5"/>
      <c r="CT60" s="5"/>
      <c r="CU60" s="5"/>
      <c r="CV60" s="236"/>
      <c r="CW60" s="5"/>
      <c r="CX60" s="5"/>
      <c r="CY60" s="5"/>
      <c r="CZ60" s="5"/>
      <c r="DA60" s="5"/>
      <c r="DB60" s="5"/>
      <c r="DC60" s="236"/>
      <c r="DD60" s="104"/>
      <c r="DE60" s="103"/>
      <c r="DF60" s="103"/>
      <c r="DG60" s="103"/>
      <c r="DH60" s="103"/>
      <c r="DI60" s="5"/>
      <c r="DJ60" s="172"/>
      <c r="DK60" s="104"/>
      <c r="DL60" s="104"/>
      <c r="DM60" s="103"/>
      <c r="DN60" s="102"/>
      <c r="DO60" s="104"/>
      <c r="DP60" s="104"/>
      <c r="DQ60" s="103"/>
      <c r="DR60" s="102"/>
      <c r="DS60" s="104"/>
      <c r="DT60" s="104"/>
      <c r="DU60" s="103"/>
      <c r="DV60" s="102"/>
      <c r="DW60" s="104"/>
      <c r="DX60" s="104"/>
      <c r="DY60" s="103"/>
      <c r="DZ60" s="102"/>
      <c r="EA60" s="104"/>
      <c r="EB60" s="104"/>
      <c r="EC60" s="103"/>
      <c r="ED60" s="102"/>
      <c r="EE60" s="236"/>
      <c r="EF60" s="5"/>
    </row>
    <row r="61" spans="1:136" s="3" customFormat="1" x14ac:dyDescent="0.15">
      <c r="A61" s="86"/>
      <c r="B61" s="65"/>
      <c r="C61" s="86"/>
      <c r="E61" s="4"/>
      <c r="F61" s="65"/>
      <c r="G61" s="65"/>
      <c r="H61" s="86"/>
      <c r="I61" s="65"/>
      <c r="J61" s="236"/>
      <c r="K61" s="5"/>
      <c r="L61" s="65"/>
      <c r="M61" s="5"/>
      <c r="N61" s="5"/>
      <c r="O61" s="190"/>
      <c r="P61" s="236"/>
      <c r="Q61" s="5"/>
      <c r="R61" s="5"/>
      <c r="S61" s="4"/>
      <c r="T61" s="4"/>
      <c r="U61" s="5"/>
      <c r="V61" s="5"/>
      <c r="W61" s="5"/>
      <c r="X61" s="86"/>
      <c r="Y61" s="86"/>
      <c r="Z61" s="177"/>
      <c r="AA61" s="5"/>
      <c r="AB61" s="190"/>
      <c r="AC61" s="190"/>
      <c r="AD61" s="236"/>
      <c r="AE61" s="190"/>
      <c r="AF61" s="190"/>
      <c r="AG61" s="190"/>
      <c r="AH61" s="190"/>
      <c r="AI61" s="190"/>
      <c r="AJ61" s="190"/>
      <c r="AK61" s="236"/>
      <c r="AL61" s="190"/>
      <c r="AM61" s="236"/>
      <c r="AN61" s="41"/>
      <c r="AO61" s="41"/>
      <c r="AP61" s="5"/>
      <c r="AQ61" s="4"/>
      <c r="AR61" s="4"/>
      <c r="AS61" s="4"/>
      <c r="AT61" s="5"/>
      <c r="AU61" s="5"/>
      <c r="AV61" s="5"/>
      <c r="AW61" s="236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37"/>
      <c r="BM61" s="5"/>
      <c r="BN61" s="5"/>
      <c r="BO61" s="5"/>
      <c r="BP61" s="236"/>
      <c r="BQ61" s="58"/>
      <c r="BR61" s="59"/>
      <c r="BS61" s="61"/>
      <c r="BT61" s="58"/>
      <c r="BU61" s="60"/>
      <c r="BV61" s="60"/>
      <c r="BW61" s="60"/>
      <c r="BX61" s="60"/>
      <c r="BY61" s="60"/>
      <c r="BZ61" s="61"/>
      <c r="CA61" s="61"/>
      <c r="CB61" s="61"/>
      <c r="CC61" s="61"/>
      <c r="CD61" s="59"/>
      <c r="CE61" s="59"/>
      <c r="CF61" s="59"/>
      <c r="CG61" s="59"/>
      <c r="CH61" s="61"/>
      <c r="CI61" s="61"/>
      <c r="CJ61" s="59"/>
      <c r="CK61" s="59"/>
      <c r="CL61" s="59"/>
      <c r="CM61" s="60"/>
      <c r="CN61" s="59"/>
      <c r="CO61" s="59"/>
      <c r="CP61" s="59"/>
      <c r="CQ61" s="236"/>
      <c r="CR61" s="37"/>
      <c r="CS61" s="5"/>
      <c r="CT61" s="5"/>
      <c r="CU61" s="5"/>
      <c r="CV61" s="236"/>
      <c r="CW61" s="5"/>
      <c r="CX61" s="5"/>
      <c r="CY61" s="5"/>
      <c r="CZ61" s="5"/>
      <c r="DA61" s="5"/>
      <c r="DB61" s="5"/>
      <c r="DC61" s="236"/>
      <c r="DD61" s="104"/>
      <c r="DE61" s="103"/>
      <c r="DF61" s="103"/>
      <c r="DG61" s="103"/>
      <c r="DH61" s="103"/>
      <c r="DI61" s="5"/>
      <c r="DJ61" s="172"/>
      <c r="DK61" s="104"/>
      <c r="DL61" s="104"/>
      <c r="DM61" s="103"/>
      <c r="DN61" s="102"/>
      <c r="DO61" s="104"/>
      <c r="DP61" s="104"/>
      <c r="DQ61" s="103"/>
      <c r="DR61" s="102"/>
      <c r="DS61" s="104"/>
      <c r="DT61" s="104"/>
      <c r="DU61" s="103"/>
      <c r="DV61" s="102"/>
      <c r="DW61" s="104"/>
      <c r="DX61" s="104"/>
      <c r="DY61" s="103"/>
      <c r="DZ61" s="102"/>
      <c r="EA61" s="104"/>
      <c r="EB61" s="104"/>
      <c r="EC61" s="103"/>
      <c r="ED61" s="102"/>
      <c r="EE61" s="236"/>
      <c r="EF61" s="5"/>
    </row>
    <row r="62" spans="1:136" s="3" customFormat="1" x14ac:dyDescent="0.15">
      <c r="A62" s="86"/>
      <c r="B62" s="65"/>
      <c r="C62" s="86"/>
      <c r="E62" s="4"/>
      <c r="F62" s="65"/>
      <c r="G62" s="65"/>
      <c r="H62" s="86"/>
      <c r="I62" s="65"/>
      <c r="J62" s="236"/>
      <c r="K62" s="5"/>
      <c r="L62" s="65"/>
      <c r="M62" s="5"/>
      <c r="N62" s="5"/>
      <c r="O62" s="190"/>
      <c r="P62" s="236"/>
      <c r="Q62" s="5"/>
      <c r="R62" s="5"/>
      <c r="S62" s="4"/>
      <c r="T62" s="4"/>
      <c r="U62" s="5"/>
      <c r="V62" s="5"/>
      <c r="W62" s="5"/>
      <c r="X62" s="86"/>
      <c r="Y62" s="86"/>
      <c r="Z62" s="177"/>
      <c r="AA62" s="5"/>
      <c r="AB62" s="190"/>
      <c r="AC62" s="190"/>
      <c r="AD62" s="236"/>
      <c r="AE62" s="190"/>
      <c r="AF62" s="190"/>
      <c r="AG62" s="190"/>
      <c r="AH62" s="190"/>
      <c r="AI62" s="190"/>
      <c r="AJ62" s="190"/>
      <c r="AK62" s="236"/>
      <c r="AL62" s="190"/>
      <c r="AM62" s="236"/>
      <c r="AN62" s="41"/>
      <c r="AO62" s="41"/>
      <c r="AP62" s="5"/>
      <c r="AQ62" s="4"/>
      <c r="AR62" s="4"/>
      <c r="AS62" s="4"/>
      <c r="AT62" s="5"/>
      <c r="AU62" s="5"/>
      <c r="AV62" s="5"/>
      <c r="AW62" s="236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37"/>
      <c r="BM62" s="5"/>
      <c r="BN62" s="5"/>
      <c r="BO62" s="5"/>
      <c r="BP62" s="236"/>
      <c r="BQ62" s="58"/>
      <c r="BR62" s="59"/>
      <c r="BS62" s="61"/>
      <c r="BT62" s="58"/>
      <c r="BU62" s="60"/>
      <c r="BV62" s="60"/>
      <c r="BW62" s="60"/>
      <c r="BX62" s="60"/>
      <c r="BY62" s="60"/>
      <c r="BZ62" s="61"/>
      <c r="CA62" s="61"/>
      <c r="CB62" s="61"/>
      <c r="CC62" s="61"/>
      <c r="CD62" s="59"/>
      <c r="CE62" s="59"/>
      <c r="CF62" s="59"/>
      <c r="CG62" s="59"/>
      <c r="CH62" s="61"/>
      <c r="CI62" s="61"/>
      <c r="CJ62" s="59"/>
      <c r="CK62" s="59"/>
      <c r="CL62" s="59"/>
      <c r="CM62" s="60"/>
      <c r="CN62" s="59"/>
      <c r="CO62" s="59"/>
      <c r="CP62" s="59"/>
      <c r="CQ62" s="236"/>
      <c r="CR62" s="37"/>
      <c r="CS62" s="5"/>
      <c r="CT62" s="5"/>
      <c r="CU62" s="5"/>
      <c r="CV62" s="236"/>
      <c r="CW62" s="5"/>
      <c r="CX62" s="5"/>
      <c r="CY62" s="5"/>
      <c r="CZ62" s="5"/>
      <c r="DA62" s="5"/>
      <c r="DB62" s="5"/>
      <c r="DC62" s="236"/>
      <c r="DD62" s="104"/>
      <c r="DE62" s="103"/>
      <c r="DF62" s="103"/>
      <c r="DG62" s="103"/>
      <c r="DH62" s="103"/>
      <c r="DI62" s="5"/>
      <c r="DJ62" s="172"/>
      <c r="DK62" s="104"/>
      <c r="DL62" s="104"/>
      <c r="DM62" s="103"/>
      <c r="DN62" s="102"/>
      <c r="DO62" s="104"/>
      <c r="DP62" s="104"/>
      <c r="DQ62" s="103"/>
      <c r="DR62" s="102"/>
      <c r="DS62" s="104"/>
      <c r="DT62" s="104"/>
      <c r="DU62" s="103"/>
      <c r="DV62" s="102"/>
      <c r="DW62" s="104"/>
      <c r="DX62" s="104"/>
      <c r="DY62" s="103"/>
      <c r="DZ62" s="102"/>
      <c r="EA62" s="104"/>
      <c r="EB62" s="104"/>
      <c r="EC62" s="103"/>
      <c r="ED62" s="102"/>
      <c r="EE62" s="236"/>
      <c r="EF62" s="5"/>
    </row>
    <row r="63" spans="1:136" s="3" customFormat="1" x14ac:dyDescent="0.15">
      <c r="A63" s="86"/>
      <c r="B63" s="65"/>
      <c r="C63" s="86"/>
      <c r="E63" s="4"/>
      <c r="F63" s="65"/>
      <c r="G63" s="65"/>
      <c r="H63" s="86"/>
      <c r="I63" s="65"/>
      <c r="J63" s="236"/>
      <c r="K63" s="5"/>
      <c r="L63" s="65"/>
      <c r="M63" s="5"/>
      <c r="N63" s="5"/>
      <c r="O63" s="190"/>
      <c r="P63" s="236"/>
      <c r="Q63" s="5"/>
      <c r="R63" s="5"/>
      <c r="S63" s="4"/>
      <c r="T63" s="4"/>
      <c r="U63" s="5"/>
      <c r="V63" s="5"/>
      <c r="W63" s="5"/>
      <c r="X63" s="86"/>
      <c r="Y63" s="86"/>
      <c r="Z63" s="177"/>
      <c r="AA63" s="5"/>
      <c r="AB63" s="190"/>
      <c r="AC63" s="190"/>
      <c r="AD63" s="236"/>
      <c r="AE63" s="190"/>
      <c r="AF63" s="190"/>
      <c r="AG63" s="190"/>
      <c r="AH63" s="190"/>
      <c r="AI63" s="190"/>
      <c r="AJ63" s="190"/>
      <c r="AK63" s="236"/>
      <c r="AL63" s="190"/>
      <c r="AM63" s="236"/>
      <c r="AN63" s="41"/>
      <c r="AO63" s="41"/>
      <c r="AP63" s="5"/>
      <c r="AQ63" s="4"/>
      <c r="AR63" s="4"/>
      <c r="AS63" s="4"/>
      <c r="AT63" s="5"/>
      <c r="AU63" s="5"/>
      <c r="AV63" s="5"/>
      <c r="AW63" s="236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37"/>
      <c r="BM63" s="5"/>
      <c r="BN63" s="5"/>
      <c r="BO63" s="5"/>
      <c r="BP63" s="236"/>
      <c r="BQ63" s="58"/>
      <c r="BR63" s="59"/>
      <c r="BS63" s="61"/>
      <c r="BT63" s="58"/>
      <c r="BU63" s="60"/>
      <c r="BV63" s="60"/>
      <c r="BW63" s="60"/>
      <c r="BX63" s="60"/>
      <c r="BY63" s="60"/>
      <c r="BZ63" s="61"/>
      <c r="CA63" s="61"/>
      <c r="CB63" s="61"/>
      <c r="CC63" s="61"/>
      <c r="CD63" s="59"/>
      <c r="CE63" s="59"/>
      <c r="CF63" s="59"/>
      <c r="CG63" s="59"/>
      <c r="CH63" s="61"/>
      <c r="CI63" s="61"/>
      <c r="CJ63" s="59"/>
      <c r="CK63" s="59"/>
      <c r="CL63" s="59"/>
      <c r="CM63" s="60"/>
      <c r="CN63" s="59"/>
      <c r="CO63" s="59"/>
      <c r="CP63" s="59"/>
      <c r="CQ63" s="236"/>
      <c r="CR63" s="37"/>
      <c r="CS63" s="5"/>
      <c r="CT63" s="5"/>
      <c r="CU63" s="5"/>
      <c r="CV63" s="236"/>
      <c r="CW63" s="5"/>
      <c r="CX63" s="5"/>
      <c r="CY63" s="5"/>
      <c r="CZ63" s="5"/>
      <c r="DA63" s="5"/>
      <c r="DB63" s="5"/>
      <c r="DC63" s="236"/>
      <c r="DD63" s="104"/>
      <c r="DE63" s="103"/>
      <c r="DF63" s="103"/>
      <c r="DG63" s="103"/>
      <c r="DH63" s="103"/>
      <c r="DI63" s="5"/>
      <c r="DJ63" s="172"/>
      <c r="DK63" s="104"/>
      <c r="DL63" s="104"/>
      <c r="DM63" s="103"/>
      <c r="DN63" s="102"/>
      <c r="DO63" s="104"/>
      <c r="DP63" s="104"/>
      <c r="DQ63" s="103"/>
      <c r="DR63" s="102"/>
      <c r="DS63" s="104"/>
      <c r="DT63" s="104"/>
      <c r="DU63" s="103"/>
      <c r="DV63" s="102"/>
      <c r="DW63" s="104"/>
      <c r="DX63" s="104"/>
      <c r="DY63" s="103"/>
      <c r="DZ63" s="102"/>
      <c r="EA63" s="104"/>
      <c r="EB63" s="104"/>
      <c r="EC63" s="103"/>
      <c r="ED63" s="102"/>
      <c r="EE63" s="236"/>
      <c r="EF63" s="5"/>
    </row>
    <row r="64" spans="1:136" s="3" customFormat="1" x14ac:dyDescent="0.15">
      <c r="A64" s="86"/>
      <c r="B64" s="65"/>
      <c r="C64" s="86"/>
      <c r="E64" s="4"/>
      <c r="F64" s="65"/>
      <c r="G64" s="65"/>
      <c r="H64" s="86"/>
      <c r="I64" s="65"/>
      <c r="J64" s="236"/>
      <c r="K64" s="5"/>
      <c r="L64" s="65"/>
      <c r="M64" s="5"/>
      <c r="N64" s="5"/>
      <c r="O64" s="190"/>
      <c r="P64" s="236"/>
      <c r="Q64" s="5"/>
      <c r="R64" s="5"/>
      <c r="S64" s="4"/>
      <c r="T64" s="4"/>
      <c r="U64" s="5"/>
      <c r="V64" s="5"/>
      <c r="W64" s="5"/>
      <c r="X64" s="86"/>
      <c r="Y64" s="86"/>
      <c r="Z64" s="177"/>
      <c r="AA64" s="5"/>
      <c r="AB64" s="190"/>
      <c r="AC64" s="190"/>
      <c r="AD64" s="236"/>
      <c r="AE64" s="190"/>
      <c r="AF64" s="190"/>
      <c r="AG64" s="190"/>
      <c r="AH64" s="190"/>
      <c r="AI64" s="190"/>
      <c r="AJ64" s="190"/>
      <c r="AK64" s="236"/>
      <c r="AL64" s="190"/>
      <c r="AM64" s="236"/>
      <c r="AN64" s="41"/>
      <c r="AO64" s="41"/>
      <c r="AP64" s="5"/>
      <c r="AQ64" s="4"/>
      <c r="AR64" s="4"/>
      <c r="AS64" s="4"/>
      <c r="AT64" s="5"/>
      <c r="AU64" s="5"/>
      <c r="AV64" s="5"/>
      <c r="AW64" s="236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37"/>
      <c r="BM64" s="5"/>
      <c r="BN64" s="5"/>
      <c r="BO64" s="5"/>
      <c r="BP64" s="236"/>
      <c r="BQ64" s="58"/>
      <c r="BR64" s="59"/>
      <c r="BS64" s="61"/>
      <c r="BT64" s="58"/>
      <c r="BU64" s="60"/>
      <c r="BV64" s="60"/>
      <c r="BW64" s="60"/>
      <c r="BX64" s="60"/>
      <c r="BY64" s="60"/>
      <c r="BZ64" s="61"/>
      <c r="CA64" s="61"/>
      <c r="CB64" s="61"/>
      <c r="CC64" s="61"/>
      <c r="CD64" s="59"/>
      <c r="CE64" s="59"/>
      <c r="CF64" s="59"/>
      <c r="CG64" s="59"/>
      <c r="CH64" s="61"/>
      <c r="CI64" s="61"/>
      <c r="CJ64" s="59"/>
      <c r="CK64" s="59"/>
      <c r="CL64" s="59"/>
      <c r="CM64" s="60"/>
      <c r="CN64" s="59"/>
      <c r="CO64" s="59"/>
      <c r="CP64" s="59"/>
      <c r="CQ64" s="236"/>
      <c r="CR64" s="37"/>
      <c r="CS64" s="5"/>
      <c r="CT64" s="5"/>
      <c r="CU64" s="5"/>
      <c r="CV64" s="236"/>
      <c r="CW64" s="5"/>
      <c r="CX64" s="5"/>
      <c r="CY64" s="5"/>
      <c r="CZ64" s="5"/>
      <c r="DA64" s="5"/>
      <c r="DB64" s="5"/>
      <c r="DC64" s="236"/>
      <c r="DD64" s="104"/>
      <c r="DE64" s="103"/>
      <c r="DF64" s="103"/>
      <c r="DG64" s="103"/>
      <c r="DH64" s="103"/>
      <c r="DI64" s="5"/>
      <c r="DJ64" s="172"/>
      <c r="DK64" s="104"/>
      <c r="DL64" s="104"/>
      <c r="DM64" s="103"/>
      <c r="DN64" s="102"/>
      <c r="DO64" s="104"/>
      <c r="DP64" s="104"/>
      <c r="DQ64" s="103"/>
      <c r="DR64" s="102"/>
      <c r="DS64" s="104"/>
      <c r="DT64" s="104"/>
      <c r="DU64" s="103"/>
      <c r="DV64" s="102"/>
      <c r="DW64" s="104"/>
      <c r="DX64" s="104"/>
      <c r="DY64" s="103"/>
      <c r="DZ64" s="102"/>
      <c r="EA64" s="104"/>
      <c r="EB64" s="104"/>
      <c r="EC64" s="103"/>
      <c r="ED64" s="102"/>
      <c r="EE64" s="236"/>
      <c r="EF64" s="5"/>
    </row>
    <row r="65" spans="1:136" s="3" customFormat="1" x14ac:dyDescent="0.15">
      <c r="A65" s="86"/>
      <c r="B65" s="65"/>
      <c r="C65" s="86"/>
      <c r="E65" s="4"/>
      <c r="F65" s="65"/>
      <c r="G65" s="65"/>
      <c r="H65" s="86"/>
      <c r="I65" s="65"/>
      <c r="J65" s="236"/>
      <c r="K65" s="5"/>
      <c r="L65" s="65"/>
      <c r="M65" s="5"/>
      <c r="N65" s="5"/>
      <c r="O65" s="190"/>
      <c r="P65" s="236"/>
      <c r="Q65" s="5"/>
      <c r="R65" s="5"/>
      <c r="S65" s="4"/>
      <c r="T65" s="4"/>
      <c r="U65" s="5"/>
      <c r="V65" s="5"/>
      <c r="W65" s="5"/>
      <c r="X65" s="86"/>
      <c r="Y65" s="86"/>
      <c r="Z65" s="177"/>
      <c r="AA65" s="5"/>
      <c r="AB65" s="190"/>
      <c r="AC65" s="190"/>
      <c r="AD65" s="236"/>
      <c r="AE65" s="190"/>
      <c r="AF65" s="190"/>
      <c r="AG65" s="190"/>
      <c r="AH65" s="190"/>
      <c r="AI65" s="190"/>
      <c r="AJ65" s="190"/>
      <c r="AK65" s="236"/>
      <c r="AL65" s="190"/>
      <c r="AM65" s="236"/>
      <c r="AN65" s="41"/>
      <c r="AO65" s="41"/>
      <c r="AP65" s="5"/>
      <c r="AQ65" s="4"/>
      <c r="AR65" s="4"/>
      <c r="AS65" s="4"/>
      <c r="AT65" s="5"/>
      <c r="AU65" s="5"/>
      <c r="AV65" s="5"/>
      <c r="AW65" s="236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37"/>
      <c r="BM65" s="5"/>
      <c r="BN65" s="5"/>
      <c r="BO65" s="5"/>
      <c r="BP65" s="236"/>
      <c r="BQ65" s="58"/>
      <c r="BR65" s="59"/>
      <c r="BS65" s="61"/>
      <c r="BT65" s="58"/>
      <c r="BU65" s="60"/>
      <c r="BV65" s="60"/>
      <c r="BW65" s="60"/>
      <c r="BX65" s="60"/>
      <c r="BY65" s="60"/>
      <c r="BZ65" s="61"/>
      <c r="CA65" s="61"/>
      <c r="CB65" s="61"/>
      <c r="CC65" s="61"/>
      <c r="CD65" s="59"/>
      <c r="CE65" s="59"/>
      <c r="CF65" s="59"/>
      <c r="CG65" s="59"/>
      <c r="CH65" s="61"/>
      <c r="CI65" s="61"/>
      <c r="CJ65" s="59"/>
      <c r="CK65" s="59"/>
      <c r="CL65" s="59"/>
      <c r="CM65" s="60"/>
      <c r="CN65" s="59"/>
      <c r="CO65" s="59"/>
      <c r="CP65" s="59"/>
      <c r="CQ65" s="236"/>
      <c r="CR65" s="37"/>
      <c r="CS65" s="5"/>
      <c r="CT65" s="5"/>
      <c r="CU65" s="5"/>
      <c r="CV65" s="236"/>
      <c r="CW65" s="5"/>
      <c r="CX65" s="5"/>
      <c r="CY65" s="5"/>
      <c r="CZ65" s="5"/>
      <c r="DA65" s="5"/>
      <c r="DB65" s="5"/>
      <c r="DC65" s="236"/>
      <c r="DD65" s="104"/>
      <c r="DE65" s="103"/>
      <c r="DF65" s="103"/>
      <c r="DG65" s="103"/>
      <c r="DH65" s="103"/>
      <c r="DI65" s="5"/>
      <c r="DJ65" s="172"/>
      <c r="DK65" s="104"/>
      <c r="DL65" s="104"/>
      <c r="DM65" s="103"/>
      <c r="DN65" s="102"/>
      <c r="DO65" s="104"/>
      <c r="DP65" s="104"/>
      <c r="DQ65" s="103"/>
      <c r="DR65" s="102"/>
      <c r="DS65" s="104"/>
      <c r="DT65" s="104"/>
      <c r="DU65" s="103"/>
      <c r="DV65" s="102"/>
      <c r="DW65" s="104"/>
      <c r="DX65" s="104"/>
      <c r="DY65" s="103"/>
      <c r="DZ65" s="102"/>
      <c r="EA65" s="104"/>
      <c r="EB65" s="104"/>
      <c r="EC65" s="103"/>
      <c r="ED65" s="102"/>
      <c r="EE65" s="236"/>
      <c r="EF65" s="5"/>
    </row>
    <row r="66" spans="1:136" s="3" customFormat="1" x14ac:dyDescent="0.15">
      <c r="A66" s="86"/>
      <c r="B66" s="65"/>
      <c r="C66" s="86"/>
      <c r="E66" s="4"/>
      <c r="F66" s="65"/>
      <c r="G66" s="65"/>
      <c r="H66" s="86"/>
      <c r="I66" s="65"/>
      <c r="J66" s="236"/>
      <c r="K66" s="5"/>
      <c r="L66" s="65"/>
      <c r="M66" s="5"/>
      <c r="N66" s="5"/>
      <c r="O66" s="190"/>
      <c r="P66" s="236"/>
      <c r="Q66" s="5"/>
      <c r="R66" s="5"/>
      <c r="S66" s="4"/>
      <c r="T66" s="4"/>
      <c r="U66" s="5"/>
      <c r="V66" s="5"/>
      <c r="W66" s="5"/>
      <c r="X66" s="86"/>
      <c r="Y66" s="86"/>
      <c r="Z66" s="177"/>
      <c r="AA66" s="5"/>
      <c r="AB66" s="190"/>
      <c r="AC66" s="190"/>
      <c r="AD66" s="236"/>
      <c r="AE66" s="190"/>
      <c r="AF66" s="190"/>
      <c r="AG66" s="190"/>
      <c r="AH66" s="190"/>
      <c r="AI66" s="190"/>
      <c r="AJ66" s="190"/>
      <c r="AK66" s="236"/>
      <c r="AL66" s="190"/>
      <c r="AM66" s="236"/>
      <c r="AN66" s="41"/>
      <c r="AO66" s="41"/>
      <c r="AP66" s="5"/>
      <c r="AQ66" s="4"/>
      <c r="AR66" s="4"/>
      <c r="AS66" s="4"/>
      <c r="AT66" s="5"/>
      <c r="AU66" s="5"/>
      <c r="AV66" s="5"/>
      <c r="AW66" s="236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37"/>
      <c r="BM66" s="5"/>
      <c r="BN66" s="5"/>
      <c r="BO66" s="5"/>
      <c r="BP66" s="236"/>
      <c r="BQ66" s="58"/>
      <c r="BR66" s="59"/>
      <c r="BS66" s="61"/>
      <c r="BT66" s="58"/>
      <c r="BU66" s="60"/>
      <c r="BV66" s="60"/>
      <c r="BW66" s="60"/>
      <c r="BX66" s="60"/>
      <c r="BY66" s="60"/>
      <c r="BZ66" s="61"/>
      <c r="CA66" s="61"/>
      <c r="CB66" s="61"/>
      <c r="CC66" s="61"/>
      <c r="CD66" s="59"/>
      <c r="CE66" s="59"/>
      <c r="CF66" s="59"/>
      <c r="CG66" s="59"/>
      <c r="CH66" s="61"/>
      <c r="CI66" s="61"/>
      <c r="CJ66" s="59"/>
      <c r="CK66" s="59"/>
      <c r="CL66" s="59"/>
      <c r="CM66" s="60"/>
      <c r="CN66" s="59"/>
      <c r="CO66" s="59"/>
      <c r="CP66" s="59"/>
      <c r="CQ66" s="236"/>
      <c r="CR66" s="37"/>
      <c r="CS66" s="5"/>
      <c r="CT66" s="5"/>
      <c r="CU66" s="5"/>
      <c r="CV66" s="236"/>
      <c r="CW66" s="5"/>
      <c r="CX66" s="5"/>
      <c r="CY66" s="5"/>
      <c r="CZ66" s="5"/>
      <c r="DA66" s="5"/>
      <c r="DB66" s="5"/>
      <c r="DC66" s="236"/>
      <c r="DD66" s="104"/>
      <c r="DE66" s="103"/>
      <c r="DF66" s="103"/>
      <c r="DG66" s="103"/>
      <c r="DH66" s="103"/>
      <c r="DI66" s="5"/>
      <c r="DJ66" s="172"/>
      <c r="DK66" s="104"/>
      <c r="DL66" s="104"/>
      <c r="DM66" s="103"/>
      <c r="DN66" s="102"/>
      <c r="DO66" s="104"/>
      <c r="DP66" s="104"/>
      <c r="DQ66" s="103"/>
      <c r="DR66" s="102"/>
      <c r="DS66" s="104"/>
      <c r="DT66" s="104"/>
      <c r="DU66" s="103"/>
      <c r="DV66" s="102"/>
      <c r="DW66" s="104"/>
      <c r="DX66" s="104"/>
      <c r="DY66" s="103"/>
      <c r="DZ66" s="102"/>
      <c r="EA66" s="104"/>
      <c r="EB66" s="104"/>
      <c r="EC66" s="103"/>
      <c r="ED66" s="102"/>
      <c r="EE66" s="236"/>
      <c r="EF66" s="5"/>
    </row>
    <row r="67" spans="1:136" s="3" customFormat="1" x14ac:dyDescent="0.15">
      <c r="A67" s="86"/>
      <c r="B67" s="65"/>
      <c r="C67" s="86"/>
      <c r="E67" s="4"/>
      <c r="F67" s="65"/>
      <c r="G67" s="65"/>
      <c r="H67" s="86"/>
      <c r="I67" s="65"/>
      <c r="J67" s="236"/>
      <c r="K67" s="5"/>
      <c r="L67" s="65"/>
      <c r="M67" s="5"/>
      <c r="N67" s="5"/>
      <c r="O67" s="190"/>
      <c r="P67" s="236"/>
      <c r="Q67" s="5"/>
      <c r="R67" s="5"/>
      <c r="S67" s="4"/>
      <c r="T67" s="4"/>
      <c r="U67" s="5"/>
      <c r="V67" s="5"/>
      <c r="W67" s="5"/>
      <c r="X67" s="86"/>
      <c r="Y67" s="86"/>
      <c r="Z67" s="177"/>
      <c r="AA67" s="5"/>
      <c r="AB67" s="190"/>
      <c r="AC67" s="190"/>
      <c r="AD67" s="236"/>
      <c r="AE67" s="190"/>
      <c r="AF67" s="190"/>
      <c r="AG67" s="190"/>
      <c r="AH67" s="190"/>
      <c r="AI67" s="190"/>
      <c r="AJ67" s="190"/>
      <c r="AK67" s="236"/>
      <c r="AL67" s="190"/>
      <c r="AM67" s="236"/>
      <c r="AN67" s="41"/>
      <c r="AO67" s="41"/>
      <c r="AP67" s="5"/>
      <c r="AQ67" s="4"/>
      <c r="AR67" s="4"/>
      <c r="AS67" s="4"/>
      <c r="AT67" s="5"/>
      <c r="AU67" s="5"/>
      <c r="AV67" s="5"/>
      <c r="AW67" s="236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37"/>
      <c r="BM67" s="5"/>
      <c r="BN67" s="5"/>
      <c r="BO67" s="5"/>
      <c r="BP67" s="236"/>
      <c r="BQ67" s="58"/>
      <c r="BR67" s="59"/>
      <c r="BS67" s="61"/>
      <c r="BT67" s="58"/>
      <c r="BU67" s="60"/>
      <c r="BV67" s="60"/>
      <c r="BW67" s="60"/>
      <c r="BX67" s="60"/>
      <c r="BY67" s="60"/>
      <c r="BZ67" s="61"/>
      <c r="CA67" s="61"/>
      <c r="CB67" s="61"/>
      <c r="CC67" s="61"/>
      <c r="CD67" s="59"/>
      <c r="CE67" s="59"/>
      <c r="CF67" s="59"/>
      <c r="CG67" s="59"/>
      <c r="CH67" s="61"/>
      <c r="CI67" s="61"/>
      <c r="CJ67" s="59"/>
      <c r="CK67" s="59"/>
      <c r="CL67" s="59"/>
      <c r="CM67" s="60"/>
      <c r="CN67" s="59"/>
      <c r="CO67" s="59"/>
      <c r="CP67" s="59"/>
      <c r="CQ67" s="236"/>
      <c r="CR67" s="37"/>
      <c r="CS67" s="5"/>
      <c r="CT67" s="5"/>
      <c r="CU67" s="5"/>
      <c r="CV67" s="236"/>
      <c r="CW67" s="5"/>
      <c r="CX67" s="5"/>
      <c r="CY67" s="5"/>
      <c r="CZ67" s="5"/>
      <c r="DA67" s="5"/>
      <c r="DB67" s="5"/>
      <c r="DC67" s="236"/>
      <c r="DD67" s="104"/>
      <c r="DE67" s="103"/>
      <c r="DF67" s="103"/>
      <c r="DG67" s="103"/>
      <c r="DH67" s="103"/>
      <c r="DI67" s="5"/>
      <c r="DJ67" s="172"/>
      <c r="DK67" s="104"/>
      <c r="DL67" s="104"/>
      <c r="DM67" s="103"/>
      <c r="DN67" s="102"/>
      <c r="DO67" s="104"/>
      <c r="DP67" s="104"/>
      <c r="DQ67" s="103"/>
      <c r="DR67" s="102"/>
      <c r="DS67" s="104"/>
      <c r="DT67" s="104"/>
      <c r="DU67" s="103"/>
      <c r="DV67" s="102"/>
      <c r="DW67" s="104"/>
      <c r="DX67" s="104"/>
      <c r="DY67" s="103"/>
      <c r="DZ67" s="102"/>
      <c r="EA67" s="104"/>
      <c r="EB67" s="104"/>
      <c r="EC67" s="103"/>
      <c r="ED67" s="102"/>
      <c r="EE67" s="236"/>
      <c r="EF67" s="5"/>
    </row>
    <row r="68" spans="1:136" s="3" customFormat="1" x14ac:dyDescent="0.15">
      <c r="A68" s="86"/>
      <c r="B68" s="65"/>
      <c r="C68" s="86"/>
      <c r="E68" s="4"/>
      <c r="F68" s="65"/>
      <c r="G68" s="65"/>
      <c r="H68" s="86"/>
      <c r="I68" s="65"/>
      <c r="J68" s="236"/>
      <c r="K68" s="5"/>
      <c r="L68" s="65"/>
      <c r="M68" s="5"/>
      <c r="N68" s="5"/>
      <c r="O68" s="190"/>
      <c r="P68" s="236"/>
      <c r="Q68" s="5"/>
      <c r="R68" s="5"/>
      <c r="S68" s="4"/>
      <c r="T68" s="4"/>
      <c r="U68" s="5"/>
      <c r="V68" s="5"/>
      <c r="W68" s="5"/>
      <c r="X68" s="86"/>
      <c r="Y68" s="86"/>
      <c r="Z68" s="177"/>
      <c r="AA68" s="5"/>
      <c r="AB68" s="190"/>
      <c r="AC68" s="190"/>
      <c r="AD68" s="236"/>
      <c r="AE68" s="190"/>
      <c r="AF68" s="190"/>
      <c r="AG68" s="190"/>
      <c r="AH68" s="190"/>
      <c r="AI68" s="190"/>
      <c r="AJ68" s="190"/>
      <c r="AK68" s="236"/>
      <c r="AL68" s="190"/>
      <c r="AM68" s="236"/>
      <c r="AN68" s="41"/>
      <c r="AO68" s="41"/>
      <c r="AP68" s="5"/>
      <c r="AQ68" s="4"/>
      <c r="AR68" s="4"/>
      <c r="AS68" s="4"/>
      <c r="AT68" s="5"/>
      <c r="AU68" s="5"/>
      <c r="AV68" s="5"/>
      <c r="AW68" s="236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37"/>
      <c r="BM68" s="5"/>
      <c r="BN68" s="5"/>
      <c r="BO68" s="5"/>
      <c r="BP68" s="236"/>
      <c r="BQ68" s="58"/>
      <c r="BR68" s="59"/>
      <c r="BS68" s="61"/>
      <c r="BT68" s="58"/>
      <c r="BU68" s="60"/>
      <c r="BV68" s="60"/>
      <c r="BW68" s="60"/>
      <c r="BX68" s="60"/>
      <c r="BY68" s="60"/>
      <c r="BZ68" s="61"/>
      <c r="CA68" s="61"/>
      <c r="CB68" s="61"/>
      <c r="CC68" s="61"/>
      <c r="CD68" s="59"/>
      <c r="CE68" s="59"/>
      <c r="CF68" s="59"/>
      <c r="CG68" s="59"/>
      <c r="CH68" s="61"/>
      <c r="CI68" s="61"/>
      <c r="CJ68" s="59"/>
      <c r="CK68" s="59"/>
      <c r="CL68" s="59"/>
      <c r="CM68" s="60"/>
      <c r="CN68" s="59"/>
      <c r="CO68" s="59"/>
      <c r="CP68" s="59"/>
      <c r="CQ68" s="236"/>
      <c r="CR68" s="37"/>
      <c r="CS68" s="5"/>
      <c r="CT68" s="5"/>
      <c r="CU68" s="5"/>
      <c r="CV68" s="236"/>
      <c r="CW68" s="5"/>
      <c r="CX68" s="5"/>
      <c r="CY68" s="5"/>
      <c r="CZ68" s="5"/>
      <c r="DA68" s="5"/>
      <c r="DB68" s="5"/>
      <c r="DC68" s="236"/>
      <c r="DD68" s="104"/>
      <c r="DE68" s="103"/>
      <c r="DF68" s="103"/>
      <c r="DG68" s="103"/>
      <c r="DH68" s="103"/>
      <c r="DI68" s="5"/>
      <c r="DJ68" s="172"/>
      <c r="DK68" s="104"/>
      <c r="DL68" s="104"/>
      <c r="DM68" s="103"/>
      <c r="DN68" s="102"/>
      <c r="DO68" s="104"/>
      <c r="DP68" s="104"/>
      <c r="DQ68" s="103"/>
      <c r="DR68" s="102"/>
      <c r="DS68" s="104"/>
      <c r="DT68" s="104"/>
      <c r="DU68" s="103"/>
      <c r="DV68" s="102"/>
      <c r="DW68" s="104"/>
      <c r="DX68" s="104"/>
      <c r="DY68" s="103"/>
      <c r="DZ68" s="102"/>
      <c r="EA68" s="104"/>
      <c r="EB68" s="104"/>
      <c r="EC68" s="103"/>
      <c r="ED68" s="102"/>
      <c r="EE68" s="236"/>
      <c r="EF68" s="5"/>
    </row>
    <row r="69" spans="1:136" s="3" customFormat="1" x14ac:dyDescent="0.15">
      <c r="A69" s="86"/>
      <c r="B69" s="65"/>
      <c r="C69" s="86"/>
      <c r="E69" s="4"/>
      <c r="F69" s="65"/>
      <c r="G69" s="65"/>
      <c r="H69" s="86"/>
      <c r="I69" s="65"/>
      <c r="J69" s="236"/>
      <c r="K69" s="5"/>
      <c r="L69" s="65"/>
      <c r="M69" s="5"/>
      <c r="N69" s="5"/>
      <c r="O69" s="190"/>
      <c r="P69" s="236"/>
      <c r="Q69" s="5"/>
      <c r="R69" s="5"/>
      <c r="S69" s="4"/>
      <c r="T69" s="4"/>
      <c r="U69" s="5"/>
      <c r="V69" s="5"/>
      <c r="W69" s="5"/>
      <c r="X69" s="86"/>
      <c r="Y69" s="86"/>
      <c r="Z69" s="177"/>
      <c r="AA69" s="5"/>
      <c r="AB69" s="190"/>
      <c r="AC69" s="190"/>
      <c r="AD69" s="236"/>
      <c r="AE69" s="190"/>
      <c r="AF69" s="190"/>
      <c r="AG69" s="190"/>
      <c r="AH69" s="190"/>
      <c r="AI69" s="190"/>
      <c r="AJ69" s="190"/>
      <c r="AK69" s="236"/>
      <c r="AL69" s="190"/>
      <c r="AM69" s="236"/>
      <c r="AN69" s="41"/>
      <c r="AO69" s="41"/>
      <c r="AP69" s="5"/>
      <c r="AQ69" s="4"/>
      <c r="AR69" s="4"/>
      <c r="AS69" s="4"/>
      <c r="AT69" s="5"/>
      <c r="AU69" s="5"/>
      <c r="AV69" s="5"/>
      <c r="AW69" s="236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37"/>
      <c r="BM69" s="5"/>
      <c r="BN69" s="5"/>
      <c r="BO69" s="5"/>
      <c r="BP69" s="236"/>
      <c r="BQ69" s="58"/>
      <c r="BR69" s="59"/>
      <c r="BS69" s="61"/>
      <c r="BT69" s="58"/>
      <c r="BU69" s="60"/>
      <c r="BV69" s="60"/>
      <c r="BW69" s="60"/>
      <c r="BX69" s="60"/>
      <c r="BY69" s="60"/>
      <c r="BZ69" s="61"/>
      <c r="CA69" s="61"/>
      <c r="CB69" s="61"/>
      <c r="CC69" s="61"/>
      <c r="CD69" s="59"/>
      <c r="CE69" s="59"/>
      <c r="CF69" s="59"/>
      <c r="CG69" s="59"/>
      <c r="CH69" s="61"/>
      <c r="CI69" s="61"/>
      <c r="CJ69" s="59"/>
      <c r="CK69" s="59"/>
      <c r="CL69" s="59"/>
      <c r="CM69" s="60"/>
      <c r="CN69" s="59"/>
      <c r="CO69" s="59"/>
      <c r="CP69" s="59"/>
      <c r="CQ69" s="236"/>
      <c r="CR69" s="37"/>
      <c r="CS69" s="5"/>
      <c r="CT69" s="5"/>
      <c r="CU69" s="5"/>
      <c r="CV69" s="236"/>
      <c r="CW69" s="5"/>
      <c r="CX69" s="5"/>
      <c r="CY69" s="5"/>
      <c r="CZ69" s="5"/>
      <c r="DA69" s="5"/>
      <c r="DB69" s="5"/>
      <c r="DC69" s="236"/>
      <c r="DD69" s="104"/>
      <c r="DE69" s="103"/>
      <c r="DF69" s="103"/>
      <c r="DG69" s="103"/>
      <c r="DH69" s="103"/>
      <c r="DI69" s="5"/>
      <c r="DJ69" s="172"/>
      <c r="DK69" s="104"/>
      <c r="DL69" s="104"/>
      <c r="DM69" s="103"/>
      <c r="DN69" s="102"/>
      <c r="DO69" s="104"/>
      <c r="DP69" s="104"/>
      <c r="DQ69" s="103"/>
      <c r="DR69" s="102"/>
      <c r="DS69" s="104"/>
      <c r="DT69" s="104"/>
      <c r="DU69" s="103"/>
      <c r="DV69" s="102"/>
      <c r="DW69" s="104"/>
      <c r="DX69" s="104"/>
      <c r="DY69" s="103"/>
      <c r="DZ69" s="102"/>
      <c r="EA69" s="104"/>
      <c r="EB69" s="104"/>
      <c r="EC69" s="103"/>
      <c r="ED69" s="102"/>
      <c r="EE69" s="236"/>
      <c r="EF69" s="5"/>
    </row>
    <row r="70" spans="1:136" s="3" customFormat="1" x14ac:dyDescent="0.15">
      <c r="A70" s="86"/>
      <c r="B70" s="65"/>
      <c r="C70" s="86"/>
      <c r="E70" s="4"/>
      <c r="F70" s="65"/>
      <c r="G70" s="65"/>
      <c r="H70" s="86"/>
      <c r="I70" s="65"/>
      <c r="J70" s="236"/>
      <c r="K70" s="5"/>
      <c r="L70" s="65"/>
      <c r="M70" s="5"/>
      <c r="N70" s="5"/>
      <c r="O70" s="190"/>
      <c r="P70" s="236"/>
      <c r="Q70" s="5"/>
      <c r="R70" s="5"/>
      <c r="S70" s="4"/>
      <c r="T70" s="4"/>
      <c r="U70" s="5"/>
      <c r="V70" s="5"/>
      <c r="W70" s="5"/>
      <c r="X70" s="86"/>
      <c r="Y70" s="86"/>
      <c r="Z70" s="177"/>
      <c r="AA70" s="5"/>
      <c r="AB70" s="190"/>
      <c r="AC70" s="190"/>
      <c r="AD70" s="236"/>
      <c r="AE70" s="190"/>
      <c r="AF70" s="190"/>
      <c r="AG70" s="190"/>
      <c r="AH70" s="190"/>
      <c r="AI70" s="190"/>
      <c r="AJ70" s="190"/>
      <c r="AK70" s="236"/>
      <c r="AL70" s="190"/>
      <c r="AM70" s="236"/>
      <c r="AN70" s="41"/>
      <c r="AO70" s="41"/>
      <c r="AP70" s="5"/>
      <c r="AQ70" s="4"/>
      <c r="AR70" s="4"/>
      <c r="AS70" s="4"/>
      <c r="AT70" s="5"/>
      <c r="AU70" s="5"/>
      <c r="AV70" s="5"/>
      <c r="AW70" s="236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37"/>
      <c r="BM70" s="5"/>
      <c r="BN70" s="5"/>
      <c r="BO70" s="5"/>
      <c r="BP70" s="236"/>
      <c r="BQ70" s="58"/>
      <c r="BR70" s="59"/>
      <c r="BS70" s="61"/>
      <c r="BT70" s="58"/>
      <c r="BU70" s="60"/>
      <c r="BV70" s="60"/>
      <c r="BW70" s="60"/>
      <c r="BX70" s="60"/>
      <c r="BY70" s="60"/>
      <c r="BZ70" s="61"/>
      <c r="CA70" s="61"/>
      <c r="CB70" s="61"/>
      <c r="CC70" s="61"/>
      <c r="CD70" s="59"/>
      <c r="CE70" s="59"/>
      <c r="CF70" s="59"/>
      <c r="CG70" s="59"/>
      <c r="CH70" s="61"/>
      <c r="CI70" s="61"/>
      <c r="CJ70" s="59"/>
      <c r="CK70" s="59"/>
      <c r="CL70" s="59"/>
      <c r="CM70" s="60"/>
      <c r="CN70" s="59"/>
      <c r="CO70" s="59"/>
      <c r="CP70" s="59"/>
      <c r="CQ70" s="236"/>
      <c r="CR70" s="37"/>
      <c r="CS70" s="5"/>
      <c r="CT70" s="5"/>
      <c r="CU70" s="5"/>
      <c r="CV70" s="236"/>
      <c r="CW70" s="5"/>
      <c r="CX70" s="5"/>
      <c r="CY70" s="5"/>
      <c r="CZ70" s="5"/>
      <c r="DA70" s="5"/>
      <c r="DB70" s="5"/>
      <c r="DC70" s="236"/>
      <c r="DD70" s="104"/>
      <c r="DE70" s="103"/>
      <c r="DF70" s="103"/>
      <c r="DG70" s="103"/>
      <c r="DH70" s="103"/>
      <c r="DI70" s="5"/>
      <c r="DJ70" s="172"/>
      <c r="DK70" s="104"/>
      <c r="DL70" s="104"/>
      <c r="DM70" s="103"/>
      <c r="DN70" s="102"/>
      <c r="DO70" s="104"/>
      <c r="DP70" s="104"/>
      <c r="DQ70" s="103"/>
      <c r="DR70" s="102"/>
      <c r="DS70" s="104"/>
      <c r="DT70" s="104"/>
      <c r="DU70" s="103"/>
      <c r="DV70" s="102"/>
      <c r="DW70" s="104"/>
      <c r="DX70" s="104"/>
      <c r="DY70" s="103"/>
      <c r="DZ70" s="102"/>
      <c r="EA70" s="104"/>
      <c r="EB70" s="104"/>
      <c r="EC70" s="103"/>
      <c r="ED70" s="102"/>
      <c r="EE70" s="236"/>
      <c r="EF70" s="5"/>
    </row>
    <row r="71" spans="1:136" s="3" customFormat="1" x14ac:dyDescent="0.15">
      <c r="A71" s="86"/>
      <c r="B71" s="65"/>
      <c r="C71" s="86"/>
      <c r="E71" s="4"/>
      <c r="F71" s="65"/>
      <c r="G71" s="65"/>
      <c r="H71" s="86"/>
      <c r="I71" s="65"/>
      <c r="J71" s="236"/>
      <c r="K71" s="5"/>
      <c r="L71" s="65"/>
      <c r="M71" s="5"/>
      <c r="N71" s="5"/>
      <c r="O71" s="190"/>
      <c r="P71" s="236"/>
      <c r="Q71" s="5"/>
      <c r="R71" s="5"/>
      <c r="S71" s="4"/>
      <c r="T71" s="4"/>
      <c r="U71" s="5"/>
      <c r="V71" s="5"/>
      <c r="W71" s="5"/>
      <c r="X71" s="86"/>
      <c r="Y71" s="86"/>
      <c r="Z71" s="177"/>
      <c r="AA71" s="5"/>
      <c r="AB71" s="190"/>
      <c r="AC71" s="190"/>
      <c r="AD71" s="236"/>
      <c r="AE71" s="190"/>
      <c r="AF71" s="190"/>
      <c r="AG71" s="190"/>
      <c r="AH71" s="190"/>
      <c r="AI71" s="190"/>
      <c r="AJ71" s="190"/>
      <c r="AK71" s="236"/>
      <c r="AL71" s="190"/>
      <c r="AM71" s="236"/>
      <c r="AN71" s="41"/>
      <c r="AO71" s="41"/>
      <c r="AP71" s="5"/>
      <c r="AQ71" s="4"/>
      <c r="AR71" s="4"/>
      <c r="AS71" s="4"/>
      <c r="AT71" s="5"/>
      <c r="AU71" s="5"/>
      <c r="AV71" s="5"/>
      <c r="AW71" s="236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37"/>
      <c r="BM71" s="5"/>
      <c r="BN71" s="5"/>
      <c r="BO71" s="5"/>
      <c r="BP71" s="236"/>
      <c r="BQ71" s="58"/>
      <c r="BR71" s="59"/>
      <c r="BS71" s="61"/>
      <c r="BT71" s="58"/>
      <c r="BU71" s="60"/>
      <c r="BV71" s="60"/>
      <c r="BW71" s="60"/>
      <c r="BX71" s="60"/>
      <c r="BY71" s="60"/>
      <c r="BZ71" s="61"/>
      <c r="CA71" s="61"/>
      <c r="CB71" s="61"/>
      <c r="CC71" s="61"/>
      <c r="CD71" s="59"/>
      <c r="CE71" s="59"/>
      <c r="CF71" s="59"/>
      <c r="CG71" s="59"/>
      <c r="CH71" s="61"/>
      <c r="CI71" s="61"/>
      <c r="CJ71" s="59"/>
      <c r="CK71" s="59"/>
      <c r="CL71" s="59"/>
      <c r="CM71" s="60"/>
      <c r="CN71" s="59"/>
      <c r="CO71" s="59"/>
      <c r="CP71" s="59"/>
      <c r="CQ71" s="236"/>
      <c r="CR71" s="37"/>
      <c r="CS71" s="5"/>
      <c r="CT71" s="5"/>
      <c r="CU71" s="5"/>
      <c r="CV71" s="236"/>
      <c r="CW71" s="5"/>
      <c r="CX71" s="5"/>
      <c r="CY71" s="5"/>
      <c r="CZ71" s="5"/>
      <c r="DA71" s="5"/>
      <c r="DB71" s="5"/>
      <c r="DC71" s="236"/>
      <c r="DD71" s="104"/>
      <c r="DE71" s="103"/>
      <c r="DF71" s="103"/>
      <c r="DG71" s="103"/>
      <c r="DH71" s="103"/>
      <c r="DI71" s="5"/>
      <c r="DJ71" s="172"/>
      <c r="DK71" s="104"/>
      <c r="DL71" s="104"/>
      <c r="DM71" s="103"/>
      <c r="DN71" s="102"/>
      <c r="DO71" s="104"/>
      <c r="DP71" s="104"/>
      <c r="DQ71" s="103"/>
      <c r="DR71" s="102"/>
      <c r="DS71" s="104"/>
      <c r="DT71" s="104"/>
      <c r="DU71" s="103"/>
      <c r="DV71" s="102"/>
      <c r="DW71" s="104"/>
      <c r="DX71" s="104"/>
      <c r="DY71" s="103"/>
      <c r="DZ71" s="102"/>
      <c r="EA71" s="104"/>
      <c r="EB71" s="104"/>
      <c r="EC71" s="103"/>
      <c r="ED71" s="102"/>
      <c r="EE71" s="236"/>
      <c r="EF71" s="5"/>
    </row>
    <row r="72" spans="1:136" s="3" customFormat="1" x14ac:dyDescent="0.15">
      <c r="A72" s="86"/>
      <c r="B72" s="65"/>
      <c r="C72" s="86"/>
      <c r="E72" s="4"/>
      <c r="F72" s="65"/>
      <c r="G72" s="65"/>
      <c r="H72" s="86"/>
      <c r="I72" s="65"/>
      <c r="J72" s="236"/>
      <c r="K72" s="5"/>
      <c r="L72" s="65"/>
      <c r="M72" s="5"/>
      <c r="N72" s="5"/>
      <c r="O72" s="190"/>
      <c r="P72" s="236"/>
      <c r="Q72" s="5"/>
      <c r="R72" s="5"/>
      <c r="S72" s="4"/>
      <c r="T72" s="4"/>
      <c r="U72" s="5"/>
      <c r="V72" s="5"/>
      <c r="W72" s="5"/>
      <c r="X72" s="86"/>
      <c r="Y72" s="86"/>
      <c r="Z72" s="177"/>
      <c r="AA72" s="5"/>
      <c r="AB72" s="190"/>
      <c r="AC72" s="190"/>
      <c r="AD72" s="236"/>
      <c r="AE72" s="190"/>
      <c r="AF72" s="190"/>
      <c r="AG72" s="190"/>
      <c r="AH72" s="190"/>
      <c r="AI72" s="190"/>
      <c r="AJ72" s="190"/>
      <c r="AK72" s="236"/>
      <c r="AL72" s="190"/>
      <c r="AM72" s="236"/>
      <c r="AN72" s="41"/>
      <c r="AO72" s="41"/>
      <c r="AP72" s="5"/>
      <c r="AQ72" s="4"/>
      <c r="AR72" s="4"/>
      <c r="AS72" s="4"/>
      <c r="AT72" s="5"/>
      <c r="AU72" s="5"/>
      <c r="AV72" s="5"/>
      <c r="AW72" s="236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37"/>
      <c r="BM72" s="5"/>
      <c r="BN72" s="5"/>
      <c r="BO72" s="5"/>
      <c r="BP72" s="236"/>
      <c r="BQ72" s="58"/>
      <c r="BR72" s="59"/>
      <c r="BS72" s="61"/>
      <c r="BT72" s="58"/>
      <c r="BU72" s="60"/>
      <c r="BV72" s="60"/>
      <c r="BW72" s="60"/>
      <c r="BX72" s="60"/>
      <c r="BY72" s="60"/>
      <c r="BZ72" s="61"/>
      <c r="CA72" s="61"/>
      <c r="CB72" s="61"/>
      <c r="CC72" s="61"/>
      <c r="CD72" s="59"/>
      <c r="CE72" s="59"/>
      <c r="CF72" s="59"/>
      <c r="CG72" s="59"/>
      <c r="CH72" s="61"/>
      <c r="CI72" s="61"/>
      <c r="CJ72" s="59"/>
      <c r="CK72" s="59"/>
      <c r="CL72" s="59"/>
      <c r="CM72" s="60"/>
      <c r="CN72" s="59"/>
      <c r="CO72" s="59"/>
      <c r="CP72" s="59"/>
      <c r="CQ72" s="236"/>
      <c r="CR72" s="37"/>
      <c r="CS72" s="5"/>
      <c r="CT72" s="5"/>
      <c r="CU72" s="5"/>
      <c r="CV72" s="236"/>
      <c r="CW72" s="5"/>
      <c r="CX72" s="5"/>
      <c r="CY72" s="5"/>
      <c r="CZ72" s="5"/>
      <c r="DA72" s="5"/>
      <c r="DB72" s="5"/>
      <c r="DC72" s="236"/>
      <c r="DD72" s="104"/>
      <c r="DE72" s="103"/>
      <c r="DF72" s="103"/>
      <c r="DG72" s="103"/>
      <c r="DH72" s="103"/>
      <c r="DI72" s="5"/>
      <c r="DJ72" s="172"/>
      <c r="DK72" s="104"/>
      <c r="DL72" s="104"/>
      <c r="DM72" s="103"/>
      <c r="DN72" s="102"/>
      <c r="DO72" s="104"/>
      <c r="DP72" s="104"/>
      <c r="DQ72" s="103"/>
      <c r="DR72" s="102"/>
      <c r="DS72" s="104"/>
      <c r="DT72" s="104"/>
      <c r="DU72" s="103"/>
      <c r="DV72" s="102"/>
      <c r="DW72" s="104"/>
      <c r="DX72" s="104"/>
      <c r="DY72" s="103"/>
      <c r="DZ72" s="102"/>
      <c r="EA72" s="104"/>
      <c r="EB72" s="104"/>
      <c r="EC72" s="103"/>
      <c r="ED72" s="102"/>
      <c r="EE72" s="236"/>
      <c r="EF72" s="5"/>
    </row>
    <row r="73" spans="1:136" s="3" customFormat="1" x14ac:dyDescent="0.15">
      <c r="A73" s="86"/>
      <c r="B73" s="65"/>
      <c r="C73" s="86"/>
      <c r="E73" s="4"/>
      <c r="F73" s="65"/>
      <c r="G73" s="65"/>
      <c r="H73" s="86"/>
      <c r="I73" s="65"/>
      <c r="J73" s="236"/>
      <c r="K73" s="5"/>
      <c r="L73" s="65"/>
      <c r="M73" s="5"/>
      <c r="N73" s="5"/>
      <c r="O73" s="190"/>
      <c r="P73" s="236"/>
      <c r="Q73" s="5"/>
      <c r="R73" s="5"/>
      <c r="S73" s="4"/>
      <c r="T73" s="4"/>
      <c r="U73" s="5"/>
      <c r="V73" s="5"/>
      <c r="W73" s="5"/>
      <c r="X73" s="86"/>
      <c r="Y73" s="86"/>
      <c r="Z73" s="177"/>
      <c r="AA73" s="5"/>
      <c r="AB73" s="190"/>
      <c r="AC73" s="190"/>
      <c r="AD73" s="236"/>
      <c r="AE73" s="190"/>
      <c r="AF73" s="190"/>
      <c r="AG73" s="190"/>
      <c r="AH73" s="190"/>
      <c r="AI73" s="190"/>
      <c r="AJ73" s="190"/>
      <c r="AK73" s="236"/>
      <c r="AL73" s="190"/>
      <c r="AM73" s="236"/>
      <c r="AN73" s="41"/>
      <c r="AO73" s="41"/>
      <c r="AP73" s="5"/>
      <c r="AQ73" s="4"/>
      <c r="AR73" s="4"/>
      <c r="AS73" s="4"/>
      <c r="AT73" s="5"/>
      <c r="AU73" s="5"/>
      <c r="AV73" s="5"/>
      <c r="AW73" s="236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37"/>
      <c r="BM73" s="5"/>
      <c r="BN73" s="5"/>
      <c r="BO73" s="5"/>
      <c r="BP73" s="236"/>
      <c r="BQ73" s="58"/>
      <c r="BR73" s="59"/>
      <c r="BS73" s="61"/>
      <c r="BT73" s="58"/>
      <c r="BU73" s="60"/>
      <c r="BV73" s="60"/>
      <c r="BW73" s="60"/>
      <c r="BX73" s="60"/>
      <c r="BY73" s="60"/>
      <c r="BZ73" s="61"/>
      <c r="CA73" s="61"/>
      <c r="CB73" s="61"/>
      <c r="CC73" s="61"/>
      <c r="CD73" s="59"/>
      <c r="CE73" s="59"/>
      <c r="CF73" s="59"/>
      <c r="CG73" s="59"/>
      <c r="CH73" s="61"/>
      <c r="CI73" s="61"/>
      <c r="CJ73" s="59"/>
      <c r="CK73" s="59"/>
      <c r="CL73" s="59"/>
      <c r="CM73" s="60"/>
      <c r="CN73" s="59"/>
      <c r="CO73" s="59"/>
      <c r="CP73" s="59"/>
      <c r="CQ73" s="236"/>
      <c r="CR73" s="37"/>
      <c r="CS73" s="5"/>
      <c r="CT73" s="5"/>
      <c r="CU73" s="5"/>
      <c r="CV73" s="236"/>
      <c r="CW73" s="5"/>
      <c r="CX73" s="5"/>
      <c r="CY73" s="5"/>
      <c r="CZ73" s="5"/>
      <c r="DA73" s="5"/>
      <c r="DB73" s="5"/>
      <c r="DC73" s="236"/>
      <c r="DD73" s="104"/>
      <c r="DE73" s="103"/>
      <c r="DF73" s="103"/>
      <c r="DG73" s="103"/>
      <c r="DH73" s="103"/>
      <c r="DI73" s="5"/>
      <c r="DJ73" s="172"/>
      <c r="DK73" s="104"/>
      <c r="DL73" s="104"/>
      <c r="DM73" s="103"/>
      <c r="DN73" s="102"/>
      <c r="DO73" s="104"/>
      <c r="DP73" s="104"/>
      <c r="DQ73" s="103"/>
      <c r="DR73" s="102"/>
      <c r="DS73" s="104"/>
      <c r="DT73" s="104"/>
      <c r="DU73" s="103"/>
      <c r="DV73" s="102"/>
      <c r="DW73" s="104"/>
      <c r="DX73" s="104"/>
      <c r="DY73" s="103"/>
      <c r="DZ73" s="102"/>
      <c r="EA73" s="104"/>
      <c r="EB73" s="104"/>
      <c r="EC73" s="103"/>
      <c r="ED73" s="102"/>
      <c r="EE73" s="236"/>
      <c r="EF73" s="5"/>
    </row>
    <row r="74" spans="1:136" s="3" customFormat="1" x14ac:dyDescent="0.15">
      <c r="A74" s="86"/>
      <c r="B74" s="65"/>
      <c r="C74" s="86"/>
      <c r="E74" s="4"/>
      <c r="F74" s="65"/>
      <c r="G74" s="65"/>
      <c r="H74" s="86"/>
      <c r="I74" s="65"/>
      <c r="J74" s="236"/>
      <c r="K74" s="5"/>
      <c r="L74" s="65"/>
      <c r="M74" s="5"/>
      <c r="N74" s="5"/>
      <c r="O74" s="190"/>
      <c r="P74" s="236"/>
      <c r="Q74" s="5"/>
      <c r="R74" s="5"/>
      <c r="S74" s="4"/>
      <c r="T74" s="4"/>
      <c r="U74" s="5"/>
      <c r="V74" s="5"/>
      <c r="W74" s="5"/>
      <c r="X74" s="86"/>
      <c r="Y74" s="86"/>
      <c r="Z74" s="177"/>
      <c r="AA74" s="5"/>
      <c r="AB74" s="190"/>
      <c r="AC74" s="190"/>
      <c r="AD74" s="236"/>
      <c r="AE74" s="190"/>
      <c r="AF74" s="190"/>
      <c r="AG74" s="190"/>
      <c r="AH74" s="190"/>
      <c r="AI74" s="190"/>
      <c r="AJ74" s="190"/>
      <c r="AK74" s="236"/>
      <c r="AL74" s="190"/>
      <c r="AM74" s="236"/>
      <c r="AN74" s="41"/>
      <c r="AO74" s="41"/>
      <c r="AP74" s="5"/>
      <c r="AQ74" s="4"/>
      <c r="AR74" s="4"/>
      <c r="AS74" s="4"/>
      <c r="AT74" s="5"/>
      <c r="AU74" s="5"/>
      <c r="AV74" s="5"/>
      <c r="AW74" s="236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37"/>
      <c r="BM74" s="5"/>
      <c r="BN74" s="5"/>
      <c r="BO74" s="5"/>
      <c r="BP74" s="236"/>
      <c r="BQ74" s="58"/>
      <c r="BR74" s="59"/>
      <c r="BS74" s="61"/>
      <c r="BT74" s="58"/>
      <c r="BU74" s="60"/>
      <c r="BV74" s="60"/>
      <c r="BW74" s="60"/>
      <c r="BX74" s="60"/>
      <c r="BY74" s="60"/>
      <c r="BZ74" s="61"/>
      <c r="CA74" s="61"/>
      <c r="CB74" s="61"/>
      <c r="CC74" s="61"/>
      <c r="CD74" s="59"/>
      <c r="CE74" s="59"/>
      <c r="CF74" s="59"/>
      <c r="CG74" s="59"/>
      <c r="CH74" s="61"/>
      <c r="CI74" s="61"/>
      <c r="CJ74" s="59"/>
      <c r="CK74" s="59"/>
      <c r="CL74" s="59"/>
      <c r="CM74" s="60"/>
      <c r="CN74" s="59"/>
      <c r="CO74" s="59"/>
      <c r="CP74" s="59"/>
      <c r="CQ74" s="236"/>
      <c r="CR74" s="37"/>
      <c r="CS74" s="5"/>
      <c r="CT74" s="5"/>
      <c r="CU74" s="5"/>
      <c r="CV74" s="236"/>
      <c r="CW74" s="5"/>
      <c r="CX74" s="5"/>
      <c r="CY74" s="5"/>
      <c r="CZ74" s="5"/>
      <c r="DA74" s="5"/>
      <c r="DB74" s="5"/>
      <c r="DC74" s="236"/>
      <c r="DD74" s="104"/>
      <c r="DE74" s="103"/>
      <c r="DF74" s="103"/>
      <c r="DG74" s="103"/>
      <c r="DH74" s="103"/>
      <c r="DI74" s="5"/>
      <c r="DJ74" s="172"/>
      <c r="DK74" s="104"/>
      <c r="DL74" s="104"/>
      <c r="DM74" s="103"/>
      <c r="DN74" s="102"/>
      <c r="DO74" s="104"/>
      <c r="DP74" s="104"/>
      <c r="DQ74" s="103"/>
      <c r="DR74" s="102"/>
      <c r="DS74" s="104"/>
      <c r="DT74" s="104"/>
      <c r="DU74" s="103"/>
      <c r="DV74" s="102"/>
      <c r="DW74" s="104"/>
      <c r="DX74" s="104"/>
      <c r="DY74" s="103"/>
      <c r="DZ74" s="102"/>
      <c r="EA74" s="104"/>
      <c r="EB74" s="104"/>
      <c r="EC74" s="103"/>
      <c r="ED74" s="102"/>
      <c r="EE74" s="236"/>
      <c r="EF74" s="5"/>
    </row>
    <row r="75" spans="1:136" s="3" customFormat="1" x14ac:dyDescent="0.15">
      <c r="A75" s="86"/>
      <c r="B75" s="65"/>
      <c r="C75" s="86"/>
      <c r="E75" s="4"/>
      <c r="F75" s="65"/>
      <c r="G75" s="65"/>
      <c r="H75" s="86"/>
      <c r="I75" s="65"/>
      <c r="J75" s="236"/>
      <c r="K75" s="5"/>
      <c r="L75" s="65"/>
      <c r="M75" s="5"/>
      <c r="N75" s="5"/>
      <c r="O75" s="190"/>
      <c r="P75" s="236"/>
      <c r="Q75" s="5"/>
      <c r="R75" s="5"/>
      <c r="S75" s="4"/>
      <c r="T75" s="4"/>
      <c r="U75" s="5"/>
      <c r="V75" s="5"/>
      <c r="W75" s="5"/>
      <c r="X75" s="86"/>
      <c r="Y75" s="86"/>
      <c r="Z75" s="177"/>
      <c r="AA75" s="5"/>
      <c r="AB75" s="190"/>
      <c r="AC75" s="190"/>
      <c r="AD75" s="236"/>
      <c r="AE75" s="190"/>
      <c r="AF75" s="190"/>
      <c r="AG75" s="190"/>
      <c r="AH75" s="190"/>
      <c r="AI75" s="190"/>
      <c r="AJ75" s="190"/>
      <c r="AK75" s="236"/>
      <c r="AL75" s="190"/>
      <c r="AM75" s="236"/>
      <c r="AN75" s="41"/>
      <c r="AO75" s="41"/>
      <c r="AP75" s="5"/>
      <c r="AQ75" s="4"/>
      <c r="AR75" s="4"/>
      <c r="AS75" s="4"/>
      <c r="AT75" s="5"/>
      <c r="AU75" s="5"/>
      <c r="AV75" s="5"/>
      <c r="AW75" s="236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37"/>
      <c r="BM75" s="5"/>
      <c r="BN75" s="5"/>
      <c r="BO75" s="5"/>
      <c r="BP75" s="236"/>
      <c r="BQ75" s="58"/>
      <c r="BR75" s="59"/>
      <c r="BS75" s="61"/>
      <c r="BT75" s="58"/>
      <c r="BU75" s="60"/>
      <c r="BV75" s="60"/>
      <c r="BW75" s="60"/>
      <c r="BX75" s="60"/>
      <c r="BY75" s="60"/>
      <c r="BZ75" s="61"/>
      <c r="CA75" s="61"/>
      <c r="CB75" s="61"/>
      <c r="CC75" s="61"/>
      <c r="CD75" s="59"/>
      <c r="CE75" s="59"/>
      <c r="CF75" s="59"/>
      <c r="CG75" s="59"/>
      <c r="CH75" s="61"/>
      <c r="CI75" s="61"/>
      <c r="CJ75" s="59"/>
      <c r="CK75" s="59"/>
      <c r="CL75" s="59"/>
      <c r="CM75" s="60"/>
      <c r="CN75" s="59"/>
      <c r="CO75" s="59"/>
      <c r="CP75" s="59"/>
      <c r="CQ75" s="236"/>
      <c r="CR75" s="37"/>
      <c r="CS75" s="5"/>
      <c r="CT75" s="5"/>
      <c r="CU75" s="5"/>
      <c r="CV75" s="236"/>
      <c r="CW75" s="5"/>
      <c r="CX75" s="5"/>
      <c r="CY75" s="5"/>
      <c r="CZ75" s="5"/>
      <c r="DA75" s="5"/>
      <c r="DB75" s="5"/>
      <c r="DC75" s="236"/>
      <c r="DD75" s="104"/>
      <c r="DE75" s="103"/>
      <c r="DF75" s="103"/>
      <c r="DG75" s="103"/>
      <c r="DH75" s="103"/>
      <c r="DI75" s="5"/>
      <c r="DJ75" s="172"/>
      <c r="DK75" s="104"/>
      <c r="DL75" s="104"/>
      <c r="DM75" s="103"/>
      <c r="DN75" s="102"/>
      <c r="DO75" s="104"/>
      <c r="DP75" s="104"/>
      <c r="DQ75" s="103"/>
      <c r="DR75" s="102"/>
      <c r="DS75" s="104"/>
      <c r="DT75" s="104"/>
      <c r="DU75" s="103"/>
      <c r="DV75" s="102"/>
      <c r="DW75" s="104"/>
      <c r="DX75" s="104"/>
      <c r="DY75" s="103"/>
      <c r="DZ75" s="102"/>
      <c r="EA75" s="104"/>
      <c r="EB75" s="104"/>
      <c r="EC75" s="103"/>
      <c r="ED75" s="102"/>
      <c r="EE75" s="236"/>
      <c r="EF75" s="5"/>
    </row>
    <row r="76" spans="1:136" s="3" customFormat="1" x14ac:dyDescent="0.15">
      <c r="A76" s="86"/>
      <c r="B76" s="65"/>
      <c r="C76" s="86"/>
      <c r="E76" s="4"/>
      <c r="F76" s="65"/>
      <c r="G76" s="65"/>
      <c r="H76" s="86"/>
      <c r="I76" s="65"/>
      <c r="J76" s="236"/>
      <c r="K76" s="5"/>
      <c r="L76" s="65"/>
      <c r="M76" s="5"/>
      <c r="N76" s="5"/>
      <c r="O76" s="190"/>
      <c r="P76" s="236"/>
      <c r="Q76" s="5"/>
      <c r="R76" s="5"/>
      <c r="S76" s="4"/>
      <c r="T76" s="4"/>
      <c r="U76" s="5"/>
      <c r="V76" s="5"/>
      <c r="W76" s="5"/>
      <c r="X76" s="86"/>
      <c r="Y76" s="86"/>
      <c r="Z76" s="177"/>
      <c r="AA76" s="5"/>
      <c r="AB76" s="190"/>
      <c r="AC76" s="190"/>
      <c r="AD76" s="236"/>
      <c r="AE76" s="190"/>
      <c r="AF76" s="190"/>
      <c r="AG76" s="190"/>
      <c r="AH76" s="190"/>
      <c r="AI76" s="190"/>
      <c r="AJ76" s="190"/>
      <c r="AK76" s="236"/>
      <c r="AL76" s="190"/>
      <c r="AM76" s="236"/>
      <c r="AN76" s="41"/>
      <c r="AO76" s="41"/>
      <c r="AP76" s="5"/>
      <c r="AQ76" s="4"/>
      <c r="AR76" s="4"/>
      <c r="AS76" s="4"/>
      <c r="AT76" s="5"/>
      <c r="AU76" s="5"/>
      <c r="AV76" s="5"/>
      <c r="AW76" s="236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37"/>
      <c r="BM76" s="5"/>
      <c r="BN76" s="5"/>
      <c r="BO76" s="5"/>
      <c r="BP76" s="236"/>
      <c r="BQ76" s="58"/>
      <c r="BR76" s="59"/>
      <c r="BS76" s="61"/>
      <c r="BT76" s="58"/>
      <c r="BU76" s="60"/>
      <c r="BV76" s="60"/>
      <c r="BW76" s="60"/>
      <c r="BX76" s="60"/>
      <c r="BY76" s="60"/>
      <c r="BZ76" s="61"/>
      <c r="CA76" s="61"/>
      <c r="CB76" s="61"/>
      <c r="CC76" s="61"/>
      <c r="CD76" s="59"/>
      <c r="CE76" s="59"/>
      <c r="CF76" s="59"/>
      <c r="CG76" s="59"/>
      <c r="CH76" s="61"/>
      <c r="CI76" s="61"/>
      <c r="CJ76" s="59"/>
      <c r="CK76" s="59"/>
      <c r="CL76" s="59"/>
      <c r="CM76" s="60"/>
      <c r="CN76" s="59"/>
      <c r="CO76" s="59"/>
      <c r="CP76" s="59"/>
      <c r="CQ76" s="236"/>
      <c r="CR76" s="37"/>
      <c r="CS76" s="5"/>
      <c r="CT76" s="5"/>
      <c r="CU76" s="5"/>
      <c r="CV76" s="236"/>
      <c r="CW76" s="5"/>
      <c r="CX76" s="5"/>
      <c r="CY76" s="5"/>
      <c r="CZ76" s="5"/>
      <c r="DA76" s="5"/>
      <c r="DB76" s="5"/>
      <c r="DC76" s="236"/>
      <c r="DD76" s="104"/>
      <c r="DE76" s="103"/>
      <c r="DF76" s="103"/>
      <c r="DG76" s="103"/>
      <c r="DH76" s="103"/>
      <c r="DI76" s="5"/>
      <c r="DJ76" s="172"/>
      <c r="DK76" s="104"/>
      <c r="DL76" s="104"/>
      <c r="DM76" s="103"/>
      <c r="DN76" s="102"/>
      <c r="DO76" s="104"/>
      <c r="DP76" s="104"/>
      <c r="DQ76" s="103"/>
      <c r="DR76" s="102"/>
      <c r="DS76" s="104"/>
      <c r="DT76" s="104"/>
      <c r="DU76" s="103"/>
      <c r="DV76" s="102"/>
      <c r="DW76" s="104"/>
      <c r="DX76" s="104"/>
      <c r="DY76" s="103"/>
      <c r="DZ76" s="102"/>
      <c r="EA76" s="104"/>
      <c r="EB76" s="104"/>
      <c r="EC76" s="103"/>
      <c r="ED76" s="102"/>
      <c r="EE76" s="236"/>
      <c r="EF76" s="5"/>
    </row>
    <row r="77" spans="1:136" s="3" customFormat="1" x14ac:dyDescent="0.15">
      <c r="A77" s="86"/>
      <c r="B77" s="65"/>
      <c r="C77" s="86"/>
      <c r="E77" s="4"/>
      <c r="F77" s="65"/>
      <c r="G77" s="65"/>
      <c r="H77" s="86"/>
      <c r="I77" s="65"/>
      <c r="J77" s="236"/>
      <c r="K77" s="5"/>
      <c r="L77" s="65"/>
      <c r="M77" s="5"/>
      <c r="N77" s="5"/>
      <c r="O77" s="190"/>
      <c r="P77" s="236"/>
      <c r="Q77" s="5"/>
      <c r="R77" s="5"/>
      <c r="S77" s="4"/>
      <c r="T77" s="4"/>
      <c r="U77" s="5"/>
      <c r="V77" s="5"/>
      <c r="W77" s="5"/>
      <c r="X77" s="86"/>
      <c r="Y77" s="86"/>
      <c r="Z77" s="177"/>
      <c r="AA77" s="5"/>
      <c r="AB77" s="190"/>
      <c r="AC77" s="190"/>
      <c r="AD77" s="236"/>
      <c r="AE77" s="190"/>
      <c r="AF77" s="190"/>
      <c r="AG77" s="190"/>
      <c r="AH77" s="190"/>
      <c r="AI77" s="190"/>
      <c r="AJ77" s="190"/>
      <c r="AK77" s="236"/>
      <c r="AL77" s="190"/>
      <c r="AM77" s="236"/>
      <c r="AN77" s="41"/>
      <c r="AO77" s="41"/>
      <c r="AP77" s="5"/>
      <c r="AQ77" s="4"/>
      <c r="AR77" s="4"/>
      <c r="AS77" s="4"/>
      <c r="AT77" s="5"/>
      <c r="AU77" s="5"/>
      <c r="AV77" s="5"/>
      <c r="AW77" s="236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37"/>
      <c r="BM77" s="5"/>
      <c r="BN77" s="5"/>
      <c r="BO77" s="5"/>
      <c r="BP77" s="236"/>
      <c r="BQ77" s="58"/>
      <c r="BR77" s="59"/>
      <c r="BS77" s="61"/>
      <c r="BT77" s="58"/>
      <c r="BU77" s="60"/>
      <c r="BV77" s="60"/>
      <c r="BW77" s="60"/>
      <c r="BX77" s="60"/>
      <c r="BY77" s="60"/>
      <c r="BZ77" s="61"/>
      <c r="CA77" s="61"/>
      <c r="CB77" s="61"/>
      <c r="CC77" s="61"/>
      <c r="CD77" s="59"/>
      <c r="CE77" s="59"/>
      <c r="CF77" s="59"/>
      <c r="CG77" s="59"/>
      <c r="CH77" s="61"/>
      <c r="CI77" s="61"/>
      <c r="CJ77" s="59"/>
      <c r="CK77" s="59"/>
      <c r="CL77" s="59"/>
      <c r="CM77" s="60"/>
      <c r="CN77" s="59"/>
      <c r="CO77" s="59"/>
      <c r="CP77" s="59"/>
      <c r="CQ77" s="236"/>
      <c r="CR77" s="37"/>
      <c r="CS77" s="5"/>
      <c r="CT77" s="5"/>
      <c r="CU77" s="5"/>
      <c r="CV77" s="236"/>
      <c r="CW77" s="5"/>
      <c r="CX77" s="5"/>
      <c r="CY77" s="5"/>
      <c r="CZ77" s="5"/>
      <c r="DA77" s="5"/>
      <c r="DB77" s="5"/>
      <c r="DC77" s="236"/>
      <c r="DD77" s="104"/>
      <c r="DE77" s="103"/>
      <c r="DF77" s="103"/>
      <c r="DG77" s="103"/>
      <c r="DH77" s="103"/>
      <c r="DI77" s="5"/>
      <c r="DJ77" s="172"/>
      <c r="DK77" s="104"/>
      <c r="DL77" s="104"/>
      <c r="DM77" s="103"/>
      <c r="DN77" s="102"/>
      <c r="DO77" s="104"/>
      <c r="DP77" s="104"/>
      <c r="DQ77" s="103"/>
      <c r="DR77" s="102"/>
      <c r="DS77" s="104"/>
      <c r="DT77" s="104"/>
      <c r="DU77" s="103"/>
      <c r="DV77" s="102"/>
      <c r="DW77" s="104"/>
      <c r="DX77" s="104"/>
      <c r="DY77" s="103"/>
      <c r="DZ77" s="102"/>
      <c r="EA77" s="104"/>
      <c r="EB77" s="104"/>
      <c r="EC77" s="103"/>
      <c r="ED77" s="102"/>
      <c r="EE77" s="236"/>
      <c r="EF77" s="5"/>
    </row>
    <row r="78" spans="1:136" s="3" customFormat="1" x14ac:dyDescent="0.15">
      <c r="A78" s="86"/>
      <c r="B78" s="65"/>
      <c r="C78" s="86"/>
      <c r="E78" s="4"/>
      <c r="F78" s="65"/>
      <c r="G78" s="65"/>
      <c r="H78" s="86"/>
      <c r="I78" s="65"/>
      <c r="J78" s="236"/>
      <c r="K78" s="5"/>
      <c r="L78" s="65"/>
      <c r="M78" s="5"/>
      <c r="N78" s="5"/>
      <c r="O78" s="190"/>
      <c r="P78" s="236"/>
      <c r="Q78" s="5"/>
      <c r="R78" s="5"/>
      <c r="S78" s="4"/>
      <c r="T78" s="4"/>
      <c r="U78" s="5"/>
      <c r="V78" s="5"/>
      <c r="W78" s="5"/>
      <c r="X78" s="86"/>
      <c r="Y78" s="86"/>
      <c r="Z78" s="177"/>
      <c r="AA78" s="5"/>
      <c r="AB78" s="190"/>
      <c r="AC78" s="190"/>
      <c r="AD78" s="236"/>
      <c r="AE78" s="190"/>
      <c r="AF78" s="190"/>
      <c r="AG78" s="190"/>
      <c r="AH78" s="190"/>
      <c r="AI78" s="190"/>
      <c r="AJ78" s="190"/>
      <c r="AK78" s="236"/>
      <c r="AL78" s="190"/>
      <c r="AM78" s="236"/>
      <c r="AN78" s="41"/>
      <c r="AO78" s="41"/>
      <c r="AP78" s="5"/>
      <c r="AQ78" s="4"/>
      <c r="AR78" s="4"/>
      <c r="AS78" s="4"/>
      <c r="AT78" s="5"/>
      <c r="AU78" s="5"/>
      <c r="AV78" s="5"/>
      <c r="AW78" s="236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37"/>
      <c r="BM78" s="5"/>
      <c r="BN78" s="5"/>
      <c r="BO78" s="5"/>
      <c r="BP78" s="236"/>
      <c r="BQ78" s="58"/>
      <c r="BR78" s="59"/>
      <c r="BS78" s="61"/>
      <c r="BT78" s="58"/>
      <c r="BU78" s="60"/>
      <c r="BV78" s="60"/>
      <c r="BW78" s="60"/>
      <c r="BX78" s="60"/>
      <c r="BY78" s="60"/>
      <c r="BZ78" s="61"/>
      <c r="CA78" s="61"/>
      <c r="CB78" s="61"/>
      <c r="CC78" s="61"/>
      <c r="CD78" s="59"/>
      <c r="CE78" s="59"/>
      <c r="CF78" s="59"/>
      <c r="CG78" s="59"/>
      <c r="CH78" s="61"/>
      <c r="CI78" s="61"/>
      <c r="CJ78" s="59"/>
      <c r="CK78" s="59"/>
      <c r="CL78" s="59"/>
      <c r="CM78" s="60"/>
      <c r="CN78" s="59"/>
      <c r="CO78" s="59"/>
      <c r="CP78" s="59"/>
      <c r="CQ78" s="236"/>
      <c r="CR78" s="37"/>
      <c r="CS78" s="5"/>
      <c r="CT78" s="5"/>
      <c r="CU78" s="5"/>
      <c r="CV78" s="236"/>
      <c r="CW78" s="5"/>
      <c r="CX78" s="5"/>
      <c r="CY78" s="5"/>
      <c r="CZ78" s="5"/>
      <c r="DA78" s="5"/>
      <c r="DB78" s="5"/>
      <c r="DC78" s="236"/>
      <c r="DD78" s="104"/>
      <c r="DE78" s="103"/>
      <c r="DF78" s="103"/>
      <c r="DG78" s="103"/>
      <c r="DH78" s="103"/>
      <c r="DI78" s="5"/>
      <c r="DJ78" s="172"/>
      <c r="DK78" s="104"/>
      <c r="DL78" s="104"/>
      <c r="DM78" s="103"/>
      <c r="DN78" s="102"/>
      <c r="DO78" s="104"/>
      <c r="DP78" s="104"/>
      <c r="DQ78" s="103"/>
      <c r="DR78" s="102"/>
      <c r="DS78" s="104"/>
      <c r="DT78" s="104"/>
      <c r="DU78" s="103"/>
      <c r="DV78" s="102"/>
      <c r="DW78" s="104"/>
      <c r="DX78" s="104"/>
      <c r="DY78" s="103"/>
      <c r="DZ78" s="102"/>
      <c r="EA78" s="104"/>
      <c r="EB78" s="104"/>
      <c r="EC78" s="103"/>
      <c r="ED78" s="102"/>
      <c r="EE78" s="236"/>
      <c r="EF78" s="5"/>
    </row>
    <row r="79" spans="1:136" s="3" customFormat="1" x14ac:dyDescent="0.15">
      <c r="A79" s="86"/>
      <c r="B79" s="65"/>
      <c r="C79" s="86"/>
      <c r="E79" s="4"/>
      <c r="F79" s="65"/>
      <c r="G79" s="65"/>
      <c r="H79" s="86"/>
      <c r="I79" s="65"/>
      <c r="J79" s="236"/>
      <c r="K79" s="5"/>
      <c r="L79" s="65"/>
      <c r="M79" s="5"/>
      <c r="N79" s="5"/>
      <c r="O79" s="190"/>
      <c r="P79" s="236"/>
      <c r="Q79" s="5"/>
      <c r="R79" s="5"/>
      <c r="S79" s="4"/>
      <c r="T79" s="4"/>
      <c r="U79" s="5"/>
      <c r="V79" s="5"/>
      <c r="W79" s="5"/>
      <c r="X79" s="86"/>
      <c r="Y79" s="86"/>
      <c r="Z79" s="177"/>
      <c r="AA79" s="5"/>
      <c r="AB79" s="190"/>
      <c r="AC79" s="190"/>
      <c r="AD79" s="236"/>
      <c r="AE79" s="190"/>
      <c r="AF79" s="190"/>
      <c r="AG79" s="190"/>
      <c r="AH79" s="190"/>
      <c r="AI79" s="190"/>
      <c r="AJ79" s="190"/>
      <c r="AK79" s="236"/>
      <c r="AL79" s="190"/>
      <c r="AM79" s="236"/>
      <c r="AN79" s="41"/>
      <c r="AO79" s="41"/>
      <c r="AP79" s="5"/>
      <c r="AQ79" s="4"/>
      <c r="AR79" s="4"/>
      <c r="AS79" s="4"/>
      <c r="AT79" s="5"/>
      <c r="AU79" s="5"/>
      <c r="AV79" s="5"/>
      <c r="AW79" s="236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37"/>
      <c r="BM79" s="5"/>
      <c r="BN79" s="5"/>
      <c r="BO79" s="5"/>
      <c r="BP79" s="236"/>
      <c r="BQ79" s="58"/>
      <c r="BR79" s="59"/>
      <c r="BS79" s="61"/>
      <c r="BT79" s="58"/>
      <c r="BU79" s="60"/>
      <c r="BV79" s="60"/>
      <c r="BW79" s="60"/>
      <c r="BX79" s="60"/>
      <c r="BY79" s="60"/>
      <c r="BZ79" s="61"/>
      <c r="CA79" s="61"/>
      <c r="CB79" s="61"/>
      <c r="CC79" s="61"/>
      <c r="CD79" s="59"/>
      <c r="CE79" s="59"/>
      <c r="CF79" s="59"/>
      <c r="CG79" s="59"/>
      <c r="CH79" s="61"/>
      <c r="CI79" s="61"/>
      <c r="CJ79" s="59"/>
      <c r="CK79" s="59"/>
      <c r="CL79" s="59"/>
      <c r="CM79" s="60"/>
      <c r="CN79" s="59"/>
      <c r="CO79" s="59"/>
      <c r="CP79" s="59"/>
      <c r="CQ79" s="236"/>
      <c r="CR79" s="37"/>
      <c r="CS79" s="5"/>
      <c r="CT79" s="5"/>
      <c r="CU79" s="5"/>
      <c r="CV79" s="236"/>
      <c r="CW79" s="5"/>
      <c r="CX79" s="5"/>
      <c r="CY79" s="5"/>
      <c r="CZ79" s="5"/>
      <c r="DA79" s="5"/>
      <c r="DB79" s="5"/>
      <c r="DC79" s="236"/>
      <c r="DD79" s="104"/>
      <c r="DE79" s="103"/>
      <c r="DF79" s="103"/>
      <c r="DG79" s="103"/>
      <c r="DH79" s="103"/>
      <c r="DI79" s="5"/>
      <c r="DJ79" s="172"/>
      <c r="DK79" s="104"/>
      <c r="DL79" s="104"/>
      <c r="DM79" s="103"/>
      <c r="DN79" s="102"/>
      <c r="DO79" s="104"/>
      <c r="DP79" s="104"/>
      <c r="DQ79" s="103"/>
      <c r="DR79" s="102"/>
      <c r="DS79" s="104"/>
      <c r="DT79" s="104"/>
      <c r="DU79" s="103"/>
      <c r="DV79" s="102"/>
      <c r="DW79" s="104"/>
      <c r="DX79" s="104"/>
      <c r="DY79" s="103"/>
      <c r="DZ79" s="102"/>
      <c r="EA79" s="104"/>
      <c r="EB79" s="104"/>
      <c r="EC79" s="103"/>
      <c r="ED79" s="102"/>
      <c r="EE79" s="236"/>
      <c r="EF79" s="5"/>
    </row>
    <row r="80" spans="1:136" s="3" customFormat="1" x14ac:dyDescent="0.15">
      <c r="A80" s="86"/>
      <c r="B80" s="65"/>
      <c r="C80" s="86"/>
      <c r="E80" s="4"/>
      <c r="F80" s="65"/>
      <c r="G80" s="65"/>
      <c r="H80" s="86"/>
      <c r="I80" s="65"/>
      <c r="J80" s="236"/>
      <c r="K80" s="5"/>
      <c r="L80" s="65"/>
      <c r="M80" s="5"/>
      <c r="N80" s="5"/>
      <c r="O80" s="190"/>
      <c r="P80" s="236"/>
      <c r="Q80" s="5"/>
      <c r="R80" s="5"/>
      <c r="S80" s="4"/>
      <c r="T80" s="4"/>
      <c r="U80" s="5"/>
      <c r="V80" s="5"/>
      <c r="W80" s="5"/>
      <c r="X80" s="86"/>
      <c r="Y80" s="86"/>
      <c r="Z80" s="177"/>
      <c r="AA80" s="5"/>
      <c r="AB80" s="190"/>
      <c r="AC80" s="190"/>
      <c r="AD80" s="236"/>
      <c r="AE80" s="190"/>
      <c r="AF80" s="190"/>
      <c r="AG80" s="190"/>
      <c r="AH80" s="190"/>
      <c r="AI80" s="190"/>
      <c r="AJ80" s="190"/>
      <c r="AK80" s="236"/>
      <c r="AL80" s="190"/>
      <c r="AM80" s="236"/>
      <c r="AN80" s="41"/>
      <c r="AO80" s="41"/>
      <c r="AP80" s="5"/>
      <c r="AQ80" s="4"/>
      <c r="AR80" s="4"/>
      <c r="AS80" s="4"/>
      <c r="AT80" s="5"/>
      <c r="AU80" s="5"/>
      <c r="AV80" s="5"/>
      <c r="AW80" s="236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37"/>
      <c r="BM80" s="5"/>
      <c r="BN80" s="5"/>
      <c r="BO80" s="5"/>
      <c r="BP80" s="236"/>
      <c r="BQ80" s="58"/>
      <c r="BR80" s="59"/>
      <c r="BS80" s="61"/>
      <c r="BT80" s="58"/>
      <c r="BU80" s="60"/>
      <c r="BV80" s="60"/>
      <c r="BW80" s="60"/>
      <c r="BX80" s="60"/>
      <c r="BY80" s="60"/>
      <c r="BZ80" s="61"/>
      <c r="CA80" s="61"/>
      <c r="CB80" s="61"/>
      <c r="CC80" s="61"/>
      <c r="CD80" s="59"/>
      <c r="CE80" s="59"/>
      <c r="CF80" s="59"/>
      <c r="CG80" s="59"/>
      <c r="CH80" s="61"/>
      <c r="CI80" s="61"/>
      <c r="CJ80" s="59"/>
      <c r="CK80" s="59"/>
      <c r="CL80" s="59"/>
      <c r="CM80" s="60"/>
      <c r="CN80" s="59"/>
      <c r="CO80" s="59"/>
      <c r="CP80" s="59"/>
      <c r="CQ80" s="236"/>
      <c r="CR80" s="37"/>
      <c r="CS80" s="5"/>
      <c r="CT80" s="5"/>
      <c r="CU80" s="5"/>
      <c r="CV80" s="236"/>
      <c r="CW80" s="5"/>
      <c r="CX80" s="5"/>
      <c r="CY80" s="5"/>
      <c r="CZ80" s="5"/>
      <c r="DA80" s="5"/>
      <c r="DB80" s="5"/>
      <c r="DC80" s="236"/>
      <c r="DD80" s="104"/>
      <c r="DE80" s="103"/>
      <c r="DF80" s="103"/>
      <c r="DG80" s="103"/>
      <c r="DH80" s="103"/>
      <c r="DI80" s="5"/>
      <c r="DJ80" s="172"/>
      <c r="DK80" s="104"/>
      <c r="DL80" s="104"/>
      <c r="DM80" s="103"/>
      <c r="DN80" s="102"/>
      <c r="DO80" s="104"/>
      <c r="DP80" s="104"/>
      <c r="DQ80" s="103"/>
      <c r="DR80" s="102"/>
      <c r="DS80" s="104"/>
      <c r="DT80" s="104"/>
      <c r="DU80" s="103"/>
      <c r="DV80" s="102"/>
      <c r="DW80" s="104"/>
      <c r="DX80" s="104"/>
      <c r="DY80" s="103"/>
      <c r="DZ80" s="102"/>
      <c r="EA80" s="104"/>
      <c r="EB80" s="104"/>
      <c r="EC80" s="103"/>
      <c r="ED80" s="102"/>
      <c r="EE80" s="236"/>
      <c r="EF80" s="5"/>
    </row>
    <row r="81" spans="1:136" s="3" customFormat="1" x14ac:dyDescent="0.15">
      <c r="A81" s="86"/>
      <c r="B81" s="65"/>
      <c r="C81" s="86"/>
      <c r="E81" s="4"/>
      <c r="F81" s="65"/>
      <c r="G81" s="65"/>
      <c r="H81" s="86"/>
      <c r="I81" s="65"/>
      <c r="J81" s="236"/>
      <c r="K81" s="5"/>
      <c r="L81" s="65"/>
      <c r="M81" s="5"/>
      <c r="N81" s="5"/>
      <c r="O81" s="190"/>
      <c r="P81" s="236"/>
      <c r="Q81" s="5"/>
      <c r="R81" s="5"/>
      <c r="S81" s="4"/>
      <c r="T81" s="4"/>
      <c r="U81" s="5"/>
      <c r="V81" s="5"/>
      <c r="W81" s="5"/>
      <c r="X81" s="86"/>
      <c r="Y81" s="86"/>
      <c r="Z81" s="177"/>
      <c r="AA81" s="5"/>
      <c r="AB81" s="190"/>
      <c r="AC81" s="190"/>
      <c r="AD81" s="236"/>
      <c r="AE81" s="190"/>
      <c r="AF81" s="190"/>
      <c r="AG81" s="190"/>
      <c r="AH81" s="190"/>
      <c r="AI81" s="190"/>
      <c r="AJ81" s="190"/>
      <c r="AK81" s="236"/>
      <c r="AL81" s="190"/>
      <c r="AM81" s="236"/>
      <c r="AN81" s="41"/>
      <c r="AO81" s="41"/>
      <c r="AP81" s="5"/>
      <c r="AQ81" s="4"/>
      <c r="AR81" s="4"/>
      <c r="AS81" s="4"/>
      <c r="AT81" s="5"/>
      <c r="AU81" s="5"/>
      <c r="AV81" s="5"/>
      <c r="AW81" s="236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37"/>
      <c r="BM81" s="5"/>
      <c r="BN81" s="5"/>
      <c r="BO81" s="5"/>
      <c r="BP81" s="236"/>
      <c r="BQ81" s="58"/>
      <c r="BR81" s="59"/>
      <c r="BS81" s="61"/>
      <c r="BT81" s="58"/>
      <c r="BU81" s="60"/>
      <c r="BV81" s="60"/>
      <c r="BW81" s="60"/>
      <c r="BX81" s="60"/>
      <c r="BY81" s="60"/>
      <c r="BZ81" s="61"/>
      <c r="CA81" s="61"/>
      <c r="CB81" s="61"/>
      <c r="CC81" s="61"/>
      <c r="CD81" s="59"/>
      <c r="CE81" s="59"/>
      <c r="CF81" s="59"/>
      <c r="CG81" s="59"/>
      <c r="CH81" s="61"/>
      <c r="CI81" s="61"/>
      <c r="CJ81" s="59"/>
      <c r="CK81" s="59"/>
      <c r="CL81" s="59"/>
      <c r="CM81" s="60"/>
      <c r="CN81" s="59"/>
      <c r="CO81" s="59"/>
      <c r="CP81" s="59"/>
      <c r="CQ81" s="236"/>
      <c r="CR81" s="37"/>
      <c r="CS81" s="5"/>
      <c r="CT81" s="5"/>
      <c r="CU81" s="5"/>
      <c r="CV81" s="236"/>
      <c r="CW81" s="5"/>
      <c r="CX81" s="5"/>
      <c r="CY81" s="5"/>
      <c r="CZ81" s="5"/>
      <c r="DA81" s="5"/>
      <c r="DB81" s="5"/>
      <c r="DC81" s="236"/>
      <c r="DD81" s="104"/>
      <c r="DE81" s="103"/>
      <c r="DF81" s="103"/>
      <c r="DG81" s="103"/>
      <c r="DH81" s="103"/>
      <c r="DI81" s="5"/>
      <c r="DJ81" s="172"/>
      <c r="DK81" s="104"/>
      <c r="DL81" s="104"/>
      <c r="DM81" s="103"/>
      <c r="DN81" s="102"/>
      <c r="DO81" s="104"/>
      <c r="DP81" s="104"/>
      <c r="DQ81" s="103"/>
      <c r="DR81" s="102"/>
      <c r="DS81" s="104"/>
      <c r="DT81" s="104"/>
      <c r="DU81" s="103"/>
      <c r="DV81" s="102"/>
      <c r="DW81" s="104"/>
      <c r="DX81" s="104"/>
      <c r="DY81" s="103"/>
      <c r="DZ81" s="102"/>
      <c r="EA81" s="104"/>
      <c r="EB81" s="104"/>
      <c r="EC81" s="103"/>
      <c r="ED81" s="102"/>
      <c r="EE81" s="236"/>
      <c r="EF81" s="5"/>
    </row>
    <row r="82" spans="1:136" s="3" customFormat="1" x14ac:dyDescent="0.15">
      <c r="A82" s="86"/>
      <c r="B82" s="65"/>
      <c r="C82" s="86"/>
      <c r="E82" s="4"/>
      <c r="F82" s="65"/>
      <c r="G82" s="65"/>
      <c r="H82" s="86"/>
      <c r="I82" s="65"/>
      <c r="J82" s="236"/>
      <c r="K82" s="5"/>
      <c r="L82" s="65"/>
      <c r="M82" s="5"/>
      <c r="N82" s="5"/>
      <c r="O82" s="190"/>
      <c r="P82" s="236"/>
      <c r="Q82" s="5"/>
      <c r="R82" s="5"/>
      <c r="S82" s="4"/>
      <c r="T82" s="4"/>
      <c r="U82" s="5"/>
      <c r="V82" s="5"/>
      <c r="W82" s="5"/>
      <c r="X82" s="86"/>
      <c r="Y82" s="86"/>
      <c r="Z82" s="177"/>
      <c r="AA82" s="5"/>
      <c r="AB82" s="190"/>
      <c r="AC82" s="190"/>
      <c r="AD82" s="236"/>
      <c r="AE82" s="190"/>
      <c r="AF82" s="190"/>
      <c r="AG82" s="190"/>
      <c r="AH82" s="190"/>
      <c r="AI82" s="190"/>
      <c r="AJ82" s="190"/>
      <c r="AK82" s="236"/>
      <c r="AL82" s="190"/>
      <c r="AM82" s="236"/>
      <c r="AN82" s="41"/>
      <c r="AO82" s="41"/>
      <c r="AP82" s="5"/>
      <c r="AQ82" s="4"/>
      <c r="AR82" s="4"/>
      <c r="AS82" s="4"/>
      <c r="AT82" s="5"/>
      <c r="AU82" s="5"/>
      <c r="AV82" s="5"/>
      <c r="AW82" s="236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37"/>
      <c r="BM82" s="5"/>
      <c r="BN82" s="5"/>
      <c r="BO82" s="5"/>
      <c r="BP82" s="236"/>
      <c r="BQ82" s="58"/>
      <c r="BR82" s="59"/>
      <c r="BS82" s="61"/>
      <c r="BT82" s="58"/>
      <c r="BU82" s="60"/>
      <c r="BV82" s="60"/>
      <c r="BW82" s="60"/>
      <c r="BX82" s="60"/>
      <c r="BY82" s="60"/>
      <c r="BZ82" s="61"/>
      <c r="CA82" s="61"/>
      <c r="CB82" s="61"/>
      <c r="CC82" s="61"/>
      <c r="CD82" s="59"/>
      <c r="CE82" s="59"/>
      <c r="CF82" s="59"/>
      <c r="CG82" s="59"/>
      <c r="CH82" s="61"/>
      <c r="CI82" s="61"/>
      <c r="CJ82" s="59"/>
      <c r="CK82" s="59"/>
      <c r="CL82" s="59"/>
      <c r="CM82" s="60"/>
      <c r="CN82" s="59"/>
      <c r="CO82" s="59"/>
      <c r="CP82" s="59"/>
      <c r="CQ82" s="236"/>
      <c r="CR82" s="37"/>
      <c r="CS82" s="5"/>
      <c r="CT82" s="5"/>
      <c r="CU82" s="5"/>
      <c r="CV82" s="236"/>
      <c r="CW82" s="5"/>
      <c r="CX82" s="5"/>
      <c r="CY82" s="5"/>
      <c r="CZ82" s="5"/>
      <c r="DA82" s="5"/>
      <c r="DB82" s="5"/>
      <c r="DC82" s="236"/>
      <c r="DD82" s="104"/>
      <c r="DE82" s="103"/>
      <c r="DF82" s="103"/>
      <c r="DG82" s="103"/>
      <c r="DH82" s="103"/>
      <c r="DI82" s="5"/>
      <c r="DJ82" s="172"/>
      <c r="DK82" s="104"/>
      <c r="DL82" s="104"/>
      <c r="DM82" s="103"/>
      <c r="DN82" s="102"/>
      <c r="DO82" s="104"/>
      <c r="DP82" s="104"/>
      <c r="DQ82" s="103"/>
      <c r="DR82" s="102"/>
      <c r="DS82" s="104"/>
      <c r="DT82" s="104"/>
      <c r="DU82" s="103"/>
      <c r="DV82" s="102"/>
      <c r="DW82" s="104"/>
      <c r="DX82" s="104"/>
      <c r="DY82" s="103"/>
      <c r="DZ82" s="102"/>
      <c r="EA82" s="104"/>
      <c r="EB82" s="104"/>
      <c r="EC82" s="103"/>
      <c r="ED82" s="102"/>
      <c r="EE82" s="236"/>
      <c r="EF82" s="5"/>
    </row>
    <row r="83" spans="1:136" s="3" customFormat="1" x14ac:dyDescent="0.15">
      <c r="A83" s="86"/>
      <c r="B83" s="65"/>
      <c r="C83" s="86"/>
      <c r="E83" s="4"/>
      <c r="F83" s="65"/>
      <c r="G83" s="65"/>
      <c r="H83" s="86"/>
      <c r="I83" s="65"/>
      <c r="J83" s="236"/>
      <c r="K83" s="5"/>
      <c r="L83" s="65"/>
      <c r="M83" s="5"/>
      <c r="N83" s="5"/>
      <c r="O83" s="190"/>
      <c r="P83" s="236"/>
      <c r="Q83" s="5"/>
      <c r="R83" s="5"/>
      <c r="S83" s="4"/>
      <c r="T83" s="4"/>
      <c r="U83" s="5"/>
      <c r="V83" s="5"/>
      <c r="W83" s="5"/>
      <c r="X83" s="86"/>
      <c r="Y83" s="86"/>
      <c r="Z83" s="177"/>
      <c r="AA83" s="5"/>
      <c r="AB83" s="190"/>
      <c r="AC83" s="190"/>
      <c r="AD83" s="236"/>
      <c r="AE83" s="190"/>
      <c r="AF83" s="190"/>
      <c r="AG83" s="190"/>
      <c r="AH83" s="190"/>
      <c r="AI83" s="190"/>
      <c r="AJ83" s="190"/>
      <c r="AK83" s="236"/>
      <c r="AL83" s="190"/>
      <c r="AM83" s="236"/>
      <c r="AN83" s="41"/>
      <c r="AO83" s="41"/>
      <c r="AP83" s="5"/>
      <c r="AQ83" s="4"/>
      <c r="AR83" s="4"/>
      <c r="AS83" s="4"/>
      <c r="AT83" s="5"/>
      <c r="AU83" s="5"/>
      <c r="AV83" s="5"/>
      <c r="AW83" s="236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37"/>
      <c r="BM83" s="5"/>
      <c r="BN83" s="5"/>
      <c r="BO83" s="5"/>
      <c r="BP83" s="236"/>
      <c r="BQ83" s="58"/>
      <c r="BR83" s="59"/>
      <c r="BS83" s="61"/>
      <c r="BT83" s="58"/>
      <c r="BU83" s="60"/>
      <c r="BV83" s="60"/>
      <c r="BW83" s="60"/>
      <c r="BX83" s="60"/>
      <c r="BY83" s="60"/>
      <c r="BZ83" s="61"/>
      <c r="CA83" s="61"/>
      <c r="CB83" s="61"/>
      <c r="CC83" s="61"/>
      <c r="CD83" s="59"/>
      <c r="CE83" s="59"/>
      <c r="CF83" s="59"/>
      <c r="CG83" s="59"/>
      <c r="CH83" s="61"/>
      <c r="CI83" s="61"/>
      <c r="CJ83" s="59"/>
      <c r="CK83" s="59"/>
      <c r="CL83" s="59"/>
      <c r="CM83" s="60"/>
      <c r="CN83" s="59"/>
      <c r="CO83" s="59"/>
      <c r="CP83" s="59"/>
      <c r="CQ83" s="236"/>
      <c r="CR83" s="37"/>
      <c r="CS83" s="5"/>
      <c r="CT83" s="5"/>
      <c r="CU83" s="5"/>
      <c r="CV83" s="236"/>
      <c r="CW83" s="5"/>
      <c r="CX83" s="5"/>
      <c r="CY83" s="5"/>
      <c r="CZ83" s="5"/>
      <c r="DA83" s="5"/>
      <c r="DB83" s="5"/>
      <c r="DC83" s="236"/>
      <c r="DD83" s="104"/>
      <c r="DE83" s="103"/>
      <c r="DF83" s="103"/>
      <c r="DG83" s="103"/>
      <c r="DH83" s="103"/>
      <c r="DI83" s="5"/>
      <c r="DJ83" s="172"/>
      <c r="DK83" s="104"/>
      <c r="DL83" s="104"/>
      <c r="DM83" s="103"/>
      <c r="DN83" s="102"/>
      <c r="DO83" s="104"/>
      <c r="DP83" s="104"/>
      <c r="DQ83" s="103"/>
      <c r="DR83" s="102"/>
      <c r="DS83" s="104"/>
      <c r="DT83" s="104"/>
      <c r="DU83" s="103"/>
      <c r="DV83" s="102"/>
      <c r="DW83" s="104"/>
      <c r="DX83" s="104"/>
      <c r="DY83" s="103"/>
      <c r="DZ83" s="102"/>
      <c r="EA83" s="104"/>
      <c r="EB83" s="104"/>
      <c r="EC83" s="103"/>
      <c r="ED83" s="102"/>
      <c r="EE83" s="236"/>
      <c r="EF83" s="5"/>
    </row>
    <row r="84" spans="1:136" s="3" customFormat="1" x14ac:dyDescent="0.15">
      <c r="A84" s="86"/>
      <c r="B84" s="65"/>
      <c r="C84" s="86"/>
      <c r="E84" s="4"/>
      <c r="F84" s="65"/>
      <c r="G84" s="65"/>
      <c r="H84" s="86"/>
      <c r="I84" s="65"/>
      <c r="J84" s="236"/>
      <c r="K84" s="5"/>
      <c r="L84" s="65"/>
      <c r="M84" s="5"/>
      <c r="N84" s="5"/>
      <c r="O84" s="190"/>
      <c r="P84" s="236"/>
      <c r="Q84" s="5"/>
      <c r="R84" s="5"/>
      <c r="S84" s="4"/>
      <c r="T84" s="4"/>
      <c r="U84" s="5"/>
      <c r="V84" s="5"/>
      <c r="W84" s="5"/>
      <c r="X84" s="86"/>
      <c r="Y84" s="86"/>
      <c r="Z84" s="177"/>
      <c r="AA84" s="5"/>
      <c r="AB84" s="190"/>
      <c r="AC84" s="190"/>
      <c r="AD84" s="236"/>
      <c r="AE84" s="190"/>
      <c r="AF84" s="190"/>
      <c r="AG84" s="190"/>
      <c r="AH84" s="190"/>
      <c r="AI84" s="190"/>
      <c r="AJ84" s="190"/>
      <c r="AK84" s="236"/>
      <c r="AL84" s="190"/>
      <c r="AM84" s="236"/>
      <c r="AN84" s="41"/>
      <c r="AO84" s="41"/>
      <c r="AP84" s="5"/>
      <c r="AQ84" s="4"/>
      <c r="AR84" s="4"/>
      <c r="AS84" s="4"/>
      <c r="AT84" s="5"/>
      <c r="AU84" s="5"/>
      <c r="AV84" s="5"/>
      <c r="AW84" s="236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37"/>
      <c r="BM84" s="5"/>
      <c r="BN84" s="5"/>
      <c r="BO84" s="5"/>
      <c r="BP84" s="236"/>
      <c r="BQ84" s="58"/>
      <c r="BR84" s="59"/>
      <c r="BS84" s="61"/>
      <c r="BT84" s="58"/>
      <c r="BU84" s="60"/>
      <c r="BV84" s="60"/>
      <c r="BW84" s="60"/>
      <c r="BX84" s="60"/>
      <c r="BY84" s="60"/>
      <c r="BZ84" s="61"/>
      <c r="CA84" s="61"/>
      <c r="CB84" s="61"/>
      <c r="CC84" s="61"/>
      <c r="CD84" s="59"/>
      <c r="CE84" s="59"/>
      <c r="CF84" s="59"/>
      <c r="CG84" s="59"/>
      <c r="CH84" s="61"/>
      <c r="CI84" s="61"/>
      <c r="CJ84" s="59"/>
      <c r="CK84" s="59"/>
      <c r="CL84" s="59"/>
      <c r="CM84" s="60"/>
      <c r="CN84" s="59"/>
      <c r="CO84" s="59"/>
      <c r="CP84" s="59"/>
      <c r="CQ84" s="236"/>
      <c r="CR84" s="37"/>
      <c r="CS84" s="5"/>
      <c r="CT84" s="5"/>
      <c r="CU84" s="5"/>
      <c r="CV84" s="236"/>
      <c r="CW84" s="5"/>
      <c r="CX84" s="5"/>
      <c r="CY84" s="5"/>
      <c r="CZ84" s="5"/>
      <c r="DA84" s="5"/>
      <c r="DB84" s="5"/>
      <c r="DC84" s="236"/>
      <c r="DD84" s="104"/>
      <c r="DE84" s="103"/>
      <c r="DF84" s="103"/>
      <c r="DG84" s="103"/>
      <c r="DH84" s="103"/>
      <c r="DI84" s="5"/>
      <c r="DJ84" s="172"/>
      <c r="DK84" s="104"/>
      <c r="DL84" s="104"/>
      <c r="DM84" s="103"/>
      <c r="DN84" s="102"/>
      <c r="DO84" s="104"/>
      <c r="DP84" s="104"/>
      <c r="DQ84" s="103"/>
      <c r="DR84" s="102"/>
      <c r="DS84" s="104"/>
      <c r="DT84" s="104"/>
      <c r="DU84" s="103"/>
      <c r="DV84" s="102"/>
      <c r="DW84" s="104"/>
      <c r="DX84" s="104"/>
      <c r="DY84" s="103"/>
      <c r="DZ84" s="102"/>
      <c r="EA84" s="104"/>
      <c r="EB84" s="104"/>
      <c r="EC84" s="103"/>
      <c r="ED84" s="102"/>
      <c r="EE84" s="236"/>
      <c r="EF84" s="5"/>
    </row>
    <row r="85" spans="1:136" s="3" customFormat="1" x14ac:dyDescent="0.15">
      <c r="A85" s="86"/>
      <c r="B85" s="65"/>
      <c r="C85" s="86"/>
      <c r="E85" s="4"/>
      <c r="F85" s="65"/>
      <c r="G85" s="65"/>
      <c r="H85" s="86"/>
      <c r="I85" s="65"/>
      <c r="J85" s="236"/>
      <c r="K85" s="5"/>
      <c r="L85" s="65"/>
      <c r="M85" s="5"/>
      <c r="N85" s="5"/>
      <c r="O85" s="190"/>
      <c r="P85" s="236"/>
      <c r="Q85" s="5"/>
      <c r="R85" s="5"/>
      <c r="S85" s="4"/>
      <c r="T85" s="4"/>
      <c r="U85" s="5"/>
      <c r="V85" s="5"/>
      <c r="W85" s="5"/>
      <c r="X85" s="86"/>
      <c r="Y85" s="86"/>
      <c r="Z85" s="177"/>
      <c r="AA85" s="5"/>
      <c r="AB85" s="190"/>
      <c r="AC85" s="190"/>
      <c r="AD85" s="236"/>
      <c r="AE85" s="190"/>
      <c r="AF85" s="190"/>
      <c r="AG85" s="190"/>
      <c r="AH85" s="190"/>
      <c r="AI85" s="190"/>
      <c r="AJ85" s="190"/>
      <c r="AK85" s="236"/>
      <c r="AL85" s="190"/>
      <c r="AM85" s="236"/>
      <c r="AN85" s="41"/>
      <c r="AO85" s="41"/>
      <c r="AP85" s="5"/>
      <c r="AQ85" s="4"/>
      <c r="AR85" s="4"/>
      <c r="AS85" s="4"/>
      <c r="AT85" s="5"/>
      <c r="AU85" s="5"/>
      <c r="AV85" s="5"/>
      <c r="AW85" s="236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37"/>
      <c r="BM85" s="5"/>
      <c r="BN85" s="5"/>
      <c r="BO85" s="5"/>
      <c r="BP85" s="236"/>
      <c r="BQ85" s="58"/>
      <c r="BR85" s="59"/>
      <c r="BS85" s="61"/>
      <c r="BT85" s="58"/>
      <c r="BU85" s="60"/>
      <c r="BV85" s="60"/>
      <c r="BW85" s="60"/>
      <c r="BX85" s="60"/>
      <c r="BY85" s="60"/>
      <c r="BZ85" s="61"/>
      <c r="CA85" s="61"/>
      <c r="CB85" s="61"/>
      <c r="CC85" s="61"/>
      <c r="CD85" s="59"/>
      <c r="CE85" s="59"/>
      <c r="CF85" s="59"/>
      <c r="CG85" s="59"/>
      <c r="CH85" s="61"/>
      <c r="CI85" s="61"/>
      <c r="CJ85" s="59"/>
      <c r="CK85" s="59"/>
      <c r="CL85" s="59"/>
      <c r="CM85" s="60"/>
      <c r="CN85" s="59"/>
      <c r="CO85" s="59"/>
      <c r="CP85" s="59"/>
      <c r="CQ85" s="236"/>
      <c r="CR85" s="37"/>
      <c r="CS85" s="5"/>
      <c r="CT85" s="5"/>
      <c r="CU85" s="5"/>
      <c r="CV85" s="236"/>
      <c r="CW85" s="5"/>
      <c r="CX85" s="5"/>
      <c r="CY85" s="5"/>
      <c r="CZ85" s="5"/>
      <c r="DA85" s="5"/>
      <c r="DB85" s="5"/>
      <c r="DC85" s="236"/>
      <c r="DD85" s="104"/>
      <c r="DE85" s="103"/>
      <c r="DF85" s="103"/>
      <c r="DG85" s="103"/>
      <c r="DH85" s="103"/>
      <c r="DI85" s="5"/>
      <c r="DJ85" s="172"/>
      <c r="DK85" s="104"/>
      <c r="DL85" s="104"/>
      <c r="DM85" s="103"/>
      <c r="DN85" s="102"/>
      <c r="DO85" s="104"/>
      <c r="DP85" s="104"/>
      <c r="DQ85" s="103"/>
      <c r="DR85" s="102"/>
      <c r="DS85" s="104"/>
      <c r="DT85" s="104"/>
      <c r="DU85" s="103"/>
      <c r="DV85" s="102"/>
      <c r="DW85" s="104"/>
      <c r="DX85" s="104"/>
      <c r="DY85" s="103"/>
      <c r="DZ85" s="102"/>
      <c r="EA85" s="104"/>
      <c r="EB85" s="104"/>
      <c r="EC85" s="103"/>
      <c r="ED85" s="102"/>
      <c r="EE85" s="236"/>
      <c r="EF85" s="5"/>
    </row>
    <row r="86" spans="1:136" s="3" customFormat="1" x14ac:dyDescent="0.15">
      <c r="A86" s="86"/>
      <c r="B86" s="65"/>
      <c r="C86" s="86"/>
      <c r="E86" s="4"/>
      <c r="F86" s="65"/>
      <c r="G86" s="65"/>
      <c r="H86" s="86"/>
      <c r="I86" s="65"/>
      <c r="J86" s="236"/>
      <c r="K86" s="5"/>
      <c r="L86" s="65"/>
      <c r="M86" s="5"/>
      <c r="N86" s="5"/>
      <c r="O86" s="190"/>
      <c r="P86" s="236"/>
      <c r="Q86" s="5"/>
      <c r="R86" s="5"/>
      <c r="S86" s="4"/>
      <c r="T86" s="4"/>
      <c r="U86" s="5"/>
      <c r="V86" s="5"/>
      <c r="W86" s="5"/>
      <c r="X86" s="86"/>
      <c r="Y86" s="86"/>
      <c r="Z86" s="177"/>
      <c r="AA86" s="5"/>
      <c r="AB86" s="190"/>
      <c r="AC86" s="190"/>
      <c r="AD86" s="236"/>
      <c r="AE86" s="190"/>
      <c r="AF86" s="190"/>
      <c r="AG86" s="190"/>
      <c r="AH86" s="190"/>
      <c r="AI86" s="190"/>
      <c r="AJ86" s="190"/>
      <c r="AK86" s="236"/>
      <c r="AL86" s="190"/>
      <c r="AM86" s="236"/>
      <c r="AN86" s="41"/>
      <c r="AO86" s="41"/>
      <c r="AP86" s="5"/>
      <c r="AQ86" s="4"/>
      <c r="AR86" s="4"/>
      <c r="AS86" s="4"/>
      <c r="AT86" s="5"/>
      <c r="AU86" s="5"/>
      <c r="AV86" s="5"/>
      <c r="AW86" s="236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37"/>
      <c r="BM86" s="5"/>
      <c r="BN86" s="5"/>
      <c r="BO86" s="5"/>
      <c r="BP86" s="236"/>
      <c r="BQ86" s="58"/>
      <c r="BR86" s="59"/>
      <c r="BS86" s="61"/>
      <c r="BT86" s="58"/>
      <c r="BU86" s="60"/>
      <c r="BV86" s="60"/>
      <c r="BW86" s="60"/>
      <c r="BX86" s="60"/>
      <c r="BY86" s="60"/>
      <c r="BZ86" s="61"/>
      <c r="CA86" s="61"/>
      <c r="CB86" s="61"/>
      <c r="CC86" s="61"/>
      <c r="CD86" s="59"/>
      <c r="CE86" s="59"/>
      <c r="CF86" s="59"/>
      <c r="CG86" s="59"/>
      <c r="CH86" s="61"/>
      <c r="CI86" s="61"/>
      <c r="CJ86" s="59"/>
      <c r="CK86" s="59"/>
      <c r="CL86" s="59"/>
      <c r="CM86" s="60"/>
      <c r="CN86" s="59"/>
      <c r="CO86" s="59"/>
      <c r="CP86" s="59"/>
      <c r="CQ86" s="236"/>
      <c r="CR86" s="37"/>
      <c r="CS86" s="5"/>
      <c r="CT86" s="5"/>
      <c r="CU86" s="5"/>
      <c r="CV86" s="236"/>
      <c r="CW86" s="5"/>
      <c r="CX86" s="5"/>
      <c r="CY86" s="5"/>
      <c r="CZ86" s="5"/>
      <c r="DA86" s="5"/>
      <c r="DB86" s="5"/>
      <c r="DC86" s="236"/>
      <c r="DD86" s="104"/>
      <c r="DE86" s="103"/>
      <c r="DF86" s="103"/>
      <c r="DG86" s="103"/>
      <c r="DH86" s="103"/>
      <c r="DI86" s="5"/>
      <c r="DJ86" s="172"/>
      <c r="DK86" s="104"/>
      <c r="DL86" s="104"/>
      <c r="DM86" s="103"/>
      <c r="DN86" s="102"/>
      <c r="DO86" s="104"/>
      <c r="DP86" s="104"/>
      <c r="DQ86" s="103"/>
      <c r="DR86" s="102"/>
      <c r="DS86" s="104"/>
      <c r="DT86" s="104"/>
      <c r="DU86" s="103"/>
      <c r="DV86" s="102"/>
      <c r="DW86" s="104"/>
      <c r="DX86" s="104"/>
      <c r="DY86" s="103"/>
      <c r="DZ86" s="102"/>
      <c r="EA86" s="104"/>
      <c r="EB86" s="104"/>
      <c r="EC86" s="103"/>
      <c r="ED86" s="102"/>
      <c r="EE86" s="236"/>
      <c r="EF86" s="5"/>
    </row>
    <row r="87" spans="1:136" s="3" customFormat="1" x14ac:dyDescent="0.15">
      <c r="A87" s="86"/>
      <c r="B87" s="65"/>
      <c r="C87" s="86"/>
      <c r="E87" s="4"/>
      <c r="F87" s="65"/>
      <c r="G87" s="65"/>
      <c r="H87" s="86"/>
      <c r="I87" s="65"/>
      <c r="J87" s="236"/>
      <c r="K87" s="5"/>
      <c r="L87" s="65"/>
      <c r="M87" s="5"/>
      <c r="N87" s="5"/>
      <c r="O87" s="190"/>
      <c r="P87" s="236"/>
      <c r="Q87" s="5"/>
      <c r="R87" s="5"/>
      <c r="S87" s="4"/>
      <c r="T87" s="4"/>
      <c r="U87" s="5"/>
      <c r="V87" s="5"/>
      <c r="W87" s="5"/>
      <c r="X87" s="86"/>
      <c r="Y87" s="86"/>
      <c r="Z87" s="177"/>
      <c r="AA87" s="5"/>
      <c r="AB87" s="190"/>
      <c r="AC87" s="190"/>
      <c r="AD87" s="236"/>
      <c r="AE87" s="190"/>
      <c r="AF87" s="190"/>
      <c r="AG87" s="190"/>
      <c r="AH87" s="190"/>
      <c r="AI87" s="190"/>
      <c r="AJ87" s="190"/>
      <c r="AK87" s="236"/>
      <c r="AL87" s="190"/>
      <c r="AM87" s="236"/>
      <c r="AN87" s="41"/>
      <c r="AO87" s="41"/>
      <c r="AP87" s="5"/>
      <c r="AQ87" s="4"/>
      <c r="AR87" s="4"/>
      <c r="AS87" s="4"/>
      <c r="AT87" s="5"/>
      <c r="AU87" s="5"/>
      <c r="AV87" s="5"/>
      <c r="AW87" s="236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37"/>
      <c r="BM87" s="5"/>
      <c r="BN87" s="5"/>
      <c r="BO87" s="5"/>
      <c r="BP87" s="236"/>
      <c r="BQ87" s="58"/>
      <c r="BR87" s="59"/>
      <c r="BS87" s="61"/>
      <c r="BT87" s="58"/>
      <c r="BU87" s="60"/>
      <c r="BV87" s="60"/>
      <c r="BW87" s="60"/>
      <c r="BX87" s="60"/>
      <c r="BY87" s="60"/>
      <c r="BZ87" s="61"/>
      <c r="CA87" s="61"/>
      <c r="CB87" s="61"/>
      <c r="CC87" s="61"/>
      <c r="CD87" s="59"/>
      <c r="CE87" s="59"/>
      <c r="CF87" s="59"/>
      <c r="CG87" s="59"/>
      <c r="CH87" s="61"/>
      <c r="CI87" s="61"/>
      <c r="CJ87" s="59"/>
      <c r="CK87" s="59"/>
      <c r="CL87" s="59"/>
      <c r="CM87" s="60"/>
      <c r="CN87" s="59"/>
      <c r="CO87" s="59"/>
      <c r="CP87" s="59"/>
      <c r="CQ87" s="236"/>
      <c r="CR87" s="37"/>
      <c r="CS87" s="5"/>
      <c r="CT87" s="5"/>
      <c r="CU87" s="5"/>
      <c r="CV87" s="236"/>
      <c r="CW87" s="5"/>
      <c r="CX87" s="5"/>
      <c r="CY87" s="5"/>
      <c r="CZ87" s="5"/>
      <c r="DA87" s="5"/>
      <c r="DB87" s="5"/>
      <c r="DC87" s="236"/>
      <c r="DD87" s="104"/>
      <c r="DE87" s="103"/>
      <c r="DF87" s="103"/>
      <c r="DG87" s="103"/>
      <c r="DH87" s="103"/>
      <c r="DI87" s="5"/>
      <c r="DJ87" s="172"/>
      <c r="DK87" s="104"/>
      <c r="DL87" s="104"/>
      <c r="DM87" s="103"/>
      <c r="DN87" s="102"/>
      <c r="DO87" s="104"/>
      <c r="DP87" s="104"/>
      <c r="DQ87" s="103"/>
      <c r="DR87" s="102"/>
      <c r="DS87" s="104"/>
      <c r="DT87" s="104"/>
      <c r="DU87" s="103"/>
      <c r="DV87" s="102"/>
      <c r="DW87" s="104"/>
      <c r="DX87" s="104"/>
      <c r="DY87" s="103"/>
      <c r="DZ87" s="102"/>
      <c r="EA87" s="104"/>
      <c r="EB87" s="104"/>
      <c r="EC87" s="103"/>
      <c r="ED87" s="102"/>
      <c r="EE87" s="236"/>
      <c r="EF87" s="5"/>
    </row>
    <row r="88" spans="1:136" s="3" customFormat="1" x14ac:dyDescent="0.15">
      <c r="A88" s="86"/>
      <c r="B88" s="65"/>
      <c r="C88" s="86"/>
      <c r="E88" s="4"/>
      <c r="F88" s="65"/>
      <c r="G88" s="65"/>
      <c r="H88" s="86"/>
      <c r="I88" s="65"/>
      <c r="J88" s="236"/>
      <c r="K88" s="5"/>
      <c r="L88" s="65"/>
      <c r="M88" s="5"/>
      <c r="N88" s="5"/>
      <c r="O88" s="190"/>
      <c r="P88" s="236"/>
      <c r="Q88" s="5"/>
      <c r="R88" s="5"/>
      <c r="S88" s="4"/>
      <c r="T88" s="4"/>
      <c r="U88" s="5"/>
      <c r="V88" s="5"/>
      <c r="W88" s="5"/>
      <c r="X88" s="86"/>
      <c r="Y88" s="86"/>
      <c r="Z88" s="177"/>
      <c r="AA88" s="5"/>
      <c r="AB88" s="190"/>
      <c r="AC88" s="190"/>
      <c r="AD88" s="236"/>
      <c r="AE88" s="190"/>
      <c r="AF88" s="190"/>
      <c r="AG88" s="190"/>
      <c r="AH88" s="190"/>
      <c r="AI88" s="190"/>
      <c r="AJ88" s="190"/>
      <c r="AK88" s="236"/>
      <c r="AL88" s="190"/>
      <c r="AM88" s="236"/>
      <c r="AN88" s="41"/>
      <c r="AO88" s="41"/>
      <c r="AP88" s="5"/>
      <c r="AQ88" s="4"/>
      <c r="AR88" s="4"/>
      <c r="AS88" s="4"/>
      <c r="AT88" s="5"/>
      <c r="AU88" s="5"/>
      <c r="AV88" s="5"/>
      <c r="AW88" s="236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37"/>
      <c r="BM88" s="5"/>
      <c r="BN88" s="5"/>
      <c r="BO88" s="5"/>
      <c r="BP88" s="236"/>
      <c r="BQ88" s="58"/>
      <c r="BR88" s="59"/>
      <c r="BS88" s="61"/>
      <c r="BT88" s="58"/>
      <c r="BU88" s="60"/>
      <c r="BV88" s="60"/>
      <c r="BW88" s="60"/>
      <c r="BX88" s="60"/>
      <c r="BY88" s="60"/>
      <c r="BZ88" s="61"/>
      <c r="CA88" s="61"/>
      <c r="CB88" s="61"/>
      <c r="CC88" s="61"/>
      <c r="CD88" s="59"/>
      <c r="CE88" s="59"/>
      <c r="CF88" s="59"/>
      <c r="CG88" s="59"/>
      <c r="CH88" s="61"/>
      <c r="CI88" s="61"/>
      <c r="CJ88" s="59"/>
      <c r="CK88" s="59"/>
      <c r="CL88" s="59"/>
      <c r="CM88" s="60"/>
      <c r="CN88" s="59"/>
      <c r="CO88" s="59"/>
      <c r="CP88" s="59"/>
      <c r="CQ88" s="236"/>
      <c r="CR88" s="37"/>
      <c r="CS88" s="5"/>
      <c r="CT88" s="5"/>
      <c r="CU88" s="5"/>
      <c r="CV88" s="236"/>
      <c r="CW88" s="5"/>
      <c r="CX88" s="5"/>
      <c r="CY88" s="5"/>
      <c r="CZ88" s="5"/>
      <c r="DA88" s="5"/>
      <c r="DB88" s="5"/>
      <c r="DC88" s="236"/>
      <c r="DD88" s="104"/>
      <c r="DE88" s="103"/>
      <c r="DF88" s="103"/>
      <c r="DG88" s="103"/>
      <c r="DH88" s="103"/>
      <c r="DI88" s="5"/>
      <c r="DJ88" s="172"/>
      <c r="DK88" s="104"/>
      <c r="DL88" s="104"/>
      <c r="DM88" s="103"/>
      <c r="DN88" s="102"/>
      <c r="DO88" s="104"/>
      <c r="DP88" s="104"/>
      <c r="DQ88" s="103"/>
      <c r="DR88" s="102"/>
      <c r="DS88" s="104"/>
      <c r="DT88" s="104"/>
      <c r="DU88" s="103"/>
      <c r="DV88" s="102"/>
      <c r="DW88" s="104"/>
      <c r="DX88" s="104"/>
      <c r="DY88" s="103"/>
      <c r="DZ88" s="102"/>
      <c r="EA88" s="104"/>
      <c r="EB88" s="104"/>
      <c r="EC88" s="103"/>
      <c r="ED88" s="102"/>
      <c r="EE88" s="236"/>
      <c r="EF88" s="5"/>
    </row>
    <row r="89" spans="1:136" s="3" customFormat="1" x14ac:dyDescent="0.15">
      <c r="A89" s="86"/>
      <c r="B89" s="65"/>
      <c r="C89" s="86"/>
      <c r="E89" s="4"/>
      <c r="F89" s="65"/>
      <c r="G89" s="65"/>
      <c r="H89" s="86"/>
      <c r="I89" s="65"/>
      <c r="J89" s="236"/>
      <c r="K89" s="5"/>
      <c r="L89" s="65"/>
      <c r="M89" s="5"/>
      <c r="N89" s="5"/>
      <c r="O89" s="190"/>
      <c r="P89" s="236"/>
      <c r="Q89" s="5"/>
      <c r="R89" s="5"/>
      <c r="S89" s="4"/>
      <c r="T89" s="4"/>
      <c r="U89" s="5"/>
      <c r="V89" s="5"/>
      <c r="W89" s="5"/>
      <c r="X89" s="86"/>
      <c r="Y89" s="86"/>
      <c r="Z89" s="177"/>
      <c r="AA89" s="5"/>
      <c r="AB89" s="190"/>
      <c r="AC89" s="190"/>
      <c r="AD89" s="236"/>
      <c r="AE89" s="190"/>
      <c r="AF89" s="190"/>
      <c r="AG89" s="190"/>
      <c r="AH89" s="190"/>
      <c r="AI89" s="190"/>
      <c r="AJ89" s="190"/>
      <c r="AK89" s="236"/>
      <c r="AL89" s="190"/>
      <c r="AM89" s="236"/>
      <c r="AN89" s="41"/>
      <c r="AO89" s="41"/>
      <c r="AP89" s="5"/>
      <c r="AQ89" s="4"/>
      <c r="AR89" s="4"/>
      <c r="AS89" s="4"/>
      <c r="AT89" s="5"/>
      <c r="AU89" s="5"/>
      <c r="AV89" s="5"/>
      <c r="AW89" s="236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37"/>
      <c r="BM89" s="5"/>
      <c r="BN89" s="5"/>
      <c r="BO89" s="5"/>
      <c r="BP89" s="236"/>
      <c r="BQ89" s="58"/>
      <c r="BR89" s="59"/>
      <c r="BS89" s="61"/>
      <c r="BT89" s="58"/>
      <c r="BU89" s="60"/>
      <c r="BV89" s="60"/>
      <c r="BW89" s="60"/>
      <c r="BX89" s="60"/>
      <c r="BY89" s="60"/>
      <c r="BZ89" s="61"/>
      <c r="CA89" s="61"/>
      <c r="CB89" s="61"/>
      <c r="CC89" s="61"/>
      <c r="CD89" s="59"/>
      <c r="CE89" s="59"/>
      <c r="CF89" s="59"/>
      <c r="CG89" s="59"/>
      <c r="CH89" s="61"/>
      <c r="CI89" s="61"/>
      <c r="CJ89" s="59"/>
      <c r="CK89" s="59"/>
      <c r="CL89" s="59"/>
      <c r="CM89" s="60"/>
      <c r="CN89" s="59"/>
      <c r="CO89" s="59"/>
      <c r="CP89" s="59"/>
      <c r="CQ89" s="236"/>
      <c r="CR89" s="37"/>
      <c r="CS89" s="5"/>
      <c r="CT89" s="5"/>
      <c r="CU89" s="5"/>
      <c r="CV89" s="236"/>
      <c r="CW89" s="5"/>
      <c r="CX89" s="5"/>
      <c r="CY89" s="5"/>
      <c r="CZ89" s="5"/>
      <c r="DA89" s="5"/>
      <c r="DB89" s="5"/>
      <c r="DC89" s="236"/>
      <c r="DD89" s="104"/>
      <c r="DE89" s="103"/>
      <c r="DF89" s="103"/>
      <c r="DG89" s="103"/>
      <c r="DH89" s="103"/>
      <c r="DI89" s="5"/>
      <c r="DJ89" s="172"/>
      <c r="DK89" s="104"/>
      <c r="DL89" s="104"/>
      <c r="DM89" s="103"/>
      <c r="DN89" s="102"/>
      <c r="DO89" s="104"/>
      <c r="DP89" s="104"/>
      <c r="DQ89" s="103"/>
      <c r="DR89" s="102"/>
      <c r="DS89" s="104"/>
      <c r="DT89" s="104"/>
      <c r="DU89" s="103"/>
      <c r="DV89" s="102"/>
      <c r="DW89" s="104"/>
      <c r="DX89" s="104"/>
      <c r="DY89" s="103"/>
      <c r="DZ89" s="102"/>
      <c r="EA89" s="104"/>
      <c r="EB89" s="104"/>
      <c r="EC89" s="103"/>
      <c r="ED89" s="102"/>
      <c r="EE89" s="236"/>
      <c r="EF89" s="5"/>
    </row>
    <row r="90" spans="1:136" s="3" customFormat="1" x14ac:dyDescent="0.15">
      <c r="A90" s="86"/>
      <c r="B90" s="65"/>
      <c r="C90" s="86"/>
      <c r="E90" s="4"/>
      <c r="F90" s="65"/>
      <c r="G90" s="65"/>
      <c r="H90" s="86"/>
      <c r="I90" s="65"/>
      <c r="J90" s="236"/>
      <c r="K90" s="5"/>
      <c r="L90" s="65"/>
      <c r="M90" s="5"/>
      <c r="N90" s="5"/>
      <c r="O90" s="190"/>
      <c r="P90" s="236"/>
      <c r="Q90" s="5"/>
      <c r="R90" s="5"/>
      <c r="S90" s="4"/>
      <c r="T90" s="4"/>
      <c r="U90" s="5"/>
      <c r="V90" s="5"/>
      <c r="W90" s="5"/>
      <c r="X90" s="86"/>
      <c r="Y90" s="86"/>
      <c r="Z90" s="177"/>
      <c r="AA90" s="5"/>
      <c r="AB90" s="190"/>
      <c r="AC90" s="190"/>
      <c r="AD90" s="236"/>
      <c r="AE90" s="190"/>
      <c r="AF90" s="190"/>
      <c r="AG90" s="190"/>
      <c r="AH90" s="190"/>
      <c r="AI90" s="190"/>
      <c r="AJ90" s="190"/>
      <c r="AK90" s="236"/>
      <c r="AL90" s="190"/>
      <c r="AM90" s="236"/>
      <c r="AN90" s="41"/>
      <c r="AO90" s="41"/>
      <c r="AP90" s="5"/>
      <c r="AQ90" s="4"/>
      <c r="AR90" s="4"/>
      <c r="AS90" s="4"/>
      <c r="AT90" s="5"/>
      <c r="AU90" s="5"/>
      <c r="AV90" s="5"/>
      <c r="AW90" s="236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37"/>
      <c r="BM90" s="5"/>
      <c r="BN90" s="5"/>
      <c r="BO90" s="5"/>
      <c r="BP90" s="236"/>
      <c r="BQ90" s="58"/>
      <c r="BR90" s="59"/>
      <c r="BS90" s="61"/>
      <c r="BT90" s="58"/>
      <c r="BU90" s="60"/>
      <c r="BV90" s="60"/>
      <c r="BW90" s="60"/>
      <c r="BX90" s="60"/>
      <c r="BY90" s="60"/>
      <c r="BZ90" s="61"/>
      <c r="CA90" s="61"/>
      <c r="CB90" s="61"/>
      <c r="CC90" s="61"/>
      <c r="CD90" s="59"/>
      <c r="CE90" s="59"/>
      <c r="CF90" s="59"/>
      <c r="CG90" s="59"/>
      <c r="CH90" s="61"/>
      <c r="CI90" s="61"/>
      <c r="CJ90" s="59"/>
      <c r="CK90" s="59"/>
      <c r="CL90" s="59"/>
      <c r="CM90" s="60"/>
      <c r="CN90" s="59"/>
      <c r="CO90" s="59"/>
      <c r="CP90" s="59"/>
      <c r="CQ90" s="236"/>
      <c r="CR90" s="37"/>
      <c r="CS90" s="5"/>
      <c r="CT90" s="5"/>
      <c r="CU90" s="5"/>
      <c r="CV90" s="236"/>
      <c r="CW90" s="5"/>
      <c r="CX90" s="5"/>
      <c r="CY90" s="5"/>
      <c r="CZ90" s="5"/>
      <c r="DA90" s="5"/>
      <c r="DB90" s="5"/>
      <c r="DC90" s="236"/>
      <c r="DD90" s="104"/>
      <c r="DE90" s="103"/>
      <c r="DF90" s="103"/>
      <c r="DG90" s="103"/>
      <c r="DH90" s="103"/>
      <c r="DI90" s="5"/>
      <c r="DJ90" s="172"/>
      <c r="DK90" s="104"/>
      <c r="DL90" s="104"/>
      <c r="DM90" s="103"/>
      <c r="DN90" s="102"/>
      <c r="DO90" s="104"/>
      <c r="DP90" s="104"/>
      <c r="DQ90" s="103"/>
      <c r="DR90" s="102"/>
      <c r="DS90" s="104"/>
      <c r="DT90" s="104"/>
      <c r="DU90" s="103"/>
      <c r="DV90" s="102"/>
      <c r="DW90" s="104"/>
      <c r="DX90" s="104"/>
      <c r="DY90" s="103"/>
      <c r="DZ90" s="102"/>
      <c r="EA90" s="104"/>
      <c r="EB90" s="104"/>
      <c r="EC90" s="103"/>
      <c r="ED90" s="102"/>
      <c r="EE90" s="236"/>
      <c r="EF90" s="5"/>
    </row>
    <row r="91" spans="1:136" s="3" customFormat="1" x14ac:dyDescent="0.15">
      <c r="A91" s="86"/>
      <c r="B91" s="65"/>
      <c r="C91" s="86"/>
      <c r="E91" s="4"/>
      <c r="F91" s="65"/>
      <c r="G91" s="65"/>
      <c r="H91" s="86"/>
      <c r="I91" s="65"/>
      <c r="J91" s="236"/>
      <c r="K91" s="5"/>
      <c r="L91" s="65"/>
      <c r="M91" s="5"/>
      <c r="N91" s="5"/>
      <c r="O91" s="190"/>
      <c r="P91" s="236"/>
      <c r="Q91" s="5"/>
      <c r="R91" s="5"/>
      <c r="S91" s="4"/>
      <c r="T91" s="4"/>
      <c r="U91" s="5"/>
      <c r="V91" s="5"/>
      <c r="W91" s="5"/>
      <c r="X91" s="86"/>
      <c r="Y91" s="86"/>
      <c r="Z91" s="177"/>
      <c r="AA91" s="5"/>
      <c r="AB91" s="190"/>
      <c r="AC91" s="190"/>
      <c r="AD91" s="236"/>
      <c r="AE91" s="190"/>
      <c r="AF91" s="190"/>
      <c r="AG91" s="190"/>
      <c r="AH91" s="190"/>
      <c r="AI91" s="190"/>
      <c r="AJ91" s="190"/>
      <c r="AK91" s="236"/>
      <c r="AL91" s="190"/>
      <c r="AM91" s="236"/>
      <c r="AN91" s="41"/>
      <c r="AO91" s="41"/>
      <c r="AP91" s="5"/>
      <c r="AQ91" s="4"/>
      <c r="AR91" s="4"/>
      <c r="AS91" s="4"/>
      <c r="AT91" s="5"/>
      <c r="AU91" s="5"/>
      <c r="AV91" s="5"/>
      <c r="AW91" s="236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37"/>
      <c r="BM91" s="5"/>
      <c r="BN91" s="5"/>
      <c r="BO91" s="5"/>
      <c r="BP91" s="236"/>
      <c r="BQ91" s="58"/>
      <c r="BR91" s="59"/>
      <c r="BS91" s="61"/>
      <c r="BT91" s="58"/>
      <c r="BU91" s="60"/>
      <c r="BV91" s="60"/>
      <c r="BW91" s="60"/>
      <c r="BX91" s="60"/>
      <c r="BY91" s="60"/>
      <c r="BZ91" s="61"/>
      <c r="CA91" s="61"/>
      <c r="CB91" s="61"/>
      <c r="CC91" s="61"/>
      <c r="CD91" s="59"/>
      <c r="CE91" s="59"/>
      <c r="CF91" s="59"/>
      <c r="CG91" s="59"/>
      <c r="CH91" s="61"/>
      <c r="CI91" s="61"/>
      <c r="CJ91" s="59"/>
      <c r="CK91" s="59"/>
      <c r="CL91" s="59"/>
      <c r="CM91" s="60"/>
      <c r="CN91" s="59"/>
      <c r="CO91" s="59"/>
      <c r="CP91" s="59"/>
      <c r="CQ91" s="236"/>
      <c r="CR91" s="37"/>
      <c r="CS91" s="5"/>
      <c r="CT91" s="5"/>
      <c r="CU91" s="5"/>
      <c r="CV91" s="236"/>
      <c r="CW91" s="5"/>
      <c r="CX91" s="5"/>
      <c r="CY91" s="5"/>
      <c r="CZ91" s="5"/>
      <c r="DA91" s="5"/>
      <c r="DB91" s="5"/>
      <c r="DC91" s="236"/>
      <c r="DD91" s="104"/>
      <c r="DE91" s="103"/>
      <c r="DF91" s="103"/>
      <c r="DG91" s="103"/>
      <c r="DH91" s="103"/>
      <c r="DI91" s="5"/>
      <c r="DJ91" s="172"/>
      <c r="DK91" s="104"/>
      <c r="DL91" s="104"/>
      <c r="DM91" s="103"/>
      <c r="DN91" s="102"/>
      <c r="DO91" s="104"/>
      <c r="DP91" s="104"/>
      <c r="DQ91" s="103"/>
      <c r="DR91" s="102"/>
      <c r="DS91" s="104"/>
      <c r="DT91" s="104"/>
      <c r="DU91" s="103"/>
      <c r="DV91" s="102"/>
      <c r="DW91" s="104"/>
      <c r="DX91" s="104"/>
      <c r="DY91" s="103"/>
      <c r="DZ91" s="102"/>
      <c r="EA91" s="104"/>
      <c r="EB91" s="104"/>
      <c r="EC91" s="103"/>
      <c r="ED91" s="102"/>
      <c r="EE91" s="236"/>
      <c r="EF91" s="5"/>
    </row>
    <row r="92" spans="1:136" s="3" customFormat="1" x14ac:dyDescent="0.15">
      <c r="A92" s="86"/>
      <c r="B92" s="65"/>
      <c r="C92" s="86"/>
      <c r="E92" s="4"/>
      <c r="F92" s="65"/>
      <c r="G92" s="65"/>
      <c r="H92" s="86"/>
      <c r="I92" s="65"/>
      <c r="J92" s="236"/>
      <c r="K92" s="5"/>
      <c r="L92" s="65"/>
      <c r="M92" s="5"/>
      <c r="N92" s="5"/>
      <c r="O92" s="190"/>
      <c r="P92" s="236"/>
      <c r="Q92" s="5"/>
      <c r="R92" s="5"/>
      <c r="S92" s="4"/>
      <c r="T92" s="4"/>
      <c r="U92" s="5"/>
      <c r="V92" s="5"/>
      <c r="W92" s="5"/>
      <c r="X92" s="86"/>
      <c r="Y92" s="86"/>
      <c r="Z92" s="177"/>
      <c r="AA92" s="5"/>
      <c r="AB92" s="190"/>
      <c r="AC92" s="190"/>
      <c r="AD92" s="236"/>
      <c r="AE92" s="190"/>
      <c r="AF92" s="190"/>
      <c r="AG92" s="190"/>
      <c r="AH92" s="190"/>
      <c r="AI92" s="190"/>
      <c r="AJ92" s="190"/>
      <c r="AK92" s="236"/>
      <c r="AL92" s="190"/>
      <c r="AM92" s="236"/>
      <c r="AN92" s="41"/>
      <c r="AO92" s="41"/>
      <c r="AP92" s="5"/>
      <c r="AQ92" s="4"/>
      <c r="AR92" s="4"/>
      <c r="AS92" s="4"/>
      <c r="AT92" s="5"/>
      <c r="AU92" s="5"/>
      <c r="AV92" s="5"/>
      <c r="AW92" s="236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37"/>
      <c r="BM92" s="5"/>
      <c r="BN92" s="5"/>
      <c r="BO92" s="5"/>
      <c r="BP92" s="236"/>
      <c r="BQ92" s="58"/>
      <c r="BR92" s="59"/>
      <c r="BS92" s="61"/>
      <c r="BT92" s="58"/>
      <c r="BU92" s="60"/>
      <c r="BV92" s="60"/>
      <c r="BW92" s="60"/>
      <c r="BX92" s="60"/>
      <c r="BY92" s="60"/>
      <c r="BZ92" s="61"/>
      <c r="CA92" s="61"/>
      <c r="CB92" s="61"/>
      <c r="CC92" s="61"/>
      <c r="CD92" s="59"/>
      <c r="CE92" s="59"/>
      <c r="CF92" s="59"/>
      <c r="CG92" s="59"/>
      <c r="CH92" s="61"/>
      <c r="CI92" s="61"/>
      <c r="CJ92" s="59"/>
      <c r="CK92" s="59"/>
      <c r="CL92" s="59"/>
      <c r="CM92" s="60"/>
      <c r="CN92" s="59"/>
      <c r="CO92" s="59"/>
      <c r="CP92" s="59"/>
      <c r="CQ92" s="236"/>
      <c r="CR92" s="37"/>
      <c r="CS92" s="5"/>
      <c r="CT92" s="5"/>
      <c r="CU92" s="5"/>
      <c r="CV92" s="236"/>
      <c r="CW92" s="5"/>
      <c r="CX92" s="5"/>
      <c r="CY92" s="5"/>
      <c r="CZ92" s="5"/>
      <c r="DA92" s="5"/>
      <c r="DB92" s="5"/>
      <c r="DC92" s="236"/>
      <c r="DD92" s="104"/>
      <c r="DE92" s="103"/>
      <c r="DF92" s="103"/>
      <c r="DG92" s="103"/>
      <c r="DH92" s="103"/>
      <c r="DI92" s="5"/>
      <c r="DJ92" s="172"/>
      <c r="DK92" s="104"/>
      <c r="DL92" s="104"/>
      <c r="DM92" s="103"/>
      <c r="DN92" s="102"/>
      <c r="DO92" s="104"/>
      <c r="DP92" s="104"/>
      <c r="DQ92" s="103"/>
      <c r="DR92" s="102"/>
      <c r="DS92" s="104"/>
      <c r="DT92" s="104"/>
      <c r="DU92" s="103"/>
      <c r="DV92" s="102"/>
      <c r="DW92" s="104"/>
      <c r="DX92" s="104"/>
      <c r="DY92" s="103"/>
      <c r="DZ92" s="102"/>
      <c r="EA92" s="104"/>
      <c r="EB92" s="104"/>
      <c r="EC92" s="103"/>
      <c r="ED92" s="102"/>
      <c r="EE92" s="236"/>
      <c r="EF92" s="5"/>
    </row>
    <row r="93" spans="1:136" s="3" customFormat="1" x14ac:dyDescent="0.15">
      <c r="A93" s="86"/>
      <c r="B93" s="65"/>
      <c r="C93" s="86"/>
      <c r="E93" s="4"/>
      <c r="F93" s="65"/>
      <c r="G93" s="65"/>
      <c r="H93" s="86"/>
      <c r="I93" s="65"/>
      <c r="J93" s="236"/>
      <c r="K93" s="5"/>
      <c r="L93" s="65"/>
      <c r="M93" s="5"/>
      <c r="N93" s="5"/>
      <c r="O93" s="190"/>
      <c r="P93" s="236"/>
      <c r="Q93" s="5"/>
      <c r="R93" s="5"/>
      <c r="S93" s="4"/>
      <c r="T93" s="4"/>
      <c r="U93" s="5"/>
      <c r="V93" s="5"/>
      <c r="W93" s="5"/>
      <c r="X93" s="86"/>
      <c r="Y93" s="86"/>
      <c r="Z93" s="177"/>
      <c r="AA93" s="5"/>
      <c r="AB93" s="190"/>
      <c r="AC93" s="190"/>
      <c r="AD93" s="236"/>
      <c r="AE93" s="190"/>
      <c r="AF93" s="190"/>
      <c r="AG93" s="190"/>
      <c r="AH93" s="190"/>
      <c r="AI93" s="190"/>
      <c r="AJ93" s="190"/>
      <c r="AK93" s="236"/>
      <c r="AL93" s="190"/>
      <c r="AM93" s="236"/>
      <c r="AN93" s="41"/>
      <c r="AO93" s="41"/>
      <c r="AP93" s="5"/>
      <c r="AQ93" s="4"/>
      <c r="AR93" s="4"/>
      <c r="AS93" s="4"/>
      <c r="AT93" s="5"/>
      <c r="AU93" s="5"/>
      <c r="AV93" s="5"/>
      <c r="AW93" s="236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37"/>
      <c r="BM93" s="5"/>
      <c r="BN93" s="5"/>
      <c r="BO93" s="5"/>
      <c r="BP93" s="236"/>
      <c r="BQ93" s="58"/>
      <c r="BR93" s="59"/>
      <c r="BS93" s="61"/>
      <c r="BT93" s="58"/>
      <c r="BU93" s="60"/>
      <c r="BV93" s="60"/>
      <c r="BW93" s="60"/>
      <c r="BX93" s="60"/>
      <c r="BY93" s="60"/>
      <c r="BZ93" s="61"/>
      <c r="CA93" s="61"/>
      <c r="CB93" s="61"/>
      <c r="CC93" s="61"/>
      <c r="CD93" s="59"/>
      <c r="CE93" s="59"/>
      <c r="CF93" s="59"/>
      <c r="CG93" s="59"/>
      <c r="CH93" s="61"/>
      <c r="CI93" s="61"/>
      <c r="CJ93" s="59"/>
      <c r="CK93" s="59"/>
      <c r="CL93" s="59"/>
      <c r="CM93" s="60"/>
      <c r="CN93" s="59"/>
      <c r="CO93" s="59"/>
      <c r="CP93" s="59"/>
      <c r="CQ93" s="236"/>
      <c r="CR93" s="37"/>
      <c r="CS93" s="5"/>
      <c r="CT93" s="5"/>
      <c r="CU93" s="5"/>
      <c r="CV93" s="236"/>
      <c r="CW93" s="5"/>
      <c r="CX93" s="5"/>
      <c r="CY93" s="5"/>
      <c r="CZ93" s="5"/>
      <c r="DA93" s="5"/>
      <c r="DB93" s="5"/>
      <c r="DC93" s="236"/>
      <c r="DD93" s="104"/>
      <c r="DE93" s="103"/>
      <c r="DF93" s="103"/>
      <c r="DG93" s="103"/>
      <c r="DH93" s="103"/>
      <c r="DI93" s="5"/>
      <c r="DJ93" s="172"/>
      <c r="DK93" s="104"/>
      <c r="DL93" s="104"/>
      <c r="DM93" s="103"/>
      <c r="DN93" s="102"/>
      <c r="DO93" s="104"/>
      <c r="DP93" s="104"/>
      <c r="DQ93" s="103"/>
      <c r="DR93" s="102"/>
      <c r="DS93" s="104"/>
      <c r="DT93" s="104"/>
      <c r="DU93" s="103"/>
      <c r="DV93" s="102"/>
      <c r="DW93" s="104"/>
      <c r="DX93" s="104"/>
      <c r="DY93" s="103"/>
      <c r="DZ93" s="102"/>
      <c r="EA93" s="104"/>
      <c r="EB93" s="104"/>
      <c r="EC93" s="103"/>
      <c r="ED93" s="102"/>
      <c r="EE93" s="236"/>
      <c r="EF93" s="5"/>
    </row>
    <row r="94" spans="1:136" s="3" customFormat="1" x14ac:dyDescent="0.15">
      <c r="A94" s="86"/>
      <c r="B94" s="65"/>
      <c r="C94" s="86"/>
      <c r="E94" s="4"/>
      <c r="F94" s="65"/>
      <c r="G94" s="65"/>
      <c r="H94" s="86"/>
      <c r="I94" s="65"/>
      <c r="J94" s="236"/>
      <c r="K94" s="5"/>
      <c r="L94" s="65"/>
      <c r="M94" s="5"/>
      <c r="N94" s="5"/>
      <c r="O94" s="190"/>
      <c r="P94" s="236"/>
      <c r="Q94" s="5"/>
      <c r="R94" s="5"/>
      <c r="S94" s="4"/>
      <c r="T94" s="4"/>
      <c r="U94" s="5"/>
      <c r="V94" s="5"/>
      <c r="W94" s="5"/>
      <c r="X94" s="86"/>
      <c r="Y94" s="86"/>
      <c r="Z94" s="177"/>
      <c r="AA94" s="5"/>
      <c r="AB94" s="190"/>
      <c r="AC94" s="190"/>
      <c r="AD94" s="236"/>
      <c r="AE94" s="190"/>
      <c r="AF94" s="190"/>
      <c r="AG94" s="190"/>
      <c r="AH94" s="190"/>
      <c r="AI94" s="190"/>
      <c r="AJ94" s="190"/>
      <c r="AK94" s="236"/>
      <c r="AL94" s="190"/>
      <c r="AM94" s="236"/>
      <c r="AN94" s="41"/>
      <c r="AO94" s="41"/>
      <c r="AP94" s="5"/>
      <c r="AQ94" s="4"/>
      <c r="AR94" s="4"/>
      <c r="AS94" s="4"/>
      <c r="AT94" s="5"/>
      <c r="AU94" s="5"/>
      <c r="AV94" s="5"/>
      <c r="AW94" s="236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37"/>
      <c r="BM94" s="5"/>
      <c r="BN94" s="5"/>
      <c r="BO94" s="5"/>
      <c r="BP94" s="236"/>
      <c r="BQ94" s="58"/>
      <c r="BR94" s="59"/>
      <c r="BS94" s="61"/>
      <c r="BT94" s="58"/>
      <c r="BU94" s="60"/>
      <c r="BV94" s="60"/>
      <c r="BW94" s="60"/>
      <c r="BX94" s="60"/>
      <c r="BY94" s="60"/>
      <c r="BZ94" s="61"/>
      <c r="CA94" s="61"/>
      <c r="CB94" s="61"/>
      <c r="CC94" s="61"/>
      <c r="CD94" s="59"/>
      <c r="CE94" s="59"/>
      <c r="CF94" s="59"/>
      <c r="CG94" s="59"/>
      <c r="CH94" s="61"/>
      <c r="CI94" s="61"/>
      <c r="CJ94" s="59"/>
      <c r="CK94" s="59"/>
      <c r="CL94" s="59"/>
      <c r="CM94" s="60"/>
      <c r="CN94" s="59"/>
      <c r="CO94" s="59"/>
      <c r="CP94" s="59"/>
      <c r="CQ94" s="236"/>
      <c r="CR94" s="37"/>
      <c r="CS94" s="5"/>
      <c r="CT94" s="5"/>
      <c r="CU94" s="5"/>
      <c r="CV94" s="236"/>
      <c r="CW94" s="5"/>
      <c r="CX94" s="5"/>
      <c r="CY94" s="5"/>
      <c r="CZ94" s="5"/>
      <c r="DA94" s="5"/>
      <c r="DB94" s="5"/>
      <c r="DC94" s="236"/>
      <c r="DD94" s="104"/>
      <c r="DE94" s="103"/>
      <c r="DF94" s="103"/>
      <c r="DG94" s="103"/>
      <c r="DH94" s="103"/>
      <c r="DI94" s="5"/>
      <c r="DJ94" s="172"/>
      <c r="DK94" s="104"/>
      <c r="DL94" s="104"/>
      <c r="DM94" s="103"/>
      <c r="DN94" s="102"/>
      <c r="DO94" s="104"/>
      <c r="DP94" s="104"/>
      <c r="DQ94" s="103"/>
      <c r="DR94" s="102"/>
      <c r="DS94" s="104"/>
      <c r="DT94" s="104"/>
      <c r="DU94" s="103"/>
      <c r="DV94" s="102"/>
      <c r="DW94" s="104"/>
      <c r="DX94" s="104"/>
      <c r="DY94" s="103"/>
      <c r="DZ94" s="102"/>
      <c r="EA94" s="104"/>
      <c r="EB94" s="104"/>
      <c r="EC94" s="103"/>
      <c r="ED94" s="102"/>
      <c r="EE94" s="236"/>
      <c r="EF94" s="5"/>
    </row>
    <row r="95" spans="1:136" s="3" customFormat="1" x14ac:dyDescent="0.15">
      <c r="A95" s="86"/>
      <c r="B95" s="65"/>
      <c r="C95" s="86"/>
      <c r="E95" s="4"/>
      <c r="F95" s="65"/>
      <c r="G95" s="65"/>
      <c r="H95" s="86"/>
      <c r="I95" s="65"/>
      <c r="J95" s="236"/>
      <c r="K95" s="5"/>
      <c r="L95" s="65"/>
      <c r="M95" s="5"/>
      <c r="N95" s="5"/>
      <c r="O95" s="190"/>
      <c r="P95" s="236"/>
      <c r="Q95" s="5"/>
      <c r="R95" s="5"/>
      <c r="S95" s="4"/>
      <c r="T95" s="4"/>
      <c r="U95" s="5"/>
      <c r="V95" s="5"/>
      <c r="W95" s="5"/>
      <c r="X95" s="86"/>
      <c r="Y95" s="86"/>
      <c r="Z95" s="177"/>
      <c r="AA95" s="5"/>
      <c r="AB95" s="190"/>
      <c r="AC95" s="190"/>
      <c r="AD95" s="236"/>
      <c r="AE95" s="190"/>
      <c r="AF95" s="190"/>
      <c r="AG95" s="190"/>
      <c r="AH95" s="190"/>
      <c r="AI95" s="190"/>
      <c r="AJ95" s="190"/>
      <c r="AK95" s="236"/>
      <c r="AL95" s="190"/>
      <c r="AM95" s="236"/>
      <c r="AN95" s="41"/>
      <c r="AO95" s="41"/>
      <c r="AP95" s="5"/>
      <c r="AQ95" s="4"/>
      <c r="AR95" s="4"/>
      <c r="AS95" s="4"/>
      <c r="AT95" s="5"/>
      <c r="AU95" s="5"/>
      <c r="AV95" s="5"/>
      <c r="AW95" s="236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37"/>
      <c r="BM95" s="5"/>
      <c r="BN95" s="5"/>
      <c r="BO95" s="5"/>
      <c r="BP95" s="236"/>
      <c r="BQ95" s="58"/>
      <c r="BR95" s="59"/>
      <c r="BS95" s="61"/>
      <c r="BT95" s="58"/>
      <c r="BU95" s="60"/>
      <c r="BV95" s="60"/>
      <c r="BW95" s="60"/>
      <c r="BX95" s="60"/>
      <c r="BY95" s="60"/>
      <c r="BZ95" s="61"/>
      <c r="CA95" s="61"/>
      <c r="CB95" s="61"/>
      <c r="CC95" s="61"/>
      <c r="CD95" s="59"/>
      <c r="CE95" s="59"/>
      <c r="CF95" s="59"/>
      <c r="CG95" s="59"/>
      <c r="CH95" s="61"/>
      <c r="CI95" s="61"/>
      <c r="CJ95" s="59"/>
      <c r="CK95" s="59"/>
      <c r="CL95" s="59"/>
      <c r="CM95" s="60"/>
      <c r="CN95" s="59"/>
      <c r="CO95" s="59"/>
      <c r="CP95" s="59"/>
      <c r="CQ95" s="236"/>
      <c r="CR95" s="37"/>
      <c r="CS95" s="5"/>
      <c r="CT95" s="5"/>
      <c r="CU95" s="5"/>
      <c r="CV95" s="236"/>
      <c r="CW95" s="5"/>
      <c r="CX95" s="5"/>
      <c r="CY95" s="5"/>
      <c r="CZ95" s="5"/>
      <c r="DA95" s="5"/>
      <c r="DB95" s="5"/>
      <c r="DC95" s="236"/>
      <c r="DD95" s="104"/>
      <c r="DE95" s="103"/>
      <c r="DF95" s="103"/>
      <c r="DG95" s="103"/>
      <c r="DH95" s="103"/>
      <c r="DI95" s="5"/>
      <c r="DJ95" s="172"/>
      <c r="DK95" s="104"/>
      <c r="DL95" s="104"/>
      <c r="DM95" s="103"/>
      <c r="DN95" s="102"/>
      <c r="DO95" s="104"/>
      <c r="DP95" s="104"/>
      <c r="DQ95" s="103"/>
      <c r="DR95" s="102"/>
      <c r="DS95" s="104"/>
      <c r="DT95" s="104"/>
      <c r="DU95" s="103"/>
      <c r="DV95" s="102"/>
      <c r="DW95" s="104"/>
      <c r="DX95" s="104"/>
      <c r="DY95" s="103"/>
      <c r="DZ95" s="102"/>
      <c r="EA95" s="104"/>
      <c r="EB95" s="104"/>
      <c r="EC95" s="103"/>
      <c r="ED95" s="102"/>
      <c r="EE95" s="236"/>
      <c r="EF95" s="5"/>
    </row>
    <row r="96" spans="1:136" s="3" customFormat="1" x14ac:dyDescent="0.15">
      <c r="A96" s="86"/>
      <c r="B96" s="65"/>
      <c r="C96" s="86"/>
      <c r="E96" s="4"/>
      <c r="F96" s="65"/>
      <c r="G96" s="65"/>
      <c r="H96" s="86"/>
      <c r="I96" s="65"/>
      <c r="J96" s="236"/>
      <c r="K96" s="5"/>
      <c r="L96" s="65"/>
      <c r="M96" s="5"/>
      <c r="N96" s="5"/>
      <c r="O96" s="190"/>
      <c r="P96" s="236"/>
      <c r="Q96" s="5"/>
      <c r="R96" s="5"/>
      <c r="S96" s="4"/>
      <c r="T96" s="4"/>
      <c r="U96" s="5"/>
      <c r="V96" s="5"/>
      <c r="W96" s="5"/>
      <c r="X96" s="86"/>
      <c r="Y96" s="86"/>
      <c r="Z96" s="177"/>
      <c r="AA96" s="5"/>
      <c r="AB96" s="190"/>
      <c r="AC96" s="190"/>
      <c r="AD96" s="236"/>
      <c r="AE96" s="190"/>
      <c r="AF96" s="190"/>
      <c r="AG96" s="190"/>
      <c r="AH96" s="190"/>
      <c r="AI96" s="190"/>
      <c r="AJ96" s="190"/>
      <c r="AK96" s="236"/>
      <c r="AL96" s="190"/>
      <c r="AM96" s="236"/>
      <c r="AN96" s="41"/>
      <c r="AO96" s="41"/>
      <c r="AP96" s="5"/>
      <c r="AQ96" s="4"/>
      <c r="AR96" s="4"/>
      <c r="AS96" s="4"/>
      <c r="AT96" s="5"/>
      <c r="AU96" s="5"/>
      <c r="AV96" s="5"/>
      <c r="AW96" s="236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37"/>
      <c r="BM96" s="5"/>
      <c r="BN96" s="5"/>
      <c r="BO96" s="5"/>
      <c r="BP96" s="236"/>
      <c r="BQ96" s="58"/>
      <c r="BR96" s="59"/>
      <c r="BS96" s="61"/>
      <c r="BT96" s="58"/>
      <c r="BU96" s="60"/>
      <c r="BV96" s="60"/>
      <c r="BW96" s="60"/>
      <c r="BX96" s="60"/>
      <c r="BY96" s="60"/>
      <c r="BZ96" s="61"/>
      <c r="CA96" s="61"/>
      <c r="CB96" s="61"/>
      <c r="CC96" s="61"/>
      <c r="CD96" s="59"/>
      <c r="CE96" s="59"/>
      <c r="CF96" s="59"/>
      <c r="CG96" s="59"/>
      <c r="CH96" s="61"/>
      <c r="CI96" s="61"/>
      <c r="CJ96" s="59"/>
      <c r="CK96" s="59"/>
      <c r="CL96" s="59"/>
      <c r="CM96" s="60"/>
      <c r="CN96" s="59"/>
      <c r="CO96" s="59"/>
      <c r="CP96" s="59"/>
      <c r="CQ96" s="236"/>
      <c r="CR96" s="37"/>
      <c r="CS96" s="5"/>
      <c r="CT96" s="5"/>
      <c r="CU96" s="5"/>
      <c r="CV96" s="236"/>
      <c r="CW96" s="5"/>
      <c r="CX96" s="5"/>
      <c r="CY96" s="5"/>
      <c r="CZ96" s="5"/>
      <c r="DA96" s="5"/>
      <c r="DB96" s="5"/>
      <c r="DC96" s="236"/>
      <c r="DD96" s="104"/>
      <c r="DE96" s="103"/>
      <c r="DF96" s="103"/>
      <c r="DG96" s="103"/>
      <c r="DH96" s="103"/>
      <c r="DI96" s="5"/>
      <c r="DJ96" s="172"/>
      <c r="DK96" s="104"/>
      <c r="DL96" s="104"/>
      <c r="DM96" s="103"/>
      <c r="DN96" s="102"/>
      <c r="DO96" s="104"/>
      <c r="DP96" s="104"/>
      <c r="DQ96" s="103"/>
      <c r="DR96" s="102"/>
      <c r="DS96" s="104"/>
      <c r="DT96" s="104"/>
      <c r="DU96" s="103"/>
      <c r="DV96" s="102"/>
      <c r="DW96" s="104"/>
      <c r="DX96" s="104"/>
      <c r="DY96" s="103"/>
      <c r="DZ96" s="102"/>
      <c r="EA96" s="104"/>
      <c r="EB96" s="104"/>
      <c r="EC96" s="103"/>
      <c r="ED96" s="102"/>
      <c r="EE96" s="236"/>
      <c r="EF96" s="5"/>
    </row>
    <row r="97" spans="1:136" s="3" customFormat="1" x14ac:dyDescent="0.15">
      <c r="A97" s="86"/>
      <c r="B97" s="65"/>
      <c r="C97" s="86"/>
      <c r="E97" s="4"/>
      <c r="F97" s="65"/>
      <c r="G97" s="65"/>
      <c r="H97" s="86"/>
      <c r="I97" s="65"/>
      <c r="J97" s="236"/>
      <c r="K97" s="5"/>
      <c r="L97" s="65"/>
      <c r="M97" s="5"/>
      <c r="N97" s="5"/>
      <c r="O97" s="190"/>
      <c r="P97" s="236"/>
      <c r="Q97" s="5"/>
      <c r="R97" s="5"/>
      <c r="S97" s="4"/>
      <c r="T97" s="4"/>
      <c r="U97" s="5"/>
      <c r="V97" s="5"/>
      <c r="W97" s="5"/>
      <c r="X97" s="86"/>
      <c r="Y97" s="86"/>
      <c r="Z97" s="177"/>
      <c r="AA97" s="5"/>
      <c r="AB97" s="190"/>
      <c r="AC97" s="190"/>
      <c r="AD97" s="236"/>
      <c r="AE97" s="190"/>
      <c r="AF97" s="190"/>
      <c r="AG97" s="190"/>
      <c r="AH97" s="190"/>
      <c r="AI97" s="190"/>
      <c r="AJ97" s="190"/>
      <c r="AK97" s="236"/>
      <c r="AL97" s="190"/>
      <c r="AM97" s="236"/>
      <c r="AN97" s="41"/>
      <c r="AO97" s="41"/>
      <c r="AP97" s="5"/>
      <c r="AQ97" s="4"/>
      <c r="AR97" s="4"/>
      <c r="AS97" s="4"/>
      <c r="AT97" s="5"/>
      <c r="AU97" s="5"/>
      <c r="AV97" s="5"/>
      <c r="AW97" s="236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37"/>
      <c r="BM97" s="5"/>
      <c r="BN97" s="5"/>
      <c r="BO97" s="5"/>
      <c r="BP97" s="236"/>
      <c r="BQ97" s="58"/>
      <c r="BR97" s="59"/>
      <c r="BS97" s="61"/>
      <c r="BT97" s="58"/>
      <c r="BU97" s="60"/>
      <c r="BV97" s="60"/>
      <c r="BW97" s="60"/>
      <c r="BX97" s="60"/>
      <c r="BY97" s="60"/>
      <c r="BZ97" s="61"/>
      <c r="CA97" s="61"/>
      <c r="CB97" s="61"/>
      <c r="CC97" s="61"/>
      <c r="CD97" s="59"/>
      <c r="CE97" s="59"/>
      <c r="CF97" s="59"/>
      <c r="CG97" s="59"/>
      <c r="CH97" s="61"/>
      <c r="CI97" s="61"/>
      <c r="CJ97" s="59"/>
      <c r="CK97" s="59"/>
      <c r="CL97" s="59"/>
      <c r="CM97" s="60"/>
      <c r="CN97" s="59"/>
      <c r="CO97" s="59"/>
      <c r="CP97" s="59"/>
      <c r="CQ97" s="236"/>
      <c r="CR97" s="37"/>
      <c r="CS97" s="5"/>
      <c r="CT97" s="5"/>
      <c r="CU97" s="5"/>
      <c r="CV97" s="236"/>
      <c r="CW97" s="5"/>
      <c r="CX97" s="5"/>
      <c r="CY97" s="5"/>
      <c r="CZ97" s="5"/>
      <c r="DA97" s="5"/>
      <c r="DB97" s="5"/>
      <c r="DC97" s="236"/>
      <c r="DD97" s="104"/>
      <c r="DE97" s="103"/>
      <c r="DF97" s="103"/>
      <c r="DG97" s="103"/>
      <c r="DH97" s="103"/>
      <c r="DI97" s="5"/>
      <c r="DJ97" s="172"/>
      <c r="DK97" s="104"/>
      <c r="DL97" s="104"/>
      <c r="DM97" s="103"/>
      <c r="DN97" s="102"/>
      <c r="DO97" s="104"/>
      <c r="DP97" s="104"/>
      <c r="DQ97" s="103"/>
      <c r="DR97" s="102"/>
      <c r="DS97" s="104"/>
      <c r="DT97" s="104"/>
      <c r="DU97" s="103"/>
      <c r="DV97" s="102"/>
      <c r="DW97" s="104"/>
      <c r="DX97" s="104"/>
      <c r="DY97" s="103"/>
      <c r="DZ97" s="102"/>
      <c r="EA97" s="104"/>
      <c r="EB97" s="104"/>
      <c r="EC97" s="103"/>
      <c r="ED97" s="102"/>
      <c r="EE97" s="236"/>
      <c r="EF97" s="5"/>
    </row>
    <row r="98" spans="1:136" s="3" customFormat="1" x14ac:dyDescent="0.15">
      <c r="A98" s="86"/>
      <c r="B98" s="65"/>
      <c r="C98" s="86"/>
      <c r="E98" s="4"/>
      <c r="F98" s="65"/>
      <c r="G98" s="65"/>
      <c r="H98" s="86"/>
      <c r="I98" s="65"/>
      <c r="J98" s="236"/>
      <c r="K98" s="5"/>
      <c r="L98" s="65"/>
      <c r="M98" s="5"/>
      <c r="N98" s="5"/>
      <c r="O98" s="190"/>
      <c r="P98" s="236"/>
      <c r="Q98" s="5"/>
      <c r="R98" s="5"/>
      <c r="S98" s="4"/>
      <c r="T98" s="4"/>
      <c r="U98" s="5"/>
      <c r="V98" s="5"/>
      <c r="W98" s="5"/>
      <c r="X98" s="86"/>
      <c r="Y98" s="86"/>
      <c r="Z98" s="177"/>
      <c r="AA98" s="5"/>
      <c r="AB98" s="190"/>
      <c r="AC98" s="190"/>
      <c r="AD98" s="236"/>
      <c r="AE98" s="190"/>
      <c r="AF98" s="190"/>
      <c r="AG98" s="190"/>
      <c r="AH98" s="190"/>
      <c r="AI98" s="190"/>
      <c r="AJ98" s="190"/>
      <c r="AK98" s="236"/>
      <c r="AL98" s="190"/>
      <c r="AM98" s="236"/>
      <c r="AN98" s="41"/>
      <c r="AO98" s="41"/>
      <c r="AP98" s="5"/>
      <c r="AQ98" s="4"/>
      <c r="AR98" s="4"/>
      <c r="AS98" s="4"/>
      <c r="AT98" s="5"/>
      <c r="AU98" s="5"/>
      <c r="AV98" s="5"/>
      <c r="AW98" s="236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37"/>
      <c r="BM98" s="5"/>
      <c r="BN98" s="5"/>
      <c r="BO98" s="5"/>
      <c r="BP98" s="236"/>
      <c r="BQ98" s="58"/>
      <c r="BR98" s="59"/>
      <c r="BS98" s="61"/>
      <c r="BT98" s="58"/>
      <c r="BU98" s="60"/>
      <c r="BV98" s="60"/>
      <c r="BW98" s="60"/>
      <c r="BX98" s="60"/>
      <c r="BY98" s="60"/>
      <c r="BZ98" s="61"/>
      <c r="CA98" s="61"/>
      <c r="CB98" s="61"/>
      <c r="CC98" s="61"/>
      <c r="CD98" s="59"/>
      <c r="CE98" s="59"/>
      <c r="CF98" s="59"/>
      <c r="CG98" s="59"/>
      <c r="CH98" s="61"/>
      <c r="CI98" s="61"/>
      <c r="CJ98" s="59"/>
      <c r="CK98" s="59"/>
      <c r="CL98" s="59"/>
      <c r="CM98" s="60"/>
      <c r="CN98" s="59"/>
      <c r="CO98" s="59"/>
      <c r="CP98" s="59"/>
      <c r="CQ98" s="236"/>
      <c r="CR98" s="37"/>
      <c r="CS98" s="5"/>
      <c r="CT98" s="5"/>
      <c r="CU98" s="5"/>
      <c r="CV98" s="236"/>
      <c r="CW98" s="5"/>
      <c r="CX98" s="5"/>
      <c r="CY98" s="5"/>
      <c r="CZ98" s="5"/>
      <c r="DA98" s="5"/>
      <c r="DB98" s="5"/>
      <c r="DC98" s="236"/>
      <c r="DD98" s="104"/>
      <c r="DE98" s="103"/>
      <c r="DF98" s="103"/>
      <c r="DG98" s="103"/>
      <c r="DH98" s="103"/>
      <c r="DI98" s="5"/>
      <c r="DJ98" s="172"/>
      <c r="DK98" s="104"/>
      <c r="DL98" s="104"/>
      <c r="DM98" s="103"/>
      <c r="DN98" s="102"/>
      <c r="DO98" s="104"/>
      <c r="DP98" s="104"/>
      <c r="DQ98" s="103"/>
      <c r="DR98" s="102"/>
      <c r="DS98" s="104"/>
      <c r="DT98" s="104"/>
      <c r="DU98" s="103"/>
      <c r="DV98" s="102"/>
      <c r="DW98" s="104"/>
      <c r="DX98" s="104"/>
      <c r="DY98" s="103"/>
      <c r="DZ98" s="102"/>
      <c r="EA98" s="104"/>
      <c r="EB98" s="104"/>
      <c r="EC98" s="103"/>
      <c r="ED98" s="102"/>
      <c r="EE98" s="236"/>
      <c r="EF98" s="5"/>
    </row>
    <row r="99" spans="1:136" s="3" customFormat="1" x14ac:dyDescent="0.15">
      <c r="A99" s="86"/>
      <c r="B99" s="65"/>
      <c r="C99" s="86"/>
      <c r="E99" s="4"/>
      <c r="F99" s="65"/>
      <c r="G99" s="65"/>
      <c r="H99" s="86"/>
      <c r="I99" s="65"/>
      <c r="J99" s="236"/>
      <c r="K99" s="5"/>
      <c r="L99" s="65"/>
      <c r="M99" s="5"/>
      <c r="N99" s="5"/>
      <c r="O99" s="190"/>
      <c r="P99" s="236"/>
      <c r="Q99" s="5"/>
      <c r="R99" s="5"/>
      <c r="S99" s="4"/>
      <c r="T99" s="4"/>
      <c r="U99" s="5"/>
      <c r="V99" s="5"/>
      <c r="W99" s="5"/>
      <c r="X99" s="86"/>
      <c r="Y99" s="86"/>
      <c r="Z99" s="177"/>
      <c r="AA99" s="5"/>
      <c r="AB99" s="190"/>
      <c r="AC99" s="190"/>
      <c r="AD99" s="236"/>
      <c r="AE99" s="190"/>
      <c r="AF99" s="190"/>
      <c r="AG99" s="190"/>
      <c r="AH99" s="190"/>
      <c r="AI99" s="190"/>
      <c r="AJ99" s="190"/>
      <c r="AK99" s="236"/>
      <c r="AL99" s="190"/>
      <c r="AM99" s="236"/>
      <c r="AN99" s="41"/>
      <c r="AO99" s="41"/>
      <c r="AP99" s="5"/>
      <c r="AQ99" s="4"/>
      <c r="AR99" s="4"/>
      <c r="AS99" s="4"/>
      <c r="AT99" s="5"/>
      <c r="AU99" s="5"/>
      <c r="AV99" s="5"/>
      <c r="AW99" s="236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37"/>
      <c r="BM99" s="5"/>
      <c r="BN99" s="5"/>
      <c r="BO99" s="5"/>
      <c r="BP99" s="236"/>
      <c r="BQ99" s="58"/>
      <c r="BR99" s="59"/>
      <c r="BS99" s="61"/>
      <c r="BT99" s="58"/>
      <c r="BU99" s="60"/>
      <c r="BV99" s="60"/>
      <c r="BW99" s="60"/>
      <c r="BX99" s="60"/>
      <c r="BY99" s="60"/>
      <c r="BZ99" s="61"/>
      <c r="CA99" s="61"/>
      <c r="CB99" s="61"/>
      <c r="CC99" s="61"/>
      <c r="CD99" s="59"/>
      <c r="CE99" s="59"/>
      <c r="CF99" s="59"/>
      <c r="CG99" s="59"/>
      <c r="CH99" s="61"/>
      <c r="CI99" s="61"/>
      <c r="CJ99" s="59"/>
      <c r="CK99" s="59"/>
      <c r="CL99" s="59"/>
      <c r="CM99" s="60"/>
      <c r="CN99" s="59"/>
      <c r="CO99" s="59"/>
      <c r="CP99" s="59"/>
      <c r="CQ99" s="236"/>
      <c r="CR99" s="37"/>
      <c r="CS99" s="5"/>
      <c r="CT99" s="5"/>
      <c r="CU99" s="5"/>
      <c r="CV99" s="236"/>
      <c r="CW99" s="5"/>
      <c r="CX99" s="5"/>
      <c r="CY99" s="5"/>
      <c r="CZ99" s="5"/>
      <c r="DA99" s="5"/>
      <c r="DB99" s="5"/>
      <c r="DC99" s="236"/>
      <c r="DD99" s="104"/>
      <c r="DE99" s="103"/>
      <c r="DF99" s="103"/>
      <c r="DG99" s="103"/>
      <c r="DH99" s="103"/>
      <c r="DI99" s="5"/>
      <c r="DJ99" s="172"/>
      <c r="DK99" s="104"/>
      <c r="DL99" s="104"/>
      <c r="DM99" s="103"/>
      <c r="DN99" s="102"/>
      <c r="DO99" s="104"/>
      <c r="DP99" s="104"/>
      <c r="DQ99" s="103"/>
      <c r="DR99" s="102"/>
      <c r="DS99" s="104"/>
      <c r="DT99" s="104"/>
      <c r="DU99" s="103"/>
      <c r="DV99" s="102"/>
      <c r="DW99" s="104"/>
      <c r="DX99" s="104"/>
      <c r="DY99" s="103"/>
      <c r="DZ99" s="102"/>
      <c r="EA99" s="104"/>
      <c r="EB99" s="104"/>
      <c r="EC99" s="103"/>
      <c r="ED99" s="102"/>
      <c r="EE99" s="236"/>
      <c r="EF99" s="5"/>
    </row>
    <row r="100" spans="1:136" s="3" customFormat="1" x14ac:dyDescent="0.15">
      <c r="A100" s="86"/>
      <c r="B100" s="65"/>
      <c r="C100" s="86"/>
      <c r="E100" s="4"/>
      <c r="F100" s="65"/>
      <c r="G100" s="65"/>
      <c r="H100" s="86"/>
      <c r="I100" s="65"/>
      <c r="J100" s="236"/>
      <c r="K100" s="5"/>
      <c r="L100" s="65"/>
      <c r="M100" s="5"/>
      <c r="N100" s="5"/>
      <c r="O100" s="190"/>
      <c r="P100" s="236"/>
      <c r="Q100" s="5"/>
      <c r="R100" s="5"/>
      <c r="S100" s="4"/>
      <c r="T100" s="4"/>
      <c r="U100" s="5"/>
      <c r="V100" s="5"/>
      <c r="W100" s="5"/>
      <c r="X100" s="86"/>
      <c r="Y100" s="86"/>
      <c r="Z100" s="177"/>
      <c r="AA100" s="5"/>
      <c r="AB100" s="190"/>
      <c r="AC100" s="190"/>
      <c r="AD100" s="236"/>
      <c r="AE100" s="190"/>
      <c r="AF100" s="190"/>
      <c r="AG100" s="190"/>
      <c r="AH100" s="190"/>
      <c r="AI100" s="190"/>
      <c r="AJ100" s="190"/>
      <c r="AK100" s="236"/>
      <c r="AL100" s="190"/>
      <c r="AM100" s="236"/>
      <c r="AN100" s="41"/>
      <c r="AO100" s="41"/>
      <c r="AP100" s="5"/>
      <c r="AQ100" s="4"/>
      <c r="AR100" s="4"/>
      <c r="AS100" s="4"/>
      <c r="AT100" s="5"/>
      <c r="AU100" s="5"/>
      <c r="AV100" s="5"/>
      <c r="AW100" s="236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37"/>
      <c r="BM100" s="5"/>
      <c r="BN100" s="5"/>
      <c r="BO100" s="5"/>
      <c r="BP100" s="236"/>
      <c r="BQ100" s="58"/>
      <c r="BR100" s="59"/>
      <c r="BS100" s="61"/>
      <c r="BT100" s="58"/>
      <c r="BU100" s="60"/>
      <c r="BV100" s="60"/>
      <c r="BW100" s="60"/>
      <c r="BX100" s="60"/>
      <c r="BY100" s="60"/>
      <c r="BZ100" s="61"/>
      <c r="CA100" s="61"/>
      <c r="CB100" s="61"/>
      <c r="CC100" s="61"/>
      <c r="CD100" s="59"/>
      <c r="CE100" s="59"/>
      <c r="CF100" s="59"/>
      <c r="CG100" s="59"/>
      <c r="CH100" s="61"/>
      <c r="CI100" s="61"/>
      <c r="CJ100" s="59"/>
      <c r="CK100" s="59"/>
      <c r="CL100" s="59"/>
      <c r="CM100" s="60"/>
      <c r="CN100" s="59"/>
      <c r="CO100" s="59"/>
      <c r="CP100" s="59"/>
      <c r="CQ100" s="236"/>
      <c r="CR100" s="37"/>
      <c r="CS100" s="5"/>
      <c r="CT100" s="5"/>
      <c r="CU100" s="5"/>
      <c r="CV100" s="236"/>
      <c r="CW100" s="5"/>
      <c r="CX100" s="5"/>
      <c r="CY100" s="5"/>
      <c r="CZ100" s="5"/>
      <c r="DA100" s="5"/>
      <c r="DB100" s="5"/>
      <c r="DC100" s="236"/>
      <c r="DD100" s="104"/>
      <c r="DE100" s="103"/>
      <c r="DF100" s="103"/>
      <c r="DG100" s="103"/>
      <c r="DH100" s="103"/>
      <c r="DI100" s="5"/>
      <c r="DJ100" s="172"/>
      <c r="DK100" s="104"/>
      <c r="DL100" s="104"/>
      <c r="DM100" s="103"/>
      <c r="DN100" s="102"/>
      <c r="DO100" s="104"/>
      <c r="DP100" s="104"/>
      <c r="DQ100" s="103"/>
      <c r="DR100" s="102"/>
      <c r="DS100" s="104"/>
      <c r="DT100" s="104"/>
      <c r="DU100" s="103"/>
      <c r="DV100" s="102"/>
      <c r="DW100" s="104"/>
      <c r="DX100" s="104"/>
      <c r="DY100" s="103"/>
      <c r="DZ100" s="102"/>
      <c r="EA100" s="104"/>
      <c r="EB100" s="104"/>
      <c r="EC100" s="103"/>
      <c r="ED100" s="102"/>
      <c r="EE100" s="236"/>
      <c r="EF100" s="5"/>
    </row>
    <row r="101" spans="1:136" s="3" customFormat="1" x14ac:dyDescent="0.15">
      <c r="A101" s="86"/>
      <c r="B101" s="65"/>
      <c r="C101" s="86"/>
      <c r="E101" s="4"/>
      <c r="F101" s="65"/>
      <c r="G101" s="65"/>
      <c r="H101" s="86"/>
      <c r="I101" s="65"/>
      <c r="J101" s="236"/>
      <c r="K101" s="5"/>
      <c r="L101" s="65"/>
      <c r="M101" s="5"/>
      <c r="N101" s="5"/>
      <c r="O101" s="190"/>
      <c r="P101" s="236"/>
      <c r="Q101" s="5"/>
      <c r="R101" s="5"/>
      <c r="S101" s="4"/>
      <c r="T101" s="4"/>
      <c r="U101" s="5"/>
      <c r="V101" s="5"/>
      <c r="W101" s="5"/>
      <c r="X101" s="86"/>
      <c r="Y101" s="86"/>
      <c r="Z101" s="177"/>
      <c r="AA101" s="5"/>
      <c r="AB101" s="190"/>
      <c r="AC101" s="190"/>
      <c r="AD101" s="236"/>
      <c r="AE101" s="190"/>
      <c r="AF101" s="190"/>
      <c r="AG101" s="190"/>
      <c r="AH101" s="190"/>
      <c r="AI101" s="190"/>
      <c r="AJ101" s="190"/>
      <c r="AK101" s="236"/>
      <c r="AL101" s="190"/>
      <c r="AM101" s="236"/>
      <c r="AN101" s="41"/>
      <c r="AO101" s="41"/>
      <c r="AP101" s="5"/>
      <c r="AQ101" s="4"/>
      <c r="AR101" s="4"/>
      <c r="AS101" s="4"/>
      <c r="AT101" s="5"/>
      <c r="AU101" s="5"/>
      <c r="AV101" s="5"/>
      <c r="AW101" s="236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37"/>
      <c r="BM101" s="5"/>
      <c r="BN101" s="5"/>
      <c r="BO101" s="5"/>
      <c r="BP101" s="236"/>
      <c r="BQ101" s="58"/>
      <c r="BR101" s="59"/>
      <c r="BS101" s="61"/>
      <c r="BT101" s="58"/>
      <c r="BU101" s="60"/>
      <c r="BV101" s="60"/>
      <c r="BW101" s="60"/>
      <c r="BX101" s="60"/>
      <c r="BY101" s="60"/>
      <c r="BZ101" s="61"/>
      <c r="CA101" s="61"/>
      <c r="CB101" s="61"/>
      <c r="CC101" s="61"/>
      <c r="CD101" s="59"/>
      <c r="CE101" s="59"/>
      <c r="CF101" s="59"/>
      <c r="CG101" s="59"/>
      <c r="CH101" s="61"/>
      <c r="CI101" s="61"/>
      <c r="CJ101" s="59"/>
      <c r="CK101" s="59"/>
      <c r="CL101" s="59"/>
      <c r="CM101" s="60"/>
      <c r="CN101" s="59"/>
      <c r="CO101" s="59"/>
      <c r="CP101" s="59"/>
      <c r="CQ101" s="236"/>
      <c r="CR101" s="37"/>
      <c r="CS101" s="5"/>
      <c r="CT101" s="5"/>
      <c r="CU101" s="5"/>
      <c r="CV101" s="236"/>
      <c r="CW101" s="5"/>
      <c r="CX101" s="5"/>
      <c r="CY101" s="5"/>
      <c r="CZ101" s="5"/>
      <c r="DA101" s="5"/>
      <c r="DB101" s="5"/>
      <c r="DC101" s="236"/>
      <c r="DD101" s="104"/>
      <c r="DE101" s="103"/>
      <c r="DF101" s="103"/>
      <c r="DG101" s="103"/>
      <c r="DH101" s="103"/>
      <c r="DI101" s="5"/>
      <c r="DJ101" s="172"/>
      <c r="DK101" s="104"/>
      <c r="DL101" s="104"/>
      <c r="DM101" s="103"/>
      <c r="DN101" s="102"/>
      <c r="DO101" s="104"/>
      <c r="DP101" s="104"/>
      <c r="DQ101" s="103"/>
      <c r="DR101" s="102"/>
      <c r="DS101" s="104"/>
      <c r="DT101" s="104"/>
      <c r="DU101" s="103"/>
      <c r="DV101" s="102"/>
      <c r="DW101" s="104"/>
      <c r="DX101" s="104"/>
      <c r="DY101" s="103"/>
      <c r="DZ101" s="102"/>
      <c r="EA101" s="104"/>
      <c r="EB101" s="104"/>
      <c r="EC101" s="103"/>
      <c r="ED101" s="102"/>
      <c r="EE101" s="236"/>
      <c r="EF101" s="5"/>
    </row>
    <row r="102" spans="1:136" s="3" customFormat="1" x14ac:dyDescent="0.15">
      <c r="A102" s="86"/>
      <c r="B102" s="65"/>
      <c r="C102" s="86"/>
      <c r="E102" s="4"/>
      <c r="F102" s="65"/>
      <c r="G102" s="65"/>
      <c r="H102" s="86"/>
      <c r="I102" s="65"/>
      <c r="J102" s="236"/>
      <c r="K102" s="5"/>
      <c r="L102" s="65"/>
      <c r="M102" s="5"/>
      <c r="N102" s="5"/>
      <c r="O102" s="190"/>
      <c r="P102" s="236"/>
      <c r="Q102" s="5"/>
      <c r="R102" s="5"/>
      <c r="S102" s="4"/>
      <c r="T102" s="4"/>
      <c r="U102" s="5"/>
      <c r="V102" s="5"/>
      <c r="W102" s="5"/>
      <c r="X102" s="86"/>
      <c r="Y102" s="86"/>
      <c r="Z102" s="177"/>
      <c r="AA102" s="5"/>
      <c r="AB102" s="190"/>
      <c r="AC102" s="190"/>
      <c r="AD102" s="236"/>
      <c r="AE102" s="190"/>
      <c r="AF102" s="190"/>
      <c r="AG102" s="190"/>
      <c r="AH102" s="190"/>
      <c r="AI102" s="190"/>
      <c r="AJ102" s="190"/>
      <c r="AK102" s="236"/>
      <c r="AL102" s="190"/>
      <c r="AM102" s="236"/>
      <c r="AN102" s="41"/>
      <c r="AO102" s="41"/>
      <c r="AP102" s="5"/>
      <c r="AQ102" s="4"/>
      <c r="AR102" s="4"/>
      <c r="AS102" s="4"/>
      <c r="AT102" s="5"/>
      <c r="AU102" s="5"/>
      <c r="AV102" s="5"/>
      <c r="AW102" s="236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37"/>
      <c r="BM102" s="5"/>
      <c r="BN102" s="5"/>
      <c r="BO102" s="5"/>
      <c r="BP102" s="236"/>
      <c r="BQ102" s="58"/>
      <c r="BR102" s="59"/>
      <c r="BS102" s="61"/>
      <c r="BT102" s="58"/>
      <c r="BU102" s="60"/>
      <c r="BV102" s="60"/>
      <c r="BW102" s="60"/>
      <c r="BX102" s="60"/>
      <c r="BY102" s="60"/>
      <c r="BZ102" s="61"/>
      <c r="CA102" s="61"/>
      <c r="CB102" s="61"/>
      <c r="CC102" s="61"/>
      <c r="CD102" s="59"/>
      <c r="CE102" s="59"/>
      <c r="CF102" s="59"/>
      <c r="CG102" s="59"/>
      <c r="CH102" s="61"/>
      <c r="CI102" s="61"/>
      <c r="CJ102" s="59"/>
      <c r="CK102" s="59"/>
      <c r="CL102" s="59"/>
      <c r="CM102" s="60"/>
      <c r="CN102" s="59"/>
      <c r="CO102" s="59"/>
      <c r="CP102" s="59"/>
      <c r="CQ102" s="236"/>
      <c r="CR102" s="37"/>
      <c r="CS102" s="5"/>
      <c r="CT102" s="5"/>
      <c r="CU102" s="5"/>
      <c r="CV102" s="236"/>
      <c r="CW102" s="5"/>
      <c r="CX102" s="5"/>
      <c r="CY102" s="5"/>
      <c r="CZ102" s="5"/>
      <c r="DA102" s="5"/>
      <c r="DB102" s="5"/>
      <c r="DC102" s="236"/>
      <c r="DD102" s="104"/>
      <c r="DE102" s="103"/>
      <c r="DF102" s="103"/>
      <c r="DG102" s="103"/>
      <c r="DH102" s="103"/>
      <c r="DI102" s="5"/>
      <c r="DJ102" s="172"/>
      <c r="DK102" s="104"/>
      <c r="DL102" s="104"/>
      <c r="DM102" s="103"/>
      <c r="DN102" s="102"/>
      <c r="DO102" s="104"/>
      <c r="DP102" s="104"/>
      <c r="DQ102" s="103"/>
      <c r="DR102" s="102"/>
      <c r="DS102" s="104"/>
      <c r="DT102" s="104"/>
      <c r="DU102" s="103"/>
      <c r="DV102" s="102"/>
      <c r="DW102" s="104"/>
      <c r="DX102" s="104"/>
      <c r="DY102" s="103"/>
      <c r="DZ102" s="102"/>
      <c r="EA102" s="104"/>
      <c r="EB102" s="104"/>
      <c r="EC102" s="103"/>
      <c r="ED102" s="102"/>
      <c r="EE102" s="236"/>
      <c r="EF102" s="5"/>
    </row>
    <row r="103" spans="1:136" s="3" customFormat="1" x14ac:dyDescent="0.15">
      <c r="A103" s="86"/>
      <c r="B103" s="65"/>
      <c r="C103" s="86"/>
      <c r="E103" s="4"/>
      <c r="F103" s="65"/>
      <c r="G103" s="65"/>
      <c r="H103" s="86"/>
      <c r="I103" s="65"/>
      <c r="J103" s="236"/>
      <c r="K103" s="5"/>
      <c r="L103" s="65"/>
      <c r="M103" s="5"/>
      <c r="N103" s="5"/>
      <c r="O103" s="190"/>
      <c r="P103" s="236"/>
      <c r="Q103" s="5"/>
      <c r="R103" s="5"/>
      <c r="S103" s="4"/>
      <c r="T103" s="4"/>
      <c r="U103" s="5"/>
      <c r="V103" s="5"/>
      <c r="W103" s="5"/>
      <c r="X103" s="86"/>
      <c r="Y103" s="86"/>
      <c r="Z103" s="177"/>
      <c r="AA103" s="5"/>
      <c r="AB103" s="190"/>
      <c r="AC103" s="190"/>
      <c r="AD103" s="236"/>
      <c r="AE103" s="190"/>
      <c r="AF103" s="190"/>
      <c r="AG103" s="190"/>
      <c r="AH103" s="190"/>
      <c r="AI103" s="190"/>
      <c r="AJ103" s="190"/>
      <c r="AK103" s="236"/>
      <c r="AL103" s="190"/>
      <c r="AM103" s="236"/>
      <c r="AN103" s="41"/>
      <c r="AO103" s="41"/>
      <c r="AP103" s="5"/>
      <c r="AQ103" s="4"/>
      <c r="AR103" s="4"/>
      <c r="AS103" s="4"/>
      <c r="AT103" s="5"/>
      <c r="AU103" s="5"/>
      <c r="AV103" s="5"/>
      <c r="AW103" s="236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37"/>
      <c r="BM103" s="5"/>
      <c r="BN103" s="5"/>
      <c r="BO103" s="5"/>
      <c r="BP103" s="236"/>
      <c r="BQ103" s="58"/>
      <c r="BR103" s="59"/>
      <c r="BS103" s="61"/>
      <c r="BT103" s="58"/>
      <c r="BU103" s="60"/>
      <c r="BV103" s="60"/>
      <c r="BW103" s="60"/>
      <c r="BX103" s="60"/>
      <c r="BY103" s="60"/>
      <c r="BZ103" s="61"/>
      <c r="CA103" s="61"/>
      <c r="CB103" s="61"/>
      <c r="CC103" s="61"/>
      <c r="CD103" s="59"/>
      <c r="CE103" s="59"/>
      <c r="CF103" s="59"/>
      <c r="CG103" s="59"/>
      <c r="CH103" s="61"/>
      <c r="CI103" s="61"/>
      <c r="CJ103" s="59"/>
      <c r="CK103" s="59"/>
      <c r="CL103" s="59"/>
      <c r="CM103" s="60"/>
      <c r="CN103" s="59"/>
      <c r="CO103" s="59"/>
      <c r="CP103" s="59"/>
      <c r="CQ103" s="236"/>
      <c r="CR103" s="37"/>
      <c r="CS103" s="5"/>
      <c r="CT103" s="5"/>
      <c r="CU103" s="5"/>
      <c r="CV103" s="236"/>
      <c r="CW103" s="5"/>
      <c r="CX103" s="5"/>
      <c r="CY103" s="5"/>
      <c r="CZ103" s="5"/>
      <c r="DA103" s="5"/>
      <c r="DB103" s="5"/>
      <c r="DC103" s="236"/>
      <c r="DD103" s="104"/>
      <c r="DE103" s="103"/>
      <c r="DF103" s="103"/>
      <c r="DG103" s="103"/>
      <c r="DH103" s="103"/>
      <c r="DI103" s="5"/>
      <c r="DJ103" s="172"/>
      <c r="DK103" s="104"/>
      <c r="DL103" s="104"/>
      <c r="DM103" s="103"/>
      <c r="DN103" s="102"/>
      <c r="DO103" s="104"/>
      <c r="DP103" s="104"/>
      <c r="DQ103" s="103"/>
      <c r="DR103" s="102"/>
      <c r="DS103" s="104"/>
      <c r="DT103" s="104"/>
      <c r="DU103" s="103"/>
      <c r="DV103" s="102"/>
      <c r="DW103" s="104"/>
      <c r="DX103" s="104"/>
      <c r="DY103" s="103"/>
      <c r="DZ103" s="102"/>
      <c r="EA103" s="104"/>
      <c r="EB103" s="104"/>
      <c r="EC103" s="103"/>
      <c r="ED103" s="102"/>
      <c r="EE103" s="236"/>
      <c r="EF103" s="5"/>
    </row>
    <row r="104" spans="1:136" s="3" customFormat="1" x14ac:dyDescent="0.15">
      <c r="A104" s="86"/>
      <c r="B104" s="65"/>
      <c r="C104" s="86"/>
      <c r="E104" s="4"/>
      <c r="F104" s="65"/>
      <c r="G104" s="65"/>
      <c r="H104" s="86"/>
      <c r="I104" s="65"/>
      <c r="J104" s="236"/>
      <c r="K104" s="5"/>
      <c r="L104" s="65"/>
      <c r="M104" s="5"/>
      <c r="N104" s="5"/>
      <c r="O104" s="190"/>
      <c r="P104" s="236"/>
      <c r="Q104" s="5"/>
      <c r="R104" s="5"/>
      <c r="S104" s="4"/>
      <c r="T104" s="4"/>
      <c r="U104" s="5"/>
      <c r="V104" s="5"/>
      <c r="W104" s="5"/>
      <c r="X104" s="86"/>
      <c r="Y104" s="86"/>
      <c r="Z104" s="177"/>
      <c r="AA104" s="5"/>
      <c r="AB104" s="190"/>
      <c r="AC104" s="190"/>
      <c r="AD104" s="236"/>
      <c r="AE104" s="190"/>
      <c r="AF104" s="190"/>
      <c r="AG104" s="190"/>
      <c r="AH104" s="190"/>
      <c r="AI104" s="190"/>
      <c r="AJ104" s="190"/>
      <c r="AK104" s="236"/>
      <c r="AL104" s="190"/>
      <c r="AM104" s="236"/>
      <c r="AN104" s="41"/>
      <c r="AO104" s="41"/>
      <c r="AP104" s="5"/>
      <c r="AQ104" s="4"/>
      <c r="AR104" s="4"/>
      <c r="AS104" s="4"/>
      <c r="AT104" s="5"/>
      <c r="AU104" s="5"/>
      <c r="AV104" s="5"/>
      <c r="AW104" s="236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37"/>
      <c r="BM104" s="5"/>
      <c r="BN104" s="5"/>
      <c r="BO104" s="5"/>
      <c r="BP104" s="236"/>
      <c r="BQ104" s="58"/>
      <c r="BR104" s="59"/>
      <c r="BS104" s="61"/>
      <c r="BT104" s="58"/>
      <c r="BU104" s="60"/>
      <c r="BV104" s="60"/>
      <c r="BW104" s="60"/>
      <c r="BX104" s="60"/>
      <c r="BY104" s="60"/>
      <c r="BZ104" s="61"/>
      <c r="CA104" s="61"/>
      <c r="CB104" s="61"/>
      <c r="CC104" s="61"/>
      <c r="CD104" s="59"/>
      <c r="CE104" s="59"/>
      <c r="CF104" s="59"/>
      <c r="CG104" s="59"/>
      <c r="CH104" s="61"/>
      <c r="CI104" s="61"/>
      <c r="CJ104" s="59"/>
      <c r="CK104" s="59"/>
      <c r="CL104" s="59"/>
      <c r="CM104" s="60"/>
      <c r="CN104" s="59"/>
      <c r="CO104" s="59"/>
      <c r="CP104" s="59"/>
      <c r="CQ104" s="236"/>
      <c r="CR104" s="37"/>
      <c r="CS104" s="5"/>
      <c r="CT104" s="5"/>
      <c r="CU104" s="5"/>
      <c r="CV104" s="236"/>
      <c r="CW104" s="5"/>
      <c r="CX104" s="5"/>
      <c r="CY104" s="5"/>
      <c r="CZ104" s="5"/>
      <c r="DA104" s="5"/>
      <c r="DB104" s="5"/>
      <c r="DC104" s="236"/>
      <c r="DD104" s="104"/>
      <c r="DE104" s="103"/>
      <c r="DF104" s="103"/>
      <c r="DG104" s="103"/>
      <c r="DH104" s="103"/>
      <c r="DI104" s="5"/>
      <c r="DJ104" s="172"/>
      <c r="DK104" s="104"/>
      <c r="DL104" s="104"/>
      <c r="DM104" s="103"/>
      <c r="DN104" s="102"/>
      <c r="DO104" s="104"/>
      <c r="DP104" s="104"/>
      <c r="DQ104" s="103"/>
      <c r="DR104" s="102"/>
      <c r="DS104" s="104"/>
      <c r="DT104" s="104"/>
      <c r="DU104" s="103"/>
      <c r="DV104" s="102"/>
      <c r="DW104" s="104"/>
      <c r="DX104" s="104"/>
      <c r="DY104" s="103"/>
      <c r="DZ104" s="102"/>
      <c r="EA104" s="104"/>
      <c r="EB104" s="104"/>
      <c r="EC104" s="103"/>
      <c r="ED104" s="102"/>
      <c r="EE104" s="236"/>
      <c r="EF104" s="5"/>
    </row>
    <row r="105" spans="1:136" s="3" customFormat="1" x14ac:dyDescent="0.15">
      <c r="A105" s="86"/>
      <c r="B105" s="65"/>
      <c r="C105" s="86"/>
      <c r="E105" s="4"/>
      <c r="F105" s="65"/>
      <c r="G105" s="65"/>
      <c r="H105" s="86"/>
      <c r="I105" s="65"/>
      <c r="J105" s="236"/>
      <c r="K105" s="5"/>
      <c r="L105" s="65"/>
      <c r="M105" s="5"/>
      <c r="N105" s="5"/>
      <c r="O105" s="190"/>
      <c r="P105" s="236"/>
      <c r="Q105" s="5"/>
      <c r="R105" s="5"/>
      <c r="S105" s="4"/>
      <c r="T105" s="4"/>
      <c r="U105" s="5"/>
      <c r="V105" s="5"/>
      <c r="W105" s="5"/>
      <c r="X105" s="86"/>
      <c r="Y105" s="86"/>
      <c r="Z105" s="177"/>
      <c r="AA105" s="5"/>
      <c r="AB105" s="190"/>
      <c r="AC105" s="190"/>
      <c r="AD105" s="236"/>
      <c r="AE105" s="190"/>
      <c r="AF105" s="190"/>
      <c r="AG105" s="190"/>
      <c r="AH105" s="190"/>
      <c r="AI105" s="190"/>
      <c r="AJ105" s="190"/>
      <c r="AK105" s="236"/>
      <c r="AL105" s="190"/>
      <c r="AM105" s="236"/>
      <c r="AN105" s="41"/>
      <c r="AO105" s="41"/>
      <c r="AP105" s="5"/>
      <c r="AQ105" s="4"/>
      <c r="AR105" s="4"/>
      <c r="AS105" s="4"/>
      <c r="AT105" s="5"/>
      <c r="AU105" s="5"/>
      <c r="AV105" s="5"/>
      <c r="AW105" s="236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37"/>
      <c r="BM105" s="5"/>
      <c r="BN105" s="5"/>
      <c r="BO105" s="5"/>
      <c r="BP105" s="236"/>
      <c r="BQ105" s="58"/>
      <c r="BR105" s="59"/>
      <c r="BS105" s="61"/>
      <c r="BT105" s="58"/>
      <c r="BU105" s="60"/>
      <c r="BV105" s="60"/>
      <c r="BW105" s="60"/>
      <c r="BX105" s="60"/>
      <c r="BY105" s="60"/>
      <c r="BZ105" s="61"/>
      <c r="CA105" s="61"/>
      <c r="CB105" s="61"/>
      <c r="CC105" s="61"/>
      <c r="CD105" s="59"/>
      <c r="CE105" s="59"/>
      <c r="CF105" s="59"/>
      <c r="CG105" s="59"/>
      <c r="CH105" s="61"/>
      <c r="CI105" s="61"/>
      <c r="CJ105" s="59"/>
      <c r="CK105" s="59"/>
      <c r="CL105" s="59"/>
      <c r="CM105" s="60"/>
      <c r="CN105" s="59"/>
      <c r="CO105" s="59"/>
      <c r="CP105" s="59"/>
      <c r="CQ105" s="236"/>
      <c r="CR105" s="37"/>
      <c r="CS105" s="5"/>
      <c r="CT105" s="5"/>
      <c r="CU105" s="5"/>
      <c r="CV105" s="236"/>
      <c r="CW105" s="5"/>
      <c r="CX105" s="5"/>
      <c r="CY105" s="5"/>
      <c r="CZ105" s="5"/>
      <c r="DA105" s="5"/>
      <c r="DB105" s="5"/>
      <c r="DC105" s="236"/>
      <c r="DD105" s="104"/>
      <c r="DE105" s="103"/>
      <c r="DF105" s="103"/>
      <c r="DG105" s="103"/>
      <c r="DH105" s="103"/>
      <c r="DI105" s="5"/>
      <c r="DJ105" s="172"/>
      <c r="DK105" s="104"/>
      <c r="DL105" s="104"/>
      <c r="DM105" s="103"/>
      <c r="DN105" s="102"/>
      <c r="DO105" s="104"/>
      <c r="DP105" s="104"/>
      <c r="DQ105" s="103"/>
      <c r="DR105" s="102"/>
      <c r="DS105" s="104"/>
      <c r="DT105" s="104"/>
      <c r="DU105" s="103"/>
      <c r="DV105" s="102"/>
      <c r="DW105" s="104"/>
      <c r="DX105" s="104"/>
      <c r="DY105" s="103"/>
      <c r="DZ105" s="102"/>
      <c r="EA105" s="104"/>
      <c r="EB105" s="104"/>
      <c r="EC105" s="103"/>
      <c r="ED105" s="102"/>
      <c r="EE105" s="236"/>
      <c r="EF105" s="5"/>
    </row>
    <row r="106" spans="1:136" s="3" customFormat="1" x14ac:dyDescent="0.15">
      <c r="A106" s="86"/>
      <c r="B106" s="65"/>
      <c r="C106" s="86"/>
      <c r="E106" s="4"/>
      <c r="F106" s="65"/>
      <c r="G106" s="65"/>
      <c r="H106" s="86"/>
      <c r="I106" s="65"/>
      <c r="J106" s="236"/>
      <c r="K106" s="5"/>
      <c r="L106" s="65"/>
      <c r="M106" s="5"/>
      <c r="N106" s="5"/>
      <c r="O106" s="190"/>
      <c r="P106" s="236"/>
      <c r="Q106" s="5"/>
      <c r="R106" s="5"/>
      <c r="S106" s="4"/>
      <c r="T106" s="4"/>
      <c r="U106" s="5"/>
      <c r="V106" s="5"/>
      <c r="W106" s="5"/>
      <c r="X106" s="86"/>
      <c r="Y106" s="86"/>
      <c r="Z106" s="177"/>
      <c r="AA106" s="5"/>
      <c r="AB106" s="190"/>
      <c r="AC106" s="190"/>
      <c r="AD106" s="236"/>
      <c r="AE106" s="190"/>
      <c r="AF106" s="190"/>
      <c r="AG106" s="190"/>
      <c r="AH106" s="190"/>
      <c r="AI106" s="190"/>
      <c r="AJ106" s="190"/>
      <c r="AK106" s="236"/>
      <c r="AL106" s="190"/>
      <c r="AM106" s="236"/>
      <c r="AN106" s="41"/>
      <c r="AO106" s="41"/>
      <c r="AP106" s="5"/>
      <c r="AQ106" s="4"/>
      <c r="AR106" s="4"/>
      <c r="AS106" s="4"/>
      <c r="AT106" s="5"/>
      <c r="AU106" s="5"/>
      <c r="AV106" s="5"/>
      <c r="AW106" s="236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37"/>
      <c r="BM106" s="5"/>
      <c r="BN106" s="5"/>
      <c r="BO106" s="5"/>
      <c r="BP106" s="236"/>
      <c r="BQ106" s="58"/>
      <c r="BR106" s="59"/>
      <c r="BS106" s="61"/>
      <c r="BT106" s="58"/>
      <c r="BU106" s="60"/>
      <c r="BV106" s="60"/>
      <c r="BW106" s="60"/>
      <c r="BX106" s="60"/>
      <c r="BY106" s="60"/>
      <c r="BZ106" s="61"/>
      <c r="CA106" s="61"/>
      <c r="CB106" s="61"/>
      <c r="CC106" s="61"/>
      <c r="CD106" s="59"/>
      <c r="CE106" s="59"/>
      <c r="CF106" s="59"/>
      <c r="CG106" s="59"/>
      <c r="CH106" s="61"/>
      <c r="CI106" s="61"/>
      <c r="CJ106" s="59"/>
      <c r="CK106" s="59"/>
      <c r="CL106" s="59"/>
      <c r="CM106" s="60"/>
      <c r="CN106" s="59"/>
      <c r="CO106" s="59"/>
      <c r="CP106" s="59"/>
      <c r="CQ106" s="236"/>
      <c r="CR106" s="37"/>
      <c r="CS106" s="5"/>
      <c r="CT106" s="5"/>
      <c r="CU106" s="5"/>
      <c r="CV106" s="236"/>
      <c r="CW106" s="5"/>
      <c r="CX106" s="5"/>
      <c r="CY106" s="5"/>
      <c r="CZ106" s="5"/>
      <c r="DA106" s="5"/>
      <c r="DB106" s="5"/>
      <c r="DC106" s="236"/>
      <c r="DD106" s="104"/>
      <c r="DE106" s="103"/>
      <c r="DF106" s="103"/>
      <c r="DG106" s="103"/>
      <c r="DH106" s="103"/>
      <c r="DI106" s="5"/>
      <c r="DJ106" s="172"/>
      <c r="DK106" s="104"/>
      <c r="DL106" s="104"/>
      <c r="DM106" s="103"/>
      <c r="DN106" s="102"/>
      <c r="DO106" s="104"/>
      <c r="DP106" s="104"/>
      <c r="DQ106" s="103"/>
      <c r="DR106" s="102"/>
      <c r="DS106" s="104"/>
      <c r="DT106" s="104"/>
      <c r="DU106" s="103"/>
      <c r="DV106" s="102"/>
      <c r="DW106" s="104"/>
      <c r="DX106" s="104"/>
      <c r="DY106" s="103"/>
      <c r="DZ106" s="102"/>
      <c r="EA106" s="104"/>
      <c r="EB106" s="104"/>
      <c r="EC106" s="103"/>
      <c r="ED106" s="102"/>
      <c r="EE106" s="236"/>
      <c r="EF106" s="5"/>
    </row>
    <row r="107" spans="1:136" s="3" customFormat="1" x14ac:dyDescent="0.15">
      <c r="A107" s="86"/>
      <c r="B107" s="65"/>
      <c r="C107" s="86"/>
      <c r="E107" s="4"/>
      <c r="F107" s="65"/>
      <c r="G107" s="65"/>
      <c r="H107" s="86"/>
      <c r="I107" s="65"/>
      <c r="J107" s="236"/>
      <c r="K107" s="5"/>
      <c r="L107" s="65"/>
      <c r="M107" s="5"/>
      <c r="N107" s="5"/>
      <c r="O107" s="190"/>
      <c r="P107" s="236"/>
      <c r="Q107" s="5"/>
      <c r="R107" s="5"/>
      <c r="S107" s="4"/>
      <c r="T107" s="4"/>
      <c r="U107" s="5"/>
      <c r="V107" s="5"/>
      <c r="W107" s="5"/>
      <c r="X107" s="86"/>
      <c r="Y107" s="86"/>
      <c r="Z107" s="177"/>
      <c r="AA107" s="5"/>
      <c r="AB107" s="190"/>
      <c r="AC107" s="190"/>
      <c r="AD107" s="236"/>
      <c r="AE107" s="190"/>
      <c r="AF107" s="190"/>
      <c r="AG107" s="190"/>
      <c r="AH107" s="190"/>
      <c r="AI107" s="190"/>
      <c r="AJ107" s="190"/>
      <c r="AK107" s="236"/>
      <c r="AL107" s="190"/>
      <c r="AM107" s="236"/>
      <c r="AN107" s="41"/>
      <c r="AO107" s="41"/>
      <c r="AP107" s="5"/>
      <c r="AQ107" s="4"/>
      <c r="AR107" s="4"/>
      <c r="AS107" s="4"/>
      <c r="AT107" s="5"/>
      <c r="AU107" s="5"/>
      <c r="AV107" s="5"/>
      <c r="AW107" s="236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37"/>
      <c r="BM107" s="5"/>
      <c r="BN107" s="5"/>
      <c r="BO107" s="5"/>
      <c r="BP107" s="236"/>
      <c r="BQ107" s="58"/>
      <c r="BR107" s="59"/>
      <c r="BS107" s="61"/>
      <c r="BT107" s="58"/>
      <c r="BU107" s="60"/>
      <c r="BV107" s="60"/>
      <c r="BW107" s="60"/>
      <c r="BX107" s="60"/>
      <c r="BY107" s="60"/>
      <c r="BZ107" s="61"/>
      <c r="CA107" s="61"/>
      <c r="CB107" s="61"/>
      <c r="CC107" s="61"/>
      <c r="CD107" s="59"/>
      <c r="CE107" s="59"/>
      <c r="CF107" s="59"/>
      <c r="CG107" s="59"/>
      <c r="CH107" s="61"/>
      <c r="CI107" s="61"/>
      <c r="CJ107" s="59"/>
      <c r="CK107" s="59"/>
      <c r="CL107" s="59"/>
      <c r="CM107" s="60"/>
      <c r="CN107" s="59"/>
      <c r="CO107" s="59"/>
      <c r="CP107" s="59"/>
      <c r="CQ107" s="236"/>
      <c r="CR107" s="37"/>
      <c r="CS107" s="5"/>
      <c r="CT107" s="5"/>
      <c r="CU107" s="5"/>
      <c r="CV107" s="236"/>
      <c r="CW107" s="5"/>
      <c r="CX107" s="5"/>
      <c r="CY107" s="5"/>
      <c r="CZ107" s="5"/>
      <c r="DA107" s="5"/>
      <c r="DB107" s="5"/>
      <c r="DC107" s="236"/>
      <c r="DD107" s="104"/>
      <c r="DE107" s="103"/>
      <c r="DF107" s="103"/>
      <c r="DG107" s="103"/>
      <c r="DH107" s="103"/>
      <c r="DI107" s="5"/>
      <c r="DJ107" s="172"/>
      <c r="DK107" s="104"/>
      <c r="DL107" s="104"/>
      <c r="DM107" s="103"/>
      <c r="DN107" s="102"/>
      <c r="DO107" s="104"/>
      <c r="DP107" s="104"/>
      <c r="DQ107" s="103"/>
      <c r="DR107" s="102"/>
      <c r="DS107" s="104"/>
      <c r="DT107" s="104"/>
      <c r="DU107" s="103"/>
      <c r="DV107" s="102"/>
      <c r="DW107" s="104"/>
      <c r="DX107" s="104"/>
      <c r="DY107" s="103"/>
      <c r="DZ107" s="102"/>
      <c r="EA107" s="104"/>
      <c r="EB107" s="104"/>
      <c r="EC107" s="103"/>
      <c r="ED107" s="102"/>
      <c r="EE107" s="236"/>
      <c r="EF107" s="5"/>
    </row>
    <row r="108" spans="1:136" s="3" customFormat="1" x14ac:dyDescent="0.15">
      <c r="A108" s="86"/>
      <c r="B108" s="65"/>
      <c r="C108" s="86"/>
      <c r="E108" s="4"/>
      <c r="F108" s="65"/>
      <c r="G108" s="65"/>
      <c r="H108" s="86"/>
      <c r="I108" s="65"/>
      <c r="J108" s="236"/>
      <c r="K108" s="5"/>
      <c r="L108" s="65"/>
      <c r="M108" s="5"/>
      <c r="N108" s="5"/>
      <c r="O108" s="190"/>
      <c r="P108" s="236"/>
      <c r="Q108" s="5"/>
      <c r="R108" s="5"/>
      <c r="S108" s="4"/>
      <c r="T108" s="4"/>
      <c r="U108" s="5"/>
      <c r="V108" s="5"/>
      <c r="W108" s="5"/>
      <c r="X108" s="86"/>
      <c r="Y108" s="86"/>
      <c r="Z108" s="177"/>
      <c r="AA108" s="5"/>
      <c r="AB108" s="190"/>
      <c r="AC108" s="190"/>
      <c r="AD108" s="236"/>
      <c r="AE108" s="190"/>
      <c r="AF108" s="190"/>
      <c r="AG108" s="190"/>
      <c r="AH108" s="190"/>
      <c r="AI108" s="190"/>
      <c r="AJ108" s="190"/>
      <c r="AK108" s="236"/>
      <c r="AL108" s="190"/>
      <c r="AM108" s="236"/>
      <c r="AN108" s="41"/>
      <c r="AO108" s="41"/>
      <c r="AP108" s="5"/>
      <c r="AQ108" s="4"/>
      <c r="AR108" s="4"/>
      <c r="AS108" s="4"/>
      <c r="AT108" s="5"/>
      <c r="AU108" s="5"/>
      <c r="AV108" s="5"/>
      <c r="AW108" s="236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37"/>
      <c r="BM108" s="5"/>
      <c r="BN108" s="5"/>
      <c r="BO108" s="5"/>
      <c r="BP108" s="236"/>
      <c r="BQ108" s="58"/>
      <c r="BR108" s="59"/>
      <c r="BS108" s="61"/>
      <c r="BT108" s="58"/>
      <c r="BU108" s="60"/>
      <c r="BV108" s="60"/>
      <c r="BW108" s="60"/>
      <c r="BX108" s="60"/>
      <c r="BY108" s="60"/>
      <c r="BZ108" s="61"/>
      <c r="CA108" s="61"/>
      <c r="CB108" s="61"/>
      <c r="CC108" s="61"/>
      <c r="CD108" s="59"/>
      <c r="CE108" s="59"/>
      <c r="CF108" s="59"/>
      <c r="CG108" s="59"/>
      <c r="CH108" s="61"/>
      <c r="CI108" s="61"/>
      <c r="CJ108" s="59"/>
      <c r="CK108" s="59"/>
      <c r="CL108" s="59"/>
      <c r="CM108" s="60"/>
      <c r="CN108" s="59"/>
      <c r="CO108" s="59"/>
      <c r="CP108" s="59"/>
      <c r="CQ108" s="236"/>
      <c r="CR108" s="37"/>
      <c r="CS108" s="5"/>
      <c r="CT108" s="5"/>
      <c r="CU108" s="5"/>
      <c r="CV108" s="236"/>
      <c r="CW108" s="5"/>
      <c r="CX108" s="5"/>
      <c r="CY108" s="5"/>
      <c r="CZ108" s="5"/>
      <c r="DA108" s="5"/>
      <c r="DB108" s="5"/>
      <c r="DC108" s="236"/>
      <c r="DD108" s="104"/>
      <c r="DE108" s="103"/>
      <c r="DF108" s="103"/>
      <c r="DG108" s="103"/>
      <c r="DH108" s="103"/>
      <c r="DI108" s="5"/>
      <c r="DJ108" s="172"/>
      <c r="DK108" s="104"/>
      <c r="DL108" s="104"/>
      <c r="DM108" s="103"/>
      <c r="DN108" s="102"/>
      <c r="DO108" s="104"/>
      <c r="DP108" s="104"/>
      <c r="DQ108" s="103"/>
      <c r="DR108" s="102"/>
      <c r="DS108" s="104"/>
      <c r="DT108" s="104"/>
      <c r="DU108" s="103"/>
      <c r="DV108" s="102"/>
      <c r="DW108" s="104"/>
      <c r="DX108" s="104"/>
      <c r="DY108" s="103"/>
      <c r="DZ108" s="102"/>
      <c r="EA108" s="104"/>
      <c r="EB108" s="104"/>
      <c r="EC108" s="103"/>
      <c r="ED108" s="102"/>
      <c r="EE108" s="236"/>
      <c r="EF108" s="5"/>
    </row>
    <row r="109" spans="1:136" s="3" customFormat="1" x14ac:dyDescent="0.15">
      <c r="A109" s="86"/>
      <c r="B109" s="65"/>
      <c r="C109" s="86"/>
      <c r="E109" s="4"/>
      <c r="F109" s="65"/>
      <c r="G109" s="65"/>
      <c r="H109" s="86"/>
      <c r="I109" s="65"/>
      <c r="J109" s="236"/>
      <c r="K109" s="5"/>
      <c r="L109" s="65"/>
      <c r="M109" s="5"/>
      <c r="N109" s="5"/>
      <c r="O109" s="190"/>
      <c r="P109" s="236"/>
      <c r="Q109" s="5"/>
      <c r="R109" s="5"/>
      <c r="S109" s="4"/>
      <c r="T109" s="4"/>
      <c r="U109" s="5"/>
      <c r="V109" s="5"/>
      <c r="W109" s="5"/>
      <c r="X109" s="86"/>
      <c r="Y109" s="86"/>
      <c r="Z109" s="177"/>
      <c r="AA109" s="5"/>
      <c r="AB109" s="190"/>
      <c r="AC109" s="190"/>
      <c r="AD109" s="236"/>
      <c r="AE109" s="190"/>
      <c r="AF109" s="190"/>
      <c r="AG109" s="190"/>
      <c r="AH109" s="190"/>
      <c r="AI109" s="190"/>
      <c r="AJ109" s="190"/>
      <c r="AK109" s="236"/>
      <c r="AL109" s="190"/>
      <c r="AM109" s="236"/>
      <c r="AN109" s="41"/>
      <c r="AO109" s="41"/>
      <c r="AP109" s="5"/>
      <c r="AQ109" s="4"/>
      <c r="AR109" s="4"/>
      <c r="AS109" s="4"/>
      <c r="AT109" s="5"/>
      <c r="AU109" s="5"/>
      <c r="AV109" s="5"/>
      <c r="AW109" s="236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37"/>
      <c r="BM109" s="5"/>
      <c r="BN109" s="5"/>
      <c r="BO109" s="5"/>
      <c r="BP109" s="236"/>
      <c r="BQ109" s="58"/>
      <c r="BR109" s="59"/>
      <c r="BS109" s="61"/>
      <c r="BT109" s="58"/>
      <c r="BU109" s="60"/>
      <c r="BV109" s="60"/>
      <c r="BW109" s="60"/>
      <c r="BX109" s="60"/>
      <c r="BY109" s="60"/>
      <c r="BZ109" s="61"/>
      <c r="CA109" s="61"/>
      <c r="CB109" s="61"/>
      <c r="CC109" s="61"/>
      <c r="CD109" s="59"/>
      <c r="CE109" s="59"/>
      <c r="CF109" s="59"/>
      <c r="CG109" s="59"/>
      <c r="CH109" s="61"/>
      <c r="CI109" s="61"/>
      <c r="CJ109" s="59"/>
      <c r="CK109" s="59"/>
      <c r="CL109" s="59"/>
      <c r="CM109" s="60"/>
      <c r="CN109" s="59"/>
      <c r="CO109" s="59"/>
      <c r="CP109" s="59"/>
      <c r="CQ109" s="236"/>
      <c r="CR109" s="37"/>
      <c r="CS109" s="5"/>
      <c r="CT109" s="5"/>
      <c r="CU109" s="5"/>
      <c r="CV109" s="236"/>
      <c r="CW109" s="5"/>
      <c r="CX109" s="5"/>
      <c r="CY109" s="5"/>
      <c r="CZ109" s="5"/>
      <c r="DA109" s="5"/>
      <c r="DB109" s="5"/>
      <c r="DC109" s="236"/>
      <c r="DD109" s="104"/>
      <c r="DE109" s="103"/>
      <c r="DF109" s="103"/>
      <c r="DG109" s="103"/>
      <c r="DH109" s="103"/>
      <c r="DI109" s="5"/>
      <c r="DJ109" s="172"/>
      <c r="DK109" s="104"/>
      <c r="DL109" s="104"/>
      <c r="DM109" s="103"/>
      <c r="DN109" s="102"/>
      <c r="DO109" s="104"/>
      <c r="DP109" s="104"/>
      <c r="DQ109" s="103"/>
      <c r="DR109" s="102"/>
      <c r="DS109" s="104"/>
      <c r="DT109" s="104"/>
      <c r="DU109" s="103"/>
      <c r="DV109" s="102"/>
      <c r="DW109" s="104"/>
      <c r="DX109" s="104"/>
      <c r="DY109" s="103"/>
      <c r="DZ109" s="102"/>
      <c r="EA109" s="104"/>
      <c r="EB109" s="104"/>
      <c r="EC109" s="103"/>
      <c r="ED109" s="102"/>
      <c r="EE109" s="236"/>
      <c r="EF109" s="5"/>
    </row>
    <row r="110" spans="1:136" s="3" customFormat="1" x14ac:dyDescent="0.15">
      <c r="A110" s="86"/>
      <c r="B110" s="65"/>
      <c r="C110" s="86"/>
      <c r="E110" s="4"/>
      <c r="F110" s="65"/>
      <c r="G110" s="65"/>
      <c r="H110" s="86"/>
      <c r="I110" s="65"/>
      <c r="J110" s="236"/>
      <c r="K110" s="5"/>
      <c r="L110" s="65"/>
      <c r="M110" s="5"/>
      <c r="N110" s="5"/>
      <c r="O110" s="190"/>
      <c r="P110" s="236"/>
      <c r="Q110" s="5"/>
      <c r="R110" s="5"/>
      <c r="S110" s="4"/>
      <c r="T110" s="4"/>
      <c r="U110" s="5"/>
      <c r="V110" s="5"/>
      <c r="W110" s="5"/>
      <c r="X110" s="86"/>
      <c r="Y110" s="86"/>
      <c r="Z110" s="177"/>
      <c r="AA110" s="5"/>
      <c r="AB110" s="190"/>
      <c r="AC110" s="190"/>
      <c r="AD110" s="236"/>
      <c r="AE110" s="190"/>
      <c r="AF110" s="190"/>
      <c r="AG110" s="190"/>
      <c r="AH110" s="190"/>
      <c r="AI110" s="190"/>
      <c r="AJ110" s="190"/>
      <c r="AK110" s="236"/>
      <c r="AL110" s="190"/>
      <c r="AM110" s="236"/>
      <c r="AN110" s="41"/>
      <c r="AO110" s="41"/>
      <c r="AP110" s="5"/>
      <c r="AQ110" s="4"/>
      <c r="AR110" s="4"/>
      <c r="AS110" s="4"/>
      <c r="AT110" s="5"/>
      <c r="AU110" s="5"/>
      <c r="AV110" s="5"/>
      <c r="AW110" s="236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37"/>
      <c r="BM110" s="5"/>
      <c r="BN110" s="5"/>
      <c r="BO110" s="5"/>
      <c r="BP110" s="236"/>
      <c r="BQ110" s="58"/>
      <c r="BR110" s="59"/>
      <c r="BS110" s="61"/>
      <c r="BT110" s="58"/>
      <c r="BU110" s="60"/>
      <c r="BV110" s="60"/>
      <c r="BW110" s="60"/>
      <c r="BX110" s="60"/>
      <c r="BY110" s="60"/>
      <c r="BZ110" s="61"/>
      <c r="CA110" s="61"/>
      <c r="CB110" s="61"/>
      <c r="CC110" s="61"/>
      <c r="CD110" s="59"/>
      <c r="CE110" s="59"/>
      <c r="CF110" s="59"/>
      <c r="CG110" s="59"/>
      <c r="CH110" s="61"/>
      <c r="CI110" s="61"/>
      <c r="CJ110" s="59"/>
      <c r="CK110" s="59"/>
      <c r="CL110" s="59"/>
      <c r="CM110" s="60"/>
      <c r="CN110" s="59"/>
      <c r="CO110" s="59"/>
      <c r="CP110" s="59"/>
      <c r="CQ110" s="236"/>
      <c r="CR110" s="37"/>
      <c r="CS110" s="5"/>
      <c r="CT110" s="5"/>
      <c r="CU110" s="5"/>
      <c r="CV110" s="236"/>
      <c r="CW110" s="5"/>
      <c r="CX110" s="5"/>
      <c r="CY110" s="5"/>
      <c r="CZ110" s="5"/>
      <c r="DA110" s="5"/>
      <c r="DB110" s="5"/>
      <c r="DC110" s="236"/>
      <c r="DD110" s="104"/>
      <c r="DE110" s="103"/>
      <c r="DF110" s="103"/>
      <c r="DG110" s="103"/>
      <c r="DH110" s="103"/>
      <c r="DI110" s="5"/>
      <c r="DJ110" s="172"/>
      <c r="DK110" s="104"/>
      <c r="DL110" s="104"/>
      <c r="DM110" s="103"/>
      <c r="DN110" s="102"/>
      <c r="DO110" s="104"/>
      <c r="DP110" s="104"/>
      <c r="DQ110" s="103"/>
      <c r="DR110" s="102"/>
      <c r="DS110" s="104"/>
      <c r="DT110" s="104"/>
      <c r="DU110" s="103"/>
      <c r="DV110" s="102"/>
      <c r="DW110" s="104"/>
      <c r="DX110" s="104"/>
      <c r="DY110" s="103"/>
      <c r="DZ110" s="102"/>
      <c r="EA110" s="104"/>
      <c r="EB110" s="104"/>
      <c r="EC110" s="103"/>
      <c r="ED110" s="102"/>
      <c r="EE110" s="236"/>
      <c r="EF110" s="5"/>
    </row>
    <row r="111" spans="1:136" s="3" customFormat="1" x14ac:dyDescent="0.15">
      <c r="A111" s="86"/>
      <c r="B111" s="65"/>
      <c r="C111" s="86"/>
      <c r="E111" s="4"/>
      <c r="F111" s="65"/>
      <c r="G111" s="65"/>
      <c r="H111" s="86"/>
      <c r="I111" s="65"/>
      <c r="J111" s="236"/>
      <c r="K111" s="5"/>
      <c r="L111" s="65"/>
      <c r="M111" s="5"/>
      <c r="N111" s="5"/>
      <c r="O111" s="190"/>
      <c r="P111" s="236"/>
      <c r="Q111" s="5"/>
      <c r="R111" s="5"/>
      <c r="S111" s="4"/>
      <c r="T111" s="4"/>
      <c r="U111" s="5"/>
      <c r="V111" s="5"/>
      <c r="W111" s="5"/>
      <c r="X111" s="86"/>
      <c r="Y111" s="86"/>
      <c r="Z111" s="177"/>
      <c r="AA111" s="5"/>
      <c r="AB111" s="190"/>
      <c r="AC111" s="190"/>
      <c r="AD111" s="236"/>
      <c r="AE111" s="190"/>
      <c r="AF111" s="190"/>
      <c r="AG111" s="190"/>
      <c r="AH111" s="190"/>
      <c r="AI111" s="190"/>
      <c r="AJ111" s="190"/>
      <c r="AK111" s="236"/>
      <c r="AL111" s="190"/>
      <c r="AM111" s="236"/>
      <c r="AN111" s="41"/>
      <c r="AO111" s="41"/>
      <c r="AP111" s="5"/>
      <c r="AQ111" s="4"/>
      <c r="AR111" s="4"/>
      <c r="AS111" s="4"/>
      <c r="AT111" s="5"/>
      <c r="AU111" s="5"/>
      <c r="AV111" s="5"/>
      <c r="AW111" s="236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37"/>
      <c r="BM111" s="5"/>
      <c r="BN111" s="5"/>
      <c r="BO111" s="5"/>
      <c r="BP111" s="236"/>
      <c r="BQ111" s="58"/>
      <c r="BR111" s="59"/>
      <c r="BS111" s="61"/>
      <c r="BT111" s="58"/>
      <c r="BU111" s="60"/>
      <c r="BV111" s="60"/>
      <c r="BW111" s="60"/>
      <c r="BX111" s="60"/>
      <c r="BY111" s="60"/>
      <c r="BZ111" s="61"/>
      <c r="CA111" s="61"/>
      <c r="CB111" s="61"/>
      <c r="CC111" s="61"/>
      <c r="CD111" s="59"/>
      <c r="CE111" s="59"/>
      <c r="CF111" s="59"/>
      <c r="CG111" s="59"/>
      <c r="CH111" s="61"/>
      <c r="CI111" s="61"/>
      <c r="CJ111" s="59"/>
      <c r="CK111" s="59"/>
      <c r="CL111" s="59"/>
      <c r="CM111" s="60"/>
      <c r="CN111" s="59"/>
      <c r="CO111" s="59"/>
      <c r="CP111" s="59"/>
      <c r="CQ111" s="236"/>
      <c r="CR111" s="37"/>
      <c r="CS111" s="5"/>
      <c r="CT111" s="5"/>
      <c r="CU111" s="5"/>
      <c r="CV111" s="236"/>
      <c r="CW111" s="5"/>
      <c r="CX111" s="5"/>
      <c r="CY111" s="5"/>
      <c r="CZ111" s="5"/>
      <c r="DA111" s="5"/>
      <c r="DB111" s="5"/>
      <c r="DC111" s="236"/>
      <c r="DD111" s="104"/>
      <c r="DE111" s="103"/>
      <c r="DF111" s="103"/>
      <c r="DG111" s="103"/>
      <c r="DH111" s="103"/>
      <c r="DI111" s="5"/>
      <c r="DJ111" s="172"/>
      <c r="DK111" s="104"/>
      <c r="DL111" s="104"/>
      <c r="DM111" s="103"/>
      <c r="DN111" s="102"/>
      <c r="DO111" s="104"/>
      <c r="DP111" s="104"/>
      <c r="DQ111" s="103"/>
      <c r="DR111" s="102"/>
      <c r="DS111" s="104"/>
      <c r="DT111" s="104"/>
      <c r="DU111" s="103"/>
      <c r="DV111" s="102"/>
      <c r="DW111" s="104"/>
      <c r="DX111" s="104"/>
      <c r="DY111" s="103"/>
      <c r="DZ111" s="102"/>
      <c r="EA111" s="104"/>
      <c r="EB111" s="104"/>
      <c r="EC111" s="103"/>
      <c r="ED111" s="102"/>
      <c r="EE111" s="236"/>
      <c r="EF111" s="5"/>
    </row>
    <row r="112" spans="1:136" s="3" customFormat="1" x14ac:dyDescent="0.15">
      <c r="A112" s="86"/>
      <c r="B112" s="65"/>
      <c r="C112" s="86"/>
      <c r="E112" s="4"/>
      <c r="F112" s="65"/>
      <c r="G112" s="65"/>
      <c r="H112" s="86"/>
      <c r="I112" s="65"/>
      <c r="J112" s="236"/>
      <c r="K112" s="5"/>
      <c r="L112" s="65"/>
      <c r="M112" s="5"/>
      <c r="N112" s="5"/>
      <c r="O112" s="190"/>
      <c r="P112" s="236"/>
      <c r="Q112" s="5"/>
      <c r="R112" s="5"/>
      <c r="S112" s="4"/>
      <c r="T112" s="4"/>
      <c r="U112" s="5"/>
      <c r="V112" s="5"/>
      <c r="W112" s="5"/>
      <c r="X112" s="86"/>
      <c r="Y112" s="86"/>
      <c r="Z112" s="177"/>
      <c r="AA112" s="5"/>
      <c r="AB112" s="190"/>
      <c r="AC112" s="190"/>
      <c r="AD112" s="236"/>
      <c r="AE112" s="190"/>
      <c r="AF112" s="190"/>
      <c r="AG112" s="190"/>
      <c r="AH112" s="190"/>
      <c r="AI112" s="190"/>
      <c r="AJ112" s="190"/>
      <c r="AK112" s="236"/>
      <c r="AL112" s="190"/>
      <c r="AM112" s="236"/>
      <c r="AN112" s="41"/>
      <c r="AO112" s="41"/>
      <c r="AP112" s="5"/>
      <c r="AQ112" s="4"/>
      <c r="AR112" s="4"/>
      <c r="AS112" s="4"/>
      <c r="AT112" s="5"/>
      <c r="AU112" s="5"/>
      <c r="AV112" s="5"/>
      <c r="AW112" s="236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37"/>
      <c r="BM112" s="5"/>
      <c r="BN112" s="5"/>
      <c r="BO112" s="5"/>
      <c r="BP112" s="236"/>
      <c r="BQ112" s="58"/>
      <c r="BR112" s="59"/>
      <c r="BS112" s="61"/>
      <c r="BT112" s="58"/>
      <c r="BU112" s="60"/>
      <c r="BV112" s="60"/>
      <c r="BW112" s="60"/>
      <c r="BX112" s="60"/>
      <c r="BY112" s="60"/>
      <c r="BZ112" s="61"/>
      <c r="CA112" s="61"/>
      <c r="CB112" s="61"/>
      <c r="CC112" s="61"/>
      <c r="CD112" s="59"/>
      <c r="CE112" s="59"/>
      <c r="CF112" s="59"/>
      <c r="CG112" s="59"/>
      <c r="CH112" s="61"/>
      <c r="CI112" s="61"/>
      <c r="CJ112" s="59"/>
      <c r="CK112" s="59"/>
      <c r="CL112" s="59"/>
      <c r="CM112" s="60"/>
      <c r="CN112" s="59"/>
      <c r="CO112" s="59"/>
      <c r="CP112" s="59"/>
      <c r="CQ112" s="236"/>
      <c r="CR112" s="37"/>
      <c r="CS112" s="5"/>
      <c r="CT112" s="5"/>
      <c r="CU112" s="5"/>
      <c r="CV112" s="236"/>
      <c r="CW112" s="5"/>
      <c r="CX112" s="5"/>
      <c r="CY112" s="5"/>
      <c r="CZ112" s="5"/>
      <c r="DA112" s="5"/>
      <c r="DB112" s="5"/>
      <c r="DC112" s="236"/>
      <c r="DD112" s="104"/>
      <c r="DE112" s="103"/>
      <c r="DF112" s="103"/>
      <c r="DG112" s="103"/>
      <c r="DH112" s="103"/>
      <c r="DI112" s="5"/>
      <c r="DJ112" s="172"/>
      <c r="DK112" s="104"/>
      <c r="DL112" s="104"/>
      <c r="DM112" s="103"/>
      <c r="DN112" s="102"/>
      <c r="DO112" s="104"/>
      <c r="DP112" s="104"/>
      <c r="DQ112" s="103"/>
      <c r="DR112" s="102"/>
      <c r="DS112" s="104"/>
      <c r="DT112" s="104"/>
      <c r="DU112" s="103"/>
      <c r="DV112" s="102"/>
      <c r="DW112" s="104"/>
      <c r="DX112" s="104"/>
      <c r="DY112" s="103"/>
      <c r="DZ112" s="102"/>
      <c r="EA112" s="104"/>
      <c r="EB112" s="104"/>
      <c r="EC112" s="103"/>
      <c r="ED112" s="102"/>
      <c r="EE112" s="236"/>
      <c r="EF112" s="5"/>
    </row>
    <row r="113" spans="1:136" s="3" customFormat="1" x14ac:dyDescent="0.15">
      <c r="A113" s="86"/>
      <c r="B113" s="65"/>
      <c r="C113" s="86"/>
      <c r="E113" s="4"/>
      <c r="F113" s="65"/>
      <c r="G113" s="65"/>
      <c r="H113" s="86"/>
      <c r="I113" s="65"/>
      <c r="J113" s="236"/>
      <c r="K113" s="5"/>
      <c r="L113" s="65"/>
      <c r="M113" s="5"/>
      <c r="N113" s="5"/>
      <c r="O113" s="190"/>
      <c r="P113" s="236"/>
      <c r="Q113" s="5"/>
      <c r="R113" s="5"/>
      <c r="S113" s="4"/>
      <c r="T113" s="4"/>
      <c r="U113" s="5"/>
      <c r="V113" s="5"/>
      <c r="W113" s="5"/>
      <c r="X113" s="86"/>
      <c r="Y113" s="86"/>
      <c r="Z113" s="177"/>
      <c r="AA113" s="5"/>
      <c r="AB113" s="190"/>
      <c r="AC113" s="190"/>
      <c r="AD113" s="236"/>
      <c r="AE113" s="190"/>
      <c r="AF113" s="190"/>
      <c r="AG113" s="190"/>
      <c r="AH113" s="190"/>
      <c r="AI113" s="190"/>
      <c r="AJ113" s="190"/>
      <c r="AK113" s="236"/>
      <c r="AL113" s="190"/>
      <c r="AM113" s="236"/>
      <c r="AN113" s="41"/>
      <c r="AO113" s="41"/>
      <c r="AP113" s="5"/>
      <c r="AQ113" s="4"/>
      <c r="AR113" s="4"/>
      <c r="AS113" s="4"/>
      <c r="AT113" s="5"/>
      <c r="AU113" s="5"/>
      <c r="AV113" s="5"/>
      <c r="AW113" s="236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37"/>
      <c r="BM113" s="5"/>
      <c r="BN113" s="5"/>
      <c r="BO113" s="5"/>
      <c r="BP113" s="236"/>
      <c r="BQ113" s="58"/>
      <c r="BR113" s="59"/>
      <c r="BS113" s="61"/>
      <c r="BT113" s="58"/>
      <c r="BU113" s="60"/>
      <c r="BV113" s="60"/>
      <c r="BW113" s="60"/>
      <c r="BX113" s="60"/>
      <c r="BY113" s="60"/>
      <c r="BZ113" s="61"/>
      <c r="CA113" s="61"/>
      <c r="CB113" s="61"/>
      <c r="CC113" s="61"/>
      <c r="CD113" s="59"/>
      <c r="CE113" s="59"/>
      <c r="CF113" s="59"/>
      <c r="CG113" s="59"/>
      <c r="CH113" s="61"/>
      <c r="CI113" s="61"/>
      <c r="CJ113" s="59"/>
      <c r="CK113" s="59"/>
      <c r="CL113" s="59"/>
      <c r="CM113" s="60"/>
      <c r="CN113" s="59"/>
      <c r="CO113" s="59"/>
      <c r="CP113" s="59"/>
      <c r="CQ113" s="236"/>
      <c r="CR113" s="37"/>
      <c r="CS113" s="5"/>
      <c r="CT113" s="5"/>
      <c r="CU113" s="5"/>
      <c r="CV113" s="236"/>
      <c r="CW113" s="5"/>
      <c r="CX113" s="5"/>
      <c r="CY113" s="5"/>
      <c r="CZ113" s="5"/>
      <c r="DA113" s="5"/>
      <c r="DB113" s="5"/>
      <c r="DC113" s="236"/>
      <c r="DD113" s="104"/>
      <c r="DE113" s="103"/>
      <c r="DF113" s="103"/>
      <c r="DG113" s="103"/>
      <c r="DH113" s="103"/>
      <c r="DI113" s="5"/>
      <c r="DJ113" s="172"/>
      <c r="DK113" s="104"/>
      <c r="DL113" s="104"/>
      <c r="DM113" s="103"/>
      <c r="DN113" s="102"/>
      <c r="DO113" s="104"/>
      <c r="DP113" s="104"/>
      <c r="DQ113" s="103"/>
      <c r="DR113" s="102"/>
      <c r="DS113" s="104"/>
      <c r="DT113" s="104"/>
      <c r="DU113" s="103"/>
      <c r="DV113" s="102"/>
      <c r="DW113" s="104"/>
      <c r="DX113" s="104"/>
      <c r="DY113" s="103"/>
      <c r="DZ113" s="102"/>
      <c r="EA113" s="104"/>
      <c r="EB113" s="104"/>
      <c r="EC113" s="103"/>
      <c r="ED113" s="102"/>
      <c r="EE113" s="236"/>
      <c r="EF113" s="5"/>
    </row>
    <row r="114" spans="1:136" s="3" customFormat="1" x14ac:dyDescent="0.15">
      <c r="A114" s="86"/>
      <c r="B114" s="65"/>
      <c r="C114" s="86"/>
      <c r="E114" s="4"/>
      <c r="F114" s="65"/>
      <c r="G114" s="65"/>
      <c r="H114" s="86"/>
      <c r="I114" s="65"/>
      <c r="J114" s="236"/>
      <c r="K114" s="5"/>
      <c r="L114" s="65"/>
      <c r="M114" s="5"/>
      <c r="N114" s="5"/>
      <c r="O114" s="190"/>
      <c r="P114" s="236"/>
      <c r="Q114" s="5"/>
      <c r="R114" s="5"/>
      <c r="S114" s="4"/>
      <c r="T114" s="4"/>
      <c r="U114" s="5"/>
      <c r="V114" s="5"/>
      <c r="W114" s="5"/>
      <c r="X114" s="86"/>
      <c r="Y114" s="86"/>
      <c r="Z114" s="177"/>
      <c r="AA114" s="5"/>
      <c r="AB114" s="190"/>
      <c r="AC114" s="190"/>
      <c r="AD114" s="236"/>
      <c r="AE114" s="190"/>
      <c r="AF114" s="190"/>
      <c r="AG114" s="190"/>
      <c r="AH114" s="190"/>
      <c r="AI114" s="190"/>
      <c r="AJ114" s="190"/>
      <c r="AK114" s="236"/>
      <c r="AL114" s="190"/>
      <c r="AM114" s="236"/>
      <c r="AN114" s="41"/>
      <c r="AO114" s="41"/>
      <c r="AP114" s="5"/>
      <c r="AQ114" s="4"/>
      <c r="AR114" s="4"/>
      <c r="AS114" s="4"/>
      <c r="AT114" s="5"/>
      <c r="AU114" s="5"/>
      <c r="AV114" s="5"/>
      <c r="AW114" s="236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37"/>
      <c r="BM114" s="5"/>
      <c r="BN114" s="5"/>
      <c r="BO114" s="5"/>
      <c r="BP114" s="236"/>
      <c r="BQ114" s="58"/>
      <c r="BR114" s="59"/>
      <c r="BS114" s="61"/>
      <c r="BT114" s="58"/>
      <c r="BU114" s="60"/>
      <c r="BV114" s="60"/>
      <c r="BW114" s="60"/>
      <c r="BX114" s="60"/>
      <c r="BY114" s="60"/>
      <c r="BZ114" s="61"/>
      <c r="CA114" s="61"/>
      <c r="CB114" s="61"/>
      <c r="CC114" s="61"/>
      <c r="CD114" s="59"/>
      <c r="CE114" s="59"/>
      <c r="CF114" s="59"/>
      <c r="CG114" s="59"/>
      <c r="CH114" s="61"/>
      <c r="CI114" s="61"/>
      <c r="CJ114" s="59"/>
      <c r="CK114" s="59"/>
      <c r="CL114" s="59"/>
      <c r="CM114" s="60"/>
      <c r="CN114" s="59"/>
      <c r="CO114" s="59"/>
      <c r="CP114" s="59"/>
      <c r="CQ114" s="236"/>
      <c r="CR114" s="37"/>
      <c r="CS114" s="5"/>
      <c r="CT114" s="5"/>
      <c r="CU114" s="5"/>
      <c r="CV114" s="236"/>
      <c r="CW114" s="5"/>
      <c r="CX114" s="5"/>
      <c r="CY114" s="5"/>
      <c r="CZ114" s="5"/>
      <c r="DA114" s="5"/>
      <c r="DB114" s="5"/>
      <c r="DC114" s="236"/>
      <c r="DD114" s="104"/>
      <c r="DE114" s="103"/>
      <c r="DF114" s="103"/>
      <c r="DG114" s="103"/>
      <c r="DH114" s="103"/>
      <c r="DI114" s="5"/>
      <c r="DJ114" s="172"/>
      <c r="DK114" s="104"/>
      <c r="DL114" s="104"/>
      <c r="DM114" s="103"/>
      <c r="DN114" s="102"/>
      <c r="DO114" s="104"/>
      <c r="DP114" s="104"/>
      <c r="DQ114" s="103"/>
      <c r="DR114" s="102"/>
      <c r="DS114" s="104"/>
      <c r="DT114" s="104"/>
      <c r="DU114" s="103"/>
      <c r="DV114" s="102"/>
      <c r="DW114" s="104"/>
      <c r="DX114" s="104"/>
      <c r="DY114" s="103"/>
      <c r="DZ114" s="102"/>
      <c r="EA114" s="104"/>
      <c r="EB114" s="104"/>
      <c r="EC114" s="103"/>
      <c r="ED114" s="102"/>
      <c r="EE114" s="236"/>
      <c r="EF114" s="5"/>
    </row>
    <row r="115" spans="1:136" s="3" customFormat="1" x14ac:dyDescent="0.15">
      <c r="A115" s="86"/>
      <c r="B115" s="65"/>
      <c r="C115" s="86"/>
      <c r="E115" s="4"/>
      <c r="F115" s="65"/>
      <c r="G115" s="65"/>
      <c r="H115" s="86"/>
      <c r="I115" s="65"/>
      <c r="J115" s="236"/>
      <c r="K115" s="5"/>
      <c r="L115" s="65"/>
      <c r="M115" s="5"/>
      <c r="N115" s="5"/>
      <c r="O115" s="190"/>
      <c r="P115" s="236"/>
      <c r="Q115" s="5"/>
      <c r="R115" s="5"/>
      <c r="S115" s="4"/>
      <c r="T115" s="4"/>
      <c r="U115" s="5"/>
      <c r="V115" s="5"/>
      <c r="W115" s="5"/>
      <c r="X115" s="86"/>
      <c r="Y115" s="86"/>
      <c r="Z115" s="177"/>
      <c r="AA115" s="5"/>
      <c r="AB115" s="190"/>
      <c r="AC115" s="190"/>
      <c r="AD115" s="236"/>
      <c r="AE115" s="190"/>
      <c r="AF115" s="190"/>
      <c r="AG115" s="190"/>
      <c r="AH115" s="190"/>
      <c r="AI115" s="190"/>
      <c r="AJ115" s="190"/>
      <c r="AK115" s="236"/>
      <c r="AL115" s="190"/>
      <c r="AM115" s="236"/>
      <c r="AN115" s="41"/>
      <c r="AO115" s="41"/>
      <c r="AP115" s="5"/>
      <c r="AQ115" s="4"/>
      <c r="AR115" s="4"/>
      <c r="AS115" s="4"/>
      <c r="AT115" s="5"/>
      <c r="AU115" s="5"/>
      <c r="AV115" s="5"/>
      <c r="AW115" s="236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37"/>
      <c r="BM115" s="5"/>
      <c r="BN115" s="5"/>
      <c r="BO115" s="5"/>
      <c r="BP115" s="236"/>
      <c r="BQ115" s="58"/>
      <c r="BR115" s="59"/>
      <c r="BS115" s="61"/>
      <c r="BT115" s="58"/>
      <c r="BU115" s="60"/>
      <c r="BV115" s="60"/>
      <c r="BW115" s="60"/>
      <c r="BX115" s="60"/>
      <c r="BY115" s="60"/>
      <c r="BZ115" s="61"/>
      <c r="CA115" s="61"/>
      <c r="CB115" s="61"/>
      <c r="CC115" s="61"/>
      <c r="CD115" s="59"/>
      <c r="CE115" s="59"/>
      <c r="CF115" s="59"/>
      <c r="CG115" s="59"/>
      <c r="CH115" s="61"/>
      <c r="CI115" s="61"/>
      <c r="CJ115" s="59"/>
      <c r="CK115" s="59"/>
      <c r="CL115" s="59"/>
      <c r="CM115" s="60"/>
      <c r="CN115" s="59"/>
      <c r="CO115" s="59"/>
      <c r="CP115" s="59"/>
      <c r="CQ115" s="236"/>
      <c r="CR115" s="37"/>
      <c r="CS115" s="5"/>
      <c r="CT115" s="5"/>
      <c r="CU115" s="5"/>
      <c r="CV115" s="236"/>
      <c r="CW115" s="5"/>
      <c r="CX115" s="5"/>
      <c r="CY115" s="5"/>
      <c r="CZ115" s="5"/>
      <c r="DA115" s="5"/>
      <c r="DB115" s="5"/>
      <c r="DC115" s="236"/>
      <c r="DD115" s="104"/>
      <c r="DE115" s="103"/>
      <c r="DF115" s="103"/>
      <c r="DG115" s="103"/>
      <c r="DH115" s="103"/>
      <c r="DI115" s="5"/>
      <c r="DJ115" s="172"/>
      <c r="DK115" s="104"/>
      <c r="DL115" s="104"/>
      <c r="DM115" s="103"/>
      <c r="DN115" s="102"/>
      <c r="DO115" s="104"/>
      <c r="DP115" s="104"/>
      <c r="DQ115" s="103"/>
      <c r="DR115" s="102"/>
      <c r="DS115" s="104"/>
      <c r="DT115" s="104"/>
      <c r="DU115" s="103"/>
      <c r="DV115" s="102"/>
      <c r="DW115" s="104"/>
      <c r="DX115" s="104"/>
      <c r="DY115" s="103"/>
      <c r="DZ115" s="102"/>
      <c r="EA115" s="104"/>
      <c r="EB115" s="104"/>
      <c r="EC115" s="103"/>
      <c r="ED115" s="102"/>
      <c r="EE115" s="236"/>
      <c r="EF115" s="5"/>
    </row>
    <row r="116" spans="1:136" s="3" customFormat="1" x14ac:dyDescent="0.15">
      <c r="A116" s="86"/>
      <c r="B116" s="65"/>
      <c r="C116" s="86"/>
      <c r="E116" s="4"/>
      <c r="F116" s="65"/>
      <c r="G116" s="65"/>
      <c r="H116" s="86"/>
      <c r="I116" s="65"/>
      <c r="J116" s="236"/>
      <c r="K116" s="5"/>
      <c r="L116" s="65"/>
      <c r="M116" s="5"/>
      <c r="N116" s="5"/>
      <c r="O116" s="190"/>
      <c r="P116" s="236"/>
      <c r="Q116" s="5"/>
      <c r="R116" s="5"/>
      <c r="S116" s="4"/>
      <c r="T116" s="4"/>
      <c r="U116" s="5"/>
      <c r="V116" s="5"/>
      <c r="W116" s="5"/>
      <c r="X116" s="86"/>
      <c r="Y116" s="86"/>
      <c r="Z116" s="177"/>
      <c r="AA116" s="5"/>
      <c r="AB116" s="190"/>
      <c r="AC116" s="190"/>
      <c r="AD116" s="236"/>
      <c r="AE116" s="190"/>
      <c r="AF116" s="190"/>
      <c r="AG116" s="190"/>
      <c r="AH116" s="190"/>
      <c r="AI116" s="190"/>
      <c r="AJ116" s="190"/>
      <c r="AK116" s="236"/>
      <c r="AL116" s="190"/>
      <c r="AM116" s="236"/>
      <c r="AN116" s="41"/>
      <c r="AO116" s="41"/>
      <c r="AP116" s="5"/>
      <c r="AQ116" s="4"/>
      <c r="AR116" s="4"/>
      <c r="AS116" s="4"/>
      <c r="AT116" s="5"/>
      <c r="AU116" s="5"/>
      <c r="AV116" s="5"/>
      <c r="AW116" s="236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37"/>
      <c r="BM116" s="5"/>
      <c r="BN116" s="5"/>
      <c r="BO116" s="5"/>
      <c r="BP116" s="236"/>
      <c r="BQ116" s="58"/>
      <c r="BR116" s="59"/>
      <c r="BS116" s="61"/>
      <c r="BT116" s="58"/>
      <c r="BU116" s="60"/>
      <c r="BV116" s="60"/>
      <c r="BW116" s="60"/>
      <c r="BX116" s="60"/>
      <c r="BY116" s="60"/>
      <c r="BZ116" s="61"/>
      <c r="CA116" s="61"/>
      <c r="CB116" s="61"/>
      <c r="CC116" s="61"/>
      <c r="CD116" s="59"/>
      <c r="CE116" s="59"/>
      <c r="CF116" s="59"/>
      <c r="CG116" s="59"/>
      <c r="CH116" s="61"/>
      <c r="CI116" s="61"/>
      <c r="CJ116" s="59"/>
      <c r="CK116" s="59"/>
      <c r="CL116" s="59"/>
      <c r="CM116" s="60"/>
      <c r="CN116" s="59"/>
      <c r="CO116" s="59"/>
      <c r="CP116" s="59"/>
      <c r="CQ116" s="236"/>
      <c r="CR116" s="37"/>
      <c r="CS116" s="5"/>
      <c r="CT116" s="5"/>
      <c r="CU116" s="5"/>
      <c r="CV116" s="236"/>
      <c r="CW116" s="5"/>
      <c r="CX116" s="5"/>
      <c r="CY116" s="5"/>
      <c r="CZ116" s="5"/>
      <c r="DA116" s="5"/>
      <c r="DB116" s="5"/>
      <c r="DC116" s="236"/>
      <c r="DD116" s="104"/>
      <c r="DE116" s="103"/>
      <c r="DF116" s="103"/>
      <c r="DG116" s="103"/>
      <c r="DH116" s="103"/>
      <c r="DI116" s="5"/>
      <c r="DJ116" s="172"/>
      <c r="DK116" s="104"/>
      <c r="DL116" s="104"/>
      <c r="DM116" s="103"/>
      <c r="DN116" s="102"/>
      <c r="DO116" s="104"/>
      <c r="DP116" s="104"/>
      <c r="DQ116" s="103"/>
      <c r="DR116" s="102"/>
      <c r="DS116" s="104"/>
      <c r="DT116" s="104"/>
      <c r="DU116" s="103"/>
      <c r="DV116" s="102"/>
      <c r="DW116" s="104"/>
      <c r="DX116" s="104"/>
      <c r="DY116" s="103"/>
      <c r="DZ116" s="102"/>
      <c r="EA116" s="104"/>
      <c r="EB116" s="104"/>
      <c r="EC116" s="103"/>
      <c r="ED116" s="102"/>
      <c r="EE116" s="236"/>
      <c r="EF116" s="5"/>
    </row>
    <row r="117" spans="1:136" s="3" customFormat="1" x14ac:dyDescent="0.15">
      <c r="A117" s="86"/>
      <c r="B117" s="65"/>
      <c r="C117" s="86"/>
      <c r="E117" s="4"/>
      <c r="F117" s="65"/>
      <c r="G117" s="65"/>
      <c r="H117" s="86"/>
      <c r="I117" s="65"/>
      <c r="J117" s="236"/>
      <c r="K117" s="5"/>
      <c r="L117" s="65"/>
      <c r="M117" s="5"/>
      <c r="N117" s="5"/>
      <c r="O117" s="190"/>
      <c r="P117" s="236"/>
      <c r="Q117" s="5"/>
      <c r="R117" s="5"/>
      <c r="S117" s="4"/>
      <c r="T117" s="4"/>
      <c r="U117" s="5"/>
      <c r="V117" s="5"/>
      <c r="W117" s="5"/>
      <c r="X117" s="86"/>
      <c r="Y117" s="86"/>
      <c r="Z117" s="177"/>
      <c r="AA117" s="5"/>
      <c r="AB117" s="190"/>
      <c r="AC117" s="190"/>
      <c r="AD117" s="236"/>
      <c r="AE117" s="190"/>
      <c r="AF117" s="190"/>
      <c r="AG117" s="190"/>
      <c r="AH117" s="190"/>
      <c r="AI117" s="190"/>
      <c r="AJ117" s="190"/>
      <c r="AK117" s="236"/>
      <c r="AL117" s="190"/>
      <c r="AM117" s="236"/>
      <c r="AN117" s="41"/>
      <c r="AO117" s="41"/>
      <c r="AP117" s="5"/>
      <c r="AQ117" s="4"/>
      <c r="AR117" s="4"/>
      <c r="AS117" s="4"/>
      <c r="AT117" s="5"/>
      <c r="AU117" s="5"/>
      <c r="AV117" s="5"/>
      <c r="AW117" s="236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37"/>
      <c r="BM117" s="5"/>
      <c r="BN117" s="5"/>
      <c r="BO117" s="5"/>
      <c r="BP117" s="236"/>
      <c r="BQ117" s="58"/>
      <c r="BR117" s="59"/>
      <c r="BS117" s="61"/>
      <c r="BT117" s="58"/>
      <c r="BU117" s="60"/>
      <c r="BV117" s="60"/>
      <c r="BW117" s="60"/>
      <c r="BX117" s="60"/>
      <c r="BY117" s="60"/>
      <c r="BZ117" s="61"/>
      <c r="CA117" s="61"/>
      <c r="CB117" s="61"/>
      <c r="CC117" s="61"/>
      <c r="CD117" s="59"/>
      <c r="CE117" s="59"/>
      <c r="CF117" s="59"/>
      <c r="CG117" s="59"/>
      <c r="CH117" s="61"/>
      <c r="CI117" s="61"/>
      <c r="CJ117" s="59"/>
      <c r="CK117" s="59"/>
      <c r="CL117" s="59"/>
      <c r="CM117" s="60"/>
      <c r="CN117" s="59"/>
      <c r="CO117" s="59"/>
      <c r="CP117" s="59"/>
      <c r="CQ117" s="236"/>
      <c r="CR117" s="37"/>
      <c r="CS117" s="5"/>
      <c r="CT117" s="5"/>
      <c r="CU117" s="5"/>
      <c r="CV117" s="236"/>
      <c r="CW117" s="5"/>
      <c r="CX117" s="5"/>
      <c r="CY117" s="5"/>
      <c r="CZ117" s="5"/>
      <c r="DA117" s="5"/>
      <c r="DB117" s="5"/>
      <c r="DC117" s="236"/>
      <c r="DD117" s="104"/>
      <c r="DE117" s="103"/>
      <c r="DF117" s="103"/>
      <c r="DG117" s="103"/>
      <c r="DH117" s="103"/>
      <c r="DI117" s="5"/>
      <c r="DJ117" s="172"/>
      <c r="DK117" s="104"/>
      <c r="DL117" s="104"/>
      <c r="DM117" s="103"/>
      <c r="DN117" s="102"/>
      <c r="DO117" s="104"/>
      <c r="DP117" s="104"/>
      <c r="DQ117" s="103"/>
      <c r="DR117" s="102"/>
      <c r="DS117" s="104"/>
      <c r="DT117" s="104"/>
      <c r="DU117" s="103"/>
      <c r="DV117" s="102"/>
      <c r="DW117" s="104"/>
      <c r="DX117" s="104"/>
      <c r="DY117" s="103"/>
      <c r="DZ117" s="102"/>
      <c r="EA117" s="104"/>
      <c r="EB117" s="104"/>
      <c r="EC117" s="103"/>
      <c r="ED117" s="102"/>
      <c r="EE117" s="236"/>
      <c r="EF117" s="5"/>
    </row>
    <row r="118" spans="1:136" s="3" customFormat="1" x14ac:dyDescent="0.15">
      <c r="A118" s="86"/>
      <c r="B118" s="65"/>
      <c r="C118" s="86"/>
      <c r="E118" s="4"/>
      <c r="F118" s="65"/>
      <c r="G118" s="65"/>
      <c r="H118" s="86"/>
      <c r="I118" s="65"/>
      <c r="J118" s="236"/>
      <c r="K118" s="5"/>
      <c r="L118" s="65"/>
      <c r="M118" s="5"/>
      <c r="N118" s="5"/>
      <c r="O118" s="190"/>
      <c r="P118" s="236"/>
      <c r="Q118" s="5"/>
      <c r="R118" s="5"/>
      <c r="S118" s="4"/>
      <c r="T118" s="4"/>
      <c r="U118" s="5"/>
      <c r="V118" s="5"/>
      <c r="W118" s="5"/>
      <c r="X118" s="86"/>
      <c r="Y118" s="86"/>
      <c r="Z118" s="177"/>
      <c r="AA118" s="5"/>
      <c r="AB118" s="190"/>
      <c r="AC118" s="190"/>
      <c r="AD118" s="236"/>
      <c r="AE118" s="190"/>
      <c r="AF118" s="190"/>
      <c r="AG118" s="190"/>
      <c r="AH118" s="190"/>
      <c r="AI118" s="190"/>
      <c r="AJ118" s="190"/>
      <c r="AK118" s="236"/>
      <c r="AL118" s="190"/>
      <c r="AM118" s="236"/>
      <c r="AN118" s="41"/>
      <c r="AO118" s="41"/>
      <c r="AP118" s="5"/>
      <c r="AQ118" s="4"/>
      <c r="AR118" s="4"/>
      <c r="AS118" s="4"/>
      <c r="AT118" s="5"/>
      <c r="AU118" s="5"/>
      <c r="AV118" s="5"/>
      <c r="AW118" s="236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37"/>
      <c r="BM118" s="5"/>
      <c r="BN118" s="5"/>
      <c r="BO118" s="5"/>
      <c r="BP118" s="236"/>
      <c r="BQ118" s="58"/>
      <c r="BR118" s="59"/>
      <c r="BS118" s="61"/>
      <c r="BT118" s="58"/>
      <c r="BU118" s="60"/>
      <c r="BV118" s="60"/>
      <c r="BW118" s="60"/>
      <c r="BX118" s="60"/>
      <c r="BY118" s="60"/>
      <c r="BZ118" s="61"/>
      <c r="CA118" s="61"/>
      <c r="CB118" s="61"/>
      <c r="CC118" s="61"/>
      <c r="CD118" s="59"/>
      <c r="CE118" s="59"/>
      <c r="CF118" s="59"/>
      <c r="CG118" s="59"/>
      <c r="CH118" s="61"/>
      <c r="CI118" s="61"/>
      <c r="CJ118" s="59"/>
      <c r="CK118" s="59"/>
      <c r="CL118" s="59"/>
      <c r="CM118" s="60"/>
      <c r="CN118" s="59"/>
      <c r="CO118" s="59"/>
      <c r="CP118" s="59"/>
      <c r="CQ118" s="236"/>
      <c r="CR118" s="37"/>
      <c r="CS118" s="5"/>
      <c r="CT118" s="5"/>
      <c r="CU118" s="5"/>
      <c r="CV118" s="236"/>
      <c r="CW118" s="5"/>
      <c r="CX118" s="5"/>
      <c r="CY118" s="5"/>
      <c r="CZ118" s="5"/>
      <c r="DA118" s="5"/>
      <c r="DB118" s="5"/>
      <c r="DC118" s="236"/>
      <c r="DD118" s="104"/>
      <c r="DE118" s="103"/>
      <c r="DF118" s="103"/>
      <c r="DG118" s="103"/>
      <c r="DH118" s="103"/>
      <c r="DI118" s="5"/>
      <c r="DJ118" s="172"/>
      <c r="DK118" s="104"/>
      <c r="DL118" s="104"/>
      <c r="DM118" s="103"/>
      <c r="DN118" s="102"/>
      <c r="DO118" s="104"/>
      <c r="DP118" s="104"/>
      <c r="DQ118" s="103"/>
      <c r="DR118" s="102"/>
      <c r="DS118" s="104"/>
      <c r="DT118" s="104"/>
      <c r="DU118" s="103"/>
      <c r="DV118" s="102"/>
      <c r="DW118" s="104"/>
      <c r="DX118" s="104"/>
      <c r="DY118" s="103"/>
      <c r="DZ118" s="102"/>
      <c r="EA118" s="104"/>
      <c r="EB118" s="104"/>
      <c r="EC118" s="103"/>
      <c r="ED118" s="102"/>
      <c r="EE118" s="236"/>
      <c r="EF118" s="5"/>
    </row>
    <row r="119" spans="1:136" s="3" customFormat="1" x14ac:dyDescent="0.15">
      <c r="A119" s="86"/>
      <c r="B119" s="65"/>
      <c r="C119" s="86"/>
      <c r="E119" s="4"/>
      <c r="F119" s="65"/>
      <c r="G119" s="65"/>
      <c r="H119" s="86"/>
      <c r="I119" s="65"/>
      <c r="J119" s="236"/>
      <c r="K119" s="5"/>
      <c r="L119" s="65"/>
      <c r="M119" s="5"/>
      <c r="N119" s="5"/>
      <c r="O119" s="190"/>
      <c r="P119" s="236"/>
      <c r="Q119" s="5"/>
      <c r="R119" s="5"/>
      <c r="S119" s="4"/>
      <c r="T119" s="4"/>
      <c r="U119" s="5"/>
      <c r="V119" s="5"/>
      <c r="W119" s="5"/>
      <c r="X119" s="86"/>
      <c r="Y119" s="86"/>
      <c r="Z119" s="177"/>
      <c r="AA119" s="5"/>
      <c r="AB119" s="190"/>
      <c r="AC119" s="190"/>
      <c r="AD119" s="236"/>
      <c r="AE119" s="190"/>
      <c r="AF119" s="190"/>
      <c r="AG119" s="190"/>
      <c r="AH119" s="190"/>
      <c r="AI119" s="190"/>
      <c r="AJ119" s="190"/>
      <c r="AK119" s="236"/>
      <c r="AL119" s="190"/>
      <c r="AM119" s="236"/>
      <c r="AN119" s="41"/>
      <c r="AO119" s="41"/>
      <c r="AP119" s="5"/>
      <c r="AQ119" s="4"/>
      <c r="AR119" s="4"/>
      <c r="AS119" s="4"/>
      <c r="AT119" s="5"/>
      <c r="AU119" s="5"/>
      <c r="AV119" s="5"/>
      <c r="AW119" s="236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37"/>
      <c r="BM119" s="5"/>
      <c r="BN119" s="5"/>
      <c r="BO119" s="5"/>
      <c r="BP119" s="236"/>
      <c r="BQ119" s="58"/>
      <c r="BR119" s="59"/>
      <c r="BS119" s="61"/>
      <c r="BT119" s="58"/>
      <c r="BU119" s="60"/>
      <c r="BV119" s="60"/>
      <c r="BW119" s="60"/>
      <c r="BX119" s="60"/>
      <c r="BY119" s="60"/>
      <c r="BZ119" s="61"/>
      <c r="CA119" s="61"/>
      <c r="CB119" s="61"/>
      <c r="CC119" s="61"/>
      <c r="CD119" s="59"/>
      <c r="CE119" s="59"/>
      <c r="CF119" s="59"/>
      <c r="CG119" s="59"/>
      <c r="CH119" s="61"/>
      <c r="CI119" s="61"/>
      <c r="CJ119" s="59"/>
      <c r="CK119" s="59"/>
      <c r="CL119" s="59"/>
      <c r="CM119" s="60"/>
      <c r="CN119" s="59"/>
      <c r="CO119" s="59"/>
      <c r="CP119" s="59"/>
      <c r="CQ119" s="236"/>
      <c r="CR119" s="37"/>
      <c r="CS119" s="5"/>
      <c r="CT119" s="5"/>
      <c r="CU119" s="5"/>
      <c r="CV119" s="236"/>
      <c r="CW119" s="5"/>
      <c r="CX119" s="5"/>
      <c r="CY119" s="5"/>
      <c r="CZ119" s="5"/>
      <c r="DA119" s="5"/>
      <c r="DB119" s="5"/>
      <c r="DC119" s="236"/>
      <c r="DD119" s="104"/>
      <c r="DE119" s="103"/>
      <c r="DF119" s="103"/>
      <c r="DG119" s="103"/>
      <c r="DH119" s="103"/>
      <c r="DI119" s="5"/>
      <c r="DJ119" s="172"/>
      <c r="DK119" s="104"/>
      <c r="DL119" s="104"/>
      <c r="DM119" s="103"/>
      <c r="DN119" s="102"/>
      <c r="DO119" s="104"/>
      <c r="DP119" s="104"/>
      <c r="DQ119" s="103"/>
      <c r="DR119" s="102"/>
      <c r="DS119" s="104"/>
      <c r="DT119" s="104"/>
      <c r="DU119" s="103"/>
      <c r="DV119" s="102"/>
      <c r="DW119" s="104"/>
      <c r="DX119" s="104"/>
      <c r="DY119" s="103"/>
      <c r="DZ119" s="102"/>
      <c r="EA119" s="104"/>
      <c r="EB119" s="104"/>
      <c r="EC119" s="103"/>
      <c r="ED119" s="102"/>
      <c r="EE119" s="236"/>
      <c r="EF119" s="5"/>
    </row>
    <row r="120" spans="1:136" s="3" customFormat="1" x14ac:dyDescent="0.15">
      <c r="A120" s="86"/>
      <c r="B120" s="65"/>
      <c r="C120" s="86"/>
      <c r="E120" s="4"/>
      <c r="F120" s="65"/>
      <c r="G120" s="65"/>
      <c r="H120" s="86"/>
      <c r="I120" s="65"/>
      <c r="J120" s="236"/>
      <c r="K120" s="5"/>
      <c r="L120" s="65"/>
      <c r="M120" s="5"/>
      <c r="N120" s="5"/>
      <c r="O120" s="190"/>
      <c r="P120" s="236"/>
      <c r="Q120" s="5"/>
      <c r="R120" s="5"/>
      <c r="S120" s="4"/>
      <c r="T120" s="4"/>
      <c r="U120" s="5"/>
      <c r="V120" s="5"/>
      <c r="W120" s="5"/>
      <c r="X120" s="86"/>
      <c r="Y120" s="86"/>
      <c r="Z120" s="177"/>
      <c r="AA120" s="5"/>
      <c r="AB120" s="190"/>
      <c r="AC120" s="190"/>
      <c r="AD120" s="236"/>
      <c r="AE120" s="190"/>
      <c r="AF120" s="190"/>
      <c r="AG120" s="190"/>
      <c r="AH120" s="190"/>
      <c r="AI120" s="190"/>
      <c r="AJ120" s="190"/>
      <c r="AK120" s="236"/>
      <c r="AL120" s="190"/>
      <c r="AM120" s="236"/>
      <c r="AN120" s="41"/>
      <c r="AO120" s="41"/>
      <c r="AP120" s="5"/>
      <c r="AQ120" s="4"/>
      <c r="AR120" s="4"/>
      <c r="AS120" s="4"/>
      <c r="AT120" s="5"/>
      <c r="AU120" s="5"/>
      <c r="AV120" s="5"/>
      <c r="AW120" s="236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37"/>
      <c r="BM120" s="5"/>
      <c r="BN120" s="5"/>
      <c r="BO120" s="5"/>
      <c r="BP120" s="236"/>
      <c r="BQ120" s="58"/>
      <c r="BR120" s="59"/>
      <c r="BS120" s="61"/>
      <c r="BT120" s="58"/>
      <c r="BU120" s="60"/>
      <c r="BV120" s="60"/>
      <c r="BW120" s="60"/>
      <c r="BX120" s="60"/>
      <c r="BY120" s="60"/>
      <c r="BZ120" s="61"/>
      <c r="CA120" s="61"/>
      <c r="CB120" s="61"/>
      <c r="CC120" s="61"/>
      <c r="CD120" s="59"/>
      <c r="CE120" s="59"/>
      <c r="CF120" s="59"/>
      <c r="CG120" s="59"/>
      <c r="CH120" s="61"/>
      <c r="CI120" s="61"/>
      <c r="CJ120" s="59"/>
      <c r="CK120" s="59"/>
      <c r="CL120" s="59"/>
      <c r="CM120" s="60"/>
      <c r="CN120" s="59"/>
      <c r="CO120" s="59"/>
      <c r="CP120" s="59"/>
      <c r="CQ120" s="236"/>
      <c r="CR120" s="37"/>
      <c r="CS120" s="5"/>
      <c r="CT120" s="5"/>
      <c r="CU120" s="5"/>
      <c r="CV120" s="236"/>
      <c r="CW120" s="5"/>
      <c r="CX120" s="5"/>
      <c r="CY120" s="5"/>
      <c r="CZ120" s="5"/>
      <c r="DA120" s="5"/>
      <c r="DB120" s="5"/>
      <c r="DC120" s="236"/>
      <c r="DD120" s="104"/>
      <c r="DE120" s="103"/>
      <c r="DF120" s="103"/>
      <c r="DG120" s="103"/>
      <c r="DH120" s="103"/>
      <c r="DI120" s="5"/>
      <c r="DJ120" s="172"/>
      <c r="DK120" s="104"/>
      <c r="DL120" s="104"/>
      <c r="DM120" s="103"/>
      <c r="DN120" s="102"/>
      <c r="DO120" s="104"/>
      <c r="DP120" s="104"/>
      <c r="DQ120" s="103"/>
      <c r="DR120" s="102"/>
      <c r="DS120" s="104"/>
      <c r="DT120" s="104"/>
      <c r="DU120" s="103"/>
      <c r="DV120" s="102"/>
      <c r="DW120" s="104"/>
      <c r="DX120" s="104"/>
      <c r="DY120" s="103"/>
      <c r="DZ120" s="102"/>
      <c r="EA120" s="104"/>
      <c r="EB120" s="104"/>
      <c r="EC120" s="103"/>
      <c r="ED120" s="102"/>
      <c r="EE120" s="236"/>
      <c r="EF120" s="5"/>
    </row>
    <row r="121" spans="1:136" s="3" customFormat="1" x14ac:dyDescent="0.15">
      <c r="A121" s="86"/>
      <c r="B121" s="65"/>
      <c r="C121" s="86"/>
      <c r="E121" s="4"/>
      <c r="F121" s="65"/>
      <c r="G121" s="65"/>
      <c r="H121" s="86"/>
      <c r="I121" s="65"/>
      <c r="J121" s="236"/>
      <c r="K121" s="5"/>
      <c r="L121" s="65"/>
      <c r="M121" s="5"/>
      <c r="N121" s="5"/>
      <c r="O121" s="190"/>
      <c r="P121" s="236"/>
      <c r="Q121" s="5"/>
      <c r="R121" s="5"/>
      <c r="S121" s="4"/>
      <c r="T121" s="4"/>
      <c r="U121" s="5"/>
      <c r="V121" s="5"/>
      <c r="W121" s="5"/>
      <c r="X121" s="86"/>
      <c r="Y121" s="86"/>
      <c r="Z121" s="177"/>
      <c r="AA121" s="5"/>
      <c r="AB121" s="190"/>
      <c r="AC121" s="190"/>
      <c r="AD121" s="236"/>
      <c r="AE121" s="190"/>
      <c r="AF121" s="190"/>
      <c r="AG121" s="190"/>
      <c r="AH121" s="190"/>
      <c r="AI121" s="190"/>
      <c r="AJ121" s="190"/>
      <c r="AK121" s="236"/>
      <c r="AL121" s="190"/>
      <c r="AM121" s="236"/>
      <c r="AN121" s="41"/>
      <c r="AO121" s="41"/>
      <c r="AP121" s="5"/>
      <c r="AQ121" s="4"/>
      <c r="AR121" s="4"/>
      <c r="AS121" s="4"/>
      <c r="AT121" s="5"/>
      <c r="AU121" s="5"/>
      <c r="AV121" s="5"/>
      <c r="AW121" s="236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37"/>
      <c r="BM121" s="5"/>
      <c r="BN121" s="5"/>
      <c r="BO121" s="5"/>
      <c r="BP121" s="236"/>
      <c r="BQ121" s="58"/>
      <c r="BR121" s="59"/>
      <c r="BS121" s="61"/>
      <c r="BT121" s="58"/>
      <c r="BU121" s="60"/>
      <c r="BV121" s="60"/>
      <c r="BW121" s="60"/>
      <c r="BX121" s="60"/>
      <c r="BY121" s="60"/>
      <c r="BZ121" s="61"/>
      <c r="CA121" s="61"/>
      <c r="CB121" s="61"/>
      <c r="CC121" s="61"/>
      <c r="CD121" s="59"/>
      <c r="CE121" s="59"/>
      <c r="CF121" s="59"/>
      <c r="CG121" s="59"/>
      <c r="CH121" s="61"/>
      <c r="CI121" s="61"/>
      <c r="CJ121" s="59"/>
      <c r="CK121" s="59"/>
      <c r="CL121" s="59"/>
      <c r="CM121" s="60"/>
      <c r="CN121" s="59"/>
      <c r="CO121" s="59"/>
      <c r="CP121" s="59"/>
      <c r="CQ121" s="236"/>
      <c r="CR121" s="37"/>
      <c r="CS121" s="5"/>
      <c r="CT121" s="5"/>
      <c r="CU121" s="5"/>
      <c r="CV121" s="236"/>
      <c r="CW121" s="5"/>
      <c r="CX121" s="5"/>
      <c r="CY121" s="5"/>
      <c r="CZ121" s="5"/>
      <c r="DA121" s="5"/>
      <c r="DB121" s="5"/>
      <c r="DC121" s="236"/>
      <c r="DD121" s="104"/>
      <c r="DE121" s="103"/>
      <c r="DF121" s="103"/>
      <c r="DG121" s="103"/>
      <c r="DH121" s="103"/>
      <c r="DI121" s="5"/>
      <c r="DJ121" s="172"/>
      <c r="DK121" s="104"/>
      <c r="DL121" s="104"/>
      <c r="DM121" s="103"/>
      <c r="DN121" s="102"/>
      <c r="DO121" s="104"/>
      <c r="DP121" s="104"/>
      <c r="DQ121" s="103"/>
      <c r="DR121" s="102"/>
      <c r="DS121" s="104"/>
      <c r="DT121" s="104"/>
      <c r="DU121" s="103"/>
      <c r="DV121" s="102"/>
      <c r="DW121" s="104"/>
      <c r="DX121" s="104"/>
      <c r="DY121" s="103"/>
      <c r="DZ121" s="102"/>
      <c r="EA121" s="104"/>
      <c r="EB121" s="104"/>
      <c r="EC121" s="103"/>
      <c r="ED121" s="102"/>
      <c r="EE121" s="236"/>
      <c r="EF121" s="5"/>
    </row>
    <row r="122" spans="1:136" s="3" customFormat="1" x14ac:dyDescent="0.15">
      <c r="A122" s="86"/>
      <c r="B122" s="65"/>
      <c r="C122" s="86"/>
      <c r="E122" s="4"/>
      <c r="F122" s="65"/>
      <c r="G122" s="65"/>
      <c r="H122" s="86"/>
      <c r="I122" s="65"/>
      <c r="J122" s="236"/>
      <c r="K122" s="5"/>
      <c r="L122" s="65"/>
      <c r="M122" s="5"/>
      <c r="N122" s="5"/>
      <c r="O122" s="190"/>
      <c r="P122" s="236"/>
      <c r="Q122" s="5"/>
      <c r="R122" s="5"/>
      <c r="S122" s="4"/>
      <c r="T122" s="4"/>
      <c r="U122" s="5"/>
      <c r="V122" s="5"/>
      <c r="W122" s="5"/>
      <c r="X122" s="86"/>
      <c r="Y122" s="86"/>
      <c r="Z122" s="177"/>
      <c r="AA122" s="5"/>
      <c r="AB122" s="190"/>
      <c r="AC122" s="190"/>
      <c r="AD122" s="236"/>
      <c r="AE122" s="190"/>
      <c r="AF122" s="190"/>
      <c r="AG122" s="190"/>
      <c r="AH122" s="190"/>
      <c r="AI122" s="190"/>
      <c r="AJ122" s="190"/>
      <c r="AK122" s="236"/>
      <c r="AL122" s="190"/>
      <c r="AM122" s="236"/>
      <c r="AN122" s="41"/>
      <c r="AO122" s="41"/>
      <c r="AP122" s="5"/>
      <c r="AQ122" s="4"/>
      <c r="AR122" s="4"/>
      <c r="AS122" s="4"/>
      <c r="AT122" s="5"/>
      <c r="AU122" s="5"/>
      <c r="AV122" s="5"/>
      <c r="AW122" s="236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37"/>
      <c r="BM122" s="5"/>
      <c r="BN122" s="5"/>
      <c r="BO122" s="5"/>
      <c r="BP122" s="236"/>
      <c r="BQ122" s="58"/>
      <c r="BR122" s="59"/>
      <c r="BS122" s="61"/>
      <c r="BT122" s="58"/>
      <c r="BU122" s="60"/>
      <c r="BV122" s="60"/>
      <c r="BW122" s="60"/>
      <c r="BX122" s="60"/>
      <c r="BY122" s="60"/>
      <c r="BZ122" s="61"/>
      <c r="CA122" s="61"/>
      <c r="CB122" s="61"/>
      <c r="CC122" s="61"/>
      <c r="CD122" s="59"/>
      <c r="CE122" s="59"/>
      <c r="CF122" s="59"/>
      <c r="CG122" s="59"/>
      <c r="CH122" s="61"/>
      <c r="CI122" s="61"/>
      <c r="CJ122" s="59"/>
      <c r="CK122" s="59"/>
      <c r="CL122" s="59"/>
      <c r="CM122" s="60"/>
      <c r="CN122" s="59"/>
      <c r="CO122" s="59"/>
      <c r="CP122" s="59"/>
      <c r="CQ122" s="236"/>
      <c r="CR122" s="37"/>
      <c r="CS122" s="5"/>
      <c r="CT122" s="5"/>
      <c r="CU122" s="5"/>
      <c r="CV122" s="236"/>
      <c r="CW122" s="5"/>
      <c r="CX122" s="5"/>
      <c r="CY122" s="5"/>
      <c r="CZ122" s="5"/>
      <c r="DA122" s="5"/>
      <c r="DB122" s="5"/>
      <c r="DC122" s="236"/>
      <c r="DD122" s="104"/>
      <c r="DE122" s="103"/>
      <c r="DF122" s="103"/>
      <c r="DG122" s="103"/>
      <c r="DH122" s="103"/>
      <c r="DI122" s="5"/>
      <c r="DJ122" s="172"/>
      <c r="DK122" s="104"/>
      <c r="DL122" s="104"/>
      <c r="DM122" s="103"/>
      <c r="DN122" s="102"/>
      <c r="DO122" s="104"/>
      <c r="DP122" s="104"/>
      <c r="DQ122" s="103"/>
      <c r="DR122" s="102"/>
      <c r="DS122" s="104"/>
      <c r="DT122" s="104"/>
      <c r="DU122" s="103"/>
      <c r="DV122" s="102"/>
      <c r="DW122" s="104"/>
      <c r="DX122" s="104"/>
      <c r="DY122" s="103"/>
      <c r="DZ122" s="102"/>
      <c r="EA122" s="104"/>
      <c r="EB122" s="104"/>
      <c r="EC122" s="103"/>
      <c r="ED122" s="102"/>
      <c r="EE122" s="236"/>
      <c r="EF122" s="5"/>
    </row>
    <row r="123" spans="1:136" s="3" customFormat="1" x14ac:dyDescent="0.15">
      <c r="A123" s="86"/>
      <c r="B123" s="65"/>
      <c r="C123" s="86"/>
      <c r="E123" s="4"/>
      <c r="F123" s="65"/>
      <c r="G123" s="65"/>
      <c r="H123" s="86"/>
      <c r="I123" s="65"/>
      <c r="J123" s="236"/>
      <c r="K123" s="5"/>
      <c r="L123" s="65"/>
      <c r="M123" s="5"/>
      <c r="N123" s="5"/>
      <c r="O123" s="190"/>
      <c r="P123" s="236"/>
      <c r="Q123" s="5"/>
      <c r="R123" s="5"/>
      <c r="S123" s="4"/>
      <c r="T123" s="4"/>
      <c r="U123" s="5"/>
      <c r="V123" s="5"/>
      <c r="W123" s="5"/>
      <c r="X123" s="86"/>
      <c r="Y123" s="86"/>
      <c r="Z123" s="177"/>
      <c r="AA123" s="5"/>
      <c r="AB123" s="190"/>
      <c r="AC123" s="190"/>
      <c r="AD123" s="236"/>
      <c r="AE123" s="190"/>
      <c r="AF123" s="190"/>
      <c r="AG123" s="190"/>
      <c r="AH123" s="190"/>
      <c r="AI123" s="190"/>
      <c r="AJ123" s="190"/>
      <c r="AK123" s="236"/>
      <c r="AL123" s="190"/>
      <c r="AM123" s="236"/>
      <c r="AN123" s="41"/>
      <c r="AO123" s="41"/>
      <c r="AP123" s="5"/>
      <c r="AQ123" s="4"/>
      <c r="AR123" s="4"/>
      <c r="AS123" s="4"/>
      <c r="AT123" s="5"/>
      <c r="AU123" s="5"/>
      <c r="AV123" s="5"/>
      <c r="AW123" s="236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37"/>
      <c r="BM123" s="5"/>
      <c r="BN123" s="5"/>
      <c r="BO123" s="5"/>
      <c r="BP123" s="236"/>
      <c r="BQ123" s="58"/>
      <c r="BR123" s="59"/>
      <c r="BS123" s="61"/>
      <c r="BT123" s="58"/>
      <c r="BU123" s="60"/>
      <c r="BV123" s="60"/>
      <c r="BW123" s="60"/>
      <c r="BX123" s="60"/>
      <c r="BY123" s="60"/>
      <c r="BZ123" s="61"/>
      <c r="CA123" s="61"/>
      <c r="CB123" s="61"/>
      <c r="CC123" s="61"/>
      <c r="CD123" s="59"/>
      <c r="CE123" s="59"/>
      <c r="CF123" s="59"/>
      <c r="CG123" s="59"/>
      <c r="CH123" s="61"/>
      <c r="CI123" s="61"/>
      <c r="CJ123" s="59"/>
      <c r="CK123" s="59"/>
      <c r="CL123" s="59"/>
      <c r="CM123" s="60"/>
      <c r="CN123" s="59"/>
      <c r="CO123" s="59"/>
      <c r="CP123" s="59"/>
      <c r="CQ123" s="236"/>
      <c r="CR123" s="37"/>
      <c r="CS123" s="5"/>
      <c r="CT123" s="5"/>
      <c r="CU123" s="5"/>
      <c r="CV123" s="236"/>
      <c r="CW123" s="5"/>
      <c r="CX123" s="5"/>
      <c r="CY123" s="5"/>
      <c r="CZ123" s="5"/>
      <c r="DA123" s="5"/>
      <c r="DB123" s="5"/>
      <c r="DC123" s="236"/>
      <c r="DD123" s="104"/>
      <c r="DE123" s="103"/>
      <c r="DF123" s="103"/>
      <c r="DG123" s="103"/>
      <c r="DH123" s="103"/>
      <c r="DI123" s="5"/>
      <c r="DJ123" s="172"/>
      <c r="DK123" s="104"/>
      <c r="DL123" s="104"/>
      <c r="DM123" s="103"/>
      <c r="DN123" s="102"/>
      <c r="DO123" s="104"/>
      <c r="DP123" s="104"/>
      <c r="DQ123" s="103"/>
      <c r="DR123" s="102"/>
      <c r="DS123" s="104"/>
      <c r="DT123" s="104"/>
      <c r="DU123" s="103"/>
      <c r="DV123" s="102"/>
      <c r="DW123" s="104"/>
      <c r="DX123" s="104"/>
      <c r="DY123" s="103"/>
      <c r="DZ123" s="102"/>
      <c r="EA123" s="104"/>
      <c r="EB123" s="104"/>
      <c r="EC123" s="103"/>
      <c r="ED123" s="102"/>
      <c r="EE123" s="236"/>
      <c r="EF123" s="5"/>
    </row>
    <row r="124" spans="1:136" s="3" customFormat="1" x14ac:dyDescent="0.15">
      <c r="A124" s="86"/>
      <c r="B124" s="65"/>
      <c r="C124" s="86"/>
      <c r="E124" s="4"/>
      <c r="F124" s="65"/>
      <c r="G124" s="65"/>
      <c r="H124" s="86"/>
      <c r="I124" s="65"/>
      <c r="J124" s="236"/>
      <c r="K124" s="5"/>
      <c r="L124" s="65"/>
      <c r="M124" s="5"/>
      <c r="N124" s="5"/>
      <c r="O124" s="190"/>
      <c r="P124" s="236"/>
      <c r="Q124" s="5"/>
      <c r="R124" s="5"/>
      <c r="S124" s="4"/>
      <c r="T124" s="4"/>
      <c r="U124" s="5"/>
      <c r="V124" s="5"/>
      <c r="W124" s="5"/>
      <c r="X124" s="86"/>
      <c r="Y124" s="86"/>
      <c r="Z124" s="177"/>
      <c r="AA124" s="5"/>
      <c r="AB124" s="190"/>
      <c r="AC124" s="190"/>
      <c r="AD124" s="236"/>
      <c r="AE124" s="190"/>
      <c r="AF124" s="190"/>
      <c r="AG124" s="190"/>
      <c r="AH124" s="190"/>
      <c r="AI124" s="190"/>
      <c r="AJ124" s="190"/>
      <c r="AK124" s="236"/>
      <c r="AL124" s="190"/>
      <c r="AM124" s="236"/>
      <c r="AN124" s="41"/>
      <c r="AO124" s="41"/>
      <c r="AP124" s="5"/>
      <c r="AQ124" s="4"/>
      <c r="AR124" s="4"/>
      <c r="AS124" s="4"/>
      <c r="AT124" s="5"/>
      <c r="AU124" s="5"/>
      <c r="AV124" s="5"/>
      <c r="AW124" s="236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37"/>
      <c r="BM124" s="5"/>
      <c r="BN124" s="5"/>
      <c r="BO124" s="5"/>
      <c r="BP124" s="236"/>
      <c r="BQ124" s="58"/>
      <c r="BR124" s="59"/>
      <c r="BS124" s="61"/>
      <c r="BT124" s="58"/>
      <c r="BU124" s="60"/>
      <c r="BV124" s="60"/>
      <c r="BW124" s="60"/>
      <c r="BX124" s="60"/>
      <c r="BY124" s="60"/>
      <c r="BZ124" s="61"/>
      <c r="CA124" s="61"/>
      <c r="CB124" s="61"/>
      <c r="CC124" s="61"/>
      <c r="CD124" s="59"/>
      <c r="CE124" s="59"/>
      <c r="CF124" s="59"/>
      <c r="CG124" s="59"/>
      <c r="CH124" s="61"/>
      <c r="CI124" s="61"/>
      <c r="CJ124" s="59"/>
      <c r="CK124" s="59"/>
      <c r="CL124" s="59"/>
      <c r="CM124" s="60"/>
      <c r="CN124" s="59"/>
      <c r="CO124" s="59"/>
      <c r="CP124" s="59"/>
      <c r="CQ124" s="236"/>
      <c r="CR124" s="37"/>
      <c r="CS124" s="5"/>
      <c r="CT124" s="5"/>
      <c r="CU124" s="5"/>
      <c r="CV124" s="236"/>
      <c r="CW124" s="5"/>
      <c r="CX124" s="5"/>
      <c r="CY124" s="5"/>
      <c r="CZ124" s="5"/>
      <c r="DA124" s="5"/>
      <c r="DB124" s="5"/>
      <c r="DC124" s="236"/>
      <c r="DD124" s="104"/>
      <c r="DE124" s="103"/>
      <c r="DF124" s="103"/>
      <c r="DG124" s="103"/>
      <c r="DH124" s="103"/>
      <c r="DI124" s="5"/>
      <c r="DJ124" s="172"/>
      <c r="DK124" s="104"/>
      <c r="DL124" s="104"/>
      <c r="DM124" s="103"/>
      <c r="DN124" s="102"/>
      <c r="DO124" s="104"/>
      <c r="DP124" s="104"/>
      <c r="DQ124" s="103"/>
      <c r="DR124" s="102"/>
      <c r="DS124" s="104"/>
      <c r="DT124" s="104"/>
      <c r="DU124" s="103"/>
      <c r="DV124" s="102"/>
      <c r="DW124" s="104"/>
      <c r="DX124" s="104"/>
      <c r="DY124" s="103"/>
      <c r="DZ124" s="102"/>
      <c r="EA124" s="104"/>
      <c r="EB124" s="104"/>
      <c r="EC124" s="103"/>
      <c r="ED124" s="102"/>
      <c r="EE124" s="236"/>
      <c r="EF124" s="5"/>
    </row>
    <row r="125" spans="1:136" s="3" customFormat="1" x14ac:dyDescent="0.15">
      <c r="A125" s="86"/>
      <c r="B125" s="65"/>
      <c r="C125" s="86"/>
      <c r="E125" s="4"/>
      <c r="F125" s="65"/>
      <c r="G125" s="65"/>
      <c r="H125" s="86"/>
      <c r="I125" s="65"/>
      <c r="J125" s="236"/>
      <c r="K125" s="5"/>
      <c r="L125" s="65"/>
      <c r="M125" s="5"/>
      <c r="N125" s="5"/>
      <c r="O125" s="190"/>
      <c r="P125" s="236"/>
      <c r="Q125" s="5"/>
      <c r="R125" s="5"/>
      <c r="S125" s="4"/>
      <c r="T125" s="4"/>
      <c r="U125" s="5"/>
      <c r="V125" s="5"/>
      <c r="W125" s="5"/>
      <c r="X125" s="86"/>
      <c r="Y125" s="86"/>
      <c r="Z125" s="177"/>
      <c r="AA125" s="5"/>
      <c r="AB125" s="190"/>
      <c r="AC125" s="190"/>
      <c r="AD125" s="236"/>
      <c r="AE125" s="190"/>
      <c r="AF125" s="190"/>
      <c r="AG125" s="190"/>
      <c r="AH125" s="190"/>
      <c r="AI125" s="190"/>
      <c r="AJ125" s="190"/>
      <c r="AK125" s="236"/>
      <c r="AL125" s="190"/>
      <c r="AM125" s="236"/>
      <c r="AN125" s="41"/>
      <c r="AO125" s="41"/>
      <c r="AP125" s="5"/>
      <c r="AQ125" s="4"/>
      <c r="AR125" s="4"/>
      <c r="AS125" s="4"/>
      <c r="AT125" s="5"/>
      <c r="AU125" s="5"/>
      <c r="AV125" s="5"/>
      <c r="AW125" s="236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37"/>
      <c r="BM125" s="5"/>
      <c r="BN125" s="5"/>
      <c r="BO125" s="5"/>
      <c r="BP125" s="236"/>
      <c r="BQ125" s="58"/>
      <c r="BR125" s="59"/>
      <c r="BS125" s="61"/>
      <c r="BT125" s="58"/>
      <c r="BU125" s="60"/>
      <c r="BV125" s="60"/>
      <c r="BW125" s="60"/>
      <c r="BX125" s="60"/>
      <c r="BY125" s="60"/>
      <c r="BZ125" s="61"/>
      <c r="CA125" s="61"/>
      <c r="CB125" s="61"/>
      <c r="CC125" s="61"/>
      <c r="CD125" s="59"/>
      <c r="CE125" s="59"/>
      <c r="CF125" s="59"/>
      <c r="CG125" s="59"/>
      <c r="CH125" s="61"/>
      <c r="CI125" s="61"/>
      <c r="CJ125" s="59"/>
      <c r="CK125" s="59"/>
      <c r="CL125" s="59"/>
      <c r="CM125" s="60"/>
      <c r="CN125" s="59"/>
      <c r="CO125" s="59"/>
      <c r="CP125" s="59"/>
      <c r="CQ125" s="236"/>
      <c r="CR125" s="37"/>
      <c r="CS125" s="5"/>
      <c r="CT125" s="5"/>
      <c r="CU125" s="5"/>
      <c r="CV125" s="236"/>
      <c r="CW125" s="5"/>
      <c r="CX125" s="5"/>
      <c r="CY125" s="5"/>
      <c r="CZ125" s="5"/>
      <c r="DA125" s="5"/>
      <c r="DB125" s="5"/>
      <c r="DC125" s="236"/>
      <c r="DD125" s="104"/>
      <c r="DE125" s="103"/>
      <c r="DF125" s="103"/>
      <c r="DG125" s="103"/>
      <c r="DH125" s="103"/>
      <c r="DI125" s="5"/>
      <c r="DJ125" s="172"/>
      <c r="DK125" s="104"/>
      <c r="DL125" s="104"/>
      <c r="DM125" s="103"/>
      <c r="DN125" s="102"/>
      <c r="DO125" s="104"/>
      <c r="DP125" s="104"/>
      <c r="DQ125" s="103"/>
      <c r="DR125" s="102"/>
      <c r="DS125" s="104"/>
      <c r="DT125" s="104"/>
      <c r="DU125" s="103"/>
      <c r="DV125" s="102"/>
      <c r="DW125" s="104"/>
      <c r="DX125" s="104"/>
      <c r="DY125" s="103"/>
      <c r="DZ125" s="102"/>
      <c r="EA125" s="104"/>
      <c r="EB125" s="104"/>
      <c r="EC125" s="103"/>
      <c r="ED125" s="102"/>
      <c r="EE125" s="236"/>
      <c r="EF125" s="5"/>
    </row>
    <row r="126" spans="1:136" s="3" customFormat="1" x14ac:dyDescent="0.15">
      <c r="A126" s="86"/>
      <c r="B126" s="65"/>
      <c r="C126" s="86"/>
      <c r="E126" s="4"/>
      <c r="F126" s="65"/>
      <c r="G126" s="65"/>
      <c r="H126" s="86"/>
      <c r="I126" s="65"/>
      <c r="J126" s="236"/>
      <c r="K126" s="5"/>
      <c r="L126" s="65"/>
      <c r="M126" s="5"/>
      <c r="N126" s="5"/>
      <c r="O126" s="190"/>
      <c r="P126" s="236"/>
      <c r="Q126" s="5"/>
      <c r="R126" s="5"/>
      <c r="S126" s="4"/>
      <c r="T126" s="4"/>
      <c r="U126" s="5"/>
      <c r="V126" s="5"/>
      <c r="W126" s="5"/>
      <c r="X126" s="86"/>
      <c r="Y126" s="86"/>
      <c r="Z126" s="177"/>
      <c r="AA126" s="5"/>
      <c r="AB126" s="190"/>
      <c r="AC126" s="190"/>
      <c r="AD126" s="236"/>
      <c r="AE126" s="190"/>
      <c r="AF126" s="190"/>
      <c r="AG126" s="190"/>
      <c r="AH126" s="190"/>
      <c r="AI126" s="190"/>
      <c r="AJ126" s="190"/>
      <c r="AK126" s="236"/>
      <c r="AL126" s="190"/>
      <c r="AM126" s="236"/>
      <c r="AN126" s="41"/>
      <c r="AO126" s="41"/>
      <c r="AP126" s="5"/>
      <c r="AQ126" s="4"/>
      <c r="AR126" s="4"/>
      <c r="AS126" s="4"/>
      <c r="AT126" s="5"/>
      <c r="AU126" s="5"/>
      <c r="AV126" s="5"/>
      <c r="AW126" s="236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37"/>
      <c r="BM126" s="5"/>
      <c r="BN126" s="5"/>
      <c r="BO126" s="5"/>
      <c r="BP126" s="236"/>
      <c r="BQ126" s="58"/>
      <c r="BR126" s="59"/>
      <c r="BS126" s="61"/>
      <c r="BT126" s="58"/>
      <c r="BU126" s="60"/>
      <c r="BV126" s="60"/>
      <c r="BW126" s="60"/>
      <c r="BX126" s="60"/>
      <c r="BY126" s="60"/>
      <c r="BZ126" s="61"/>
      <c r="CA126" s="61"/>
      <c r="CB126" s="61"/>
      <c r="CC126" s="61"/>
      <c r="CD126" s="59"/>
      <c r="CE126" s="59"/>
      <c r="CF126" s="59"/>
      <c r="CG126" s="59"/>
      <c r="CH126" s="61"/>
      <c r="CI126" s="61"/>
      <c r="CJ126" s="59"/>
      <c r="CK126" s="59"/>
      <c r="CL126" s="59"/>
      <c r="CM126" s="60"/>
      <c r="CN126" s="59"/>
      <c r="CO126" s="59"/>
      <c r="CP126" s="59"/>
      <c r="CQ126" s="236"/>
      <c r="CR126" s="37"/>
      <c r="CS126" s="5"/>
      <c r="CT126" s="5"/>
      <c r="CU126" s="5"/>
      <c r="CV126" s="236"/>
      <c r="CW126" s="5"/>
      <c r="CX126" s="5"/>
      <c r="CY126" s="5"/>
      <c r="CZ126" s="5"/>
      <c r="DA126" s="5"/>
      <c r="DB126" s="5"/>
      <c r="DC126" s="236"/>
      <c r="DD126" s="104"/>
      <c r="DE126" s="103"/>
      <c r="DF126" s="103"/>
      <c r="DG126" s="103"/>
      <c r="DH126" s="103"/>
      <c r="DI126" s="5"/>
      <c r="DJ126" s="172"/>
      <c r="DK126" s="104"/>
      <c r="DL126" s="104"/>
      <c r="DM126" s="103"/>
      <c r="DN126" s="102"/>
      <c r="DO126" s="104"/>
      <c r="DP126" s="104"/>
      <c r="DQ126" s="103"/>
      <c r="DR126" s="102"/>
      <c r="DS126" s="104"/>
      <c r="DT126" s="104"/>
      <c r="DU126" s="103"/>
      <c r="DV126" s="102"/>
      <c r="DW126" s="104"/>
      <c r="DX126" s="104"/>
      <c r="DY126" s="103"/>
      <c r="DZ126" s="102"/>
      <c r="EA126" s="104"/>
      <c r="EB126" s="104"/>
      <c r="EC126" s="103"/>
      <c r="ED126" s="102"/>
      <c r="EE126" s="236"/>
      <c r="EF126" s="5"/>
    </row>
    <row r="127" spans="1:136" s="3" customFormat="1" x14ac:dyDescent="0.15">
      <c r="A127" s="86"/>
      <c r="B127" s="65"/>
      <c r="C127" s="86"/>
      <c r="E127" s="4"/>
      <c r="F127" s="65"/>
      <c r="G127" s="65"/>
      <c r="H127" s="86"/>
      <c r="I127" s="65"/>
      <c r="J127" s="236"/>
      <c r="K127" s="5"/>
      <c r="L127" s="65"/>
      <c r="M127" s="5"/>
      <c r="N127" s="5"/>
      <c r="O127" s="190"/>
      <c r="P127" s="236"/>
      <c r="Q127" s="5"/>
      <c r="R127" s="5"/>
      <c r="S127" s="4"/>
      <c r="T127" s="4"/>
      <c r="U127" s="5"/>
      <c r="V127" s="5"/>
      <c r="W127" s="5"/>
      <c r="X127" s="86"/>
      <c r="Y127" s="86"/>
      <c r="Z127" s="177"/>
      <c r="AA127" s="5"/>
      <c r="AB127" s="190"/>
      <c r="AC127" s="190"/>
      <c r="AD127" s="236"/>
      <c r="AE127" s="190"/>
      <c r="AF127" s="190"/>
      <c r="AG127" s="190"/>
      <c r="AH127" s="190"/>
      <c r="AI127" s="190"/>
      <c r="AJ127" s="190"/>
      <c r="AK127" s="236"/>
      <c r="AL127" s="190"/>
      <c r="AM127" s="236"/>
      <c r="AN127" s="41"/>
      <c r="AO127" s="41"/>
      <c r="AP127" s="5"/>
      <c r="AQ127" s="4"/>
      <c r="AR127" s="4"/>
      <c r="AS127" s="4"/>
      <c r="AT127" s="5"/>
      <c r="AU127" s="5"/>
      <c r="AV127" s="5"/>
      <c r="AW127" s="236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37"/>
      <c r="BM127" s="5"/>
      <c r="BN127" s="5"/>
      <c r="BO127" s="5"/>
      <c r="BP127" s="236"/>
      <c r="BQ127" s="58"/>
      <c r="BR127" s="59"/>
      <c r="BS127" s="61"/>
      <c r="BT127" s="58"/>
      <c r="BU127" s="60"/>
      <c r="BV127" s="60"/>
      <c r="BW127" s="60"/>
      <c r="BX127" s="60"/>
      <c r="BY127" s="60"/>
      <c r="BZ127" s="61"/>
      <c r="CA127" s="61"/>
      <c r="CB127" s="61"/>
      <c r="CC127" s="61"/>
      <c r="CD127" s="59"/>
      <c r="CE127" s="59"/>
      <c r="CF127" s="59"/>
      <c r="CG127" s="59"/>
      <c r="CH127" s="61"/>
      <c r="CI127" s="61"/>
      <c r="CJ127" s="59"/>
      <c r="CK127" s="59"/>
      <c r="CL127" s="59"/>
      <c r="CM127" s="60"/>
      <c r="CN127" s="59"/>
      <c r="CO127" s="59"/>
      <c r="CP127" s="59"/>
      <c r="CQ127" s="236"/>
      <c r="CR127" s="37"/>
      <c r="CS127" s="5"/>
      <c r="CT127" s="5"/>
      <c r="CU127" s="5"/>
      <c r="CV127" s="236"/>
      <c r="CW127" s="5"/>
      <c r="CX127" s="5"/>
      <c r="CY127" s="5"/>
      <c r="CZ127" s="5"/>
      <c r="DA127" s="5"/>
      <c r="DB127" s="5"/>
      <c r="DC127" s="236"/>
      <c r="DD127" s="104"/>
      <c r="DE127" s="103"/>
      <c r="DF127" s="103"/>
      <c r="DG127" s="103"/>
      <c r="DH127" s="103"/>
      <c r="DI127" s="5"/>
      <c r="DJ127" s="172"/>
      <c r="DK127" s="104"/>
      <c r="DL127" s="104"/>
      <c r="DM127" s="103"/>
      <c r="DN127" s="102"/>
      <c r="DO127" s="104"/>
      <c r="DP127" s="104"/>
      <c r="DQ127" s="103"/>
      <c r="DR127" s="102"/>
      <c r="DS127" s="104"/>
      <c r="DT127" s="104"/>
      <c r="DU127" s="103"/>
      <c r="DV127" s="102"/>
      <c r="DW127" s="104"/>
      <c r="DX127" s="104"/>
      <c r="DY127" s="103"/>
      <c r="DZ127" s="102"/>
      <c r="EA127" s="104"/>
      <c r="EB127" s="104"/>
      <c r="EC127" s="103"/>
      <c r="ED127" s="102"/>
      <c r="EE127" s="236"/>
      <c r="EF127" s="5"/>
    </row>
    <row r="128" spans="1:136" s="3" customFormat="1" x14ac:dyDescent="0.15">
      <c r="A128" s="86"/>
      <c r="B128" s="65"/>
      <c r="C128" s="86"/>
      <c r="E128" s="4"/>
      <c r="F128" s="65"/>
      <c r="G128" s="65"/>
      <c r="H128" s="86"/>
      <c r="I128" s="65"/>
      <c r="J128" s="236"/>
      <c r="K128" s="5"/>
      <c r="L128" s="65"/>
      <c r="M128" s="5"/>
      <c r="N128" s="5"/>
      <c r="O128" s="190"/>
      <c r="P128" s="236"/>
      <c r="Q128" s="5"/>
      <c r="R128" s="5"/>
      <c r="S128" s="4"/>
      <c r="T128" s="4"/>
      <c r="U128" s="5"/>
      <c r="V128" s="5"/>
      <c r="W128" s="5"/>
      <c r="X128" s="86"/>
      <c r="Y128" s="86"/>
      <c r="Z128" s="177"/>
      <c r="AA128" s="5"/>
      <c r="AB128" s="190"/>
      <c r="AC128" s="190"/>
      <c r="AD128" s="236"/>
      <c r="AE128" s="190"/>
      <c r="AF128" s="190"/>
      <c r="AG128" s="190"/>
      <c r="AH128" s="190"/>
      <c r="AI128" s="190"/>
      <c r="AJ128" s="190"/>
      <c r="AK128" s="236"/>
      <c r="AL128" s="190"/>
      <c r="AM128" s="236"/>
      <c r="AN128" s="41"/>
      <c r="AO128" s="41"/>
      <c r="AP128" s="5"/>
      <c r="AQ128" s="4"/>
      <c r="AR128" s="4"/>
      <c r="AS128" s="4"/>
      <c r="AT128" s="5"/>
      <c r="AU128" s="5"/>
      <c r="AV128" s="5"/>
      <c r="AW128" s="236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37"/>
      <c r="BM128" s="5"/>
      <c r="BN128" s="5"/>
      <c r="BO128" s="5"/>
      <c r="BP128" s="236"/>
      <c r="BQ128" s="58"/>
      <c r="BR128" s="59"/>
      <c r="BS128" s="61"/>
      <c r="BT128" s="58"/>
      <c r="BU128" s="60"/>
      <c r="BV128" s="60"/>
      <c r="BW128" s="60"/>
      <c r="BX128" s="60"/>
      <c r="BY128" s="60"/>
      <c r="BZ128" s="61"/>
      <c r="CA128" s="61"/>
      <c r="CB128" s="61"/>
      <c r="CC128" s="61"/>
      <c r="CD128" s="59"/>
      <c r="CE128" s="59"/>
      <c r="CF128" s="59"/>
      <c r="CG128" s="59"/>
      <c r="CH128" s="61"/>
      <c r="CI128" s="61"/>
      <c r="CJ128" s="59"/>
      <c r="CK128" s="59"/>
      <c r="CL128" s="59"/>
      <c r="CM128" s="60"/>
      <c r="CN128" s="59"/>
      <c r="CO128" s="59"/>
      <c r="CP128" s="59"/>
      <c r="CQ128" s="236"/>
      <c r="CR128" s="37"/>
      <c r="CS128" s="5"/>
      <c r="CT128" s="5"/>
      <c r="CU128" s="5"/>
      <c r="CV128" s="236"/>
      <c r="CW128" s="5"/>
      <c r="CX128" s="5"/>
      <c r="CY128" s="5"/>
      <c r="CZ128" s="5"/>
      <c r="DA128" s="5"/>
      <c r="DB128" s="5"/>
      <c r="DC128" s="236"/>
      <c r="DD128" s="104"/>
      <c r="DE128" s="103"/>
      <c r="DF128" s="103"/>
      <c r="DG128" s="103"/>
      <c r="DH128" s="103"/>
      <c r="DI128" s="5"/>
      <c r="DJ128" s="172"/>
      <c r="DK128" s="104"/>
      <c r="DL128" s="104"/>
      <c r="DM128" s="103"/>
      <c r="DN128" s="102"/>
      <c r="DO128" s="104"/>
      <c r="DP128" s="104"/>
      <c r="DQ128" s="103"/>
      <c r="DR128" s="102"/>
      <c r="DS128" s="104"/>
      <c r="DT128" s="104"/>
      <c r="DU128" s="103"/>
      <c r="DV128" s="102"/>
      <c r="DW128" s="104"/>
      <c r="DX128" s="104"/>
      <c r="DY128" s="103"/>
      <c r="DZ128" s="102"/>
      <c r="EA128" s="104"/>
      <c r="EB128" s="104"/>
      <c r="EC128" s="103"/>
      <c r="ED128" s="102"/>
      <c r="EE128" s="236"/>
      <c r="EF128" s="5"/>
    </row>
    <row r="129" spans="1:136" s="3" customFormat="1" x14ac:dyDescent="0.15">
      <c r="A129" s="86"/>
      <c r="B129" s="65"/>
      <c r="C129" s="86"/>
      <c r="E129" s="4"/>
      <c r="F129" s="65"/>
      <c r="G129" s="65"/>
      <c r="H129" s="86"/>
      <c r="I129" s="65"/>
      <c r="J129" s="236"/>
      <c r="K129" s="5"/>
      <c r="L129" s="65"/>
      <c r="M129" s="5"/>
      <c r="N129" s="5"/>
      <c r="O129" s="190"/>
      <c r="P129" s="236"/>
      <c r="Q129" s="5"/>
      <c r="R129" s="5"/>
      <c r="S129" s="4"/>
      <c r="T129" s="4"/>
      <c r="U129" s="5"/>
      <c r="V129" s="5"/>
      <c r="W129" s="5"/>
      <c r="X129" s="86"/>
      <c r="Y129" s="86"/>
      <c r="Z129" s="177"/>
      <c r="AA129" s="5"/>
      <c r="AB129" s="190"/>
      <c r="AC129" s="190"/>
      <c r="AD129" s="236"/>
      <c r="AE129" s="190"/>
      <c r="AF129" s="190"/>
      <c r="AG129" s="190"/>
      <c r="AH129" s="190"/>
      <c r="AI129" s="190"/>
      <c r="AJ129" s="190"/>
      <c r="AK129" s="236"/>
      <c r="AL129" s="190"/>
      <c r="AM129" s="236"/>
      <c r="AN129" s="41"/>
      <c r="AO129" s="41"/>
      <c r="AP129" s="5"/>
      <c r="AQ129" s="4"/>
      <c r="AR129" s="4"/>
      <c r="AS129" s="4"/>
      <c r="AT129" s="5"/>
      <c r="AU129" s="5"/>
      <c r="AV129" s="5"/>
      <c r="AW129" s="236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37"/>
      <c r="BM129" s="5"/>
      <c r="BN129" s="5"/>
      <c r="BO129" s="5"/>
      <c r="BP129" s="236"/>
      <c r="BQ129" s="58"/>
      <c r="BR129" s="59"/>
      <c r="BS129" s="61"/>
      <c r="BT129" s="58"/>
      <c r="BU129" s="60"/>
      <c r="BV129" s="60"/>
      <c r="BW129" s="60"/>
      <c r="BX129" s="60"/>
      <c r="BY129" s="60"/>
      <c r="BZ129" s="61"/>
      <c r="CA129" s="61"/>
      <c r="CB129" s="61"/>
      <c r="CC129" s="61"/>
      <c r="CD129" s="59"/>
      <c r="CE129" s="59"/>
      <c r="CF129" s="59"/>
      <c r="CG129" s="59"/>
      <c r="CH129" s="61"/>
      <c r="CI129" s="61"/>
      <c r="CJ129" s="59"/>
      <c r="CK129" s="59"/>
      <c r="CL129" s="59"/>
      <c r="CM129" s="60"/>
      <c r="CN129" s="59"/>
      <c r="CO129" s="59"/>
      <c r="CP129" s="59"/>
      <c r="CQ129" s="236"/>
      <c r="CR129" s="37"/>
      <c r="CS129" s="5"/>
      <c r="CT129" s="5"/>
      <c r="CU129" s="5"/>
      <c r="CV129" s="236"/>
      <c r="CW129" s="5"/>
      <c r="CX129" s="5"/>
      <c r="CY129" s="5"/>
      <c r="CZ129" s="5"/>
      <c r="DA129" s="5"/>
      <c r="DB129" s="5"/>
      <c r="DC129" s="236"/>
      <c r="DD129" s="104"/>
      <c r="DE129" s="103"/>
      <c r="DF129" s="103"/>
      <c r="DG129" s="103"/>
      <c r="DH129" s="103"/>
      <c r="DI129" s="5"/>
      <c r="DJ129" s="172"/>
      <c r="DK129" s="104"/>
      <c r="DL129" s="104"/>
      <c r="DM129" s="103"/>
      <c r="DN129" s="102"/>
      <c r="DO129" s="104"/>
      <c r="DP129" s="104"/>
      <c r="DQ129" s="103"/>
      <c r="DR129" s="102"/>
      <c r="DS129" s="104"/>
      <c r="DT129" s="104"/>
      <c r="DU129" s="103"/>
      <c r="DV129" s="102"/>
      <c r="DW129" s="104"/>
      <c r="DX129" s="104"/>
      <c r="DY129" s="103"/>
      <c r="DZ129" s="102"/>
      <c r="EA129" s="104"/>
      <c r="EB129" s="104"/>
      <c r="EC129" s="103"/>
      <c r="ED129" s="102"/>
      <c r="EE129" s="236"/>
      <c r="EF129" s="5"/>
    </row>
    <row r="130" spans="1:136" s="3" customFormat="1" x14ac:dyDescent="0.15">
      <c r="A130" s="86"/>
      <c r="B130" s="65"/>
      <c r="C130" s="86"/>
      <c r="E130" s="4"/>
      <c r="F130" s="65"/>
      <c r="G130" s="65"/>
      <c r="H130" s="86"/>
      <c r="I130" s="65"/>
      <c r="J130" s="236"/>
      <c r="K130" s="5"/>
      <c r="L130" s="65"/>
      <c r="M130" s="5"/>
      <c r="N130" s="5"/>
      <c r="O130" s="190"/>
      <c r="P130" s="236"/>
      <c r="Q130" s="5"/>
      <c r="R130" s="5"/>
      <c r="S130" s="4"/>
      <c r="T130" s="4"/>
      <c r="U130" s="5"/>
      <c r="V130" s="5"/>
      <c r="W130" s="5"/>
      <c r="X130" s="86"/>
      <c r="Y130" s="86"/>
      <c r="Z130" s="177"/>
      <c r="AA130" s="5"/>
      <c r="AB130" s="190"/>
      <c r="AC130" s="190"/>
      <c r="AD130" s="236"/>
      <c r="AE130" s="190"/>
      <c r="AF130" s="190"/>
      <c r="AG130" s="190"/>
      <c r="AH130" s="190"/>
      <c r="AI130" s="190"/>
      <c r="AJ130" s="190"/>
      <c r="AK130" s="236"/>
      <c r="AL130" s="190"/>
      <c r="AM130" s="236"/>
      <c r="AN130" s="41"/>
      <c r="AO130" s="41"/>
      <c r="AP130" s="5"/>
      <c r="AQ130" s="4"/>
      <c r="AR130" s="4"/>
      <c r="AS130" s="4"/>
      <c r="AT130" s="5"/>
      <c r="AU130" s="5"/>
      <c r="AV130" s="5"/>
      <c r="AW130" s="236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37"/>
      <c r="BM130" s="5"/>
      <c r="BN130" s="5"/>
      <c r="BO130" s="5"/>
      <c r="BP130" s="236"/>
      <c r="BQ130" s="58"/>
      <c r="BR130" s="59"/>
      <c r="BS130" s="61"/>
      <c r="BT130" s="58"/>
      <c r="BU130" s="60"/>
      <c r="BV130" s="60"/>
      <c r="BW130" s="60"/>
      <c r="BX130" s="60"/>
      <c r="BY130" s="60"/>
      <c r="BZ130" s="61"/>
      <c r="CA130" s="61"/>
      <c r="CB130" s="61"/>
      <c r="CC130" s="61"/>
      <c r="CD130" s="59"/>
      <c r="CE130" s="59"/>
      <c r="CF130" s="59"/>
      <c r="CG130" s="59"/>
      <c r="CH130" s="61"/>
      <c r="CI130" s="61"/>
      <c r="CJ130" s="59"/>
      <c r="CK130" s="59"/>
      <c r="CL130" s="59"/>
      <c r="CM130" s="60"/>
      <c r="CN130" s="59"/>
      <c r="CO130" s="59"/>
      <c r="CP130" s="59"/>
      <c r="CQ130" s="236"/>
      <c r="CR130" s="37"/>
      <c r="CS130" s="5"/>
      <c r="CT130" s="5"/>
      <c r="CU130" s="5"/>
      <c r="CV130" s="236"/>
      <c r="CW130" s="5"/>
      <c r="CX130" s="5"/>
      <c r="CY130" s="5"/>
      <c r="CZ130" s="5"/>
      <c r="DA130" s="5"/>
      <c r="DB130" s="5"/>
      <c r="DC130" s="236"/>
      <c r="DD130" s="104"/>
      <c r="DE130" s="103"/>
      <c r="DF130" s="103"/>
      <c r="DG130" s="103"/>
      <c r="DH130" s="103"/>
      <c r="DI130" s="5"/>
      <c r="DJ130" s="172"/>
      <c r="DK130" s="104"/>
      <c r="DL130" s="104"/>
      <c r="DM130" s="103"/>
      <c r="DN130" s="102"/>
      <c r="DO130" s="104"/>
      <c r="DP130" s="104"/>
      <c r="DQ130" s="103"/>
      <c r="DR130" s="102"/>
      <c r="DS130" s="104"/>
      <c r="DT130" s="104"/>
      <c r="DU130" s="103"/>
      <c r="DV130" s="102"/>
      <c r="DW130" s="104"/>
      <c r="DX130" s="104"/>
      <c r="DY130" s="103"/>
      <c r="DZ130" s="102"/>
      <c r="EA130" s="104"/>
      <c r="EB130" s="104"/>
      <c r="EC130" s="103"/>
      <c r="ED130" s="102"/>
      <c r="EE130" s="236"/>
      <c r="EF130" s="5"/>
    </row>
    <row r="131" spans="1:136" s="3" customFormat="1" x14ac:dyDescent="0.15">
      <c r="A131" s="86"/>
      <c r="B131" s="65"/>
      <c r="C131" s="86"/>
      <c r="E131" s="4"/>
      <c r="F131" s="65"/>
      <c r="G131" s="65"/>
      <c r="H131" s="86"/>
      <c r="I131" s="65"/>
      <c r="J131" s="236"/>
      <c r="K131" s="5"/>
      <c r="L131" s="65"/>
      <c r="M131" s="5"/>
      <c r="N131" s="5"/>
      <c r="O131" s="190"/>
      <c r="P131" s="236"/>
      <c r="Q131" s="5"/>
      <c r="R131" s="5"/>
      <c r="S131" s="4"/>
      <c r="T131" s="4"/>
      <c r="U131" s="5"/>
      <c r="V131" s="5"/>
      <c r="W131" s="5"/>
      <c r="X131" s="86"/>
      <c r="Y131" s="86"/>
      <c r="Z131" s="177"/>
      <c r="AA131" s="5"/>
      <c r="AB131" s="190"/>
      <c r="AC131" s="190"/>
      <c r="AD131" s="236"/>
      <c r="AE131" s="190"/>
      <c r="AF131" s="190"/>
      <c r="AG131" s="190"/>
      <c r="AH131" s="190"/>
      <c r="AI131" s="190"/>
      <c r="AJ131" s="190"/>
      <c r="AK131" s="236"/>
      <c r="AL131" s="190"/>
      <c r="AM131" s="236"/>
      <c r="AN131" s="41"/>
      <c r="AO131" s="41"/>
      <c r="AP131" s="5"/>
      <c r="AQ131" s="4"/>
      <c r="AR131" s="4"/>
      <c r="AS131" s="4"/>
      <c r="AT131" s="5"/>
      <c r="AU131" s="5"/>
      <c r="AV131" s="5"/>
      <c r="AW131" s="236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37"/>
      <c r="BM131" s="5"/>
      <c r="BN131" s="5"/>
      <c r="BO131" s="5"/>
      <c r="BP131" s="236"/>
      <c r="BQ131" s="58"/>
      <c r="BR131" s="59"/>
      <c r="BS131" s="61"/>
      <c r="BT131" s="58"/>
      <c r="BU131" s="60"/>
      <c r="BV131" s="60"/>
      <c r="BW131" s="60"/>
      <c r="BX131" s="60"/>
      <c r="BY131" s="60"/>
      <c r="BZ131" s="61"/>
      <c r="CA131" s="61"/>
      <c r="CB131" s="61"/>
      <c r="CC131" s="61"/>
      <c r="CD131" s="59"/>
      <c r="CE131" s="59"/>
      <c r="CF131" s="59"/>
      <c r="CG131" s="59"/>
      <c r="CH131" s="61"/>
      <c r="CI131" s="61"/>
      <c r="CJ131" s="59"/>
      <c r="CK131" s="59"/>
      <c r="CL131" s="59"/>
      <c r="CM131" s="60"/>
      <c r="CN131" s="59"/>
      <c r="CO131" s="59"/>
      <c r="CP131" s="59"/>
      <c r="CQ131" s="236"/>
      <c r="CR131" s="37"/>
      <c r="CS131" s="5"/>
      <c r="CT131" s="5"/>
      <c r="CU131" s="5"/>
      <c r="CV131" s="236"/>
      <c r="CW131" s="5"/>
      <c r="CX131" s="5"/>
      <c r="CY131" s="5"/>
      <c r="CZ131" s="5"/>
      <c r="DA131" s="5"/>
      <c r="DB131" s="5"/>
      <c r="DC131" s="236"/>
      <c r="DD131" s="104"/>
      <c r="DE131" s="103"/>
      <c r="DF131" s="103"/>
      <c r="DG131" s="103"/>
      <c r="DH131" s="103"/>
      <c r="DI131" s="5"/>
      <c r="DJ131" s="172"/>
      <c r="DK131" s="104"/>
      <c r="DL131" s="104"/>
      <c r="DM131" s="103"/>
      <c r="DN131" s="102"/>
      <c r="DO131" s="104"/>
      <c r="DP131" s="104"/>
      <c r="DQ131" s="103"/>
      <c r="DR131" s="102"/>
      <c r="DS131" s="104"/>
      <c r="DT131" s="104"/>
      <c r="DU131" s="103"/>
      <c r="DV131" s="102"/>
      <c r="DW131" s="104"/>
      <c r="DX131" s="104"/>
      <c r="DY131" s="103"/>
      <c r="DZ131" s="102"/>
      <c r="EA131" s="104"/>
      <c r="EB131" s="104"/>
      <c r="EC131" s="103"/>
      <c r="ED131" s="102"/>
      <c r="EE131" s="236"/>
      <c r="EF131" s="5"/>
    </row>
    <row r="132" spans="1:136" s="3" customFormat="1" x14ac:dyDescent="0.15">
      <c r="A132" s="86"/>
      <c r="B132" s="65"/>
      <c r="C132" s="86"/>
      <c r="E132" s="4"/>
      <c r="F132" s="65"/>
      <c r="G132" s="65"/>
      <c r="H132" s="86"/>
      <c r="I132" s="65"/>
      <c r="J132" s="236"/>
      <c r="K132" s="5"/>
      <c r="L132" s="65"/>
      <c r="M132" s="5"/>
      <c r="N132" s="5"/>
      <c r="O132" s="190"/>
      <c r="P132" s="236"/>
      <c r="Q132" s="5"/>
      <c r="R132" s="5"/>
      <c r="S132" s="4"/>
      <c r="T132" s="4"/>
      <c r="U132" s="5"/>
      <c r="V132" s="5"/>
      <c r="W132" s="5"/>
      <c r="X132" s="86"/>
      <c r="Y132" s="86"/>
      <c r="Z132" s="177"/>
      <c r="AA132" s="5"/>
      <c r="AB132" s="190"/>
      <c r="AC132" s="190"/>
      <c r="AD132" s="236"/>
      <c r="AE132" s="190"/>
      <c r="AF132" s="190"/>
      <c r="AG132" s="190"/>
      <c r="AH132" s="190"/>
      <c r="AI132" s="190"/>
      <c r="AJ132" s="190"/>
      <c r="AK132" s="236"/>
      <c r="AL132" s="190"/>
      <c r="AM132" s="236"/>
      <c r="AN132" s="41"/>
      <c r="AO132" s="41"/>
      <c r="AP132" s="5"/>
      <c r="AQ132" s="4"/>
      <c r="AR132" s="4"/>
      <c r="AS132" s="4"/>
      <c r="AT132" s="5"/>
      <c r="AU132" s="5"/>
      <c r="AV132" s="5"/>
      <c r="AW132" s="236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37"/>
      <c r="BM132" s="5"/>
      <c r="BN132" s="5"/>
      <c r="BO132" s="5"/>
      <c r="BP132" s="236"/>
      <c r="BQ132" s="58"/>
      <c r="BR132" s="59"/>
      <c r="BS132" s="61"/>
      <c r="BT132" s="58"/>
      <c r="BU132" s="60"/>
      <c r="BV132" s="60"/>
      <c r="BW132" s="60"/>
      <c r="BX132" s="60"/>
      <c r="BY132" s="60"/>
      <c r="BZ132" s="61"/>
      <c r="CA132" s="61"/>
      <c r="CB132" s="61"/>
      <c r="CC132" s="61"/>
      <c r="CD132" s="59"/>
      <c r="CE132" s="59"/>
      <c r="CF132" s="59"/>
      <c r="CG132" s="59"/>
      <c r="CH132" s="61"/>
      <c r="CI132" s="61"/>
      <c r="CJ132" s="59"/>
      <c r="CK132" s="59"/>
      <c r="CL132" s="59"/>
      <c r="CM132" s="60"/>
      <c r="CN132" s="59"/>
      <c r="CO132" s="59"/>
      <c r="CP132" s="59"/>
      <c r="CQ132" s="236"/>
      <c r="CR132" s="37"/>
      <c r="CS132" s="5"/>
      <c r="CT132" s="5"/>
      <c r="CU132" s="5"/>
      <c r="CV132" s="236"/>
      <c r="CW132" s="5"/>
      <c r="CX132" s="5"/>
      <c r="CY132" s="5"/>
      <c r="CZ132" s="5"/>
      <c r="DA132" s="5"/>
      <c r="DB132" s="5"/>
      <c r="DC132" s="236"/>
      <c r="DD132" s="104"/>
      <c r="DE132" s="103"/>
      <c r="DF132" s="103"/>
      <c r="DG132" s="103"/>
      <c r="DH132" s="103"/>
      <c r="DI132" s="5"/>
      <c r="DJ132" s="172"/>
      <c r="DK132" s="104"/>
      <c r="DL132" s="104"/>
      <c r="DM132" s="103"/>
      <c r="DN132" s="102"/>
      <c r="DO132" s="104"/>
      <c r="DP132" s="104"/>
      <c r="DQ132" s="103"/>
      <c r="DR132" s="102"/>
      <c r="DS132" s="104"/>
      <c r="DT132" s="104"/>
      <c r="DU132" s="103"/>
      <c r="DV132" s="102"/>
      <c r="DW132" s="104"/>
      <c r="DX132" s="104"/>
      <c r="DY132" s="103"/>
      <c r="DZ132" s="102"/>
      <c r="EA132" s="104"/>
      <c r="EB132" s="104"/>
      <c r="EC132" s="103"/>
      <c r="ED132" s="102"/>
      <c r="EE132" s="236"/>
      <c r="EF132" s="5"/>
    </row>
    <row r="133" spans="1:136" s="3" customFormat="1" x14ac:dyDescent="0.15">
      <c r="A133" s="86"/>
      <c r="B133" s="65"/>
      <c r="C133" s="86"/>
      <c r="E133" s="4"/>
      <c r="F133" s="65"/>
      <c r="G133" s="65"/>
      <c r="H133" s="86"/>
      <c r="I133" s="65"/>
      <c r="J133" s="236"/>
      <c r="K133" s="5"/>
      <c r="L133" s="65"/>
      <c r="M133" s="5"/>
      <c r="N133" s="5"/>
      <c r="O133" s="190"/>
      <c r="P133" s="236"/>
      <c r="Q133" s="5"/>
      <c r="R133" s="5"/>
      <c r="S133" s="4"/>
      <c r="T133" s="4"/>
      <c r="U133" s="5"/>
      <c r="V133" s="5"/>
      <c r="W133" s="5"/>
      <c r="X133" s="86"/>
      <c r="Y133" s="86"/>
      <c r="Z133" s="177"/>
      <c r="AA133" s="5"/>
      <c r="AB133" s="190"/>
      <c r="AC133" s="190"/>
      <c r="AD133" s="236"/>
      <c r="AE133" s="190"/>
      <c r="AF133" s="190"/>
      <c r="AG133" s="190"/>
      <c r="AH133" s="190"/>
      <c r="AI133" s="190"/>
      <c r="AJ133" s="190"/>
      <c r="AK133" s="236"/>
      <c r="AL133" s="190"/>
      <c r="AM133" s="236"/>
      <c r="AN133" s="41"/>
      <c r="AO133" s="41"/>
      <c r="AP133" s="5"/>
      <c r="AQ133" s="4"/>
      <c r="AR133" s="4"/>
      <c r="AS133" s="4"/>
      <c r="AT133" s="5"/>
      <c r="AU133" s="5"/>
      <c r="AV133" s="5"/>
      <c r="AW133" s="236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37"/>
      <c r="BM133" s="5"/>
      <c r="BN133" s="5"/>
      <c r="BO133" s="5"/>
      <c r="BP133" s="236"/>
      <c r="BQ133" s="58"/>
      <c r="BR133" s="59"/>
      <c r="BS133" s="61"/>
      <c r="BT133" s="58"/>
      <c r="BU133" s="60"/>
      <c r="BV133" s="60"/>
      <c r="BW133" s="60"/>
      <c r="BX133" s="60"/>
      <c r="BY133" s="60"/>
      <c r="BZ133" s="61"/>
      <c r="CA133" s="61"/>
      <c r="CB133" s="61"/>
      <c r="CC133" s="61"/>
      <c r="CD133" s="59"/>
      <c r="CE133" s="59"/>
      <c r="CF133" s="59"/>
      <c r="CG133" s="59"/>
      <c r="CH133" s="61"/>
      <c r="CI133" s="61"/>
      <c r="CJ133" s="59"/>
      <c r="CK133" s="59"/>
      <c r="CL133" s="59"/>
      <c r="CM133" s="60"/>
      <c r="CN133" s="59"/>
      <c r="CO133" s="59"/>
      <c r="CP133" s="59"/>
      <c r="CQ133" s="236"/>
      <c r="CR133" s="37"/>
      <c r="CS133" s="5"/>
      <c r="CT133" s="5"/>
      <c r="CU133" s="5"/>
      <c r="CV133" s="236"/>
      <c r="CW133" s="5"/>
      <c r="CX133" s="5"/>
      <c r="CY133" s="5"/>
      <c r="CZ133" s="5"/>
      <c r="DA133" s="5"/>
      <c r="DB133" s="5"/>
      <c r="DC133" s="236"/>
      <c r="DD133" s="104"/>
      <c r="DE133" s="103"/>
      <c r="DF133" s="103"/>
      <c r="DG133" s="103"/>
      <c r="DH133" s="103"/>
      <c r="DI133" s="5"/>
      <c r="DJ133" s="172"/>
      <c r="DK133" s="104"/>
      <c r="DL133" s="104"/>
      <c r="DM133" s="103"/>
      <c r="DN133" s="102"/>
      <c r="DO133" s="104"/>
      <c r="DP133" s="104"/>
      <c r="DQ133" s="103"/>
      <c r="DR133" s="102"/>
      <c r="DS133" s="104"/>
      <c r="DT133" s="104"/>
      <c r="DU133" s="103"/>
      <c r="DV133" s="102"/>
      <c r="DW133" s="104"/>
      <c r="DX133" s="104"/>
      <c r="DY133" s="103"/>
      <c r="DZ133" s="102"/>
      <c r="EA133" s="104"/>
      <c r="EB133" s="104"/>
      <c r="EC133" s="103"/>
      <c r="ED133" s="102"/>
      <c r="EE133" s="236"/>
      <c r="EF133" s="5"/>
    </row>
    <row r="134" spans="1:136" s="3" customFormat="1" x14ac:dyDescent="0.15">
      <c r="A134" s="86"/>
      <c r="B134" s="65"/>
      <c r="C134" s="86"/>
      <c r="E134" s="4"/>
      <c r="F134" s="65"/>
      <c r="G134" s="65"/>
      <c r="H134" s="86"/>
      <c r="I134" s="65"/>
      <c r="J134" s="236"/>
      <c r="K134" s="5"/>
      <c r="L134" s="65"/>
      <c r="M134" s="5"/>
      <c r="N134" s="5"/>
      <c r="O134" s="190"/>
      <c r="P134" s="236"/>
      <c r="Q134" s="5"/>
      <c r="R134" s="5"/>
      <c r="S134" s="4"/>
      <c r="T134" s="4"/>
      <c r="U134" s="5"/>
      <c r="V134" s="5"/>
      <c r="W134" s="5"/>
      <c r="X134" s="86"/>
      <c r="Y134" s="86"/>
      <c r="Z134" s="177"/>
      <c r="AA134" s="5"/>
      <c r="AB134" s="190"/>
      <c r="AC134" s="190"/>
      <c r="AD134" s="236"/>
      <c r="AE134" s="190"/>
      <c r="AF134" s="190"/>
      <c r="AG134" s="190"/>
      <c r="AH134" s="190"/>
      <c r="AI134" s="190"/>
      <c r="AJ134" s="190"/>
      <c r="AK134" s="236"/>
      <c r="AL134" s="190"/>
      <c r="AM134" s="236"/>
      <c r="AN134" s="41"/>
      <c r="AO134" s="41"/>
      <c r="AP134" s="5"/>
      <c r="AQ134" s="4"/>
      <c r="AR134" s="4"/>
      <c r="AS134" s="4"/>
      <c r="AT134" s="5"/>
      <c r="AU134" s="5"/>
      <c r="AV134" s="5"/>
      <c r="AW134" s="236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37"/>
      <c r="BM134" s="5"/>
      <c r="BN134" s="5"/>
      <c r="BO134" s="5"/>
      <c r="BP134" s="236"/>
      <c r="BQ134" s="58"/>
      <c r="BR134" s="59"/>
      <c r="BS134" s="61"/>
      <c r="BT134" s="58"/>
      <c r="BU134" s="60"/>
      <c r="BV134" s="60"/>
      <c r="BW134" s="60"/>
      <c r="BX134" s="60"/>
      <c r="BY134" s="60"/>
      <c r="BZ134" s="61"/>
      <c r="CA134" s="61"/>
      <c r="CB134" s="61"/>
      <c r="CC134" s="61"/>
      <c r="CD134" s="59"/>
      <c r="CE134" s="59"/>
      <c r="CF134" s="59"/>
      <c r="CG134" s="59"/>
      <c r="CH134" s="61"/>
      <c r="CI134" s="61"/>
      <c r="CJ134" s="59"/>
      <c r="CK134" s="59"/>
      <c r="CL134" s="59"/>
      <c r="CM134" s="60"/>
      <c r="CN134" s="59"/>
      <c r="CO134" s="59"/>
      <c r="CP134" s="59"/>
      <c r="CQ134" s="236"/>
      <c r="CR134" s="37"/>
      <c r="CS134" s="5"/>
      <c r="CT134" s="5"/>
      <c r="CU134" s="5"/>
      <c r="CV134" s="236"/>
      <c r="CW134" s="5"/>
      <c r="CX134" s="5"/>
      <c r="CY134" s="5"/>
      <c r="CZ134" s="5"/>
      <c r="DA134" s="5"/>
      <c r="DB134" s="5"/>
      <c r="DC134" s="236"/>
      <c r="DD134" s="104"/>
      <c r="DE134" s="103"/>
      <c r="DF134" s="103"/>
      <c r="DG134" s="103"/>
      <c r="DH134" s="103"/>
      <c r="DI134" s="5"/>
      <c r="DJ134" s="172"/>
      <c r="DK134" s="104"/>
      <c r="DL134" s="104"/>
      <c r="DM134" s="103"/>
      <c r="DN134" s="102"/>
      <c r="DO134" s="104"/>
      <c r="DP134" s="104"/>
      <c r="DQ134" s="103"/>
      <c r="DR134" s="102"/>
      <c r="DS134" s="104"/>
      <c r="DT134" s="104"/>
      <c r="DU134" s="103"/>
      <c r="DV134" s="102"/>
      <c r="DW134" s="104"/>
      <c r="DX134" s="104"/>
      <c r="DY134" s="103"/>
      <c r="DZ134" s="102"/>
      <c r="EA134" s="104"/>
      <c r="EB134" s="104"/>
      <c r="EC134" s="103"/>
      <c r="ED134" s="102"/>
      <c r="EE134" s="236"/>
      <c r="EF134" s="5"/>
    </row>
    <row r="135" spans="1:136" s="3" customFormat="1" x14ac:dyDescent="0.15">
      <c r="A135" s="86"/>
      <c r="B135" s="65"/>
      <c r="C135" s="86"/>
      <c r="E135" s="4"/>
      <c r="F135" s="65"/>
      <c r="G135" s="65"/>
      <c r="H135" s="86"/>
      <c r="I135" s="65"/>
      <c r="J135" s="236"/>
      <c r="K135" s="5"/>
      <c r="L135" s="65"/>
      <c r="M135" s="5"/>
      <c r="N135" s="5"/>
      <c r="O135" s="190"/>
      <c r="P135" s="236"/>
      <c r="Q135" s="5"/>
      <c r="R135" s="5"/>
      <c r="S135" s="4"/>
      <c r="T135" s="4"/>
      <c r="U135" s="5"/>
      <c r="V135" s="5"/>
      <c r="W135" s="5"/>
      <c r="X135" s="86"/>
      <c r="Y135" s="86"/>
      <c r="Z135" s="177"/>
      <c r="AA135" s="5"/>
      <c r="AB135" s="190"/>
      <c r="AC135" s="190"/>
      <c r="AD135" s="236"/>
      <c r="AE135" s="190"/>
      <c r="AF135" s="190"/>
      <c r="AG135" s="190"/>
      <c r="AH135" s="190"/>
      <c r="AI135" s="190"/>
      <c r="AJ135" s="190"/>
      <c r="AK135" s="236"/>
      <c r="AL135" s="190"/>
      <c r="AM135" s="236"/>
      <c r="AN135" s="41"/>
      <c r="AO135" s="41"/>
      <c r="AP135" s="5"/>
      <c r="AQ135" s="4"/>
      <c r="AR135" s="4"/>
      <c r="AS135" s="4"/>
      <c r="AT135" s="5"/>
      <c r="AU135" s="5"/>
      <c r="AV135" s="5"/>
      <c r="AW135" s="236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37"/>
      <c r="BM135" s="5"/>
      <c r="BN135" s="5"/>
      <c r="BO135" s="5"/>
      <c r="BP135" s="236"/>
      <c r="BQ135" s="58"/>
      <c r="BR135" s="59"/>
      <c r="BS135" s="61"/>
      <c r="BT135" s="58"/>
      <c r="BU135" s="60"/>
      <c r="BV135" s="60"/>
      <c r="BW135" s="60"/>
      <c r="BX135" s="60"/>
      <c r="BY135" s="60"/>
      <c r="BZ135" s="61"/>
      <c r="CA135" s="61"/>
      <c r="CB135" s="61"/>
      <c r="CC135" s="61"/>
      <c r="CD135" s="59"/>
      <c r="CE135" s="59"/>
      <c r="CF135" s="59"/>
      <c r="CG135" s="59"/>
      <c r="CH135" s="61"/>
      <c r="CI135" s="61"/>
      <c r="CJ135" s="59"/>
      <c r="CK135" s="59"/>
      <c r="CL135" s="59"/>
      <c r="CM135" s="60"/>
      <c r="CN135" s="59"/>
      <c r="CO135" s="59"/>
      <c r="CP135" s="59"/>
      <c r="CQ135" s="236"/>
      <c r="CR135" s="37"/>
      <c r="CS135" s="5"/>
      <c r="CT135" s="5"/>
      <c r="CU135" s="5"/>
      <c r="CV135" s="236"/>
      <c r="CW135" s="5"/>
      <c r="CX135" s="5"/>
      <c r="CY135" s="5"/>
      <c r="CZ135" s="5"/>
      <c r="DA135" s="5"/>
      <c r="DB135" s="5"/>
      <c r="DC135" s="236"/>
      <c r="DD135" s="104"/>
      <c r="DE135" s="103"/>
      <c r="DF135" s="103"/>
      <c r="DG135" s="103"/>
      <c r="DH135" s="103"/>
      <c r="DI135" s="5"/>
      <c r="DJ135" s="172"/>
      <c r="DK135" s="104"/>
      <c r="DL135" s="104"/>
      <c r="DM135" s="103"/>
      <c r="DN135" s="102"/>
      <c r="DO135" s="104"/>
      <c r="DP135" s="104"/>
      <c r="DQ135" s="103"/>
      <c r="DR135" s="102"/>
      <c r="DS135" s="104"/>
      <c r="DT135" s="104"/>
      <c r="DU135" s="103"/>
      <c r="DV135" s="102"/>
      <c r="DW135" s="104"/>
      <c r="DX135" s="104"/>
      <c r="DY135" s="103"/>
      <c r="DZ135" s="102"/>
      <c r="EA135" s="104"/>
      <c r="EB135" s="104"/>
      <c r="EC135" s="103"/>
      <c r="ED135" s="102"/>
      <c r="EE135" s="236"/>
      <c r="EF135" s="5"/>
    </row>
    <row r="136" spans="1:136" s="3" customFormat="1" x14ac:dyDescent="0.15">
      <c r="A136" s="86"/>
      <c r="B136" s="65"/>
      <c r="C136" s="86"/>
      <c r="E136" s="4"/>
      <c r="F136" s="65"/>
      <c r="G136" s="65"/>
      <c r="H136" s="86"/>
      <c r="I136" s="65"/>
      <c r="J136" s="236"/>
      <c r="K136" s="5"/>
      <c r="L136" s="65"/>
      <c r="M136" s="5"/>
      <c r="N136" s="5"/>
      <c r="O136" s="190"/>
      <c r="P136" s="236"/>
      <c r="Q136" s="5"/>
      <c r="R136" s="5"/>
      <c r="S136" s="4"/>
      <c r="T136" s="4"/>
      <c r="U136" s="5"/>
      <c r="V136" s="5"/>
      <c r="W136" s="5"/>
      <c r="X136" s="86"/>
      <c r="Y136" s="86"/>
      <c r="Z136" s="177"/>
      <c r="AA136" s="5"/>
      <c r="AB136" s="190"/>
      <c r="AC136" s="190"/>
      <c r="AD136" s="236"/>
      <c r="AE136" s="190"/>
      <c r="AF136" s="190"/>
      <c r="AG136" s="190"/>
      <c r="AH136" s="190"/>
      <c r="AI136" s="190"/>
      <c r="AJ136" s="190"/>
      <c r="AK136" s="236"/>
      <c r="AL136" s="190"/>
      <c r="AM136" s="236"/>
      <c r="AN136" s="41"/>
      <c r="AO136" s="41"/>
      <c r="AP136" s="5"/>
      <c r="AQ136" s="4"/>
      <c r="AR136" s="4"/>
      <c r="AS136" s="4"/>
      <c r="AT136" s="5"/>
      <c r="AU136" s="5"/>
      <c r="AV136" s="5"/>
      <c r="AW136" s="236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37"/>
      <c r="BM136" s="5"/>
      <c r="BN136" s="5"/>
      <c r="BO136" s="5"/>
      <c r="BP136" s="236"/>
      <c r="BQ136" s="58"/>
      <c r="BR136" s="59"/>
      <c r="BS136" s="61"/>
      <c r="BT136" s="58"/>
      <c r="BU136" s="60"/>
      <c r="BV136" s="60"/>
      <c r="BW136" s="60"/>
      <c r="BX136" s="60"/>
      <c r="BY136" s="60"/>
      <c r="BZ136" s="61"/>
      <c r="CA136" s="61"/>
      <c r="CB136" s="61"/>
      <c r="CC136" s="61"/>
      <c r="CD136" s="59"/>
      <c r="CE136" s="59"/>
      <c r="CF136" s="59"/>
      <c r="CG136" s="59"/>
      <c r="CH136" s="61"/>
      <c r="CI136" s="61"/>
      <c r="CJ136" s="59"/>
      <c r="CK136" s="59"/>
      <c r="CL136" s="59"/>
      <c r="CM136" s="60"/>
      <c r="CN136" s="59"/>
      <c r="CO136" s="59"/>
      <c r="CP136" s="59"/>
      <c r="CQ136" s="236"/>
      <c r="CR136" s="37"/>
      <c r="CS136" s="5"/>
      <c r="CT136" s="5"/>
      <c r="CU136" s="5"/>
      <c r="CV136" s="236"/>
      <c r="CW136" s="5"/>
      <c r="CX136" s="5"/>
      <c r="CY136" s="5"/>
      <c r="CZ136" s="5"/>
      <c r="DA136" s="5"/>
      <c r="DB136" s="5"/>
      <c r="DC136" s="236"/>
      <c r="DD136" s="104"/>
      <c r="DE136" s="103"/>
      <c r="DF136" s="103"/>
      <c r="DG136" s="103"/>
      <c r="DH136" s="103"/>
      <c r="DI136" s="5"/>
      <c r="DJ136" s="172"/>
      <c r="DK136" s="104"/>
      <c r="DL136" s="104"/>
      <c r="DM136" s="103"/>
      <c r="DN136" s="102"/>
      <c r="DO136" s="104"/>
      <c r="DP136" s="104"/>
      <c r="DQ136" s="103"/>
      <c r="DR136" s="102"/>
      <c r="DS136" s="104"/>
      <c r="DT136" s="104"/>
      <c r="DU136" s="103"/>
      <c r="DV136" s="102"/>
      <c r="DW136" s="104"/>
      <c r="DX136" s="104"/>
      <c r="DY136" s="103"/>
      <c r="DZ136" s="102"/>
      <c r="EA136" s="104"/>
      <c r="EB136" s="104"/>
      <c r="EC136" s="103"/>
      <c r="ED136" s="102"/>
      <c r="EE136" s="236"/>
      <c r="EF136" s="5"/>
    </row>
    <row r="137" spans="1:136" s="3" customFormat="1" x14ac:dyDescent="0.15">
      <c r="A137" s="86"/>
      <c r="B137" s="65"/>
      <c r="C137" s="86"/>
      <c r="E137" s="4"/>
      <c r="F137" s="65"/>
      <c r="G137" s="65"/>
      <c r="H137" s="86"/>
      <c r="I137" s="65"/>
      <c r="J137" s="236"/>
      <c r="K137" s="5"/>
      <c r="L137" s="65"/>
      <c r="M137" s="5"/>
      <c r="N137" s="5"/>
      <c r="O137" s="190"/>
      <c r="P137" s="236"/>
      <c r="Q137" s="5"/>
      <c r="R137" s="5"/>
      <c r="S137" s="4"/>
      <c r="T137" s="4"/>
      <c r="U137" s="5"/>
      <c r="V137" s="5"/>
      <c r="W137" s="5"/>
      <c r="X137" s="86"/>
      <c r="Y137" s="86"/>
      <c r="Z137" s="177"/>
      <c r="AA137" s="5"/>
      <c r="AB137" s="190"/>
      <c r="AC137" s="190"/>
      <c r="AD137" s="236"/>
      <c r="AE137" s="190"/>
      <c r="AF137" s="190"/>
      <c r="AG137" s="190"/>
      <c r="AH137" s="190"/>
      <c r="AI137" s="190"/>
      <c r="AJ137" s="190"/>
      <c r="AK137" s="236"/>
      <c r="AL137" s="190"/>
      <c r="AM137" s="236"/>
      <c r="AN137" s="41"/>
      <c r="AO137" s="41"/>
      <c r="AP137" s="5"/>
      <c r="AQ137" s="4"/>
      <c r="AR137" s="4"/>
      <c r="AS137" s="4"/>
      <c r="AT137" s="5"/>
      <c r="AU137" s="5"/>
      <c r="AV137" s="5"/>
      <c r="AW137" s="236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37"/>
      <c r="BM137" s="5"/>
      <c r="BN137" s="5"/>
      <c r="BO137" s="5"/>
      <c r="BP137" s="236"/>
      <c r="BQ137" s="58"/>
      <c r="BR137" s="59"/>
      <c r="BS137" s="61"/>
      <c r="BT137" s="58"/>
      <c r="BU137" s="60"/>
      <c r="BV137" s="60"/>
      <c r="BW137" s="60"/>
      <c r="BX137" s="60"/>
      <c r="BY137" s="60"/>
      <c r="BZ137" s="61"/>
      <c r="CA137" s="61"/>
      <c r="CB137" s="61"/>
      <c r="CC137" s="61"/>
      <c r="CD137" s="59"/>
      <c r="CE137" s="59"/>
      <c r="CF137" s="59"/>
      <c r="CG137" s="59"/>
      <c r="CH137" s="61"/>
      <c r="CI137" s="61"/>
      <c r="CJ137" s="59"/>
      <c r="CK137" s="59"/>
      <c r="CL137" s="59"/>
      <c r="CM137" s="60"/>
      <c r="CN137" s="59"/>
      <c r="CO137" s="59"/>
      <c r="CP137" s="59"/>
      <c r="CQ137" s="236"/>
      <c r="CR137" s="37"/>
      <c r="CS137" s="5"/>
      <c r="CT137" s="5"/>
      <c r="CU137" s="5"/>
      <c r="CV137" s="236"/>
      <c r="CW137" s="5"/>
      <c r="CX137" s="5"/>
      <c r="CY137" s="5"/>
      <c r="CZ137" s="5"/>
      <c r="DA137" s="5"/>
      <c r="DB137" s="5"/>
      <c r="DC137" s="236"/>
      <c r="DD137" s="104"/>
      <c r="DE137" s="103"/>
      <c r="DF137" s="103"/>
      <c r="DG137" s="103"/>
      <c r="DH137" s="103"/>
      <c r="DI137" s="5"/>
      <c r="DJ137" s="172"/>
      <c r="DK137" s="104"/>
      <c r="DL137" s="104"/>
      <c r="DM137" s="103"/>
      <c r="DN137" s="102"/>
      <c r="DO137" s="104"/>
      <c r="DP137" s="104"/>
      <c r="DQ137" s="103"/>
      <c r="DR137" s="102"/>
      <c r="DS137" s="104"/>
      <c r="DT137" s="104"/>
      <c r="DU137" s="103"/>
      <c r="DV137" s="102"/>
      <c r="DW137" s="104"/>
      <c r="DX137" s="104"/>
      <c r="DY137" s="103"/>
      <c r="DZ137" s="102"/>
      <c r="EA137" s="104"/>
      <c r="EB137" s="104"/>
      <c r="EC137" s="103"/>
      <c r="ED137" s="102"/>
      <c r="EE137" s="236"/>
      <c r="EF137" s="5"/>
    </row>
    <row r="138" spans="1:136" s="3" customFormat="1" x14ac:dyDescent="0.15">
      <c r="A138" s="86"/>
      <c r="B138" s="65"/>
      <c r="C138" s="86"/>
      <c r="E138" s="4"/>
      <c r="F138" s="65"/>
      <c r="G138" s="65"/>
      <c r="H138" s="86"/>
      <c r="I138" s="65"/>
      <c r="J138" s="236"/>
      <c r="K138" s="5"/>
      <c r="L138" s="65"/>
      <c r="M138" s="5"/>
      <c r="N138" s="5"/>
      <c r="O138" s="190"/>
      <c r="P138" s="236"/>
      <c r="Q138" s="5"/>
      <c r="R138" s="5"/>
      <c r="S138" s="4"/>
      <c r="T138" s="4"/>
      <c r="U138" s="5"/>
      <c r="V138" s="5"/>
      <c r="W138" s="5"/>
      <c r="X138" s="86"/>
      <c r="Y138" s="86"/>
      <c r="Z138" s="177"/>
      <c r="AA138" s="5"/>
      <c r="AB138" s="190"/>
      <c r="AC138" s="190"/>
      <c r="AD138" s="236"/>
      <c r="AE138" s="190"/>
      <c r="AF138" s="190"/>
      <c r="AG138" s="190"/>
      <c r="AH138" s="190"/>
      <c r="AI138" s="190"/>
      <c r="AJ138" s="190"/>
      <c r="AK138" s="236"/>
      <c r="AL138" s="190"/>
      <c r="AM138" s="236"/>
      <c r="AN138" s="41"/>
      <c r="AO138" s="41"/>
      <c r="AP138" s="5"/>
      <c r="AQ138" s="4"/>
      <c r="AR138" s="4"/>
      <c r="AS138" s="4"/>
      <c r="AT138" s="5"/>
      <c r="AU138" s="5"/>
      <c r="AV138" s="5"/>
      <c r="AW138" s="236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37"/>
      <c r="BM138" s="5"/>
      <c r="BN138" s="5"/>
      <c r="BO138" s="5"/>
      <c r="BP138" s="236"/>
      <c r="BQ138" s="58"/>
      <c r="BR138" s="59"/>
      <c r="BS138" s="61"/>
      <c r="BT138" s="58"/>
      <c r="BU138" s="60"/>
      <c r="BV138" s="60"/>
      <c r="BW138" s="60"/>
      <c r="BX138" s="60"/>
      <c r="BY138" s="60"/>
      <c r="BZ138" s="61"/>
      <c r="CA138" s="61"/>
      <c r="CB138" s="61"/>
      <c r="CC138" s="61"/>
      <c r="CD138" s="59"/>
      <c r="CE138" s="59"/>
      <c r="CF138" s="59"/>
      <c r="CG138" s="59"/>
      <c r="CH138" s="61"/>
      <c r="CI138" s="61"/>
      <c r="CJ138" s="59"/>
      <c r="CK138" s="59"/>
      <c r="CL138" s="59"/>
      <c r="CM138" s="60"/>
      <c r="CN138" s="59"/>
      <c r="CO138" s="59"/>
      <c r="CP138" s="59"/>
      <c r="CQ138" s="236"/>
      <c r="CR138" s="37"/>
      <c r="CS138" s="5"/>
      <c r="CT138" s="5"/>
      <c r="CU138" s="5"/>
      <c r="CV138" s="236"/>
      <c r="CW138" s="5"/>
      <c r="CX138" s="5"/>
      <c r="CY138" s="5"/>
      <c r="CZ138" s="5"/>
      <c r="DA138" s="5"/>
      <c r="DB138" s="5"/>
      <c r="DC138" s="236"/>
      <c r="DD138" s="104"/>
      <c r="DE138" s="103"/>
      <c r="DF138" s="103"/>
      <c r="DG138" s="103"/>
      <c r="DH138" s="103"/>
      <c r="DI138" s="5"/>
      <c r="DJ138" s="172"/>
      <c r="DK138" s="104"/>
      <c r="DL138" s="104"/>
      <c r="DM138" s="103"/>
      <c r="DN138" s="102"/>
      <c r="DO138" s="104"/>
      <c r="DP138" s="104"/>
      <c r="DQ138" s="103"/>
      <c r="DR138" s="102"/>
      <c r="DS138" s="104"/>
      <c r="DT138" s="104"/>
      <c r="DU138" s="103"/>
      <c r="DV138" s="102"/>
      <c r="DW138" s="104"/>
      <c r="DX138" s="104"/>
      <c r="DY138" s="103"/>
      <c r="DZ138" s="102"/>
      <c r="EA138" s="104"/>
      <c r="EB138" s="104"/>
      <c r="EC138" s="103"/>
      <c r="ED138" s="102"/>
      <c r="EE138" s="236"/>
      <c r="EF138" s="5"/>
    </row>
    <row r="139" spans="1:136" s="3" customFormat="1" x14ac:dyDescent="0.15">
      <c r="A139" s="86"/>
      <c r="B139" s="65"/>
      <c r="C139" s="86"/>
      <c r="E139" s="4"/>
      <c r="F139" s="65"/>
      <c r="G139" s="65"/>
      <c r="H139" s="86"/>
      <c r="I139" s="65"/>
      <c r="J139" s="236"/>
      <c r="K139" s="5"/>
      <c r="L139" s="65"/>
      <c r="M139" s="5"/>
      <c r="N139" s="5"/>
      <c r="O139" s="190"/>
      <c r="P139" s="236"/>
      <c r="Q139" s="5"/>
      <c r="R139" s="5"/>
      <c r="S139" s="4"/>
      <c r="T139" s="4"/>
      <c r="U139" s="5"/>
      <c r="V139" s="5"/>
      <c r="W139" s="5"/>
      <c r="X139" s="86"/>
      <c r="Y139" s="86"/>
      <c r="Z139" s="177"/>
      <c r="AA139" s="5"/>
      <c r="AB139" s="190"/>
      <c r="AC139" s="190"/>
      <c r="AD139" s="236"/>
      <c r="AE139" s="190"/>
      <c r="AF139" s="190"/>
      <c r="AG139" s="190"/>
      <c r="AH139" s="190"/>
      <c r="AI139" s="190"/>
      <c r="AJ139" s="190"/>
      <c r="AK139" s="236"/>
      <c r="AL139" s="190"/>
      <c r="AM139" s="236"/>
      <c r="AN139" s="41"/>
      <c r="AO139" s="41"/>
      <c r="AP139" s="5"/>
      <c r="AQ139" s="4"/>
      <c r="AR139" s="4"/>
      <c r="AS139" s="4"/>
      <c r="AT139" s="5"/>
      <c r="AU139" s="5"/>
      <c r="AV139" s="5"/>
      <c r="AW139" s="236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37"/>
      <c r="BM139" s="5"/>
      <c r="BN139" s="5"/>
      <c r="BO139" s="5"/>
      <c r="BP139" s="236"/>
      <c r="BQ139" s="58"/>
      <c r="BR139" s="59"/>
      <c r="BS139" s="61"/>
      <c r="BT139" s="58"/>
      <c r="BU139" s="60"/>
      <c r="BV139" s="60"/>
      <c r="BW139" s="60"/>
      <c r="BX139" s="60"/>
      <c r="BY139" s="60"/>
      <c r="BZ139" s="61"/>
      <c r="CA139" s="61"/>
      <c r="CB139" s="61"/>
      <c r="CC139" s="61"/>
      <c r="CD139" s="59"/>
      <c r="CE139" s="59"/>
      <c r="CF139" s="59"/>
      <c r="CG139" s="59"/>
      <c r="CH139" s="61"/>
      <c r="CI139" s="61"/>
      <c r="CJ139" s="59"/>
      <c r="CK139" s="59"/>
      <c r="CL139" s="59"/>
      <c r="CM139" s="60"/>
      <c r="CN139" s="59"/>
      <c r="CO139" s="59"/>
      <c r="CP139" s="59"/>
      <c r="CQ139" s="236"/>
      <c r="CR139" s="37"/>
      <c r="CS139" s="5"/>
      <c r="CT139" s="5"/>
      <c r="CU139" s="5"/>
      <c r="CV139" s="236"/>
      <c r="CW139" s="5"/>
      <c r="CX139" s="5"/>
      <c r="CY139" s="5"/>
      <c r="CZ139" s="5"/>
      <c r="DA139" s="5"/>
      <c r="DB139" s="5"/>
      <c r="DC139" s="236"/>
      <c r="DD139" s="104"/>
      <c r="DE139" s="103"/>
      <c r="DF139" s="103"/>
      <c r="DG139" s="103"/>
      <c r="DH139" s="103"/>
      <c r="DI139" s="5"/>
      <c r="DJ139" s="172"/>
      <c r="DK139" s="104"/>
      <c r="DL139" s="104"/>
      <c r="DM139" s="103"/>
      <c r="DN139" s="102"/>
      <c r="DO139" s="104"/>
      <c r="DP139" s="104"/>
      <c r="DQ139" s="103"/>
      <c r="DR139" s="102"/>
      <c r="DS139" s="104"/>
      <c r="DT139" s="104"/>
      <c r="DU139" s="103"/>
      <c r="DV139" s="102"/>
      <c r="DW139" s="104"/>
      <c r="DX139" s="104"/>
      <c r="DY139" s="103"/>
      <c r="DZ139" s="102"/>
      <c r="EA139" s="104"/>
      <c r="EB139" s="104"/>
      <c r="EC139" s="103"/>
      <c r="ED139" s="102"/>
      <c r="EE139" s="236"/>
      <c r="EF139" s="5"/>
    </row>
    <row r="140" spans="1:136" s="3" customFormat="1" x14ac:dyDescent="0.15">
      <c r="A140" s="86"/>
      <c r="B140" s="65"/>
      <c r="C140" s="86"/>
      <c r="E140" s="4"/>
      <c r="F140" s="65"/>
      <c r="G140" s="65"/>
      <c r="H140" s="86"/>
      <c r="I140" s="65"/>
      <c r="J140" s="236"/>
      <c r="K140" s="5"/>
      <c r="L140" s="65"/>
      <c r="M140" s="5"/>
      <c r="N140" s="5"/>
      <c r="O140" s="190"/>
      <c r="P140" s="236"/>
      <c r="Q140" s="5"/>
      <c r="R140" s="5"/>
      <c r="S140" s="4"/>
      <c r="T140" s="4"/>
      <c r="U140" s="5"/>
      <c r="V140" s="5"/>
      <c r="W140" s="5"/>
      <c r="X140" s="86"/>
      <c r="Y140" s="86"/>
      <c r="Z140" s="177"/>
      <c r="AA140" s="5"/>
      <c r="AB140" s="190"/>
      <c r="AC140" s="190"/>
      <c r="AD140" s="236"/>
      <c r="AE140" s="190"/>
      <c r="AF140" s="190"/>
      <c r="AG140" s="190"/>
      <c r="AH140" s="190"/>
      <c r="AI140" s="190"/>
      <c r="AJ140" s="190"/>
      <c r="AK140" s="236"/>
      <c r="AL140" s="190"/>
      <c r="AM140" s="236"/>
      <c r="AN140" s="41"/>
      <c r="AO140" s="41"/>
      <c r="AP140" s="5"/>
      <c r="AQ140" s="4"/>
      <c r="AR140" s="4"/>
      <c r="AS140" s="4"/>
      <c r="AT140" s="5"/>
      <c r="AU140" s="5"/>
      <c r="AV140" s="5"/>
      <c r="AW140" s="236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37"/>
      <c r="BM140" s="5"/>
      <c r="BN140" s="5"/>
      <c r="BO140" s="5"/>
      <c r="BP140" s="236"/>
      <c r="BQ140" s="58"/>
      <c r="BR140" s="59"/>
      <c r="BS140" s="61"/>
      <c r="BT140" s="58"/>
      <c r="BU140" s="60"/>
      <c r="BV140" s="60"/>
      <c r="BW140" s="60"/>
      <c r="BX140" s="60"/>
      <c r="BY140" s="60"/>
      <c r="BZ140" s="61"/>
      <c r="CA140" s="61"/>
      <c r="CB140" s="61"/>
      <c r="CC140" s="61"/>
      <c r="CD140" s="59"/>
      <c r="CE140" s="59"/>
      <c r="CF140" s="59"/>
      <c r="CG140" s="59"/>
      <c r="CH140" s="61"/>
      <c r="CI140" s="61"/>
      <c r="CJ140" s="59"/>
      <c r="CK140" s="59"/>
      <c r="CL140" s="59"/>
      <c r="CM140" s="60"/>
      <c r="CN140" s="59"/>
      <c r="CO140" s="59"/>
      <c r="CP140" s="59"/>
      <c r="CQ140" s="236"/>
      <c r="CR140" s="37"/>
      <c r="CS140" s="5"/>
      <c r="CT140" s="5"/>
      <c r="CU140" s="5"/>
      <c r="CV140" s="236"/>
      <c r="CW140" s="5"/>
      <c r="CX140" s="5"/>
      <c r="CY140" s="5"/>
      <c r="CZ140" s="5"/>
      <c r="DA140" s="5"/>
      <c r="DB140" s="5"/>
      <c r="DC140" s="236"/>
      <c r="DD140" s="104"/>
      <c r="DE140" s="103"/>
      <c r="DF140" s="103"/>
      <c r="DG140" s="103"/>
      <c r="DH140" s="103"/>
      <c r="DI140" s="5"/>
      <c r="DJ140" s="172"/>
      <c r="DK140" s="104"/>
      <c r="DL140" s="104"/>
      <c r="DM140" s="103"/>
      <c r="DN140" s="102"/>
      <c r="DO140" s="104"/>
      <c r="DP140" s="104"/>
      <c r="DQ140" s="103"/>
      <c r="DR140" s="102"/>
      <c r="DS140" s="104"/>
      <c r="DT140" s="104"/>
      <c r="DU140" s="103"/>
      <c r="DV140" s="102"/>
      <c r="DW140" s="104"/>
      <c r="DX140" s="104"/>
      <c r="DY140" s="103"/>
      <c r="DZ140" s="102"/>
      <c r="EA140" s="104"/>
      <c r="EB140" s="104"/>
      <c r="EC140" s="103"/>
      <c r="ED140" s="102"/>
      <c r="EE140" s="236"/>
      <c r="EF140" s="5"/>
    </row>
    <row r="141" spans="1:136" s="3" customFormat="1" x14ac:dyDescent="0.15">
      <c r="A141" s="86"/>
      <c r="B141" s="65"/>
      <c r="C141" s="86"/>
      <c r="E141" s="4"/>
      <c r="F141" s="65"/>
      <c r="G141" s="65"/>
      <c r="H141" s="86"/>
      <c r="I141" s="65"/>
      <c r="J141" s="236"/>
      <c r="K141" s="5"/>
      <c r="L141" s="65"/>
      <c r="M141" s="5"/>
      <c r="N141" s="5"/>
      <c r="O141" s="190"/>
      <c r="P141" s="236"/>
      <c r="Q141" s="5"/>
      <c r="R141" s="5"/>
      <c r="S141" s="4"/>
      <c r="T141" s="4"/>
      <c r="U141" s="5"/>
      <c r="V141" s="5"/>
      <c r="W141" s="5"/>
      <c r="X141" s="86"/>
      <c r="Y141" s="86"/>
      <c r="Z141" s="177"/>
      <c r="AA141" s="5"/>
      <c r="AB141" s="190"/>
      <c r="AC141" s="190"/>
      <c r="AD141" s="236"/>
      <c r="AE141" s="190"/>
      <c r="AF141" s="190"/>
      <c r="AG141" s="190"/>
      <c r="AH141" s="190"/>
      <c r="AI141" s="190"/>
      <c r="AJ141" s="190"/>
      <c r="AK141" s="236"/>
      <c r="AL141" s="190"/>
      <c r="AM141" s="236"/>
      <c r="AN141" s="41"/>
      <c r="AO141" s="41"/>
      <c r="AP141" s="5"/>
      <c r="AQ141" s="4"/>
      <c r="AR141" s="4"/>
      <c r="AS141" s="4"/>
      <c r="AT141" s="5"/>
      <c r="AU141" s="5"/>
      <c r="AV141" s="5"/>
      <c r="AW141" s="236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37"/>
      <c r="BM141" s="5"/>
      <c r="BN141" s="5"/>
      <c r="BO141" s="5"/>
      <c r="BP141" s="236"/>
      <c r="BQ141" s="58"/>
      <c r="BR141" s="59"/>
      <c r="BS141" s="61"/>
      <c r="BT141" s="58"/>
      <c r="BU141" s="60"/>
      <c r="BV141" s="60"/>
      <c r="BW141" s="60"/>
      <c r="BX141" s="60"/>
      <c r="BY141" s="60"/>
      <c r="BZ141" s="61"/>
      <c r="CA141" s="61"/>
      <c r="CB141" s="61"/>
      <c r="CC141" s="61"/>
      <c r="CD141" s="59"/>
      <c r="CE141" s="59"/>
      <c r="CF141" s="59"/>
      <c r="CG141" s="59"/>
      <c r="CH141" s="61"/>
      <c r="CI141" s="61"/>
      <c r="CJ141" s="59"/>
      <c r="CK141" s="59"/>
      <c r="CL141" s="59"/>
      <c r="CM141" s="60"/>
      <c r="CN141" s="59"/>
      <c r="CO141" s="59"/>
      <c r="CP141" s="59"/>
      <c r="CQ141" s="236"/>
      <c r="CR141" s="37"/>
      <c r="CS141" s="5"/>
      <c r="CT141" s="5"/>
      <c r="CU141" s="5"/>
      <c r="CV141" s="236"/>
      <c r="CW141" s="5"/>
      <c r="CX141" s="5"/>
      <c r="CY141" s="5"/>
      <c r="CZ141" s="5"/>
      <c r="DA141" s="5"/>
      <c r="DB141" s="5"/>
      <c r="DC141" s="236"/>
      <c r="DD141" s="104"/>
      <c r="DE141" s="103"/>
      <c r="DF141" s="103"/>
      <c r="DG141" s="103"/>
      <c r="DH141" s="103"/>
      <c r="DI141" s="5"/>
      <c r="DJ141" s="172"/>
      <c r="DK141" s="104"/>
      <c r="DL141" s="104"/>
      <c r="DM141" s="103"/>
      <c r="DN141" s="102"/>
      <c r="DO141" s="104"/>
      <c r="DP141" s="104"/>
      <c r="DQ141" s="103"/>
      <c r="DR141" s="102"/>
      <c r="DS141" s="104"/>
      <c r="DT141" s="104"/>
      <c r="DU141" s="103"/>
      <c r="DV141" s="102"/>
      <c r="DW141" s="104"/>
      <c r="DX141" s="104"/>
      <c r="DY141" s="103"/>
      <c r="DZ141" s="102"/>
      <c r="EA141" s="104"/>
      <c r="EB141" s="104"/>
      <c r="EC141" s="103"/>
      <c r="ED141" s="102"/>
      <c r="EE141" s="236"/>
      <c r="EF141" s="5"/>
    </row>
    <row r="142" spans="1:136" s="3" customFormat="1" x14ac:dyDescent="0.15">
      <c r="A142" s="86"/>
      <c r="B142" s="65"/>
      <c r="C142" s="86"/>
      <c r="E142" s="4"/>
      <c r="F142" s="65"/>
      <c r="G142" s="65"/>
      <c r="H142" s="86"/>
      <c r="I142" s="65"/>
      <c r="J142" s="236"/>
      <c r="K142" s="5"/>
      <c r="L142" s="65"/>
      <c r="M142" s="5"/>
      <c r="N142" s="5"/>
      <c r="O142" s="190"/>
      <c r="P142" s="236"/>
      <c r="Q142" s="5"/>
      <c r="R142" s="5"/>
      <c r="S142" s="4"/>
      <c r="T142" s="4"/>
      <c r="U142" s="5"/>
      <c r="V142" s="5"/>
      <c r="W142" s="5"/>
      <c r="X142" s="86"/>
      <c r="Y142" s="86"/>
      <c r="Z142" s="177"/>
      <c r="AA142" s="5"/>
      <c r="AB142" s="190"/>
      <c r="AC142" s="190"/>
      <c r="AD142" s="236"/>
      <c r="AE142" s="190"/>
      <c r="AF142" s="190"/>
      <c r="AG142" s="190"/>
      <c r="AH142" s="190"/>
      <c r="AI142" s="190"/>
      <c r="AJ142" s="190"/>
      <c r="AK142" s="236"/>
      <c r="AL142" s="190"/>
      <c r="AM142" s="236"/>
      <c r="AN142" s="41"/>
      <c r="AO142" s="41"/>
      <c r="AP142" s="5"/>
      <c r="AQ142" s="4"/>
      <c r="AR142" s="4"/>
      <c r="AS142" s="4"/>
      <c r="AT142" s="5"/>
      <c r="AU142" s="5"/>
      <c r="AV142" s="5"/>
      <c r="AW142" s="236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37"/>
      <c r="BM142" s="5"/>
      <c r="BN142" s="5"/>
      <c r="BO142" s="5"/>
      <c r="BP142" s="236"/>
      <c r="BQ142" s="58"/>
      <c r="BR142" s="59"/>
      <c r="BS142" s="61"/>
      <c r="BT142" s="58"/>
      <c r="BU142" s="60"/>
      <c r="BV142" s="60"/>
      <c r="BW142" s="60"/>
      <c r="BX142" s="60"/>
      <c r="BY142" s="60"/>
      <c r="BZ142" s="61"/>
      <c r="CA142" s="61"/>
      <c r="CB142" s="61"/>
      <c r="CC142" s="61"/>
      <c r="CD142" s="59"/>
      <c r="CE142" s="59"/>
      <c r="CF142" s="59"/>
      <c r="CG142" s="59"/>
      <c r="CH142" s="61"/>
      <c r="CI142" s="61"/>
      <c r="CJ142" s="59"/>
      <c r="CK142" s="59"/>
      <c r="CL142" s="59"/>
      <c r="CM142" s="60"/>
      <c r="CN142" s="59"/>
      <c r="CO142" s="59"/>
      <c r="CP142" s="59"/>
      <c r="CQ142" s="236"/>
      <c r="CR142" s="37"/>
      <c r="CS142" s="5"/>
      <c r="CT142" s="5"/>
      <c r="CU142" s="5"/>
      <c r="CV142" s="236"/>
      <c r="CW142" s="5"/>
      <c r="CX142" s="5"/>
      <c r="CY142" s="5"/>
      <c r="CZ142" s="5"/>
      <c r="DA142" s="5"/>
      <c r="DB142" s="5"/>
      <c r="DC142" s="236"/>
      <c r="DD142" s="104"/>
      <c r="DE142" s="103"/>
      <c r="DF142" s="103"/>
      <c r="DG142" s="103"/>
      <c r="DH142" s="103"/>
      <c r="DI142" s="5"/>
      <c r="DJ142" s="172"/>
      <c r="DK142" s="104"/>
      <c r="DL142" s="104"/>
      <c r="DM142" s="103"/>
      <c r="DN142" s="102"/>
      <c r="DO142" s="104"/>
      <c r="DP142" s="104"/>
      <c r="DQ142" s="103"/>
      <c r="DR142" s="102"/>
      <c r="DS142" s="104"/>
      <c r="DT142" s="104"/>
      <c r="DU142" s="103"/>
      <c r="DV142" s="102"/>
      <c r="DW142" s="104"/>
      <c r="DX142" s="104"/>
      <c r="DY142" s="103"/>
      <c r="DZ142" s="102"/>
      <c r="EA142" s="104"/>
      <c r="EB142" s="104"/>
      <c r="EC142" s="103"/>
      <c r="ED142" s="102"/>
      <c r="EE142" s="236"/>
      <c r="EF142" s="5"/>
    </row>
    <row r="143" spans="1:136" s="3" customFormat="1" x14ac:dyDescent="0.15">
      <c r="A143" s="86"/>
      <c r="B143" s="65"/>
      <c r="C143" s="86"/>
      <c r="E143" s="4"/>
      <c r="F143" s="65"/>
      <c r="G143" s="65"/>
      <c r="H143" s="86"/>
      <c r="I143" s="65"/>
      <c r="J143" s="236"/>
      <c r="K143" s="5"/>
      <c r="L143" s="65"/>
      <c r="M143" s="5"/>
      <c r="N143" s="5"/>
      <c r="O143" s="190"/>
      <c r="P143" s="236"/>
      <c r="Q143" s="5"/>
      <c r="R143" s="5"/>
      <c r="S143" s="4"/>
      <c r="T143" s="4"/>
      <c r="U143" s="5"/>
      <c r="V143" s="5"/>
      <c r="W143" s="5"/>
      <c r="X143" s="86"/>
      <c r="Y143" s="86"/>
      <c r="Z143" s="177"/>
      <c r="AA143" s="5"/>
      <c r="AB143" s="190"/>
      <c r="AC143" s="190"/>
      <c r="AD143" s="236"/>
      <c r="AE143" s="190"/>
      <c r="AF143" s="190"/>
      <c r="AG143" s="190"/>
      <c r="AH143" s="190"/>
      <c r="AI143" s="190"/>
      <c r="AJ143" s="190"/>
      <c r="AK143" s="236"/>
      <c r="AL143" s="190"/>
      <c r="AM143" s="236"/>
      <c r="AN143" s="41"/>
      <c r="AO143" s="41"/>
      <c r="AP143" s="5"/>
      <c r="AQ143" s="4"/>
      <c r="AR143" s="4"/>
      <c r="AS143" s="4"/>
      <c r="AT143" s="5"/>
      <c r="AU143" s="5"/>
      <c r="AV143" s="5"/>
      <c r="AW143" s="236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37"/>
      <c r="BM143" s="5"/>
      <c r="BN143" s="5"/>
      <c r="BO143" s="5"/>
      <c r="BP143" s="236"/>
      <c r="BQ143" s="58"/>
      <c r="BR143" s="59"/>
      <c r="BS143" s="61"/>
      <c r="BT143" s="58"/>
      <c r="BU143" s="60"/>
      <c r="BV143" s="60"/>
      <c r="BW143" s="60"/>
      <c r="BX143" s="60"/>
      <c r="BY143" s="60"/>
      <c r="BZ143" s="61"/>
      <c r="CA143" s="61"/>
      <c r="CB143" s="61"/>
      <c r="CC143" s="61"/>
      <c r="CD143" s="59"/>
      <c r="CE143" s="59"/>
      <c r="CF143" s="59"/>
      <c r="CG143" s="59"/>
      <c r="CH143" s="61"/>
      <c r="CI143" s="61"/>
      <c r="CJ143" s="59"/>
      <c r="CK143" s="59"/>
      <c r="CL143" s="59"/>
      <c r="CM143" s="60"/>
      <c r="CN143" s="59"/>
      <c r="CO143" s="59"/>
      <c r="CP143" s="59"/>
      <c r="CQ143" s="236"/>
      <c r="CR143" s="37"/>
      <c r="CS143" s="5"/>
      <c r="CT143" s="5"/>
      <c r="CU143" s="5"/>
      <c r="CV143" s="236"/>
      <c r="CW143" s="5"/>
      <c r="CX143" s="5"/>
      <c r="CY143" s="5"/>
      <c r="CZ143" s="5"/>
      <c r="DA143" s="5"/>
      <c r="DB143" s="5"/>
      <c r="DC143" s="236"/>
      <c r="DD143" s="104"/>
      <c r="DE143" s="103"/>
      <c r="DF143" s="103"/>
      <c r="DG143" s="103"/>
      <c r="DH143" s="103"/>
      <c r="DI143" s="5"/>
      <c r="DJ143" s="172"/>
      <c r="DK143" s="104"/>
      <c r="DL143" s="104"/>
      <c r="DM143" s="103"/>
      <c r="DN143" s="102"/>
      <c r="DO143" s="104"/>
      <c r="DP143" s="104"/>
      <c r="DQ143" s="103"/>
      <c r="DR143" s="102"/>
      <c r="DS143" s="104"/>
      <c r="DT143" s="104"/>
      <c r="DU143" s="103"/>
      <c r="DV143" s="102"/>
      <c r="DW143" s="104"/>
      <c r="DX143" s="104"/>
      <c r="DY143" s="103"/>
      <c r="DZ143" s="102"/>
      <c r="EA143" s="104"/>
      <c r="EB143" s="104"/>
      <c r="EC143" s="103"/>
      <c r="ED143" s="102"/>
      <c r="EE143" s="236"/>
      <c r="EF143" s="5"/>
    </row>
    <row r="144" spans="1:136" s="3" customFormat="1" x14ac:dyDescent="0.15">
      <c r="A144" s="86"/>
      <c r="B144" s="65"/>
      <c r="C144" s="86"/>
      <c r="E144" s="4"/>
      <c r="F144" s="65"/>
      <c r="G144" s="65"/>
      <c r="H144" s="86"/>
      <c r="I144" s="65"/>
      <c r="J144" s="236"/>
      <c r="K144" s="5"/>
      <c r="L144" s="65"/>
      <c r="M144" s="5"/>
      <c r="N144" s="5"/>
      <c r="O144" s="190"/>
      <c r="P144" s="236"/>
      <c r="Q144" s="5"/>
      <c r="R144" s="5"/>
      <c r="S144" s="4"/>
      <c r="T144" s="4"/>
      <c r="U144" s="5"/>
      <c r="V144" s="5"/>
      <c r="W144" s="5"/>
      <c r="X144" s="86"/>
      <c r="Y144" s="86"/>
      <c r="Z144" s="177"/>
      <c r="AA144" s="5"/>
      <c r="AB144" s="190"/>
      <c r="AC144" s="190"/>
      <c r="AD144" s="236"/>
      <c r="AE144" s="190"/>
      <c r="AF144" s="190"/>
      <c r="AG144" s="190"/>
      <c r="AH144" s="190"/>
      <c r="AI144" s="190"/>
      <c r="AJ144" s="190"/>
      <c r="AK144" s="236"/>
      <c r="AL144" s="190"/>
      <c r="AM144" s="236"/>
      <c r="AN144" s="41"/>
      <c r="AO144" s="41"/>
      <c r="AP144" s="5"/>
      <c r="AQ144" s="4"/>
      <c r="AR144" s="4"/>
      <c r="AS144" s="4"/>
      <c r="AT144" s="5"/>
      <c r="AU144" s="5"/>
      <c r="AV144" s="5"/>
      <c r="AW144" s="236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37"/>
      <c r="BM144" s="5"/>
      <c r="BN144" s="5"/>
      <c r="BO144" s="5"/>
      <c r="BP144" s="236"/>
      <c r="BQ144" s="58"/>
      <c r="BR144" s="59"/>
      <c r="BS144" s="61"/>
      <c r="BT144" s="58"/>
      <c r="BU144" s="60"/>
      <c r="BV144" s="60"/>
      <c r="BW144" s="60"/>
      <c r="BX144" s="60"/>
      <c r="BY144" s="60"/>
      <c r="BZ144" s="61"/>
      <c r="CA144" s="61"/>
      <c r="CB144" s="61"/>
      <c r="CC144" s="61"/>
      <c r="CD144" s="59"/>
      <c r="CE144" s="59"/>
      <c r="CF144" s="59"/>
      <c r="CG144" s="59"/>
      <c r="CH144" s="61"/>
      <c r="CI144" s="61"/>
      <c r="CJ144" s="59"/>
      <c r="CK144" s="59"/>
      <c r="CL144" s="59"/>
      <c r="CM144" s="60"/>
      <c r="CN144" s="59"/>
      <c r="CO144" s="59"/>
      <c r="CP144" s="59"/>
      <c r="CQ144" s="236"/>
      <c r="CR144" s="37"/>
      <c r="CS144" s="5"/>
      <c r="CT144" s="5"/>
      <c r="CU144" s="5"/>
      <c r="CV144" s="236"/>
      <c r="CW144" s="5"/>
      <c r="CX144" s="5"/>
      <c r="CY144" s="5"/>
      <c r="CZ144" s="5"/>
      <c r="DA144" s="5"/>
      <c r="DB144" s="5"/>
      <c r="DC144" s="236"/>
      <c r="DD144" s="104"/>
      <c r="DE144" s="103"/>
      <c r="DF144" s="103"/>
      <c r="DG144" s="103"/>
      <c r="DH144" s="103"/>
      <c r="DI144" s="5"/>
      <c r="DJ144" s="172"/>
      <c r="DK144" s="104"/>
      <c r="DL144" s="104"/>
      <c r="DM144" s="103"/>
      <c r="DN144" s="102"/>
      <c r="DO144" s="104"/>
      <c r="DP144" s="104"/>
      <c r="DQ144" s="103"/>
      <c r="DR144" s="102"/>
      <c r="DS144" s="104"/>
      <c r="DT144" s="104"/>
      <c r="DU144" s="103"/>
      <c r="DV144" s="102"/>
      <c r="DW144" s="104"/>
      <c r="DX144" s="104"/>
      <c r="DY144" s="103"/>
      <c r="DZ144" s="102"/>
      <c r="EA144" s="104"/>
      <c r="EB144" s="104"/>
      <c r="EC144" s="103"/>
      <c r="ED144" s="102"/>
      <c r="EE144" s="236"/>
      <c r="EF144" s="5"/>
    </row>
    <row r="145" spans="1:136" s="3" customFormat="1" x14ac:dyDescent="0.15">
      <c r="A145" s="86"/>
      <c r="B145" s="65"/>
      <c r="C145" s="86"/>
      <c r="E145" s="4"/>
      <c r="F145" s="65"/>
      <c r="G145" s="65"/>
      <c r="H145" s="86"/>
      <c r="I145" s="65"/>
      <c r="J145" s="236"/>
      <c r="K145" s="5"/>
      <c r="L145" s="65"/>
      <c r="M145" s="5"/>
      <c r="N145" s="5"/>
      <c r="O145" s="190"/>
      <c r="P145" s="236"/>
      <c r="Q145" s="5"/>
      <c r="R145" s="5"/>
      <c r="S145" s="4"/>
      <c r="T145" s="4"/>
      <c r="U145" s="5"/>
      <c r="V145" s="5"/>
      <c r="W145" s="5"/>
      <c r="X145" s="86"/>
      <c r="Y145" s="86"/>
      <c r="Z145" s="177"/>
      <c r="AA145" s="5"/>
      <c r="AB145" s="190"/>
      <c r="AC145" s="190"/>
      <c r="AD145" s="236"/>
      <c r="AE145" s="190"/>
      <c r="AF145" s="190"/>
      <c r="AG145" s="190"/>
      <c r="AH145" s="190"/>
      <c r="AI145" s="190"/>
      <c r="AJ145" s="190"/>
      <c r="AK145" s="236"/>
      <c r="AL145" s="190"/>
      <c r="AM145" s="236"/>
      <c r="AN145" s="41"/>
      <c r="AO145" s="41"/>
      <c r="AP145" s="5"/>
      <c r="AQ145" s="4"/>
      <c r="AR145" s="4"/>
      <c r="AS145" s="4"/>
      <c r="AT145" s="5"/>
      <c r="AU145" s="5"/>
      <c r="AV145" s="5"/>
      <c r="AW145" s="236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37"/>
      <c r="BM145" s="5"/>
      <c r="BN145" s="5"/>
      <c r="BO145" s="5"/>
      <c r="BP145" s="236"/>
      <c r="BQ145" s="58"/>
      <c r="BR145" s="59"/>
      <c r="BS145" s="61"/>
      <c r="BT145" s="58"/>
      <c r="BU145" s="60"/>
      <c r="BV145" s="60"/>
      <c r="BW145" s="60"/>
      <c r="BX145" s="60"/>
      <c r="BY145" s="60"/>
      <c r="BZ145" s="61"/>
      <c r="CA145" s="61"/>
      <c r="CB145" s="61"/>
      <c r="CC145" s="61"/>
      <c r="CD145" s="59"/>
      <c r="CE145" s="59"/>
      <c r="CF145" s="59"/>
      <c r="CG145" s="59"/>
      <c r="CH145" s="61"/>
      <c r="CI145" s="61"/>
      <c r="CJ145" s="59"/>
      <c r="CK145" s="59"/>
      <c r="CL145" s="59"/>
      <c r="CM145" s="60"/>
      <c r="CN145" s="59"/>
      <c r="CO145" s="59"/>
      <c r="CP145" s="59"/>
      <c r="CQ145" s="236"/>
      <c r="CR145" s="37"/>
      <c r="CS145" s="5"/>
      <c r="CT145" s="5"/>
      <c r="CU145" s="5"/>
      <c r="CV145" s="236"/>
      <c r="CW145" s="5"/>
      <c r="CX145" s="5"/>
      <c r="CY145" s="5"/>
      <c r="CZ145" s="5"/>
      <c r="DA145" s="5"/>
      <c r="DB145" s="5"/>
      <c r="DC145" s="236"/>
      <c r="DD145" s="104"/>
      <c r="DE145" s="103"/>
      <c r="DF145" s="103"/>
      <c r="DG145" s="103"/>
      <c r="DH145" s="103"/>
      <c r="DI145" s="5"/>
      <c r="DJ145" s="172"/>
      <c r="DK145" s="104"/>
      <c r="DL145" s="104"/>
      <c r="DM145" s="103"/>
      <c r="DN145" s="102"/>
      <c r="DO145" s="104"/>
      <c r="DP145" s="104"/>
      <c r="DQ145" s="103"/>
      <c r="DR145" s="102"/>
      <c r="DS145" s="104"/>
      <c r="DT145" s="104"/>
      <c r="DU145" s="103"/>
      <c r="DV145" s="102"/>
      <c r="DW145" s="104"/>
      <c r="DX145" s="104"/>
      <c r="DY145" s="103"/>
      <c r="DZ145" s="102"/>
      <c r="EA145" s="104"/>
      <c r="EB145" s="104"/>
      <c r="EC145" s="103"/>
      <c r="ED145" s="102"/>
      <c r="EE145" s="236"/>
      <c r="EF145" s="5"/>
    </row>
    <row r="146" spans="1:136" s="3" customFormat="1" x14ac:dyDescent="0.15">
      <c r="A146" s="86"/>
      <c r="B146" s="65"/>
      <c r="C146" s="86"/>
      <c r="E146" s="4"/>
      <c r="F146" s="65"/>
      <c r="G146" s="65"/>
      <c r="H146" s="86"/>
      <c r="I146" s="65"/>
      <c r="J146" s="236"/>
      <c r="K146" s="5"/>
      <c r="L146" s="65"/>
      <c r="M146" s="5"/>
      <c r="N146" s="5"/>
      <c r="O146" s="190"/>
      <c r="P146" s="236"/>
      <c r="Q146" s="5"/>
      <c r="R146" s="5"/>
      <c r="S146" s="4"/>
      <c r="T146" s="4"/>
      <c r="U146" s="5"/>
      <c r="V146" s="5"/>
      <c r="W146" s="5"/>
      <c r="X146" s="86"/>
      <c r="Y146" s="86"/>
      <c r="Z146" s="177"/>
      <c r="AA146" s="5"/>
      <c r="AB146" s="190"/>
      <c r="AC146" s="190"/>
      <c r="AD146" s="236"/>
      <c r="AE146" s="190"/>
      <c r="AF146" s="190"/>
      <c r="AG146" s="190"/>
      <c r="AH146" s="190"/>
      <c r="AI146" s="190"/>
      <c r="AJ146" s="190"/>
      <c r="AK146" s="236"/>
      <c r="AL146" s="190"/>
      <c r="AM146" s="236"/>
      <c r="AN146" s="41"/>
      <c r="AO146" s="41"/>
      <c r="AP146" s="5"/>
      <c r="AQ146" s="4"/>
      <c r="AR146" s="4"/>
      <c r="AS146" s="4"/>
      <c r="AT146" s="5"/>
      <c r="AU146" s="5"/>
      <c r="AV146" s="5"/>
      <c r="AW146" s="236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37"/>
      <c r="BM146" s="5"/>
      <c r="BN146" s="5"/>
      <c r="BO146" s="5"/>
      <c r="BP146" s="236"/>
      <c r="BQ146" s="58"/>
      <c r="BR146" s="59"/>
      <c r="BS146" s="61"/>
      <c r="BT146" s="58"/>
      <c r="BU146" s="60"/>
      <c r="BV146" s="60"/>
      <c r="BW146" s="60"/>
      <c r="BX146" s="60"/>
      <c r="BY146" s="60"/>
      <c r="BZ146" s="61"/>
      <c r="CA146" s="61"/>
      <c r="CB146" s="61"/>
      <c r="CC146" s="61"/>
      <c r="CD146" s="59"/>
      <c r="CE146" s="59"/>
      <c r="CF146" s="59"/>
      <c r="CG146" s="59"/>
      <c r="CH146" s="61"/>
      <c r="CI146" s="61"/>
      <c r="CJ146" s="59"/>
      <c r="CK146" s="59"/>
      <c r="CL146" s="59"/>
      <c r="CM146" s="60"/>
      <c r="CN146" s="59"/>
      <c r="CO146" s="59"/>
      <c r="CP146" s="59"/>
      <c r="CQ146" s="236"/>
      <c r="CR146" s="37"/>
      <c r="CS146" s="5"/>
      <c r="CT146" s="5"/>
      <c r="CU146" s="5"/>
      <c r="CV146" s="236"/>
      <c r="CW146" s="5"/>
      <c r="CX146" s="5"/>
      <c r="CY146" s="5"/>
      <c r="CZ146" s="5"/>
      <c r="DA146" s="5"/>
      <c r="DB146" s="5"/>
      <c r="DC146" s="236"/>
      <c r="DD146" s="104"/>
      <c r="DE146" s="103"/>
      <c r="DF146" s="103"/>
      <c r="DG146" s="103"/>
      <c r="DH146" s="103"/>
      <c r="DI146" s="5"/>
      <c r="DJ146" s="172"/>
      <c r="DK146" s="104"/>
      <c r="DL146" s="104"/>
      <c r="DM146" s="103"/>
      <c r="DN146" s="102"/>
      <c r="DO146" s="104"/>
      <c r="DP146" s="104"/>
      <c r="DQ146" s="103"/>
      <c r="DR146" s="102"/>
      <c r="DS146" s="104"/>
      <c r="DT146" s="104"/>
      <c r="DU146" s="103"/>
      <c r="DV146" s="102"/>
      <c r="DW146" s="104"/>
      <c r="DX146" s="104"/>
      <c r="DY146" s="103"/>
      <c r="DZ146" s="102"/>
      <c r="EA146" s="104"/>
      <c r="EB146" s="104"/>
      <c r="EC146" s="103"/>
      <c r="ED146" s="102"/>
      <c r="EE146" s="236"/>
      <c r="EF146" s="5"/>
    </row>
    <row r="147" spans="1:136" s="3" customFormat="1" x14ac:dyDescent="0.15">
      <c r="A147" s="86"/>
      <c r="B147" s="65"/>
      <c r="C147" s="86"/>
      <c r="E147" s="4"/>
      <c r="F147" s="65"/>
      <c r="G147" s="65"/>
      <c r="H147" s="86"/>
      <c r="I147" s="65"/>
      <c r="J147" s="236"/>
      <c r="K147" s="5"/>
      <c r="L147" s="65"/>
      <c r="M147" s="5"/>
      <c r="N147" s="5"/>
      <c r="O147" s="190"/>
      <c r="P147" s="236"/>
      <c r="Q147" s="5"/>
      <c r="R147" s="5"/>
      <c r="S147" s="4"/>
      <c r="T147" s="4"/>
      <c r="U147" s="5"/>
      <c r="V147" s="5"/>
      <c r="W147" s="5"/>
      <c r="X147" s="86"/>
      <c r="Y147" s="86"/>
      <c r="Z147" s="177"/>
      <c r="AA147" s="5"/>
      <c r="AB147" s="190"/>
      <c r="AC147" s="190"/>
      <c r="AD147" s="236"/>
      <c r="AE147" s="190"/>
      <c r="AF147" s="190"/>
      <c r="AG147" s="190"/>
      <c r="AH147" s="190"/>
      <c r="AI147" s="190"/>
      <c r="AJ147" s="190"/>
      <c r="AK147" s="236"/>
      <c r="AL147" s="190"/>
      <c r="AM147" s="236"/>
      <c r="AN147" s="41"/>
      <c r="AO147" s="41"/>
      <c r="AP147" s="5"/>
      <c r="AQ147" s="4"/>
      <c r="AR147" s="4"/>
      <c r="AS147" s="4"/>
      <c r="AT147" s="5"/>
      <c r="AU147" s="5"/>
      <c r="AV147" s="5"/>
      <c r="AW147" s="236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37"/>
      <c r="BM147" s="5"/>
      <c r="BN147" s="5"/>
      <c r="BO147" s="5"/>
      <c r="BP147" s="236"/>
      <c r="BQ147" s="58"/>
      <c r="BR147" s="59"/>
      <c r="BS147" s="61"/>
      <c r="BT147" s="58"/>
      <c r="BU147" s="60"/>
      <c r="BV147" s="60"/>
      <c r="BW147" s="60"/>
      <c r="BX147" s="60"/>
      <c r="BY147" s="60"/>
      <c r="BZ147" s="61"/>
      <c r="CA147" s="61"/>
      <c r="CB147" s="61"/>
      <c r="CC147" s="61"/>
      <c r="CD147" s="59"/>
      <c r="CE147" s="59"/>
      <c r="CF147" s="59"/>
      <c r="CG147" s="59"/>
      <c r="CH147" s="61"/>
      <c r="CI147" s="61"/>
      <c r="CJ147" s="59"/>
      <c r="CK147" s="59"/>
      <c r="CL147" s="59"/>
      <c r="CM147" s="60"/>
      <c r="CN147" s="59"/>
      <c r="CO147" s="59"/>
      <c r="CP147" s="59"/>
      <c r="CQ147" s="236"/>
      <c r="CR147" s="37"/>
      <c r="CS147" s="5"/>
      <c r="CT147" s="5"/>
      <c r="CU147" s="5"/>
      <c r="CV147" s="236"/>
      <c r="CW147" s="5"/>
      <c r="CX147" s="5"/>
      <c r="CY147" s="5"/>
      <c r="CZ147" s="5"/>
      <c r="DA147" s="5"/>
      <c r="DB147" s="5"/>
      <c r="DC147" s="236"/>
      <c r="DD147" s="104"/>
      <c r="DE147" s="103"/>
      <c r="DF147" s="103"/>
      <c r="DG147" s="103"/>
      <c r="DH147" s="103"/>
      <c r="DI147" s="5"/>
      <c r="DJ147" s="172"/>
      <c r="DK147" s="104"/>
      <c r="DL147" s="104"/>
      <c r="DM147" s="103"/>
      <c r="DN147" s="102"/>
      <c r="DO147" s="104"/>
      <c r="DP147" s="104"/>
      <c r="DQ147" s="103"/>
      <c r="DR147" s="102"/>
      <c r="DS147" s="104"/>
      <c r="DT147" s="104"/>
      <c r="DU147" s="103"/>
      <c r="DV147" s="102"/>
      <c r="DW147" s="104"/>
      <c r="DX147" s="104"/>
      <c r="DY147" s="103"/>
      <c r="DZ147" s="102"/>
      <c r="EA147" s="104"/>
      <c r="EB147" s="104"/>
      <c r="EC147" s="103"/>
      <c r="ED147" s="102"/>
      <c r="EE147" s="236"/>
      <c r="EF147" s="5"/>
    </row>
    <row r="148" spans="1:136" s="3" customFormat="1" x14ac:dyDescent="0.15">
      <c r="A148" s="86"/>
      <c r="B148" s="65"/>
      <c r="C148" s="86"/>
      <c r="E148" s="4"/>
      <c r="F148" s="65"/>
      <c r="G148" s="65"/>
      <c r="H148" s="86"/>
      <c r="I148" s="65"/>
      <c r="J148" s="236"/>
      <c r="K148" s="5"/>
      <c r="L148" s="65"/>
      <c r="M148" s="5"/>
      <c r="N148" s="5"/>
      <c r="O148" s="190"/>
      <c r="P148" s="236"/>
      <c r="Q148" s="5"/>
      <c r="R148" s="5"/>
      <c r="S148" s="4"/>
      <c r="T148" s="4"/>
      <c r="U148" s="5"/>
      <c r="V148" s="5"/>
      <c r="W148" s="5"/>
      <c r="X148" s="86"/>
      <c r="Y148" s="86"/>
      <c r="Z148" s="177"/>
      <c r="AA148" s="5"/>
      <c r="AB148" s="190"/>
      <c r="AC148" s="190"/>
      <c r="AD148" s="236"/>
      <c r="AE148" s="190"/>
      <c r="AF148" s="190"/>
      <c r="AG148" s="190"/>
      <c r="AH148" s="190"/>
      <c r="AI148" s="190"/>
      <c r="AJ148" s="190"/>
      <c r="AK148" s="236"/>
      <c r="AL148" s="190"/>
      <c r="AM148" s="236"/>
      <c r="AN148" s="41"/>
      <c r="AO148" s="41"/>
      <c r="AP148" s="5"/>
      <c r="AQ148" s="4"/>
      <c r="AR148" s="4"/>
      <c r="AS148" s="4"/>
      <c r="AT148" s="5"/>
      <c r="AU148" s="5"/>
      <c r="AV148" s="5"/>
      <c r="AW148" s="236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37"/>
      <c r="BM148" s="5"/>
      <c r="BN148" s="5"/>
      <c r="BO148" s="5"/>
      <c r="BP148" s="236"/>
      <c r="BQ148" s="58"/>
      <c r="BR148" s="59"/>
      <c r="BS148" s="61"/>
      <c r="BT148" s="58"/>
      <c r="BU148" s="60"/>
      <c r="BV148" s="60"/>
      <c r="BW148" s="60"/>
      <c r="BX148" s="60"/>
      <c r="BY148" s="60"/>
      <c r="BZ148" s="61"/>
      <c r="CA148" s="61"/>
      <c r="CB148" s="61"/>
      <c r="CC148" s="61"/>
      <c r="CD148" s="59"/>
      <c r="CE148" s="59"/>
      <c r="CF148" s="59"/>
      <c r="CG148" s="59"/>
      <c r="CH148" s="61"/>
      <c r="CI148" s="61"/>
      <c r="CJ148" s="59"/>
      <c r="CK148" s="59"/>
      <c r="CL148" s="59"/>
      <c r="CM148" s="60"/>
      <c r="CN148" s="59"/>
      <c r="CO148" s="59"/>
      <c r="CP148" s="59"/>
      <c r="CQ148" s="236"/>
      <c r="CR148" s="37"/>
      <c r="CS148" s="5"/>
      <c r="CT148" s="5"/>
      <c r="CU148" s="5"/>
      <c r="CV148" s="236"/>
      <c r="CW148" s="5"/>
      <c r="CX148" s="5"/>
      <c r="CY148" s="5"/>
      <c r="CZ148" s="5"/>
      <c r="DA148" s="5"/>
      <c r="DB148" s="5"/>
      <c r="DC148" s="236"/>
      <c r="DD148" s="104"/>
      <c r="DE148" s="103"/>
      <c r="DF148" s="103"/>
      <c r="DG148" s="103"/>
      <c r="DH148" s="103"/>
      <c r="DI148" s="5"/>
      <c r="DJ148" s="172"/>
      <c r="DK148" s="104"/>
      <c r="DL148" s="104"/>
      <c r="DM148" s="103"/>
      <c r="DN148" s="102"/>
      <c r="DO148" s="104"/>
      <c r="DP148" s="104"/>
      <c r="DQ148" s="103"/>
      <c r="DR148" s="102"/>
      <c r="DS148" s="104"/>
      <c r="DT148" s="104"/>
      <c r="DU148" s="103"/>
      <c r="DV148" s="102"/>
      <c r="DW148" s="104"/>
      <c r="DX148" s="104"/>
      <c r="DY148" s="103"/>
      <c r="DZ148" s="102"/>
      <c r="EA148" s="104"/>
      <c r="EB148" s="104"/>
      <c r="EC148" s="103"/>
      <c r="ED148" s="102"/>
      <c r="EE148" s="236"/>
      <c r="EF148" s="5"/>
    </row>
    <row r="149" spans="1:136" s="3" customFormat="1" x14ac:dyDescent="0.15">
      <c r="A149" s="86"/>
      <c r="B149" s="65"/>
      <c r="C149" s="86"/>
      <c r="E149" s="4"/>
      <c r="F149" s="65"/>
      <c r="G149" s="65"/>
      <c r="H149" s="86"/>
      <c r="I149" s="65"/>
      <c r="J149" s="236"/>
      <c r="K149" s="5"/>
      <c r="L149" s="65"/>
      <c r="M149" s="5"/>
      <c r="N149" s="5"/>
      <c r="O149" s="190"/>
      <c r="P149" s="236"/>
      <c r="Q149" s="5"/>
      <c r="R149" s="5"/>
      <c r="S149" s="4"/>
      <c r="T149" s="4"/>
      <c r="U149" s="5"/>
      <c r="V149" s="5"/>
      <c r="W149" s="5"/>
      <c r="X149" s="86"/>
      <c r="Y149" s="86"/>
      <c r="Z149" s="177"/>
      <c r="AA149" s="5"/>
      <c r="AB149" s="190"/>
      <c r="AC149" s="190"/>
      <c r="AD149" s="236"/>
      <c r="AE149" s="190"/>
      <c r="AF149" s="190"/>
      <c r="AG149" s="190"/>
      <c r="AH149" s="190"/>
      <c r="AI149" s="190"/>
      <c r="AJ149" s="190"/>
      <c r="AK149" s="236"/>
      <c r="AL149" s="190"/>
      <c r="AM149" s="236"/>
      <c r="AN149" s="41"/>
      <c r="AO149" s="41"/>
      <c r="AP149" s="5"/>
      <c r="AQ149" s="4"/>
      <c r="AR149" s="4"/>
      <c r="AS149" s="4"/>
      <c r="AT149" s="5"/>
      <c r="AU149" s="5"/>
      <c r="AV149" s="5"/>
      <c r="AW149" s="236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37"/>
      <c r="BM149" s="5"/>
      <c r="BN149" s="5"/>
      <c r="BO149" s="5"/>
      <c r="BP149" s="236"/>
      <c r="BQ149" s="58"/>
      <c r="BR149" s="59"/>
      <c r="BS149" s="61"/>
      <c r="BT149" s="58"/>
      <c r="BU149" s="60"/>
      <c r="BV149" s="60"/>
      <c r="BW149" s="60"/>
      <c r="BX149" s="60"/>
      <c r="BY149" s="60"/>
      <c r="BZ149" s="61"/>
      <c r="CA149" s="61"/>
      <c r="CB149" s="61"/>
      <c r="CC149" s="61"/>
      <c r="CD149" s="59"/>
      <c r="CE149" s="59"/>
      <c r="CF149" s="59"/>
      <c r="CG149" s="59"/>
      <c r="CH149" s="61"/>
      <c r="CI149" s="61"/>
      <c r="CJ149" s="59"/>
      <c r="CK149" s="59"/>
      <c r="CL149" s="59"/>
      <c r="CM149" s="60"/>
      <c r="CN149" s="59"/>
      <c r="CO149" s="59"/>
      <c r="CP149" s="59"/>
      <c r="CQ149" s="236"/>
      <c r="CR149" s="37"/>
      <c r="CS149" s="5"/>
      <c r="CT149" s="5"/>
      <c r="CU149" s="5"/>
      <c r="CV149" s="236"/>
      <c r="CW149" s="5"/>
      <c r="CX149" s="5"/>
      <c r="CY149" s="5"/>
      <c r="CZ149" s="5"/>
      <c r="DA149" s="5"/>
      <c r="DB149" s="5"/>
      <c r="DC149" s="236"/>
      <c r="DD149" s="104"/>
      <c r="DE149" s="103"/>
      <c r="DF149" s="103"/>
      <c r="DG149" s="103"/>
      <c r="DH149" s="103"/>
      <c r="DI149" s="5"/>
      <c r="DJ149" s="172"/>
      <c r="DK149" s="104"/>
      <c r="DL149" s="104"/>
      <c r="DM149" s="103"/>
      <c r="DN149" s="102"/>
      <c r="DO149" s="104"/>
      <c r="DP149" s="104"/>
      <c r="DQ149" s="103"/>
      <c r="DR149" s="102"/>
      <c r="DS149" s="104"/>
      <c r="DT149" s="104"/>
      <c r="DU149" s="103"/>
      <c r="DV149" s="102"/>
      <c r="DW149" s="104"/>
      <c r="DX149" s="104"/>
      <c r="DY149" s="103"/>
      <c r="DZ149" s="102"/>
      <c r="EA149" s="104"/>
      <c r="EB149" s="104"/>
      <c r="EC149" s="103"/>
      <c r="ED149" s="102"/>
      <c r="EE149" s="236"/>
      <c r="EF149" s="5"/>
    </row>
    <row r="150" spans="1:136" s="3" customFormat="1" x14ac:dyDescent="0.15">
      <c r="A150" s="86"/>
      <c r="B150" s="65"/>
      <c r="C150" s="86"/>
      <c r="E150" s="4"/>
      <c r="F150" s="65"/>
      <c r="G150" s="65"/>
      <c r="H150" s="86"/>
      <c r="I150" s="65"/>
      <c r="J150" s="236"/>
      <c r="K150" s="5"/>
      <c r="L150" s="65"/>
      <c r="M150" s="5"/>
      <c r="N150" s="5"/>
      <c r="O150" s="190"/>
      <c r="P150" s="236"/>
      <c r="Q150" s="5"/>
      <c r="R150" s="5"/>
      <c r="S150" s="4"/>
      <c r="T150" s="4"/>
      <c r="U150" s="5"/>
      <c r="V150" s="5"/>
      <c r="W150" s="5"/>
      <c r="X150" s="86"/>
      <c r="Y150" s="86"/>
      <c r="Z150" s="177"/>
      <c r="AA150" s="5"/>
      <c r="AB150" s="190"/>
      <c r="AC150" s="190"/>
      <c r="AD150" s="236"/>
      <c r="AE150" s="190"/>
      <c r="AF150" s="190"/>
      <c r="AG150" s="190"/>
      <c r="AH150" s="190"/>
      <c r="AI150" s="190"/>
      <c r="AJ150" s="190"/>
      <c r="AK150" s="236"/>
      <c r="AL150" s="190"/>
      <c r="AM150" s="236"/>
      <c r="AN150" s="41"/>
      <c r="AO150" s="41"/>
      <c r="AP150" s="5"/>
      <c r="AQ150" s="4"/>
      <c r="AR150" s="4"/>
      <c r="AS150" s="4"/>
      <c r="AT150" s="5"/>
      <c r="AU150" s="5"/>
      <c r="AV150" s="5"/>
      <c r="AW150" s="236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37"/>
      <c r="BM150" s="5"/>
      <c r="BN150" s="5"/>
      <c r="BO150" s="5"/>
      <c r="BP150" s="236"/>
      <c r="BQ150" s="58"/>
      <c r="BR150" s="59"/>
      <c r="BS150" s="61"/>
      <c r="BT150" s="58"/>
      <c r="BU150" s="60"/>
      <c r="BV150" s="60"/>
      <c r="BW150" s="60"/>
      <c r="BX150" s="60"/>
      <c r="BY150" s="60"/>
      <c r="BZ150" s="61"/>
      <c r="CA150" s="61"/>
      <c r="CB150" s="61"/>
      <c r="CC150" s="61"/>
      <c r="CD150" s="59"/>
      <c r="CE150" s="59"/>
      <c r="CF150" s="59"/>
      <c r="CG150" s="59"/>
      <c r="CH150" s="61"/>
      <c r="CI150" s="61"/>
      <c r="CJ150" s="59"/>
      <c r="CK150" s="59"/>
      <c r="CL150" s="59"/>
      <c r="CM150" s="60"/>
      <c r="CN150" s="59"/>
      <c r="CO150" s="59"/>
      <c r="CP150" s="59"/>
      <c r="CQ150" s="236"/>
      <c r="CR150" s="37"/>
      <c r="CS150" s="5"/>
      <c r="CT150" s="5"/>
      <c r="CU150" s="5"/>
      <c r="CV150" s="236"/>
      <c r="CW150" s="5"/>
      <c r="CX150" s="5"/>
      <c r="CY150" s="5"/>
      <c r="CZ150" s="5"/>
      <c r="DA150" s="5"/>
      <c r="DB150" s="5"/>
      <c r="DC150" s="236"/>
      <c r="DD150" s="104"/>
      <c r="DE150" s="103"/>
      <c r="DF150" s="103"/>
      <c r="DG150" s="103"/>
      <c r="DH150" s="103"/>
      <c r="DI150" s="5"/>
      <c r="DJ150" s="172"/>
      <c r="DK150" s="104"/>
      <c r="DL150" s="104"/>
      <c r="DM150" s="103"/>
      <c r="DN150" s="102"/>
      <c r="DO150" s="104"/>
      <c r="DP150" s="104"/>
      <c r="DQ150" s="103"/>
      <c r="DR150" s="102"/>
      <c r="DS150" s="104"/>
      <c r="DT150" s="104"/>
      <c r="DU150" s="103"/>
      <c r="DV150" s="102"/>
      <c r="DW150" s="104"/>
      <c r="DX150" s="104"/>
      <c r="DY150" s="103"/>
      <c r="DZ150" s="102"/>
      <c r="EA150" s="104"/>
      <c r="EB150" s="104"/>
      <c r="EC150" s="103"/>
      <c r="ED150" s="102"/>
      <c r="EE150" s="236"/>
      <c r="EF150" s="5"/>
    </row>
    <row r="151" spans="1:136" s="3" customFormat="1" x14ac:dyDescent="0.15">
      <c r="A151" s="86"/>
      <c r="B151" s="65"/>
      <c r="C151" s="86"/>
      <c r="E151" s="4"/>
      <c r="F151" s="65"/>
      <c r="G151" s="65"/>
      <c r="H151" s="86"/>
      <c r="I151" s="65"/>
      <c r="J151" s="236"/>
      <c r="K151" s="5"/>
      <c r="L151" s="65"/>
      <c r="M151" s="5"/>
      <c r="N151" s="5"/>
      <c r="O151" s="190"/>
      <c r="P151" s="236"/>
      <c r="Q151" s="5"/>
      <c r="R151" s="5"/>
      <c r="S151" s="4"/>
      <c r="T151" s="4"/>
      <c r="U151" s="5"/>
      <c r="V151" s="5"/>
      <c r="W151" s="5"/>
      <c r="X151" s="86"/>
      <c r="Y151" s="86"/>
      <c r="Z151" s="177"/>
      <c r="AA151" s="5"/>
      <c r="AB151" s="190"/>
      <c r="AC151" s="190"/>
      <c r="AD151" s="236"/>
      <c r="AE151" s="190"/>
      <c r="AF151" s="190"/>
      <c r="AG151" s="190"/>
      <c r="AH151" s="190"/>
      <c r="AI151" s="190"/>
      <c r="AJ151" s="190"/>
      <c r="AK151" s="236"/>
      <c r="AL151" s="190"/>
      <c r="AM151" s="236"/>
      <c r="AN151" s="41"/>
      <c r="AO151" s="41"/>
      <c r="AP151" s="5"/>
      <c r="AQ151" s="4"/>
      <c r="AR151" s="4"/>
      <c r="AS151" s="4"/>
      <c r="AT151" s="5"/>
      <c r="AU151" s="5"/>
      <c r="AV151" s="5"/>
      <c r="AW151" s="236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37"/>
      <c r="BM151" s="5"/>
      <c r="BN151" s="5"/>
      <c r="BO151" s="5"/>
      <c r="BP151" s="236"/>
      <c r="BQ151" s="58"/>
      <c r="BR151" s="59"/>
      <c r="BS151" s="61"/>
      <c r="BT151" s="58"/>
      <c r="BU151" s="60"/>
      <c r="BV151" s="60"/>
      <c r="BW151" s="60"/>
      <c r="BX151" s="60"/>
      <c r="BY151" s="60"/>
      <c r="BZ151" s="61"/>
      <c r="CA151" s="61"/>
      <c r="CB151" s="61"/>
      <c r="CC151" s="61"/>
      <c r="CD151" s="59"/>
      <c r="CE151" s="59"/>
      <c r="CF151" s="59"/>
      <c r="CG151" s="59"/>
      <c r="CH151" s="61"/>
      <c r="CI151" s="61"/>
      <c r="CJ151" s="59"/>
      <c r="CK151" s="59"/>
      <c r="CL151" s="59"/>
      <c r="CM151" s="60"/>
      <c r="CN151" s="59"/>
      <c r="CO151" s="59"/>
      <c r="CP151" s="59"/>
      <c r="CQ151" s="236"/>
      <c r="CR151" s="37"/>
      <c r="CS151" s="5"/>
      <c r="CT151" s="5"/>
      <c r="CU151" s="5"/>
      <c r="CV151" s="236"/>
      <c r="CW151" s="5"/>
      <c r="CX151" s="5"/>
      <c r="CY151" s="5"/>
      <c r="CZ151" s="5"/>
      <c r="DA151" s="5"/>
      <c r="DB151" s="5"/>
      <c r="DC151" s="236"/>
      <c r="DD151" s="104"/>
      <c r="DE151" s="103"/>
      <c r="DF151" s="103"/>
      <c r="DG151" s="103"/>
      <c r="DH151" s="103"/>
      <c r="DI151" s="5"/>
      <c r="DJ151" s="172"/>
      <c r="DK151" s="104"/>
      <c r="DL151" s="104"/>
      <c r="DM151" s="103"/>
      <c r="DN151" s="102"/>
      <c r="DO151" s="104"/>
      <c r="DP151" s="104"/>
      <c r="DQ151" s="103"/>
      <c r="DR151" s="102"/>
      <c r="DS151" s="104"/>
      <c r="DT151" s="104"/>
      <c r="DU151" s="103"/>
      <c r="DV151" s="102"/>
      <c r="DW151" s="104"/>
      <c r="DX151" s="104"/>
      <c r="DY151" s="103"/>
      <c r="DZ151" s="102"/>
      <c r="EA151" s="104"/>
      <c r="EB151" s="104"/>
      <c r="EC151" s="103"/>
      <c r="ED151" s="102"/>
      <c r="EE151" s="236"/>
      <c r="EF151" s="5"/>
    </row>
    <row r="152" spans="1:136" s="3" customFormat="1" x14ac:dyDescent="0.15">
      <c r="A152" s="86"/>
      <c r="B152" s="65"/>
      <c r="C152" s="86"/>
      <c r="E152" s="4"/>
      <c r="F152" s="65"/>
      <c r="G152" s="65"/>
      <c r="H152" s="86"/>
      <c r="I152" s="65"/>
      <c r="J152" s="236"/>
      <c r="K152" s="5"/>
      <c r="L152" s="65"/>
      <c r="M152" s="5"/>
      <c r="N152" s="5"/>
      <c r="O152" s="190"/>
      <c r="P152" s="236"/>
      <c r="Q152" s="5"/>
      <c r="R152" s="5"/>
      <c r="S152" s="4"/>
      <c r="T152" s="4"/>
      <c r="U152" s="5"/>
      <c r="V152" s="5"/>
      <c r="W152" s="5"/>
      <c r="X152" s="86"/>
      <c r="Y152" s="86"/>
      <c r="Z152" s="177"/>
      <c r="AA152" s="5"/>
      <c r="AB152" s="190"/>
      <c r="AC152" s="190"/>
      <c r="AD152" s="236"/>
      <c r="AE152" s="190"/>
      <c r="AF152" s="190"/>
      <c r="AG152" s="190"/>
      <c r="AH152" s="190"/>
      <c r="AI152" s="190"/>
      <c r="AJ152" s="190"/>
      <c r="AK152" s="236"/>
      <c r="AL152" s="190"/>
      <c r="AM152" s="236"/>
      <c r="AN152" s="41"/>
      <c r="AO152" s="41"/>
      <c r="AP152" s="5"/>
      <c r="AQ152" s="4"/>
      <c r="AR152" s="4"/>
      <c r="AS152" s="4"/>
      <c r="AT152" s="5"/>
      <c r="AU152" s="5"/>
      <c r="AV152" s="5"/>
      <c r="AW152" s="236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37"/>
      <c r="BM152" s="5"/>
      <c r="BN152" s="5"/>
      <c r="BO152" s="5"/>
      <c r="BP152" s="236"/>
      <c r="BQ152" s="58"/>
      <c r="BR152" s="59"/>
      <c r="BS152" s="61"/>
      <c r="BT152" s="58"/>
      <c r="BU152" s="60"/>
      <c r="BV152" s="60"/>
      <c r="BW152" s="60"/>
      <c r="BX152" s="60"/>
      <c r="BY152" s="60"/>
      <c r="BZ152" s="61"/>
      <c r="CA152" s="61"/>
      <c r="CB152" s="61"/>
      <c r="CC152" s="61"/>
      <c r="CD152" s="59"/>
      <c r="CE152" s="59"/>
      <c r="CF152" s="59"/>
      <c r="CG152" s="59"/>
      <c r="CH152" s="61"/>
      <c r="CI152" s="61"/>
      <c r="CJ152" s="59"/>
      <c r="CK152" s="59"/>
      <c r="CL152" s="59"/>
      <c r="CM152" s="60"/>
      <c r="CN152" s="59"/>
      <c r="CO152" s="59"/>
      <c r="CP152" s="59"/>
      <c r="CQ152" s="236"/>
      <c r="CR152" s="37"/>
      <c r="CS152" s="5"/>
      <c r="CT152" s="5"/>
      <c r="CU152" s="5"/>
      <c r="CV152" s="236"/>
      <c r="CW152" s="5"/>
      <c r="CX152" s="5"/>
      <c r="CY152" s="5"/>
      <c r="CZ152" s="5"/>
      <c r="DA152" s="5"/>
      <c r="DB152" s="5"/>
      <c r="DC152" s="236"/>
      <c r="DD152" s="104"/>
      <c r="DE152" s="103"/>
      <c r="DF152" s="103"/>
      <c r="DG152" s="103"/>
      <c r="DH152" s="103"/>
      <c r="DI152" s="5"/>
      <c r="DJ152" s="172"/>
      <c r="DK152" s="104"/>
      <c r="DL152" s="104"/>
      <c r="DM152" s="103"/>
      <c r="DN152" s="102"/>
      <c r="DO152" s="104"/>
      <c r="DP152" s="104"/>
      <c r="DQ152" s="103"/>
      <c r="DR152" s="102"/>
      <c r="DS152" s="104"/>
      <c r="DT152" s="104"/>
      <c r="DU152" s="103"/>
      <c r="DV152" s="102"/>
      <c r="DW152" s="104"/>
      <c r="DX152" s="104"/>
      <c r="DY152" s="103"/>
      <c r="DZ152" s="102"/>
      <c r="EA152" s="104"/>
      <c r="EB152" s="104"/>
      <c r="EC152" s="103"/>
      <c r="ED152" s="102"/>
      <c r="EE152" s="236"/>
      <c r="EF152" s="5"/>
    </row>
    <row r="153" spans="1:136" s="3" customFormat="1" x14ac:dyDescent="0.15">
      <c r="A153" s="86"/>
      <c r="B153" s="65"/>
      <c r="C153" s="86"/>
      <c r="E153" s="4"/>
      <c r="F153" s="65"/>
      <c r="G153" s="65"/>
      <c r="H153" s="86"/>
      <c r="I153" s="65"/>
      <c r="J153" s="236"/>
      <c r="K153" s="5"/>
      <c r="L153" s="65"/>
      <c r="M153" s="5"/>
      <c r="N153" s="5"/>
      <c r="O153" s="190"/>
      <c r="P153" s="236"/>
      <c r="Q153" s="5"/>
      <c r="R153" s="5"/>
      <c r="S153" s="4"/>
      <c r="T153" s="4"/>
      <c r="U153" s="5"/>
      <c r="V153" s="5"/>
      <c r="W153" s="5"/>
      <c r="X153" s="86"/>
      <c r="Y153" s="86"/>
      <c r="Z153" s="177"/>
      <c r="AA153" s="5"/>
      <c r="AB153" s="190"/>
      <c r="AC153" s="190"/>
      <c r="AD153" s="236"/>
      <c r="AE153" s="190"/>
      <c r="AF153" s="190"/>
      <c r="AG153" s="190"/>
      <c r="AH153" s="190"/>
      <c r="AI153" s="190"/>
      <c r="AJ153" s="190"/>
      <c r="AK153" s="236"/>
      <c r="AL153" s="190"/>
      <c r="AM153" s="236"/>
      <c r="AN153" s="41"/>
      <c r="AO153" s="41"/>
      <c r="AP153" s="5"/>
      <c r="AQ153" s="4"/>
      <c r="AR153" s="4"/>
      <c r="AS153" s="4"/>
      <c r="AT153" s="5"/>
      <c r="AU153" s="5"/>
      <c r="AV153" s="5"/>
      <c r="AW153" s="236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37"/>
      <c r="BM153" s="5"/>
      <c r="BN153" s="5"/>
      <c r="BO153" s="5"/>
      <c r="BP153" s="236"/>
      <c r="BQ153" s="58"/>
      <c r="BR153" s="59"/>
      <c r="BS153" s="61"/>
      <c r="BT153" s="58"/>
      <c r="BU153" s="60"/>
      <c r="BV153" s="60"/>
      <c r="BW153" s="60"/>
      <c r="BX153" s="60"/>
      <c r="BY153" s="60"/>
      <c r="BZ153" s="61"/>
      <c r="CA153" s="61"/>
      <c r="CB153" s="61"/>
      <c r="CC153" s="61"/>
      <c r="CD153" s="59"/>
      <c r="CE153" s="59"/>
      <c r="CF153" s="59"/>
      <c r="CG153" s="59"/>
      <c r="CH153" s="61"/>
      <c r="CI153" s="61"/>
      <c r="CJ153" s="59"/>
      <c r="CK153" s="59"/>
      <c r="CL153" s="59"/>
      <c r="CM153" s="60"/>
      <c r="CN153" s="59"/>
      <c r="CO153" s="59"/>
      <c r="CP153" s="59"/>
      <c r="CQ153" s="236"/>
      <c r="CR153" s="37"/>
      <c r="CS153" s="5"/>
      <c r="CT153" s="5"/>
      <c r="CU153" s="5"/>
      <c r="CV153" s="236"/>
      <c r="CW153" s="5"/>
      <c r="CX153" s="5"/>
      <c r="CY153" s="5"/>
      <c r="CZ153" s="5"/>
      <c r="DA153" s="5"/>
      <c r="DB153" s="5"/>
      <c r="DC153" s="236"/>
      <c r="DD153" s="104"/>
      <c r="DE153" s="103"/>
      <c r="DF153" s="103"/>
      <c r="DG153" s="103"/>
      <c r="DH153" s="103"/>
      <c r="DI153" s="5"/>
      <c r="DJ153" s="172"/>
      <c r="DK153" s="104"/>
      <c r="DL153" s="104"/>
      <c r="DM153" s="103"/>
      <c r="DN153" s="102"/>
      <c r="DO153" s="104"/>
      <c r="DP153" s="104"/>
      <c r="DQ153" s="103"/>
      <c r="DR153" s="102"/>
      <c r="DS153" s="104"/>
      <c r="DT153" s="104"/>
      <c r="DU153" s="103"/>
      <c r="DV153" s="102"/>
      <c r="DW153" s="104"/>
      <c r="DX153" s="104"/>
      <c r="DY153" s="103"/>
      <c r="DZ153" s="102"/>
      <c r="EA153" s="104"/>
      <c r="EB153" s="104"/>
      <c r="EC153" s="103"/>
      <c r="ED153" s="102"/>
      <c r="EE153" s="236"/>
      <c r="EF153" s="5"/>
    </row>
    <row r="154" spans="1:136" s="3" customFormat="1" x14ac:dyDescent="0.15">
      <c r="A154" s="86"/>
      <c r="B154" s="65"/>
      <c r="C154" s="86"/>
      <c r="E154" s="4"/>
      <c r="F154" s="65"/>
      <c r="G154" s="65"/>
      <c r="H154" s="86"/>
      <c r="I154" s="65"/>
      <c r="J154" s="236"/>
      <c r="K154" s="5"/>
      <c r="L154" s="65"/>
      <c r="M154" s="5"/>
      <c r="N154" s="5"/>
      <c r="O154" s="190"/>
      <c r="P154" s="236"/>
      <c r="Q154" s="5"/>
      <c r="R154" s="5"/>
      <c r="S154" s="4"/>
      <c r="T154" s="4"/>
      <c r="U154" s="5"/>
      <c r="V154" s="5"/>
      <c r="W154" s="5"/>
      <c r="X154" s="86"/>
      <c r="Y154" s="86"/>
      <c r="Z154" s="177"/>
      <c r="AA154" s="5"/>
      <c r="AB154" s="190"/>
      <c r="AC154" s="190"/>
      <c r="AD154" s="236"/>
      <c r="AE154" s="190"/>
      <c r="AF154" s="190"/>
      <c r="AG154" s="190"/>
      <c r="AH154" s="190"/>
      <c r="AI154" s="190"/>
      <c r="AJ154" s="190"/>
      <c r="AK154" s="236"/>
      <c r="AL154" s="190"/>
      <c r="AM154" s="236"/>
      <c r="AN154" s="41"/>
      <c r="AO154" s="41"/>
      <c r="AP154" s="5"/>
      <c r="AQ154" s="4"/>
      <c r="AR154" s="4"/>
      <c r="AS154" s="4"/>
      <c r="AT154" s="5"/>
      <c r="AU154" s="5"/>
      <c r="AV154" s="5"/>
      <c r="AW154" s="236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37"/>
      <c r="BM154" s="5"/>
      <c r="BN154" s="5"/>
      <c r="BO154" s="5"/>
      <c r="BP154" s="236"/>
      <c r="BQ154" s="58"/>
      <c r="BR154" s="59"/>
      <c r="BS154" s="61"/>
      <c r="BT154" s="58"/>
      <c r="BU154" s="60"/>
      <c r="BV154" s="60"/>
      <c r="BW154" s="60"/>
      <c r="BX154" s="60"/>
      <c r="BY154" s="60"/>
      <c r="BZ154" s="61"/>
      <c r="CA154" s="61"/>
      <c r="CB154" s="61"/>
      <c r="CC154" s="61"/>
      <c r="CD154" s="59"/>
      <c r="CE154" s="59"/>
      <c r="CF154" s="59"/>
      <c r="CG154" s="59"/>
      <c r="CH154" s="61"/>
      <c r="CI154" s="61"/>
      <c r="CJ154" s="59"/>
      <c r="CK154" s="59"/>
      <c r="CL154" s="59"/>
      <c r="CM154" s="60"/>
      <c r="CN154" s="59"/>
      <c r="CO154" s="59"/>
      <c r="CP154" s="59"/>
      <c r="CQ154" s="236"/>
      <c r="CR154" s="37"/>
      <c r="CS154" s="5"/>
      <c r="CT154" s="5"/>
      <c r="CU154" s="5"/>
      <c r="CV154" s="236"/>
      <c r="CW154" s="5"/>
      <c r="CX154" s="5"/>
      <c r="CY154" s="5"/>
      <c r="CZ154" s="5"/>
      <c r="DA154" s="5"/>
      <c r="DB154" s="5"/>
      <c r="DC154" s="236"/>
      <c r="DD154" s="104"/>
      <c r="DE154" s="103"/>
      <c r="DF154" s="103"/>
      <c r="DG154" s="103"/>
      <c r="DH154" s="103"/>
      <c r="DI154" s="5"/>
      <c r="DJ154" s="172"/>
      <c r="DK154" s="104"/>
      <c r="DL154" s="104"/>
      <c r="DM154" s="103"/>
      <c r="DN154" s="102"/>
      <c r="DO154" s="104"/>
      <c r="DP154" s="104"/>
      <c r="DQ154" s="103"/>
      <c r="DR154" s="102"/>
      <c r="DS154" s="104"/>
      <c r="DT154" s="104"/>
      <c r="DU154" s="103"/>
      <c r="DV154" s="102"/>
      <c r="DW154" s="104"/>
      <c r="DX154" s="104"/>
      <c r="DY154" s="103"/>
      <c r="DZ154" s="102"/>
      <c r="EA154" s="104"/>
      <c r="EB154" s="104"/>
      <c r="EC154" s="103"/>
      <c r="ED154" s="102"/>
      <c r="EE154" s="236"/>
      <c r="EF154" s="5"/>
    </row>
    <row r="155" spans="1:136" s="3" customFormat="1" x14ac:dyDescent="0.15">
      <c r="A155" s="86"/>
      <c r="B155" s="65"/>
      <c r="C155" s="86"/>
      <c r="E155" s="4"/>
      <c r="F155" s="65"/>
      <c r="G155" s="65"/>
      <c r="H155" s="86"/>
      <c r="I155" s="65"/>
      <c r="J155" s="236"/>
      <c r="K155" s="5"/>
      <c r="L155" s="65"/>
      <c r="M155" s="5"/>
      <c r="N155" s="5"/>
      <c r="O155" s="190"/>
      <c r="P155" s="236"/>
      <c r="Q155" s="5"/>
      <c r="R155" s="5"/>
      <c r="S155" s="4"/>
      <c r="T155" s="4"/>
      <c r="U155" s="5"/>
      <c r="V155" s="5"/>
      <c r="W155" s="5"/>
      <c r="X155" s="86"/>
      <c r="Y155" s="86"/>
      <c r="Z155" s="177"/>
      <c r="AA155" s="5"/>
      <c r="AB155" s="190"/>
      <c r="AC155" s="190"/>
      <c r="AD155" s="236"/>
      <c r="AE155" s="190"/>
      <c r="AF155" s="190"/>
      <c r="AG155" s="190"/>
      <c r="AH155" s="190"/>
      <c r="AI155" s="190"/>
      <c r="AJ155" s="190"/>
      <c r="AK155" s="236"/>
      <c r="AL155" s="190"/>
      <c r="AM155" s="236"/>
      <c r="AN155" s="41"/>
      <c r="AO155" s="41"/>
      <c r="AP155" s="5"/>
      <c r="AQ155" s="4"/>
      <c r="AR155" s="4"/>
      <c r="AS155" s="4"/>
      <c r="AT155" s="5"/>
      <c r="AU155" s="5"/>
      <c r="AV155" s="5"/>
      <c r="AW155" s="236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37"/>
      <c r="BM155" s="5"/>
      <c r="BN155" s="5"/>
      <c r="BO155" s="5"/>
      <c r="BP155" s="236"/>
      <c r="BQ155" s="58"/>
      <c r="BR155" s="59"/>
      <c r="BS155" s="61"/>
      <c r="BT155" s="58"/>
      <c r="BU155" s="60"/>
      <c r="BV155" s="60"/>
      <c r="BW155" s="60"/>
      <c r="BX155" s="60"/>
      <c r="BY155" s="60"/>
      <c r="BZ155" s="61"/>
      <c r="CA155" s="61"/>
      <c r="CB155" s="61"/>
      <c r="CC155" s="61"/>
      <c r="CD155" s="59"/>
      <c r="CE155" s="59"/>
      <c r="CF155" s="59"/>
      <c r="CG155" s="59"/>
      <c r="CH155" s="61"/>
      <c r="CI155" s="61"/>
      <c r="CJ155" s="59"/>
      <c r="CK155" s="59"/>
      <c r="CL155" s="59"/>
      <c r="CM155" s="60"/>
      <c r="CN155" s="59"/>
      <c r="CO155" s="59"/>
      <c r="CP155" s="59"/>
      <c r="CQ155" s="236"/>
      <c r="CR155" s="37"/>
      <c r="CS155" s="5"/>
      <c r="CT155" s="5"/>
      <c r="CU155" s="5"/>
      <c r="CV155" s="236"/>
      <c r="CW155" s="5"/>
      <c r="CX155" s="5"/>
      <c r="CY155" s="5"/>
      <c r="CZ155" s="5"/>
      <c r="DA155" s="5"/>
      <c r="DB155" s="5"/>
      <c r="DC155" s="236"/>
      <c r="DD155" s="104"/>
      <c r="DE155" s="103"/>
      <c r="DF155" s="103"/>
      <c r="DG155" s="103"/>
      <c r="DH155" s="103"/>
      <c r="DI155" s="5"/>
      <c r="DJ155" s="172"/>
      <c r="DK155" s="104"/>
      <c r="DL155" s="104"/>
      <c r="DM155" s="103"/>
      <c r="DN155" s="102"/>
      <c r="DO155" s="104"/>
      <c r="DP155" s="104"/>
      <c r="DQ155" s="103"/>
      <c r="DR155" s="102"/>
      <c r="DS155" s="104"/>
      <c r="DT155" s="104"/>
      <c r="DU155" s="103"/>
      <c r="DV155" s="102"/>
      <c r="DW155" s="104"/>
      <c r="DX155" s="104"/>
      <c r="DY155" s="103"/>
      <c r="DZ155" s="102"/>
      <c r="EA155" s="104"/>
      <c r="EB155" s="104"/>
      <c r="EC155" s="103"/>
      <c r="ED155" s="102"/>
      <c r="EE155" s="236"/>
      <c r="EF155" s="5"/>
    </row>
    <row r="156" spans="1:136" s="3" customFormat="1" x14ac:dyDescent="0.15">
      <c r="A156" s="86"/>
      <c r="B156" s="65"/>
      <c r="C156" s="86"/>
      <c r="E156" s="4"/>
      <c r="F156" s="65"/>
      <c r="G156" s="65"/>
      <c r="H156" s="86"/>
      <c r="I156" s="65"/>
      <c r="J156" s="236"/>
      <c r="K156" s="5"/>
      <c r="L156" s="65"/>
      <c r="M156" s="5"/>
      <c r="N156" s="5"/>
      <c r="O156" s="190"/>
      <c r="P156" s="236"/>
      <c r="Q156" s="5"/>
      <c r="R156" s="5"/>
      <c r="S156" s="4"/>
      <c r="T156" s="4"/>
      <c r="U156" s="5"/>
      <c r="V156" s="5"/>
      <c r="W156" s="5"/>
      <c r="X156" s="86"/>
      <c r="Y156" s="86"/>
      <c r="Z156" s="177"/>
      <c r="AA156" s="5"/>
      <c r="AB156" s="190"/>
      <c r="AC156" s="190"/>
      <c r="AD156" s="236"/>
      <c r="AE156" s="190"/>
      <c r="AF156" s="190"/>
      <c r="AG156" s="190"/>
      <c r="AH156" s="190"/>
      <c r="AI156" s="190"/>
      <c r="AJ156" s="190"/>
      <c r="AK156" s="236"/>
      <c r="AL156" s="190"/>
      <c r="AM156" s="236"/>
      <c r="AN156" s="41"/>
      <c r="AO156" s="41"/>
      <c r="AP156" s="5"/>
      <c r="AQ156" s="4"/>
      <c r="AR156" s="4"/>
      <c r="AS156" s="4"/>
      <c r="AT156" s="5"/>
      <c r="AU156" s="5"/>
      <c r="AV156" s="5"/>
      <c r="AW156" s="236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37"/>
      <c r="BM156" s="5"/>
      <c r="BN156" s="5"/>
      <c r="BO156" s="5"/>
      <c r="BP156" s="236"/>
      <c r="BQ156" s="58"/>
      <c r="BR156" s="59"/>
      <c r="BS156" s="61"/>
      <c r="BT156" s="58"/>
      <c r="BU156" s="60"/>
      <c r="BV156" s="60"/>
      <c r="BW156" s="60"/>
      <c r="BX156" s="60"/>
      <c r="BY156" s="60"/>
      <c r="BZ156" s="61"/>
      <c r="CA156" s="61"/>
      <c r="CB156" s="61"/>
      <c r="CC156" s="61"/>
      <c r="CD156" s="59"/>
      <c r="CE156" s="59"/>
      <c r="CF156" s="59"/>
      <c r="CG156" s="59"/>
      <c r="CH156" s="61"/>
      <c r="CI156" s="61"/>
      <c r="CJ156" s="59"/>
      <c r="CK156" s="59"/>
      <c r="CL156" s="59"/>
      <c r="CM156" s="60"/>
      <c r="CN156" s="59"/>
      <c r="CO156" s="59"/>
      <c r="CP156" s="59"/>
      <c r="CQ156" s="236"/>
      <c r="CR156" s="37"/>
      <c r="CS156" s="5"/>
      <c r="CT156" s="5"/>
      <c r="CU156" s="5"/>
      <c r="CV156" s="236"/>
      <c r="CW156" s="5"/>
      <c r="CX156" s="5"/>
      <c r="CY156" s="5"/>
      <c r="CZ156" s="5"/>
      <c r="DA156" s="5"/>
      <c r="DB156" s="5"/>
      <c r="DC156" s="236"/>
      <c r="DD156" s="104"/>
      <c r="DE156" s="103"/>
      <c r="DF156" s="103"/>
      <c r="DG156" s="103"/>
      <c r="DH156" s="103"/>
      <c r="DI156" s="5"/>
      <c r="DJ156" s="172"/>
      <c r="DK156" s="104"/>
      <c r="DL156" s="104"/>
      <c r="DM156" s="103"/>
      <c r="DN156" s="102"/>
      <c r="DO156" s="104"/>
      <c r="DP156" s="104"/>
      <c r="DQ156" s="103"/>
      <c r="DR156" s="102"/>
      <c r="DS156" s="104"/>
      <c r="DT156" s="104"/>
      <c r="DU156" s="103"/>
      <c r="DV156" s="102"/>
      <c r="DW156" s="104"/>
      <c r="DX156" s="104"/>
      <c r="DY156" s="103"/>
      <c r="DZ156" s="102"/>
      <c r="EA156" s="104"/>
      <c r="EB156" s="104"/>
      <c r="EC156" s="103"/>
      <c r="ED156" s="102"/>
      <c r="EE156" s="236"/>
      <c r="EF156" s="5"/>
    </row>
    <row r="157" spans="1:136" s="3" customFormat="1" x14ac:dyDescent="0.15">
      <c r="A157" s="86"/>
      <c r="B157" s="65"/>
      <c r="C157" s="86"/>
      <c r="E157" s="4"/>
      <c r="F157" s="65"/>
      <c r="G157" s="65"/>
      <c r="H157" s="86"/>
      <c r="I157" s="65"/>
      <c r="J157" s="236"/>
      <c r="K157" s="5"/>
      <c r="L157" s="65"/>
      <c r="M157" s="5"/>
      <c r="N157" s="5"/>
      <c r="O157" s="190"/>
      <c r="P157" s="236"/>
      <c r="Q157" s="5"/>
      <c r="R157" s="5"/>
      <c r="S157" s="4"/>
      <c r="T157" s="4"/>
      <c r="U157" s="5"/>
      <c r="V157" s="5"/>
      <c r="W157" s="5"/>
      <c r="X157" s="86"/>
      <c r="Y157" s="86"/>
      <c r="Z157" s="177"/>
      <c r="AA157" s="5"/>
      <c r="AB157" s="190"/>
      <c r="AC157" s="190"/>
      <c r="AD157" s="236"/>
      <c r="AE157" s="190"/>
      <c r="AF157" s="190"/>
      <c r="AG157" s="190"/>
      <c r="AH157" s="190"/>
      <c r="AI157" s="190"/>
      <c r="AJ157" s="190"/>
      <c r="AK157" s="236"/>
      <c r="AL157" s="190"/>
      <c r="AM157" s="236"/>
      <c r="AN157" s="41"/>
      <c r="AO157" s="41"/>
      <c r="AP157" s="5"/>
      <c r="AQ157" s="4"/>
      <c r="AR157" s="4"/>
      <c r="AS157" s="4"/>
      <c r="AT157" s="5"/>
      <c r="AU157" s="5"/>
      <c r="AV157" s="5"/>
      <c r="AW157" s="236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37"/>
      <c r="BM157" s="5"/>
      <c r="BN157" s="5"/>
      <c r="BO157" s="5"/>
      <c r="BP157" s="236"/>
      <c r="BQ157" s="58"/>
      <c r="BR157" s="59"/>
      <c r="BS157" s="61"/>
      <c r="BT157" s="58"/>
      <c r="BU157" s="60"/>
      <c r="BV157" s="60"/>
      <c r="BW157" s="60"/>
      <c r="BX157" s="60"/>
      <c r="BY157" s="60"/>
      <c r="BZ157" s="61"/>
      <c r="CA157" s="61"/>
      <c r="CB157" s="61"/>
      <c r="CC157" s="61"/>
      <c r="CD157" s="59"/>
      <c r="CE157" s="59"/>
      <c r="CF157" s="59"/>
      <c r="CG157" s="59"/>
      <c r="CH157" s="61"/>
      <c r="CI157" s="61"/>
      <c r="CJ157" s="59"/>
      <c r="CK157" s="59"/>
      <c r="CL157" s="59"/>
      <c r="CM157" s="60"/>
      <c r="CN157" s="59"/>
      <c r="CO157" s="59"/>
      <c r="CP157" s="59"/>
      <c r="CQ157" s="236"/>
      <c r="CR157" s="37"/>
      <c r="CS157" s="5"/>
      <c r="CT157" s="5"/>
      <c r="CU157" s="5"/>
      <c r="CV157" s="236"/>
      <c r="CW157" s="5"/>
      <c r="CX157" s="5"/>
      <c r="CY157" s="5"/>
      <c r="CZ157" s="5"/>
      <c r="DA157" s="5"/>
      <c r="DB157" s="5"/>
      <c r="DC157" s="236"/>
      <c r="DD157" s="104"/>
      <c r="DE157" s="103"/>
      <c r="DF157" s="103"/>
      <c r="DG157" s="103"/>
      <c r="DH157" s="103"/>
      <c r="DI157" s="5"/>
      <c r="DJ157" s="172"/>
      <c r="DK157" s="104"/>
      <c r="DL157" s="104"/>
      <c r="DM157" s="103"/>
      <c r="DN157" s="102"/>
      <c r="DO157" s="104"/>
      <c r="DP157" s="104"/>
      <c r="DQ157" s="103"/>
      <c r="DR157" s="102"/>
      <c r="DS157" s="104"/>
      <c r="DT157" s="104"/>
      <c r="DU157" s="103"/>
      <c r="DV157" s="102"/>
      <c r="DW157" s="104"/>
      <c r="DX157" s="104"/>
      <c r="DY157" s="103"/>
      <c r="DZ157" s="102"/>
      <c r="EA157" s="104"/>
      <c r="EB157" s="104"/>
      <c r="EC157" s="103"/>
      <c r="ED157" s="102"/>
      <c r="EE157" s="236"/>
      <c r="EF157" s="5"/>
    </row>
    <row r="158" spans="1:136" s="3" customFormat="1" x14ac:dyDescent="0.15">
      <c r="A158" s="86"/>
      <c r="B158" s="65"/>
      <c r="C158" s="86"/>
      <c r="E158" s="4"/>
      <c r="F158" s="65"/>
      <c r="G158" s="65"/>
      <c r="H158" s="86"/>
      <c r="I158" s="65"/>
      <c r="J158" s="236"/>
      <c r="K158" s="5"/>
      <c r="L158" s="65"/>
      <c r="M158" s="5"/>
      <c r="N158" s="5"/>
      <c r="O158" s="190"/>
      <c r="P158" s="236"/>
      <c r="Q158" s="5"/>
      <c r="R158" s="5"/>
      <c r="S158" s="4"/>
      <c r="T158" s="4"/>
      <c r="U158" s="5"/>
      <c r="V158" s="5"/>
      <c r="W158" s="5"/>
      <c r="X158" s="86"/>
      <c r="Y158" s="86"/>
      <c r="Z158" s="177"/>
      <c r="AA158" s="5"/>
      <c r="AB158" s="190"/>
      <c r="AC158" s="190"/>
      <c r="AD158" s="236"/>
      <c r="AE158" s="190"/>
      <c r="AF158" s="190"/>
      <c r="AG158" s="190"/>
      <c r="AH158" s="190"/>
      <c r="AI158" s="190"/>
      <c r="AJ158" s="190"/>
      <c r="AK158" s="236"/>
      <c r="AL158" s="190"/>
      <c r="AM158" s="236"/>
      <c r="AN158" s="41"/>
      <c r="AO158" s="41"/>
      <c r="AP158" s="5"/>
      <c r="AQ158" s="4"/>
      <c r="AR158" s="4"/>
      <c r="AS158" s="4"/>
      <c r="AT158" s="5"/>
      <c r="AU158" s="5"/>
      <c r="AV158" s="5"/>
      <c r="AW158" s="236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37"/>
      <c r="BM158" s="5"/>
      <c r="BN158" s="5"/>
      <c r="BO158" s="5"/>
      <c r="BP158" s="236"/>
      <c r="BQ158" s="58"/>
      <c r="BR158" s="59"/>
      <c r="BS158" s="61"/>
      <c r="BT158" s="58"/>
      <c r="BU158" s="60"/>
      <c r="BV158" s="60"/>
      <c r="BW158" s="60"/>
      <c r="BX158" s="60"/>
      <c r="BY158" s="60"/>
      <c r="BZ158" s="61"/>
      <c r="CA158" s="61"/>
      <c r="CB158" s="61"/>
      <c r="CC158" s="61"/>
      <c r="CD158" s="59"/>
      <c r="CE158" s="59"/>
      <c r="CF158" s="59"/>
      <c r="CG158" s="59"/>
      <c r="CH158" s="61"/>
      <c r="CI158" s="61"/>
      <c r="CJ158" s="59"/>
      <c r="CK158" s="59"/>
      <c r="CL158" s="59"/>
      <c r="CM158" s="60"/>
      <c r="CN158" s="59"/>
      <c r="CO158" s="59"/>
      <c r="CP158" s="59"/>
      <c r="CQ158" s="236"/>
      <c r="CR158" s="37"/>
      <c r="CS158" s="5"/>
      <c r="CT158" s="5"/>
      <c r="CU158" s="5"/>
      <c r="CV158" s="236"/>
      <c r="CW158" s="5"/>
      <c r="CX158" s="5"/>
      <c r="CY158" s="5"/>
      <c r="CZ158" s="5"/>
      <c r="DA158" s="5"/>
      <c r="DB158" s="5"/>
      <c r="DC158" s="236"/>
      <c r="DD158" s="104"/>
      <c r="DE158" s="103"/>
      <c r="DF158" s="103"/>
      <c r="DG158" s="103"/>
      <c r="DH158" s="103"/>
      <c r="DI158" s="5"/>
      <c r="DJ158" s="172"/>
      <c r="DK158" s="104"/>
      <c r="DL158" s="104"/>
      <c r="DM158" s="103"/>
      <c r="DN158" s="102"/>
      <c r="DO158" s="104"/>
      <c r="DP158" s="104"/>
      <c r="DQ158" s="103"/>
      <c r="DR158" s="102"/>
      <c r="DS158" s="104"/>
      <c r="DT158" s="104"/>
      <c r="DU158" s="103"/>
      <c r="DV158" s="102"/>
      <c r="DW158" s="104"/>
      <c r="DX158" s="104"/>
      <c r="DY158" s="103"/>
      <c r="DZ158" s="102"/>
      <c r="EA158" s="104"/>
      <c r="EB158" s="104"/>
      <c r="EC158" s="103"/>
      <c r="ED158" s="102"/>
      <c r="EE158" s="236"/>
      <c r="EF158" s="5"/>
    </row>
    <row r="159" spans="1:136" s="3" customFormat="1" x14ac:dyDescent="0.15">
      <c r="A159" s="86"/>
      <c r="B159" s="65"/>
      <c r="C159" s="86"/>
      <c r="E159" s="4"/>
      <c r="F159" s="65"/>
      <c r="G159" s="65"/>
      <c r="H159" s="86"/>
      <c r="I159" s="65"/>
      <c r="J159" s="236"/>
      <c r="K159" s="5"/>
      <c r="L159" s="65"/>
      <c r="M159" s="5"/>
      <c r="N159" s="5"/>
      <c r="O159" s="190"/>
      <c r="P159" s="236"/>
      <c r="Q159" s="5"/>
      <c r="R159" s="5"/>
      <c r="S159" s="4"/>
      <c r="T159" s="4"/>
      <c r="U159" s="5"/>
      <c r="V159" s="5"/>
      <c r="W159" s="5"/>
      <c r="X159" s="86"/>
      <c r="Y159" s="86"/>
      <c r="Z159" s="177"/>
      <c r="AA159" s="5"/>
      <c r="AB159" s="190"/>
      <c r="AC159" s="190"/>
      <c r="AD159" s="236"/>
      <c r="AE159" s="190"/>
      <c r="AF159" s="190"/>
      <c r="AG159" s="190"/>
      <c r="AH159" s="190"/>
      <c r="AI159" s="190"/>
      <c r="AJ159" s="190"/>
      <c r="AK159" s="236"/>
      <c r="AL159" s="190"/>
      <c r="AM159" s="236"/>
      <c r="AN159" s="41"/>
      <c r="AO159" s="41"/>
      <c r="AP159" s="5"/>
      <c r="AQ159" s="4"/>
      <c r="AR159" s="4"/>
      <c r="AS159" s="4"/>
      <c r="AT159" s="5"/>
      <c r="AU159" s="5"/>
      <c r="AV159" s="5"/>
      <c r="AW159" s="236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37"/>
      <c r="BM159" s="5"/>
      <c r="BN159" s="5"/>
      <c r="BO159" s="5"/>
      <c r="BP159" s="236"/>
      <c r="BQ159" s="58"/>
      <c r="BR159" s="59"/>
      <c r="BS159" s="61"/>
      <c r="BT159" s="58"/>
      <c r="BU159" s="60"/>
      <c r="BV159" s="60"/>
      <c r="BW159" s="60"/>
      <c r="BX159" s="60"/>
      <c r="BY159" s="60"/>
      <c r="BZ159" s="61"/>
      <c r="CA159" s="61"/>
      <c r="CB159" s="61"/>
      <c r="CC159" s="61"/>
      <c r="CD159" s="59"/>
      <c r="CE159" s="59"/>
      <c r="CF159" s="59"/>
      <c r="CG159" s="59"/>
      <c r="CH159" s="61"/>
      <c r="CI159" s="61"/>
      <c r="CJ159" s="59"/>
      <c r="CK159" s="59"/>
      <c r="CL159" s="59"/>
      <c r="CM159" s="60"/>
      <c r="CN159" s="59"/>
      <c r="CO159" s="59"/>
      <c r="CP159" s="59"/>
      <c r="CQ159" s="236"/>
      <c r="CR159" s="37"/>
      <c r="CS159" s="5"/>
      <c r="CT159" s="5"/>
      <c r="CU159" s="5"/>
      <c r="CV159" s="236"/>
      <c r="CW159" s="5"/>
      <c r="CX159" s="5"/>
      <c r="CY159" s="5"/>
      <c r="CZ159" s="5"/>
      <c r="DA159" s="5"/>
      <c r="DB159" s="5"/>
      <c r="DC159" s="236"/>
      <c r="DD159" s="104"/>
      <c r="DE159" s="103"/>
      <c r="DF159" s="103"/>
      <c r="DG159" s="103"/>
      <c r="DH159" s="103"/>
      <c r="DI159" s="5"/>
      <c r="DJ159" s="172"/>
      <c r="DK159" s="104"/>
      <c r="DL159" s="104"/>
      <c r="DM159" s="103"/>
      <c r="DN159" s="102"/>
      <c r="DO159" s="104"/>
      <c r="DP159" s="104"/>
      <c r="DQ159" s="103"/>
      <c r="DR159" s="102"/>
      <c r="DS159" s="104"/>
      <c r="DT159" s="104"/>
      <c r="DU159" s="103"/>
      <c r="DV159" s="102"/>
      <c r="DW159" s="104"/>
      <c r="DX159" s="104"/>
      <c r="DY159" s="103"/>
      <c r="DZ159" s="102"/>
      <c r="EA159" s="104"/>
      <c r="EB159" s="104"/>
      <c r="EC159" s="103"/>
      <c r="ED159" s="102"/>
      <c r="EE159" s="236"/>
      <c r="EF159" s="5"/>
    </row>
    <row r="160" spans="1:136" s="3" customFormat="1" x14ac:dyDescent="0.15">
      <c r="A160" s="86"/>
      <c r="B160" s="65"/>
      <c r="C160" s="86"/>
      <c r="E160" s="4"/>
      <c r="F160" s="65"/>
      <c r="G160" s="65"/>
      <c r="H160" s="86"/>
      <c r="I160" s="65"/>
      <c r="J160" s="236"/>
      <c r="K160" s="5"/>
      <c r="L160" s="65"/>
      <c r="M160" s="5"/>
      <c r="N160" s="5"/>
      <c r="O160" s="190"/>
      <c r="P160" s="236"/>
      <c r="Q160" s="5"/>
      <c r="R160" s="5"/>
      <c r="S160" s="4"/>
      <c r="T160" s="4"/>
      <c r="U160" s="5"/>
      <c r="V160" s="5"/>
      <c r="W160" s="5"/>
      <c r="X160" s="86"/>
      <c r="Y160" s="86"/>
      <c r="Z160" s="177"/>
      <c r="AA160" s="5"/>
      <c r="AB160" s="190"/>
      <c r="AC160" s="190"/>
      <c r="AD160" s="236"/>
      <c r="AE160" s="190"/>
      <c r="AF160" s="190"/>
      <c r="AG160" s="190"/>
      <c r="AH160" s="190"/>
      <c r="AI160" s="190"/>
      <c r="AJ160" s="190"/>
      <c r="AK160" s="236"/>
      <c r="AL160" s="190"/>
      <c r="AM160" s="236"/>
      <c r="AN160" s="41"/>
      <c r="AO160" s="41"/>
      <c r="AP160" s="5"/>
      <c r="AQ160" s="4"/>
      <c r="AR160" s="4"/>
      <c r="AS160" s="4"/>
      <c r="AT160" s="5"/>
      <c r="AU160" s="5"/>
      <c r="AV160" s="5"/>
      <c r="AW160" s="236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37"/>
      <c r="BM160" s="5"/>
      <c r="BN160" s="5"/>
      <c r="BO160" s="5"/>
      <c r="BP160" s="236"/>
      <c r="BQ160" s="58"/>
      <c r="BR160" s="59"/>
      <c r="BS160" s="61"/>
      <c r="BT160" s="58"/>
      <c r="BU160" s="60"/>
      <c r="BV160" s="60"/>
      <c r="BW160" s="60"/>
      <c r="BX160" s="60"/>
      <c r="BY160" s="60"/>
      <c r="BZ160" s="61"/>
      <c r="CA160" s="61"/>
      <c r="CB160" s="61"/>
      <c r="CC160" s="61"/>
      <c r="CD160" s="59"/>
      <c r="CE160" s="59"/>
      <c r="CF160" s="59"/>
      <c r="CG160" s="59"/>
      <c r="CH160" s="61"/>
      <c r="CI160" s="61"/>
      <c r="CJ160" s="59"/>
      <c r="CK160" s="59"/>
      <c r="CL160" s="59"/>
      <c r="CM160" s="60"/>
      <c r="CN160" s="59"/>
      <c r="CO160" s="59"/>
      <c r="CP160" s="59"/>
      <c r="CQ160" s="236"/>
      <c r="CR160" s="37"/>
      <c r="CS160" s="5"/>
      <c r="CT160" s="5"/>
      <c r="CU160" s="5"/>
      <c r="CV160" s="236"/>
      <c r="CW160" s="5"/>
      <c r="CX160" s="5"/>
      <c r="CY160" s="5"/>
      <c r="CZ160" s="5"/>
      <c r="DA160" s="5"/>
      <c r="DB160" s="5"/>
      <c r="DC160" s="236"/>
      <c r="DD160" s="104"/>
      <c r="DE160" s="103"/>
      <c r="DF160" s="103"/>
      <c r="DG160" s="103"/>
      <c r="DH160" s="103"/>
      <c r="DI160" s="5"/>
      <c r="DJ160" s="172"/>
      <c r="DK160" s="104"/>
      <c r="DL160" s="104"/>
      <c r="DM160" s="103"/>
      <c r="DN160" s="102"/>
      <c r="DO160" s="104"/>
      <c r="DP160" s="104"/>
      <c r="DQ160" s="103"/>
      <c r="DR160" s="102"/>
      <c r="DS160" s="104"/>
      <c r="DT160" s="104"/>
      <c r="DU160" s="103"/>
      <c r="DV160" s="102"/>
      <c r="DW160" s="104"/>
      <c r="DX160" s="104"/>
      <c r="DY160" s="103"/>
      <c r="DZ160" s="102"/>
      <c r="EA160" s="104"/>
      <c r="EB160" s="104"/>
      <c r="EC160" s="103"/>
      <c r="ED160" s="102"/>
      <c r="EE160" s="236"/>
      <c r="EF160" s="5"/>
    </row>
    <row r="161" spans="1:136" s="3" customFormat="1" x14ac:dyDescent="0.15">
      <c r="A161" s="86"/>
      <c r="B161" s="65"/>
      <c r="C161" s="86"/>
      <c r="E161" s="4"/>
      <c r="F161" s="65"/>
      <c r="G161" s="65"/>
      <c r="H161" s="86"/>
      <c r="I161" s="65"/>
      <c r="J161" s="236"/>
      <c r="K161" s="5"/>
      <c r="L161" s="65"/>
      <c r="M161" s="5"/>
      <c r="N161" s="5"/>
      <c r="O161" s="190"/>
      <c r="P161" s="236"/>
      <c r="Q161" s="5"/>
      <c r="R161" s="5"/>
      <c r="S161" s="4"/>
      <c r="T161" s="4"/>
      <c r="U161" s="5"/>
      <c r="V161" s="5"/>
      <c r="W161" s="5"/>
      <c r="X161" s="86"/>
      <c r="Y161" s="86"/>
      <c r="Z161" s="177"/>
      <c r="AA161" s="5"/>
      <c r="AB161" s="190"/>
      <c r="AC161" s="190"/>
      <c r="AD161" s="236"/>
      <c r="AE161" s="190"/>
      <c r="AF161" s="190"/>
      <c r="AG161" s="190"/>
      <c r="AH161" s="190"/>
      <c r="AI161" s="190"/>
      <c r="AJ161" s="190"/>
      <c r="AK161" s="236"/>
      <c r="AL161" s="190"/>
      <c r="AM161" s="236"/>
      <c r="AN161" s="41"/>
      <c r="AO161" s="41"/>
      <c r="AP161" s="5"/>
      <c r="AQ161" s="4"/>
      <c r="AR161" s="4"/>
      <c r="AS161" s="4"/>
      <c r="AT161" s="5"/>
      <c r="AU161" s="5"/>
      <c r="AV161" s="5"/>
      <c r="AW161" s="236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37"/>
      <c r="BM161" s="5"/>
      <c r="BN161" s="5"/>
      <c r="BO161" s="5"/>
      <c r="BP161" s="236"/>
      <c r="BQ161" s="58"/>
      <c r="BR161" s="59"/>
      <c r="BS161" s="61"/>
      <c r="BT161" s="58"/>
      <c r="BU161" s="60"/>
      <c r="BV161" s="60"/>
      <c r="BW161" s="60"/>
      <c r="BX161" s="60"/>
      <c r="BY161" s="60"/>
      <c r="BZ161" s="61"/>
      <c r="CA161" s="61"/>
      <c r="CB161" s="61"/>
      <c r="CC161" s="61"/>
      <c r="CD161" s="59"/>
      <c r="CE161" s="59"/>
      <c r="CF161" s="59"/>
      <c r="CG161" s="59"/>
      <c r="CH161" s="61"/>
      <c r="CI161" s="61"/>
      <c r="CJ161" s="59"/>
      <c r="CK161" s="59"/>
      <c r="CL161" s="59"/>
      <c r="CM161" s="60"/>
      <c r="CN161" s="59"/>
      <c r="CO161" s="59"/>
      <c r="CP161" s="59"/>
      <c r="CQ161" s="236"/>
      <c r="CR161" s="37"/>
      <c r="CS161" s="5"/>
      <c r="CT161" s="5"/>
      <c r="CU161" s="5"/>
      <c r="CV161" s="236"/>
      <c r="CW161" s="5"/>
      <c r="CX161" s="5"/>
      <c r="CY161" s="5"/>
      <c r="CZ161" s="5"/>
      <c r="DA161" s="5"/>
      <c r="DB161" s="5"/>
      <c r="DC161" s="236"/>
      <c r="DD161" s="104"/>
      <c r="DE161" s="103"/>
      <c r="DF161" s="103"/>
      <c r="DG161" s="103"/>
      <c r="DH161" s="103"/>
      <c r="DI161" s="5"/>
      <c r="DJ161" s="172"/>
      <c r="DK161" s="104"/>
      <c r="DL161" s="104"/>
      <c r="DM161" s="103"/>
      <c r="DN161" s="102"/>
      <c r="DO161" s="104"/>
      <c r="DP161" s="104"/>
      <c r="DQ161" s="103"/>
      <c r="DR161" s="102"/>
      <c r="DS161" s="104"/>
      <c r="DT161" s="104"/>
      <c r="DU161" s="103"/>
      <c r="DV161" s="102"/>
      <c r="DW161" s="104"/>
      <c r="DX161" s="104"/>
      <c r="DY161" s="103"/>
      <c r="DZ161" s="102"/>
      <c r="EA161" s="104"/>
      <c r="EB161" s="104"/>
      <c r="EC161" s="103"/>
      <c r="ED161" s="102"/>
      <c r="EE161" s="236"/>
      <c r="EF161" s="5"/>
    </row>
    <row r="162" spans="1:136" s="3" customFormat="1" x14ac:dyDescent="0.15">
      <c r="A162" s="86"/>
      <c r="B162" s="65"/>
      <c r="C162" s="86"/>
      <c r="E162" s="4"/>
      <c r="F162" s="65"/>
      <c r="G162" s="65"/>
      <c r="H162" s="86"/>
      <c r="I162" s="65"/>
      <c r="J162" s="236"/>
      <c r="K162" s="5"/>
      <c r="L162" s="65"/>
      <c r="M162" s="5"/>
      <c r="N162" s="5"/>
      <c r="O162" s="190"/>
      <c r="P162" s="236"/>
      <c r="Q162" s="5"/>
      <c r="R162" s="5"/>
      <c r="S162" s="4"/>
      <c r="T162" s="4"/>
      <c r="U162" s="5"/>
      <c r="V162" s="5"/>
      <c r="W162" s="5"/>
      <c r="X162" s="86"/>
      <c r="Y162" s="86"/>
      <c r="Z162" s="177"/>
      <c r="AA162" s="5"/>
      <c r="AB162" s="190"/>
      <c r="AC162" s="190"/>
      <c r="AD162" s="236"/>
      <c r="AE162" s="190"/>
      <c r="AF162" s="190"/>
      <c r="AG162" s="190"/>
      <c r="AH162" s="190"/>
      <c r="AI162" s="190"/>
      <c r="AJ162" s="190"/>
      <c r="AK162" s="236"/>
      <c r="AL162" s="190"/>
      <c r="AM162" s="236"/>
      <c r="AN162" s="41"/>
      <c r="AO162" s="41"/>
      <c r="AP162" s="5"/>
      <c r="AQ162" s="4"/>
      <c r="AR162" s="4"/>
      <c r="AS162" s="4"/>
      <c r="AT162" s="5"/>
      <c r="AU162" s="5"/>
      <c r="AV162" s="5"/>
      <c r="AW162" s="236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37"/>
      <c r="BM162" s="5"/>
      <c r="BN162" s="5"/>
      <c r="BO162" s="5"/>
      <c r="BP162" s="236"/>
      <c r="BQ162" s="58"/>
      <c r="BR162" s="59"/>
      <c r="BS162" s="61"/>
      <c r="BT162" s="58"/>
      <c r="BU162" s="60"/>
      <c r="BV162" s="60"/>
      <c r="BW162" s="60"/>
      <c r="BX162" s="60"/>
      <c r="BY162" s="60"/>
      <c r="BZ162" s="61"/>
      <c r="CA162" s="61"/>
      <c r="CB162" s="61"/>
      <c r="CC162" s="61"/>
      <c r="CD162" s="59"/>
      <c r="CE162" s="59"/>
      <c r="CF162" s="59"/>
      <c r="CG162" s="59"/>
      <c r="CH162" s="61"/>
      <c r="CI162" s="61"/>
      <c r="CJ162" s="59"/>
      <c r="CK162" s="59"/>
      <c r="CL162" s="59"/>
      <c r="CM162" s="60"/>
      <c r="CN162" s="59"/>
      <c r="CO162" s="59"/>
      <c r="CP162" s="59"/>
      <c r="CQ162" s="236"/>
      <c r="CR162" s="37"/>
      <c r="CS162" s="5"/>
      <c r="CT162" s="5"/>
      <c r="CU162" s="5"/>
      <c r="CV162" s="236"/>
      <c r="CW162" s="5"/>
      <c r="CX162" s="5"/>
      <c r="CY162" s="5"/>
      <c r="CZ162" s="5"/>
      <c r="DA162" s="5"/>
      <c r="DB162" s="5"/>
      <c r="DC162" s="236"/>
      <c r="DD162" s="104"/>
      <c r="DE162" s="103"/>
      <c r="DF162" s="103"/>
      <c r="DG162" s="103"/>
      <c r="DH162" s="103"/>
      <c r="DI162" s="5"/>
      <c r="DJ162" s="172"/>
      <c r="DK162" s="104"/>
      <c r="DL162" s="104"/>
      <c r="DM162" s="103"/>
      <c r="DN162" s="102"/>
      <c r="DO162" s="104"/>
      <c r="DP162" s="104"/>
      <c r="DQ162" s="103"/>
      <c r="DR162" s="102"/>
      <c r="DS162" s="104"/>
      <c r="DT162" s="104"/>
      <c r="DU162" s="103"/>
      <c r="DV162" s="102"/>
      <c r="DW162" s="104"/>
      <c r="DX162" s="104"/>
      <c r="DY162" s="103"/>
      <c r="DZ162" s="102"/>
      <c r="EA162" s="104"/>
      <c r="EB162" s="104"/>
      <c r="EC162" s="103"/>
      <c r="ED162" s="102"/>
      <c r="EE162" s="236"/>
      <c r="EF162" s="5"/>
    </row>
    <row r="163" spans="1:136" s="3" customFormat="1" x14ac:dyDescent="0.15">
      <c r="A163" s="86"/>
      <c r="B163" s="65"/>
      <c r="C163" s="86"/>
      <c r="E163" s="4"/>
      <c r="F163" s="65"/>
      <c r="G163" s="65"/>
      <c r="H163" s="86"/>
      <c r="I163" s="65"/>
      <c r="J163" s="236"/>
      <c r="K163" s="5"/>
      <c r="L163" s="65"/>
      <c r="M163" s="5"/>
      <c r="N163" s="5"/>
      <c r="O163" s="190"/>
      <c r="P163" s="236"/>
      <c r="Q163" s="5"/>
      <c r="R163" s="5"/>
      <c r="S163" s="4"/>
      <c r="T163" s="4"/>
      <c r="U163" s="5"/>
      <c r="V163" s="5"/>
      <c r="W163" s="5"/>
      <c r="X163" s="86"/>
      <c r="Y163" s="86"/>
      <c r="Z163" s="177"/>
      <c r="AA163" s="5"/>
      <c r="AB163" s="190"/>
      <c r="AC163" s="190"/>
      <c r="AD163" s="236"/>
      <c r="AE163" s="190"/>
      <c r="AF163" s="190"/>
      <c r="AG163" s="190"/>
      <c r="AH163" s="190"/>
      <c r="AI163" s="190"/>
      <c r="AJ163" s="190"/>
      <c r="AK163" s="236"/>
      <c r="AL163" s="190"/>
      <c r="AM163" s="236"/>
      <c r="AN163" s="41"/>
      <c r="AO163" s="41"/>
      <c r="AP163" s="5"/>
      <c r="AQ163" s="4"/>
      <c r="AR163" s="4"/>
      <c r="AS163" s="4"/>
      <c r="AT163" s="5"/>
      <c r="AU163" s="5"/>
      <c r="AV163" s="5"/>
      <c r="AW163" s="236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37"/>
      <c r="BM163" s="5"/>
      <c r="BN163" s="5"/>
      <c r="BO163" s="5"/>
      <c r="BP163" s="236"/>
      <c r="BQ163" s="58"/>
      <c r="BR163" s="59"/>
      <c r="BS163" s="61"/>
      <c r="BT163" s="58"/>
      <c r="BU163" s="60"/>
      <c r="BV163" s="60"/>
      <c r="BW163" s="60"/>
      <c r="BX163" s="60"/>
      <c r="BY163" s="60"/>
      <c r="BZ163" s="61"/>
      <c r="CA163" s="61"/>
      <c r="CB163" s="61"/>
      <c r="CC163" s="61"/>
      <c r="CD163" s="59"/>
      <c r="CE163" s="59"/>
      <c r="CF163" s="59"/>
      <c r="CG163" s="59"/>
      <c r="CH163" s="61"/>
      <c r="CI163" s="61"/>
      <c r="CJ163" s="59"/>
      <c r="CK163" s="59"/>
      <c r="CL163" s="59"/>
      <c r="CM163" s="60"/>
      <c r="CN163" s="59"/>
      <c r="CO163" s="59"/>
      <c r="CP163" s="59"/>
      <c r="CQ163" s="236"/>
      <c r="CR163" s="37"/>
      <c r="CS163" s="5"/>
      <c r="CT163" s="5"/>
      <c r="CU163" s="5"/>
      <c r="CV163" s="236"/>
      <c r="CW163" s="5"/>
      <c r="CX163" s="5"/>
      <c r="CY163" s="5"/>
      <c r="CZ163" s="5"/>
      <c r="DA163" s="5"/>
      <c r="DB163" s="5"/>
      <c r="DC163" s="236"/>
      <c r="DD163" s="104"/>
      <c r="DE163" s="103"/>
      <c r="DF163" s="103"/>
      <c r="DG163" s="103"/>
      <c r="DH163" s="103"/>
      <c r="DI163" s="5"/>
      <c r="DJ163" s="172"/>
      <c r="DK163" s="104"/>
      <c r="DL163" s="104"/>
      <c r="DM163" s="103"/>
      <c r="DN163" s="102"/>
      <c r="DO163" s="104"/>
      <c r="DP163" s="104"/>
      <c r="DQ163" s="103"/>
      <c r="DR163" s="102"/>
      <c r="DS163" s="104"/>
      <c r="DT163" s="104"/>
      <c r="DU163" s="103"/>
      <c r="DV163" s="102"/>
      <c r="DW163" s="104"/>
      <c r="DX163" s="104"/>
      <c r="DY163" s="103"/>
      <c r="DZ163" s="102"/>
      <c r="EA163" s="104"/>
      <c r="EB163" s="104"/>
      <c r="EC163" s="103"/>
      <c r="ED163" s="102"/>
      <c r="EE163" s="236"/>
      <c r="EF163" s="5"/>
    </row>
    <row r="164" spans="1:136" s="3" customFormat="1" x14ac:dyDescent="0.15">
      <c r="A164" s="86"/>
      <c r="B164" s="65"/>
      <c r="C164" s="86"/>
      <c r="E164" s="4"/>
      <c r="F164" s="65"/>
      <c r="G164" s="65"/>
      <c r="H164" s="86"/>
      <c r="I164" s="65"/>
      <c r="J164" s="236"/>
      <c r="K164" s="5"/>
      <c r="L164" s="65"/>
      <c r="M164" s="5"/>
      <c r="N164" s="5"/>
      <c r="O164" s="190"/>
      <c r="P164" s="236"/>
      <c r="Q164" s="5"/>
      <c r="R164" s="5"/>
      <c r="S164" s="4"/>
      <c r="T164" s="4"/>
      <c r="U164" s="5"/>
      <c r="V164" s="5"/>
      <c r="W164" s="5"/>
      <c r="X164" s="86"/>
      <c r="Y164" s="86"/>
      <c r="Z164" s="177"/>
      <c r="AA164" s="5"/>
      <c r="AB164" s="190"/>
      <c r="AC164" s="190"/>
      <c r="AD164" s="236"/>
      <c r="AE164" s="190"/>
      <c r="AF164" s="190"/>
      <c r="AG164" s="190"/>
      <c r="AH164" s="190"/>
      <c r="AI164" s="190"/>
      <c r="AJ164" s="190"/>
      <c r="AK164" s="236"/>
      <c r="AL164" s="190"/>
      <c r="AM164" s="236"/>
      <c r="AN164" s="41"/>
      <c r="AO164" s="41"/>
      <c r="AP164" s="5"/>
      <c r="AQ164" s="4"/>
      <c r="AR164" s="4"/>
      <c r="AS164" s="4"/>
      <c r="AT164" s="5"/>
      <c r="AU164" s="5"/>
      <c r="AV164" s="5"/>
      <c r="AW164" s="236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37"/>
      <c r="BM164" s="5"/>
      <c r="BN164" s="5"/>
      <c r="BO164" s="5"/>
      <c r="BP164" s="236"/>
      <c r="BQ164" s="58"/>
      <c r="BR164" s="59"/>
      <c r="BS164" s="61"/>
      <c r="BT164" s="58"/>
      <c r="BU164" s="60"/>
      <c r="BV164" s="60"/>
      <c r="BW164" s="60"/>
      <c r="BX164" s="60"/>
      <c r="BY164" s="60"/>
      <c r="BZ164" s="61"/>
      <c r="CA164" s="61"/>
      <c r="CB164" s="61"/>
      <c r="CC164" s="61"/>
      <c r="CD164" s="59"/>
      <c r="CE164" s="59"/>
      <c r="CF164" s="59"/>
      <c r="CG164" s="59"/>
      <c r="CH164" s="61"/>
      <c r="CI164" s="61"/>
      <c r="CJ164" s="59"/>
      <c r="CK164" s="59"/>
      <c r="CL164" s="59"/>
      <c r="CM164" s="60"/>
      <c r="CN164" s="59"/>
      <c r="CO164" s="59"/>
      <c r="CP164" s="59"/>
      <c r="CQ164" s="236"/>
      <c r="CR164" s="37"/>
      <c r="CS164" s="5"/>
      <c r="CT164" s="5"/>
      <c r="CU164" s="5"/>
      <c r="CV164" s="236"/>
      <c r="CW164" s="5"/>
      <c r="CX164" s="5"/>
      <c r="CY164" s="5"/>
      <c r="CZ164" s="5"/>
      <c r="DA164" s="5"/>
      <c r="DB164" s="5"/>
      <c r="DC164" s="236"/>
      <c r="DD164" s="104"/>
      <c r="DE164" s="103"/>
      <c r="DF164" s="103"/>
      <c r="DG164" s="103"/>
      <c r="DH164" s="103"/>
      <c r="DI164" s="5"/>
      <c r="DJ164" s="172"/>
      <c r="DK164" s="104"/>
      <c r="DL164" s="104"/>
      <c r="DM164" s="103"/>
      <c r="DN164" s="102"/>
      <c r="DO164" s="104"/>
      <c r="DP164" s="104"/>
      <c r="DQ164" s="103"/>
      <c r="DR164" s="102"/>
      <c r="DS164" s="104"/>
      <c r="DT164" s="104"/>
      <c r="DU164" s="103"/>
      <c r="DV164" s="102"/>
      <c r="DW164" s="104"/>
      <c r="DX164" s="104"/>
      <c r="DY164" s="103"/>
      <c r="DZ164" s="102"/>
      <c r="EA164" s="104"/>
      <c r="EB164" s="104"/>
      <c r="EC164" s="103"/>
      <c r="ED164" s="102"/>
      <c r="EE164" s="236"/>
      <c r="EF164" s="5"/>
    </row>
    <row r="165" spans="1:136" s="3" customFormat="1" x14ac:dyDescent="0.15">
      <c r="A165" s="86"/>
      <c r="B165" s="65"/>
      <c r="C165" s="86"/>
      <c r="E165" s="4"/>
      <c r="F165" s="65"/>
      <c r="G165" s="65"/>
      <c r="H165" s="86"/>
      <c r="I165" s="65"/>
      <c r="J165" s="236"/>
      <c r="K165" s="5"/>
      <c r="L165" s="65"/>
      <c r="M165" s="5"/>
      <c r="N165" s="5"/>
      <c r="O165" s="190"/>
      <c r="P165" s="236"/>
      <c r="Q165" s="5"/>
      <c r="R165" s="5"/>
      <c r="S165" s="4"/>
      <c r="T165" s="4"/>
      <c r="U165" s="5"/>
      <c r="V165" s="5"/>
      <c r="W165" s="5"/>
      <c r="X165" s="86"/>
      <c r="Y165" s="86"/>
      <c r="Z165" s="177"/>
      <c r="AA165" s="5"/>
      <c r="AB165" s="190"/>
      <c r="AC165" s="190"/>
      <c r="AD165" s="236"/>
      <c r="AE165" s="190"/>
      <c r="AF165" s="190"/>
      <c r="AG165" s="190"/>
      <c r="AH165" s="190"/>
      <c r="AI165" s="190"/>
      <c r="AJ165" s="190"/>
      <c r="AK165" s="236"/>
      <c r="AL165" s="190"/>
      <c r="AM165" s="236"/>
      <c r="AN165" s="41"/>
      <c r="AO165" s="41"/>
      <c r="AP165" s="5"/>
      <c r="AQ165" s="4"/>
      <c r="AR165" s="4"/>
      <c r="AS165" s="4"/>
      <c r="AT165" s="5"/>
      <c r="AU165" s="5"/>
      <c r="AV165" s="5"/>
      <c r="AW165" s="236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37"/>
      <c r="BM165" s="5"/>
      <c r="BN165" s="5"/>
      <c r="BO165" s="5"/>
      <c r="BP165" s="236"/>
      <c r="BQ165" s="58"/>
      <c r="BR165" s="59"/>
      <c r="BS165" s="61"/>
      <c r="BT165" s="58"/>
      <c r="BU165" s="60"/>
      <c r="BV165" s="60"/>
      <c r="BW165" s="60"/>
      <c r="BX165" s="60"/>
      <c r="BY165" s="60"/>
      <c r="BZ165" s="61"/>
      <c r="CA165" s="61"/>
      <c r="CB165" s="61"/>
      <c r="CC165" s="61"/>
      <c r="CD165" s="59"/>
      <c r="CE165" s="59"/>
      <c r="CF165" s="59"/>
      <c r="CG165" s="59"/>
      <c r="CH165" s="61"/>
      <c r="CI165" s="61"/>
      <c r="CJ165" s="59"/>
      <c r="CK165" s="59"/>
      <c r="CL165" s="59"/>
      <c r="CM165" s="60"/>
      <c r="CN165" s="59"/>
      <c r="CO165" s="59"/>
      <c r="CP165" s="59"/>
      <c r="CQ165" s="236"/>
      <c r="CR165" s="37"/>
      <c r="CS165" s="5"/>
      <c r="CT165" s="5"/>
      <c r="CU165" s="5"/>
      <c r="CV165" s="236"/>
      <c r="CW165" s="5"/>
      <c r="CX165" s="5"/>
      <c r="CY165" s="5"/>
      <c r="CZ165" s="5"/>
      <c r="DA165" s="5"/>
      <c r="DB165" s="5"/>
      <c r="DC165" s="236"/>
      <c r="DD165" s="104"/>
      <c r="DE165" s="103"/>
      <c r="DF165" s="103"/>
      <c r="DG165" s="103"/>
      <c r="DH165" s="103"/>
      <c r="DI165" s="5"/>
      <c r="DJ165" s="172"/>
      <c r="DK165" s="104"/>
      <c r="DL165" s="104"/>
      <c r="DM165" s="103"/>
      <c r="DN165" s="102"/>
      <c r="DO165" s="104"/>
      <c r="DP165" s="104"/>
      <c r="DQ165" s="103"/>
      <c r="DR165" s="102"/>
      <c r="DS165" s="104"/>
      <c r="DT165" s="104"/>
      <c r="DU165" s="103"/>
      <c r="DV165" s="102"/>
      <c r="DW165" s="104"/>
      <c r="DX165" s="104"/>
      <c r="DY165" s="103"/>
      <c r="DZ165" s="102"/>
      <c r="EA165" s="104"/>
      <c r="EB165" s="104"/>
      <c r="EC165" s="103"/>
      <c r="ED165" s="102"/>
      <c r="EE165" s="236"/>
      <c r="EF165" s="5"/>
    </row>
    <row r="166" spans="1:136" s="3" customFormat="1" x14ac:dyDescent="0.15">
      <c r="A166" s="86"/>
      <c r="B166" s="65"/>
      <c r="C166" s="86"/>
      <c r="E166" s="4"/>
      <c r="F166" s="65"/>
      <c r="G166" s="65"/>
      <c r="H166" s="86"/>
      <c r="I166" s="65"/>
      <c r="J166" s="236"/>
      <c r="K166" s="5"/>
      <c r="L166" s="65"/>
      <c r="M166" s="5"/>
      <c r="N166" s="5"/>
      <c r="O166" s="190"/>
      <c r="P166" s="236"/>
      <c r="Q166" s="5"/>
      <c r="R166" s="5"/>
      <c r="S166" s="4"/>
      <c r="T166" s="4"/>
      <c r="U166" s="5"/>
      <c r="V166" s="5"/>
      <c r="W166" s="5"/>
      <c r="X166" s="86"/>
      <c r="Y166" s="86"/>
      <c r="Z166" s="177"/>
      <c r="AA166" s="5"/>
      <c r="AB166" s="190"/>
      <c r="AC166" s="190"/>
      <c r="AD166" s="236"/>
      <c r="AE166" s="190"/>
      <c r="AF166" s="190"/>
      <c r="AG166" s="190"/>
      <c r="AH166" s="190"/>
      <c r="AI166" s="190"/>
      <c r="AJ166" s="190"/>
      <c r="AK166" s="236"/>
      <c r="AL166" s="190"/>
      <c r="AM166" s="236"/>
      <c r="AN166" s="41"/>
      <c r="AO166" s="41"/>
      <c r="AP166" s="5"/>
      <c r="AQ166" s="4"/>
      <c r="AR166" s="4"/>
      <c r="AS166" s="4"/>
      <c r="AT166" s="5"/>
      <c r="AU166" s="5"/>
      <c r="AV166" s="5"/>
      <c r="AW166" s="236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37"/>
      <c r="BM166" s="5"/>
      <c r="BN166" s="5"/>
      <c r="BO166" s="5"/>
      <c r="BP166" s="236"/>
      <c r="BQ166" s="58"/>
      <c r="BR166" s="59"/>
      <c r="BS166" s="61"/>
      <c r="BT166" s="58"/>
      <c r="BU166" s="60"/>
      <c r="BV166" s="60"/>
      <c r="BW166" s="60"/>
      <c r="BX166" s="60"/>
      <c r="BY166" s="60"/>
      <c r="BZ166" s="61"/>
      <c r="CA166" s="61"/>
      <c r="CB166" s="61"/>
      <c r="CC166" s="61"/>
      <c r="CD166" s="59"/>
      <c r="CE166" s="59"/>
      <c r="CF166" s="59"/>
      <c r="CG166" s="59"/>
      <c r="CH166" s="61"/>
      <c r="CI166" s="61"/>
      <c r="CJ166" s="59"/>
      <c r="CK166" s="59"/>
      <c r="CL166" s="59"/>
      <c r="CM166" s="60"/>
      <c r="CN166" s="59"/>
      <c r="CO166" s="59"/>
      <c r="CP166" s="59"/>
      <c r="CQ166" s="236"/>
      <c r="CR166" s="37"/>
      <c r="CS166" s="5"/>
      <c r="CT166" s="5"/>
      <c r="CU166" s="5"/>
      <c r="CV166" s="236"/>
      <c r="CW166" s="5"/>
      <c r="CX166" s="5"/>
      <c r="CY166" s="5"/>
      <c r="CZ166" s="5"/>
      <c r="DA166" s="5"/>
      <c r="DB166" s="5"/>
      <c r="DC166" s="236"/>
      <c r="DD166" s="104"/>
      <c r="DE166" s="103"/>
      <c r="DF166" s="103"/>
      <c r="DG166" s="103"/>
      <c r="DH166" s="103"/>
      <c r="DI166" s="5"/>
      <c r="DJ166" s="172"/>
      <c r="DK166" s="104"/>
      <c r="DL166" s="104"/>
      <c r="DM166" s="103"/>
      <c r="DN166" s="102"/>
      <c r="DO166" s="104"/>
      <c r="DP166" s="104"/>
      <c r="DQ166" s="103"/>
      <c r="DR166" s="102"/>
      <c r="DS166" s="104"/>
      <c r="DT166" s="104"/>
      <c r="DU166" s="103"/>
      <c r="DV166" s="102"/>
      <c r="DW166" s="104"/>
      <c r="DX166" s="104"/>
      <c r="DY166" s="103"/>
      <c r="DZ166" s="102"/>
      <c r="EA166" s="104"/>
      <c r="EB166" s="104"/>
      <c r="EC166" s="103"/>
      <c r="ED166" s="102"/>
      <c r="EE166" s="236"/>
      <c r="EF166" s="5"/>
    </row>
    <row r="167" spans="1:136" s="3" customFormat="1" x14ac:dyDescent="0.15">
      <c r="A167" s="86"/>
      <c r="B167" s="65"/>
      <c r="C167" s="86"/>
      <c r="E167" s="4"/>
      <c r="F167" s="65"/>
      <c r="G167" s="65"/>
      <c r="H167" s="86"/>
      <c r="I167" s="65"/>
      <c r="J167" s="236"/>
      <c r="K167" s="5"/>
      <c r="L167" s="65"/>
      <c r="M167" s="5"/>
      <c r="N167" s="5"/>
      <c r="O167" s="190"/>
      <c r="P167" s="236"/>
      <c r="Q167" s="5"/>
      <c r="R167" s="5"/>
      <c r="S167" s="4"/>
      <c r="T167" s="4"/>
      <c r="U167" s="5"/>
      <c r="V167" s="5"/>
      <c r="W167" s="5"/>
      <c r="X167" s="86"/>
      <c r="Y167" s="86"/>
      <c r="Z167" s="177"/>
      <c r="AA167" s="5"/>
      <c r="AB167" s="190"/>
      <c r="AC167" s="190"/>
      <c r="AD167" s="236"/>
      <c r="AE167" s="190"/>
      <c r="AF167" s="190"/>
      <c r="AG167" s="190"/>
      <c r="AH167" s="190"/>
      <c r="AI167" s="190"/>
      <c r="AJ167" s="190"/>
      <c r="AK167" s="236"/>
      <c r="AL167" s="190"/>
      <c r="AM167" s="236"/>
      <c r="AN167" s="41"/>
      <c r="AO167" s="41"/>
      <c r="AP167" s="5"/>
      <c r="AQ167" s="4"/>
      <c r="AR167" s="4"/>
      <c r="AS167" s="4"/>
      <c r="AT167" s="5"/>
      <c r="AU167" s="5"/>
      <c r="AV167" s="5"/>
      <c r="AW167" s="236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37"/>
      <c r="BM167" s="5"/>
      <c r="BN167" s="5"/>
      <c r="BO167" s="5"/>
      <c r="BP167" s="236"/>
      <c r="BQ167" s="58"/>
      <c r="BR167" s="59"/>
      <c r="BS167" s="61"/>
      <c r="BT167" s="58"/>
      <c r="BU167" s="60"/>
      <c r="BV167" s="60"/>
      <c r="BW167" s="60"/>
      <c r="BX167" s="60"/>
      <c r="BY167" s="60"/>
      <c r="BZ167" s="61"/>
      <c r="CA167" s="61"/>
      <c r="CB167" s="61"/>
      <c r="CC167" s="61"/>
      <c r="CD167" s="59"/>
      <c r="CE167" s="59"/>
      <c r="CF167" s="59"/>
      <c r="CG167" s="59"/>
      <c r="CH167" s="61"/>
      <c r="CI167" s="61"/>
      <c r="CJ167" s="59"/>
      <c r="CK167" s="59"/>
      <c r="CL167" s="59"/>
      <c r="CM167" s="60"/>
      <c r="CN167" s="59"/>
      <c r="CO167" s="59"/>
      <c r="CP167" s="59"/>
      <c r="CQ167" s="236"/>
      <c r="CR167" s="37"/>
      <c r="CS167" s="5"/>
      <c r="CT167" s="5"/>
      <c r="CU167" s="5"/>
      <c r="CV167" s="236"/>
      <c r="CW167" s="5"/>
      <c r="CX167" s="5"/>
      <c r="CY167" s="5"/>
      <c r="CZ167" s="5"/>
      <c r="DA167" s="5"/>
      <c r="DB167" s="5"/>
      <c r="DC167" s="236"/>
      <c r="DD167" s="104"/>
      <c r="DE167" s="103"/>
      <c r="DF167" s="103"/>
      <c r="DG167" s="103"/>
      <c r="DH167" s="103"/>
      <c r="DI167" s="5"/>
      <c r="DJ167" s="172"/>
      <c r="DK167" s="104"/>
      <c r="DL167" s="104"/>
      <c r="DM167" s="103"/>
      <c r="DN167" s="102"/>
      <c r="DO167" s="104"/>
      <c r="DP167" s="104"/>
      <c r="DQ167" s="103"/>
      <c r="DR167" s="102"/>
      <c r="DS167" s="104"/>
      <c r="DT167" s="104"/>
      <c r="DU167" s="103"/>
      <c r="DV167" s="102"/>
      <c r="DW167" s="104"/>
      <c r="DX167" s="104"/>
      <c r="DY167" s="103"/>
      <c r="DZ167" s="102"/>
      <c r="EA167" s="104"/>
      <c r="EB167" s="104"/>
      <c r="EC167" s="103"/>
      <c r="ED167" s="102"/>
      <c r="EE167" s="236"/>
      <c r="EF167" s="5"/>
    </row>
    <row r="168" spans="1:136" s="3" customFormat="1" x14ac:dyDescent="0.15">
      <c r="A168" s="86"/>
      <c r="B168" s="65"/>
      <c r="C168" s="86"/>
      <c r="E168" s="4"/>
      <c r="F168" s="65"/>
      <c r="G168" s="65"/>
      <c r="H168" s="86"/>
      <c r="I168" s="65"/>
      <c r="J168" s="236"/>
      <c r="K168" s="5"/>
      <c r="L168" s="65"/>
      <c r="M168" s="5"/>
      <c r="N168" s="5"/>
      <c r="O168" s="190"/>
      <c r="P168" s="236"/>
      <c r="Q168" s="5"/>
      <c r="R168" s="5"/>
      <c r="S168" s="4"/>
      <c r="T168" s="4"/>
      <c r="U168" s="5"/>
      <c r="V168" s="5"/>
      <c r="W168" s="5"/>
      <c r="X168" s="86"/>
      <c r="Y168" s="86"/>
      <c r="Z168" s="177"/>
      <c r="AA168" s="5"/>
      <c r="AB168" s="190"/>
      <c r="AC168" s="190"/>
      <c r="AD168" s="236"/>
      <c r="AE168" s="190"/>
      <c r="AF168" s="190"/>
      <c r="AG168" s="190"/>
      <c r="AH168" s="190"/>
      <c r="AI168" s="190"/>
      <c r="AJ168" s="190"/>
      <c r="AK168" s="236"/>
      <c r="AL168" s="190"/>
      <c r="AM168" s="236"/>
      <c r="AN168" s="41"/>
      <c r="AO168" s="41"/>
      <c r="AP168" s="5"/>
      <c r="AQ168" s="4"/>
      <c r="AR168" s="4"/>
      <c r="AS168" s="4"/>
      <c r="AT168" s="5"/>
      <c r="AU168" s="5"/>
      <c r="AV168" s="5"/>
      <c r="AW168" s="236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37"/>
      <c r="BM168" s="5"/>
      <c r="BN168" s="5"/>
      <c r="BO168" s="5"/>
      <c r="BP168" s="236"/>
      <c r="BQ168" s="58"/>
      <c r="BR168" s="59"/>
      <c r="BS168" s="61"/>
      <c r="BT168" s="58"/>
      <c r="BU168" s="60"/>
      <c r="BV168" s="60"/>
      <c r="BW168" s="60"/>
      <c r="BX168" s="60"/>
      <c r="BY168" s="60"/>
      <c r="BZ168" s="61"/>
      <c r="CA168" s="61"/>
      <c r="CB168" s="61"/>
      <c r="CC168" s="61"/>
      <c r="CD168" s="59"/>
      <c r="CE168" s="59"/>
      <c r="CF168" s="59"/>
      <c r="CG168" s="59"/>
      <c r="CH168" s="61"/>
      <c r="CI168" s="61"/>
      <c r="CJ168" s="59"/>
      <c r="CK168" s="59"/>
      <c r="CL168" s="59"/>
      <c r="CM168" s="60"/>
      <c r="CN168" s="59"/>
      <c r="CO168" s="59"/>
      <c r="CP168" s="59"/>
      <c r="CQ168" s="236"/>
      <c r="CR168" s="37"/>
      <c r="CS168" s="5"/>
      <c r="CT168" s="5"/>
      <c r="CU168" s="5"/>
      <c r="CV168" s="236"/>
      <c r="CW168" s="5"/>
      <c r="CX168" s="5"/>
      <c r="CY168" s="5"/>
      <c r="CZ168" s="5"/>
      <c r="DA168" s="5"/>
      <c r="DB168" s="5"/>
      <c r="DC168" s="236"/>
      <c r="DD168" s="104"/>
      <c r="DE168" s="103"/>
      <c r="DF168" s="103"/>
      <c r="DG168" s="103"/>
      <c r="DH168" s="103"/>
      <c r="DI168" s="5"/>
      <c r="DJ168" s="172"/>
      <c r="DK168" s="104"/>
      <c r="DL168" s="104"/>
      <c r="DM168" s="103"/>
      <c r="DN168" s="102"/>
      <c r="DO168" s="104"/>
      <c r="DP168" s="104"/>
      <c r="DQ168" s="103"/>
      <c r="DR168" s="102"/>
      <c r="DS168" s="104"/>
      <c r="DT168" s="104"/>
      <c r="DU168" s="103"/>
      <c r="DV168" s="102"/>
      <c r="DW168" s="104"/>
      <c r="DX168" s="104"/>
      <c r="DY168" s="103"/>
      <c r="DZ168" s="102"/>
      <c r="EA168" s="104"/>
      <c r="EB168" s="104"/>
      <c r="EC168" s="103"/>
      <c r="ED168" s="102"/>
      <c r="EE168" s="236"/>
      <c r="EF168" s="5"/>
    </row>
    <row r="169" spans="1:136" s="3" customFormat="1" x14ac:dyDescent="0.15">
      <c r="A169" s="86"/>
      <c r="B169" s="65"/>
      <c r="C169" s="86"/>
      <c r="E169" s="4"/>
      <c r="F169" s="65"/>
      <c r="G169" s="65"/>
      <c r="H169" s="86"/>
      <c r="I169" s="65"/>
      <c r="J169" s="236"/>
      <c r="K169" s="5"/>
      <c r="L169" s="65"/>
      <c r="M169" s="5"/>
      <c r="N169" s="5"/>
      <c r="O169" s="190"/>
      <c r="P169" s="236"/>
      <c r="Q169" s="5"/>
      <c r="R169" s="5"/>
      <c r="S169" s="4"/>
      <c r="T169" s="4"/>
      <c r="U169" s="5"/>
      <c r="V169" s="5"/>
      <c r="W169" s="5"/>
      <c r="X169" s="86"/>
      <c r="Y169" s="86"/>
      <c r="Z169" s="177"/>
      <c r="AA169" s="5"/>
      <c r="AB169" s="190"/>
      <c r="AC169" s="190"/>
      <c r="AD169" s="236"/>
      <c r="AE169" s="190"/>
      <c r="AF169" s="190"/>
      <c r="AG169" s="190"/>
      <c r="AH169" s="190"/>
      <c r="AI169" s="190"/>
      <c r="AJ169" s="190"/>
      <c r="AK169" s="236"/>
      <c r="AL169" s="190"/>
      <c r="AM169" s="236"/>
      <c r="AN169" s="41"/>
      <c r="AO169" s="41"/>
      <c r="AP169" s="5"/>
      <c r="AQ169" s="4"/>
      <c r="AR169" s="4"/>
      <c r="AS169" s="4"/>
      <c r="AT169" s="5"/>
      <c r="AU169" s="5"/>
      <c r="AV169" s="5"/>
      <c r="AW169" s="236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37"/>
      <c r="BM169" s="5"/>
      <c r="BN169" s="5"/>
      <c r="BO169" s="5"/>
      <c r="BP169" s="236"/>
      <c r="BQ169" s="58"/>
      <c r="BR169" s="59"/>
      <c r="BS169" s="61"/>
      <c r="BT169" s="58"/>
      <c r="BU169" s="60"/>
      <c r="BV169" s="60"/>
      <c r="BW169" s="60"/>
      <c r="BX169" s="60"/>
      <c r="BY169" s="60"/>
      <c r="BZ169" s="61"/>
      <c r="CA169" s="61"/>
      <c r="CB169" s="61"/>
      <c r="CC169" s="61"/>
      <c r="CD169" s="59"/>
      <c r="CE169" s="59"/>
      <c r="CF169" s="59"/>
      <c r="CG169" s="59"/>
      <c r="CH169" s="61"/>
      <c r="CI169" s="61"/>
      <c r="CJ169" s="59"/>
      <c r="CK169" s="59"/>
      <c r="CL169" s="59"/>
      <c r="CM169" s="60"/>
      <c r="CN169" s="59"/>
      <c r="CO169" s="59"/>
      <c r="CP169" s="59"/>
      <c r="CQ169" s="236"/>
      <c r="CR169" s="37"/>
      <c r="CS169" s="5"/>
      <c r="CT169" s="5"/>
      <c r="CU169" s="5"/>
      <c r="CV169" s="236"/>
      <c r="CW169" s="5"/>
      <c r="CX169" s="5"/>
      <c r="CY169" s="5"/>
      <c r="CZ169" s="5"/>
      <c r="DA169" s="5"/>
      <c r="DB169" s="5"/>
      <c r="DC169" s="236"/>
      <c r="DD169" s="104"/>
      <c r="DE169" s="103"/>
      <c r="DF169" s="103"/>
      <c r="DG169" s="103"/>
      <c r="DH169" s="103"/>
      <c r="DI169" s="5"/>
      <c r="DJ169" s="172"/>
      <c r="DK169" s="104"/>
      <c r="DL169" s="104"/>
      <c r="DM169" s="103"/>
      <c r="DN169" s="102"/>
      <c r="DO169" s="104"/>
      <c r="DP169" s="104"/>
      <c r="DQ169" s="103"/>
      <c r="DR169" s="102"/>
      <c r="DS169" s="104"/>
      <c r="DT169" s="104"/>
      <c r="DU169" s="103"/>
      <c r="DV169" s="102"/>
      <c r="DW169" s="104"/>
      <c r="DX169" s="104"/>
      <c r="DY169" s="103"/>
      <c r="DZ169" s="102"/>
      <c r="EA169" s="104"/>
      <c r="EB169" s="104"/>
      <c r="EC169" s="103"/>
      <c r="ED169" s="102"/>
      <c r="EE169" s="236"/>
      <c r="EF169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7" tint="0.79998168889431442"/>
  </sheetPr>
  <dimension ref="A1:CI196"/>
  <sheetViews>
    <sheetView topLeftCell="A4" workbookViewId="0">
      <selection activeCell="O17" sqref="O17"/>
    </sheetView>
  </sheetViews>
  <sheetFormatPr defaultColWidth="7.75" defaultRowHeight="16.5" x14ac:dyDescent="0.15"/>
  <cols>
    <col min="1" max="1" width="9.875" style="84" bestFit="1" customWidth="1"/>
    <col min="2" max="2" width="9.875" style="62" bestFit="1" customWidth="1"/>
    <col min="3" max="3" width="9.875" style="84" bestFit="1" customWidth="1"/>
    <col min="4" max="4" width="11.75" style="21" customWidth="1"/>
    <col min="5" max="5" width="3.25" style="22" bestFit="1" customWidth="1"/>
    <col min="6" max="6" width="3.25" style="91" bestFit="1" customWidth="1"/>
    <col min="7" max="7" width="3.25" style="22" bestFit="1" customWidth="1"/>
    <col min="8" max="8" width="3.875" style="22" bestFit="1" customWidth="1"/>
    <col min="9" max="9" width="3.25" style="91" bestFit="1" customWidth="1"/>
    <col min="10" max="10" width="5.75" style="242" bestFit="1" customWidth="1"/>
    <col min="11" max="11" width="15" style="23" customWidth="1"/>
    <col min="12" max="12" width="10" style="23" bestFit="1" customWidth="1"/>
    <col min="13" max="13" width="5.75" style="242" bestFit="1" customWidth="1"/>
    <col min="14" max="14" width="21.25" style="23" customWidth="1"/>
    <col min="15" max="15" width="21.25" style="23" bestFit="1" customWidth="1"/>
    <col min="16" max="16" width="16.25" style="220" bestFit="1" customWidth="1"/>
    <col min="17" max="17" width="5.75" style="22" bestFit="1" customWidth="1"/>
    <col min="18" max="18" width="10" style="23" bestFit="1" customWidth="1"/>
    <col min="19" max="19" width="14.75" style="23" bestFit="1" customWidth="1"/>
    <col min="20" max="20" width="24.875" style="220" bestFit="1" customWidth="1"/>
    <col min="21" max="21" width="14.25" style="220" bestFit="1" customWidth="1"/>
    <col min="22" max="22" width="38.75" style="227" bestFit="1" customWidth="1"/>
    <col min="23" max="24" width="20" style="23" bestFit="1" customWidth="1"/>
    <col min="25" max="25" width="5.75" style="242" bestFit="1" customWidth="1"/>
    <col min="26" max="26" width="20" style="23" bestFit="1" customWidth="1"/>
    <col min="27" max="27" width="5.75" style="242" bestFit="1" customWidth="1"/>
    <col min="28" max="28" width="15.25" style="23" bestFit="1" customWidth="1"/>
    <col min="29" max="31" width="13.75" style="23" bestFit="1" customWidth="1"/>
    <col min="32" max="32" width="5.75" style="242" bestFit="1" customWidth="1"/>
    <col min="33" max="33" width="11.25" style="104" bestFit="1" customWidth="1"/>
    <col min="34" max="36" width="3.25" style="103" bestFit="1" customWidth="1"/>
    <col min="37" max="37" width="3.875" style="103" bestFit="1" customWidth="1"/>
    <col min="38" max="38" width="10" style="35" bestFit="1" customWidth="1"/>
    <col min="39" max="39" width="12" style="172" bestFit="1" customWidth="1"/>
    <col min="40" max="40" width="17.125" style="104" bestFit="1" customWidth="1"/>
    <col min="41" max="41" width="12.875" style="104" bestFit="1" customWidth="1"/>
    <col min="42" max="42" width="9.875" style="103" bestFit="1" customWidth="1"/>
    <col min="43" max="43" width="16.25" style="102" bestFit="1" customWidth="1"/>
    <col min="44" max="44" width="17.125" style="104" bestFit="1" customWidth="1"/>
    <col min="45" max="45" width="10" style="104" bestFit="1" customWidth="1"/>
    <col min="46" max="46" width="9.875" style="103" bestFit="1" customWidth="1"/>
    <col min="47" max="47" width="16.25" style="102" bestFit="1" customWidth="1"/>
    <col min="48" max="48" width="17.125" style="104" bestFit="1" customWidth="1"/>
    <col min="49" max="49" width="10" style="104" bestFit="1" customWidth="1"/>
    <col min="50" max="50" width="9.875" style="103" bestFit="1" customWidth="1"/>
    <col min="51" max="51" width="16.25" style="102" bestFit="1" customWidth="1"/>
    <col min="52" max="52" width="17.125" style="104" bestFit="1" customWidth="1"/>
    <col min="53" max="53" width="10" style="104" bestFit="1" customWidth="1"/>
    <col min="54" max="54" width="9.875" style="103" bestFit="1" customWidth="1"/>
    <col min="55" max="55" width="16.25" style="102" bestFit="1" customWidth="1"/>
    <col min="56" max="56" width="17.125" style="104" bestFit="1" customWidth="1"/>
    <col min="57" max="57" width="10" style="104" bestFit="1" customWidth="1"/>
    <col min="58" max="58" width="9.875" style="103" bestFit="1" customWidth="1"/>
    <col min="59" max="59" width="16.25" style="102" bestFit="1" customWidth="1"/>
    <col min="60" max="60" width="5.75" style="242" bestFit="1" customWidth="1"/>
    <col min="61" max="61" width="10.25" style="23" bestFit="1" customWidth="1"/>
    <col min="62" max="62" width="14" style="21" customWidth="1"/>
    <col min="63" max="63" width="12" style="21" customWidth="1"/>
    <col min="64" max="68" width="14" style="21" customWidth="1"/>
    <col min="69" max="70" width="11.75" style="21" customWidth="1"/>
    <col min="71" max="72" width="9.75" style="21" customWidth="1"/>
    <col min="73" max="74" width="14" style="21" customWidth="1"/>
    <col min="75" max="76" width="9.75" style="21" customWidth="1"/>
    <col min="77" max="77" width="26.75" style="21" customWidth="1"/>
    <col min="78" max="79" width="22.125" style="21" customWidth="1"/>
    <col min="80" max="81" width="14" style="21" customWidth="1"/>
    <col min="82" max="85" width="9.75" style="21" customWidth="1"/>
    <col min="86" max="86" width="10.25" style="21" customWidth="1"/>
    <col min="87" max="121" width="9.75" style="21" customWidth="1"/>
    <col min="122" max="16384" width="7.75" style="21"/>
  </cols>
  <sheetData>
    <row r="1" spans="1:87" s="18" customFormat="1" x14ac:dyDescent="0.15">
      <c r="A1" s="86"/>
      <c r="B1" s="65"/>
      <c r="C1" s="86"/>
      <c r="D1" s="3" t="s">
        <v>59</v>
      </c>
      <c r="E1" s="27"/>
      <c r="F1" s="93"/>
      <c r="G1" s="27"/>
      <c r="H1" s="27"/>
      <c r="I1" s="93"/>
      <c r="J1" s="239"/>
      <c r="K1" s="28" t="s">
        <v>60</v>
      </c>
      <c r="L1" s="28" t="s">
        <v>60</v>
      </c>
      <c r="M1" s="239"/>
      <c r="N1" s="28" t="s">
        <v>60</v>
      </c>
      <c r="O1" s="28" t="s">
        <v>60</v>
      </c>
      <c r="P1" s="215"/>
      <c r="Q1" s="27"/>
      <c r="R1" s="28" t="s">
        <v>60</v>
      </c>
      <c r="S1" s="35" t="s">
        <v>60</v>
      </c>
      <c r="T1" s="215"/>
      <c r="U1" s="215"/>
      <c r="V1" s="145" t="s">
        <v>60</v>
      </c>
      <c r="W1" s="146" t="s">
        <v>60</v>
      </c>
      <c r="X1" s="146" t="s">
        <v>60</v>
      </c>
      <c r="Y1" s="239"/>
      <c r="Z1" s="146" t="s">
        <v>60</v>
      </c>
      <c r="AA1" s="239"/>
      <c r="AB1" s="28" t="s">
        <v>60</v>
      </c>
      <c r="AC1" s="28" t="s">
        <v>60</v>
      </c>
      <c r="AD1" s="28" t="s">
        <v>60</v>
      </c>
      <c r="AE1" s="28" t="s">
        <v>60</v>
      </c>
      <c r="AF1" s="239"/>
      <c r="AG1" s="104" t="s">
        <v>60</v>
      </c>
      <c r="AH1" s="103"/>
      <c r="AI1" s="103"/>
      <c r="AJ1" s="103"/>
      <c r="AK1" s="103"/>
      <c r="AL1" s="5" t="s">
        <v>60</v>
      </c>
      <c r="AM1" s="172" t="s">
        <v>112</v>
      </c>
      <c r="AN1" s="104" t="s">
        <v>404</v>
      </c>
      <c r="AO1" s="104" t="s">
        <v>60</v>
      </c>
      <c r="AP1" s="103"/>
      <c r="AQ1" s="102" t="s">
        <v>60</v>
      </c>
      <c r="AR1" s="104" t="s">
        <v>404</v>
      </c>
      <c r="AS1" s="104" t="s">
        <v>60</v>
      </c>
      <c r="AT1" s="103"/>
      <c r="AU1" s="102" t="s">
        <v>60</v>
      </c>
      <c r="AV1" s="104" t="s">
        <v>404</v>
      </c>
      <c r="AW1" s="104" t="s">
        <v>60</v>
      </c>
      <c r="AX1" s="103"/>
      <c r="AY1" s="102" t="s">
        <v>60</v>
      </c>
      <c r="AZ1" s="104" t="s">
        <v>404</v>
      </c>
      <c r="BA1" s="104" t="s">
        <v>60</v>
      </c>
      <c r="BB1" s="103"/>
      <c r="BC1" s="102" t="s">
        <v>60</v>
      </c>
      <c r="BD1" s="104" t="s">
        <v>404</v>
      </c>
      <c r="BE1" s="104" t="s">
        <v>60</v>
      </c>
      <c r="BF1" s="103"/>
      <c r="BG1" s="102" t="s">
        <v>60</v>
      </c>
      <c r="BH1" s="239"/>
      <c r="BI1" s="5" t="s">
        <v>60</v>
      </c>
    </row>
    <row r="2" spans="1:87" s="18" customFormat="1" x14ac:dyDescent="0.15">
      <c r="A2" s="86"/>
      <c r="B2" s="65"/>
      <c r="C2" s="86"/>
      <c r="D2" s="3" t="s">
        <v>61</v>
      </c>
      <c r="E2" s="27"/>
      <c r="F2" s="93"/>
      <c r="G2" s="27"/>
      <c r="H2" s="27"/>
      <c r="I2" s="93"/>
      <c r="J2" s="239"/>
      <c r="K2" s="28" t="s">
        <v>61</v>
      </c>
      <c r="L2" s="28" t="s">
        <v>61</v>
      </c>
      <c r="M2" s="239"/>
      <c r="N2" s="28" t="s">
        <v>62</v>
      </c>
      <c r="O2" s="28" t="s">
        <v>62</v>
      </c>
      <c r="P2" s="215"/>
      <c r="Q2" s="27"/>
      <c r="R2" s="28" t="s">
        <v>61</v>
      </c>
      <c r="S2" s="35" t="s">
        <v>61</v>
      </c>
      <c r="T2" s="215"/>
      <c r="U2" s="215"/>
      <c r="V2" s="145" t="s">
        <v>62</v>
      </c>
      <c r="W2" s="146" t="s">
        <v>62</v>
      </c>
      <c r="X2" s="146" t="s">
        <v>61</v>
      </c>
      <c r="Y2" s="239"/>
      <c r="Z2" s="146" t="s">
        <v>61</v>
      </c>
      <c r="AA2" s="239"/>
      <c r="AB2" s="28" t="s">
        <v>61</v>
      </c>
      <c r="AC2" s="28" t="s">
        <v>61</v>
      </c>
      <c r="AD2" s="28" t="s">
        <v>61</v>
      </c>
      <c r="AE2" s="28" t="s">
        <v>61</v>
      </c>
      <c r="AF2" s="239"/>
      <c r="AG2" s="210" t="s">
        <v>61</v>
      </c>
      <c r="AH2" s="211"/>
      <c r="AI2" s="211"/>
      <c r="AJ2" s="211"/>
      <c r="AK2" s="211"/>
      <c r="AL2" s="5" t="s">
        <v>61</v>
      </c>
      <c r="AM2" s="265">
        <v>5</v>
      </c>
      <c r="AN2" s="210">
        <v>3</v>
      </c>
      <c r="AO2" s="210" t="s">
        <v>61</v>
      </c>
      <c r="AP2" s="211"/>
      <c r="AQ2" s="212" t="s">
        <v>61</v>
      </c>
      <c r="AR2" s="210">
        <v>3</v>
      </c>
      <c r="AS2" s="210" t="s">
        <v>61</v>
      </c>
      <c r="AT2" s="211"/>
      <c r="AU2" s="212" t="s">
        <v>61</v>
      </c>
      <c r="AV2" s="210">
        <v>3</v>
      </c>
      <c r="AW2" s="210" t="s">
        <v>61</v>
      </c>
      <c r="AX2" s="211"/>
      <c r="AY2" s="212" t="s">
        <v>61</v>
      </c>
      <c r="AZ2" s="210">
        <v>3</v>
      </c>
      <c r="BA2" s="210" t="s">
        <v>61</v>
      </c>
      <c r="BB2" s="211"/>
      <c r="BC2" s="212" t="s">
        <v>61</v>
      </c>
      <c r="BD2" s="210">
        <v>3</v>
      </c>
      <c r="BE2" s="210" t="s">
        <v>61</v>
      </c>
      <c r="BF2" s="211"/>
      <c r="BG2" s="212" t="s">
        <v>61</v>
      </c>
      <c r="BH2" s="239"/>
      <c r="BI2" s="5" t="s">
        <v>61</v>
      </c>
    </row>
    <row r="3" spans="1:87" s="18" customFormat="1" x14ac:dyDescent="0.15">
      <c r="A3" s="86"/>
      <c r="B3" s="65"/>
      <c r="C3" s="86"/>
      <c r="D3" s="18" t="s">
        <v>360</v>
      </c>
      <c r="E3" s="27"/>
      <c r="F3" s="93"/>
      <c r="G3" s="27"/>
      <c r="H3" s="27"/>
      <c r="I3" s="93"/>
      <c r="J3" s="239"/>
      <c r="K3" s="28" t="s">
        <v>228</v>
      </c>
      <c r="L3" s="28" t="s">
        <v>1017</v>
      </c>
      <c r="M3" s="239"/>
      <c r="N3" s="28" t="s">
        <v>976</v>
      </c>
      <c r="O3" s="28" t="s">
        <v>227</v>
      </c>
      <c r="P3" s="215"/>
      <c r="Q3" s="27"/>
      <c r="R3" s="28" t="s">
        <v>552</v>
      </c>
      <c r="S3" s="35" t="s">
        <v>1097</v>
      </c>
      <c r="T3" s="215"/>
      <c r="U3" s="215"/>
      <c r="V3" s="145" t="s">
        <v>512</v>
      </c>
      <c r="W3" s="146" t="s">
        <v>514</v>
      </c>
      <c r="X3" s="146" t="s">
        <v>746</v>
      </c>
      <c r="Y3" s="239"/>
      <c r="Z3" s="146" t="s">
        <v>1164</v>
      </c>
      <c r="AA3" s="239"/>
      <c r="AB3" s="28" t="s">
        <v>229</v>
      </c>
      <c r="AC3" s="28" t="s">
        <v>230</v>
      </c>
      <c r="AD3" s="28" t="s">
        <v>231</v>
      </c>
      <c r="AE3" s="28" t="s">
        <v>232</v>
      </c>
      <c r="AF3" s="239"/>
      <c r="AG3" s="210" t="s">
        <v>398</v>
      </c>
      <c r="AH3" s="211"/>
      <c r="AI3" s="211"/>
      <c r="AJ3" s="211"/>
      <c r="AK3" s="211"/>
      <c r="AL3" s="5" t="s">
        <v>688</v>
      </c>
      <c r="AM3" s="265" t="s">
        <v>409</v>
      </c>
      <c r="AN3" s="210" t="s">
        <v>410</v>
      </c>
      <c r="AO3" s="210" t="s">
        <v>397</v>
      </c>
      <c r="AP3" s="211"/>
      <c r="AQ3" s="212" t="s">
        <v>396</v>
      </c>
      <c r="AR3" s="210" t="s">
        <v>410</v>
      </c>
      <c r="AS3" s="210" t="s">
        <v>397</v>
      </c>
      <c r="AT3" s="211"/>
      <c r="AU3" s="212" t="s">
        <v>396</v>
      </c>
      <c r="AV3" s="210" t="s">
        <v>410</v>
      </c>
      <c r="AW3" s="210" t="s">
        <v>397</v>
      </c>
      <c r="AX3" s="211"/>
      <c r="AY3" s="212" t="s">
        <v>396</v>
      </c>
      <c r="AZ3" s="210" t="s">
        <v>410</v>
      </c>
      <c r="BA3" s="210" t="s">
        <v>397</v>
      </c>
      <c r="BB3" s="211"/>
      <c r="BC3" s="212" t="s">
        <v>396</v>
      </c>
      <c r="BD3" s="210" t="s">
        <v>410</v>
      </c>
      <c r="BE3" s="210" t="s">
        <v>397</v>
      </c>
      <c r="BF3" s="211"/>
      <c r="BG3" s="212" t="s">
        <v>396</v>
      </c>
      <c r="BH3" s="239"/>
      <c r="BI3" s="5" t="s">
        <v>544</v>
      </c>
    </row>
    <row r="4" spans="1:87" s="96" customFormat="1" ht="66.75" thickBot="1" x14ac:dyDescent="0.2">
      <c r="A4" s="100" t="s">
        <v>310</v>
      </c>
      <c r="B4" s="71" t="s">
        <v>310</v>
      </c>
      <c r="C4" s="73" t="s">
        <v>310</v>
      </c>
      <c r="D4" s="96" t="s">
        <v>87</v>
      </c>
      <c r="E4" s="98" t="s">
        <v>324</v>
      </c>
      <c r="F4" s="97" t="s">
        <v>48</v>
      </c>
      <c r="G4" s="98"/>
      <c r="H4" s="98"/>
      <c r="I4" s="97" t="s">
        <v>1016</v>
      </c>
      <c r="J4" s="238" t="s">
        <v>1015</v>
      </c>
      <c r="K4" s="83" t="s">
        <v>309</v>
      </c>
      <c r="L4" s="99" t="s">
        <v>1016</v>
      </c>
      <c r="M4" s="238" t="s">
        <v>1014</v>
      </c>
      <c r="N4" s="99" t="s">
        <v>975</v>
      </c>
      <c r="O4" s="99" t="s">
        <v>495</v>
      </c>
      <c r="P4" s="216" t="s">
        <v>709</v>
      </c>
      <c r="Q4" s="98" t="s">
        <v>64</v>
      </c>
      <c r="R4" s="99" t="s">
        <v>553</v>
      </c>
      <c r="S4" s="39" t="s">
        <v>1098</v>
      </c>
      <c r="T4" s="216" t="s">
        <v>1011</v>
      </c>
      <c r="U4" s="216" t="s">
        <v>1010</v>
      </c>
      <c r="V4" s="153" t="s">
        <v>513</v>
      </c>
      <c r="W4" s="154" t="s">
        <v>515</v>
      </c>
      <c r="X4" s="154" t="s">
        <v>747</v>
      </c>
      <c r="Y4" s="238" t="s">
        <v>682</v>
      </c>
      <c r="Z4" s="154" t="s">
        <v>1165</v>
      </c>
      <c r="AA4" s="238" t="s">
        <v>143</v>
      </c>
      <c r="AB4" s="99" t="s">
        <v>88</v>
      </c>
      <c r="AC4" s="99" t="s">
        <v>89</v>
      </c>
      <c r="AD4" s="99" t="s">
        <v>90</v>
      </c>
      <c r="AE4" s="99" t="s">
        <v>91</v>
      </c>
      <c r="AF4" s="238" t="s">
        <v>281</v>
      </c>
      <c r="AG4" s="126" t="s">
        <v>389</v>
      </c>
      <c r="AH4" s="127" t="s">
        <v>388</v>
      </c>
      <c r="AI4" s="127" t="s">
        <v>387</v>
      </c>
      <c r="AJ4" s="127" t="s">
        <v>386</v>
      </c>
      <c r="AK4" s="127" t="s">
        <v>385</v>
      </c>
      <c r="AL4" s="39" t="s">
        <v>689</v>
      </c>
      <c r="AM4" s="185"/>
      <c r="AN4" s="125" t="s">
        <v>409</v>
      </c>
      <c r="AO4" s="125" t="s">
        <v>384</v>
      </c>
      <c r="AP4" s="124" t="s">
        <v>383</v>
      </c>
      <c r="AQ4" s="181" t="s">
        <v>474</v>
      </c>
      <c r="AR4" s="125" t="s">
        <v>409</v>
      </c>
      <c r="AS4" s="125" t="s">
        <v>384</v>
      </c>
      <c r="AT4" s="124" t="s">
        <v>383</v>
      </c>
      <c r="AU4" s="181" t="s">
        <v>474</v>
      </c>
      <c r="AV4" s="125" t="s">
        <v>409</v>
      </c>
      <c r="AW4" s="125" t="s">
        <v>384</v>
      </c>
      <c r="AX4" s="124" t="s">
        <v>383</v>
      </c>
      <c r="AY4" s="181" t="s">
        <v>474</v>
      </c>
      <c r="AZ4" s="125" t="s">
        <v>409</v>
      </c>
      <c r="BA4" s="125" t="s">
        <v>384</v>
      </c>
      <c r="BB4" s="124" t="s">
        <v>383</v>
      </c>
      <c r="BC4" s="181" t="s">
        <v>474</v>
      </c>
      <c r="BD4" s="125" t="s">
        <v>409</v>
      </c>
      <c r="BE4" s="125" t="s">
        <v>384</v>
      </c>
      <c r="BF4" s="124" t="s">
        <v>383</v>
      </c>
      <c r="BG4" s="181" t="s">
        <v>474</v>
      </c>
      <c r="BH4" s="238" t="s">
        <v>683</v>
      </c>
      <c r="BI4" s="39" t="s">
        <v>545</v>
      </c>
      <c r="CI4" s="209"/>
    </row>
    <row r="5" spans="1:87" s="17" customFormat="1" x14ac:dyDescent="0.15">
      <c r="A5" s="85"/>
      <c r="B5" s="64">
        <f>IF(C5=1,D5,)</f>
        <v>0</v>
      </c>
      <c r="C5" s="85"/>
      <c r="D5" s="17">
        <f>E5*10000000+F5*1000000+G5*10000+H5*100+I5</f>
        <v>31000101</v>
      </c>
      <c r="E5" s="25">
        <v>3</v>
      </c>
      <c r="F5" s="92">
        <f t="shared" ref="F5:F13" si="0">K5</f>
        <v>1</v>
      </c>
      <c r="G5" s="25">
        <v>0</v>
      </c>
      <c r="H5" s="25">
        <v>1</v>
      </c>
      <c r="I5" s="92">
        <f>L5</f>
        <v>1</v>
      </c>
      <c r="J5" s="240"/>
      <c r="K5" s="26">
        <v>1</v>
      </c>
      <c r="L5" s="26">
        <v>1</v>
      </c>
      <c r="M5" s="240"/>
      <c r="N5" s="26" t="s">
        <v>1229</v>
      </c>
      <c r="O5" s="88" t="s">
        <v>950</v>
      </c>
      <c r="P5" s="221" t="s">
        <v>1094</v>
      </c>
      <c r="Q5" s="25"/>
      <c r="R5" s="88">
        <v>1</v>
      </c>
      <c r="S5" s="88">
        <v>1</v>
      </c>
      <c r="T5" s="221" t="s">
        <v>1028</v>
      </c>
      <c r="U5" s="217">
        <v>31000101</v>
      </c>
      <c r="V5" s="222" t="str">
        <f>CONCATENATE(T5,U5,".png")</f>
        <v>UITexture/ShipCpnt/31000101.png</v>
      </c>
      <c r="W5" s="26" t="s">
        <v>951</v>
      </c>
      <c r="X5" s="26">
        <v>1</v>
      </c>
      <c r="Y5" s="240"/>
      <c r="Z5" s="26">
        <v>1</v>
      </c>
      <c r="AA5" s="240"/>
      <c r="AB5" s="26">
        <v>20</v>
      </c>
      <c r="AC5" s="26">
        <v>4010101</v>
      </c>
      <c r="AD5" s="26"/>
      <c r="AE5" s="26"/>
      <c r="AF5" s="240"/>
      <c r="AG5" s="118">
        <f>((AH5*24+AI5)*60+AJ5)*60+AK5</f>
        <v>120</v>
      </c>
      <c r="AH5" s="117"/>
      <c r="AI5" s="117"/>
      <c r="AJ5" s="117">
        <v>2</v>
      </c>
      <c r="AK5" s="117"/>
      <c r="AL5" s="11">
        <v>10</v>
      </c>
      <c r="AM5" s="174">
        <v>1</v>
      </c>
      <c r="AN5" s="118"/>
      <c r="AO5" s="118">
        <f ca="1">IFERROR(OFFSET(ITEM_RES!$A$5,MATCH(AP5,ITEM_RES!$M$5:$M$84,0)-1,0),0)</f>
        <v>220000101</v>
      </c>
      <c r="AP5" s="117" t="s">
        <v>573</v>
      </c>
      <c r="AQ5" s="116">
        <v>300</v>
      </c>
      <c r="AR5" s="118"/>
      <c r="AS5" s="118"/>
      <c r="AT5" s="117"/>
      <c r="AU5" s="116"/>
      <c r="AV5" s="118"/>
      <c r="AW5" s="118"/>
      <c r="AX5" s="117"/>
      <c r="AY5" s="116"/>
      <c r="AZ5" s="118"/>
      <c r="BA5" s="118"/>
      <c r="BB5" s="117"/>
      <c r="BC5" s="116"/>
      <c r="BD5" s="118"/>
      <c r="BE5" s="118"/>
      <c r="BF5" s="117"/>
      <c r="BG5" s="116"/>
      <c r="BH5" s="240"/>
      <c r="BI5" s="26">
        <v>25</v>
      </c>
    </row>
    <row r="6" spans="1:87" s="18" customFormat="1" x14ac:dyDescent="0.15">
      <c r="A6" s="86"/>
      <c r="B6" s="65">
        <f>IF(C6=1,D6,)</f>
        <v>0</v>
      </c>
      <c r="C6" s="86"/>
      <c r="D6" s="18">
        <f>E6*10000000+F6*1000000+G6*10000+H6*100+I6</f>
        <v>31000102</v>
      </c>
      <c r="E6" s="27">
        <v>3</v>
      </c>
      <c r="F6" s="93">
        <f t="shared" si="0"/>
        <v>1</v>
      </c>
      <c r="G6" s="27">
        <v>0</v>
      </c>
      <c r="H6" s="27">
        <v>1</v>
      </c>
      <c r="I6" s="93">
        <f t="shared" ref="I6:I11" si="1">L6</f>
        <v>2</v>
      </c>
      <c r="J6" s="239"/>
      <c r="K6" s="28">
        <v>1</v>
      </c>
      <c r="L6" s="28">
        <v>2</v>
      </c>
      <c r="M6" s="239"/>
      <c r="N6" s="205" t="s">
        <v>1229</v>
      </c>
      <c r="O6" s="28"/>
      <c r="P6" s="215"/>
      <c r="Q6" s="27"/>
      <c r="R6" s="205">
        <v>0</v>
      </c>
      <c r="S6" s="205">
        <v>1</v>
      </c>
      <c r="T6" s="215" t="s">
        <v>1028</v>
      </c>
      <c r="U6" s="218">
        <v>31000102</v>
      </c>
      <c r="V6" s="223" t="str">
        <f>CONCATENATE(T6,U6,".png")</f>
        <v>UITexture/ShipCpnt/31000102.png</v>
      </c>
      <c r="W6" s="28"/>
      <c r="X6" s="28"/>
      <c r="Y6" s="239"/>
      <c r="Z6" s="28"/>
      <c r="AA6" s="239"/>
      <c r="AB6" s="28">
        <v>20</v>
      </c>
      <c r="AC6" s="28">
        <v>4010101</v>
      </c>
      <c r="AD6" s="28"/>
      <c r="AE6" s="28"/>
      <c r="AF6" s="239"/>
      <c r="AG6" s="104">
        <f>((AH6*24+AI6)*60+AJ6)*60+AK6</f>
        <v>120</v>
      </c>
      <c r="AH6" s="103"/>
      <c r="AI6" s="103"/>
      <c r="AJ6" s="103">
        <v>2</v>
      </c>
      <c r="AK6" s="103"/>
      <c r="AL6" s="5">
        <v>10</v>
      </c>
      <c r="AM6" s="172">
        <v>1</v>
      </c>
      <c r="AN6" s="104"/>
      <c r="AO6" s="104">
        <f ca="1">IFERROR(OFFSET(ITEM_RES!$A$5,MATCH(AP6,ITEM_RES!$M$5:$M$84,0)-1,0),0)</f>
        <v>220000101</v>
      </c>
      <c r="AP6" s="103" t="s">
        <v>573</v>
      </c>
      <c r="AQ6" s="102">
        <v>300</v>
      </c>
      <c r="AR6" s="104"/>
      <c r="AS6" s="104"/>
      <c r="AT6" s="103"/>
      <c r="AU6" s="102"/>
      <c r="AV6" s="104"/>
      <c r="AW6" s="104"/>
      <c r="AX6" s="103"/>
      <c r="AY6" s="102"/>
      <c r="AZ6" s="104"/>
      <c r="BA6" s="104"/>
      <c r="BB6" s="103"/>
      <c r="BC6" s="102"/>
      <c r="BD6" s="104"/>
      <c r="BE6" s="104"/>
      <c r="BF6" s="103"/>
      <c r="BG6" s="102"/>
      <c r="BH6" s="239"/>
      <c r="BI6" s="28">
        <v>25</v>
      </c>
    </row>
    <row r="7" spans="1:87" s="18" customFormat="1" ht="17.25" thickBot="1" x14ac:dyDescent="0.2">
      <c r="A7" s="86"/>
      <c r="B7" s="65">
        <f>IF(C7=1,D7,)</f>
        <v>0</v>
      </c>
      <c r="C7" s="86"/>
      <c r="D7" s="18">
        <f>E7*10000000+F7*1000000+G7*10000+H7*100+I7</f>
        <v>31000103</v>
      </c>
      <c r="E7" s="27">
        <v>3</v>
      </c>
      <c r="F7" s="93">
        <f t="shared" si="0"/>
        <v>1</v>
      </c>
      <c r="G7" s="27">
        <v>0</v>
      </c>
      <c r="H7" s="27">
        <v>1</v>
      </c>
      <c r="I7" s="93">
        <f t="shared" si="1"/>
        <v>3</v>
      </c>
      <c r="J7" s="239"/>
      <c r="K7" s="28">
        <v>1</v>
      </c>
      <c r="L7" s="28">
        <v>3</v>
      </c>
      <c r="M7" s="239"/>
      <c r="N7" s="205" t="s">
        <v>1229</v>
      </c>
      <c r="O7" s="205"/>
      <c r="P7" s="218"/>
      <c r="Q7" s="27"/>
      <c r="R7" s="205">
        <v>0</v>
      </c>
      <c r="S7" s="205">
        <v>1</v>
      </c>
      <c r="T7" s="215" t="s">
        <v>1028</v>
      </c>
      <c r="U7" s="218">
        <v>31000103</v>
      </c>
      <c r="V7" s="223" t="str">
        <f>CONCATENATE(T7,U7,".png")</f>
        <v>UITexture/ShipCpnt/31000103.png</v>
      </c>
      <c r="W7" s="28"/>
      <c r="X7" s="28"/>
      <c r="Y7" s="239"/>
      <c r="Z7" s="28"/>
      <c r="AA7" s="239"/>
      <c r="AB7" s="28">
        <v>20</v>
      </c>
      <c r="AC7" s="28">
        <v>4010101</v>
      </c>
      <c r="AD7" s="28"/>
      <c r="AE7" s="28"/>
      <c r="AF7" s="239"/>
      <c r="AG7" s="104">
        <f>((AH7*24+AI7)*60+AJ7)*60+AK7</f>
        <v>120</v>
      </c>
      <c r="AH7" s="103"/>
      <c r="AI7" s="103"/>
      <c r="AJ7" s="103">
        <v>2</v>
      </c>
      <c r="AK7" s="103"/>
      <c r="AL7" s="5">
        <v>10</v>
      </c>
      <c r="AM7" s="172">
        <v>1</v>
      </c>
      <c r="AN7" s="104"/>
      <c r="AO7" s="104">
        <f ca="1">IFERROR(OFFSET(ITEM_RES!$A$5,MATCH(AP7,ITEM_RES!$M$5:$M$84,0)-1,0),0)</f>
        <v>220000101</v>
      </c>
      <c r="AP7" s="103" t="s">
        <v>573</v>
      </c>
      <c r="AQ7" s="102">
        <v>300</v>
      </c>
      <c r="AR7" s="104"/>
      <c r="AS7" s="104"/>
      <c r="AT7" s="103"/>
      <c r="AU7" s="102"/>
      <c r="AV7" s="104"/>
      <c r="AW7" s="104"/>
      <c r="AX7" s="103"/>
      <c r="AY7" s="102"/>
      <c r="AZ7" s="104"/>
      <c r="BA7" s="104"/>
      <c r="BB7" s="103"/>
      <c r="BC7" s="102"/>
      <c r="BD7" s="104"/>
      <c r="BE7" s="104"/>
      <c r="BF7" s="103"/>
      <c r="BG7" s="102"/>
      <c r="BH7" s="239"/>
      <c r="BI7" s="28">
        <v>25</v>
      </c>
    </row>
    <row r="8" spans="1:87" s="17" customFormat="1" x14ac:dyDescent="0.15">
      <c r="A8" s="85"/>
      <c r="B8" s="64">
        <f t="shared" ref="B8:B11" si="2">IF(C8=1,D8,)</f>
        <v>0</v>
      </c>
      <c r="C8" s="85"/>
      <c r="D8" s="17">
        <f t="shared" ref="D8:D11" si="3">E8*10000000+F8*1000000+G8*10000+H8*100+I8</f>
        <v>32000101</v>
      </c>
      <c r="E8" s="25">
        <v>3</v>
      </c>
      <c r="F8" s="92">
        <f t="shared" si="0"/>
        <v>2</v>
      </c>
      <c r="G8" s="25">
        <v>0</v>
      </c>
      <c r="H8" s="25">
        <v>1</v>
      </c>
      <c r="I8" s="92">
        <f t="shared" si="1"/>
        <v>1</v>
      </c>
      <c r="J8" s="240"/>
      <c r="K8" s="26">
        <v>2</v>
      </c>
      <c r="L8" s="26">
        <v>1</v>
      </c>
      <c r="M8" s="240"/>
      <c r="N8" s="88" t="s">
        <v>1229</v>
      </c>
      <c r="O8" s="88" t="s">
        <v>952</v>
      </c>
      <c r="P8" s="221" t="s">
        <v>1095</v>
      </c>
      <c r="Q8" s="25"/>
      <c r="R8" s="88">
        <v>1</v>
      </c>
      <c r="S8" s="88">
        <v>1</v>
      </c>
      <c r="T8" s="217" t="s">
        <v>1028</v>
      </c>
      <c r="U8" s="217">
        <v>32000101</v>
      </c>
      <c r="V8" s="224" t="str">
        <f t="shared" ref="V8:V11" si="4">CONCATENATE(T8,U8,".png")</f>
        <v>UITexture/ShipCpnt/32000101.png</v>
      </c>
      <c r="W8" s="88" t="s">
        <v>953</v>
      </c>
      <c r="X8" s="88">
        <v>2</v>
      </c>
      <c r="Y8" s="240"/>
      <c r="Z8" s="88">
        <v>2</v>
      </c>
      <c r="AA8" s="240"/>
      <c r="AB8" s="26">
        <v>20</v>
      </c>
      <c r="AC8" s="26">
        <v>4010107</v>
      </c>
      <c r="AD8" s="26"/>
      <c r="AE8" s="26"/>
      <c r="AF8" s="240"/>
      <c r="AG8" s="118">
        <f t="shared" ref="AG8:AG11" si="5">((AH8*24+AI8)*60+AJ8)*60+AK8</f>
        <v>120</v>
      </c>
      <c r="AH8" s="117"/>
      <c r="AI8" s="117"/>
      <c r="AJ8" s="117">
        <v>2</v>
      </c>
      <c r="AK8" s="117"/>
      <c r="AL8" s="11">
        <v>10</v>
      </c>
      <c r="AM8" s="174">
        <v>1</v>
      </c>
      <c r="AN8" s="118"/>
      <c r="AO8" s="118">
        <f ca="1">IFERROR(OFFSET(ITEM_RES!$A$5,MATCH(AP8,ITEM_RES!$M$5:$M$84,0)-1,0),0)</f>
        <v>220000101</v>
      </c>
      <c r="AP8" s="117" t="s">
        <v>573</v>
      </c>
      <c r="AQ8" s="116">
        <v>300</v>
      </c>
      <c r="AR8" s="118"/>
      <c r="AS8" s="118"/>
      <c r="AT8" s="117"/>
      <c r="AU8" s="116"/>
      <c r="AV8" s="118"/>
      <c r="AW8" s="118"/>
      <c r="AX8" s="117"/>
      <c r="AY8" s="116"/>
      <c r="AZ8" s="118"/>
      <c r="BA8" s="118"/>
      <c r="BB8" s="117"/>
      <c r="BC8" s="116"/>
      <c r="BD8" s="118"/>
      <c r="BE8" s="118"/>
      <c r="BF8" s="117"/>
      <c r="BG8" s="116"/>
      <c r="BH8" s="240"/>
      <c r="BI8" s="26">
        <v>25</v>
      </c>
    </row>
    <row r="9" spans="1:87" s="18" customFormat="1" x14ac:dyDescent="0.15">
      <c r="A9" s="86"/>
      <c r="B9" s="65">
        <f t="shared" ref="B9" si="6">IF(C9=1,D9,)</f>
        <v>0</v>
      </c>
      <c r="C9" s="86"/>
      <c r="D9" s="18">
        <f t="shared" ref="D9" si="7">E9*10000000+F9*1000000+G9*10000+H9*100+I9</f>
        <v>32000102</v>
      </c>
      <c r="E9" s="27">
        <v>3</v>
      </c>
      <c r="F9" s="93">
        <f t="shared" si="0"/>
        <v>2</v>
      </c>
      <c r="G9" s="27">
        <v>0</v>
      </c>
      <c r="H9" s="27">
        <v>1</v>
      </c>
      <c r="I9" s="93">
        <f t="shared" ref="I9" si="8">L9</f>
        <v>2</v>
      </c>
      <c r="J9" s="239"/>
      <c r="K9" s="28">
        <v>2</v>
      </c>
      <c r="L9" s="28">
        <v>2</v>
      </c>
      <c r="M9" s="239"/>
      <c r="N9" s="205" t="s">
        <v>1229</v>
      </c>
      <c r="O9" s="205"/>
      <c r="P9" s="218"/>
      <c r="Q9" s="27"/>
      <c r="R9" s="205">
        <v>0</v>
      </c>
      <c r="S9" s="205">
        <v>1</v>
      </c>
      <c r="T9" s="218" t="s">
        <v>1028</v>
      </c>
      <c r="U9" s="218">
        <v>32000102</v>
      </c>
      <c r="V9" s="225" t="str">
        <f t="shared" ref="V9" si="9">CONCATENATE(T9,U9,".png")</f>
        <v>UITexture/ShipCpnt/32000102.png</v>
      </c>
      <c r="W9" s="205"/>
      <c r="X9" s="205"/>
      <c r="Y9" s="239"/>
      <c r="Z9" s="205"/>
      <c r="AA9" s="239"/>
      <c r="AB9" s="28">
        <v>20</v>
      </c>
      <c r="AC9" s="28">
        <v>4010107</v>
      </c>
      <c r="AD9" s="28"/>
      <c r="AE9" s="28"/>
      <c r="AF9" s="239"/>
      <c r="AG9" s="104">
        <f t="shared" ref="AG9" si="10">((AH9*24+AI9)*60+AJ9)*60+AK9</f>
        <v>120</v>
      </c>
      <c r="AH9" s="103"/>
      <c r="AI9" s="103"/>
      <c r="AJ9" s="103">
        <v>2</v>
      </c>
      <c r="AK9" s="103"/>
      <c r="AL9" s="5">
        <v>10</v>
      </c>
      <c r="AM9" s="172">
        <v>1</v>
      </c>
      <c r="AN9" s="104"/>
      <c r="AO9" s="104">
        <f ca="1">IFERROR(OFFSET(ITEM_RES!$A$5,MATCH(AP9,ITEM_RES!$M$5:$M$84,0)-1,0),0)</f>
        <v>220000101</v>
      </c>
      <c r="AP9" s="103" t="s">
        <v>573</v>
      </c>
      <c r="AQ9" s="102">
        <v>300</v>
      </c>
      <c r="AR9" s="104"/>
      <c r="AS9" s="104"/>
      <c r="AT9" s="103"/>
      <c r="AU9" s="102"/>
      <c r="AV9" s="104"/>
      <c r="AW9" s="104"/>
      <c r="AX9" s="103"/>
      <c r="AY9" s="102"/>
      <c r="AZ9" s="104"/>
      <c r="BA9" s="104"/>
      <c r="BB9" s="103"/>
      <c r="BC9" s="102"/>
      <c r="BD9" s="104"/>
      <c r="BE9" s="104"/>
      <c r="BF9" s="103"/>
      <c r="BG9" s="102"/>
      <c r="BH9" s="239"/>
      <c r="BI9" s="28">
        <v>25</v>
      </c>
    </row>
    <row r="10" spans="1:87" s="18" customFormat="1" ht="17.25" thickBot="1" x14ac:dyDescent="0.2">
      <c r="A10" s="86"/>
      <c r="B10" s="65">
        <f t="shared" ref="B10" si="11">IF(C10=1,D10,)</f>
        <v>0</v>
      </c>
      <c r="C10" s="86"/>
      <c r="D10" s="18">
        <f t="shared" ref="D10" si="12">E10*10000000+F10*1000000+G10*10000+H10*100+I10</f>
        <v>32000103</v>
      </c>
      <c r="E10" s="27">
        <v>3</v>
      </c>
      <c r="F10" s="93">
        <f t="shared" si="0"/>
        <v>2</v>
      </c>
      <c r="G10" s="27">
        <v>0</v>
      </c>
      <c r="H10" s="27">
        <v>1</v>
      </c>
      <c r="I10" s="93">
        <f t="shared" ref="I10" si="13">L10</f>
        <v>3</v>
      </c>
      <c r="J10" s="239"/>
      <c r="K10" s="28">
        <v>2</v>
      </c>
      <c r="L10" s="28">
        <v>3</v>
      </c>
      <c r="M10" s="239"/>
      <c r="N10" s="205" t="s">
        <v>1229</v>
      </c>
      <c r="O10" s="205"/>
      <c r="P10" s="218"/>
      <c r="Q10" s="27"/>
      <c r="R10" s="205">
        <v>0</v>
      </c>
      <c r="S10" s="205">
        <v>1</v>
      </c>
      <c r="T10" s="218" t="s">
        <v>1028</v>
      </c>
      <c r="U10" s="218">
        <v>32000103</v>
      </c>
      <c r="V10" s="225" t="str">
        <f t="shared" ref="V10" si="14">CONCATENATE(T10,U10,".png")</f>
        <v>UITexture/ShipCpnt/32000103.png</v>
      </c>
      <c r="W10" s="205"/>
      <c r="X10" s="205"/>
      <c r="Y10" s="239"/>
      <c r="Z10" s="205"/>
      <c r="AA10" s="239"/>
      <c r="AB10" s="28">
        <v>20</v>
      </c>
      <c r="AC10" s="28">
        <v>4010107</v>
      </c>
      <c r="AD10" s="28"/>
      <c r="AE10" s="28"/>
      <c r="AF10" s="239"/>
      <c r="AG10" s="104">
        <f t="shared" ref="AG10" si="15">((AH10*24+AI10)*60+AJ10)*60+AK10</f>
        <v>120</v>
      </c>
      <c r="AH10" s="103"/>
      <c r="AI10" s="103"/>
      <c r="AJ10" s="103">
        <v>2</v>
      </c>
      <c r="AK10" s="103"/>
      <c r="AL10" s="5">
        <v>10</v>
      </c>
      <c r="AM10" s="172">
        <v>1</v>
      </c>
      <c r="AN10" s="104"/>
      <c r="AO10" s="104">
        <f ca="1">IFERROR(OFFSET(ITEM_RES!$A$5,MATCH(AP10,ITEM_RES!$M$5:$M$84,0)-1,0),0)</f>
        <v>220000101</v>
      </c>
      <c r="AP10" s="103" t="s">
        <v>573</v>
      </c>
      <c r="AQ10" s="102">
        <v>300</v>
      </c>
      <c r="AR10" s="104"/>
      <c r="AS10" s="104"/>
      <c r="AT10" s="103"/>
      <c r="AU10" s="102"/>
      <c r="AV10" s="104"/>
      <c r="AW10" s="104"/>
      <c r="AX10" s="103"/>
      <c r="AY10" s="102"/>
      <c r="AZ10" s="104"/>
      <c r="BA10" s="104"/>
      <c r="BB10" s="103"/>
      <c r="BC10" s="102"/>
      <c r="BD10" s="104"/>
      <c r="BE10" s="104"/>
      <c r="BF10" s="103"/>
      <c r="BG10" s="102"/>
      <c r="BH10" s="239"/>
      <c r="BI10" s="28">
        <v>25</v>
      </c>
    </row>
    <row r="11" spans="1:87" s="17" customFormat="1" x14ac:dyDescent="0.15">
      <c r="A11" s="85"/>
      <c r="B11" s="64">
        <f t="shared" si="2"/>
        <v>0</v>
      </c>
      <c r="C11" s="85"/>
      <c r="D11" s="17">
        <f t="shared" si="3"/>
        <v>33000101</v>
      </c>
      <c r="E11" s="25">
        <v>3</v>
      </c>
      <c r="F11" s="92">
        <f t="shared" si="0"/>
        <v>3</v>
      </c>
      <c r="G11" s="25">
        <v>0</v>
      </c>
      <c r="H11" s="25">
        <v>1</v>
      </c>
      <c r="I11" s="92">
        <f t="shared" si="1"/>
        <v>1</v>
      </c>
      <c r="J11" s="240"/>
      <c r="K11" s="26">
        <v>3</v>
      </c>
      <c r="L11" s="26">
        <v>1</v>
      </c>
      <c r="M11" s="240"/>
      <c r="N11" s="88" t="s">
        <v>1229</v>
      </c>
      <c r="O11" s="88" t="s">
        <v>954</v>
      </c>
      <c r="P11" s="221" t="s">
        <v>1096</v>
      </c>
      <c r="Q11" s="25"/>
      <c r="R11" s="88">
        <v>1</v>
      </c>
      <c r="S11" s="88">
        <v>1</v>
      </c>
      <c r="T11" s="217" t="s">
        <v>1028</v>
      </c>
      <c r="U11" s="217">
        <v>33000101</v>
      </c>
      <c r="V11" s="224" t="str">
        <f t="shared" si="4"/>
        <v>UITexture/ShipCpnt/33000101.png</v>
      </c>
      <c r="W11" s="88" t="s">
        <v>955</v>
      </c>
      <c r="X11" s="88">
        <v>3</v>
      </c>
      <c r="Y11" s="240"/>
      <c r="Z11" s="88">
        <v>3</v>
      </c>
      <c r="AA11" s="240"/>
      <c r="AB11" s="26">
        <v>20</v>
      </c>
      <c r="AC11" s="26">
        <v>4010109</v>
      </c>
      <c r="AD11" s="26"/>
      <c r="AE11" s="26"/>
      <c r="AF11" s="240"/>
      <c r="AG11" s="118">
        <f t="shared" si="5"/>
        <v>120</v>
      </c>
      <c r="AH11" s="117"/>
      <c r="AI11" s="117"/>
      <c r="AJ11" s="117">
        <v>2</v>
      </c>
      <c r="AK11" s="117"/>
      <c r="AL11" s="11">
        <v>10</v>
      </c>
      <c r="AM11" s="174">
        <v>1</v>
      </c>
      <c r="AN11" s="118"/>
      <c r="AO11" s="118">
        <f ca="1">IFERROR(OFFSET(ITEM_RES!$A$5,MATCH(AP11,ITEM_RES!$M$5:$M$84,0)-1,0),0)</f>
        <v>220000101</v>
      </c>
      <c r="AP11" s="117" t="s">
        <v>573</v>
      </c>
      <c r="AQ11" s="116">
        <v>300</v>
      </c>
      <c r="AR11" s="118"/>
      <c r="AS11" s="118"/>
      <c r="AT11" s="117"/>
      <c r="AU11" s="116"/>
      <c r="AV11" s="118"/>
      <c r="AW11" s="118"/>
      <c r="AX11" s="117"/>
      <c r="AY11" s="116"/>
      <c r="AZ11" s="118"/>
      <c r="BA11" s="118"/>
      <c r="BB11" s="117"/>
      <c r="BC11" s="116"/>
      <c r="BD11" s="118"/>
      <c r="BE11" s="118"/>
      <c r="BF11" s="117"/>
      <c r="BG11" s="116"/>
      <c r="BH11" s="240"/>
      <c r="BI11" s="26">
        <v>25</v>
      </c>
    </row>
    <row r="12" spans="1:87" s="18" customFormat="1" x14ac:dyDescent="0.15">
      <c r="A12" s="86"/>
      <c r="B12" s="65">
        <f t="shared" ref="B12" si="16">IF(C12=1,D12,)</f>
        <v>0</v>
      </c>
      <c r="C12" s="86"/>
      <c r="D12" s="18">
        <f t="shared" ref="D12" si="17">E12*10000000+F12*1000000+G12*10000+H12*100+I12</f>
        <v>33000102</v>
      </c>
      <c r="E12" s="27">
        <v>3</v>
      </c>
      <c r="F12" s="93">
        <f t="shared" si="0"/>
        <v>3</v>
      </c>
      <c r="G12" s="27">
        <v>0</v>
      </c>
      <c r="H12" s="27">
        <v>1</v>
      </c>
      <c r="I12" s="93">
        <f t="shared" ref="I12" si="18">L12</f>
        <v>2</v>
      </c>
      <c r="J12" s="239"/>
      <c r="K12" s="28">
        <v>3</v>
      </c>
      <c r="L12" s="28">
        <v>2</v>
      </c>
      <c r="M12" s="239"/>
      <c r="N12" s="205" t="s">
        <v>1229</v>
      </c>
      <c r="O12" s="205"/>
      <c r="P12" s="218"/>
      <c r="Q12" s="27"/>
      <c r="R12" s="205">
        <v>0</v>
      </c>
      <c r="S12" s="205">
        <v>1</v>
      </c>
      <c r="T12" s="218" t="s">
        <v>1028</v>
      </c>
      <c r="U12" s="218">
        <v>33000102</v>
      </c>
      <c r="V12" s="225" t="str">
        <f t="shared" ref="V12" si="19">CONCATENATE(T12,U12,".png")</f>
        <v>UITexture/ShipCpnt/33000102.png</v>
      </c>
      <c r="W12" s="205"/>
      <c r="X12" s="205"/>
      <c r="Y12" s="239"/>
      <c r="Z12" s="205"/>
      <c r="AA12" s="239"/>
      <c r="AB12" s="28">
        <v>20</v>
      </c>
      <c r="AC12" s="28">
        <v>4010109</v>
      </c>
      <c r="AD12" s="28"/>
      <c r="AE12" s="28"/>
      <c r="AF12" s="239"/>
      <c r="AG12" s="104">
        <f t="shared" ref="AG12" si="20">((AH12*24+AI12)*60+AJ12)*60+AK12</f>
        <v>120</v>
      </c>
      <c r="AH12" s="103"/>
      <c r="AI12" s="103"/>
      <c r="AJ12" s="103">
        <v>2</v>
      </c>
      <c r="AK12" s="103"/>
      <c r="AL12" s="5">
        <v>10</v>
      </c>
      <c r="AM12" s="172">
        <v>1</v>
      </c>
      <c r="AN12" s="104"/>
      <c r="AO12" s="104">
        <f ca="1">IFERROR(OFFSET(ITEM_RES!$A$5,MATCH(AP12,ITEM_RES!$M$5:$M$84,0)-1,0),0)</f>
        <v>220000101</v>
      </c>
      <c r="AP12" s="103" t="s">
        <v>573</v>
      </c>
      <c r="AQ12" s="102">
        <v>300</v>
      </c>
      <c r="AR12" s="104"/>
      <c r="AS12" s="104"/>
      <c r="AT12" s="103"/>
      <c r="AU12" s="102"/>
      <c r="AV12" s="104"/>
      <c r="AW12" s="104"/>
      <c r="AX12" s="103"/>
      <c r="AY12" s="102"/>
      <c r="AZ12" s="104"/>
      <c r="BA12" s="104"/>
      <c r="BB12" s="103"/>
      <c r="BC12" s="102"/>
      <c r="BD12" s="104"/>
      <c r="BE12" s="104"/>
      <c r="BF12" s="103"/>
      <c r="BG12" s="102"/>
      <c r="BH12" s="239"/>
      <c r="BI12" s="28">
        <v>25</v>
      </c>
    </row>
    <row r="13" spans="1:87" s="19" customFormat="1" ht="17.25" thickBot="1" x14ac:dyDescent="0.2">
      <c r="A13" s="87"/>
      <c r="B13" s="63">
        <f t="shared" ref="B13" si="21">IF(C13=1,D13,)</f>
        <v>0</v>
      </c>
      <c r="C13" s="87"/>
      <c r="D13" s="19">
        <f t="shared" ref="D13" si="22">E13*10000000+F13*1000000+G13*10000+H13*100+I13</f>
        <v>33000103</v>
      </c>
      <c r="E13" s="29">
        <v>3</v>
      </c>
      <c r="F13" s="94">
        <f t="shared" si="0"/>
        <v>3</v>
      </c>
      <c r="G13" s="29">
        <v>0</v>
      </c>
      <c r="H13" s="29">
        <v>1</v>
      </c>
      <c r="I13" s="94">
        <f t="shared" ref="I13" si="23">L13</f>
        <v>3</v>
      </c>
      <c r="J13" s="241"/>
      <c r="K13" s="30">
        <v>3</v>
      </c>
      <c r="L13" s="30">
        <v>3</v>
      </c>
      <c r="M13" s="241"/>
      <c r="N13" s="228" t="s">
        <v>1229</v>
      </c>
      <c r="O13" s="228"/>
      <c r="P13" s="229"/>
      <c r="Q13" s="29"/>
      <c r="R13" s="228">
        <v>0</v>
      </c>
      <c r="S13" s="228">
        <v>1</v>
      </c>
      <c r="T13" s="229" t="s">
        <v>1028</v>
      </c>
      <c r="U13" s="229">
        <v>33000103</v>
      </c>
      <c r="V13" s="230" t="str">
        <f t="shared" ref="V13" si="24">CONCATENATE(T13,U13,".png")</f>
        <v>UITexture/ShipCpnt/33000103.png</v>
      </c>
      <c r="W13" s="228"/>
      <c r="X13" s="228"/>
      <c r="Y13" s="241"/>
      <c r="Z13" s="228"/>
      <c r="AA13" s="241"/>
      <c r="AB13" s="30">
        <v>20</v>
      </c>
      <c r="AC13" s="30">
        <v>4010109</v>
      </c>
      <c r="AD13" s="30"/>
      <c r="AE13" s="30"/>
      <c r="AF13" s="241"/>
      <c r="AG13" s="111">
        <f t="shared" ref="AG13" si="25">((AH13*24+AI13)*60+AJ13)*60+AK13</f>
        <v>120</v>
      </c>
      <c r="AH13" s="110"/>
      <c r="AI13" s="110"/>
      <c r="AJ13" s="110">
        <v>2</v>
      </c>
      <c r="AK13" s="110"/>
      <c r="AL13" s="15">
        <v>10</v>
      </c>
      <c r="AM13" s="175">
        <v>1</v>
      </c>
      <c r="AN13" s="111"/>
      <c r="AO13" s="111">
        <f ca="1">IFERROR(OFFSET(ITEM_RES!$A$5,MATCH(AP13,ITEM_RES!$M$5:$M$84,0)-1,0),0)</f>
        <v>220000101</v>
      </c>
      <c r="AP13" s="110" t="s">
        <v>573</v>
      </c>
      <c r="AQ13" s="109">
        <v>300</v>
      </c>
      <c r="AR13" s="111"/>
      <c r="AS13" s="111"/>
      <c r="AT13" s="110"/>
      <c r="AU13" s="109"/>
      <c r="AV13" s="111"/>
      <c r="AW13" s="111"/>
      <c r="AX13" s="110"/>
      <c r="AY13" s="109"/>
      <c r="AZ13" s="111"/>
      <c r="BA13" s="111"/>
      <c r="BB13" s="110"/>
      <c r="BC13" s="109"/>
      <c r="BD13" s="111"/>
      <c r="BE13" s="111"/>
      <c r="BF13" s="110"/>
      <c r="BG13" s="109"/>
      <c r="BH13" s="241"/>
      <c r="BI13" s="30">
        <v>25</v>
      </c>
    </row>
    <row r="14" spans="1:87" s="18" customFormat="1" x14ac:dyDescent="0.15">
      <c r="A14" s="86"/>
      <c r="B14" s="65"/>
      <c r="C14" s="86"/>
      <c r="E14" s="27"/>
      <c r="F14" s="93"/>
      <c r="G14" s="27"/>
      <c r="H14" s="27"/>
      <c r="I14" s="93"/>
      <c r="J14" s="239"/>
      <c r="K14" s="28"/>
      <c r="L14" s="28"/>
      <c r="M14" s="239"/>
      <c r="N14" s="28"/>
      <c r="O14" s="28"/>
      <c r="P14" s="215"/>
      <c r="Q14" s="27"/>
      <c r="R14" s="28"/>
      <c r="S14" s="28"/>
      <c r="T14" s="215"/>
      <c r="U14" s="215"/>
      <c r="V14" s="223"/>
      <c r="W14" s="28"/>
      <c r="X14" s="28"/>
      <c r="Y14" s="239"/>
      <c r="Z14" s="28"/>
      <c r="AA14" s="239"/>
      <c r="AB14" s="28"/>
      <c r="AC14" s="28"/>
      <c r="AD14" s="28"/>
      <c r="AE14" s="28"/>
      <c r="AF14" s="239"/>
      <c r="AG14" s="104"/>
      <c r="AH14" s="103"/>
      <c r="AI14" s="103"/>
      <c r="AJ14" s="103"/>
      <c r="AK14" s="103"/>
      <c r="AL14" s="5"/>
      <c r="AM14" s="172"/>
      <c r="AN14" s="104"/>
      <c r="AO14" s="104"/>
      <c r="AP14" s="103"/>
      <c r="AQ14" s="102"/>
      <c r="AR14" s="104"/>
      <c r="AS14" s="104"/>
      <c r="AT14" s="103"/>
      <c r="AU14" s="102"/>
      <c r="AV14" s="104"/>
      <c r="AW14" s="104"/>
      <c r="AX14" s="103"/>
      <c r="AY14" s="102"/>
      <c r="AZ14" s="104"/>
      <c r="BA14" s="104"/>
      <c r="BB14" s="103"/>
      <c r="BC14" s="102"/>
      <c r="BD14" s="104"/>
      <c r="BE14" s="104"/>
      <c r="BF14" s="103"/>
      <c r="BG14" s="102"/>
      <c r="BH14" s="239"/>
      <c r="BI14" s="28"/>
    </row>
    <row r="15" spans="1:87" s="18" customFormat="1" x14ac:dyDescent="0.15">
      <c r="A15" s="86"/>
      <c r="B15" s="65"/>
      <c r="C15" s="86"/>
      <c r="E15" s="27"/>
      <c r="F15" s="93"/>
      <c r="G15" s="27"/>
      <c r="H15" s="27"/>
      <c r="I15" s="93"/>
      <c r="J15" s="239"/>
      <c r="K15" s="28"/>
      <c r="L15" s="28"/>
      <c r="M15" s="239"/>
      <c r="N15" s="28"/>
      <c r="O15" s="28"/>
      <c r="P15" s="215"/>
      <c r="Q15" s="27"/>
      <c r="R15" s="28"/>
      <c r="S15" s="28"/>
      <c r="T15" s="215"/>
      <c r="U15" s="215"/>
      <c r="V15" s="223"/>
      <c r="W15" s="28"/>
      <c r="X15" s="28"/>
      <c r="Y15" s="239"/>
      <c r="Z15" s="28"/>
      <c r="AA15" s="239"/>
      <c r="AB15" s="28"/>
      <c r="AC15" s="28"/>
      <c r="AD15" s="28"/>
      <c r="AE15" s="28"/>
      <c r="AF15" s="239"/>
      <c r="AG15" s="104"/>
      <c r="AH15" s="103"/>
      <c r="AI15" s="103"/>
      <c r="AJ15" s="103"/>
      <c r="AK15" s="103"/>
      <c r="AL15" s="5"/>
      <c r="AM15" s="172"/>
      <c r="AN15" s="104"/>
      <c r="AO15" s="104"/>
      <c r="AP15" s="103"/>
      <c r="AQ15" s="102"/>
      <c r="AR15" s="104"/>
      <c r="AS15" s="104"/>
      <c r="AT15" s="103"/>
      <c r="AU15" s="102"/>
      <c r="AV15" s="104"/>
      <c r="AW15" s="104"/>
      <c r="AX15" s="103"/>
      <c r="AY15" s="102"/>
      <c r="AZ15" s="104"/>
      <c r="BA15" s="104"/>
      <c r="BB15" s="103"/>
      <c r="BC15" s="102"/>
      <c r="BD15" s="104"/>
      <c r="BE15" s="104"/>
      <c r="BF15" s="103"/>
      <c r="BG15" s="102"/>
      <c r="BH15" s="239"/>
      <c r="BI15" s="28"/>
    </row>
    <row r="16" spans="1:87" s="18" customFormat="1" x14ac:dyDescent="0.15">
      <c r="A16" s="86"/>
      <c r="B16" s="65"/>
      <c r="C16" s="86"/>
      <c r="E16" s="27"/>
      <c r="F16" s="93"/>
      <c r="G16" s="27"/>
      <c r="H16" s="27"/>
      <c r="I16" s="93"/>
      <c r="J16" s="239"/>
      <c r="K16" s="28"/>
      <c r="L16" s="28"/>
      <c r="M16" s="239"/>
      <c r="N16" s="28"/>
      <c r="O16" s="28"/>
      <c r="P16" s="215"/>
      <c r="Q16" s="27"/>
      <c r="R16" s="28"/>
      <c r="S16" s="28"/>
      <c r="T16" s="215"/>
      <c r="U16" s="215"/>
      <c r="V16" s="223"/>
      <c r="W16" s="28"/>
      <c r="X16" s="28"/>
      <c r="Y16" s="239"/>
      <c r="Z16" s="28"/>
      <c r="AA16" s="239"/>
      <c r="AB16" s="28"/>
      <c r="AC16" s="28"/>
      <c r="AD16" s="28"/>
      <c r="AE16" s="28"/>
      <c r="AF16" s="239"/>
      <c r="AG16" s="104"/>
      <c r="AH16" s="103"/>
      <c r="AI16" s="103"/>
      <c r="AJ16" s="103"/>
      <c r="AK16" s="103"/>
      <c r="AL16" s="5"/>
      <c r="AM16" s="172"/>
      <c r="AN16" s="104"/>
      <c r="AO16" s="104"/>
      <c r="AP16" s="103"/>
      <c r="AQ16" s="102"/>
      <c r="AR16" s="104"/>
      <c r="AS16" s="104"/>
      <c r="AT16" s="103"/>
      <c r="AU16" s="102"/>
      <c r="AV16" s="104"/>
      <c r="AW16" s="104"/>
      <c r="AX16" s="103"/>
      <c r="AY16" s="102"/>
      <c r="AZ16" s="104"/>
      <c r="BA16" s="104"/>
      <c r="BB16" s="103"/>
      <c r="BC16" s="102"/>
      <c r="BD16" s="104"/>
      <c r="BE16" s="104"/>
      <c r="BF16" s="103"/>
      <c r="BG16" s="102"/>
      <c r="BH16" s="239"/>
      <c r="BI16" s="28"/>
    </row>
    <row r="17" spans="1:61" s="18" customFormat="1" x14ac:dyDescent="0.15">
      <c r="A17" s="86"/>
      <c r="B17" s="65"/>
      <c r="C17" s="86"/>
      <c r="E17" s="27"/>
      <c r="F17" s="93"/>
      <c r="G17" s="27"/>
      <c r="H17" s="27"/>
      <c r="I17" s="93"/>
      <c r="J17" s="239"/>
      <c r="K17" s="28"/>
      <c r="L17" s="28"/>
      <c r="M17" s="239"/>
      <c r="N17" s="28"/>
      <c r="O17" s="28"/>
      <c r="P17" s="215"/>
      <c r="Q17" s="27"/>
      <c r="R17" s="28"/>
      <c r="S17" s="28"/>
      <c r="T17" s="215"/>
      <c r="U17" s="215"/>
      <c r="V17" s="223"/>
      <c r="W17" s="28"/>
      <c r="X17" s="28"/>
      <c r="Y17" s="239"/>
      <c r="Z17" s="28"/>
      <c r="AA17" s="239"/>
      <c r="AB17" s="28"/>
      <c r="AC17" s="28"/>
      <c r="AD17" s="28"/>
      <c r="AE17" s="28"/>
      <c r="AF17" s="239"/>
      <c r="AG17" s="104"/>
      <c r="AH17" s="103"/>
      <c r="AI17" s="103"/>
      <c r="AJ17" s="103"/>
      <c r="AK17" s="103"/>
      <c r="AL17" s="5"/>
      <c r="AM17" s="172"/>
      <c r="AN17" s="104"/>
      <c r="AO17" s="104"/>
      <c r="AP17" s="103"/>
      <c r="AQ17" s="102"/>
      <c r="AR17" s="104"/>
      <c r="AS17" s="104"/>
      <c r="AT17" s="103"/>
      <c r="AU17" s="102"/>
      <c r="AV17" s="104"/>
      <c r="AW17" s="104"/>
      <c r="AX17" s="103"/>
      <c r="AY17" s="102"/>
      <c r="AZ17" s="104"/>
      <c r="BA17" s="104"/>
      <c r="BB17" s="103"/>
      <c r="BC17" s="102"/>
      <c r="BD17" s="104"/>
      <c r="BE17" s="104"/>
      <c r="BF17" s="103"/>
      <c r="BG17" s="102"/>
      <c r="BH17" s="239"/>
      <c r="BI17" s="28"/>
    </row>
    <row r="18" spans="1:61" s="18" customFormat="1" x14ac:dyDescent="0.15">
      <c r="A18" s="86"/>
      <c r="B18" s="65"/>
      <c r="C18" s="86"/>
      <c r="E18" s="27"/>
      <c r="F18" s="93"/>
      <c r="G18" s="27"/>
      <c r="H18" s="27"/>
      <c r="I18" s="93"/>
      <c r="J18" s="239"/>
      <c r="K18" s="28"/>
      <c r="L18" s="28"/>
      <c r="M18" s="239"/>
      <c r="N18" s="28"/>
      <c r="O18" s="28"/>
      <c r="P18" s="215"/>
      <c r="Q18" s="27"/>
      <c r="R18" s="28"/>
      <c r="S18" s="28"/>
      <c r="T18" s="215"/>
      <c r="U18" s="215"/>
      <c r="V18" s="223"/>
      <c r="W18" s="28"/>
      <c r="X18" s="28"/>
      <c r="Y18" s="239"/>
      <c r="Z18" s="28"/>
      <c r="AA18" s="239"/>
      <c r="AB18" s="28"/>
      <c r="AC18" s="28"/>
      <c r="AD18" s="28"/>
      <c r="AE18" s="28"/>
      <c r="AF18" s="239"/>
      <c r="AG18" s="104"/>
      <c r="AH18" s="103"/>
      <c r="AI18" s="103"/>
      <c r="AJ18" s="103"/>
      <c r="AK18" s="103"/>
      <c r="AL18" s="5"/>
      <c r="AM18" s="172"/>
      <c r="AN18" s="104"/>
      <c r="AO18" s="104"/>
      <c r="AP18" s="103"/>
      <c r="AQ18" s="102"/>
      <c r="AR18" s="104"/>
      <c r="AS18" s="104"/>
      <c r="AT18" s="103"/>
      <c r="AU18" s="102"/>
      <c r="AV18" s="104"/>
      <c r="AW18" s="104"/>
      <c r="AX18" s="103"/>
      <c r="AY18" s="102"/>
      <c r="AZ18" s="104"/>
      <c r="BA18" s="104"/>
      <c r="BB18" s="103"/>
      <c r="BC18" s="102"/>
      <c r="BD18" s="104"/>
      <c r="BE18" s="104"/>
      <c r="BF18" s="103"/>
      <c r="BG18" s="102"/>
      <c r="BH18" s="239"/>
      <c r="BI18" s="28"/>
    </row>
    <row r="19" spans="1:61" s="18" customFormat="1" x14ac:dyDescent="0.15">
      <c r="A19" s="86"/>
      <c r="B19" s="65"/>
      <c r="C19" s="86"/>
      <c r="E19" s="27"/>
      <c r="F19" s="93"/>
      <c r="G19" s="27"/>
      <c r="H19" s="27"/>
      <c r="I19" s="93"/>
      <c r="J19" s="239"/>
      <c r="K19" s="28"/>
      <c r="L19" s="28"/>
      <c r="M19" s="239"/>
      <c r="N19" s="28"/>
      <c r="O19" s="28"/>
      <c r="P19" s="215"/>
      <c r="Q19" s="27"/>
      <c r="R19" s="28"/>
      <c r="S19" s="28"/>
      <c r="T19" s="215"/>
      <c r="U19" s="215"/>
      <c r="V19" s="223"/>
      <c r="W19" s="28"/>
      <c r="X19" s="28"/>
      <c r="Y19" s="239"/>
      <c r="Z19" s="28"/>
      <c r="AA19" s="239"/>
      <c r="AB19" s="28"/>
      <c r="AC19" s="28"/>
      <c r="AD19" s="28"/>
      <c r="AE19" s="28"/>
      <c r="AF19" s="239"/>
      <c r="AG19" s="104"/>
      <c r="AH19" s="103"/>
      <c r="AI19" s="103"/>
      <c r="AJ19" s="103"/>
      <c r="AK19" s="103"/>
      <c r="AL19" s="5"/>
      <c r="AM19" s="172"/>
      <c r="AN19" s="104"/>
      <c r="AO19" s="104"/>
      <c r="AP19" s="103"/>
      <c r="AQ19" s="102"/>
      <c r="AR19" s="104"/>
      <c r="AS19" s="104"/>
      <c r="AT19" s="103"/>
      <c r="AU19" s="102"/>
      <c r="AV19" s="104"/>
      <c r="AW19" s="104"/>
      <c r="AX19" s="103"/>
      <c r="AY19" s="102"/>
      <c r="AZ19" s="104"/>
      <c r="BA19" s="104"/>
      <c r="BB19" s="103"/>
      <c r="BC19" s="102"/>
      <c r="BD19" s="104"/>
      <c r="BE19" s="104"/>
      <c r="BF19" s="103"/>
      <c r="BG19" s="102"/>
      <c r="BH19" s="239"/>
      <c r="BI19" s="28"/>
    </row>
    <row r="20" spans="1:61" s="18" customFormat="1" x14ac:dyDescent="0.15">
      <c r="A20" s="86"/>
      <c r="B20" s="65"/>
      <c r="C20" s="86"/>
      <c r="E20" s="27"/>
      <c r="F20" s="93"/>
      <c r="G20" s="27"/>
      <c r="H20" s="27"/>
      <c r="I20" s="93"/>
      <c r="J20" s="239"/>
      <c r="K20" s="28"/>
      <c r="L20" s="28"/>
      <c r="M20" s="239"/>
      <c r="N20" s="28"/>
      <c r="O20" s="28"/>
      <c r="P20" s="215"/>
      <c r="Q20" s="27"/>
      <c r="R20" s="28"/>
      <c r="S20" s="28"/>
      <c r="T20" s="215"/>
      <c r="U20" s="215"/>
      <c r="V20" s="223"/>
      <c r="W20" s="28"/>
      <c r="X20" s="28"/>
      <c r="Y20" s="239"/>
      <c r="Z20" s="28"/>
      <c r="AA20" s="239"/>
      <c r="AB20" s="28"/>
      <c r="AC20" s="28"/>
      <c r="AD20" s="28"/>
      <c r="AE20" s="28"/>
      <c r="AF20" s="239"/>
      <c r="AG20" s="104"/>
      <c r="AH20" s="103"/>
      <c r="AI20" s="103"/>
      <c r="AJ20" s="103"/>
      <c r="AK20" s="103"/>
      <c r="AL20" s="5"/>
      <c r="AM20" s="172"/>
      <c r="AN20" s="104"/>
      <c r="AO20" s="104"/>
      <c r="AP20" s="103"/>
      <c r="AQ20" s="102"/>
      <c r="AR20" s="104"/>
      <c r="AS20" s="104"/>
      <c r="AT20" s="103"/>
      <c r="AU20" s="102"/>
      <c r="AV20" s="104"/>
      <c r="AW20" s="104"/>
      <c r="AX20" s="103"/>
      <c r="AY20" s="102"/>
      <c r="AZ20" s="104"/>
      <c r="BA20" s="104"/>
      <c r="BB20" s="103"/>
      <c r="BC20" s="102"/>
      <c r="BD20" s="104"/>
      <c r="BE20" s="104"/>
      <c r="BF20" s="103"/>
      <c r="BG20" s="102"/>
      <c r="BH20" s="239"/>
      <c r="BI20" s="28"/>
    </row>
    <row r="21" spans="1:61" s="18" customFormat="1" x14ac:dyDescent="0.15">
      <c r="A21" s="86"/>
      <c r="B21" s="65"/>
      <c r="C21" s="86"/>
      <c r="E21" s="27"/>
      <c r="F21" s="93"/>
      <c r="G21" s="27"/>
      <c r="H21" s="27"/>
      <c r="I21" s="93"/>
      <c r="J21" s="239"/>
      <c r="K21" s="28"/>
      <c r="L21" s="28"/>
      <c r="M21" s="239"/>
      <c r="N21" s="28"/>
      <c r="O21" s="28"/>
      <c r="P21" s="215"/>
      <c r="Q21" s="27"/>
      <c r="R21" s="28"/>
      <c r="S21" s="28"/>
      <c r="T21" s="215"/>
      <c r="U21" s="215"/>
      <c r="V21" s="223"/>
      <c r="W21" s="28"/>
      <c r="X21" s="28"/>
      <c r="Y21" s="239"/>
      <c r="Z21" s="28"/>
      <c r="AA21" s="239"/>
      <c r="AB21" s="28"/>
      <c r="AC21" s="28"/>
      <c r="AD21" s="28"/>
      <c r="AE21" s="28"/>
      <c r="AF21" s="239"/>
      <c r="AG21" s="104"/>
      <c r="AH21" s="103"/>
      <c r="AI21" s="103"/>
      <c r="AJ21" s="103"/>
      <c r="AK21" s="103"/>
      <c r="AL21" s="5"/>
      <c r="AM21" s="172"/>
      <c r="AN21" s="104"/>
      <c r="AO21" s="104"/>
      <c r="AP21" s="103"/>
      <c r="AQ21" s="102"/>
      <c r="AR21" s="104"/>
      <c r="AS21" s="104"/>
      <c r="AT21" s="103"/>
      <c r="AU21" s="102"/>
      <c r="AV21" s="104"/>
      <c r="AW21" s="104"/>
      <c r="AX21" s="103"/>
      <c r="AY21" s="102"/>
      <c r="AZ21" s="104"/>
      <c r="BA21" s="104"/>
      <c r="BB21" s="103"/>
      <c r="BC21" s="102"/>
      <c r="BD21" s="104"/>
      <c r="BE21" s="104"/>
      <c r="BF21" s="103"/>
      <c r="BG21" s="102"/>
      <c r="BH21" s="239"/>
      <c r="BI21" s="28"/>
    </row>
    <row r="22" spans="1:61" s="18" customFormat="1" x14ac:dyDescent="0.15">
      <c r="A22" s="86"/>
      <c r="B22" s="65"/>
      <c r="C22" s="86"/>
      <c r="E22" s="27"/>
      <c r="F22" s="93"/>
      <c r="G22" s="27"/>
      <c r="H22" s="27"/>
      <c r="I22" s="93"/>
      <c r="J22" s="239"/>
      <c r="K22" s="28"/>
      <c r="L22" s="28"/>
      <c r="M22" s="239"/>
      <c r="N22" s="28"/>
      <c r="O22" s="28"/>
      <c r="P22" s="215"/>
      <c r="Q22" s="27"/>
      <c r="R22" s="28"/>
      <c r="S22" s="28"/>
      <c r="T22" s="215"/>
      <c r="U22" s="215"/>
      <c r="V22" s="223"/>
      <c r="W22" s="28"/>
      <c r="X22" s="28"/>
      <c r="Y22" s="239"/>
      <c r="Z22" s="28"/>
      <c r="AA22" s="239"/>
      <c r="AB22" s="28"/>
      <c r="AC22" s="28"/>
      <c r="AD22" s="28"/>
      <c r="AE22" s="28"/>
      <c r="AF22" s="239"/>
      <c r="AG22" s="104"/>
      <c r="AH22" s="103"/>
      <c r="AI22" s="103"/>
      <c r="AJ22" s="103"/>
      <c r="AK22" s="103"/>
      <c r="AL22" s="5"/>
      <c r="AM22" s="172"/>
      <c r="AN22" s="104"/>
      <c r="AO22" s="104"/>
      <c r="AP22" s="103"/>
      <c r="AQ22" s="102"/>
      <c r="AR22" s="104"/>
      <c r="AS22" s="104"/>
      <c r="AT22" s="103"/>
      <c r="AU22" s="102"/>
      <c r="AV22" s="104"/>
      <c r="AW22" s="104"/>
      <c r="AX22" s="103"/>
      <c r="AY22" s="102"/>
      <c r="AZ22" s="104"/>
      <c r="BA22" s="104"/>
      <c r="BB22" s="103"/>
      <c r="BC22" s="102"/>
      <c r="BD22" s="104"/>
      <c r="BE22" s="104"/>
      <c r="BF22" s="103"/>
      <c r="BG22" s="102"/>
      <c r="BH22" s="239"/>
      <c r="BI22" s="28"/>
    </row>
    <row r="23" spans="1:61" s="18" customFormat="1" x14ac:dyDescent="0.15">
      <c r="A23" s="86"/>
      <c r="B23" s="65"/>
      <c r="C23" s="86"/>
      <c r="E23" s="27"/>
      <c r="F23" s="93"/>
      <c r="G23" s="27"/>
      <c r="H23" s="27"/>
      <c r="I23" s="93"/>
      <c r="J23" s="239"/>
      <c r="K23" s="28"/>
      <c r="L23" s="28"/>
      <c r="M23" s="239"/>
      <c r="N23" s="28"/>
      <c r="O23" s="28"/>
      <c r="P23" s="215"/>
      <c r="Q23" s="27"/>
      <c r="R23" s="28"/>
      <c r="S23" s="28"/>
      <c r="T23" s="215"/>
      <c r="U23" s="215"/>
      <c r="V23" s="223"/>
      <c r="W23" s="28"/>
      <c r="X23" s="28"/>
      <c r="Y23" s="239"/>
      <c r="Z23" s="28"/>
      <c r="AA23" s="239"/>
      <c r="AB23" s="28"/>
      <c r="AC23" s="28"/>
      <c r="AD23" s="28"/>
      <c r="AE23" s="28"/>
      <c r="AF23" s="239"/>
      <c r="AG23" s="104"/>
      <c r="AH23" s="103"/>
      <c r="AI23" s="103"/>
      <c r="AJ23" s="103"/>
      <c r="AK23" s="103"/>
      <c r="AL23" s="5"/>
      <c r="AM23" s="172"/>
      <c r="AN23" s="104"/>
      <c r="AO23" s="104"/>
      <c r="AP23" s="103"/>
      <c r="AQ23" s="102"/>
      <c r="AR23" s="104"/>
      <c r="AS23" s="104"/>
      <c r="AT23" s="103"/>
      <c r="AU23" s="102"/>
      <c r="AV23" s="104"/>
      <c r="AW23" s="104"/>
      <c r="AX23" s="103"/>
      <c r="AY23" s="102"/>
      <c r="AZ23" s="104"/>
      <c r="BA23" s="104"/>
      <c r="BB23" s="103"/>
      <c r="BC23" s="102"/>
      <c r="BD23" s="104"/>
      <c r="BE23" s="104"/>
      <c r="BF23" s="103"/>
      <c r="BG23" s="102"/>
      <c r="BH23" s="239"/>
      <c r="BI23" s="28"/>
    </row>
    <row r="24" spans="1:61" s="18" customFormat="1" x14ac:dyDescent="0.15">
      <c r="A24" s="86"/>
      <c r="B24" s="65"/>
      <c r="C24" s="86"/>
      <c r="E24" s="27"/>
      <c r="F24" s="93"/>
      <c r="G24" s="27"/>
      <c r="H24" s="27"/>
      <c r="I24" s="93"/>
      <c r="J24" s="239"/>
      <c r="K24" s="28"/>
      <c r="L24" s="28"/>
      <c r="M24" s="239"/>
      <c r="N24" s="28"/>
      <c r="O24" s="28"/>
      <c r="P24" s="215"/>
      <c r="Q24" s="27"/>
      <c r="R24" s="28"/>
      <c r="S24" s="28"/>
      <c r="T24" s="215"/>
      <c r="U24" s="215"/>
      <c r="V24" s="223"/>
      <c r="W24" s="28"/>
      <c r="X24" s="28"/>
      <c r="Y24" s="239"/>
      <c r="Z24" s="28"/>
      <c r="AA24" s="239"/>
      <c r="AB24" s="28"/>
      <c r="AC24" s="28"/>
      <c r="AD24" s="28"/>
      <c r="AE24" s="28"/>
      <c r="AF24" s="239"/>
      <c r="AG24" s="104"/>
      <c r="AH24" s="103"/>
      <c r="AI24" s="103"/>
      <c r="AJ24" s="103"/>
      <c r="AK24" s="103"/>
      <c r="AL24" s="5"/>
      <c r="AM24" s="172"/>
      <c r="AN24" s="104"/>
      <c r="AO24" s="104"/>
      <c r="AP24" s="103"/>
      <c r="AQ24" s="102"/>
      <c r="AR24" s="104"/>
      <c r="AS24" s="104"/>
      <c r="AT24" s="103"/>
      <c r="AU24" s="102"/>
      <c r="AV24" s="104"/>
      <c r="AW24" s="104"/>
      <c r="AX24" s="103"/>
      <c r="AY24" s="102"/>
      <c r="AZ24" s="104"/>
      <c r="BA24" s="104"/>
      <c r="BB24" s="103"/>
      <c r="BC24" s="102"/>
      <c r="BD24" s="104"/>
      <c r="BE24" s="104"/>
      <c r="BF24" s="103"/>
      <c r="BG24" s="102"/>
      <c r="BH24" s="239"/>
      <c r="BI24" s="28"/>
    </row>
    <row r="25" spans="1:61" s="18" customFormat="1" x14ac:dyDescent="0.15">
      <c r="A25" s="86"/>
      <c r="B25" s="65"/>
      <c r="C25" s="86"/>
      <c r="E25" s="27"/>
      <c r="F25" s="93"/>
      <c r="G25" s="27"/>
      <c r="H25" s="27"/>
      <c r="I25" s="93"/>
      <c r="J25" s="239"/>
      <c r="K25" s="28"/>
      <c r="L25" s="28"/>
      <c r="M25" s="239"/>
      <c r="N25" s="28"/>
      <c r="O25" s="28"/>
      <c r="P25" s="215"/>
      <c r="Q25" s="27"/>
      <c r="R25" s="28"/>
      <c r="S25" s="28"/>
      <c r="T25" s="215"/>
      <c r="U25" s="215"/>
      <c r="V25" s="223"/>
      <c r="W25" s="28"/>
      <c r="X25" s="28"/>
      <c r="Y25" s="239"/>
      <c r="Z25" s="28"/>
      <c r="AA25" s="239"/>
      <c r="AB25" s="28"/>
      <c r="AC25" s="28"/>
      <c r="AD25" s="28"/>
      <c r="AE25" s="28"/>
      <c r="AF25" s="239"/>
      <c r="AG25" s="104"/>
      <c r="AH25" s="103"/>
      <c r="AI25" s="103"/>
      <c r="AJ25" s="103"/>
      <c r="AK25" s="103"/>
      <c r="AL25" s="5"/>
      <c r="AM25" s="172"/>
      <c r="AN25" s="104"/>
      <c r="AO25" s="104"/>
      <c r="AP25" s="103"/>
      <c r="AQ25" s="102"/>
      <c r="AR25" s="104"/>
      <c r="AS25" s="104"/>
      <c r="AT25" s="103"/>
      <c r="AU25" s="102"/>
      <c r="AV25" s="104"/>
      <c r="AW25" s="104"/>
      <c r="AX25" s="103"/>
      <c r="AY25" s="102"/>
      <c r="AZ25" s="104"/>
      <c r="BA25" s="104"/>
      <c r="BB25" s="103"/>
      <c r="BC25" s="102"/>
      <c r="BD25" s="104"/>
      <c r="BE25" s="104"/>
      <c r="BF25" s="103"/>
      <c r="BG25" s="102"/>
      <c r="BH25" s="239"/>
      <c r="BI25" s="28"/>
    </row>
    <row r="26" spans="1:61" s="18" customFormat="1" x14ac:dyDescent="0.15">
      <c r="A26" s="86"/>
      <c r="B26" s="65"/>
      <c r="C26" s="86"/>
      <c r="E26" s="27"/>
      <c r="F26" s="93"/>
      <c r="G26" s="27"/>
      <c r="H26" s="27"/>
      <c r="I26" s="93"/>
      <c r="J26" s="239"/>
      <c r="K26" s="28"/>
      <c r="L26" s="28"/>
      <c r="M26" s="239"/>
      <c r="N26" s="28"/>
      <c r="O26" s="28"/>
      <c r="P26" s="215"/>
      <c r="Q26" s="27"/>
      <c r="R26" s="28"/>
      <c r="S26" s="28"/>
      <c r="T26" s="215"/>
      <c r="U26" s="215"/>
      <c r="V26" s="223"/>
      <c r="W26" s="28"/>
      <c r="X26" s="28"/>
      <c r="Y26" s="239"/>
      <c r="Z26" s="28"/>
      <c r="AA26" s="239"/>
      <c r="AB26" s="28"/>
      <c r="AC26" s="28"/>
      <c r="AD26" s="28"/>
      <c r="AE26" s="28"/>
      <c r="AF26" s="239"/>
      <c r="AG26" s="104"/>
      <c r="AH26" s="103"/>
      <c r="AI26" s="103"/>
      <c r="AJ26" s="103"/>
      <c r="AK26" s="103"/>
      <c r="AL26" s="5"/>
      <c r="AM26" s="172"/>
      <c r="AN26" s="104"/>
      <c r="AO26" s="104"/>
      <c r="AP26" s="103"/>
      <c r="AQ26" s="102"/>
      <c r="AR26" s="104"/>
      <c r="AS26" s="104"/>
      <c r="AT26" s="103"/>
      <c r="AU26" s="102"/>
      <c r="AV26" s="104"/>
      <c r="AW26" s="104"/>
      <c r="AX26" s="103"/>
      <c r="AY26" s="102"/>
      <c r="AZ26" s="104"/>
      <c r="BA26" s="104"/>
      <c r="BB26" s="103"/>
      <c r="BC26" s="102"/>
      <c r="BD26" s="104"/>
      <c r="BE26" s="104"/>
      <c r="BF26" s="103"/>
      <c r="BG26" s="102"/>
      <c r="BH26" s="239"/>
      <c r="BI26" s="28"/>
    </row>
    <row r="27" spans="1:61" s="18" customFormat="1" x14ac:dyDescent="0.15">
      <c r="A27" s="86"/>
      <c r="B27" s="65"/>
      <c r="C27" s="86"/>
      <c r="E27" s="27"/>
      <c r="F27" s="93"/>
      <c r="G27" s="27"/>
      <c r="H27" s="27"/>
      <c r="I27" s="93"/>
      <c r="J27" s="239"/>
      <c r="K27" s="28"/>
      <c r="L27" s="28"/>
      <c r="M27" s="239"/>
      <c r="N27" s="28"/>
      <c r="O27" s="28"/>
      <c r="P27" s="215"/>
      <c r="Q27" s="27"/>
      <c r="R27" s="28"/>
      <c r="S27" s="28"/>
      <c r="T27" s="215"/>
      <c r="U27" s="215"/>
      <c r="V27" s="223"/>
      <c r="W27" s="28"/>
      <c r="X27" s="28"/>
      <c r="Y27" s="239"/>
      <c r="Z27" s="28"/>
      <c r="AA27" s="239"/>
      <c r="AB27" s="28"/>
      <c r="AC27" s="28"/>
      <c r="AD27" s="28"/>
      <c r="AE27" s="28"/>
      <c r="AF27" s="239"/>
      <c r="AG27" s="104"/>
      <c r="AH27" s="103"/>
      <c r="AI27" s="103"/>
      <c r="AJ27" s="103"/>
      <c r="AK27" s="103"/>
      <c r="AL27" s="5"/>
      <c r="AM27" s="172"/>
      <c r="AN27" s="104"/>
      <c r="AO27" s="104"/>
      <c r="AP27" s="103"/>
      <c r="AQ27" s="102"/>
      <c r="AR27" s="104"/>
      <c r="AS27" s="104"/>
      <c r="AT27" s="103"/>
      <c r="AU27" s="102"/>
      <c r="AV27" s="104"/>
      <c r="AW27" s="104"/>
      <c r="AX27" s="103"/>
      <c r="AY27" s="102"/>
      <c r="AZ27" s="104"/>
      <c r="BA27" s="104"/>
      <c r="BB27" s="103"/>
      <c r="BC27" s="102"/>
      <c r="BD27" s="104"/>
      <c r="BE27" s="104"/>
      <c r="BF27" s="103"/>
      <c r="BG27" s="102"/>
      <c r="BH27" s="239"/>
      <c r="BI27" s="28"/>
    </row>
    <row r="28" spans="1:61" s="18" customFormat="1" x14ac:dyDescent="0.15">
      <c r="A28" s="86"/>
      <c r="B28" s="65"/>
      <c r="C28" s="86"/>
      <c r="E28" s="27"/>
      <c r="F28" s="93"/>
      <c r="G28" s="27"/>
      <c r="H28" s="27"/>
      <c r="I28" s="93"/>
      <c r="J28" s="239"/>
      <c r="K28" s="28"/>
      <c r="L28" s="28"/>
      <c r="M28" s="239"/>
      <c r="N28" s="28"/>
      <c r="O28" s="28"/>
      <c r="P28" s="215"/>
      <c r="Q28" s="27"/>
      <c r="R28" s="28"/>
      <c r="S28" s="28"/>
      <c r="T28" s="215"/>
      <c r="U28" s="215"/>
      <c r="V28" s="223"/>
      <c r="W28" s="28"/>
      <c r="X28" s="28"/>
      <c r="Y28" s="239"/>
      <c r="Z28" s="28"/>
      <c r="AA28" s="239"/>
      <c r="AB28" s="28"/>
      <c r="AC28" s="28"/>
      <c r="AD28" s="28"/>
      <c r="AE28" s="28"/>
      <c r="AF28" s="239"/>
      <c r="AG28" s="104"/>
      <c r="AH28" s="103"/>
      <c r="AI28" s="103"/>
      <c r="AJ28" s="103"/>
      <c r="AK28" s="103"/>
      <c r="AL28" s="5"/>
      <c r="AM28" s="172"/>
      <c r="AN28" s="104"/>
      <c r="AO28" s="104"/>
      <c r="AP28" s="103"/>
      <c r="AQ28" s="102"/>
      <c r="AR28" s="104"/>
      <c r="AS28" s="104"/>
      <c r="AT28" s="103"/>
      <c r="AU28" s="102"/>
      <c r="AV28" s="104"/>
      <c r="AW28" s="104"/>
      <c r="AX28" s="103"/>
      <c r="AY28" s="102"/>
      <c r="AZ28" s="104"/>
      <c r="BA28" s="104"/>
      <c r="BB28" s="103"/>
      <c r="BC28" s="102"/>
      <c r="BD28" s="104"/>
      <c r="BE28" s="104"/>
      <c r="BF28" s="103"/>
      <c r="BG28" s="102"/>
      <c r="BH28" s="239"/>
      <c r="BI28" s="28"/>
    </row>
    <row r="29" spans="1:61" s="18" customFormat="1" x14ac:dyDescent="0.15">
      <c r="A29" s="86"/>
      <c r="B29" s="65"/>
      <c r="C29" s="86"/>
      <c r="E29" s="27"/>
      <c r="F29" s="93"/>
      <c r="G29" s="27"/>
      <c r="H29" s="27"/>
      <c r="I29" s="93"/>
      <c r="J29" s="239"/>
      <c r="K29" s="28"/>
      <c r="L29" s="28"/>
      <c r="M29" s="239"/>
      <c r="N29" s="28"/>
      <c r="O29" s="28"/>
      <c r="P29" s="215"/>
      <c r="Q29" s="27"/>
      <c r="R29" s="28"/>
      <c r="S29" s="28"/>
      <c r="T29" s="215"/>
      <c r="U29" s="215"/>
      <c r="V29" s="223"/>
      <c r="W29" s="28"/>
      <c r="X29" s="28"/>
      <c r="Y29" s="239"/>
      <c r="Z29" s="28"/>
      <c r="AA29" s="239"/>
      <c r="AB29" s="28"/>
      <c r="AC29" s="28"/>
      <c r="AD29" s="28"/>
      <c r="AE29" s="28"/>
      <c r="AF29" s="239"/>
      <c r="AG29" s="104"/>
      <c r="AH29" s="103"/>
      <c r="AI29" s="103"/>
      <c r="AJ29" s="103"/>
      <c r="AK29" s="103"/>
      <c r="AL29" s="5"/>
      <c r="AM29" s="172"/>
      <c r="AN29" s="104"/>
      <c r="AO29" s="104"/>
      <c r="AP29" s="103"/>
      <c r="AQ29" s="102"/>
      <c r="AR29" s="104"/>
      <c r="AS29" s="104"/>
      <c r="AT29" s="103"/>
      <c r="AU29" s="102"/>
      <c r="AV29" s="104"/>
      <c r="AW29" s="104"/>
      <c r="AX29" s="103"/>
      <c r="AY29" s="102"/>
      <c r="AZ29" s="104"/>
      <c r="BA29" s="104"/>
      <c r="BB29" s="103"/>
      <c r="BC29" s="102"/>
      <c r="BD29" s="104"/>
      <c r="BE29" s="104"/>
      <c r="BF29" s="103"/>
      <c r="BG29" s="102"/>
      <c r="BH29" s="239"/>
      <c r="BI29" s="28"/>
    </row>
    <row r="30" spans="1:61" s="18" customFormat="1" x14ac:dyDescent="0.15">
      <c r="A30" s="86"/>
      <c r="B30" s="65"/>
      <c r="C30" s="86"/>
      <c r="E30" s="27"/>
      <c r="F30" s="93"/>
      <c r="G30" s="27"/>
      <c r="H30" s="27"/>
      <c r="I30" s="93"/>
      <c r="J30" s="239"/>
      <c r="K30" s="28"/>
      <c r="L30" s="28"/>
      <c r="M30" s="239"/>
      <c r="N30" s="28"/>
      <c r="O30" s="28"/>
      <c r="P30" s="215"/>
      <c r="Q30" s="27"/>
      <c r="R30" s="28"/>
      <c r="S30" s="28"/>
      <c r="T30" s="215"/>
      <c r="U30" s="215"/>
      <c r="V30" s="223"/>
      <c r="W30" s="28"/>
      <c r="X30" s="28"/>
      <c r="Y30" s="239"/>
      <c r="Z30" s="28"/>
      <c r="AA30" s="239"/>
      <c r="AB30" s="28"/>
      <c r="AC30" s="28"/>
      <c r="AD30" s="28"/>
      <c r="AE30" s="28"/>
      <c r="AF30" s="239"/>
      <c r="AG30" s="104"/>
      <c r="AH30" s="103"/>
      <c r="AI30" s="103"/>
      <c r="AJ30" s="103"/>
      <c r="AK30" s="103"/>
      <c r="AL30" s="5"/>
      <c r="AM30" s="172"/>
      <c r="AN30" s="104"/>
      <c r="AO30" s="104"/>
      <c r="AP30" s="103"/>
      <c r="AQ30" s="102"/>
      <c r="AR30" s="104"/>
      <c r="AS30" s="104"/>
      <c r="AT30" s="103"/>
      <c r="AU30" s="102"/>
      <c r="AV30" s="104"/>
      <c r="AW30" s="104"/>
      <c r="AX30" s="103"/>
      <c r="AY30" s="102"/>
      <c r="AZ30" s="104"/>
      <c r="BA30" s="104"/>
      <c r="BB30" s="103"/>
      <c r="BC30" s="102"/>
      <c r="BD30" s="104"/>
      <c r="BE30" s="104"/>
      <c r="BF30" s="103"/>
      <c r="BG30" s="102"/>
      <c r="BH30" s="239"/>
      <c r="BI30" s="28"/>
    </row>
    <row r="31" spans="1:61" s="18" customFormat="1" x14ac:dyDescent="0.15">
      <c r="A31" s="86"/>
      <c r="B31" s="65"/>
      <c r="C31" s="86"/>
      <c r="E31" s="27"/>
      <c r="F31" s="93"/>
      <c r="G31" s="27"/>
      <c r="H31" s="27"/>
      <c r="I31" s="93"/>
      <c r="J31" s="239"/>
      <c r="K31" s="28"/>
      <c r="L31" s="28"/>
      <c r="M31" s="239"/>
      <c r="N31" s="28"/>
      <c r="O31" s="28"/>
      <c r="P31" s="215"/>
      <c r="Q31" s="27"/>
      <c r="R31" s="28"/>
      <c r="S31" s="28"/>
      <c r="T31" s="215"/>
      <c r="U31" s="215"/>
      <c r="V31" s="223"/>
      <c r="W31" s="28"/>
      <c r="X31" s="28"/>
      <c r="Y31" s="239"/>
      <c r="Z31" s="28"/>
      <c r="AA31" s="239"/>
      <c r="AB31" s="28"/>
      <c r="AC31" s="28"/>
      <c r="AD31" s="28"/>
      <c r="AE31" s="28"/>
      <c r="AF31" s="239"/>
      <c r="AG31" s="104"/>
      <c r="AH31" s="103"/>
      <c r="AI31" s="103"/>
      <c r="AJ31" s="103"/>
      <c r="AK31" s="103"/>
      <c r="AL31" s="5"/>
      <c r="AM31" s="172"/>
      <c r="AN31" s="104"/>
      <c r="AO31" s="104"/>
      <c r="AP31" s="103"/>
      <c r="AQ31" s="102"/>
      <c r="AR31" s="104"/>
      <c r="AS31" s="104"/>
      <c r="AT31" s="103"/>
      <c r="AU31" s="102"/>
      <c r="AV31" s="104"/>
      <c r="AW31" s="104"/>
      <c r="AX31" s="103"/>
      <c r="AY31" s="102"/>
      <c r="AZ31" s="104"/>
      <c r="BA31" s="104"/>
      <c r="BB31" s="103"/>
      <c r="BC31" s="102"/>
      <c r="BD31" s="104"/>
      <c r="BE31" s="104"/>
      <c r="BF31" s="103"/>
      <c r="BG31" s="102"/>
      <c r="BH31" s="239"/>
      <c r="BI31" s="28"/>
    </row>
    <row r="32" spans="1:61" s="20" customFormat="1" x14ac:dyDescent="0.15">
      <c r="A32" s="86"/>
      <c r="B32" s="65"/>
      <c r="C32" s="86"/>
      <c r="E32" s="31"/>
      <c r="F32" s="95"/>
      <c r="G32" s="31"/>
      <c r="H32" s="31"/>
      <c r="I32" s="95"/>
      <c r="J32" s="239"/>
      <c r="K32" s="32"/>
      <c r="L32" s="32"/>
      <c r="M32" s="239"/>
      <c r="N32" s="32"/>
      <c r="O32" s="32"/>
      <c r="P32" s="219"/>
      <c r="Q32" s="31"/>
      <c r="R32" s="32"/>
      <c r="S32" s="32"/>
      <c r="T32" s="219"/>
      <c r="U32" s="219"/>
      <c r="V32" s="226"/>
      <c r="W32" s="32"/>
      <c r="X32" s="32"/>
      <c r="Y32" s="239"/>
      <c r="Z32" s="32"/>
      <c r="AA32" s="239"/>
      <c r="AB32" s="32"/>
      <c r="AC32" s="32"/>
      <c r="AD32" s="32"/>
      <c r="AE32" s="32"/>
      <c r="AF32" s="239"/>
      <c r="AG32" s="104"/>
      <c r="AH32" s="103"/>
      <c r="AI32" s="103"/>
      <c r="AJ32" s="103"/>
      <c r="AK32" s="103"/>
      <c r="AL32" s="5"/>
      <c r="AM32" s="172"/>
      <c r="AN32" s="104"/>
      <c r="AO32" s="104"/>
      <c r="AP32" s="103"/>
      <c r="AQ32" s="102"/>
      <c r="AR32" s="104"/>
      <c r="AS32" s="104"/>
      <c r="AT32" s="103"/>
      <c r="AU32" s="102"/>
      <c r="AV32" s="104"/>
      <c r="AW32" s="104"/>
      <c r="AX32" s="103"/>
      <c r="AY32" s="102"/>
      <c r="AZ32" s="104"/>
      <c r="BA32" s="104"/>
      <c r="BB32" s="103"/>
      <c r="BC32" s="102"/>
      <c r="BD32" s="104"/>
      <c r="BE32" s="104"/>
      <c r="BF32" s="103"/>
      <c r="BG32" s="102"/>
      <c r="BH32" s="239"/>
      <c r="BI32" s="32"/>
    </row>
    <row r="33" spans="1:61" s="20" customFormat="1" x14ac:dyDescent="0.15">
      <c r="A33" s="86"/>
      <c r="B33" s="65"/>
      <c r="C33" s="86"/>
      <c r="E33" s="31"/>
      <c r="F33" s="95"/>
      <c r="G33" s="31"/>
      <c r="H33" s="31"/>
      <c r="I33" s="95"/>
      <c r="J33" s="239"/>
      <c r="K33" s="32"/>
      <c r="L33" s="32"/>
      <c r="M33" s="239"/>
      <c r="N33" s="32"/>
      <c r="O33" s="32"/>
      <c r="P33" s="219"/>
      <c r="Q33" s="31"/>
      <c r="R33" s="32"/>
      <c r="S33" s="32"/>
      <c r="T33" s="219"/>
      <c r="U33" s="219"/>
      <c r="V33" s="226"/>
      <c r="W33" s="32"/>
      <c r="X33" s="32"/>
      <c r="Y33" s="239"/>
      <c r="Z33" s="32"/>
      <c r="AA33" s="239"/>
      <c r="AB33" s="32"/>
      <c r="AC33" s="32"/>
      <c r="AD33" s="32"/>
      <c r="AE33" s="32"/>
      <c r="AF33" s="239"/>
      <c r="AG33" s="104"/>
      <c r="AH33" s="103"/>
      <c r="AI33" s="103"/>
      <c r="AJ33" s="103"/>
      <c r="AK33" s="103"/>
      <c r="AL33" s="5"/>
      <c r="AM33" s="172"/>
      <c r="AN33" s="104"/>
      <c r="AO33" s="104"/>
      <c r="AP33" s="103"/>
      <c r="AQ33" s="102"/>
      <c r="AR33" s="104"/>
      <c r="AS33" s="104"/>
      <c r="AT33" s="103"/>
      <c r="AU33" s="102"/>
      <c r="AV33" s="104"/>
      <c r="AW33" s="104"/>
      <c r="AX33" s="103"/>
      <c r="AY33" s="102"/>
      <c r="AZ33" s="104"/>
      <c r="BA33" s="104"/>
      <c r="BB33" s="103"/>
      <c r="BC33" s="102"/>
      <c r="BD33" s="104"/>
      <c r="BE33" s="104"/>
      <c r="BF33" s="103"/>
      <c r="BG33" s="102"/>
      <c r="BH33" s="239"/>
      <c r="BI33" s="32"/>
    </row>
    <row r="34" spans="1:61" s="20" customFormat="1" x14ac:dyDescent="0.15">
      <c r="A34" s="86"/>
      <c r="B34" s="65"/>
      <c r="C34" s="86"/>
      <c r="E34" s="31"/>
      <c r="F34" s="95"/>
      <c r="G34" s="31"/>
      <c r="H34" s="31"/>
      <c r="I34" s="95"/>
      <c r="J34" s="239"/>
      <c r="K34" s="32"/>
      <c r="L34" s="32"/>
      <c r="M34" s="239"/>
      <c r="N34" s="32"/>
      <c r="O34" s="32"/>
      <c r="P34" s="219"/>
      <c r="Q34" s="31"/>
      <c r="R34" s="32"/>
      <c r="S34" s="32"/>
      <c r="T34" s="219"/>
      <c r="U34" s="219"/>
      <c r="V34" s="226"/>
      <c r="W34" s="32"/>
      <c r="X34" s="32"/>
      <c r="Y34" s="239"/>
      <c r="Z34" s="32"/>
      <c r="AA34" s="239"/>
      <c r="AB34" s="32"/>
      <c r="AC34" s="32"/>
      <c r="AD34" s="32"/>
      <c r="AE34" s="32"/>
      <c r="AF34" s="239"/>
      <c r="AG34" s="104"/>
      <c r="AH34" s="103"/>
      <c r="AI34" s="103"/>
      <c r="AJ34" s="103"/>
      <c r="AK34" s="103"/>
      <c r="AL34" s="5"/>
      <c r="AM34" s="172"/>
      <c r="AN34" s="104"/>
      <c r="AO34" s="104"/>
      <c r="AP34" s="103"/>
      <c r="AQ34" s="102"/>
      <c r="AR34" s="104"/>
      <c r="AS34" s="104"/>
      <c r="AT34" s="103"/>
      <c r="AU34" s="102"/>
      <c r="AV34" s="104"/>
      <c r="AW34" s="104"/>
      <c r="AX34" s="103"/>
      <c r="AY34" s="102"/>
      <c r="AZ34" s="104"/>
      <c r="BA34" s="104"/>
      <c r="BB34" s="103"/>
      <c r="BC34" s="102"/>
      <c r="BD34" s="104"/>
      <c r="BE34" s="104"/>
      <c r="BF34" s="103"/>
      <c r="BG34" s="102"/>
      <c r="BH34" s="239"/>
      <c r="BI34" s="32"/>
    </row>
    <row r="35" spans="1:61" s="20" customFormat="1" x14ac:dyDescent="0.15">
      <c r="A35" s="86"/>
      <c r="B35" s="65"/>
      <c r="C35" s="86"/>
      <c r="E35" s="31"/>
      <c r="F35" s="95"/>
      <c r="G35" s="31"/>
      <c r="H35" s="31"/>
      <c r="I35" s="95"/>
      <c r="J35" s="239"/>
      <c r="K35" s="32"/>
      <c r="L35" s="32"/>
      <c r="M35" s="239"/>
      <c r="N35" s="32"/>
      <c r="O35" s="32"/>
      <c r="P35" s="219"/>
      <c r="Q35" s="31"/>
      <c r="R35" s="32"/>
      <c r="S35" s="32"/>
      <c r="T35" s="219"/>
      <c r="U35" s="219"/>
      <c r="V35" s="226"/>
      <c r="W35" s="32"/>
      <c r="X35" s="32"/>
      <c r="Y35" s="239"/>
      <c r="Z35" s="32"/>
      <c r="AA35" s="239"/>
      <c r="AB35" s="32"/>
      <c r="AC35" s="32"/>
      <c r="AD35" s="32"/>
      <c r="AE35" s="32"/>
      <c r="AF35" s="239"/>
      <c r="AG35" s="104"/>
      <c r="AH35" s="103"/>
      <c r="AI35" s="103"/>
      <c r="AJ35" s="103"/>
      <c r="AK35" s="103"/>
      <c r="AL35" s="5"/>
      <c r="AM35" s="172"/>
      <c r="AN35" s="104"/>
      <c r="AO35" s="104"/>
      <c r="AP35" s="103"/>
      <c r="AQ35" s="102"/>
      <c r="AR35" s="104"/>
      <c r="AS35" s="104"/>
      <c r="AT35" s="103"/>
      <c r="AU35" s="102"/>
      <c r="AV35" s="104"/>
      <c r="AW35" s="104"/>
      <c r="AX35" s="103"/>
      <c r="AY35" s="102"/>
      <c r="AZ35" s="104"/>
      <c r="BA35" s="104"/>
      <c r="BB35" s="103"/>
      <c r="BC35" s="102"/>
      <c r="BD35" s="104"/>
      <c r="BE35" s="104"/>
      <c r="BF35" s="103"/>
      <c r="BG35" s="102"/>
      <c r="BH35" s="239"/>
      <c r="BI35" s="32"/>
    </row>
    <row r="36" spans="1:61" s="20" customFormat="1" x14ac:dyDescent="0.15">
      <c r="A36" s="86"/>
      <c r="B36" s="65"/>
      <c r="C36" s="86"/>
      <c r="E36" s="31"/>
      <c r="F36" s="95"/>
      <c r="G36" s="31"/>
      <c r="H36" s="31"/>
      <c r="I36" s="95"/>
      <c r="J36" s="239"/>
      <c r="K36" s="32"/>
      <c r="L36" s="32"/>
      <c r="M36" s="239"/>
      <c r="N36" s="32"/>
      <c r="O36" s="32"/>
      <c r="P36" s="219"/>
      <c r="Q36" s="31"/>
      <c r="R36" s="32"/>
      <c r="S36" s="32"/>
      <c r="T36" s="219"/>
      <c r="U36" s="219"/>
      <c r="V36" s="226"/>
      <c r="W36" s="32"/>
      <c r="X36" s="32"/>
      <c r="Y36" s="239"/>
      <c r="Z36" s="32"/>
      <c r="AA36" s="239"/>
      <c r="AB36" s="32"/>
      <c r="AC36" s="32"/>
      <c r="AD36" s="32"/>
      <c r="AE36" s="32"/>
      <c r="AF36" s="239"/>
      <c r="AG36" s="104"/>
      <c r="AH36" s="103"/>
      <c r="AI36" s="103"/>
      <c r="AJ36" s="103"/>
      <c r="AK36" s="103"/>
      <c r="AL36" s="5"/>
      <c r="AM36" s="172"/>
      <c r="AN36" s="104"/>
      <c r="AO36" s="104"/>
      <c r="AP36" s="103"/>
      <c r="AQ36" s="102"/>
      <c r="AR36" s="104"/>
      <c r="AS36" s="104"/>
      <c r="AT36" s="103"/>
      <c r="AU36" s="102"/>
      <c r="AV36" s="104"/>
      <c r="AW36" s="104"/>
      <c r="AX36" s="103"/>
      <c r="AY36" s="102"/>
      <c r="AZ36" s="104"/>
      <c r="BA36" s="104"/>
      <c r="BB36" s="103"/>
      <c r="BC36" s="102"/>
      <c r="BD36" s="104"/>
      <c r="BE36" s="104"/>
      <c r="BF36" s="103"/>
      <c r="BG36" s="102"/>
      <c r="BH36" s="239"/>
      <c r="BI36" s="32"/>
    </row>
    <row r="37" spans="1:61" s="20" customFormat="1" x14ac:dyDescent="0.15">
      <c r="A37" s="86"/>
      <c r="B37" s="65"/>
      <c r="C37" s="86"/>
      <c r="E37" s="31"/>
      <c r="F37" s="95"/>
      <c r="G37" s="31"/>
      <c r="H37" s="31"/>
      <c r="I37" s="95"/>
      <c r="J37" s="239"/>
      <c r="K37" s="32"/>
      <c r="L37" s="32"/>
      <c r="M37" s="239"/>
      <c r="N37" s="32"/>
      <c r="O37" s="32"/>
      <c r="P37" s="219"/>
      <c r="Q37" s="31"/>
      <c r="R37" s="32"/>
      <c r="S37" s="32"/>
      <c r="T37" s="219"/>
      <c r="U37" s="219"/>
      <c r="V37" s="226"/>
      <c r="W37" s="32"/>
      <c r="X37" s="32"/>
      <c r="Y37" s="239"/>
      <c r="Z37" s="32"/>
      <c r="AA37" s="239"/>
      <c r="AB37" s="32"/>
      <c r="AC37" s="32"/>
      <c r="AD37" s="32"/>
      <c r="AE37" s="32"/>
      <c r="AF37" s="239"/>
      <c r="AG37" s="104"/>
      <c r="AH37" s="103"/>
      <c r="AI37" s="103"/>
      <c r="AJ37" s="103"/>
      <c r="AK37" s="103"/>
      <c r="AL37" s="5"/>
      <c r="AM37" s="172"/>
      <c r="AN37" s="104"/>
      <c r="AO37" s="104"/>
      <c r="AP37" s="103"/>
      <c r="AQ37" s="102"/>
      <c r="AR37" s="104"/>
      <c r="AS37" s="104"/>
      <c r="AT37" s="103"/>
      <c r="AU37" s="102"/>
      <c r="AV37" s="104"/>
      <c r="AW37" s="104"/>
      <c r="AX37" s="103"/>
      <c r="AY37" s="102"/>
      <c r="AZ37" s="104"/>
      <c r="BA37" s="104"/>
      <c r="BB37" s="103"/>
      <c r="BC37" s="102"/>
      <c r="BD37" s="104"/>
      <c r="BE37" s="104"/>
      <c r="BF37" s="103"/>
      <c r="BG37" s="102"/>
      <c r="BH37" s="239"/>
      <c r="BI37" s="32"/>
    </row>
    <row r="38" spans="1:61" s="20" customFormat="1" x14ac:dyDescent="0.15">
      <c r="A38" s="86"/>
      <c r="B38" s="65"/>
      <c r="C38" s="86"/>
      <c r="E38" s="31"/>
      <c r="F38" s="95"/>
      <c r="G38" s="31"/>
      <c r="H38" s="31"/>
      <c r="I38" s="95"/>
      <c r="J38" s="239"/>
      <c r="K38" s="32"/>
      <c r="L38" s="32"/>
      <c r="M38" s="239"/>
      <c r="N38" s="32"/>
      <c r="O38" s="32"/>
      <c r="P38" s="219"/>
      <c r="Q38" s="31"/>
      <c r="R38" s="32"/>
      <c r="S38" s="32"/>
      <c r="T38" s="219"/>
      <c r="U38" s="219"/>
      <c r="V38" s="226"/>
      <c r="W38" s="32"/>
      <c r="X38" s="32"/>
      <c r="Y38" s="239"/>
      <c r="Z38" s="32"/>
      <c r="AA38" s="239"/>
      <c r="AB38" s="32"/>
      <c r="AC38" s="32"/>
      <c r="AD38" s="32"/>
      <c r="AE38" s="32"/>
      <c r="AF38" s="239"/>
      <c r="AG38" s="104"/>
      <c r="AH38" s="103"/>
      <c r="AI38" s="103"/>
      <c r="AJ38" s="103"/>
      <c r="AK38" s="103"/>
      <c r="AL38" s="5"/>
      <c r="AM38" s="172"/>
      <c r="AN38" s="104"/>
      <c r="AO38" s="104"/>
      <c r="AP38" s="103"/>
      <c r="AQ38" s="102"/>
      <c r="AR38" s="104"/>
      <c r="AS38" s="104"/>
      <c r="AT38" s="103"/>
      <c r="AU38" s="102"/>
      <c r="AV38" s="104"/>
      <c r="AW38" s="104"/>
      <c r="AX38" s="103"/>
      <c r="AY38" s="102"/>
      <c r="AZ38" s="104"/>
      <c r="BA38" s="104"/>
      <c r="BB38" s="103"/>
      <c r="BC38" s="102"/>
      <c r="BD38" s="104"/>
      <c r="BE38" s="104"/>
      <c r="BF38" s="103"/>
      <c r="BG38" s="102"/>
      <c r="BH38" s="239"/>
      <c r="BI38" s="32"/>
    </row>
    <row r="39" spans="1:61" s="20" customFormat="1" x14ac:dyDescent="0.15">
      <c r="A39" s="86"/>
      <c r="B39" s="65"/>
      <c r="C39" s="86"/>
      <c r="E39" s="31"/>
      <c r="F39" s="95"/>
      <c r="G39" s="31"/>
      <c r="H39" s="31"/>
      <c r="I39" s="95"/>
      <c r="J39" s="239"/>
      <c r="K39" s="32"/>
      <c r="L39" s="32"/>
      <c r="M39" s="239"/>
      <c r="N39" s="32"/>
      <c r="O39" s="32"/>
      <c r="P39" s="219"/>
      <c r="Q39" s="31"/>
      <c r="R39" s="32"/>
      <c r="S39" s="32"/>
      <c r="T39" s="219"/>
      <c r="U39" s="219"/>
      <c r="V39" s="226"/>
      <c r="W39" s="32"/>
      <c r="X39" s="32"/>
      <c r="Y39" s="239"/>
      <c r="Z39" s="32"/>
      <c r="AA39" s="239"/>
      <c r="AB39" s="32"/>
      <c r="AC39" s="32"/>
      <c r="AD39" s="32"/>
      <c r="AE39" s="32"/>
      <c r="AF39" s="239"/>
      <c r="AG39" s="104"/>
      <c r="AH39" s="103"/>
      <c r="AI39" s="103"/>
      <c r="AJ39" s="103"/>
      <c r="AK39" s="103"/>
      <c r="AL39" s="5"/>
      <c r="AM39" s="172"/>
      <c r="AN39" s="104"/>
      <c r="AO39" s="104"/>
      <c r="AP39" s="103"/>
      <c r="AQ39" s="102"/>
      <c r="AR39" s="104"/>
      <c r="AS39" s="104"/>
      <c r="AT39" s="103"/>
      <c r="AU39" s="102"/>
      <c r="AV39" s="104"/>
      <c r="AW39" s="104"/>
      <c r="AX39" s="103"/>
      <c r="AY39" s="102"/>
      <c r="AZ39" s="104"/>
      <c r="BA39" s="104"/>
      <c r="BB39" s="103"/>
      <c r="BC39" s="102"/>
      <c r="BD39" s="104"/>
      <c r="BE39" s="104"/>
      <c r="BF39" s="103"/>
      <c r="BG39" s="102"/>
      <c r="BH39" s="239"/>
      <c r="BI39" s="32"/>
    </row>
    <row r="40" spans="1:61" s="20" customFormat="1" x14ac:dyDescent="0.15">
      <c r="A40" s="86"/>
      <c r="B40" s="65"/>
      <c r="C40" s="86"/>
      <c r="E40" s="31"/>
      <c r="F40" s="95"/>
      <c r="G40" s="31"/>
      <c r="H40" s="31"/>
      <c r="I40" s="95"/>
      <c r="J40" s="239"/>
      <c r="K40" s="32"/>
      <c r="L40" s="32"/>
      <c r="M40" s="239"/>
      <c r="N40" s="32"/>
      <c r="O40" s="32"/>
      <c r="P40" s="219"/>
      <c r="Q40" s="31"/>
      <c r="R40" s="32"/>
      <c r="S40" s="32"/>
      <c r="T40" s="219"/>
      <c r="U40" s="219"/>
      <c r="V40" s="226"/>
      <c r="W40" s="32"/>
      <c r="X40" s="32"/>
      <c r="Y40" s="239"/>
      <c r="Z40" s="32"/>
      <c r="AA40" s="239"/>
      <c r="AB40" s="32"/>
      <c r="AC40" s="32"/>
      <c r="AD40" s="32"/>
      <c r="AE40" s="32"/>
      <c r="AF40" s="239"/>
      <c r="AG40" s="104"/>
      <c r="AH40" s="103"/>
      <c r="AI40" s="103"/>
      <c r="AJ40" s="103"/>
      <c r="AK40" s="103"/>
      <c r="AL40" s="5"/>
      <c r="AM40" s="172"/>
      <c r="AN40" s="104"/>
      <c r="AO40" s="104"/>
      <c r="AP40" s="103"/>
      <c r="AQ40" s="102"/>
      <c r="AR40" s="104"/>
      <c r="AS40" s="104"/>
      <c r="AT40" s="103"/>
      <c r="AU40" s="102"/>
      <c r="AV40" s="104"/>
      <c r="AW40" s="104"/>
      <c r="AX40" s="103"/>
      <c r="AY40" s="102"/>
      <c r="AZ40" s="104"/>
      <c r="BA40" s="104"/>
      <c r="BB40" s="103"/>
      <c r="BC40" s="102"/>
      <c r="BD40" s="104"/>
      <c r="BE40" s="104"/>
      <c r="BF40" s="103"/>
      <c r="BG40" s="102"/>
      <c r="BH40" s="239"/>
      <c r="BI40" s="32"/>
    </row>
    <row r="41" spans="1:61" s="20" customFormat="1" x14ac:dyDescent="0.15">
      <c r="A41" s="86"/>
      <c r="B41" s="65"/>
      <c r="C41" s="86"/>
      <c r="E41" s="31"/>
      <c r="F41" s="95"/>
      <c r="G41" s="31"/>
      <c r="H41" s="31"/>
      <c r="I41" s="95"/>
      <c r="J41" s="239"/>
      <c r="K41" s="32"/>
      <c r="L41" s="32"/>
      <c r="M41" s="239"/>
      <c r="N41" s="32"/>
      <c r="O41" s="32"/>
      <c r="P41" s="219"/>
      <c r="Q41" s="31"/>
      <c r="R41" s="32"/>
      <c r="S41" s="32"/>
      <c r="T41" s="219"/>
      <c r="U41" s="219"/>
      <c r="V41" s="226"/>
      <c r="W41" s="32"/>
      <c r="X41" s="32"/>
      <c r="Y41" s="239"/>
      <c r="Z41" s="32"/>
      <c r="AA41" s="239"/>
      <c r="AB41" s="32"/>
      <c r="AC41" s="32"/>
      <c r="AD41" s="32"/>
      <c r="AE41" s="32"/>
      <c r="AF41" s="239"/>
      <c r="AG41" s="104"/>
      <c r="AH41" s="103"/>
      <c r="AI41" s="103"/>
      <c r="AJ41" s="103"/>
      <c r="AK41" s="103"/>
      <c r="AL41" s="5"/>
      <c r="AM41" s="172"/>
      <c r="AN41" s="104"/>
      <c r="AO41" s="104"/>
      <c r="AP41" s="103"/>
      <c r="AQ41" s="102"/>
      <c r="AR41" s="104"/>
      <c r="AS41" s="104"/>
      <c r="AT41" s="103"/>
      <c r="AU41" s="102"/>
      <c r="AV41" s="104"/>
      <c r="AW41" s="104"/>
      <c r="AX41" s="103"/>
      <c r="AY41" s="102"/>
      <c r="AZ41" s="104"/>
      <c r="BA41" s="104"/>
      <c r="BB41" s="103"/>
      <c r="BC41" s="102"/>
      <c r="BD41" s="104"/>
      <c r="BE41" s="104"/>
      <c r="BF41" s="103"/>
      <c r="BG41" s="102"/>
      <c r="BH41" s="239"/>
      <c r="BI41" s="32"/>
    </row>
    <row r="42" spans="1:61" s="20" customFormat="1" x14ac:dyDescent="0.15">
      <c r="A42" s="86"/>
      <c r="B42" s="65"/>
      <c r="C42" s="86"/>
      <c r="E42" s="31"/>
      <c r="F42" s="95"/>
      <c r="G42" s="31"/>
      <c r="H42" s="31"/>
      <c r="I42" s="95"/>
      <c r="J42" s="239"/>
      <c r="K42" s="32"/>
      <c r="L42" s="32"/>
      <c r="M42" s="239"/>
      <c r="N42" s="32"/>
      <c r="O42" s="32"/>
      <c r="P42" s="219"/>
      <c r="Q42" s="31"/>
      <c r="R42" s="32"/>
      <c r="S42" s="32"/>
      <c r="T42" s="219"/>
      <c r="U42" s="219"/>
      <c r="V42" s="226"/>
      <c r="W42" s="32"/>
      <c r="X42" s="32"/>
      <c r="Y42" s="239"/>
      <c r="Z42" s="32"/>
      <c r="AA42" s="239"/>
      <c r="AB42" s="32"/>
      <c r="AC42" s="32"/>
      <c r="AD42" s="32"/>
      <c r="AE42" s="32"/>
      <c r="AF42" s="239"/>
      <c r="AG42" s="104"/>
      <c r="AH42" s="103"/>
      <c r="AI42" s="103"/>
      <c r="AJ42" s="103"/>
      <c r="AK42" s="103"/>
      <c r="AL42" s="5"/>
      <c r="AM42" s="172"/>
      <c r="AN42" s="104"/>
      <c r="AO42" s="104"/>
      <c r="AP42" s="103"/>
      <c r="AQ42" s="102"/>
      <c r="AR42" s="104"/>
      <c r="AS42" s="104"/>
      <c r="AT42" s="103"/>
      <c r="AU42" s="102"/>
      <c r="AV42" s="104"/>
      <c r="AW42" s="104"/>
      <c r="AX42" s="103"/>
      <c r="AY42" s="102"/>
      <c r="AZ42" s="104"/>
      <c r="BA42" s="104"/>
      <c r="BB42" s="103"/>
      <c r="BC42" s="102"/>
      <c r="BD42" s="104"/>
      <c r="BE42" s="104"/>
      <c r="BF42" s="103"/>
      <c r="BG42" s="102"/>
      <c r="BH42" s="239"/>
      <c r="BI42" s="32"/>
    </row>
    <row r="43" spans="1:61" s="20" customFormat="1" x14ac:dyDescent="0.15">
      <c r="A43" s="86"/>
      <c r="B43" s="65"/>
      <c r="C43" s="86"/>
      <c r="E43" s="31"/>
      <c r="F43" s="95"/>
      <c r="G43" s="31"/>
      <c r="H43" s="31"/>
      <c r="I43" s="95"/>
      <c r="J43" s="239"/>
      <c r="K43" s="32"/>
      <c r="L43" s="32"/>
      <c r="M43" s="239"/>
      <c r="N43" s="32"/>
      <c r="O43" s="32"/>
      <c r="P43" s="219"/>
      <c r="Q43" s="31"/>
      <c r="R43" s="32"/>
      <c r="S43" s="32"/>
      <c r="T43" s="219"/>
      <c r="U43" s="219"/>
      <c r="V43" s="226"/>
      <c r="W43" s="32"/>
      <c r="X43" s="32"/>
      <c r="Y43" s="239"/>
      <c r="Z43" s="32"/>
      <c r="AA43" s="239"/>
      <c r="AB43" s="32"/>
      <c r="AC43" s="32"/>
      <c r="AD43" s="32"/>
      <c r="AE43" s="32"/>
      <c r="AF43" s="239"/>
      <c r="AG43" s="104"/>
      <c r="AH43" s="103"/>
      <c r="AI43" s="103"/>
      <c r="AJ43" s="103"/>
      <c r="AK43" s="103"/>
      <c r="AL43" s="5"/>
      <c r="AM43" s="172"/>
      <c r="AN43" s="104"/>
      <c r="AO43" s="104"/>
      <c r="AP43" s="103"/>
      <c r="AQ43" s="102"/>
      <c r="AR43" s="104"/>
      <c r="AS43" s="104"/>
      <c r="AT43" s="103"/>
      <c r="AU43" s="102"/>
      <c r="AV43" s="104"/>
      <c r="AW43" s="104"/>
      <c r="AX43" s="103"/>
      <c r="AY43" s="102"/>
      <c r="AZ43" s="104"/>
      <c r="BA43" s="104"/>
      <c r="BB43" s="103"/>
      <c r="BC43" s="102"/>
      <c r="BD43" s="104"/>
      <c r="BE43" s="104"/>
      <c r="BF43" s="103"/>
      <c r="BG43" s="102"/>
      <c r="BH43" s="239"/>
      <c r="BI43" s="32"/>
    </row>
    <row r="44" spans="1:61" s="20" customFormat="1" x14ac:dyDescent="0.15">
      <c r="A44" s="86"/>
      <c r="B44" s="65"/>
      <c r="C44" s="86"/>
      <c r="E44" s="31"/>
      <c r="F44" s="95"/>
      <c r="G44" s="31"/>
      <c r="H44" s="31"/>
      <c r="I44" s="95"/>
      <c r="J44" s="239"/>
      <c r="K44" s="32"/>
      <c r="L44" s="32"/>
      <c r="M44" s="239"/>
      <c r="N44" s="32"/>
      <c r="O44" s="32"/>
      <c r="P44" s="219"/>
      <c r="Q44" s="31"/>
      <c r="R44" s="32"/>
      <c r="S44" s="32"/>
      <c r="T44" s="219"/>
      <c r="U44" s="219"/>
      <c r="V44" s="226"/>
      <c r="W44" s="32"/>
      <c r="X44" s="32"/>
      <c r="Y44" s="239"/>
      <c r="Z44" s="32"/>
      <c r="AA44" s="239"/>
      <c r="AB44" s="32"/>
      <c r="AC44" s="32"/>
      <c r="AD44" s="32"/>
      <c r="AE44" s="32"/>
      <c r="AF44" s="239"/>
      <c r="AG44" s="104"/>
      <c r="AH44" s="103"/>
      <c r="AI44" s="103"/>
      <c r="AJ44" s="103"/>
      <c r="AK44" s="103"/>
      <c r="AL44" s="5"/>
      <c r="AM44" s="172"/>
      <c r="AN44" s="104"/>
      <c r="AO44" s="104"/>
      <c r="AP44" s="103"/>
      <c r="AQ44" s="102"/>
      <c r="AR44" s="104"/>
      <c r="AS44" s="104"/>
      <c r="AT44" s="103"/>
      <c r="AU44" s="102"/>
      <c r="AV44" s="104"/>
      <c r="AW44" s="104"/>
      <c r="AX44" s="103"/>
      <c r="AY44" s="102"/>
      <c r="AZ44" s="104"/>
      <c r="BA44" s="104"/>
      <c r="BB44" s="103"/>
      <c r="BC44" s="102"/>
      <c r="BD44" s="104"/>
      <c r="BE44" s="104"/>
      <c r="BF44" s="103"/>
      <c r="BG44" s="102"/>
      <c r="BH44" s="239"/>
      <c r="BI44" s="32"/>
    </row>
    <row r="45" spans="1:61" s="20" customFormat="1" x14ac:dyDescent="0.15">
      <c r="A45" s="86"/>
      <c r="B45" s="65"/>
      <c r="C45" s="86"/>
      <c r="E45" s="31"/>
      <c r="F45" s="95"/>
      <c r="G45" s="31"/>
      <c r="H45" s="31"/>
      <c r="I45" s="95"/>
      <c r="J45" s="239"/>
      <c r="K45" s="32"/>
      <c r="L45" s="32"/>
      <c r="M45" s="239"/>
      <c r="N45" s="32"/>
      <c r="O45" s="32"/>
      <c r="P45" s="219"/>
      <c r="Q45" s="31"/>
      <c r="R45" s="32"/>
      <c r="S45" s="32"/>
      <c r="T45" s="219"/>
      <c r="U45" s="219"/>
      <c r="V45" s="226"/>
      <c r="W45" s="32"/>
      <c r="X45" s="32"/>
      <c r="Y45" s="239"/>
      <c r="Z45" s="32"/>
      <c r="AA45" s="239"/>
      <c r="AB45" s="32"/>
      <c r="AC45" s="32"/>
      <c r="AD45" s="32"/>
      <c r="AE45" s="32"/>
      <c r="AF45" s="239"/>
      <c r="AG45" s="104"/>
      <c r="AH45" s="103"/>
      <c r="AI45" s="103"/>
      <c r="AJ45" s="103"/>
      <c r="AK45" s="103"/>
      <c r="AL45" s="5"/>
      <c r="AM45" s="172"/>
      <c r="AN45" s="104"/>
      <c r="AO45" s="104"/>
      <c r="AP45" s="103"/>
      <c r="AQ45" s="102"/>
      <c r="AR45" s="104"/>
      <c r="AS45" s="104"/>
      <c r="AT45" s="103"/>
      <c r="AU45" s="102"/>
      <c r="AV45" s="104"/>
      <c r="AW45" s="104"/>
      <c r="AX45" s="103"/>
      <c r="AY45" s="102"/>
      <c r="AZ45" s="104"/>
      <c r="BA45" s="104"/>
      <c r="BB45" s="103"/>
      <c r="BC45" s="102"/>
      <c r="BD45" s="104"/>
      <c r="BE45" s="104"/>
      <c r="BF45" s="103"/>
      <c r="BG45" s="102"/>
      <c r="BH45" s="239"/>
      <c r="BI45" s="32"/>
    </row>
    <row r="46" spans="1:61" s="20" customFormat="1" x14ac:dyDescent="0.15">
      <c r="A46" s="86"/>
      <c r="B46" s="65"/>
      <c r="C46" s="86"/>
      <c r="E46" s="31"/>
      <c r="F46" s="95"/>
      <c r="G46" s="31"/>
      <c r="H46" s="31"/>
      <c r="I46" s="95"/>
      <c r="J46" s="239"/>
      <c r="K46" s="32"/>
      <c r="L46" s="32"/>
      <c r="M46" s="239"/>
      <c r="N46" s="32"/>
      <c r="O46" s="32"/>
      <c r="P46" s="219"/>
      <c r="Q46" s="31"/>
      <c r="R46" s="32"/>
      <c r="S46" s="32"/>
      <c r="T46" s="219"/>
      <c r="U46" s="219"/>
      <c r="V46" s="226"/>
      <c r="W46" s="32"/>
      <c r="X46" s="32"/>
      <c r="Y46" s="239"/>
      <c r="Z46" s="32"/>
      <c r="AA46" s="239"/>
      <c r="AB46" s="32"/>
      <c r="AC46" s="32"/>
      <c r="AD46" s="32"/>
      <c r="AE46" s="32"/>
      <c r="AF46" s="239"/>
      <c r="AG46" s="104"/>
      <c r="AH46" s="103"/>
      <c r="AI46" s="103"/>
      <c r="AJ46" s="103"/>
      <c r="AK46" s="103"/>
      <c r="AL46" s="5"/>
      <c r="AM46" s="172"/>
      <c r="AN46" s="104"/>
      <c r="AO46" s="104"/>
      <c r="AP46" s="103"/>
      <c r="AQ46" s="102"/>
      <c r="AR46" s="104"/>
      <c r="AS46" s="104"/>
      <c r="AT46" s="103"/>
      <c r="AU46" s="102"/>
      <c r="AV46" s="104"/>
      <c r="AW46" s="104"/>
      <c r="AX46" s="103"/>
      <c r="AY46" s="102"/>
      <c r="AZ46" s="104"/>
      <c r="BA46" s="104"/>
      <c r="BB46" s="103"/>
      <c r="BC46" s="102"/>
      <c r="BD46" s="104"/>
      <c r="BE46" s="104"/>
      <c r="BF46" s="103"/>
      <c r="BG46" s="102"/>
      <c r="BH46" s="239"/>
      <c r="BI46" s="32"/>
    </row>
    <row r="47" spans="1:61" s="20" customFormat="1" x14ac:dyDescent="0.15">
      <c r="A47" s="86"/>
      <c r="B47" s="65"/>
      <c r="C47" s="86"/>
      <c r="E47" s="31"/>
      <c r="F47" s="95"/>
      <c r="G47" s="31"/>
      <c r="H47" s="31"/>
      <c r="I47" s="95"/>
      <c r="J47" s="239"/>
      <c r="K47" s="32"/>
      <c r="L47" s="32"/>
      <c r="M47" s="239"/>
      <c r="N47" s="32"/>
      <c r="O47" s="32"/>
      <c r="P47" s="219"/>
      <c r="Q47" s="31"/>
      <c r="R47" s="32"/>
      <c r="S47" s="32"/>
      <c r="T47" s="219"/>
      <c r="U47" s="219"/>
      <c r="V47" s="226"/>
      <c r="W47" s="32"/>
      <c r="X47" s="32"/>
      <c r="Y47" s="239"/>
      <c r="Z47" s="32"/>
      <c r="AA47" s="239"/>
      <c r="AB47" s="32"/>
      <c r="AC47" s="32"/>
      <c r="AD47" s="32"/>
      <c r="AE47" s="32"/>
      <c r="AF47" s="239"/>
      <c r="AG47" s="104"/>
      <c r="AH47" s="103"/>
      <c r="AI47" s="103"/>
      <c r="AJ47" s="103"/>
      <c r="AK47" s="103"/>
      <c r="AL47" s="5"/>
      <c r="AM47" s="172"/>
      <c r="AN47" s="104"/>
      <c r="AO47" s="104"/>
      <c r="AP47" s="103"/>
      <c r="AQ47" s="102"/>
      <c r="AR47" s="104"/>
      <c r="AS47" s="104"/>
      <c r="AT47" s="103"/>
      <c r="AU47" s="102"/>
      <c r="AV47" s="104"/>
      <c r="AW47" s="104"/>
      <c r="AX47" s="103"/>
      <c r="AY47" s="102"/>
      <c r="AZ47" s="104"/>
      <c r="BA47" s="104"/>
      <c r="BB47" s="103"/>
      <c r="BC47" s="102"/>
      <c r="BD47" s="104"/>
      <c r="BE47" s="104"/>
      <c r="BF47" s="103"/>
      <c r="BG47" s="102"/>
      <c r="BH47" s="239"/>
      <c r="BI47" s="32"/>
    </row>
    <row r="48" spans="1:61" s="20" customFormat="1" x14ac:dyDescent="0.15">
      <c r="A48" s="86"/>
      <c r="B48" s="65"/>
      <c r="C48" s="86"/>
      <c r="E48" s="31"/>
      <c r="F48" s="95"/>
      <c r="G48" s="31"/>
      <c r="H48" s="31"/>
      <c r="I48" s="95"/>
      <c r="J48" s="239"/>
      <c r="K48" s="32"/>
      <c r="L48" s="32"/>
      <c r="M48" s="239"/>
      <c r="N48" s="32"/>
      <c r="O48" s="32"/>
      <c r="P48" s="219"/>
      <c r="Q48" s="31"/>
      <c r="R48" s="32"/>
      <c r="S48" s="32"/>
      <c r="T48" s="219"/>
      <c r="U48" s="219"/>
      <c r="V48" s="226"/>
      <c r="W48" s="32"/>
      <c r="X48" s="32"/>
      <c r="Y48" s="239"/>
      <c r="Z48" s="32"/>
      <c r="AA48" s="239"/>
      <c r="AB48" s="32"/>
      <c r="AC48" s="32"/>
      <c r="AD48" s="32"/>
      <c r="AE48" s="32"/>
      <c r="AF48" s="239"/>
      <c r="AG48" s="104"/>
      <c r="AH48" s="103"/>
      <c r="AI48" s="103"/>
      <c r="AJ48" s="103"/>
      <c r="AK48" s="103"/>
      <c r="AL48" s="5"/>
      <c r="AM48" s="172"/>
      <c r="AN48" s="104"/>
      <c r="AO48" s="104"/>
      <c r="AP48" s="103"/>
      <c r="AQ48" s="102"/>
      <c r="AR48" s="104"/>
      <c r="AS48" s="104"/>
      <c r="AT48" s="103"/>
      <c r="AU48" s="102"/>
      <c r="AV48" s="104"/>
      <c r="AW48" s="104"/>
      <c r="AX48" s="103"/>
      <c r="AY48" s="102"/>
      <c r="AZ48" s="104"/>
      <c r="BA48" s="104"/>
      <c r="BB48" s="103"/>
      <c r="BC48" s="102"/>
      <c r="BD48" s="104"/>
      <c r="BE48" s="104"/>
      <c r="BF48" s="103"/>
      <c r="BG48" s="102"/>
      <c r="BH48" s="239"/>
      <c r="BI48" s="32"/>
    </row>
    <row r="49" spans="1:61" s="20" customFormat="1" x14ac:dyDescent="0.15">
      <c r="A49" s="86"/>
      <c r="B49" s="65"/>
      <c r="C49" s="86"/>
      <c r="E49" s="31"/>
      <c r="F49" s="95"/>
      <c r="G49" s="31"/>
      <c r="H49" s="31"/>
      <c r="I49" s="95"/>
      <c r="J49" s="239"/>
      <c r="K49" s="32"/>
      <c r="L49" s="32"/>
      <c r="M49" s="239"/>
      <c r="N49" s="32"/>
      <c r="O49" s="32"/>
      <c r="P49" s="219"/>
      <c r="Q49" s="31"/>
      <c r="R49" s="32"/>
      <c r="S49" s="32"/>
      <c r="T49" s="219"/>
      <c r="U49" s="219"/>
      <c r="V49" s="226"/>
      <c r="W49" s="32"/>
      <c r="X49" s="32"/>
      <c r="Y49" s="239"/>
      <c r="Z49" s="32"/>
      <c r="AA49" s="239"/>
      <c r="AB49" s="32"/>
      <c r="AC49" s="32"/>
      <c r="AD49" s="32"/>
      <c r="AE49" s="32"/>
      <c r="AF49" s="239"/>
      <c r="AG49" s="104"/>
      <c r="AH49" s="103"/>
      <c r="AI49" s="103"/>
      <c r="AJ49" s="103"/>
      <c r="AK49" s="103"/>
      <c r="AL49" s="5"/>
      <c r="AM49" s="172"/>
      <c r="AN49" s="104"/>
      <c r="AO49" s="104"/>
      <c r="AP49" s="103"/>
      <c r="AQ49" s="102"/>
      <c r="AR49" s="104"/>
      <c r="AS49" s="104"/>
      <c r="AT49" s="103"/>
      <c r="AU49" s="102"/>
      <c r="AV49" s="104"/>
      <c r="AW49" s="104"/>
      <c r="AX49" s="103"/>
      <c r="AY49" s="102"/>
      <c r="AZ49" s="104"/>
      <c r="BA49" s="104"/>
      <c r="BB49" s="103"/>
      <c r="BC49" s="102"/>
      <c r="BD49" s="104"/>
      <c r="BE49" s="104"/>
      <c r="BF49" s="103"/>
      <c r="BG49" s="102"/>
      <c r="BH49" s="239"/>
      <c r="BI49" s="32"/>
    </row>
    <row r="50" spans="1:61" s="20" customFormat="1" x14ac:dyDescent="0.15">
      <c r="A50" s="86"/>
      <c r="B50" s="65"/>
      <c r="C50" s="86"/>
      <c r="E50" s="31"/>
      <c r="F50" s="95"/>
      <c r="G50" s="31"/>
      <c r="H50" s="31"/>
      <c r="I50" s="95"/>
      <c r="J50" s="239"/>
      <c r="K50" s="32"/>
      <c r="L50" s="32"/>
      <c r="M50" s="239"/>
      <c r="N50" s="32"/>
      <c r="O50" s="32"/>
      <c r="P50" s="219"/>
      <c r="Q50" s="31"/>
      <c r="R50" s="32"/>
      <c r="S50" s="32"/>
      <c r="T50" s="219"/>
      <c r="U50" s="219"/>
      <c r="V50" s="226"/>
      <c r="W50" s="32"/>
      <c r="X50" s="32"/>
      <c r="Y50" s="239"/>
      <c r="Z50" s="32"/>
      <c r="AA50" s="239"/>
      <c r="AB50" s="32"/>
      <c r="AC50" s="32"/>
      <c r="AD50" s="32"/>
      <c r="AE50" s="32"/>
      <c r="AF50" s="239"/>
      <c r="AG50" s="104"/>
      <c r="AH50" s="103"/>
      <c r="AI50" s="103"/>
      <c r="AJ50" s="103"/>
      <c r="AK50" s="103"/>
      <c r="AL50" s="5"/>
      <c r="AM50" s="172"/>
      <c r="AN50" s="104"/>
      <c r="AO50" s="104"/>
      <c r="AP50" s="103"/>
      <c r="AQ50" s="102"/>
      <c r="AR50" s="104"/>
      <c r="AS50" s="104"/>
      <c r="AT50" s="103"/>
      <c r="AU50" s="102"/>
      <c r="AV50" s="104"/>
      <c r="AW50" s="104"/>
      <c r="AX50" s="103"/>
      <c r="AY50" s="102"/>
      <c r="AZ50" s="104"/>
      <c r="BA50" s="104"/>
      <c r="BB50" s="103"/>
      <c r="BC50" s="102"/>
      <c r="BD50" s="104"/>
      <c r="BE50" s="104"/>
      <c r="BF50" s="103"/>
      <c r="BG50" s="102"/>
      <c r="BH50" s="239"/>
      <c r="BI50" s="32"/>
    </row>
    <row r="51" spans="1:61" s="20" customFormat="1" x14ac:dyDescent="0.15">
      <c r="A51" s="86"/>
      <c r="B51" s="65"/>
      <c r="C51" s="86"/>
      <c r="E51" s="31"/>
      <c r="F51" s="95"/>
      <c r="G51" s="31"/>
      <c r="H51" s="31"/>
      <c r="I51" s="95"/>
      <c r="J51" s="239"/>
      <c r="K51" s="32"/>
      <c r="L51" s="32"/>
      <c r="M51" s="239"/>
      <c r="N51" s="32"/>
      <c r="O51" s="32"/>
      <c r="P51" s="219"/>
      <c r="Q51" s="31"/>
      <c r="R51" s="32"/>
      <c r="S51" s="32"/>
      <c r="T51" s="219"/>
      <c r="U51" s="219"/>
      <c r="V51" s="226"/>
      <c r="W51" s="32"/>
      <c r="X51" s="32"/>
      <c r="Y51" s="239"/>
      <c r="Z51" s="32"/>
      <c r="AA51" s="239"/>
      <c r="AB51" s="32"/>
      <c r="AC51" s="32"/>
      <c r="AD51" s="32"/>
      <c r="AE51" s="32"/>
      <c r="AF51" s="239"/>
      <c r="AG51" s="104"/>
      <c r="AH51" s="103"/>
      <c r="AI51" s="103"/>
      <c r="AJ51" s="103"/>
      <c r="AK51" s="103"/>
      <c r="AL51" s="5"/>
      <c r="AM51" s="172"/>
      <c r="AN51" s="104"/>
      <c r="AO51" s="104"/>
      <c r="AP51" s="103"/>
      <c r="AQ51" s="102"/>
      <c r="AR51" s="104"/>
      <c r="AS51" s="104"/>
      <c r="AT51" s="103"/>
      <c r="AU51" s="102"/>
      <c r="AV51" s="104"/>
      <c r="AW51" s="104"/>
      <c r="AX51" s="103"/>
      <c r="AY51" s="102"/>
      <c r="AZ51" s="104"/>
      <c r="BA51" s="104"/>
      <c r="BB51" s="103"/>
      <c r="BC51" s="102"/>
      <c r="BD51" s="104"/>
      <c r="BE51" s="104"/>
      <c r="BF51" s="103"/>
      <c r="BG51" s="102"/>
      <c r="BH51" s="239"/>
      <c r="BI51" s="32"/>
    </row>
    <row r="52" spans="1:61" s="20" customFormat="1" x14ac:dyDescent="0.15">
      <c r="A52" s="86"/>
      <c r="B52" s="65"/>
      <c r="C52" s="86"/>
      <c r="E52" s="31"/>
      <c r="F52" s="95"/>
      <c r="G52" s="31"/>
      <c r="H52" s="31"/>
      <c r="I52" s="95"/>
      <c r="J52" s="239"/>
      <c r="K52" s="32"/>
      <c r="L52" s="32"/>
      <c r="M52" s="239"/>
      <c r="N52" s="32"/>
      <c r="O52" s="32"/>
      <c r="P52" s="219"/>
      <c r="Q52" s="31"/>
      <c r="R52" s="32"/>
      <c r="S52" s="32"/>
      <c r="T52" s="219"/>
      <c r="U52" s="219"/>
      <c r="V52" s="226"/>
      <c r="W52" s="32"/>
      <c r="X52" s="32"/>
      <c r="Y52" s="239"/>
      <c r="Z52" s="32"/>
      <c r="AA52" s="239"/>
      <c r="AB52" s="32"/>
      <c r="AC52" s="32"/>
      <c r="AD52" s="32"/>
      <c r="AE52" s="32"/>
      <c r="AF52" s="239"/>
      <c r="AG52" s="104"/>
      <c r="AH52" s="103"/>
      <c r="AI52" s="103"/>
      <c r="AJ52" s="103"/>
      <c r="AK52" s="103"/>
      <c r="AL52" s="5"/>
      <c r="AM52" s="172"/>
      <c r="AN52" s="104"/>
      <c r="AO52" s="104"/>
      <c r="AP52" s="103"/>
      <c r="AQ52" s="102"/>
      <c r="AR52" s="104"/>
      <c r="AS52" s="104"/>
      <c r="AT52" s="103"/>
      <c r="AU52" s="102"/>
      <c r="AV52" s="104"/>
      <c r="AW52" s="104"/>
      <c r="AX52" s="103"/>
      <c r="AY52" s="102"/>
      <c r="AZ52" s="104"/>
      <c r="BA52" s="104"/>
      <c r="BB52" s="103"/>
      <c r="BC52" s="102"/>
      <c r="BD52" s="104"/>
      <c r="BE52" s="104"/>
      <c r="BF52" s="103"/>
      <c r="BG52" s="102"/>
      <c r="BH52" s="239"/>
      <c r="BI52" s="32"/>
    </row>
    <row r="53" spans="1:61" s="20" customFormat="1" x14ac:dyDescent="0.15">
      <c r="A53" s="86"/>
      <c r="B53" s="65"/>
      <c r="C53" s="86"/>
      <c r="E53" s="31"/>
      <c r="F53" s="95"/>
      <c r="G53" s="31"/>
      <c r="H53" s="31"/>
      <c r="I53" s="95"/>
      <c r="J53" s="239"/>
      <c r="K53" s="32"/>
      <c r="L53" s="32"/>
      <c r="M53" s="239"/>
      <c r="N53" s="32"/>
      <c r="O53" s="32"/>
      <c r="P53" s="219"/>
      <c r="Q53" s="31"/>
      <c r="R53" s="32"/>
      <c r="S53" s="32"/>
      <c r="T53" s="219"/>
      <c r="U53" s="219"/>
      <c r="V53" s="226"/>
      <c r="W53" s="32"/>
      <c r="X53" s="32"/>
      <c r="Y53" s="239"/>
      <c r="Z53" s="32"/>
      <c r="AA53" s="239"/>
      <c r="AB53" s="32"/>
      <c r="AC53" s="32"/>
      <c r="AD53" s="32"/>
      <c r="AE53" s="32"/>
      <c r="AF53" s="239"/>
      <c r="AG53" s="104"/>
      <c r="AH53" s="103"/>
      <c r="AI53" s="103"/>
      <c r="AJ53" s="103"/>
      <c r="AK53" s="103"/>
      <c r="AL53" s="5"/>
      <c r="AM53" s="172"/>
      <c r="AN53" s="104"/>
      <c r="AO53" s="104"/>
      <c r="AP53" s="103"/>
      <c r="AQ53" s="102"/>
      <c r="AR53" s="104"/>
      <c r="AS53" s="104"/>
      <c r="AT53" s="103"/>
      <c r="AU53" s="102"/>
      <c r="AV53" s="104"/>
      <c r="AW53" s="104"/>
      <c r="AX53" s="103"/>
      <c r="AY53" s="102"/>
      <c r="AZ53" s="104"/>
      <c r="BA53" s="104"/>
      <c r="BB53" s="103"/>
      <c r="BC53" s="102"/>
      <c r="BD53" s="104"/>
      <c r="BE53" s="104"/>
      <c r="BF53" s="103"/>
      <c r="BG53" s="102"/>
      <c r="BH53" s="239"/>
      <c r="BI53" s="32"/>
    </row>
    <row r="54" spans="1:61" s="20" customFormat="1" x14ac:dyDescent="0.15">
      <c r="A54" s="86"/>
      <c r="B54" s="65"/>
      <c r="C54" s="86"/>
      <c r="E54" s="31"/>
      <c r="F54" s="95"/>
      <c r="G54" s="31"/>
      <c r="H54" s="31"/>
      <c r="I54" s="95"/>
      <c r="J54" s="239"/>
      <c r="K54" s="32"/>
      <c r="L54" s="32"/>
      <c r="M54" s="239"/>
      <c r="N54" s="32"/>
      <c r="O54" s="32"/>
      <c r="P54" s="219"/>
      <c r="Q54" s="31"/>
      <c r="R54" s="32"/>
      <c r="S54" s="32"/>
      <c r="T54" s="219"/>
      <c r="U54" s="219"/>
      <c r="V54" s="226"/>
      <c r="W54" s="32"/>
      <c r="X54" s="32"/>
      <c r="Y54" s="239"/>
      <c r="Z54" s="32"/>
      <c r="AA54" s="239"/>
      <c r="AB54" s="32"/>
      <c r="AC54" s="32"/>
      <c r="AD54" s="32"/>
      <c r="AE54" s="32"/>
      <c r="AF54" s="239"/>
      <c r="AG54" s="104"/>
      <c r="AH54" s="103"/>
      <c r="AI54" s="103"/>
      <c r="AJ54" s="103"/>
      <c r="AK54" s="103"/>
      <c r="AL54" s="5"/>
      <c r="AM54" s="172"/>
      <c r="AN54" s="104"/>
      <c r="AO54" s="104"/>
      <c r="AP54" s="103"/>
      <c r="AQ54" s="102"/>
      <c r="AR54" s="104"/>
      <c r="AS54" s="104"/>
      <c r="AT54" s="103"/>
      <c r="AU54" s="102"/>
      <c r="AV54" s="104"/>
      <c r="AW54" s="104"/>
      <c r="AX54" s="103"/>
      <c r="AY54" s="102"/>
      <c r="AZ54" s="104"/>
      <c r="BA54" s="104"/>
      <c r="BB54" s="103"/>
      <c r="BC54" s="102"/>
      <c r="BD54" s="104"/>
      <c r="BE54" s="104"/>
      <c r="BF54" s="103"/>
      <c r="BG54" s="102"/>
      <c r="BH54" s="239"/>
      <c r="BI54" s="32"/>
    </row>
    <row r="55" spans="1:61" s="20" customFormat="1" x14ac:dyDescent="0.15">
      <c r="A55" s="86"/>
      <c r="B55" s="65"/>
      <c r="C55" s="86"/>
      <c r="E55" s="31"/>
      <c r="F55" s="95"/>
      <c r="G55" s="31"/>
      <c r="H55" s="31"/>
      <c r="I55" s="95"/>
      <c r="J55" s="239"/>
      <c r="K55" s="32"/>
      <c r="L55" s="32"/>
      <c r="M55" s="239"/>
      <c r="N55" s="32"/>
      <c r="O55" s="32"/>
      <c r="P55" s="219"/>
      <c r="Q55" s="31"/>
      <c r="R55" s="32"/>
      <c r="S55" s="32"/>
      <c r="T55" s="219"/>
      <c r="U55" s="219"/>
      <c r="V55" s="226"/>
      <c r="W55" s="32"/>
      <c r="X55" s="32"/>
      <c r="Y55" s="239"/>
      <c r="Z55" s="32"/>
      <c r="AA55" s="239"/>
      <c r="AB55" s="32"/>
      <c r="AC55" s="32"/>
      <c r="AD55" s="32"/>
      <c r="AE55" s="32"/>
      <c r="AF55" s="239"/>
      <c r="AG55" s="104"/>
      <c r="AH55" s="103"/>
      <c r="AI55" s="103"/>
      <c r="AJ55" s="103"/>
      <c r="AK55" s="103"/>
      <c r="AL55" s="5"/>
      <c r="AM55" s="172"/>
      <c r="AN55" s="104"/>
      <c r="AO55" s="104"/>
      <c r="AP55" s="103"/>
      <c r="AQ55" s="102"/>
      <c r="AR55" s="104"/>
      <c r="AS55" s="104"/>
      <c r="AT55" s="103"/>
      <c r="AU55" s="102"/>
      <c r="AV55" s="104"/>
      <c r="AW55" s="104"/>
      <c r="AX55" s="103"/>
      <c r="AY55" s="102"/>
      <c r="AZ55" s="104"/>
      <c r="BA55" s="104"/>
      <c r="BB55" s="103"/>
      <c r="BC55" s="102"/>
      <c r="BD55" s="104"/>
      <c r="BE55" s="104"/>
      <c r="BF55" s="103"/>
      <c r="BG55" s="102"/>
      <c r="BH55" s="239"/>
      <c r="BI55" s="32"/>
    </row>
    <row r="56" spans="1:61" s="20" customFormat="1" x14ac:dyDescent="0.15">
      <c r="A56" s="86"/>
      <c r="B56" s="65"/>
      <c r="C56" s="86"/>
      <c r="E56" s="31"/>
      <c r="F56" s="95"/>
      <c r="G56" s="31"/>
      <c r="H56" s="31"/>
      <c r="I56" s="95"/>
      <c r="J56" s="239"/>
      <c r="K56" s="32"/>
      <c r="L56" s="32"/>
      <c r="M56" s="239"/>
      <c r="N56" s="32"/>
      <c r="O56" s="32"/>
      <c r="P56" s="219"/>
      <c r="Q56" s="31"/>
      <c r="R56" s="32"/>
      <c r="S56" s="32"/>
      <c r="T56" s="219"/>
      <c r="U56" s="219"/>
      <c r="V56" s="226"/>
      <c r="W56" s="32"/>
      <c r="X56" s="32"/>
      <c r="Y56" s="239"/>
      <c r="Z56" s="32"/>
      <c r="AA56" s="239"/>
      <c r="AB56" s="32"/>
      <c r="AC56" s="32"/>
      <c r="AD56" s="32"/>
      <c r="AE56" s="32"/>
      <c r="AF56" s="239"/>
      <c r="AG56" s="104"/>
      <c r="AH56" s="103"/>
      <c r="AI56" s="103"/>
      <c r="AJ56" s="103"/>
      <c r="AK56" s="103"/>
      <c r="AL56" s="5"/>
      <c r="AM56" s="172"/>
      <c r="AN56" s="104"/>
      <c r="AO56" s="104"/>
      <c r="AP56" s="103"/>
      <c r="AQ56" s="102"/>
      <c r="AR56" s="104"/>
      <c r="AS56" s="104"/>
      <c r="AT56" s="103"/>
      <c r="AU56" s="102"/>
      <c r="AV56" s="104"/>
      <c r="AW56" s="104"/>
      <c r="AX56" s="103"/>
      <c r="AY56" s="102"/>
      <c r="AZ56" s="104"/>
      <c r="BA56" s="104"/>
      <c r="BB56" s="103"/>
      <c r="BC56" s="102"/>
      <c r="BD56" s="104"/>
      <c r="BE56" s="104"/>
      <c r="BF56" s="103"/>
      <c r="BG56" s="102"/>
      <c r="BH56" s="239"/>
      <c r="BI56" s="32"/>
    </row>
    <row r="57" spans="1:61" s="18" customFormat="1" x14ac:dyDescent="0.15">
      <c r="A57" s="86"/>
      <c r="B57" s="65"/>
      <c r="C57" s="86"/>
      <c r="E57" s="27"/>
      <c r="F57" s="93"/>
      <c r="G57" s="27"/>
      <c r="H57" s="27"/>
      <c r="I57" s="93"/>
      <c r="J57" s="239"/>
      <c r="K57" s="28"/>
      <c r="L57" s="28"/>
      <c r="M57" s="239"/>
      <c r="N57" s="28"/>
      <c r="O57" s="28"/>
      <c r="P57" s="215"/>
      <c r="Q57" s="27"/>
      <c r="R57" s="28"/>
      <c r="S57" s="28"/>
      <c r="T57" s="215"/>
      <c r="U57" s="215"/>
      <c r="V57" s="223"/>
      <c r="W57" s="28"/>
      <c r="X57" s="28"/>
      <c r="Y57" s="239"/>
      <c r="Z57" s="28"/>
      <c r="AA57" s="239"/>
      <c r="AB57" s="28"/>
      <c r="AC57" s="28"/>
      <c r="AD57" s="28"/>
      <c r="AE57" s="28"/>
      <c r="AF57" s="239"/>
      <c r="AG57" s="104"/>
      <c r="AH57" s="103"/>
      <c r="AI57" s="103"/>
      <c r="AJ57" s="103"/>
      <c r="AK57" s="103"/>
      <c r="AL57" s="5"/>
      <c r="AM57" s="172"/>
      <c r="AN57" s="104"/>
      <c r="AO57" s="104"/>
      <c r="AP57" s="103"/>
      <c r="AQ57" s="102"/>
      <c r="AR57" s="104"/>
      <c r="AS57" s="104"/>
      <c r="AT57" s="103"/>
      <c r="AU57" s="102"/>
      <c r="AV57" s="104"/>
      <c r="AW57" s="104"/>
      <c r="AX57" s="103"/>
      <c r="AY57" s="102"/>
      <c r="AZ57" s="104"/>
      <c r="BA57" s="104"/>
      <c r="BB57" s="103"/>
      <c r="BC57" s="102"/>
      <c r="BD57" s="104"/>
      <c r="BE57" s="104"/>
      <c r="BF57" s="103"/>
      <c r="BG57" s="102"/>
      <c r="BH57" s="239"/>
      <c r="BI57" s="28"/>
    </row>
    <row r="58" spans="1:61" s="18" customFormat="1" x14ac:dyDescent="0.15">
      <c r="A58" s="86"/>
      <c r="B58" s="65"/>
      <c r="C58" s="86"/>
      <c r="E58" s="27"/>
      <c r="F58" s="93"/>
      <c r="G58" s="27"/>
      <c r="H58" s="27"/>
      <c r="I58" s="93"/>
      <c r="J58" s="239"/>
      <c r="K58" s="28"/>
      <c r="L58" s="28"/>
      <c r="M58" s="239"/>
      <c r="N58" s="28"/>
      <c r="O58" s="28"/>
      <c r="P58" s="215"/>
      <c r="Q58" s="27"/>
      <c r="R58" s="28"/>
      <c r="S58" s="28"/>
      <c r="T58" s="215"/>
      <c r="U58" s="215"/>
      <c r="V58" s="223"/>
      <c r="W58" s="28"/>
      <c r="X58" s="28"/>
      <c r="Y58" s="239"/>
      <c r="Z58" s="28"/>
      <c r="AA58" s="239"/>
      <c r="AB58" s="28"/>
      <c r="AC58" s="28"/>
      <c r="AD58" s="28"/>
      <c r="AE58" s="28"/>
      <c r="AF58" s="239"/>
      <c r="AG58" s="104"/>
      <c r="AH58" s="103"/>
      <c r="AI58" s="103"/>
      <c r="AJ58" s="103"/>
      <c r="AK58" s="103"/>
      <c r="AL58" s="5"/>
      <c r="AM58" s="172"/>
      <c r="AN58" s="104"/>
      <c r="AO58" s="104"/>
      <c r="AP58" s="103"/>
      <c r="AQ58" s="102"/>
      <c r="AR58" s="104"/>
      <c r="AS58" s="104"/>
      <c r="AT58" s="103"/>
      <c r="AU58" s="102"/>
      <c r="AV58" s="104"/>
      <c r="AW58" s="104"/>
      <c r="AX58" s="103"/>
      <c r="AY58" s="102"/>
      <c r="AZ58" s="104"/>
      <c r="BA58" s="104"/>
      <c r="BB58" s="103"/>
      <c r="BC58" s="102"/>
      <c r="BD58" s="104"/>
      <c r="BE58" s="104"/>
      <c r="BF58" s="103"/>
      <c r="BG58" s="102"/>
      <c r="BH58" s="239"/>
      <c r="BI58" s="28"/>
    </row>
    <row r="59" spans="1:61" s="18" customFormat="1" x14ac:dyDescent="0.15">
      <c r="A59" s="86"/>
      <c r="B59" s="65"/>
      <c r="C59" s="86"/>
      <c r="E59" s="27"/>
      <c r="F59" s="93"/>
      <c r="G59" s="27"/>
      <c r="H59" s="27"/>
      <c r="I59" s="93"/>
      <c r="J59" s="239"/>
      <c r="K59" s="28"/>
      <c r="L59" s="28"/>
      <c r="M59" s="239"/>
      <c r="N59" s="28"/>
      <c r="O59" s="28"/>
      <c r="P59" s="215"/>
      <c r="Q59" s="27"/>
      <c r="R59" s="28"/>
      <c r="S59" s="28"/>
      <c r="T59" s="215"/>
      <c r="U59" s="215"/>
      <c r="V59" s="223"/>
      <c r="W59" s="28"/>
      <c r="X59" s="28"/>
      <c r="Y59" s="239"/>
      <c r="Z59" s="28"/>
      <c r="AA59" s="239"/>
      <c r="AB59" s="28"/>
      <c r="AC59" s="28"/>
      <c r="AD59" s="28"/>
      <c r="AE59" s="28"/>
      <c r="AF59" s="239"/>
      <c r="AG59" s="104"/>
      <c r="AH59" s="103"/>
      <c r="AI59" s="103"/>
      <c r="AJ59" s="103"/>
      <c r="AK59" s="103"/>
      <c r="AL59" s="5"/>
      <c r="AM59" s="172"/>
      <c r="AN59" s="104"/>
      <c r="AO59" s="104"/>
      <c r="AP59" s="103"/>
      <c r="AQ59" s="102"/>
      <c r="AR59" s="104"/>
      <c r="AS59" s="104"/>
      <c r="AT59" s="103"/>
      <c r="AU59" s="102"/>
      <c r="AV59" s="104"/>
      <c r="AW59" s="104"/>
      <c r="AX59" s="103"/>
      <c r="AY59" s="102"/>
      <c r="AZ59" s="104"/>
      <c r="BA59" s="104"/>
      <c r="BB59" s="103"/>
      <c r="BC59" s="102"/>
      <c r="BD59" s="104"/>
      <c r="BE59" s="104"/>
      <c r="BF59" s="103"/>
      <c r="BG59" s="102"/>
      <c r="BH59" s="239"/>
      <c r="BI59" s="28"/>
    </row>
    <row r="60" spans="1:61" s="18" customFormat="1" x14ac:dyDescent="0.15">
      <c r="A60" s="86"/>
      <c r="B60" s="65"/>
      <c r="C60" s="86"/>
      <c r="E60" s="27"/>
      <c r="F60" s="93"/>
      <c r="G60" s="27"/>
      <c r="H60" s="27"/>
      <c r="I60" s="93"/>
      <c r="J60" s="239"/>
      <c r="K60" s="28"/>
      <c r="L60" s="28"/>
      <c r="M60" s="239"/>
      <c r="N60" s="28"/>
      <c r="O60" s="28"/>
      <c r="P60" s="215"/>
      <c r="Q60" s="27"/>
      <c r="R60" s="28"/>
      <c r="S60" s="28"/>
      <c r="T60" s="215"/>
      <c r="U60" s="215"/>
      <c r="V60" s="223"/>
      <c r="W60" s="28"/>
      <c r="X60" s="28"/>
      <c r="Y60" s="239"/>
      <c r="Z60" s="28"/>
      <c r="AA60" s="239"/>
      <c r="AB60" s="28"/>
      <c r="AC60" s="28"/>
      <c r="AD60" s="28"/>
      <c r="AE60" s="28"/>
      <c r="AF60" s="239"/>
      <c r="AG60" s="104"/>
      <c r="AH60" s="103"/>
      <c r="AI60" s="103"/>
      <c r="AJ60" s="103"/>
      <c r="AK60" s="103"/>
      <c r="AL60" s="5"/>
      <c r="AM60" s="172"/>
      <c r="AN60" s="104"/>
      <c r="AO60" s="104"/>
      <c r="AP60" s="103"/>
      <c r="AQ60" s="102"/>
      <c r="AR60" s="104"/>
      <c r="AS60" s="104"/>
      <c r="AT60" s="103"/>
      <c r="AU60" s="102"/>
      <c r="AV60" s="104"/>
      <c r="AW60" s="104"/>
      <c r="AX60" s="103"/>
      <c r="AY60" s="102"/>
      <c r="AZ60" s="104"/>
      <c r="BA60" s="104"/>
      <c r="BB60" s="103"/>
      <c r="BC60" s="102"/>
      <c r="BD60" s="104"/>
      <c r="BE60" s="104"/>
      <c r="BF60" s="103"/>
      <c r="BG60" s="102"/>
      <c r="BH60" s="239"/>
      <c r="BI60" s="28"/>
    </row>
    <row r="61" spans="1:61" s="18" customFormat="1" x14ac:dyDescent="0.15">
      <c r="A61" s="86"/>
      <c r="B61" s="65"/>
      <c r="C61" s="86"/>
      <c r="E61" s="27"/>
      <c r="F61" s="93"/>
      <c r="G61" s="27"/>
      <c r="H61" s="27"/>
      <c r="I61" s="93"/>
      <c r="J61" s="239"/>
      <c r="K61" s="28"/>
      <c r="L61" s="28"/>
      <c r="M61" s="239"/>
      <c r="N61" s="28"/>
      <c r="O61" s="28"/>
      <c r="P61" s="215"/>
      <c r="Q61" s="27"/>
      <c r="R61" s="28"/>
      <c r="S61" s="28"/>
      <c r="T61" s="215"/>
      <c r="U61" s="215"/>
      <c r="V61" s="223"/>
      <c r="W61" s="28"/>
      <c r="X61" s="28"/>
      <c r="Y61" s="239"/>
      <c r="Z61" s="28"/>
      <c r="AA61" s="239"/>
      <c r="AB61" s="28"/>
      <c r="AC61" s="28"/>
      <c r="AD61" s="28"/>
      <c r="AE61" s="28"/>
      <c r="AF61" s="239"/>
      <c r="AG61" s="104"/>
      <c r="AH61" s="103"/>
      <c r="AI61" s="103"/>
      <c r="AJ61" s="103"/>
      <c r="AK61" s="103"/>
      <c r="AL61" s="5"/>
      <c r="AM61" s="172"/>
      <c r="AN61" s="104"/>
      <c r="AO61" s="104"/>
      <c r="AP61" s="103"/>
      <c r="AQ61" s="102"/>
      <c r="AR61" s="104"/>
      <c r="AS61" s="104"/>
      <c r="AT61" s="103"/>
      <c r="AU61" s="102"/>
      <c r="AV61" s="104"/>
      <c r="AW61" s="104"/>
      <c r="AX61" s="103"/>
      <c r="AY61" s="102"/>
      <c r="AZ61" s="104"/>
      <c r="BA61" s="104"/>
      <c r="BB61" s="103"/>
      <c r="BC61" s="102"/>
      <c r="BD61" s="104"/>
      <c r="BE61" s="104"/>
      <c r="BF61" s="103"/>
      <c r="BG61" s="102"/>
      <c r="BH61" s="239"/>
      <c r="BI61" s="28"/>
    </row>
    <row r="62" spans="1:61" s="18" customFormat="1" x14ac:dyDescent="0.15">
      <c r="A62" s="86"/>
      <c r="B62" s="65"/>
      <c r="C62" s="86"/>
      <c r="E62" s="27"/>
      <c r="F62" s="93"/>
      <c r="G62" s="27"/>
      <c r="H62" s="27"/>
      <c r="I62" s="93"/>
      <c r="J62" s="239"/>
      <c r="K62" s="28"/>
      <c r="L62" s="28"/>
      <c r="M62" s="239"/>
      <c r="N62" s="28"/>
      <c r="O62" s="28"/>
      <c r="P62" s="215"/>
      <c r="Q62" s="27"/>
      <c r="R62" s="28"/>
      <c r="S62" s="28"/>
      <c r="T62" s="215"/>
      <c r="U62" s="215"/>
      <c r="V62" s="223"/>
      <c r="W62" s="28"/>
      <c r="X62" s="28"/>
      <c r="Y62" s="239"/>
      <c r="Z62" s="28"/>
      <c r="AA62" s="239"/>
      <c r="AB62" s="28"/>
      <c r="AC62" s="28"/>
      <c r="AD62" s="28"/>
      <c r="AE62" s="28"/>
      <c r="AF62" s="239"/>
      <c r="AG62" s="104"/>
      <c r="AH62" s="103"/>
      <c r="AI62" s="103"/>
      <c r="AJ62" s="103"/>
      <c r="AK62" s="103"/>
      <c r="AL62" s="5"/>
      <c r="AM62" s="172"/>
      <c r="AN62" s="104"/>
      <c r="AO62" s="104"/>
      <c r="AP62" s="103"/>
      <c r="AQ62" s="102"/>
      <c r="AR62" s="104"/>
      <c r="AS62" s="104"/>
      <c r="AT62" s="103"/>
      <c r="AU62" s="102"/>
      <c r="AV62" s="104"/>
      <c r="AW62" s="104"/>
      <c r="AX62" s="103"/>
      <c r="AY62" s="102"/>
      <c r="AZ62" s="104"/>
      <c r="BA62" s="104"/>
      <c r="BB62" s="103"/>
      <c r="BC62" s="102"/>
      <c r="BD62" s="104"/>
      <c r="BE62" s="104"/>
      <c r="BF62" s="103"/>
      <c r="BG62" s="102"/>
      <c r="BH62" s="239"/>
      <c r="BI62" s="28"/>
    </row>
    <row r="63" spans="1:61" s="18" customFormat="1" x14ac:dyDescent="0.15">
      <c r="A63" s="86"/>
      <c r="B63" s="65"/>
      <c r="C63" s="86"/>
      <c r="E63" s="27"/>
      <c r="F63" s="93"/>
      <c r="G63" s="27"/>
      <c r="H63" s="27"/>
      <c r="I63" s="93"/>
      <c r="J63" s="239"/>
      <c r="K63" s="28"/>
      <c r="L63" s="28"/>
      <c r="M63" s="239"/>
      <c r="N63" s="28"/>
      <c r="O63" s="28"/>
      <c r="P63" s="215"/>
      <c r="Q63" s="27"/>
      <c r="R63" s="28"/>
      <c r="S63" s="28"/>
      <c r="T63" s="215"/>
      <c r="U63" s="215"/>
      <c r="V63" s="223"/>
      <c r="W63" s="28"/>
      <c r="X63" s="28"/>
      <c r="Y63" s="239"/>
      <c r="Z63" s="28"/>
      <c r="AA63" s="239"/>
      <c r="AB63" s="28"/>
      <c r="AC63" s="28"/>
      <c r="AD63" s="28"/>
      <c r="AE63" s="28"/>
      <c r="AF63" s="239"/>
      <c r="AG63" s="104"/>
      <c r="AH63" s="103"/>
      <c r="AI63" s="103"/>
      <c r="AJ63" s="103"/>
      <c r="AK63" s="103"/>
      <c r="AL63" s="5"/>
      <c r="AM63" s="172"/>
      <c r="AN63" s="104"/>
      <c r="AO63" s="104"/>
      <c r="AP63" s="103"/>
      <c r="AQ63" s="102"/>
      <c r="AR63" s="104"/>
      <c r="AS63" s="104"/>
      <c r="AT63" s="103"/>
      <c r="AU63" s="102"/>
      <c r="AV63" s="104"/>
      <c r="AW63" s="104"/>
      <c r="AX63" s="103"/>
      <c r="AY63" s="102"/>
      <c r="AZ63" s="104"/>
      <c r="BA63" s="104"/>
      <c r="BB63" s="103"/>
      <c r="BC63" s="102"/>
      <c r="BD63" s="104"/>
      <c r="BE63" s="104"/>
      <c r="BF63" s="103"/>
      <c r="BG63" s="102"/>
      <c r="BH63" s="239"/>
      <c r="BI63" s="28"/>
    </row>
    <row r="64" spans="1:61" s="18" customFormat="1" x14ac:dyDescent="0.15">
      <c r="A64" s="86"/>
      <c r="B64" s="65"/>
      <c r="C64" s="86"/>
      <c r="E64" s="27"/>
      <c r="F64" s="93"/>
      <c r="G64" s="27"/>
      <c r="H64" s="27"/>
      <c r="I64" s="93"/>
      <c r="J64" s="239"/>
      <c r="K64" s="28"/>
      <c r="L64" s="28"/>
      <c r="M64" s="239"/>
      <c r="N64" s="28"/>
      <c r="O64" s="28"/>
      <c r="P64" s="215"/>
      <c r="Q64" s="27"/>
      <c r="R64" s="28"/>
      <c r="S64" s="28"/>
      <c r="T64" s="215"/>
      <c r="U64" s="215"/>
      <c r="V64" s="223"/>
      <c r="W64" s="28"/>
      <c r="X64" s="28"/>
      <c r="Y64" s="239"/>
      <c r="Z64" s="28"/>
      <c r="AA64" s="239"/>
      <c r="AB64" s="28"/>
      <c r="AC64" s="28"/>
      <c r="AD64" s="28"/>
      <c r="AE64" s="28"/>
      <c r="AF64" s="239"/>
      <c r="AG64" s="104"/>
      <c r="AH64" s="103"/>
      <c r="AI64" s="103"/>
      <c r="AJ64" s="103"/>
      <c r="AK64" s="103"/>
      <c r="AL64" s="5"/>
      <c r="AM64" s="172"/>
      <c r="AN64" s="104"/>
      <c r="AO64" s="104"/>
      <c r="AP64" s="103"/>
      <c r="AQ64" s="102"/>
      <c r="AR64" s="104"/>
      <c r="AS64" s="104"/>
      <c r="AT64" s="103"/>
      <c r="AU64" s="102"/>
      <c r="AV64" s="104"/>
      <c r="AW64" s="104"/>
      <c r="AX64" s="103"/>
      <c r="AY64" s="102"/>
      <c r="AZ64" s="104"/>
      <c r="BA64" s="104"/>
      <c r="BB64" s="103"/>
      <c r="BC64" s="102"/>
      <c r="BD64" s="104"/>
      <c r="BE64" s="104"/>
      <c r="BF64" s="103"/>
      <c r="BG64" s="102"/>
      <c r="BH64" s="239"/>
      <c r="BI64" s="28"/>
    </row>
    <row r="65" spans="1:61" s="18" customFormat="1" x14ac:dyDescent="0.15">
      <c r="A65" s="86"/>
      <c r="B65" s="65"/>
      <c r="C65" s="86"/>
      <c r="E65" s="27"/>
      <c r="F65" s="93"/>
      <c r="G65" s="27"/>
      <c r="H65" s="27"/>
      <c r="I65" s="93"/>
      <c r="J65" s="239"/>
      <c r="K65" s="28"/>
      <c r="L65" s="28"/>
      <c r="M65" s="239"/>
      <c r="N65" s="28"/>
      <c r="O65" s="28"/>
      <c r="P65" s="215"/>
      <c r="Q65" s="27"/>
      <c r="R65" s="28"/>
      <c r="S65" s="28"/>
      <c r="T65" s="215"/>
      <c r="U65" s="215"/>
      <c r="V65" s="223"/>
      <c r="W65" s="28"/>
      <c r="X65" s="28"/>
      <c r="Y65" s="239"/>
      <c r="Z65" s="28"/>
      <c r="AA65" s="239"/>
      <c r="AB65" s="28"/>
      <c r="AC65" s="28"/>
      <c r="AD65" s="28"/>
      <c r="AE65" s="28"/>
      <c r="AF65" s="239"/>
      <c r="AG65" s="104"/>
      <c r="AH65" s="103"/>
      <c r="AI65" s="103"/>
      <c r="AJ65" s="103"/>
      <c r="AK65" s="103"/>
      <c r="AL65" s="5"/>
      <c r="AM65" s="172"/>
      <c r="AN65" s="104"/>
      <c r="AO65" s="104"/>
      <c r="AP65" s="103"/>
      <c r="AQ65" s="102"/>
      <c r="AR65" s="104"/>
      <c r="AS65" s="104"/>
      <c r="AT65" s="103"/>
      <c r="AU65" s="102"/>
      <c r="AV65" s="104"/>
      <c r="AW65" s="104"/>
      <c r="AX65" s="103"/>
      <c r="AY65" s="102"/>
      <c r="AZ65" s="104"/>
      <c r="BA65" s="104"/>
      <c r="BB65" s="103"/>
      <c r="BC65" s="102"/>
      <c r="BD65" s="104"/>
      <c r="BE65" s="104"/>
      <c r="BF65" s="103"/>
      <c r="BG65" s="102"/>
      <c r="BH65" s="239"/>
      <c r="BI65" s="28"/>
    </row>
    <row r="66" spans="1:61" s="18" customFormat="1" x14ac:dyDescent="0.15">
      <c r="A66" s="86"/>
      <c r="B66" s="65"/>
      <c r="C66" s="86"/>
      <c r="E66" s="27"/>
      <c r="F66" s="93"/>
      <c r="G66" s="27"/>
      <c r="H66" s="27"/>
      <c r="I66" s="93"/>
      <c r="J66" s="239"/>
      <c r="K66" s="28"/>
      <c r="L66" s="28"/>
      <c r="M66" s="239"/>
      <c r="N66" s="28"/>
      <c r="O66" s="28"/>
      <c r="P66" s="215"/>
      <c r="Q66" s="27"/>
      <c r="R66" s="28"/>
      <c r="S66" s="28"/>
      <c r="T66" s="215"/>
      <c r="U66" s="215"/>
      <c r="V66" s="223"/>
      <c r="W66" s="28"/>
      <c r="X66" s="28"/>
      <c r="Y66" s="239"/>
      <c r="Z66" s="28"/>
      <c r="AA66" s="239"/>
      <c r="AB66" s="28"/>
      <c r="AC66" s="28"/>
      <c r="AD66" s="28"/>
      <c r="AE66" s="28"/>
      <c r="AF66" s="239"/>
      <c r="AG66" s="104"/>
      <c r="AH66" s="103"/>
      <c r="AI66" s="103"/>
      <c r="AJ66" s="103"/>
      <c r="AK66" s="103"/>
      <c r="AL66" s="5"/>
      <c r="AM66" s="172"/>
      <c r="AN66" s="104"/>
      <c r="AO66" s="104"/>
      <c r="AP66" s="103"/>
      <c r="AQ66" s="102"/>
      <c r="AR66" s="104"/>
      <c r="AS66" s="104"/>
      <c r="AT66" s="103"/>
      <c r="AU66" s="102"/>
      <c r="AV66" s="104"/>
      <c r="AW66" s="104"/>
      <c r="AX66" s="103"/>
      <c r="AY66" s="102"/>
      <c r="AZ66" s="104"/>
      <c r="BA66" s="104"/>
      <c r="BB66" s="103"/>
      <c r="BC66" s="102"/>
      <c r="BD66" s="104"/>
      <c r="BE66" s="104"/>
      <c r="BF66" s="103"/>
      <c r="BG66" s="102"/>
      <c r="BH66" s="239"/>
      <c r="BI66" s="28"/>
    </row>
    <row r="67" spans="1:61" s="18" customFormat="1" x14ac:dyDescent="0.15">
      <c r="A67" s="86"/>
      <c r="B67" s="65"/>
      <c r="C67" s="86"/>
      <c r="E67" s="27"/>
      <c r="F67" s="93"/>
      <c r="G67" s="27"/>
      <c r="H67" s="27"/>
      <c r="I67" s="93"/>
      <c r="J67" s="239"/>
      <c r="K67" s="28"/>
      <c r="L67" s="28"/>
      <c r="M67" s="239"/>
      <c r="N67" s="28"/>
      <c r="O67" s="28"/>
      <c r="P67" s="215"/>
      <c r="Q67" s="27"/>
      <c r="R67" s="28"/>
      <c r="S67" s="28"/>
      <c r="T67" s="215"/>
      <c r="U67" s="215"/>
      <c r="V67" s="223"/>
      <c r="W67" s="28"/>
      <c r="X67" s="28"/>
      <c r="Y67" s="239"/>
      <c r="Z67" s="28"/>
      <c r="AA67" s="239"/>
      <c r="AB67" s="28"/>
      <c r="AC67" s="28"/>
      <c r="AD67" s="28"/>
      <c r="AE67" s="28"/>
      <c r="AF67" s="239"/>
      <c r="AG67" s="104"/>
      <c r="AH67" s="103"/>
      <c r="AI67" s="103"/>
      <c r="AJ67" s="103"/>
      <c r="AK67" s="103"/>
      <c r="AL67" s="5"/>
      <c r="AM67" s="172"/>
      <c r="AN67" s="104"/>
      <c r="AO67" s="104"/>
      <c r="AP67" s="103"/>
      <c r="AQ67" s="102"/>
      <c r="AR67" s="104"/>
      <c r="AS67" s="104"/>
      <c r="AT67" s="103"/>
      <c r="AU67" s="102"/>
      <c r="AV67" s="104"/>
      <c r="AW67" s="104"/>
      <c r="AX67" s="103"/>
      <c r="AY67" s="102"/>
      <c r="AZ67" s="104"/>
      <c r="BA67" s="104"/>
      <c r="BB67" s="103"/>
      <c r="BC67" s="102"/>
      <c r="BD67" s="104"/>
      <c r="BE67" s="104"/>
      <c r="BF67" s="103"/>
      <c r="BG67" s="102"/>
      <c r="BH67" s="239"/>
      <c r="BI67" s="28"/>
    </row>
    <row r="68" spans="1:61" s="18" customFormat="1" x14ac:dyDescent="0.15">
      <c r="A68" s="86"/>
      <c r="B68" s="65"/>
      <c r="C68" s="86"/>
      <c r="E68" s="27"/>
      <c r="F68" s="93"/>
      <c r="G68" s="27"/>
      <c r="H68" s="27"/>
      <c r="I68" s="93"/>
      <c r="J68" s="239"/>
      <c r="K68" s="28"/>
      <c r="L68" s="28"/>
      <c r="M68" s="239"/>
      <c r="N68" s="28"/>
      <c r="O68" s="28"/>
      <c r="P68" s="215"/>
      <c r="Q68" s="27"/>
      <c r="R68" s="28"/>
      <c r="S68" s="28"/>
      <c r="T68" s="215"/>
      <c r="U68" s="215"/>
      <c r="V68" s="223"/>
      <c r="W68" s="28"/>
      <c r="X68" s="28"/>
      <c r="Y68" s="239"/>
      <c r="Z68" s="28"/>
      <c r="AA68" s="239"/>
      <c r="AB68" s="28"/>
      <c r="AC68" s="28"/>
      <c r="AD68" s="28"/>
      <c r="AE68" s="28"/>
      <c r="AF68" s="239"/>
      <c r="AG68" s="104"/>
      <c r="AH68" s="103"/>
      <c r="AI68" s="103"/>
      <c r="AJ68" s="103"/>
      <c r="AK68" s="103"/>
      <c r="AL68" s="5"/>
      <c r="AM68" s="172"/>
      <c r="AN68" s="104"/>
      <c r="AO68" s="104"/>
      <c r="AP68" s="103"/>
      <c r="AQ68" s="102"/>
      <c r="AR68" s="104"/>
      <c r="AS68" s="104"/>
      <c r="AT68" s="103"/>
      <c r="AU68" s="102"/>
      <c r="AV68" s="104"/>
      <c r="AW68" s="104"/>
      <c r="AX68" s="103"/>
      <c r="AY68" s="102"/>
      <c r="AZ68" s="104"/>
      <c r="BA68" s="104"/>
      <c r="BB68" s="103"/>
      <c r="BC68" s="102"/>
      <c r="BD68" s="104"/>
      <c r="BE68" s="104"/>
      <c r="BF68" s="103"/>
      <c r="BG68" s="102"/>
      <c r="BH68" s="239"/>
      <c r="BI68" s="28"/>
    </row>
    <row r="69" spans="1:61" s="18" customFormat="1" x14ac:dyDescent="0.15">
      <c r="A69" s="86"/>
      <c r="B69" s="65"/>
      <c r="C69" s="86"/>
      <c r="E69" s="27"/>
      <c r="F69" s="93"/>
      <c r="G69" s="27"/>
      <c r="H69" s="27"/>
      <c r="I69" s="93"/>
      <c r="J69" s="239"/>
      <c r="K69" s="28"/>
      <c r="L69" s="28"/>
      <c r="M69" s="239"/>
      <c r="N69" s="28"/>
      <c r="O69" s="28"/>
      <c r="P69" s="215"/>
      <c r="Q69" s="27"/>
      <c r="R69" s="28"/>
      <c r="S69" s="28"/>
      <c r="T69" s="215"/>
      <c r="U69" s="215"/>
      <c r="V69" s="223"/>
      <c r="W69" s="28"/>
      <c r="X69" s="28"/>
      <c r="Y69" s="239"/>
      <c r="Z69" s="28"/>
      <c r="AA69" s="239"/>
      <c r="AB69" s="28"/>
      <c r="AC69" s="28"/>
      <c r="AD69" s="28"/>
      <c r="AE69" s="28"/>
      <c r="AF69" s="239"/>
      <c r="AG69" s="104"/>
      <c r="AH69" s="103"/>
      <c r="AI69" s="103"/>
      <c r="AJ69" s="103"/>
      <c r="AK69" s="103"/>
      <c r="AL69" s="5"/>
      <c r="AM69" s="172"/>
      <c r="AN69" s="104"/>
      <c r="AO69" s="104"/>
      <c r="AP69" s="103"/>
      <c r="AQ69" s="102"/>
      <c r="AR69" s="104"/>
      <c r="AS69" s="104"/>
      <c r="AT69" s="103"/>
      <c r="AU69" s="102"/>
      <c r="AV69" s="104"/>
      <c r="AW69" s="104"/>
      <c r="AX69" s="103"/>
      <c r="AY69" s="102"/>
      <c r="AZ69" s="104"/>
      <c r="BA69" s="104"/>
      <c r="BB69" s="103"/>
      <c r="BC69" s="102"/>
      <c r="BD69" s="104"/>
      <c r="BE69" s="104"/>
      <c r="BF69" s="103"/>
      <c r="BG69" s="102"/>
      <c r="BH69" s="239"/>
      <c r="BI69" s="28"/>
    </row>
    <row r="70" spans="1:61" s="18" customFormat="1" x14ac:dyDescent="0.15">
      <c r="A70" s="86"/>
      <c r="B70" s="65"/>
      <c r="C70" s="86"/>
      <c r="E70" s="27"/>
      <c r="F70" s="93"/>
      <c r="G70" s="27"/>
      <c r="H70" s="27"/>
      <c r="I70" s="93"/>
      <c r="J70" s="239"/>
      <c r="K70" s="28"/>
      <c r="L70" s="28"/>
      <c r="M70" s="239"/>
      <c r="N70" s="28"/>
      <c r="O70" s="28"/>
      <c r="P70" s="215"/>
      <c r="Q70" s="27"/>
      <c r="R70" s="28"/>
      <c r="S70" s="28"/>
      <c r="T70" s="215"/>
      <c r="U70" s="215"/>
      <c r="V70" s="223"/>
      <c r="W70" s="28"/>
      <c r="X70" s="28"/>
      <c r="Y70" s="239"/>
      <c r="Z70" s="28"/>
      <c r="AA70" s="239"/>
      <c r="AB70" s="28"/>
      <c r="AC70" s="28"/>
      <c r="AD70" s="28"/>
      <c r="AE70" s="28"/>
      <c r="AF70" s="239"/>
      <c r="AG70" s="104"/>
      <c r="AH70" s="103"/>
      <c r="AI70" s="103"/>
      <c r="AJ70" s="103"/>
      <c r="AK70" s="103"/>
      <c r="AL70" s="5"/>
      <c r="AM70" s="172"/>
      <c r="AN70" s="104"/>
      <c r="AO70" s="104"/>
      <c r="AP70" s="103"/>
      <c r="AQ70" s="102"/>
      <c r="AR70" s="104"/>
      <c r="AS70" s="104"/>
      <c r="AT70" s="103"/>
      <c r="AU70" s="102"/>
      <c r="AV70" s="104"/>
      <c r="AW70" s="104"/>
      <c r="AX70" s="103"/>
      <c r="AY70" s="102"/>
      <c r="AZ70" s="104"/>
      <c r="BA70" s="104"/>
      <c r="BB70" s="103"/>
      <c r="BC70" s="102"/>
      <c r="BD70" s="104"/>
      <c r="BE70" s="104"/>
      <c r="BF70" s="103"/>
      <c r="BG70" s="102"/>
      <c r="BH70" s="239"/>
      <c r="BI70" s="28"/>
    </row>
    <row r="71" spans="1:61" s="18" customFormat="1" x14ac:dyDescent="0.15">
      <c r="A71" s="86"/>
      <c r="B71" s="65"/>
      <c r="C71" s="86"/>
      <c r="E71" s="27"/>
      <c r="F71" s="93"/>
      <c r="G71" s="27"/>
      <c r="H71" s="27"/>
      <c r="I71" s="93"/>
      <c r="J71" s="239"/>
      <c r="K71" s="28"/>
      <c r="L71" s="28"/>
      <c r="M71" s="239"/>
      <c r="N71" s="28"/>
      <c r="O71" s="28"/>
      <c r="P71" s="215"/>
      <c r="Q71" s="27"/>
      <c r="R71" s="28"/>
      <c r="S71" s="28"/>
      <c r="T71" s="215"/>
      <c r="U71" s="215"/>
      <c r="V71" s="223"/>
      <c r="W71" s="28"/>
      <c r="X71" s="28"/>
      <c r="Y71" s="239"/>
      <c r="Z71" s="28"/>
      <c r="AA71" s="239"/>
      <c r="AB71" s="28"/>
      <c r="AC71" s="28"/>
      <c r="AD71" s="28"/>
      <c r="AE71" s="28"/>
      <c r="AF71" s="239"/>
      <c r="AG71" s="104"/>
      <c r="AH71" s="103"/>
      <c r="AI71" s="103"/>
      <c r="AJ71" s="103"/>
      <c r="AK71" s="103"/>
      <c r="AL71" s="5"/>
      <c r="AM71" s="172"/>
      <c r="AN71" s="104"/>
      <c r="AO71" s="104"/>
      <c r="AP71" s="103"/>
      <c r="AQ71" s="102"/>
      <c r="AR71" s="104"/>
      <c r="AS71" s="104"/>
      <c r="AT71" s="103"/>
      <c r="AU71" s="102"/>
      <c r="AV71" s="104"/>
      <c r="AW71" s="104"/>
      <c r="AX71" s="103"/>
      <c r="AY71" s="102"/>
      <c r="AZ71" s="104"/>
      <c r="BA71" s="104"/>
      <c r="BB71" s="103"/>
      <c r="BC71" s="102"/>
      <c r="BD71" s="104"/>
      <c r="BE71" s="104"/>
      <c r="BF71" s="103"/>
      <c r="BG71" s="102"/>
      <c r="BH71" s="239"/>
      <c r="BI71" s="28"/>
    </row>
    <row r="72" spans="1:61" s="18" customFormat="1" x14ac:dyDescent="0.15">
      <c r="A72" s="86"/>
      <c r="B72" s="65"/>
      <c r="C72" s="86"/>
      <c r="E72" s="27"/>
      <c r="F72" s="93"/>
      <c r="G72" s="27"/>
      <c r="H72" s="27"/>
      <c r="I72" s="93"/>
      <c r="J72" s="239"/>
      <c r="K72" s="28"/>
      <c r="L72" s="28"/>
      <c r="M72" s="239"/>
      <c r="N72" s="28"/>
      <c r="O72" s="28"/>
      <c r="P72" s="215"/>
      <c r="Q72" s="27"/>
      <c r="R72" s="28"/>
      <c r="S72" s="28"/>
      <c r="T72" s="215"/>
      <c r="U72" s="215"/>
      <c r="V72" s="223"/>
      <c r="W72" s="28"/>
      <c r="X72" s="28"/>
      <c r="Y72" s="239"/>
      <c r="Z72" s="28"/>
      <c r="AA72" s="239"/>
      <c r="AB72" s="28"/>
      <c r="AC72" s="28"/>
      <c r="AD72" s="28"/>
      <c r="AE72" s="28"/>
      <c r="AF72" s="239"/>
      <c r="AG72" s="104"/>
      <c r="AH72" s="103"/>
      <c r="AI72" s="103"/>
      <c r="AJ72" s="103"/>
      <c r="AK72" s="103"/>
      <c r="AL72" s="5"/>
      <c r="AM72" s="172"/>
      <c r="AN72" s="104"/>
      <c r="AO72" s="104"/>
      <c r="AP72" s="103"/>
      <c r="AQ72" s="102"/>
      <c r="AR72" s="104"/>
      <c r="AS72" s="104"/>
      <c r="AT72" s="103"/>
      <c r="AU72" s="102"/>
      <c r="AV72" s="104"/>
      <c r="AW72" s="104"/>
      <c r="AX72" s="103"/>
      <c r="AY72" s="102"/>
      <c r="AZ72" s="104"/>
      <c r="BA72" s="104"/>
      <c r="BB72" s="103"/>
      <c r="BC72" s="102"/>
      <c r="BD72" s="104"/>
      <c r="BE72" s="104"/>
      <c r="BF72" s="103"/>
      <c r="BG72" s="102"/>
      <c r="BH72" s="239"/>
      <c r="BI72" s="28"/>
    </row>
    <row r="73" spans="1:61" x14ac:dyDescent="0.15">
      <c r="A73" s="86"/>
      <c r="B73" s="65"/>
      <c r="C73" s="86"/>
      <c r="AL73" s="5"/>
    </row>
    <row r="74" spans="1:61" x14ac:dyDescent="0.15">
      <c r="A74" s="86"/>
      <c r="B74" s="65"/>
      <c r="C74" s="86"/>
      <c r="AL74" s="5"/>
    </row>
    <row r="75" spans="1:61" x14ac:dyDescent="0.15">
      <c r="A75" s="86"/>
      <c r="B75" s="65"/>
      <c r="C75" s="86"/>
      <c r="AL75" s="5"/>
    </row>
    <row r="76" spans="1:61" x14ac:dyDescent="0.15">
      <c r="A76" s="86"/>
      <c r="B76" s="65"/>
      <c r="C76" s="86"/>
      <c r="AL76" s="5"/>
    </row>
    <row r="77" spans="1:61" x14ac:dyDescent="0.15">
      <c r="A77" s="86"/>
      <c r="B77" s="65"/>
      <c r="C77" s="86"/>
      <c r="AL77" s="5"/>
    </row>
    <row r="78" spans="1:61" x14ac:dyDescent="0.15">
      <c r="A78" s="86"/>
      <c r="B78" s="65"/>
      <c r="C78" s="86"/>
      <c r="AL78" s="5"/>
    </row>
    <row r="79" spans="1:61" x14ac:dyDescent="0.15">
      <c r="A79" s="86"/>
      <c r="B79" s="65"/>
      <c r="C79" s="86"/>
      <c r="AL79" s="5"/>
    </row>
    <row r="80" spans="1:61" x14ac:dyDescent="0.15">
      <c r="A80" s="86"/>
      <c r="B80" s="65"/>
      <c r="C80" s="86"/>
      <c r="AL80" s="5"/>
    </row>
    <row r="81" spans="1:38" x14ac:dyDescent="0.15">
      <c r="A81" s="86"/>
      <c r="B81" s="65"/>
      <c r="C81" s="86"/>
      <c r="AL81" s="5"/>
    </row>
    <row r="82" spans="1:38" x14ac:dyDescent="0.15">
      <c r="A82" s="86"/>
      <c r="B82" s="65"/>
      <c r="C82" s="86"/>
      <c r="AL82" s="5"/>
    </row>
    <row r="83" spans="1:38" x14ac:dyDescent="0.15">
      <c r="A83" s="86"/>
      <c r="B83" s="65"/>
      <c r="C83" s="86"/>
      <c r="AL83" s="5"/>
    </row>
    <row r="84" spans="1:38" x14ac:dyDescent="0.15">
      <c r="A84" s="86"/>
      <c r="B84" s="65"/>
      <c r="C84" s="86"/>
      <c r="AL84" s="5"/>
    </row>
    <row r="85" spans="1:38" x14ac:dyDescent="0.15">
      <c r="A85" s="86"/>
      <c r="B85" s="65"/>
      <c r="C85" s="86"/>
      <c r="AL85" s="5"/>
    </row>
    <row r="86" spans="1:38" x14ac:dyDescent="0.15">
      <c r="A86" s="86"/>
      <c r="B86" s="65"/>
      <c r="C86" s="86"/>
      <c r="AL86" s="5"/>
    </row>
    <row r="87" spans="1:38" x14ac:dyDescent="0.15">
      <c r="A87" s="86"/>
      <c r="B87" s="65"/>
      <c r="C87" s="86"/>
      <c r="AL87" s="5"/>
    </row>
    <row r="88" spans="1:38" x14ac:dyDescent="0.15">
      <c r="A88" s="86"/>
      <c r="B88" s="65"/>
      <c r="C88" s="86"/>
      <c r="AL88" s="5"/>
    </row>
    <row r="89" spans="1:38" x14ac:dyDescent="0.15">
      <c r="A89" s="86"/>
      <c r="B89" s="65"/>
      <c r="C89" s="86"/>
      <c r="AL89" s="5"/>
    </row>
    <row r="90" spans="1:38" x14ac:dyDescent="0.15">
      <c r="A90" s="86"/>
      <c r="B90" s="65"/>
      <c r="C90" s="86"/>
      <c r="AL90" s="5"/>
    </row>
    <row r="91" spans="1:38" x14ac:dyDescent="0.15">
      <c r="A91" s="86"/>
      <c r="B91" s="65"/>
      <c r="C91" s="86"/>
      <c r="AL91" s="5"/>
    </row>
    <row r="92" spans="1:38" x14ac:dyDescent="0.15">
      <c r="A92" s="86"/>
      <c r="B92" s="65"/>
      <c r="C92" s="86"/>
      <c r="AL92" s="5"/>
    </row>
    <row r="93" spans="1:38" x14ac:dyDescent="0.15">
      <c r="A93" s="86"/>
      <c r="B93" s="65"/>
      <c r="C93" s="86"/>
      <c r="AL93" s="5"/>
    </row>
    <row r="94" spans="1:38" x14ac:dyDescent="0.15">
      <c r="A94" s="86"/>
      <c r="B94" s="65"/>
      <c r="C94" s="86"/>
      <c r="AL94" s="5"/>
    </row>
    <row r="95" spans="1:38" x14ac:dyDescent="0.15">
      <c r="A95" s="86"/>
      <c r="B95" s="65"/>
      <c r="C95" s="86"/>
      <c r="AL95" s="5"/>
    </row>
    <row r="96" spans="1:38" x14ac:dyDescent="0.15">
      <c r="A96" s="86"/>
      <c r="B96" s="65"/>
      <c r="C96" s="86"/>
      <c r="AL96" s="5"/>
    </row>
    <row r="97" spans="1:38" x14ac:dyDescent="0.15">
      <c r="A97" s="86"/>
      <c r="B97" s="65"/>
      <c r="C97" s="86"/>
      <c r="AL97" s="5"/>
    </row>
    <row r="98" spans="1:38" x14ac:dyDescent="0.15">
      <c r="A98" s="86"/>
      <c r="B98" s="65"/>
      <c r="C98" s="86"/>
      <c r="AL98" s="5"/>
    </row>
    <row r="99" spans="1:38" x14ac:dyDescent="0.15">
      <c r="A99" s="86"/>
      <c r="B99" s="65"/>
      <c r="C99" s="86"/>
      <c r="AL99" s="5"/>
    </row>
    <row r="100" spans="1:38" x14ac:dyDescent="0.15">
      <c r="A100" s="86"/>
      <c r="B100" s="65"/>
      <c r="C100" s="86"/>
      <c r="AL100" s="5"/>
    </row>
    <row r="101" spans="1:38" x14ac:dyDescent="0.15">
      <c r="A101" s="86"/>
      <c r="B101" s="65"/>
      <c r="C101" s="86"/>
      <c r="AL101" s="5"/>
    </row>
    <row r="102" spans="1:38" x14ac:dyDescent="0.15">
      <c r="A102" s="86"/>
      <c r="B102" s="65"/>
      <c r="C102" s="86"/>
      <c r="AL102" s="5"/>
    </row>
    <row r="103" spans="1:38" x14ac:dyDescent="0.15">
      <c r="A103" s="86"/>
      <c r="B103" s="65"/>
      <c r="C103" s="86"/>
      <c r="AL103" s="5"/>
    </row>
    <row r="104" spans="1:38" x14ac:dyDescent="0.15">
      <c r="A104" s="86"/>
      <c r="B104" s="65"/>
      <c r="C104" s="86"/>
      <c r="AL104" s="5"/>
    </row>
    <row r="105" spans="1:38" x14ac:dyDescent="0.15">
      <c r="A105" s="86"/>
      <c r="B105" s="65"/>
      <c r="C105" s="86"/>
      <c r="AL105" s="5"/>
    </row>
    <row r="106" spans="1:38" x14ac:dyDescent="0.15">
      <c r="A106" s="86"/>
      <c r="B106" s="65"/>
      <c r="C106" s="86"/>
      <c r="AL106" s="5"/>
    </row>
    <row r="107" spans="1:38" x14ac:dyDescent="0.15">
      <c r="A107" s="86"/>
      <c r="B107" s="65"/>
      <c r="C107" s="86"/>
      <c r="AL107" s="5"/>
    </row>
    <row r="108" spans="1:38" x14ac:dyDescent="0.15">
      <c r="A108" s="86"/>
      <c r="B108" s="65"/>
      <c r="C108" s="86"/>
      <c r="AL108" s="5"/>
    </row>
    <row r="109" spans="1:38" x14ac:dyDescent="0.15">
      <c r="A109" s="86"/>
      <c r="B109" s="65"/>
      <c r="C109" s="86"/>
      <c r="AL109" s="5"/>
    </row>
    <row r="110" spans="1:38" x14ac:dyDescent="0.15">
      <c r="A110" s="86"/>
      <c r="B110" s="65"/>
      <c r="C110" s="86"/>
      <c r="AL110" s="5"/>
    </row>
    <row r="111" spans="1:38" x14ac:dyDescent="0.15">
      <c r="A111" s="86"/>
      <c r="B111" s="65"/>
      <c r="C111" s="86"/>
      <c r="AL111" s="5"/>
    </row>
    <row r="112" spans="1:38" x14ac:dyDescent="0.15">
      <c r="A112" s="86"/>
      <c r="B112" s="65"/>
      <c r="C112" s="86"/>
      <c r="AL112" s="5"/>
    </row>
    <row r="113" spans="1:38" x14ac:dyDescent="0.15">
      <c r="A113" s="86"/>
      <c r="B113" s="65"/>
      <c r="C113" s="86"/>
      <c r="AL113" s="5"/>
    </row>
    <row r="114" spans="1:38" x14ac:dyDescent="0.15">
      <c r="A114" s="86"/>
      <c r="B114" s="65"/>
      <c r="C114" s="86"/>
      <c r="AL114" s="5"/>
    </row>
    <row r="115" spans="1:38" x14ac:dyDescent="0.15">
      <c r="A115" s="86"/>
      <c r="B115" s="65"/>
      <c r="C115" s="86"/>
      <c r="AL115" s="5"/>
    </row>
    <row r="116" spans="1:38" x14ac:dyDescent="0.15">
      <c r="A116" s="86"/>
      <c r="B116" s="65"/>
      <c r="C116" s="86"/>
      <c r="AL116" s="5"/>
    </row>
    <row r="117" spans="1:38" x14ac:dyDescent="0.15">
      <c r="A117" s="86"/>
      <c r="B117" s="65"/>
      <c r="C117" s="86"/>
      <c r="AL117" s="5"/>
    </row>
    <row r="118" spans="1:38" x14ac:dyDescent="0.15">
      <c r="A118" s="86"/>
      <c r="B118" s="65"/>
      <c r="C118" s="86"/>
      <c r="AL118" s="5"/>
    </row>
    <row r="119" spans="1:38" x14ac:dyDescent="0.15">
      <c r="A119" s="86"/>
      <c r="B119" s="65"/>
      <c r="C119" s="86"/>
      <c r="AL119" s="5"/>
    </row>
    <row r="120" spans="1:38" x14ac:dyDescent="0.15">
      <c r="A120" s="86"/>
      <c r="B120" s="65"/>
      <c r="C120" s="86"/>
      <c r="AL120" s="5"/>
    </row>
    <row r="121" spans="1:38" x14ac:dyDescent="0.15">
      <c r="A121" s="86"/>
      <c r="B121" s="65"/>
      <c r="C121" s="86"/>
      <c r="AL121" s="5"/>
    </row>
    <row r="122" spans="1:38" x14ac:dyDescent="0.15">
      <c r="A122" s="86"/>
      <c r="B122" s="65"/>
      <c r="C122" s="86"/>
      <c r="AL122" s="5"/>
    </row>
    <row r="123" spans="1:38" x14ac:dyDescent="0.15">
      <c r="A123" s="86"/>
      <c r="B123" s="65"/>
      <c r="C123" s="86"/>
      <c r="AL123" s="5"/>
    </row>
    <row r="124" spans="1:38" x14ac:dyDescent="0.15">
      <c r="A124" s="86"/>
      <c r="B124" s="65"/>
      <c r="C124" s="86"/>
      <c r="AL124" s="5"/>
    </row>
    <row r="125" spans="1:38" x14ac:dyDescent="0.15">
      <c r="A125" s="86"/>
      <c r="B125" s="65"/>
      <c r="C125" s="86"/>
      <c r="AL125" s="5"/>
    </row>
    <row r="126" spans="1:38" x14ac:dyDescent="0.15">
      <c r="A126" s="86"/>
      <c r="B126" s="65"/>
      <c r="C126" s="86"/>
      <c r="AL126" s="5"/>
    </row>
    <row r="127" spans="1:38" x14ac:dyDescent="0.15">
      <c r="A127" s="86"/>
      <c r="B127" s="65"/>
      <c r="C127" s="86"/>
      <c r="AL127" s="5"/>
    </row>
    <row r="128" spans="1:38" x14ac:dyDescent="0.15">
      <c r="A128" s="86"/>
      <c r="B128" s="65"/>
      <c r="C128" s="86"/>
      <c r="AL128" s="5"/>
    </row>
    <row r="129" spans="1:38" x14ac:dyDescent="0.15">
      <c r="A129" s="86"/>
      <c r="B129" s="65"/>
      <c r="C129" s="86"/>
      <c r="AL129" s="5"/>
    </row>
    <row r="130" spans="1:38" x14ac:dyDescent="0.15">
      <c r="A130" s="86"/>
      <c r="B130" s="65"/>
      <c r="C130" s="86"/>
      <c r="AL130" s="5"/>
    </row>
    <row r="131" spans="1:38" x14ac:dyDescent="0.15">
      <c r="A131" s="86"/>
      <c r="B131" s="65"/>
      <c r="C131" s="86"/>
      <c r="AL131" s="5"/>
    </row>
    <row r="132" spans="1:38" x14ac:dyDescent="0.15">
      <c r="A132" s="86"/>
      <c r="B132" s="65"/>
      <c r="C132" s="86"/>
      <c r="AL132" s="5"/>
    </row>
    <row r="133" spans="1:38" x14ac:dyDescent="0.15">
      <c r="A133" s="86"/>
      <c r="B133" s="65"/>
      <c r="C133" s="86"/>
      <c r="AL133" s="5"/>
    </row>
    <row r="134" spans="1:38" x14ac:dyDescent="0.15">
      <c r="A134" s="86"/>
      <c r="B134" s="65"/>
      <c r="C134" s="86"/>
      <c r="AL134" s="5"/>
    </row>
    <row r="135" spans="1:38" x14ac:dyDescent="0.15">
      <c r="A135" s="86"/>
      <c r="B135" s="65"/>
      <c r="C135" s="86"/>
      <c r="AL135" s="5"/>
    </row>
    <row r="136" spans="1:38" x14ac:dyDescent="0.15">
      <c r="A136" s="86"/>
      <c r="B136" s="65"/>
      <c r="C136" s="86"/>
      <c r="AL136" s="5"/>
    </row>
    <row r="137" spans="1:38" x14ac:dyDescent="0.15">
      <c r="A137" s="86"/>
      <c r="B137" s="65"/>
      <c r="C137" s="86"/>
      <c r="AL137" s="5"/>
    </row>
    <row r="138" spans="1:38" x14ac:dyDescent="0.15">
      <c r="A138" s="86"/>
      <c r="B138" s="65"/>
      <c r="C138" s="86"/>
      <c r="AL138" s="5"/>
    </row>
    <row r="139" spans="1:38" x14ac:dyDescent="0.15">
      <c r="A139" s="86"/>
      <c r="B139" s="65"/>
      <c r="C139" s="86"/>
      <c r="AL139" s="5"/>
    </row>
    <row r="140" spans="1:38" x14ac:dyDescent="0.15">
      <c r="A140" s="86"/>
      <c r="B140" s="65"/>
      <c r="C140" s="86"/>
      <c r="AL140" s="5"/>
    </row>
    <row r="141" spans="1:38" x14ac:dyDescent="0.15">
      <c r="A141" s="86"/>
      <c r="B141" s="65"/>
      <c r="C141" s="86"/>
      <c r="AL141" s="5"/>
    </row>
    <row r="142" spans="1:38" x14ac:dyDescent="0.15">
      <c r="A142" s="86"/>
      <c r="B142" s="65"/>
      <c r="C142" s="86"/>
      <c r="AL142" s="5"/>
    </row>
    <row r="143" spans="1:38" x14ac:dyDescent="0.15">
      <c r="A143" s="86"/>
      <c r="B143" s="65"/>
      <c r="C143" s="86"/>
      <c r="AL143" s="5"/>
    </row>
    <row r="144" spans="1:38" x14ac:dyDescent="0.15">
      <c r="A144" s="86"/>
      <c r="B144" s="65"/>
      <c r="C144" s="86"/>
      <c r="AL144" s="5"/>
    </row>
    <row r="145" spans="1:38" x14ac:dyDescent="0.15">
      <c r="A145" s="86"/>
      <c r="B145" s="65"/>
      <c r="C145" s="86"/>
      <c r="AL145" s="5"/>
    </row>
    <row r="146" spans="1:38" x14ac:dyDescent="0.15">
      <c r="A146" s="86"/>
      <c r="B146" s="65"/>
      <c r="C146" s="86"/>
      <c r="AL146" s="5"/>
    </row>
    <row r="147" spans="1:38" x14ac:dyDescent="0.15">
      <c r="A147" s="86"/>
      <c r="B147" s="65"/>
      <c r="C147" s="86"/>
      <c r="AL147" s="5"/>
    </row>
    <row r="148" spans="1:38" x14ac:dyDescent="0.15">
      <c r="A148" s="86"/>
      <c r="B148" s="65"/>
      <c r="C148" s="86"/>
      <c r="AL148" s="5"/>
    </row>
    <row r="149" spans="1:38" x14ac:dyDescent="0.15">
      <c r="A149" s="86"/>
      <c r="B149" s="65"/>
      <c r="C149" s="86"/>
      <c r="AL149" s="5"/>
    </row>
    <row r="150" spans="1:38" x14ac:dyDescent="0.15">
      <c r="A150" s="86"/>
      <c r="B150" s="65"/>
      <c r="C150" s="86"/>
      <c r="AL150" s="5"/>
    </row>
    <row r="151" spans="1:38" x14ac:dyDescent="0.15">
      <c r="A151" s="86"/>
      <c r="B151" s="65"/>
      <c r="C151" s="86"/>
      <c r="AL151" s="5"/>
    </row>
    <row r="152" spans="1:38" x14ac:dyDescent="0.15">
      <c r="A152" s="86"/>
      <c r="B152" s="65"/>
      <c r="C152" s="86"/>
      <c r="AL152" s="5"/>
    </row>
    <row r="153" spans="1:38" x14ac:dyDescent="0.15">
      <c r="A153" s="86"/>
      <c r="B153" s="65"/>
      <c r="C153" s="86"/>
      <c r="AL153" s="5"/>
    </row>
    <row r="154" spans="1:38" x14ac:dyDescent="0.15">
      <c r="A154" s="86"/>
      <c r="B154" s="65"/>
      <c r="C154" s="86"/>
      <c r="AL154" s="5"/>
    </row>
    <row r="155" spans="1:38" x14ac:dyDescent="0.15">
      <c r="A155" s="86"/>
      <c r="B155" s="65"/>
      <c r="C155" s="86"/>
      <c r="AL155" s="5"/>
    </row>
    <row r="156" spans="1:38" x14ac:dyDescent="0.15">
      <c r="A156" s="86"/>
      <c r="B156" s="65"/>
      <c r="C156" s="86"/>
      <c r="AL156" s="5"/>
    </row>
    <row r="157" spans="1:38" x14ac:dyDescent="0.15">
      <c r="AL157" s="5"/>
    </row>
    <row r="158" spans="1:38" x14ac:dyDescent="0.15">
      <c r="AL158" s="5"/>
    </row>
    <row r="159" spans="1:38" x14ac:dyDescent="0.15">
      <c r="AL159" s="5"/>
    </row>
    <row r="160" spans="1:38" x14ac:dyDescent="0.15">
      <c r="AL160" s="5"/>
    </row>
    <row r="161" spans="38:38" x14ac:dyDescent="0.15">
      <c r="AL161" s="5"/>
    </row>
    <row r="162" spans="38:38" x14ac:dyDescent="0.15">
      <c r="AL162" s="5"/>
    </row>
    <row r="163" spans="38:38" x14ac:dyDescent="0.15">
      <c r="AL163" s="5"/>
    </row>
    <row r="164" spans="38:38" x14ac:dyDescent="0.15">
      <c r="AL164" s="5"/>
    </row>
    <row r="165" spans="38:38" x14ac:dyDescent="0.15">
      <c r="AL165" s="5"/>
    </row>
    <row r="166" spans="38:38" x14ac:dyDescent="0.15">
      <c r="AL166" s="5"/>
    </row>
    <row r="167" spans="38:38" x14ac:dyDescent="0.15">
      <c r="AL167" s="5"/>
    </row>
    <row r="168" spans="38:38" x14ac:dyDescent="0.15">
      <c r="AL168" s="5"/>
    </row>
    <row r="169" spans="38:38" x14ac:dyDescent="0.15">
      <c r="AL169" s="5"/>
    </row>
    <row r="170" spans="38:38" x14ac:dyDescent="0.15">
      <c r="AL170" s="5"/>
    </row>
    <row r="171" spans="38:38" x14ac:dyDescent="0.15">
      <c r="AL171" s="5"/>
    </row>
    <row r="172" spans="38:38" x14ac:dyDescent="0.15">
      <c r="AL172" s="5"/>
    </row>
    <row r="173" spans="38:38" x14ac:dyDescent="0.15">
      <c r="AL173" s="5"/>
    </row>
    <row r="174" spans="38:38" x14ac:dyDescent="0.15">
      <c r="AL174" s="5"/>
    </row>
    <row r="175" spans="38:38" x14ac:dyDescent="0.15">
      <c r="AL175" s="5"/>
    </row>
    <row r="176" spans="38:38" x14ac:dyDescent="0.15">
      <c r="AL176" s="5"/>
    </row>
    <row r="177" spans="38:38" x14ac:dyDescent="0.15">
      <c r="AL177" s="5"/>
    </row>
    <row r="178" spans="38:38" x14ac:dyDescent="0.15">
      <c r="AL178" s="5"/>
    </row>
    <row r="179" spans="38:38" x14ac:dyDescent="0.15">
      <c r="AL179" s="5"/>
    </row>
    <row r="180" spans="38:38" x14ac:dyDescent="0.15">
      <c r="AL180" s="5"/>
    </row>
    <row r="181" spans="38:38" x14ac:dyDescent="0.15">
      <c r="AL181" s="5"/>
    </row>
    <row r="182" spans="38:38" x14ac:dyDescent="0.15">
      <c r="AL182" s="5"/>
    </row>
    <row r="183" spans="38:38" x14ac:dyDescent="0.15">
      <c r="AL183" s="5"/>
    </row>
    <row r="184" spans="38:38" x14ac:dyDescent="0.15">
      <c r="AL184" s="5"/>
    </row>
    <row r="185" spans="38:38" x14ac:dyDescent="0.15">
      <c r="AL185" s="5"/>
    </row>
    <row r="186" spans="38:38" x14ac:dyDescent="0.15">
      <c r="AL186" s="5"/>
    </row>
    <row r="187" spans="38:38" x14ac:dyDescent="0.15">
      <c r="AL187" s="5"/>
    </row>
    <row r="188" spans="38:38" x14ac:dyDescent="0.15">
      <c r="AL188" s="5"/>
    </row>
    <row r="189" spans="38:38" x14ac:dyDescent="0.15">
      <c r="AL189" s="5"/>
    </row>
    <row r="190" spans="38:38" x14ac:dyDescent="0.15">
      <c r="AL190" s="5"/>
    </row>
    <row r="191" spans="38:38" x14ac:dyDescent="0.15">
      <c r="AL191" s="5"/>
    </row>
    <row r="192" spans="38:38" x14ac:dyDescent="0.15">
      <c r="AL192" s="5"/>
    </row>
    <row r="193" spans="38:38" x14ac:dyDescent="0.15">
      <c r="AL193" s="5"/>
    </row>
    <row r="194" spans="38:38" x14ac:dyDescent="0.15">
      <c r="AL194" s="5"/>
    </row>
    <row r="195" spans="38:38" x14ac:dyDescent="0.15">
      <c r="AL195" s="5"/>
    </row>
    <row r="196" spans="38:38" x14ac:dyDescent="0.15">
      <c r="AL196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7" tint="0.79998168889431442"/>
  </sheetPr>
  <dimension ref="A1:H124"/>
  <sheetViews>
    <sheetView workbookViewId="0"/>
  </sheetViews>
  <sheetFormatPr defaultColWidth="9.125" defaultRowHeight="16.5" x14ac:dyDescent="0.3"/>
  <cols>
    <col min="1" max="1" width="11.75" style="3" bestFit="1" customWidth="1"/>
    <col min="2" max="2" width="3.25" style="4" customWidth="1"/>
    <col min="3" max="3" width="3.25" style="65" customWidth="1"/>
    <col min="4" max="5" width="2.75" style="4" bestFit="1" customWidth="1"/>
    <col min="6" max="6" width="3.875" style="4" customWidth="1"/>
    <col min="7" max="7" width="12.75" style="5" bestFit="1" customWidth="1"/>
    <col min="8" max="8" width="17.75" style="6" bestFit="1" customWidth="1"/>
    <col min="9" max="16384" width="9.125" style="7"/>
  </cols>
  <sheetData>
    <row r="1" spans="1:8" x14ac:dyDescent="0.3">
      <c r="A1" s="3" t="s">
        <v>59</v>
      </c>
      <c r="G1" s="5" t="s">
        <v>60</v>
      </c>
    </row>
    <row r="2" spans="1:8" x14ac:dyDescent="0.3">
      <c r="A2" s="3" t="s">
        <v>61</v>
      </c>
      <c r="G2" s="5" t="s">
        <v>61</v>
      </c>
    </row>
    <row r="3" spans="1:8" x14ac:dyDescent="0.3">
      <c r="A3" s="3" t="s">
        <v>360</v>
      </c>
      <c r="G3" s="5" t="s">
        <v>187</v>
      </c>
    </row>
    <row r="4" spans="1:8" s="80" customFormat="1" ht="83.25" thickBot="1" x14ac:dyDescent="0.2">
      <c r="A4" s="80" t="s">
        <v>92</v>
      </c>
      <c r="B4" s="81" t="s">
        <v>325</v>
      </c>
      <c r="C4" s="82" t="s">
        <v>308</v>
      </c>
      <c r="D4" s="81"/>
      <c r="E4" s="81"/>
      <c r="F4" s="81"/>
      <c r="G4" s="8" t="s">
        <v>113</v>
      </c>
      <c r="H4" s="81" t="s">
        <v>93</v>
      </c>
    </row>
    <row r="5" spans="1:8" s="1" customFormat="1" x14ac:dyDescent="0.3">
      <c r="A5" s="9">
        <f>B5*10000000+C5*1000000+D5*10000+E5*100+F5</f>
        <v>41000001</v>
      </c>
      <c r="B5" s="10">
        <v>4</v>
      </c>
      <c r="C5" s="64">
        <f>G5</f>
        <v>1</v>
      </c>
      <c r="D5" s="10">
        <v>0</v>
      </c>
      <c r="E5" s="10">
        <v>0</v>
      </c>
      <c r="F5" s="10">
        <v>1</v>
      </c>
      <c r="G5" s="11">
        <v>1</v>
      </c>
      <c r="H5" s="12"/>
    </row>
    <row r="6" spans="1:8" x14ac:dyDescent="0.3">
      <c r="A6" s="3">
        <f t="shared" ref="A6:A69" si="0">B6*10000000+C6*1000000+D6*10000+E6*100+F6</f>
        <v>41000002</v>
      </c>
      <c r="B6" s="4">
        <v>4</v>
      </c>
      <c r="C6" s="65">
        <f t="shared" ref="C6:C69" si="1">G6</f>
        <v>1</v>
      </c>
      <c r="D6" s="4">
        <v>0</v>
      </c>
      <c r="E6" s="4">
        <v>0</v>
      </c>
      <c r="F6" s="4">
        <v>2</v>
      </c>
      <c r="G6" s="5">
        <v>1</v>
      </c>
    </row>
    <row r="7" spans="1:8" x14ac:dyDescent="0.3">
      <c r="A7" s="3">
        <f t="shared" si="0"/>
        <v>41000003</v>
      </c>
      <c r="B7" s="4">
        <v>4</v>
      </c>
      <c r="C7" s="65">
        <f t="shared" si="1"/>
        <v>1</v>
      </c>
      <c r="D7" s="4">
        <v>0</v>
      </c>
      <c r="E7" s="4">
        <v>0</v>
      </c>
      <c r="F7" s="4">
        <v>3</v>
      </c>
      <c r="G7" s="5">
        <v>1</v>
      </c>
    </row>
    <row r="8" spans="1:8" x14ac:dyDescent="0.3">
      <c r="A8" s="3">
        <f t="shared" si="0"/>
        <v>41000004</v>
      </c>
      <c r="B8" s="4">
        <v>4</v>
      </c>
      <c r="C8" s="65">
        <f t="shared" si="1"/>
        <v>1</v>
      </c>
      <c r="D8" s="4">
        <v>0</v>
      </c>
      <c r="E8" s="4">
        <v>0</v>
      </c>
      <c r="F8" s="4">
        <v>4</v>
      </c>
      <c r="G8" s="5">
        <v>1</v>
      </c>
    </row>
    <row r="9" spans="1:8" x14ac:dyDescent="0.3">
      <c r="A9" s="3">
        <f t="shared" si="0"/>
        <v>41000005</v>
      </c>
      <c r="B9" s="4">
        <v>4</v>
      </c>
      <c r="C9" s="65">
        <f t="shared" si="1"/>
        <v>1</v>
      </c>
      <c r="D9" s="4">
        <v>0</v>
      </c>
      <c r="E9" s="4">
        <v>0</v>
      </c>
      <c r="F9" s="4">
        <v>5</v>
      </c>
      <c r="G9" s="5">
        <v>1</v>
      </c>
    </row>
    <row r="10" spans="1:8" x14ac:dyDescent="0.3">
      <c r="A10" s="3">
        <f t="shared" si="0"/>
        <v>41000006</v>
      </c>
      <c r="B10" s="4">
        <v>4</v>
      </c>
      <c r="C10" s="65">
        <f t="shared" si="1"/>
        <v>1</v>
      </c>
      <c r="D10" s="4">
        <v>0</v>
      </c>
      <c r="E10" s="4">
        <v>0</v>
      </c>
      <c r="F10" s="4">
        <v>6</v>
      </c>
      <c r="G10" s="5">
        <v>1</v>
      </c>
    </row>
    <row r="11" spans="1:8" x14ac:dyDescent="0.3">
      <c r="A11" s="3">
        <f t="shared" si="0"/>
        <v>41000007</v>
      </c>
      <c r="B11" s="4">
        <v>4</v>
      </c>
      <c r="C11" s="65">
        <f t="shared" si="1"/>
        <v>1</v>
      </c>
      <c r="D11" s="4">
        <v>0</v>
      </c>
      <c r="E11" s="4">
        <v>0</v>
      </c>
      <c r="F11" s="4">
        <v>7</v>
      </c>
      <c r="G11" s="5">
        <v>1</v>
      </c>
    </row>
    <row r="12" spans="1:8" x14ac:dyDescent="0.3">
      <c r="A12" s="3">
        <f t="shared" si="0"/>
        <v>41000008</v>
      </c>
      <c r="B12" s="4">
        <v>4</v>
      </c>
      <c r="C12" s="65">
        <f t="shared" si="1"/>
        <v>1</v>
      </c>
      <c r="D12" s="4">
        <v>0</v>
      </c>
      <c r="E12" s="4">
        <v>0</v>
      </c>
      <c r="F12" s="4">
        <v>8</v>
      </c>
      <c r="G12" s="5">
        <v>1</v>
      </c>
    </row>
    <row r="13" spans="1:8" x14ac:dyDescent="0.3">
      <c r="A13" s="3">
        <f t="shared" si="0"/>
        <v>41000009</v>
      </c>
      <c r="B13" s="4">
        <v>4</v>
      </c>
      <c r="C13" s="65">
        <f t="shared" si="1"/>
        <v>1</v>
      </c>
      <c r="D13" s="4">
        <v>0</v>
      </c>
      <c r="E13" s="4">
        <v>0</v>
      </c>
      <c r="F13" s="4">
        <v>9</v>
      </c>
      <c r="G13" s="5">
        <v>1</v>
      </c>
    </row>
    <row r="14" spans="1:8" x14ac:dyDescent="0.3">
      <c r="A14" s="3">
        <f t="shared" si="0"/>
        <v>41000010</v>
      </c>
      <c r="B14" s="4">
        <v>4</v>
      </c>
      <c r="C14" s="65">
        <f t="shared" si="1"/>
        <v>1</v>
      </c>
      <c r="D14" s="4">
        <v>0</v>
      </c>
      <c r="E14" s="4">
        <v>0</v>
      </c>
      <c r="F14" s="4">
        <v>10</v>
      </c>
      <c r="G14" s="5">
        <v>1</v>
      </c>
    </row>
    <row r="15" spans="1:8" x14ac:dyDescent="0.3">
      <c r="A15" s="3">
        <f t="shared" si="0"/>
        <v>41000011</v>
      </c>
      <c r="B15" s="4">
        <v>4</v>
      </c>
      <c r="C15" s="65">
        <f t="shared" si="1"/>
        <v>1</v>
      </c>
      <c r="D15" s="4">
        <v>0</v>
      </c>
      <c r="E15" s="4">
        <v>0</v>
      </c>
      <c r="F15" s="4">
        <v>11</v>
      </c>
      <c r="G15" s="5">
        <v>1</v>
      </c>
    </row>
    <row r="16" spans="1:8" x14ac:dyDescent="0.3">
      <c r="A16" s="3">
        <f t="shared" si="0"/>
        <v>41000012</v>
      </c>
      <c r="B16" s="4">
        <v>4</v>
      </c>
      <c r="C16" s="65">
        <f t="shared" si="1"/>
        <v>1</v>
      </c>
      <c r="D16" s="4">
        <v>0</v>
      </c>
      <c r="E16" s="4">
        <v>0</v>
      </c>
      <c r="F16" s="4">
        <v>12</v>
      </c>
      <c r="G16" s="5">
        <v>1</v>
      </c>
    </row>
    <row r="17" spans="1:7" x14ac:dyDescent="0.3">
      <c r="A17" s="3">
        <f t="shared" si="0"/>
        <v>41000013</v>
      </c>
      <c r="B17" s="4">
        <v>4</v>
      </c>
      <c r="C17" s="65">
        <f t="shared" si="1"/>
        <v>1</v>
      </c>
      <c r="D17" s="4">
        <v>0</v>
      </c>
      <c r="E17" s="4">
        <v>0</v>
      </c>
      <c r="F17" s="4">
        <v>13</v>
      </c>
      <c r="G17" s="5">
        <v>1</v>
      </c>
    </row>
    <row r="18" spans="1:7" x14ac:dyDescent="0.3">
      <c r="A18" s="3">
        <f t="shared" si="0"/>
        <v>41000014</v>
      </c>
      <c r="B18" s="4">
        <v>4</v>
      </c>
      <c r="C18" s="65">
        <f t="shared" si="1"/>
        <v>1</v>
      </c>
      <c r="D18" s="4">
        <v>0</v>
      </c>
      <c r="E18" s="4">
        <v>0</v>
      </c>
      <c r="F18" s="4">
        <v>14</v>
      </c>
      <c r="G18" s="5">
        <v>1</v>
      </c>
    </row>
    <row r="19" spans="1:7" x14ac:dyDescent="0.3">
      <c r="A19" s="3">
        <f t="shared" si="0"/>
        <v>41000015</v>
      </c>
      <c r="B19" s="4">
        <v>4</v>
      </c>
      <c r="C19" s="65">
        <f t="shared" si="1"/>
        <v>1</v>
      </c>
      <c r="D19" s="4">
        <v>0</v>
      </c>
      <c r="E19" s="4">
        <v>0</v>
      </c>
      <c r="F19" s="4">
        <v>15</v>
      </c>
      <c r="G19" s="5">
        <v>1</v>
      </c>
    </row>
    <row r="20" spans="1:7" x14ac:dyDescent="0.3">
      <c r="A20" s="3">
        <f t="shared" si="0"/>
        <v>41000016</v>
      </c>
      <c r="B20" s="4">
        <v>4</v>
      </c>
      <c r="C20" s="65">
        <f t="shared" si="1"/>
        <v>1</v>
      </c>
      <c r="D20" s="4">
        <v>0</v>
      </c>
      <c r="E20" s="4">
        <v>0</v>
      </c>
      <c r="F20" s="4">
        <v>16</v>
      </c>
      <c r="G20" s="5">
        <v>1</v>
      </c>
    </row>
    <row r="21" spans="1:7" x14ac:dyDescent="0.3">
      <c r="A21" s="3">
        <f t="shared" si="0"/>
        <v>41000017</v>
      </c>
      <c r="B21" s="4">
        <v>4</v>
      </c>
      <c r="C21" s="65">
        <f t="shared" si="1"/>
        <v>1</v>
      </c>
      <c r="D21" s="4">
        <v>0</v>
      </c>
      <c r="E21" s="4">
        <v>0</v>
      </c>
      <c r="F21" s="4">
        <v>17</v>
      </c>
      <c r="G21" s="5">
        <v>1</v>
      </c>
    </row>
    <row r="22" spans="1:7" x14ac:dyDescent="0.3">
      <c r="A22" s="3">
        <f t="shared" si="0"/>
        <v>41000018</v>
      </c>
      <c r="B22" s="4">
        <v>4</v>
      </c>
      <c r="C22" s="65">
        <f t="shared" si="1"/>
        <v>1</v>
      </c>
      <c r="D22" s="4">
        <v>0</v>
      </c>
      <c r="E22" s="4">
        <v>0</v>
      </c>
      <c r="F22" s="4">
        <v>18</v>
      </c>
      <c r="G22" s="5">
        <v>1</v>
      </c>
    </row>
    <row r="23" spans="1:7" x14ac:dyDescent="0.3">
      <c r="A23" s="3">
        <f t="shared" si="0"/>
        <v>41000019</v>
      </c>
      <c r="B23" s="4">
        <v>4</v>
      </c>
      <c r="C23" s="65">
        <f t="shared" si="1"/>
        <v>1</v>
      </c>
      <c r="D23" s="4">
        <v>0</v>
      </c>
      <c r="E23" s="4">
        <v>0</v>
      </c>
      <c r="F23" s="4">
        <v>19</v>
      </c>
      <c r="G23" s="5">
        <v>1</v>
      </c>
    </row>
    <row r="24" spans="1:7" x14ac:dyDescent="0.3">
      <c r="A24" s="3">
        <f t="shared" si="0"/>
        <v>41000020</v>
      </c>
      <c r="B24" s="4">
        <v>4</v>
      </c>
      <c r="C24" s="65">
        <f t="shared" si="1"/>
        <v>1</v>
      </c>
      <c r="D24" s="4">
        <v>0</v>
      </c>
      <c r="E24" s="4">
        <v>0</v>
      </c>
      <c r="F24" s="4">
        <v>20</v>
      </c>
      <c r="G24" s="5">
        <v>1</v>
      </c>
    </row>
    <row r="25" spans="1:7" x14ac:dyDescent="0.3">
      <c r="A25" s="3">
        <f t="shared" si="0"/>
        <v>41000021</v>
      </c>
      <c r="B25" s="4">
        <v>4</v>
      </c>
      <c r="C25" s="65">
        <f t="shared" si="1"/>
        <v>1</v>
      </c>
      <c r="D25" s="4">
        <v>0</v>
      </c>
      <c r="E25" s="4">
        <v>0</v>
      </c>
      <c r="F25" s="4">
        <v>21</v>
      </c>
      <c r="G25" s="5">
        <v>1</v>
      </c>
    </row>
    <row r="26" spans="1:7" x14ac:dyDescent="0.3">
      <c r="A26" s="3">
        <f t="shared" si="0"/>
        <v>41000022</v>
      </c>
      <c r="B26" s="4">
        <v>4</v>
      </c>
      <c r="C26" s="65">
        <f t="shared" si="1"/>
        <v>1</v>
      </c>
      <c r="D26" s="4">
        <v>0</v>
      </c>
      <c r="E26" s="4">
        <v>0</v>
      </c>
      <c r="F26" s="4">
        <v>22</v>
      </c>
      <c r="G26" s="5">
        <v>1</v>
      </c>
    </row>
    <row r="27" spans="1:7" x14ac:dyDescent="0.3">
      <c r="A27" s="3">
        <f t="shared" si="0"/>
        <v>41000023</v>
      </c>
      <c r="B27" s="4">
        <v>4</v>
      </c>
      <c r="C27" s="65">
        <f t="shared" si="1"/>
        <v>1</v>
      </c>
      <c r="D27" s="4">
        <v>0</v>
      </c>
      <c r="E27" s="4">
        <v>0</v>
      </c>
      <c r="F27" s="4">
        <v>23</v>
      </c>
      <c r="G27" s="5">
        <v>1</v>
      </c>
    </row>
    <row r="28" spans="1:7" x14ac:dyDescent="0.3">
      <c r="A28" s="3">
        <f t="shared" si="0"/>
        <v>41000024</v>
      </c>
      <c r="B28" s="4">
        <v>4</v>
      </c>
      <c r="C28" s="65">
        <f t="shared" si="1"/>
        <v>1</v>
      </c>
      <c r="D28" s="4">
        <v>0</v>
      </c>
      <c r="E28" s="4">
        <v>0</v>
      </c>
      <c r="F28" s="4">
        <v>24</v>
      </c>
      <c r="G28" s="5">
        <v>1</v>
      </c>
    </row>
    <row r="29" spans="1:7" x14ac:dyDescent="0.3">
      <c r="A29" s="3">
        <f t="shared" si="0"/>
        <v>41000025</v>
      </c>
      <c r="B29" s="4">
        <v>4</v>
      </c>
      <c r="C29" s="65">
        <f t="shared" si="1"/>
        <v>1</v>
      </c>
      <c r="D29" s="4">
        <v>0</v>
      </c>
      <c r="E29" s="4">
        <v>0</v>
      </c>
      <c r="F29" s="4">
        <v>25</v>
      </c>
      <c r="G29" s="5">
        <v>1</v>
      </c>
    </row>
    <row r="30" spans="1:7" x14ac:dyDescent="0.3">
      <c r="A30" s="3">
        <f t="shared" si="0"/>
        <v>41000026</v>
      </c>
      <c r="B30" s="4">
        <v>4</v>
      </c>
      <c r="C30" s="65">
        <f t="shared" si="1"/>
        <v>1</v>
      </c>
      <c r="D30" s="4">
        <v>0</v>
      </c>
      <c r="E30" s="4">
        <v>0</v>
      </c>
      <c r="F30" s="4">
        <v>26</v>
      </c>
      <c r="G30" s="5">
        <v>1</v>
      </c>
    </row>
    <row r="31" spans="1:7" x14ac:dyDescent="0.3">
      <c r="A31" s="3">
        <f t="shared" si="0"/>
        <v>41000027</v>
      </c>
      <c r="B31" s="4">
        <v>4</v>
      </c>
      <c r="C31" s="65">
        <f t="shared" si="1"/>
        <v>1</v>
      </c>
      <c r="D31" s="4">
        <v>0</v>
      </c>
      <c r="E31" s="4">
        <v>0</v>
      </c>
      <c r="F31" s="4">
        <v>27</v>
      </c>
      <c r="G31" s="5">
        <v>1</v>
      </c>
    </row>
    <row r="32" spans="1:7" x14ac:dyDescent="0.3">
      <c r="A32" s="3">
        <f t="shared" si="0"/>
        <v>41000028</v>
      </c>
      <c r="B32" s="4">
        <v>4</v>
      </c>
      <c r="C32" s="65">
        <f t="shared" si="1"/>
        <v>1</v>
      </c>
      <c r="D32" s="4">
        <v>0</v>
      </c>
      <c r="E32" s="4">
        <v>0</v>
      </c>
      <c r="F32" s="4">
        <v>28</v>
      </c>
      <c r="G32" s="5">
        <v>1</v>
      </c>
    </row>
    <row r="33" spans="1:8" x14ac:dyDescent="0.3">
      <c r="A33" s="3">
        <f t="shared" si="0"/>
        <v>41000029</v>
      </c>
      <c r="B33" s="4">
        <v>4</v>
      </c>
      <c r="C33" s="65">
        <f t="shared" si="1"/>
        <v>1</v>
      </c>
      <c r="D33" s="4">
        <v>0</v>
      </c>
      <c r="E33" s="4">
        <v>0</v>
      </c>
      <c r="F33" s="4">
        <v>29</v>
      </c>
      <c r="G33" s="5">
        <v>1</v>
      </c>
    </row>
    <row r="34" spans="1:8" ht="17.25" thickBot="1" x14ac:dyDescent="0.35">
      <c r="A34" s="3">
        <f t="shared" si="0"/>
        <v>41000030</v>
      </c>
      <c r="B34" s="4">
        <v>4</v>
      </c>
      <c r="C34" s="65">
        <f t="shared" si="1"/>
        <v>1</v>
      </c>
      <c r="D34" s="4">
        <v>0</v>
      </c>
      <c r="E34" s="4">
        <v>0</v>
      </c>
      <c r="F34" s="4">
        <v>30</v>
      </c>
      <c r="G34" s="5">
        <v>1</v>
      </c>
    </row>
    <row r="35" spans="1:8" s="1" customFormat="1" x14ac:dyDescent="0.3">
      <c r="A35" s="9">
        <f t="shared" si="0"/>
        <v>42000001</v>
      </c>
      <c r="B35" s="10">
        <v>4</v>
      </c>
      <c r="C35" s="64">
        <f t="shared" si="1"/>
        <v>2</v>
      </c>
      <c r="D35" s="10">
        <v>0</v>
      </c>
      <c r="E35" s="10">
        <v>0</v>
      </c>
      <c r="F35" s="10">
        <v>1</v>
      </c>
      <c r="G35" s="11">
        <v>2</v>
      </c>
      <c r="H35" s="12"/>
    </row>
    <row r="36" spans="1:8" x14ac:dyDescent="0.3">
      <c r="A36" s="3">
        <f t="shared" si="0"/>
        <v>42000002</v>
      </c>
      <c r="B36" s="4">
        <v>4</v>
      </c>
      <c r="C36" s="65">
        <f t="shared" si="1"/>
        <v>2</v>
      </c>
      <c r="D36" s="4">
        <v>0</v>
      </c>
      <c r="E36" s="4">
        <v>0</v>
      </c>
      <c r="F36" s="4">
        <v>2</v>
      </c>
      <c r="G36" s="5">
        <v>2</v>
      </c>
    </row>
    <row r="37" spans="1:8" x14ac:dyDescent="0.3">
      <c r="A37" s="3">
        <f t="shared" si="0"/>
        <v>42000003</v>
      </c>
      <c r="B37" s="4">
        <v>4</v>
      </c>
      <c r="C37" s="65">
        <f t="shared" si="1"/>
        <v>2</v>
      </c>
      <c r="D37" s="4">
        <v>0</v>
      </c>
      <c r="E37" s="4">
        <v>0</v>
      </c>
      <c r="F37" s="4">
        <v>3</v>
      </c>
      <c r="G37" s="5">
        <v>2</v>
      </c>
    </row>
    <row r="38" spans="1:8" x14ac:dyDescent="0.3">
      <c r="A38" s="3">
        <f t="shared" si="0"/>
        <v>42000004</v>
      </c>
      <c r="B38" s="4">
        <v>4</v>
      </c>
      <c r="C38" s="65">
        <f t="shared" si="1"/>
        <v>2</v>
      </c>
      <c r="D38" s="4">
        <v>0</v>
      </c>
      <c r="E38" s="4">
        <v>0</v>
      </c>
      <c r="F38" s="4">
        <v>4</v>
      </c>
      <c r="G38" s="5">
        <v>2</v>
      </c>
    </row>
    <row r="39" spans="1:8" x14ac:dyDescent="0.3">
      <c r="A39" s="3">
        <f t="shared" si="0"/>
        <v>42000005</v>
      </c>
      <c r="B39" s="4">
        <v>4</v>
      </c>
      <c r="C39" s="65">
        <f t="shared" si="1"/>
        <v>2</v>
      </c>
      <c r="D39" s="4">
        <v>0</v>
      </c>
      <c r="E39" s="4">
        <v>0</v>
      </c>
      <c r="F39" s="4">
        <v>5</v>
      </c>
      <c r="G39" s="5">
        <v>2</v>
      </c>
    </row>
    <row r="40" spans="1:8" x14ac:dyDescent="0.3">
      <c r="A40" s="3">
        <f t="shared" si="0"/>
        <v>42000006</v>
      </c>
      <c r="B40" s="4">
        <v>4</v>
      </c>
      <c r="C40" s="65">
        <f t="shared" si="1"/>
        <v>2</v>
      </c>
      <c r="D40" s="4">
        <v>0</v>
      </c>
      <c r="E40" s="4">
        <v>0</v>
      </c>
      <c r="F40" s="4">
        <v>6</v>
      </c>
      <c r="G40" s="5">
        <v>2</v>
      </c>
    </row>
    <row r="41" spans="1:8" x14ac:dyDescent="0.3">
      <c r="A41" s="3">
        <f t="shared" si="0"/>
        <v>42000007</v>
      </c>
      <c r="B41" s="4">
        <v>4</v>
      </c>
      <c r="C41" s="65">
        <f t="shared" si="1"/>
        <v>2</v>
      </c>
      <c r="D41" s="4">
        <v>0</v>
      </c>
      <c r="E41" s="4">
        <v>0</v>
      </c>
      <c r="F41" s="4">
        <v>7</v>
      </c>
      <c r="G41" s="5">
        <v>2</v>
      </c>
    </row>
    <row r="42" spans="1:8" x14ac:dyDescent="0.3">
      <c r="A42" s="3">
        <f t="shared" si="0"/>
        <v>42000008</v>
      </c>
      <c r="B42" s="4">
        <v>4</v>
      </c>
      <c r="C42" s="65">
        <f t="shared" si="1"/>
        <v>2</v>
      </c>
      <c r="D42" s="4">
        <v>0</v>
      </c>
      <c r="E42" s="4">
        <v>0</v>
      </c>
      <c r="F42" s="4">
        <v>8</v>
      </c>
      <c r="G42" s="5">
        <v>2</v>
      </c>
    </row>
    <row r="43" spans="1:8" x14ac:dyDescent="0.3">
      <c r="A43" s="3">
        <f t="shared" si="0"/>
        <v>42000009</v>
      </c>
      <c r="B43" s="4">
        <v>4</v>
      </c>
      <c r="C43" s="65">
        <f t="shared" si="1"/>
        <v>2</v>
      </c>
      <c r="D43" s="4">
        <v>0</v>
      </c>
      <c r="E43" s="4">
        <v>0</v>
      </c>
      <c r="F43" s="4">
        <v>9</v>
      </c>
      <c r="G43" s="5">
        <v>2</v>
      </c>
    </row>
    <row r="44" spans="1:8" x14ac:dyDescent="0.3">
      <c r="A44" s="3">
        <f t="shared" si="0"/>
        <v>42000010</v>
      </c>
      <c r="B44" s="4">
        <v>4</v>
      </c>
      <c r="C44" s="65">
        <f t="shared" si="1"/>
        <v>2</v>
      </c>
      <c r="D44" s="4">
        <v>0</v>
      </c>
      <c r="E44" s="4">
        <v>0</v>
      </c>
      <c r="F44" s="4">
        <v>10</v>
      </c>
      <c r="G44" s="5">
        <v>2</v>
      </c>
    </row>
    <row r="45" spans="1:8" x14ac:dyDescent="0.3">
      <c r="A45" s="3">
        <f t="shared" si="0"/>
        <v>42000011</v>
      </c>
      <c r="B45" s="4">
        <v>4</v>
      </c>
      <c r="C45" s="65">
        <f t="shared" si="1"/>
        <v>2</v>
      </c>
      <c r="D45" s="4">
        <v>0</v>
      </c>
      <c r="E45" s="4">
        <v>0</v>
      </c>
      <c r="F45" s="4">
        <v>11</v>
      </c>
      <c r="G45" s="5">
        <v>2</v>
      </c>
    </row>
    <row r="46" spans="1:8" x14ac:dyDescent="0.3">
      <c r="A46" s="3">
        <f t="shared" si="0"/>
        <v>42000012</v>
      </c>
      <c r="B46" s="4">
        <v>4</v>
      </c>
      <c r="C46" s="65">
        <f t="shared" si="1"/>
        <v>2</v>
      </c>
      <c r="D46" s="4">
        <v>0</v>
      </c>
      <c r="E46" s="4">
        <v>0</v>
      </c>
      <c r="F46" s="4">
        <v>12</v>
      </c>
      <c r="G46" s="5">
        <v>2</v>
      </c>
    </row>
    <row r="47" spans="1:8" x14ac:dyDescent="0.3">
      <c r="A47" s="3">
        <f t="shared" si="0"/>
        <v>42000013</v>
      </c>
      <c r="B47" s="4">
        <v>4</v>
      </c>
      <c r="C47" s="65">
        <f t="shared" si="1"/>
        <v>2</v>
      </c>
      <c r="D47" s="4">
        <v>0</v>
      </c>
      <c r="E47" s="4">
        <v>0</v>
      </c>
      <c r="F47" s="4">
        <v>13</v>
      </c>
      <c r="G47" s="5">
        <v>2</v>
      </c>
    </row>
    <row r="48" spans="1:8" x14ac:dyDescent="0.3">
      <c r="A48" s="3">
        <f t="shared" si="0"/>
        <v>42000014</v>
      </c>
      <c r="B48" s="4">
        <v>4</v>
      </c>
      <c r="C48" s="65">
        <f t="shared" si="1"/>
        <v>2</v>
      </c>
      <c r="D48" s="4">
        <v>0</v>
      </c>
      <c r="E48" s="4">
        <v>0</v>
      </c>
      <c r="F48" s="4">
        <v>14</v>
      </c>
      <c r="G48" s="5">
        <v>2</v>
      </c>
    </row>
    <row r="49" spans="1:8" x14ac:dyDescent="0.3">
      <c r="A49" s="3">
        <f t="shared" si="0"/>
        <v>42000015</v>
      </c>
      <c r="B49" s="4">
        <v>4</v>
      </c>
      <c r="C49" s="65">
        <f t="shared" si="1"/>
        <v>2</v>
      </c>
      <c r="D49" s="4">
        <v>0</v>
      </c>
      <c r="E49" s="4">
        <v>0</v>
      </c>
      <c r="F49" s="4">
        <v>15</v>
      </c>
      <c r="G49" s="5">
        <v>2</v>
      </c>
    </row>
    <row r="50" spans="1:8" x14ac:dyDescent="0.3">
      <c r="A50" s="3">
        <f t="shared" si="0"/>
        <v>42000016</v>
      </c>
      <c r="B50" s="4">
        <v>4</v>
      </c>
      <c r="C50" s="65">
        <f t="shared" si="1"/>
        <v>2</v>
      </c>
      <c r="D50" s="4">
        <v>0</v>
      </c>
      <c r="E50" s="4">
        <v>0</v>
      </c>
      <c r="F50" s="4">
        <v>16</v>
      </c>
      <c r="G50" s="5">
        <v>2</v>
      </c>
    </row>
    <row r="51" spans="1:8" x14ac:dyDescent="0.3">
      <c r="A51" s="3">
        <f t="shared" si="0"/>
        <v>42000017</v>
      </c>
      <c r="B51" s="4">
        <v>4</v>
      </c>
      <c r="C51" s="65">
        <f t="shared" si="1"/>
        <v>2</v>
      </c>
      <c r="D51" s="4">
        <v>0</v>
      </c>
      <c r="E51" s="4">
        <v>0</v>
      </c>
      <c r="F51" s="4">
        <v>17</v>
      </c>
      <c r="G51" s="5">
        <v>2</v>
      </c>
    </row>
    <row r="52" spans="1:8" x14ac:dyDescent="0.3">
      <c r="A52" s="3">
        <f t="shared" si="0"/>
        <v>42000018</v>
      </c>
      <c r="B52" s="4">
        <v>4</v>
      </c>
      <c r="C52" s="65">
        <f t="shared" si="1"/>
        <v>2</v>
      </c>
      <c r="D52" s="4">
        <v>0</v>
      </c>
      <c r="E52" s="4">
        <v>0</v>
      </c>
      <c r="F52" s="4">
        <v>18</v>
      </c>
      <c r="G52" s="5">
        <v>2</v>
      </c>
    </row>
    <row r="53" spans="1:8" x14ac:dyDescent="0.3">
      <c r="A53" s="3">
        <f t="shared" si="0"/>
        <v>42000019</v>
      </c>
      <c r="B53" s="4">
        <v>4</v>
      </c>
      <c r="C53" s="65">
        <f t="shared" si="1"/>
        <v>2</v>
      </c>
      <c r="D53" s="4">
        <v>0</v>
      </c>
      <c r="E53" s="4">
        <v>0</v>
      </c>
      <c r="F53" s="4">
        <v>19</v>
      </c>
      <c r="G53" s="5">
        <v>2</v>
      </c>
    </row>
    <row r="54" spans="1:8" x14ac:dyDescent="0.3">
      <c r="A54" s="3">
        <f t="shared" si="0"/>
        <v>42000020</v>
      </c>
      <c r="B54" s="4">
        <v>4</v>
      </c>
      <c r="C54" s="65">
        <f t="shared" si="1"/>
        <v>2</v>
      </c>
      <c r="D54" s="4">
        <v>0</v>
      </c>
      <c r="E54" s="4">
        <v>0</v>
      </c>
      <c r="F54" s="4">
        <v>20</v>
      </c>
      <c r="G54" s="5">
        <v>2</v>
      </c>
    </row>
    <row r="55" spans="1:8" x14ac:dyDescent="0.3">
      <c r="A55" s="3">
        <f t="shared" si="0"/>
        <v>42000021</v>
      </c>
      <c r="B55" s="4">
        <v>4</v>
      </c>
      <c r="C55" s="65">
        <f t="shared" si="1"/>
        <v>2</v>
      </c>
      <c r="D55" s="4">
        <v>0</v>
      </c>
      <c r="E55" s="4">
        <v>0</v>
      </c>
      <c r="F55" s="4">
        <v>21</v>
      </c>
      <c r="G55" s="5">
        <v>2</v>
      </c>
    </row>
    <row r="56" spans="1:8" x14ac:dyDescent="0.3">
      <c r="A56" s="3">
        <f t="shared" si="0"/>
        <v>42000022</v>
      </c>
      <c r="B56" s="4">
        <v>4</v>
      </c>
      <c r="C56" s="65">
        <f t="shared" si="1"/>
        <v>2</v>
      </c>
      <c r="D56" s="4">
        <v>0</v>
      </c>
      <c r="E56" s="4">
        <v>0</v>
      </c>
      <c r="F56" s="4">
        <v>22</v>
      </c>
      <c r="G56" s="5">
        <v>2</v>
      </c>
    </row>
    <row r="57" spans="1:8" x14ac:dyDescent="0.3">
      <c r="A57" s="3">
        <f t="shared" si="0"/>
        <v>42000023</v>
      </c>
      <c r="B57" s="4">
        <v>4</v>
      </c>
      <c r="C57" s="65">
        <f t="shared" si="1"/>
        <v>2</v>
      </c>
      <c r="D57" s="4">
        <v>0</v>
      </c>
      <c r="E57" s="4">
        <v>0</v>
      </c>
      <c r="F57" s="4">
        <v>23</v>
      </c>
      <c r="G57" s="5">
        <v>2</v>
      </c>
    </row>
    <row r="58" spans="1:8" x14ac:dyDescent="0.3">
      <c r="A58" s="3">
        <f t="shared" si="0"/>
        <v>42000024</v>
      </c>
      <c r="B58" s="4">
        <v>4</v>
      </c>
      <c r="C58" s="65">
        <f t="shared" si="1"/>
        <v>2</v>
      </c>
      <c r="D58" s="4">
        <v>0</v>
      </c>
      <c r="E58" s="4">
        <v>0</v>
      </c>
      <c r="F58" s="4">
        <v>24</v>
      </c>
      <c r="G58" s="5">
        <v>2</v>
      </c>
    </row>
    <row r="59" spans="1:8" x14ac:dyDescent="0.3">
      <c r="A59" s="3">
        <f t="shared" si="0"/>
        <v>42000025</v>
      </c>
      <c r="B59" s="4">
        <v>4</v>
      </c>
      <c r="C59" s="65">
        <f t="shared" si="1"/>
        <v>2</v>
      </c>
      <c r="D59" s="4">
        <v>0</v>
      </c>
      <c r="E59" s="4">
        <v>0</v>
      </c>
      <c r="F59" s="4">
        <v>25</v>
      </c>
      <c r="G59" s="5">
        <v>2</v>
      </c>
    </row>
    <row r="60" spans="1:8" x14ac:dyDescent="0.3">
      <c r="A60" s="3">
        <f t="shared" si="0"/>
        <v>42000026</v>
      </c>
      <c r="B60" s="4">
        <v>4</v>
      </c>
      <c r="C60" s="65">
        <f t="shared" si="1"/>
        <v>2</v>
      </c>
      <c r="D60" s="4">
        <v>0</v>
      </c>
      <c r="E60" s="4">
        <v>0</v>
      </c>
      <c r="F60" s="4">
        <v>26</v>
      </c>
      <c r="G60" s="5">
        <v>2</v>
      </c>
    </row>
    <row r="61" spans="1:8" x14ac:dyDescent="0.3">
      <c r="A61" s="3">
        <f t="shared" si="0"/>
        <v>42000027</v>
      </c>
      <c r="B61" s="4">
        <v>4</v>
      </c>
      <c r="C61" s="65">
        <f t="shared" si="1"/>
        <v>2</v>
      </c>
      <c r="D61" s="4">
        <v>0</v>
      </c>
      <c r="E61" s="4">
        <v>0</v>
      </c>
      <c r="F61" s="4">
        <v>27</v>
      </c>
      <c r="G61" s="5">
        <v>2</v>
      </c>
    </row>
    <row r="62" spans="1:8" x14ac:dyDescent="0.3">
      <c r="A62" s="3">
        <f t="shared" si="0"/>
        <v>42000028</v>
      </c>
      <c r="B62" s="4">
        <v>4</v>
      </c>
      <c r="C62" s="65">
        <f t="shared" si="1"/>
        <v>2</v>
      </c>
      <c r="D62" s="4">
        <v>0</v>
      </c>
      <c r="E62" s="4">
        <v>0</v>
      </c>
      <c r="F62" s="4">
        <v>28</v>
      </c>
      <c r="G62" s="5">
        <v>2</v>
      </c>
    </row>
    <row r="63" spans="1:8" x14ac:dyDescent="0.3">
      <c r="A63" s="3">
        <f t="shared" si="0"/>
        <v>42000029</v>
      </c>
      <c r="B63" s="4">
        <v>4</v>
      </c>
      <c r="C63" s="65">
        <f t="shared" ref="C63" si="2">G63</f>
        <v>2</v>
      </c>
      <c r="D63" s="4">
        <v>0</v>
      </c>
      <c r="E63" s="4">
        <v>0</v>
      </c>
      <c r="F63" s="4">
        <v>29</v>
      </c>
      <c r="G63" s="5">
        <v>2</v>
      </c>
    </row>
    <row r="64" spans="1:8" s="2" customFormat="1" ht="17.25" thickBot="1" x14ac:dyDescent="0.35">
      <c r="A64" s="13">
        <f t="shared" si="0"/>
        <v>42000030</v>
      </c>
      <c r="B64" s="14">
        <v>4</v>
      </c>
      <c r="C64" s="63">
        <f t="shared" si="1"/>
        <v>2</v>
      </c>
      <c r="D64" s="14">
        <v>0</v>
      </c>
      <c r="E64" s="14">
        <v>0</v>
      </c>
      <c r="F64" s="14">
        <v>30</v>
      </c>
      <c r="G64" s="15">
        <v>2</v>
      </c>
      <c r="H64" s="16"/>
    </row>
    <row r="65" spans="1:7" x14ac:dyDescent="0.3">
      <c r="A65" s="3">
        <f t="shared" si="0"/>
        <v>43000001</v>
      </c>
      <c r="B65" s="4">
        <v>4</v>
      </c>
      <c r="C65" s="65">
        <f t="shared" si="1"/>
        <v>3</v>
      </c>
      <c r="D65" s="4">
        <v>0</v>
      </c>
      <c r="E65" s="4">
        <v>0</v>
      </c>
      <c r="F65" s="4">
        <v>1</v>
      </c>
      <c r="G65" s="5">
        <v>3</v>
      </c>
    </row>
    <row r="66" spans="1:7" x14ac:dyDescent="0.3">
      <c r="A66" s="3">
        <f t="shared" si="0"/>
        <v>43000002</v>
      </c>
      <c r="B66" s="4">
        <v>4</v>
      </c>
      <c r="C66" s="65">
        <f t="shared" si="1"/>
        <v>3</v>
      </c>
      <c r="D66" s="4">
        <v>0</v>
      </c>
      <c r="E66" s="4">
        <v>0</v>
      </c>
      <c r="F66" s="4">
        <v>2</v>
      </c>
      <c r="G66" s="5">
        <v>3</v>
      </c>
    </row>
    <row r="67" spans="1:7" x14ac:dyDescent="0.3">
      <c r="A67" s="3">
        <f t="shared" si="0"/>
        <v>43000003</v>
      </c>
      <c r="B67" s="4">
        <v>4</v>
      </c>
      <c r="C67" s="65">
        <f t="shared" si="1"/>
        <v>3</v>
      </c>
      <c r="D67" s="4">
        <v>0</v>
      </c>
      <c r="E67" s="4">
        <v>0</v>
      </c>
      <c r="F67" s="4">
        <v>3</v>
      </c>
      <c r="G67" s="5">
        <v>3</v>
      </c>
    </row>
    <row r="68" spans="1:7" x14ac:dyDescent="0.3">
      <c r="A68" s="3">
        <f t="shared" si="0"/>
        <v>43000004</v>
      </c>
      <c r="B68" s="4">
        <v>4</v>
      </c>
      <c r="C68" s="65">
        <f t="shared" si="1"/>
        <v>3</v>
      </c>
      <c r="D68" s="4">
        <v>0</v>
      </c>
      <c r="E68" s="4">
        <v>0</v>
      </c>
      <c r="F68" s="4">
        <v>4</v>
      </c>
      <c r="G68" s="5">
        <v>3</v>
      </c>
    </row>
    <row r="69" spans="1:7" x14ac:dyDescent="0.3">
      <c r="A69" s="3">
        <f t="shared" si="0"/>
        <v>43000005</v>
      </c>
      <c r="B69" s="4">
        <v>4</v>
      </c>
      <c r="C69" s="65">
        <f t="shared" si="1"/>
        <v>3</v>
      </c>
      <c r="D69" s="4">
        <v>0</v>
      </c>
      <c r="E69" s="4">
        <v>0</v>
      </c>
      <c r="F69" s="4">
        <v>5</v>
      </c>
      <c r="G69" s="5">
        <v>3</v>
      </c>
    </row>
    <row r="70" spans="1:7" x14ac:dyDescent="0.3">
      <c r="A70" s="3">
        <f t="shared" ref="A70:A124" si="3">B70*10000000+C70*1000000+D70*10000+E70*100+F70</f>
        <v>43000006</v>
      </c>
      <c r="B70" s="4">
        <v>4</v>
      </c>
      <c r="C70" s="65">
        <f t="shared" ref="C70:C124" si="4">G70</f>
        <v>3</v>
      </c>
      <c r="D70" s="4">
        <v>0</v>
      </c>
      <c r="E70" s="4">
        <v>0</v>
      </c>
      <c r="F70" s="4">
        <v>6</v>
      </c>
      <c r="G70" s="5">
        <v>3</v>
      </c>
    </row>
    <row r="71" spans="1:7" x14ac:dyDescent="0.3">
      <c r="A71" s="3">
        <f t="shared" si="3"/>
        <v>43000007</v>
      </c>
      <c r="B71" s="4">
        <v>4</v>
      </c>
      <c r="C71" s="65">
        <f t="shared" si="4"/>
        <v>3</v>
      </c>
      <c r="D71" s="4">
        <v>0</v>
      </c>
      <c r="E71" s="4">
        <v>0</v>
      </c>
      <c r="F71" s="4">
        <v>7</v>
      </c>
      <c r="G71" s="5">
        <v>3</v>
      </c>
    </row>
    <row r="72" spans="1:7" x14ac:dyDescent="0.3">
      <c r="A72" s="3">
        <f t="shared" si="3"/>
        <v>43000008</v>
      </c>
      <c r="B72" s="4">
        <v>4</v>
      </c>
      <c r="C72" s="65">
        <f t="shared" si="4"/>
        <v>3</v>
      </c>
      <c r="D72" s="4">
        <v>0</v>
      </c>
      <c r="E72" s="4">
        <v>0</v>
      </c>
      <c r="F72" s="4">
        <v>8</v>
      </c>
      <c r="G72" s="5">
        <v>3</v>
      </c>
    </row>
    <row r="73" spans="1:7" x14ac:dyDescent="0.3">
      <c r="A73" s="3">
        <f t="shared" si="3"/>
        <v>43000009</v>
      </c>
      <c r="B73" s="4">
        <v>4</v>
      </c>
      <c r="C73" s="65">
        <f t="shared" si="4"/>
        <v>3</v>
      </c>
      <c r="D73" s="4">
        <v>0</v>
      </c>
      <c r="E73" s="4">
        <v>0</v>
      </c>
      <c r="F73" s="4">
        <v>9</v>
      </c>
      <c r="G73" s="5">
        <v>3</v>
      </c>
    </row>
    <row r="74" spans="1:7" x14ac:dyDescent="0.3">
      <c r="A74" s="3">
        <f t="shared" si="3"/>
        <v>43000010</v>
      </c>
      <c r="B74" s="4">
        <v>4</v>
      </c>
      <c r="C74" s="65">
        <f t="shared" si="4"/>
        <v>3</v>
      </c>
      <c r="D74" s="4">
        <v>0</v>
      </c>
      <c r="E74" s="4">
        <v>0</v>
      </c>
      <c r="F74" s="4">
        <v>10</v>
      </c>
      <c r="G74" s="5">
        <v>3</v>
      </c>
    </row>
    <row r="75" spans="1:7" x14ac:dyDescent="0.3">
      <c r="A75" s="3">
        <f t="shared" si="3"/>
        <v>43000011</v>
      </c>
      <c r="B75" s="4">
        <v>4</v>
      </c>
      <c r="C75" s="65">
        <f t="shared" si="4"/>
        <v>3</v>
      </c>
      <c r="D75" s="4">
        <v>0</v>
      </c>
      <c r="E75" s="4">
        <v>0</v>
      </c>
      <c r="F75" s="4">
        <v>11</v>
      </c>
      <c r="G75" s="5">
        <v>3</v>
      </c>
    </row>
    <row r="76" spans="1:7" x14ac:dyDescent="0.3">
      <c r="A76" s="3">
        <f t="shared" si="3"/>
        <v>43000012</v>
      </c>
      <c r="B76" s="4">
        <v>4</v>
      </c>
      <c r="C76" s="65">
        <f t="shared" si="4"/>
        <v>3</v>
      </c>
      <c r="D76" s="4">
        <v>0</v>
      </c>
      <c r="E76" s="4">
        <v>0</v>
      </c>
      <c r="F76" s="4">
        <v>12</v>
      </c>
      <c r="G76" s="5">
        <v>3</v>
      </c>
    </row>
    <row r="77" spans="1:7" x14ac:dyDescent="0.3">
      <c r="A77" s="3">
        <f t="shared" si="3"/>
        <v>43000013</v>
      </c>
      <c r="B77" s="4">
        <v>4</v>
      </c>
      <c r="C77" s="65">
        <f t="shared" si="4"/>
        <v>3</v>
      </c>
      <c r="D77" s="4">
        <v>0</v>
      </c>
      <c r="E77" s="4">
        <v>0</v>
      </c>
      <c r="F77" s="4">
        <v>13</v>
      </c>
      <c r="G77" s="5">
        <v>3</v>
      </c>
    </row>
    <row r="78" spans="1:7" x14ac:dyDescent="0.3">
      <c r="A78" s="3">
        <f t="shared" si="3"/>
        <v>43000014</v>
      </c>
      <c r="B78" s="4">
        <v>4</v>
      </c>
      <c r="C78" s="65">
        <f t="shared" si="4"/>
        <v>3</v>
      </c>
      <c r="D78" s="4">
        <v>0</v>
      </c>
      <c r="E78" s="4">
        <v>0</v>
      </c>
      <c r="F78" s="4">
        <v>14</v>
      </c>
      <c r="G78" s="5">
        <v>3</v>
      </c>
    </row>
    <row r="79" spans="1:7" x14ac:dyDescent="0.3">
      <c r="A79" s="3">
        <f t="shared" si="3"/>
        <v>43000015</v>
      </c>
      <c r="B79" s="4">
        <v>4</v>
      </c>
      <c r="C79" s="65">
        <f t="shared" si="4"/>
        <v>3</v>
      </c>
      <c r="D79" s="4">
        <v>0</v>
      </c>
      <c r="E79" s="4">
        <v>0</v>
      </c>
      <c r="F79" s="4">
        <v>15</v>
      </c>
      <c r="G79" s="5">
        <v>3</v>
      </c>
    </row>
    <row r="80" spans="1:7" x14ac:dyDescent="0.3">
      <c r="A80" s="3">
        <f t="shared" si="3"/>
        <v>43000016</v>
      </c>
      <c r="B80" s="4">
        <v>4</v>
      </c>
      <c r="C80" s="65">
        <f t="shared" si="4"/>
        <v>3</v>
      </c>
      <c r="D80" s="4">
        <v>0</v>
      </c>
      <c r="E80" s="4">
        <v>0</v>
      </c>
      <c r="F80" s="4">
        <v>16</v>
      </c>
      <c r="G80" s="5">
        <v>3</v>
      </c>
    </row>
    <row r="81" spans="1:8" x14ac:dyDescent="0.3">
      <c r="A81" s="3">
        <f t="shared" si="3"/>
        <v>43000017</v>
      </c>
      <c r="B81" s="4">
        <v>4</v>
      </c>
      <c r="C81" s="65">
        <f t="shared" si="4"/>
        <v>3</v>
      </c>
      <c r="D81" s="4">
        <v>0</v>
      </c>
      <c r="E81" s="4">
        <v>0</v>
      </c>
      <c r="F81" s="4">
        <v>17</v>
      </c>
      <c r="G81" s="5">
        <v>3</v>
      </c>
    </row>
    <row r="82" spans="1:8" x14ac:dyDescent="0.3">
      <c r="A82" s="3">
        <f t="shared" si="3"/>
        <v>43000018</v>
      </c>
      <c r="B82" s="4">
        <v>4</v>
      </c>
      <c r="C82" s="65">
        <f t="shared" si="4"/>
        <v>3</v>
      </c>
      <c r="D82" s="4">
        <v>0</v>
      </c>
      <c r="E82" s="4">
        <v>0</v>
      </c>
      <c r="F82" s="4">
        <v>18</v>
      </c>
      <c r="G82" s="5">
        <v>3</v>
      </c>
    </row>
    <row r="83" spans="1:8" x14ac:dyDescent="0.3">
      <c r="A83" s="3">
        <f t="shared" si="3"/>
        <v>43000019</v>
      </c>
      <c r="B83" s="4">
        <v>4</v>
      </c>
      <c r="C83" s="65">
        <f t="shared" si="4"/>
        <v>3</v>
      </c>
      <c r="D83" s="4">
        <v>0</v>
      </c>
      <c r="E83" s="4">
        <v>0</v>
      </c>
      <c r="F83" s="4">
        <v>19</v>
      </c>
      <c r="G83" s="5">
        <v>3</v>
      </c>
    </row>
    <row r="84" spans="1:8" x14ac:dyDescent="0.3">
      <c r="A84" s="3">
        <f t="shared" si="3"/>
        <v>43000020</v>
      </c>
      <c r="B84" s="4">
        <v>4</v>
      </c>
      <c r="C84" s="65">
        <f t="shared" si="4"/>
        <v>3</v>
      </c>
      <c r="D84" s="4">
        <v>0</v>
      </c>
      <c r="E84" s="4">
        <v>0</v>
      </c>
      <c r="F84" s="4">
        <v>20</v>
      </c>
      <c r="G84" s="5">
        <v>3</v>
      </c>
    </row>
    <row r="85" spans="1:8" x14ac:dyDescent="0.3">
      <c r="A85" s="3">
        <f t="shared" si="3"/>
        <v>43000021</v>
      </c>
      <c r="B85" s="4">
        <v>4</v>
      </c>
      <c r="C85" s="65">
        <f t="shared" si="4"/>
        <v>3</v>
      </c>
      <c r="D85" s="4">
        <v>0</v>
      </c>
      <c r="E85" s="4">
        <v>0</v>
      </c>
      <c r="F85" s="4">
        <v>21</v>
      </c>
      <c r="G85" s="5">
        <v>3</v>
      </c>
    </row>
    <row r="86" spans="1:8" x14ac:dyDescent="0.3">
      <c r="A86" s="3">
        <f t="shared" si="3"/>
        <v>43000022</v>
      </c>
      <c r="B86" s="4">
        <v>4</v>
      </c>
      <c r="C86" s="65">
        <f t="shared" si="4"/>
        <v>3</v>
      </c>
      <c r="D86" s="4">
        <v>0</v>
      </c>
      <c r="E86" s="4">
        <v>0</v>
      </c>
      <c r="F86" s="4">
        <v>22</v>
      </c>
      <c r="G86" s="5">
        <v>3</v>
      </c>
    </row>
    <row r="87" spans="1:8" x14ac:dyDescent="0.3">
      <c r="A87" s="3">
        <f t="shared" si="3"/>
        <v>43000023</v>
      </c>
      <c r="B87" s="4">
        <v>4</v>
      </c>
      <c r="C87" s="65">
        <f t="shared" si="4"/>
        <v>3</v>
      </c>
      <c r="D87" s="4">
        <v>0</v>
      </c>
      <c r="E87" s="4">
        <v>0</v>
      </c>
      <c r="F87" s="4">
        <v>23</v>
      </c>
      <c r="G87" s="5">
        <v>3</v>
      </c>
    </row>
    <row r="88" spans="1:8" x14ac:dyDescent="0.3">
      <c r="A88" s="3">
        <f t="shared" si="3"/>
        <v>43000024</v>
      </c>
      <c r="B88" s="4">
        <v>4</v>
      </c>
      <c r="C88" s="65">
        <f t="shared" si="4"/>
        <v>3</v>
      </c>
      <c r="D88" s="4">
        <v>0</v>
      </c>
      <c r="E88" s="4">
        <v>0</v>
      </c>
      <c r="F88" s="4">
        <v>24</v>
      </c>
      <c r="G88" s="5">
        <v>3</v>
      </c>
    </row>
    <row r="89" spans="1:8" x14ac:dyDescent="0.3">
      <c r="A89" s="3">
        <f t="shared" si="3"/>
        <v>43000025</v>
      </c>
      <c r="B89" s="4">
        <v>4</v>
      </c>
      <c r="C89" s="65">
        <f t="shared" si="4"/>
        <v>3</v>
      </c>
      <c r="D89" s="4">
        <v>0</v>
      </c>
      <c r="E89" s="4">
        <v>0</v>
      </c>
      <c r="F89" s="4">
        <v>25</v>
      </c>
      <c r="G89" s="5">
        <v>3</v>
      </c>
    </row>
    <row r="90" spans="1:8" x14ac:dyDescent="0.3">
      <c r="A90" s="3">
        <f t="shared" si="3"/>
        <v>43000026</v>
      </c>
      <c r="B90" s="4">
        <v>4</v>
      </c>
      <c r="C90" s="65">
        <f t="shared" si="4"/>
        <v>3</v>
      </c>
      <c r="D90" s="4">
        <v>0</v>
      </c>
      <c r="E90" s="4">
        <v>0</v>
      </c>
      <c r="F90" s="4">
        <v>26</v>
      </c>
      <c r="G90" s="5">
        <v>3</v>
      </c>
    </row>
    <row r="91" spans="1:8" x14ac:dyDescent="0.3">
      <c r="A91" s="3">
        <f t="shared" si="3"/>
        <v>43000027</v>
      </c>
      <c r="B91" s="4">
        <v>4</v>
      </c>
      <c r="C91" s="65">
        <f t="shared" si="4"/>
        <v>3</v>
      </c>
      <c r="D91" s="4">
        <v>0</v>
      </c>
      <c r="E91" s="4">
        <v>0</v>
      </c>
      <c r="F91" s="4">
        <v>27</v>
      </c>
      <c r="G91" s="5">
        <v>3</v>
      </c>
    </row>
    <row r="92" spans="1:8" x14ac:dyDescent="0.3">
      <c r="A92" s="3">
        <f t="shared" si="3"/>
        <v>43000028</v>
      </c>
      <c r="B92" s="4">
        <v>4</v>
      </c>
      <c r="C92" s="65">
        <f t="shared" si="4"/>
        <v>3</v>
      </c>
      <c r="D92" s="4">
        <v>0</v>
      </c>
      <c r="E92" s="4">
        <v>0</v>
      </c>
      <c r="F92" s="4">
        <v>28</v>
      </c>
      <c r="G92" s="5">
        <v>3</v>
      </c>
    </row>
    <row r="93" spans="1:8" x14ac:dyDescent="0.3">
      <c r="A93" s="3">
        <f t="shared" si="3"/>
        <v>43000029</v>
      </c>
      <c r="B93" s="4">
        <v>4</v>
      </c>
      <c r="C93" s="65">
        <f t="shared" si="4"/>
        <v>3</v>
      </c>
      <c r="D93" s="4">
        <v>0</v>
      </c>
      <c r="E93" s="4">
        <v>0</v>
      </c>
      <c r="F93" s="4">
        <v>29</v>
      </c>
      <c r="G93" s="5">
        <v>3</v>
      </c>
    </row>
    <row r="94" spans="1:8" s="2" customFormat="1" ht="17.25" thickBot="1" x14ac:dyDescent="0.35">
      <c r="A94" s="13">
        <f t="shared" si="3"/>
        <v>43000030</v>
      </c>
      <c r="B94" s="14">
        <v>4</v>
      </c>
      <c r="C94" s="63">
        <f t="shared" si="4"/>
        <v>3</v>
      </c>
      <c r="D94" s="14">
        <v>0</v>
      </c>
      <c r="E94" s="14">
        <v>0</v>
      </c>
      <c r="F94" s="14">
        <v>30</v>
      </c>
      <c r="G94" s="15">
        <v>3</v>
      </c>
      <c r="H94" s="16"/>
    </row>
    <row r="95" spans="1:8" s="1" customFormat="1" x14ac:dyDescent="0.3">
      <c r="A95" s="9">
        <f t="shared" si="3"/>
        <v>44000001</v>
      </c>
      <c r="B95" s="10">
        <v>4</v>
      </c>
      <c r="C95" s="64">
        <f t="shared" si="4"/>
        <v>4</v>
      </c>
      <c r="D95" s="10">
        <v>0</v>
      </c>
      <c r="E95" s="10">
        <v>0</v>
      </c>
      <c r="F95" s="10">
        <v>1</v>
      </c>
      <c r="G95" s="11">
        <v>4</v>
      </c>
      <c r="H95" s="90" t="s">
        <v>311</v>
      </c>
    </row>
    <row r="96" spans="1:8" x14ac:dyDescent="0.3">
      <c r="A96" s="3">
        <f t="shared" si="3"/>
        <v>44000002</v>
      </c>
      <c r="B96" s="4">
        <v>4</v>
      </c>
      <c r="C96" s="65">
        <f t="shared" si="4"/>
        <v>4</v>
      </c>
      <c r="D96" s="4">
        <v>0</v>
      </c>
      <c r="E96" s="4">
        <v>0</v>
      </c>
      <c r="F96" s="4">
        <v>2</v>
      </c>
      <c r="G96" s="5">
        <v>4</v>
      </c>
      <c r="H96" s="89" t="s">
        <v>314</v>
      </c>
    </row>
    <row r="97" spans="1:8" x14ac:dyDescent="0.3">
      <c r="A97" s="3">
        <f t="shared" si="3"/>
        <v>44000003</v>
      </c>
      <c r="B97" s="4">
        <v>4</v>
      </c>
      <c r="C97" s="65">
        <f t="shared" si="4"/>
        <v>4</v>
      </c>
      <c r="D97" s="4">
        <v>0</v>
      </c>
      <c r="E97" s="4">
        <v>0</v>
      </c>
      <c r="F97" s="4">
        <v>3</v>
      </c>
      <c r="G97" s="5">
        <v>4</v>
      </c>
      <c r="H97" s="89" t="s">
        <v>315</v>
      </c>
    </row>
    <row r="98" spans="1:8" x14ac:dyDescent="0.3">
      <c r="A98" s="3">
        <f t="shared" si="3"/>
        <v>44000004</v>
      </c>
      <c r="B98" s="4">
        <v>4</v>
      </c>
      <c r="C98" s="65">
        <f t="shared" si="4"/>
        <v>4</v>
      </c>
      <c r="D98" s="4">
        <v>0</v>
      </c>
      <c r="E98" s="4">
        <v>0</v>
      </c>
      <c r="F98" s="4">
        <v>4</v>
      </c>
      <c r="G98" s="5">
        <v>4</v>
      </c>
      <c r="H98" s="89" t="s">
        <v>317</v>
      </c>
    </row>
    <row r="99" spans="1:8" x14ac:dyDescent="0.3">
      <c r="A99" s="3">
        <f t="shared" si="3"/>
        <v>44000005</v>
      </c>
      <c r="B99" s="4">
        <v>4</v>
      </c>
      <c r="C99" s="65">
        <f t="shared" si="4"/>
        <v>4</v>
      </c>
      <c r="D99" s="4">
        <v>0</v>
      </c>
      <c r="E99" s="4">
        <v>0</v>
      </c>
      <c r="F99" s="4">
        <v>5</v>
      </c>
      <c r="G99" s="5">
        <v>4</v>
      </c>
      <c r="H99" s="89" t="s">
        <v>316</v>
      </c>
    </row>
    <row r="100" spans="1:8" x14ac:dyDescent="0.3">
      <c r="A100" s="3">
        <f t="shared" si="3"/>
        <v>44000006</v>
      </c>
      <c r="B100" s="4">
        <v>4</v>
      </c>
      <c r="C100" s="65">
        <f t="shared" si="4"/>
        <v>4</v>
      </c>
      <c r="D100" s="4">
        <v>0</v>
      </c>
      <c r="E100" s="4">
        <v>0</v>
      </c>
      <c r="F100" s="4">
        <v>6</v>
      </c>
      <c r="G100" s="5">
        <v>4</v>
      </c>
      <c r="H100" s="89" t="s">
        <v>318</v>
      </c>
    </row>
    <row r="101" spans="1:8" x14ac:dyDescent="0.3">
      <c r="A101" s="3">
        <f t="shared" si="3"/>
        <v>44000007</v>
      </c>
      <c r="B101" s="4">
        <v>4</v>
      </c>
      <c r="C101" s="65">
        <f t="shared" si="4"/>
        <v>4</v>
      </c>
      <c r="D101" s="4">
        <v>0</v>
      </c>
      <c r="E101" s="4">
        <v>0</v>
      </c>
      <c r="F101" s="4">
        <v>7</v>
      </c>
      <c r="G101" s="5">
        <v>4</v>
      </c>
      <c r="H101" s="89" t="s">
        <v>319</v>
      </c>
    </row>
    <row r="102" spans="1:8" x14ac:dyDescent="0.3">
      <c r="A102" s="3">
        <f t="shared" si="3"/>
        <v>44000008</v>
      </c>
      <c r="B102" s="4">
        <v>4</v>
      </c>
      <c r="C102" s="65">
        <f t="shared" si="4"/>
        <v>4</v>
      </c>
      <c r="D102" s="4">
        <v>0</v>
      </c>
      <c r="E102" s="4">
        <v>0</v>
      </c>
      <c r="F102" s="4">
        <v>8</v>
      </c>
      <c r="G102" s="5">
        <v>4</v>
      </c>
      <c r="H102" s="89" t="s">
        <v>320</v>
      </c>
    </row>
    <row r="103" spans="1:8" x14ac:dyDescent="0.3">
      <c r="A103" s="3">
        <f t="shared" si="3"/>
        <v>44000009</v>
      </c>
      <c r="B103" s="4">
        <v>4</v>
      </c>
      <c r="C103" s="65">
        <f t="shared" si="4"/>
        <v>4</v>
      </c>
      <c r="D103" s="4">
        <v>0</v>
      </c>
      <c r="E103" s="4">
        <v>0</v>
      </c>
      <c r="F103" s="4">
        <v>9</v>
      </c>
      <c r="G103" s="5">
        <v>4</v>
      </c>
      <c r="H103" s="89" t="s">
        <v>321</v>
      </c>
    </row>
    <row r="104" spans="1:8" x14ac:dyDescent="0.3">
      <c r="A104" s="3">
        <f t="shared" si="3"/>
        <v>44000010</v>
      </c>
      <c r="B104" s="4">
        <v>4</v>
      </c>
      <c r="C104" s="65">
        <f t="shared" si="4"/>
        <v>4</v>
      </c>
      <c r="D104" s="4">
        <v>0</v>
      </c>
      <c r="E104" s="4">
        <v>0</v>
      </c>
      <c r="F104" s="4">
        <v>10</v>
      </c>
      <c r="G104" s="5">
        <v>4</v>
      </c>
    </row>
    <row r="105" spans="1:8" x14ac:dyDescent="0.3">
      <c r="A105" s="3">
        <f t="shared" si="3"/>
        <v>44000011</v>
      </c>
      <c r="B105" s="4">
        <v>4</v>
      </c>
      <c r="C105" s="65">
        <f t="shared" si="4"/>
        <v>4</v>
      </c>
      <c r="D105" s="4">
        <v>0</v>
      </c>
      <c r="E105" s="4">
        <v>0</v>
      </c>
      <c r="F105" s="4">
        <v>11</v>
      </c>
      <c r="G105" s="5">
        <v>4</v>
      </c>
    </row>
    <row r="106" spans="1:8" x14ac:dyDescent="0.3">
      <c r="A106" s="3">
        <f t="shared" si="3"/>
        <v>44000012</v>
      </c>
      <c r="B106" s="4">
        <v>4</v>
      </c>
      <c r="C106" s="65">
        <f t="shared" si="4"/>
        <v>4</v>
      </c>
      <c r="D106" s="4">
        <v>0</v>
      </c>
      <c r="E106" s="4">
        <v>0</v>
      </c>
      <c r="F106" s="4">
        <v>12</v>
      </c>
      <c r="G106" s="5">
        <v>4</v>
      </c>
    </row>
    <row r="107" spans="1:8" x14ac:dyDescent="0.3">
      <c r="A107" s="3">
        <f t="shared" si="3"/>
        <v>44000013</v>
      </c>
      <c r="B107" s="4">
        <v>4</v>
      </c>
      <c r="C107" s="65">
        <f t="shared" si="4"/>
        <v>4</v>
      </c>
      <c r="D107" s="4">
        <v>0</v>
      </c>
      <c r="E107" s="4">
        <v>0</v>
      </c>
      <c r="F107" s="4">
        <v>13</v>
      </c>
      <c r="G107" s="5">
        <v>4</v>
      </c>
    </row>
    <row r="108" spans="1:8" x14ac:dyDescent="0.3">
      <c r="A108" s="3">
        <f t="shared" si="3"/>
        <v>44000014</v>
      </c>
      <c r="B108" s="4">
        <v>4</v>
      </c>
      <c r="C108" s="65">
        <f t="shared" si="4"/>
        <v>4</v>
      </c>
      <c r="D108" s="4">
        <v>0</v>
      </c>
      <c r="E108" s="4">
        <v>0</v>
      </c>
      <c r="F108" s="4">
        <v>14</v>
      </c>
      <c r="G108" s="5">
        <v>4</v>
      </c>
    </row>
    <row r="109" spans="1:8" x14ac:dyDescent="0.3">
      <c r="A109" s="3">
        <f t="shared" si="3"/>
        <v>44000015</v>
      </c>
      <c r="B109" s="4">
        <v>4</v>
      </c>
      <c r="C109" s="65">
        <f t="shared" si="4"/>
        <v>4</v>
      </c>
      <c r="D109" s="4">
        <v>0</v>
      </c>
      <c r="E109" s="4">
        <v>0</v>
      </c>
      <c r="F109" s="4">
        <v>15</v>
      </c>
      <c r="G109" s="5">
        <v>4</v>
      </c>
    </row>
    <row r="110" spans="1:8" x14ac:dyDescent="0.3">
      <c r="A110" s="3">
        <f t="shared" si="3"/>
        <v>44000016</v>
      </c>
      <c r="B110" s="4">
        <v>4</v>
      </c>
      <c r="C110" s="65">
        <f t="shared" si="4"/>
        <v>4</v>
      </c>
      <c r="D110" s="4">
        <v>0</v>
      </c>
      <c r="E110" s="4">
        <v>0</v>
      </c>
      <c r="F110" s="4">
        <v>16</v>
      </c>
      <c r="G110" s="5">
        <v>4</v>
      </c>
    </row>
    <row r="111" spans="1:8" x14ac:dyDescent="0.3">
      <c r="A111" s="3">
        <f t="shared" si="3"/>
        <v>44000017</v>
      </c>
      <c r="B111" s="4">
        <v>4</v>
      </c>
      <c r="C111" s="65">
        <f t="shared" si="4"/>
        <v>4</v>
      </c>
      <c r="D111" s="4">
        <v>0</v>
      </c>
      <c r="E111" s="4">
        <v>0</v>
      </c>
      <c r="F111" s="4">
        <v>17</v>
      </c>
      <c r="G111" s="5">
        <v>4</v>
      </c>
    </row>
    <row r="112" spans="1:8" x14ac:dyDescent="0.3">
      <c r="A112" s="3">
        <f t="shared" si="3"/>
        <v>44000018</v>
      </c>
      <c r="B112" s="4">
        <v>4</v>
      </c>
      <c r="C112" s="65">
        <f t="shared" si="4"/>
        <v>4</v>
      </c>
      <c r="D112" s="4">
        <v>0</v>
      </c>
      <c r="E112" s="4">
        <v>0</v>
      </c>
      <c r="F112" s="4">
        <v>18</v>
      </c>
      <c r="G112" s="5">
        <v>4</v>
      </c>
    </row>
    <row r="113" spans="1:8" x14ac:dyDescent="0.3">
      <c r="A113" s="3">
        <f t="shared" si="3"/>
        <v>44000019</v>
      </c>
      <c r="B113" s="4">
        <v>4</v>
      </c>
      <c r="C113" s="65">
        <f t="shared" si="4"/>
        <v>4</v>
      </c>
      <c r="D113" s="4">
        <v>0</v>
      </c>
      <c r="E113" s="4">
        <v>0</v>
      </c>
      <c r="F113" s="4">
        <v>19</v>
      </c>
      <c r="G113" s="5">
        <v>4</v>
      </c>
    </row>
    <row r="114" spans="1:8" x14ac:dyDescent="0.3">
      <c r="A114" s="3">
        <f t="shared" si="3"/>
        <v>44000020</v>
      </c>
      <c r="B114" s="4">
        <v>4</v>
      </c>
      <c r="C114" s="65">
        <f t="shared" si="4"/>
        <v>4</v>
      </c>
      <c r="D114" s="4">
        <v>0</v>
      </c>
      <c r="E114" s="4">
        <v>0</v>
      </c>
      <c r="F114" s="4">
        <v>20</v>
      </c>
      <c r="G114" s="5">
        <v>4</v>
      </c>
    </row>
    <row r="115" spans="1:8" x14ac:dyDescent="0.3">
      <c r="A115" s="3">
        <f t="shared" si="3"/>
        <v>44000021</v>
      </c>
      <c r="B115" s="4">
        <v>4</v>
      </c>
      <c r="C115" s="65">
        <f t="shared" si="4"/>
        <v>4</v>
      </c>
      <c r="D115" s="4">
        <v>0</v>
      </c>
      <c r="E115" s="4">
        <v>0</v>
      </c>
      <c r="F115" s="4">
        <v>21</v>
      </c>
      <c r="G115" s="5">
        <v>4</v>
      </c>
    </row>
    <row r="116" spans="1:8" x14ac:dyDescent="0.3">
      <c r="A116" s="3">
        <f t="shared" si="3"/>
        <v>44000022</v>
      </c>
      <c r="B116" s="4">
        <v>4</v>
      </c>
      <c r="C116" s="65">
        <f t="shared" si="4"/>
        <v>4</v>
      </c>
      <c r="D116" s="4">
        <v>0</v>
      </c>
      <c r="E116" s="4">
        <v>0</v>
      </c>
      <c r="F116" s="4">
        <v>22</v>
      </c>
      <c r="G116" s="5">
        <v>4</v>
      </c>
    </row>
    <row r="117" spans="1:8" x14ac:dyDescent="0.3">
      <c r="A117" s="3">
        <f t="shared" si="3"/>
        <v>44000023</v>
      </c>
      <c r="B117" s="4">
        <v>4</v>
      </c>
      <c r="C117" s="65">
        <f t="shared" si="4"/>
        <v>4</v>
      </c>
      <c r="D117" s="4">
        <v>0</v>
      </c>
      <c r="E117" s="4">
        <v>0</v>
      </c>
      <c r="F117" s="4">
        <v>23</v>
      </c>
      <c r="G117" s="5">
        <v>4</v>
      </c>
    </row>
    <row r="118" spans="1:8" x14ac:dyDescent="0.3">
      <c r="A118" s="3">
        <f t="shared" si="3"/>
        <v>44000024</v>
      </c>
      <c r="B118" s="4">
        <v>4</v>
      </c>
      <c r="C118" s="65">
        <f t="shared" si="4"/>
        <v>4</v>
      </c>
      <c r="D118" s="4">
        <v>0</v>
      </c>
      <c r="E118" s="4">
        <v>0</v>
      </c>
      <c r="F118" s="4">
        <v>24</v>
      </c>
      <c r="G118" s="5">
        <v>4</v>
      </c>
    </row>
    <row r="119" spans="1:8" x14ac:dyDescent="0.3">
      <c r="A119" s="3">
        <f t="shared" si="3"/>
        <v>44000025</v>
      </c>
      <c r="B119" s="4">
        <v>4</v>
      </c>
      <c r="C119" s="65">
        <f t="shared" si="4"/>
        <v>4</v>
      </c>
      <c r="D119" s="4">
        <v>0</v>
      </c>
      <c r="E119" s="4">
        <v>0</v>
      </c>
      <c r="F119" s="4">
        <v>25</v>
      </c>
      <c r="G119" s="5">
        <v>4</v>
      </c>
    </row>
    <row r="120" spans="1:8" x14ac:dyDescent="0.3">
      <c r="A120" s="3">
        <f t="shared" si="3"/>
        <v>44000026</v>
      </c>
      <c r="B120" s="4">
        <v>4</v>
      </c>
      <c r="C120" s="65">
        <f t="shared" si="4"/>
        <v>4</v>
      </c>
      <c r="D120" s="4">
        <v>0</v>
      </c>
      <c r="E120" s="4">
        <v>0</v>
      </c>
      <c r="F120" s="4">
        <v>26</v>
      </c>
      <c r="G120" s="5">
        <v>4</v>
      </c>
    </row>
    <row r="121" spans="1:8" x14ac:dyDescent="0.3">
      <c r="A121" s="3">
        <f t="shared" si="3"/>
        <v>44000027</v>
      </c>
      <c r="B121" s="4">
        <v>4</v>
      </c>
      <c r="C121" s="65">
        <f t="shared" si="4"/>
        <v>4</v>
      </c>
      <c r="D121" s="4">
        <v>0</v>
      </c>
      <c r="E121" s="4">
        <v>0</v>
      </c>
      <c r="F121" s="4">
        <v>27</v>
      </c>
      <c r="G121" s="5">
        <v>4</v>
      </c>
    </row>
    <row r="122" spans="1:8" x14ac:dyDescent="0.3">
      <c r="A122" s="3">
        <f t="shared" si="3"/>
        <v>44000028</v>
      </c>
      <c r="B122" s="4">
        <v>4</v>
      </c>
      <c r="C122" s="65">
        <f t="shared" si="4"/>
        <v>4</v>
      </c>
      <c r="D122" s="4">
        <v>0</v>
      </c>
      <c r="E122" s="4">
        <v>0</v>
      </c>
      <c r="F122" s="4">
        <v>28</v>
      </c>
      <c r="G122" s="5">
        <v>4</v>
      </c>
    </row>
    <row r="123" spans="1:8" x14ac:dyDescent="0.3">
      <c r="A123" s="3">
        <f t="shared" si="3"/>
        <v>44000029</v>
      </c>
      <c r="B123" s="4">
        <v>4</v>
      </c>
      <c r="C123" s="65">
        <f t="shared" si="4"/>
        <v>4</v>
      </c>
      <c r="D123" s="4">
        <v>0</v>
      </c>
      <c r="E123" s="4">
        <v>0</v>
      </c>
      <c r="F123" s="4">
        <v>29</v>
      </c>
      <c r="G123" s="5">
        <v>4</v>
      </c>
    </row>
    <row r="124" spans="1:8" s="2" customFormat="1" ht="17.25" thickBot="1" x14ac:dyDescent="0.35">
      <c r="A124" s="13">
        <f t="shared" si="3"/>
        <v>44000030</v>
      </c>
      <c r="B124" s="14">
        <v>4</v>
      </c>
      <c r="C124" s="63">
        <f t="shared" si="4"/>
        <v>4</v>
      </c>
      <c r="D124" s="14">
        <v>0</v>
      </c>
      <c r="E124" s="14">
        <v>0</v>
      </c>
      <c r="F124" s="14">
        <v>30</v>
      </c>
      <c r="G124" s="15">
        <v>4</v>
      </c>
      <c r="H124" s="16"/>
    </row>
  </sheetData>
  <phoneticPr fontId="13" type="noConversion"/>
  <pageMargins left="0.69930555555555596" right="0.69930555555555596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7" tint="0.79998168889431442"/>
  </sheetPr>
  <dimension ref="A1:I9"/>
  <sheetViews>
    <sheetView workbookViewId="0">
      <selection activeCell="E6" sqref="E6"/>
    </sheetView>
  </sheetViews>
  <sheetFormatPr defaultColWidth="9.125" defaultRowHeight="16.5" x14ac:dyDescent="0.15"/>
  <cols>
    <col min="1" max="1" width="10.25" style="172" bestFit="1" customWidth="1"/>
    <col min="2" max="2" width="10" style="75" bestFit="1" customWidth="1"/>
    <col min="3" max="6" width="3.25" style="84" bestFit="1" customWidth="1"/>
    <col min="7" max="7" width="10.25" style="188" bestFit="1" customWidth="1"/>
    <col min="8" max="8" width="10.75" style="188" bestFit="1" customWidth="1"/>
    <col min="9" max="9" width="12.25" style="188" bestFit="1" customWidth="1"/>
    <col min="10" max="16384" width="9.125" style="75"/>
  </cols>
  <sheetData>
    <row r="1" spans="1:9" x14ac:dyDescent="0.15">
      <c r="A1" s="172" t="s">
        <v>59</v>
      </c>
      <c r="B1" s="75" t="s">
        <v>60</v>
      </c>
      <c r="G1" s="188" t="s">
        <v>60</v>
      </c>
      <c r="H1" s="188" t="s">
        <v>60</v>
      </c>
      <c r="I1" s="188" t="s">
        <v>60</v>
      </c>
    </row>
    <row r="2" spans="1:9" x14ac:dyDescent="0.15">
      <c r="A2" s="172" t="s">
        <v>61</v>
      </c>
      <c r="B2" s="75" t="s">
        <v>61</v>
      </c>
      <c r="G2" s="188" t="s">
        <v>706</v>
      </c>
      <c r="H2" s="188" t="s">
        <v>706</v>
      </c>
      <c r="I2" s="188" t="s">
        <v>706</v>
      </c>
    </row>
    <row r="3" spans="1:9" x14ac:dyDescent="0.15">
      <c r="A3" s="172" t="s">
        <v>360</v>
      </c>
      <c r="B3" s="75" t="s">
        <v>697</v>
      </c>
      <c r="G3" s="188" t="s">
        <v>696</v>
      </c>
      <c r="H3" s="188" t="s">
        <v>731</v>
      </c>
      <c r="I3" s="188" t="s">
        <v>703</v>
      </c>
    </row>
    <row r="4" spans="1:9" s="179" customFormat="1" ht="17.25" thickBot="1" x14ac:dyDescent="0.2">
      <c r="A4" s="180" t="s">
        <v>496</v>
      </c>
      <c r="B4" s="179" t="s">
        <v>698</v>
      </c>
      <c r="C4" s="127" t="s">
        <v>388</v>
      </c>
      <c r="D4" s="127" t="s">
        <v>387</v>
      </c>
      <c r="E4" s="127" t="s">
        <v>386</v>
      </c>
      <c r="F4" s="127" t="s">
        <v>385</v>
      </c>
      <c r="G4" s="191" t="s">
        <v>699</v>
      </c>
      <c r="H4" s="191" t="s">
        <v>732</v>
      </c>
      <c r="I4" s="191" t="s">
        <v>702</v>
      </c>
    </row>
    <row r="5" spans="1:9" s="177" customFormat="1" x14ac:dyDescent="0.15">
      <c r="A5" s="172">
        <v>1</v>
      </c>
      <c r="B5" s="177">
        <f>((C5*24+D5)*60+E5)*60+F5</f>
        <v>180</v>
      </c>
      <c r="C5" s="86"/>
      <c r="D5" s="86"/>
      <c r="E5" s="86">
        <v>3</v>
      </c>
      <c r="F5" s="86"/>
      <c r="G5" s="190">
        <v>80</v>
      </c>
      <c r="H5" s="190">
        <v>300</v>
      </c>
      <c r="I5" s="190">
        <v>20</v>
      </c>
    </row>
    <row r="6" spans="1:9" s="177" customFormat="1" x14ac:dyDescent="0.15">
      <c r="A6" s="172"/>
      <c r="C6" s="86"/>
      <c r="D6" s="86"/>
      <c r="E6" s="86"/>
      <c r="F6" s="86"/>
      <c r="G6" s="190"/>
      <c r="H6" s="190"/>
      <c r="I6" s="190"/>
    </row>
    <row r="7" spans="1:9" s="177" customFormat="1" x14ac:dyDescent="0.15">
      <c r="A7" s="172"/>
      <c r="C7" s="86"/>
      <c r="D7" s="86"/>
      <c r="E7" s="86"/>
      <c r="F7" s="86"/>
      <c r="G7" s="190"/>
      <c r="H7" s="190"/>
      <c r="I7" s="190"/>
    </row>
    <row r="8" spans="1:9" s="177" customFormat="1" x14ac:dyDescent="0.15">
      <c r="A8" s="172"/>
      <c r="C8" s="86"/>
      <c r="D8" s="86"/>
      <c r="E8" s="86"/>
      <c r="F8" s="86"/>
      <c r="G8" s="190"/>
      <c r="H8" s="190"/>
      <c r="I8" s="190"/>
    </row>
    <row r="9" spans="1:9" s="177" customFormat="1" x14ac:dyDescent="0.15">
      <c r="A9" s="172"/>
      <c r="C9" s="86"/>
      <c r="D9" s="86"/>
      <c r="E9" s="86"/>
      <c r="F9" s="86"/>
      <c r="G9" s="190"/>
      <c r="H9" s="190"/>
      <c r="I9" s="190"/>
    </row>
  </sheetData>
  <phoneticPr fontId="1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0.79998168889431442"/>
  </sheetPr>
  <dimension ref="A1:A9"/>
  <sheetViews>
    <sheetView workbookViewId="0"/>
  </sheetViews>
  <sheetFormatPr defaultColWidth="9.125" defaultRowHeight="16.5" x14ac:dyDescent="0.15"/>
  <cols>
    <col min="1" max="1" width="10.25" style="172" bestFit="1" customWidth="1"/>
    <col min="2" max="16384" width="9.125" style="75"/>
  </cols>
  <sheetData>
    <row r="1" spans="1:1" x14ac:dyDescent="0.15">
      <c r="A1" s="172" t="s">
        <v>59</v>
      </c>
    </row>
    <row r="2" spans="1:1" x14ac:dyDescent="0.15">
      <c r="A2" s="172" t="s">
        <v>61</v>
      </c>
    </row>
    <row r="3" spans="1:1" x14ac:dyDescent="0.15">
      <c r="A3" s="172" t="s">
        <v>360</v>
      </c>
    </row>
    <row r="4" spans="1:1" s="179" customFormat="1" ht="17.25" thickBot="1" x14ac:dyDescent="0.2">
      <c r="A4" s="180" t="s">
        <v>496</v>
      </c>
    </row>
    <row r="5" spans="1:1" s="177" customFormat="1" x14ac:dyDescent="0.15">
      <c r="A5" s="172"/>
    </row>
    <row r="6" spans="1:1" s="177" customFormat="1" x14ac:dyDescent="0.15">
      <c r="A6" s="172"/>
    </row>
    <row r="7" spans="1:1" s="177" customFormat="1" x14ac:dyDescent="0.15">
      <c r="A7" s="172"/>
    </row>
    <row r="8" spans="1:1" s="177" customFormat="1" x14ac:dyDescent="0.15">
      <c r="A8" s="172"/>
    </row>
    <row r="9" spans="1:1" s="177" customFormat="1" x14ac:dyDescent="0.15">
      <c r="A9" s="172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舰队构成规则</vt:lpstr>
      <vt:lpstr>静态数据ID规则</vt:lpstr>
      <vt:lpstr>命名说明</vt:lpstr>
      <vt:lpstr>TECH_BLDG</vt:lpstr>
      <vt:lpstr>TECH_PROD</vt:lpstr>
      <vt:lpstr>BUILDING</vt:lpstr>
      <vt:lpstr>BLDG_FUNC_PARAM</vt:lpstr>
      <vt:lpstr>ITEM_MIN</vt:lpstr>
      <vt:lpstr>ITEM_RES</vt:lpstr>
      <vt:lpstr>SHIP_MOD_TECH</vt:lpstr>
      <vt:lpstr>SMT_AVAIL_HULL_LIST</vt:lpstr>
      <vt:lpstr>SMT_AVAIL_CPNT_LIST</vt:lpstr>
      <vt:lpstr>SHIP_HULL_TECH</vt:lpstr>
      <vt:lpstr>SHIP_CPNT_TECH</vt:lpstr>
      <vt:lpstr>SHIP_TRAIT</vt:lpstr>
      <vt:lpstr>TASK_ONLINE_TIME</vt:lpstr>
      <vt:lpstr>NEW_TABLE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2018-07-13T09:46:11Z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