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</sheets>
  <calcPr calcId="152511"/>
</workbook>
</file>

<file path=xl/calcChain.xml><?xml version="1.0" encoding="utf-8"?>
<calcChain xmlns="http://schemas.openxmlformats.org/spreadsheetml/2006/main">
  <c r="U584" i="9" l="1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24" i="9"/>
  <c r="U223" i="9"/>
  <c r="U222" i="9"/>
  <c r="U221" i="9"/>
  <c r="U220" i="9"/>
  <c r="U219" i="9"/>
  <c r="U218" i="9"/>
  <c r="U217" i="9"/>
  <c r="U216" i="9"/>
  <c r="U215" i="9"/>
  <c r="U214" i="9"/>
  <c r="U213" i="9"/>
  <c r="U212" i="9"/>
  <c r="U211" i="9"/>
  <c r="U210" i="9"/>
  <c r="U209" i="9"/>
  <c r="U208" i="9"/>
  <c r="U207" i="9"/>
  <c r="U206" i="9"/>
  <c r="U20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" i="9"/>
  <c r="BL204" i="9" l="1"/>
  <c r="AN204" i="9" s="1"/>
  <c r="BJ204" i="9"/>
  <c r="BE204" i="9"/>
  <c r="AZ204" i="9"/>
  <c r="AL204" i="9"/>
  <c r="AJ204" i="9"/>
  <c r="AH204" i="9"/>
  <c r="AE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192" i="9" l="1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F193" i="9" s="1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2" i="9" l="1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65" i="9" l="1"/>
  <c r="AF265" i="9" s="1"/>
  <c r="AE266" i="9"/>
  <c r="AE267" i="9"/>
  <c r="AE268" i="9"/>
  <c r="AE269" i="9"/>
  <c r="AE270" i="9"/>
  <c r="AE271" i="9"/>
  <c r="AE272" i="9"/>
  <c r="AF273" i="9" s="1"/>
  <c r="AE273" i="9"/>
  <c r="AE274" i="9"/>
  <c r="AE275" i="9"/>
  <c r="AE276" i="9"/>
  <c r="AE277" i="9"/>
  <c r="AE278" i="9"/>
  <c r="AE279" i="9"/>
  <c r="AE280" i="9"/>
  <c r="AE281" i="9"/>
  <c r="AE282" i="9"/>
  <c r="AE283" i="9"/>
  <c r="AE284" i="9"/>
  <c r="AE285" i="9"/>
  <c r="AF285" i="9" s="1"/>
  <c r="AE286" i="9"/>
  <c r="AE287" i="9"/>
  <c r="AE288" i="9"/>
  <c r="AE289" i="9"/>
  <c r="AE290" i="9"/>
  <c r="AE291" i="9"/>
  <c r="AE292" i="9"/>
  <c r="AE293" i="9"/>
  <c r="AE294" i="9"/>
  <c r="AE295" i="9"/>
  <c r="AE296" i="9"/>
  <c r="AF297" i="9" s="1"/>
  <c r="AE297" i="9"/>
  <c r="AE298" i="9"/>
  <c r="AE299" i="9"/>
  <c r="AE300" i="9"/>
  <c r="AE301" i="9"/>
  <c r="AE302" i="9"/>
  <c r="AE303" i="9"/>
  <c r="AE304" i="9"/>
  <c r="AE305" i="9"/>
  <c r="AE306" i="9"/>
  <c r="AE307" i="9"/>
  <c r="AE308" i="9"/>
  <c r="AE309" i="9"/>
  <c r="AE310" i="9"/>
  <c r="AE311" i="9"/>
  <c r="AE312" i="9"/>
  <c r="AE313" i="9"/>
  <c r="AE314" i="9"/>
  <c r="AE315" i="9"/>
  <c r="AE316" i="9"/>
  <c r="AE317" i="9"/>
  <c r="AE318" i="9"/>
  <c r="AE319" i="9"/>
  <c r="AE320" i="9"/>
  <c r="AE321" i="9"/>
  <c r="AE322" i="9"/>
  <c r="AE323" i="9"/>
  <c r="AE324" i="9"/>
  <c r="AE325" i="9"/>
  <c r="AF325" i="9" s="1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E366" i="9"/>
  <c r="AE367" i="9"/>
  <c r="AE368" i="9"/>
  <c r="AF369" i="9" s="1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F425" i="9" s="1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E446" i="9"/>
  <c r="AE447" i="9"/>
  <c r="AF447" i="9" s="1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F465" i="9" s="1"/>
  <c r="AE466" i="9"/>
  <c r="AE467" i="9"/>
  <c r="AE468" i="9"/>
  <c r="AE469" i="9"/>
  <c r="AE470" i="9"/>
  <c r="AF470" i="9" s="1"/>
  <c r="AE471" i="9"/>
  <c r="AE472" i="9"/>
  <c r="AF473" i="9" s="1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E486" i="9"/>
  <c r="AE487" i="9"/>
  <c r="AE488" i="9"/>
  <c r="AE489" i="9"/>
  <c r="AE490" i="9"/>
  <c r="AE491" i="9"/>
  <c r="AE492" i="9"/>
  <c r="AE493" i="9"/>
  <c r="AE494" i="9"/>
  <c r="AE495" i="9"/>
  <c r="AE496" i="9"/>
  <c r="AF497" i="9" s="1"/>
  <c r="AE497" i="9"/>
  <c r="AE498" i="9"/>
  <c r="AE499" i="9"/>
  <c r="AE500" i="9"/>
  <c r="AE501" i="9"/>
  <c r="AE502" i="9"/>
  <c r="AE503" i="9"/>
  <c r="AF503" i="9" s="1"/>
  <c r="AE504" i="9"/>
  <c r="AE505" i="9"/>
  <c r="AF505" i="9" s="1"/>
  <c r="AE506" i="9"/>
  <c r="AE507" i="9"/>
  <c r="AE508" i="9"/>
  <c r="AE509" i="9"/>
  <c r="AE510" i="9"/>
  <c r="AE511" i="9"/>
  <c r="AE512" i="9"/>
  <c r="AE513" i="9"/>
  <c r="AE514" i="9"/>
  <c r="AE515" i="9"/>
  <c r="AE516" i="9"/>
  <c r="AE517" i="9"/>
  <c r="AE518" i="9"/>
  <c r="AE519" i="9"/>
  <c r="AE520" i="9"/>
  <c r="AE521" i="9"/>
  <c r="AE522" i="9"/>
  <c r="AE523" i="9"/>
  <c r="AE524" i="9"/>
  <c r="AE525" i="9"/>
  <c r="AE526" i="9"/>
  <c r="AE527" i="9"/>
  <c r="AE528" i="9"/>
  <c r="AF529" i="9" s="1"/>
  <c r="AE529" i="9"/>
  <c r="AE530" i="9"/>
  <c r="AE531" i="9"/>
  <c r="AE532" i="9"/>
  <c r="AE533" i="9"/>
  <c r="AE534" i="9"/>
  <c r="AE535" i="9"/>
  <c r="AE536" i="9"/>
  <c r="AF537" i="9" s="1"/>
  <c r="AE537" i="9"/>
  <c r="AE538" i="9"/>
  <c r="AE539" i="9"/>
  <c r="AE540" i="9"/>
  <c r="AE541" i="9"/>
  <c r="AE542" i="9"/>
  <c r="AF542" i="9" s="1"/>
  <c r="AE543" i="9"/>
  <c r="AE544" i="9"/>
  <c r="AE545" i="9"/>
  <c r="AE546" i="9"/>
  <c r="AE547" i="9"/>
  <c r="AE548" i="9"/>
  <c r="AE549" i="9"/>
  <c r="AE550" i="9"/>
  <c r="AE551" i="9"/>
  <c r="AE552" i="9"/>
  <c r="AE553" i="9"/>
  <c r="AE554" i="9"/>
  <c r="AE555" i="9"/>
  <c r="AE556" i="9"/>
  <c r="AE557" i="9"/>
  <c r="AE558" i="9"/>
  <c r="AE559" i="9"/>
  <c r="AE560" i="9"/>
  <c r="AE561" i="9"/>
  <c r="AE562" i="9"/>
  <c r="AE563" i="9"/>
  <c r="AE564" i="9"/>
  <c r="AE565" i="9"/>
  <c r="AE566" i="9"/>
  <c r="AE567" i="9"/>
  <c r="AF567" i="9" s="1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F306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46" i="9"/>
  <c r="BE247" i="9"/>
  <c r="BE248" i="9"/>
  <c r="BE249" i="9"/>
  <c r="BE250" i="9"/>
  <c r="BE251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F23" i="30"/>
  <c r="A23" i="30" s="1"/>
  <c r="BE75" i="9" s="1"/>
  <c r="F24" i="30"/>
  <c r="A24" i="30" s="1"/>
  <c r="BE96" i="9" s="1"/>
  <c r="F25" i="30"/>
  <c r="A25" i="30" s="1"/>
  <c r="F26" i="30"/>
  <c r="A26" i="30" s="1"/>
  <c r="BE278" i="9" s="1"/>
  <c r="F27" i="30"/>
  <c r="A27" i="30" s="1"/>
  <c r="BE312" i="9" s="1"/>
  <c r="A28" i="30"/>
  <c r="BE331" i="9" s="1"/>
  <c r="A29" i="30"/>
  <c r="BE395" i="9" s="1"/>
  <c r="A30" i="30"/>
  <c r="BE417" i="9" s="1"/>
  <c r="A36" i="30"/>
  <c r="BE542" i="9" s="1"/>
  <c r="F22" i="30"/>
  <c r="A22" i="30" s="1"/>
  <c r="BE14" i="9" s="1"/>
  <c r="A31" i="30"/>
  <c r="BE436" i="9" s="1"/>
  <c r="A32" i="30"/>
  <c r="BE454" i="9" s="1"/>
  <c r="A34" i="30"/>
  <c r="BE516" i="9" s="1"/>
  <c r="A35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59" i="9" l="1"/>
  <c r="AF383" i="9"/>
  <c r="AF557" i="9"/>
  <c r="AF533" i="9"/>
  <c r="AF413" i="9"/>
  <c r="AF552" i="9"/>
  <c r="AF480" i="9"/>
  <c r="AF575" i="9"/>
  <c r="AF519" i="9"/>
  <c r="AF495" i="9"/>
  <c r="AF439" i="9"/>
  <c r="AF527" i="9"/>
  <c r="AF479" i="9"/>
  <c r="AF455" i="9"/>
  <c r="AF438" i="9"/>
  <c r="AF570" i="9"/>
  <c r="AF538" i="9"/>
  <c r="AF482" i="9"/>
  <c r="AF410" i="9"/>
  <c r="AF386" i="9"/>
  <c r="AF299" i="9"/>
  <c r="AF267" i="9"/>
  <c r="AF583" i="9"/>
  <c r="AF511" i="9"/>
  <c r="AF463" i="9"/>
  <c r="AF577" i="9"/>
  <c r="AF569" i="9"/>
  <c r="AF513" i="9"/>
  <c r="AF579" i="9"/>
  <c r="AF555" i="9"/>
  <c r="AF531" i="9"/>
  <c r="AF507" i="9"/>
  <c r="AF359" i="9"/>
  <c r="AF311" i="9"/>
  <c r="AF303" i="9"/>
  <c r="AF279" i="9"/>
  <c r="AF370" i="9"/>
  <c r="AF584" i="9"/>
  <c r="AF576" i="9"/>
  <c r="AF536" i="9"/>
  <c r="AF528" i="9"/>
  <c r="AF520" i="9"/>
  <c r="AF512" i="9"/>
  <c r="AF496" i="9"/>
  <c r="AF472" i="9"/>
  <c r="AF464" i="9"/>
  <c r="AF456" i="9"/>
  <c r="AF408" i="9"/>
  <c r="AF367" i="9"/>
  <c r="AF355" i="9"/>
  <c r="AF283" i="9"/>
  <c r="AF268" i="9"/>
  <c r="AF515" i="9"/>
  <c r="AF451" i="9"/>
  <c r="AF427" i="9"/>
  <c r="AF403" i="9"/>
  <c r="AF287" i="9"/>
  <c r="AF393" i="9"/>
  <c r="AF543" i="9"/>
  <c r="AF330" i="9"/>
  <c r="AF547" i="9"/>
  <c r="AF491" i="9"/>
  <c r="AF467" i="9"/>
  <c r="AF435" i="9"/>
  <c r="AF335" i="9"/>
  <c r="AF449" i="9"/>
  <c r="AF433" i="9"/>
  <c r="AF541" i="9"/>
  <c r="AF501" i="9"/>
  <c r="AF469" i="9"/>
  <c r="AF461" i="9"/>
  <c r="AF437" i="9"/>
  <c r="AF397" i="9"/>
  <c r="AF361" i="9"/>
  <c r="AF377" i="9"/>
  <c r="AF341" i="9"/>
  <c r="AF310" i="9"/>
  <c r="AF277" i="9"/>
  <c r="AF432" i="9"/>
  <c r="AF416" i="9"/>
  <c r="AF392" i="9"/>
  <c r="AF364" i="9"/>
  <c r="AF348" i="9"/>
  <c r="AF316" i="9"/>
  <c r="AF423" i="9"/>
  <c r="AF399" i="9"/>
  <c r="AF375" i="9"/>
  <c r="AF347" i="9"/>
  <c r="AF315" i="9"/>
  <c r="AF337" i="9"/>
  <c r="AF329" i="9"/>
  <c r="AF281" i="9"/>
  <c r="AF276" i="9"/>
  <c r="AF431" i="9"/>
  <c r="AF407" i="9"/>
  <c r="AF440" i="9"/>
  <c r="AF424" i="9"/>
  <c r="AF400" i="9"/>
  <c r="AF384" i="9"/>
  <c r="AF340" i="9"/>
  <c r="AF324" i="9"/>
  <c r="AF300" i="9"/>
  <c r="AF292" i="9"/>
  <c r="AF363" i="9"/>
  <c r="AF307" i="9"/>
  <c r="AF291" i="9"/>
  <c r="AF275" i="9"/>
  <c r="AF77" i="9"/>
  <c r="AF331" i="9"/>
  <c r="BE214" i="9"/>
  <c r="BE194" i="9"/>
  <c r="AF323" i="9"/>
  <c r="AF415" i="9"/>
  <c r="AF504" i="9"/>
  <c r="AF462" i="9"/>
  <c r="AF75" i="9"/>
  <c r="AF568" i="9"/>
  <c r="AF362" i="9"/>
  <c r="AF560" i="9"/>
  <c r="AF553" i="9"/>
  <c r="AF544" i="9"/>
  <c r="AF488" i="9"/>
  <c r="AF481" i="9"/>
  <c r="AF457" i="9"/>
  <c r="AF448" i="9"/>
  <c r="AF441" i="9"/>
  <c r="AF401" i="9"/>
  <c r="AF376" i="9"/>
  <c r="AF368" i="9"/>
  <c r="AF357" i="9"/>
  <c r="AF349" i="9"/>
  <c r="AF332" i="9"/>
  <c r="AF309" i="9"/>
  <c r="AF301" i="9"/>
  <c r="AF293" i="9"/>
  <c r="AF284" i="9"/>
  <c r="AF339" i="9"/>
  <c r="AF391" i="9"/>
  <c r="AE82" i="9"/>
  <c r="AF82" i="9" s="1"/>
  <c r="AF582" i="9"/>
  <c r="AF566" i="9"/>
  <c r="AF550" i="9"/>
  <c r="AF526" i="9"/>
  <c r="AF510" i="9"/>
  <c r="AF494" i="9"/>
  <c r="AF478" i="9"/>
  <c r="AF454" i="9"/>
  <c r="AF422" i="9"/>
  <c r="AF406" i="9"/>
  <c r="AF374" i="9"/>
  <c r="AF314" i="9"/>
  <c r="AF298" i="9"/>
  <c r="AF573" i="9"/>
  <c r="AF549" i="9"/>
  <c r="AF517" i="9"/>
  <c r="AF509" i="9"/>
  <c r="AF493" i="9"/>
  <c r="AF477" i="9"/>
  <c r="AF429" i="9"/>
  <c r="AF389" i="9"/>
  <c r="AF381" i="9"/>
  <c r="AF373" i="9"/>
  <c r="AF321" i="9"/>
  <c r="AF313" i="9"/>
  <c r="AF574" i="9"/>
  <c r="AF558" i="9"/>
  <c r="AF534" i="9"/>
  <c r="AF486" i="9"/>
  <c r="AF446" i="9"/>
  <c r="AF430" i="9"/>
  <c r="AF414" i="9"/>
  <c r="AF398" i="9"/>
  <c r="AF382" i="9"/>
  <c r="AF366" i="9"/>
  <c r="AF354" i="9"/>
  <c r="AF290" i="9"/>
  <c r="AF274" i="9"/>
  <c r="A77" i="9"/>
  <c r="AF502" i="9"/>
  <c r="AF38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70" i="9"/>
  <c r="AF458" i="9"/>
  <c r="AF459" i="9"/>
  <c r="AF379" i="9"/>
  <c r="AF378" i="9"/>
  <c r="AF343" i="9"/>
  <c r="AF342" i="9"/>
  <c r="AF319" i="9"/>
  <c r="AF318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0" i="9"/>
  <c r="AF334" i="9"/>
  <c r="AF326" i="9"/>
  <c r="AF302" i="9"/>
  <c r="AF294" i="9"/>
  <c r="AF286" i="9"/>
  <c r="AF278" i="9"/>
  <c r="AF270" i="9"/>
  <c r="AF571" i="9"/>
  <c r="AF426" i="9"/>
  <c r="AF506" i="9"/>
  <c r="AF434" i="9"/>
  <c r="AF554" i="9"/>
  <c r="AF358" i="9"/>
  <c r="AF483" i="9"/>
  <c r="AF269" i="9"/>
  <c r="AF521" i="9"/>
  <c r="AF561" i="9"/>
  <c r="AF489" i="9"/>
  <c r="AF421" i="9"/>
  <c r="AF338" i="9"/>
  <c r="AF466" i="9"/>
  <c r="AF333" i="9"/>
  <c r="AF417" i="9"/>
  <c r="AF308" i="9"/>
  <c r="AF356" i="9"/>
  <c r="AF282" i="9"/>
  <c r="AF514" i="9"/>
  <c r="AF266" i="9"/>
  <c r="AF385" i="9"/>
  <c r="AF409" i="9"/>
  <c r="AF565" i="9"/>
  <c r="AF317" i="9"/>
  <c r="AF351" i="9"/>
  <c r="AF545" i="9"/>
  <c r="AF289" i="9"/>
  <c r="AF365" i="9"/>
  <c r="AF453" i="9"/>
  <c r="AF581" i="9"/>
  <c r="AF322" i="9"/>
  <c r="AF390" i="9"/>
  <c r="AF524" i="9"/>
  <c r="AF500" i="9"/>
  <c r="AF468" i="9"/>
  <c r="AF444" i="9"/>
  <c r="AF420" i="9"/>
  <c r="AF396" i="9"/>
  <c r="AF372" i="9"/>
  <c r="AF344" i="9"/>
  <c r="AF320" i="9"/>
  <c r="AF296" i="9"/>
  <c r="AF272" i="9"/>
  <c r="AF405" i="9"/>
  <c r="AF271" i="9"/>
  <c r="AF346" i="9"/>
  <c r="AF419" i="9"/>
  <c r="AF445" i="9"/>
  <c r="AF305" i="9"/>
  <c r="AF395" i="9"/>
  <c r="AF471" i="9"/>
  <c r="AF485" i="9"/>
  <c r="AF523" i="9"/>
  <c r="AF535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2" i="9"/>
  <c r="AF328" i="9"/>
  <c r="AF304" i="9"/>
  <c r="AF280" i="9"/>
  <c r="AF76" i="9"/>
  <c r="AF443" i="9"/>
  <c r="AF295" i="9"/>
  <c r="AF327" i="9"/>
  <c r="AF371" i="9"/>
  <c r="AF499" i="9"/>
  <c r="AF525" i="9"/>
  <c r="AF563" i="9"/>
  <c r="AF353" i="9"/>
  <c r="AF532" i="9"/>
  <c r="AF508" i="9"/>
  <c r="AF484" i="9"/>
  <c r="AF460" i="9"/>
  <c r="AF436" i="9"/>
  <c r="AF412" i="9"/>
  <c r="AF388" i="9"/>
  <c r="AF360" i="9"/>
  <c r="AF336" i="9"/>
  <c r="AF312" i="9"/>
  <c r="AF288" i="9"/>
  <c r="AF84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46" i="9"/>
  <c r="AU354" i="9"/>
  <c r="AU362" i="9"/>
  <c r="AU19" i="9"/>
  <c r="AU11" i="9"/>
  <c r="AU35" i="9"/>
  <c r="AU52" i="9"/>
  <c r="AU356" i="9"/>
  <c r="AU17" i="9"/>
  <c r="AU36" i="9"/>
  <c r="AU53" i="9"/>
  <c r="AU349" i="9"/>
  <c r="AU24" i="9"/>
  <c r="AU8" i="9"/>
  <c r="AU37" i="9"/>
  <c r="AU54" i="9"/>
  <c r="AU358" i="9"/>
  <c r="AU23" i="9"/>
  <c r="AU7" i="9"/>
  <c r="AU49" i="9"/>
  <c r="AU353" i="9"/>
  <c r="AU12" i="9"/>
  <c r="AU33" i="9"/>
  <c r="AU43" i="9"/>
  <c r="AU51" i="9"/>
  <c r="AU59" i="9"/>
  <c r="AU347" i="9"/>
  <c r="AU355" i="9"/>
  <c r="AU363" i="9"/>
  <c r="AU18" i="9"/>
  <c r="AU44" i="9"/>
  <c r="AU60" i="9"/>
  <c r="AU348" i="9"/>
  <c r="AU364" i="9"/>
  <c r="AU9" i="9"/>
  <c r="AU25" i="9"/>
  <c r="AU45" i="9"/>
  <c r="AU61" i="9"/>
  <c r="AU357" i="9"/>
  <c r="AU16" i="9"/>
  <c r="AU27" i="9"/>
  <c r="AU46" i="9"/>
  <c r="AU62" i="9"/>
  <c r="AU350" i="9"/>
  <c r="AU15" i="9"/>
  <c r="AU30" i="9"/>
  <c r="AU57" i="9"/>
  <c r="AU361" i="9"/>
  <c r="AU20" i="9"/>
  <c r="AU28" i="9"/>
  <c r="AU38" i="9"/>
  <c r="AU47" i="9"/>
  <c r="AU55" i="9"/>
  <c r="AU63" i="9"/>
  <c r="AU351" i="9"/>
  <c r="AU359" i="9"/>
  <c r="AU22" i="9"/>
  <c r="AU14" i="9"/>
  <c r="AU6" i="9"/>
  <c r="AU29" i="9"/>
  <c r="AU39" i="9"/>
  <c r="AU48" i="9"/>
  <c r="AU56" i="9"/>
  <c r="AU64" i="9"/>
  <c r="AU352" i="9"/>
  <c r="AU360" i="9"/>
  <c r="AU21" i="9"/>
  <c r="AU13" i="9"/>
  <c r="AU5" i="9"/>
  <c r="AU41" i="9"/>
  <c r="AU345" i="9"/>
  <c r="BE492" i="9"/>
  <c r="BE252" i="9"/>
  <c r="BE530" i="9"/>
  <c r="BE569" i="9"/>
  <c r="BE584" i="9"/>
  <c r="BE298" i="9"/>
  <c r="BE23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0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F66" i="9" l="1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45" i="9"/>
  <c r="BE525" i="9"/>
  <c r="BE565" i="9"/>
  <c r="AP359" i="9"/>
  <c r="AP361" i="9"/>
  <c r="AP363" i="9"/>
  <c r="AP360" i="9"/>
  <c r="AP364" i="9"/>
  <c r="AP362" i="9"/>
  <c r="AU103" i="9"/>
  <c r="AU119" i="9"/>
  <c r="AU221" i="9"/>
  <c r="AU263" i="9"/>
  <c r="AU102" i="9"/>
  <c r="AU104" i="9"/>
  <c r="AU120" i="9"/>
  <c r="AU220" i="9"/>
  <c r="AU121" i="9"/>
  <c r="AU99" i="9"/>
  <c r="AU100" i="9"/>
  <c r="AU224" i="9"/>
  <c r="AU264" i="9"/>
  <c r="AU122" i="9"/>
  <c r="AU222" i="9"/>
  <c r="AU262" i="9"/>
  <c r="AU123" i="9"/>
  <c r="AU223" i="9"/>
  <c r="AU124" i="9"/>
  <c r="AU101" i="9"/>
  <c r="AZ45" i="9"/>
  <c r="AZ85" i="9"/>
  <c r="AZ125" i="9"/>
  <c r="AZ165" i="9"/>
  <c r="AZ225" i="9"/>
  <c r="AZ265" i="9"/>
  <c r="AZ305" i="9"/>
  <c r="AZ345" i="9"/>
  <c r="AZ365" i="9"/>
  <c r="AZ405" i="9"/>
  <c r="AZ445" i="9"/>
  <c r="AZ485" i="9"/>
  <c r="AZ525" i="9"/>
  <c r="AZ565" i="9"/>
  <c r="AZ5" i="9"/>
  <c r="AZ25" i="9"/>
  <c r="AZ65" i="9"/>
  <c r="AZ105" i="9"/>
  <c r="AZ145" i="9"/>
  <c r="AZ205" i="9"/>
  <c r="AZ245" i="9"/>
  <c r="AZ285" i="9"/>
  <c r="AZ325" i="9"/>
  <c r="AZ385" i="9"/>
  <c r="AZ425" i="9"/>
  <c r="AZ465" i="9"/>
  <c r="AZ505" i="9"/>
  <c r="AZ545" i="9"/>
  <c r="AU87" i="9"/>
  <c r="AU95" i="9"/>
  <c r="AU111" i="9"/>
  <c r="AU211" i="9"/>
  <c r="AU219" i="9"/>
  <c r="AU251" i="9"/>
  <c r="AU259" i="9"/>
  <c r="AU113" i="9"/>
  <c r="AU205" i="9"/>
  <c r="AU253" i="9"/>
  <c r="AU91" i="9"/>
  <c r="AU107" i="9"/>
  <c r="AU115" i="9"/>
  <c r="AU207" i="9"/>
  <c r="AU247" i="9"/>
  <c r="AU92" i="9"/>
  <c r="AU108" i="9"/>
  <c r="AU116" i="9"/>
  <c r="AU216" i="9"/>
  <c r="AU256" i="9"/>
  <c r="AU93" i="9"/>
  <c r="AU117" i="9"/>
  <c r="AU209" i="9"/>
  <c r="AU86" i="9"/>
  <c r="AU258" i="9"/>
  <c r="AU88" i="9"/>
  <c r="AU96" i="9"/>
  <c r="AU112" i="9"/>
  <c r="AU212" i="9"/>
  <c r="AU252" i="9"/>
  <c r="AU260" i="9"/>
  <c r="AU89" i="9"/>
  <c r="AU97" i="9"/>
  <c r="AU105" i="9"/>
  <c r="AU213" i="9"/>
  <c r="AU245" i="9"/>
  <c r="AU261" i="9"/>
  <c r="AU215" i="9"/>
  <c r="AU255" i="9"/>
  <c r="AU85" i="9"/>
  <c r="AU109" i="9"/>
  <c r="AU257" i="9"/>
  <c r="AU94" i="9"/>
  <c r="AU110" i="9"/>
  <c r="AU210" i="9"/>
  <c r="AU90" i="9"/>
  <c r="AU98" i="9"/>
  <c r="AU106" i="9"/>
  <c r="AU114" i="9"/>
  <c r="AU206" i="9"/>
  <c r="AU214" i="9"/>
  <c r="AU246" i="9"/>
  <c r="AU254" i="9"/>
  <c r="AU208" i="9"/>
  <c r="AU248" i="9"/>
  <c r="AU217" i="9"/>
  <c r="AU249" i="9"/>
  <c r="AU118" i="9"/>
  <c r="AU218" i="9"/>
  <c r="AU25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09" i="9"/>
  <c r="AU317" i="9"/>
  <c r="AU325" i="9"/>
  <c r="AU333" i="9"/>
  <c r="AU341" i="9"/>
  <c r="AU369" i="9"/>
  <c r="AU377" i="9"/>
  <c r="AU310" i="9"/>
  <c r="AU318" i="9"/>
  <c r="AU326" i="9"/>
  <c r="AU334" i="9"/>
  <c r="AU342" i="9"/>
  <c r="AU370" i="9"/>
  <c r="AU378" i="9"/>
  <c r="AU311" i="9"/>
  <c r="AU319" i="9"/>
  <c r="AU327" i="9"/>
  <c r="AU335" i="9"/>
  <c r="AU343" i="9"/>
  <c r="AU371" i="9"/>
  <c r="AU379" i="9"/>
  <c r="AU312" i="9"/>
  <c r="AU320" i="9"/>
  <c r="AU328" i="9"/>
  <c r="AU336" i="9"/>
  <c r="AU344" i="9"/>
  <c r="AU372" i="9"/>
  <c r="AU380" i="9"/>
  <c r="AU305" i="9"/>
  <c r="AU313" i="9"/>
  <c r="AU321" i="9"/>
  <c r="AU329" i="9"/>
  <c r="AU337" i="9"/>
  <c r="AU365" i="9"/>
  <c r="AU373" i="9"/>
  <c r="AU381" i="9"/>
  <c r="AU306" i="9"/>
  <c r="AU314" i="9"/>
  <c r="AU322" i="9"/>
  <c r="AU330" i="9"/>
  <c r="AU338" i="9"/>
  <c r="AU366" i="9"/>
  <c r="AU374" i="9"/>
  <c r="AU382" i="9"/>
  <c r="AU307" i="9"/>
  <c r="AU315" i="9"/>
  <c r="AU323" i="9"/>
  <c r="AU331" i="9"/>
  <c r="AU339" i="9"/>
  <c r="AU367" i="9"/>
  <c r="AU375" i="9"/>
  <c r="AU383" i="9"/>
  <c r="AU340" i="9"/>
  <c r="AU368" i="9"/>
  <c r="AU376" i="9"/>
  <c r="AU384" i="9"/>
  <c r="AU308" i="9"/>
  <c r="AU316" i="9"/>
  <c r="AU324" i="9"/>
  <c r="AU33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307" i="9"/>
  <c r="AP315" i="9"/>
  <c r="AP323" i="9"/>
  <c r="AP415" i="9"/>
  <c r="AP423" i="9"/>
  <c r="AP130" i="9"/>
  <c r="AP318" i="9"/>
  <c r="AP128" i="9"/>
  <c r="AP136" i="9"/>
  <c r="AP144" i="9"/>
  <c r="AP308" i="9"/>
  <c r="AP316" i="9"/>
  <c r="AP324" i="9"/>
  <c r="AP416" i="9"/>
  <c r="AP424" i="9"/>
  <c r="AP310" i="9"/>
  <c r="AP129" i="9"/>
  <c r="AP137" i="9"/>
  <c r="AP309" i="9"/>
  <c r="AP317" i="9"/>
  <c r="AP417" i="9"/>
  <c r="AP138" i="9"/>
  <c r="AP418" i="9"/>
  <c r="AP131" i="9"/>
  <c r="AP139" i="9"/>
  <c r="AP311" i="9"/>
  <c r="AP319" i="9"/>
  <c r="AP419" i="9"/>
  <c r="AP126" i="9"/>
  <c r="AP320" i="9"/>
  <c r="AP422" i="9"/>
  <c r="AP134" i="9"/>
  <c r="AP412" i="9"/>
  <c r="AP306" i="9"/>
  <c r="AP413" i="9"/>
  <c r="AP314" i="9"/>
  <c r="AP132" i="9"/>
  <c r="AP321" i="9"/>
  <c r="AP133" i="9"/>
  <c r="AP322" i="9"/>
  <c r="AP305" i="9"/>
  <c r="AP140" i="9"/>
  <c r="AP141" i="9"/>
  <c r="AP312" i="9"/>
  <c r="AP414" i="9"/>
  <c r="AP142" i="9"/>
  <c r="AP313" i="9"/>
  <c r="AP420" i="9"/>
  <c r="AP125" i="9"/>
  <c r="AP421" i="9"/>
  <c r="AP151" i="9"/>
  <c r="AP159" i="9"/>
  <c r="AP167" i="9"/>
  <c r="AP175" i="9"/>
  <c r="AP183" i="9"/>
  <c r="AP211" i="9"/>
  <c r="AP219" i="9"/>
  <c r="AP227" i="9"/>
  <c r="AP235" i="9"/>
  <c r="AP243" i="9"/>
  <c r="AP251" i="9"/>
  <c r="AP259" i="9"/>
  <c r="AP267" i="9"/>
  <c r="AP275" i="9"/>
  <c r="AP283" i="9"/>
  <c r="AP291" i="9"/>
  <c r="AP29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22" i="9"/>
  <c r="AP246" i="9"/>
  <c r="AP270" i="9"/>
  <c r="AP294" i="9"/>
  <c r="AP434" i="9"/>
  <c r="AP458" i="9"/>
  <c r="AP482" i="9"/>
  <c r="AP506" i="9"/>
  <c r="AP152" i="9"/>
  <c r="AP160" i="9"/>
  <c r="AP168" i="9"/>
  <c r="AP176" i="9"/>
  <c r="AP184" i="9"/>
  <c r="AP212" i="9"/>
  <c r="AP220" i="9"/>
  <c r="AP228" i="9"/>
  <c r="AP236" i="9"/>
  <c r="AP244" i="9"/>
  <c r="AP252" i="9"/>
  <c r="AP260" i="9"/>
  <c r="AP268" i="9"/>
  <c r="AP276" i="9"/>
  <c r="AP284" i="9"/>
  <c r="AP292" i="9"/>
  <c r="AP30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214" i="9"/>
  <c r="AP238" i="9"/>
  <c r="AP262" i="9"/>
  <c r="AP286" i="9"/>
  <c r="AP426" i="9"/>
  <c r="AP442" i="9"/>
  <c r="AP466" i="9"/>
  <c r="AP490" i="9"/>
  <c r="AP514" i="9"/>
  <c r="AP145" i="9"/>
  <c r="AP153" i="9"/>
  <c r="AP161" i="9"/>
  <c r="AP169" i="9"/>
  <c r="AP177" i="9"/>
  <c r="AP205" i="9"/>
  <c r="AP213" i="9"/>
  <c r="AP221" i="9"/>
  <c r="AP229" i="9"/>
  <c r="AP237" i="9"/>
  <c r="AP245" i="9"/>
  <c r="AP253" i="9"/>
  <c r="AP261" i="9"/>
  <c r="AP269" i="9"/>
  <c r="AP277" i="9"/>
  <c r="AP285" i="9"/>
  <c r="AP293" i="9"/>
  <c r="AP30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206" i="9"/>
  <c r="AP230" i="9"/>
  <c r="AP254" i="9"/>
  <c r="AP278" i="9"/>
  <c r="AP302" i="9"/>
  <c r="AP450" i="9"/>
  <c r="AP474" i="9"/>
  <c r="AP498" i="9"/>
  <c r="AP147" i="9"/>
  <c r="AP155" i="9"/>
  <c r="AP163" i="9"/>
  <c r="AP171" i="9"/>
  <c r="AP179" i="9"/>
  <c r="AP207" i="9"/>
  <c r="AP215" i="9"/>
  <c r="AP223" i="9"/>
  <c r="AP231" i="9"/>
  <c r="AP239" i="9"/>
  <c r="AP247" i="9"/>
  <c r="AP255" i="9"/>
  <c r="AP263" i="9"/>
  <c r="AP271" i="9"/>
  <c r="AP279" i="9"/>
  <c r="AP287" i="9"/>
  <c r="AP295" i="9"/>
  <c r="AP30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210" i="9"/>
  <c r="AP233" i="9"/>
  <c r="AP256" i="9"/>
  <c r="AP274" i="9"/>
  <c r="AP297" i="9"/>
  <c r="AP445" i="9"/>
  <c r="AP468" i="9"/>
  <c r="AP486" i="9"/>
  <c r="AP509" i="9"/>
  <c r="AP526" i="9"/>
  <c r="AP542" i="9"/>
  <c r="AP558" i="9"/>
  <c r="AP574" i="9"/>
  <c r="AP530" i="9"/>
  <c r="AP578" i="9"/>
  <c r="AP218" i="9"/>
  <c r="AP282" i="9"/>
  <c r="AP494" i="9"/>
  <c r="AP549" i="9"/>
  <c r="AP158" i="9"/>
  <c r="AP242" i="9"/>
  <c r="AP477" i="9"/>
  <c r="AP534" i="9"/>
  <c r="AP582" i="9"/>
  <c r="AP485" i="9"/>
  <c r="AP557" i="9"/>
  <c r="AP150" i="9"/>
  <c r="AP173" i="9"/>
  <c r="AP216" i="9"/>
  <c r="AP234" i="9"/>
  <c r="AP257" i="9"/>
  <c r="AP280" i="9"/>
  <c r="AP298" i="9"/>
  <c r="AP428" i="9"/>
  <c r="AP446" i="9"/>
  <c r="AP469" i="9"/>
  <c r="AP492" i="9"/>
  <c r="AP510" i="9"/>
  <c r="AP546" i="9"/>
  <c r="AP562" i="9"/>
  <c r="AP180" i="9"/>
  <c r="AP264" i="9"/>
  <c r="AP453" i="9"/>
  <c r="AP517" i="9"/>
  <c r="AP565" i="9"/>
  <c r="AP181" i="9"/>
  <c r="AP265" i="9"/>
  <c r="AP454" i="9"/>
  <c r="AP518" i="9"/>
  <c r="AP566" i="9"/>
  <c r="AP296" i="9"/>
  <c r="AP462" i="9"/>
  <c r="AP541" i="9"/>
  <c r="AP156" i="9"/>
  <c r="AP174" i="9"/>
  <c r="AP217" i="9"/>
  <c r="AP240" i="9"/>
  <c r="AP258" i="9"/>
  <c r="AP281" i="9"/>
  <c r="AP304" i="9"/>
  <c r="AP429" i="9"/>
  <c r="AP452" i="9"/>
  <c r="AP470" i="9"/>
  <c r="AP493" i="9"/>
  <c r="AP516" i="9"/>
  <c r="AP532" i="9"/>
  <c r="AP548" i="9"/>
  <c r="AP564" i="9"/>
  <c r="AP580" i="9"/>
  <c r="AP157" i="9"/>
  <c r="AP241" i="9"/>
  <c r="AP430" i="9"/>
  <c r="AP476" i="9"/>
  <c r="AP533" i="9"/>
  <c r="AP581" i="9"/>
  <c r="AP224" i="9"/>
  <c r="AP288" i="9"/>
  <c r="AP436" i="9"/>
  <c r="AP500" i="9"/>
  <c r="AP550" i="9"/>
  <c r="AP444" i="9"/>
  <c r="AP525" i="9"/>
  <c r="AP164" i="9"/>
  <c r="AP182" i="9"/>
  <c r="AP225" i="9"/>
  <c r="AP248" i="9"/>
  <c r="AP266" i="9"/>
  <c r="AP289" i="9"/>
  <c r="AP437" i="9"/>
  <c r="AP460" i="9"/>
  <c r="AP478" i="9"/>
  <c r="AP501" i="9"/>
  <c r="AP522" i="9"/>
  <c r="AP538" i="9"/>
  <c r="AP554" i="9"/>
  <c r="AP570" i="9"/>
  <c r="AP165" i="9"/>
  <c r="AP208" i="9"/>
  <c r="AP226" i="9"/>
  <c r="AP249" i="9"/>
  <c r="AP272" i="9"/>
  <c r="AP290" i="9"/>
  <c r="AP438" i="9"/>
  <c r="AP461" i="9"/>
  <c r="AP484" i="9"/>
  <c r="AP502" i="9"/>
  <c r="AP524" i="9"/>
  <c r="AP540" i="9"/>
  <c r="AP556" i="9"/>
  <c r="AP572" i="9"/>
  <c r="AP148" i="9"/>
  <c r="AP166" i="9"/>
  <c r="AP209" i="9"/>
  <c r="AP232" i="9"/>
  <c r="AP250" i="9"/>
  <c r="AP27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31" i="9"/>
  <c r="AP339" i="9"/>
  <c r="AP367" i="9"/>
  <c r="AP375" i="9"/>
  <c r="AP383" i="9"/>
  <c r="AP407" i="9"/>
  <c r="AP410" i="9"/>
  <c r="AP332" i="9"/>
  <c r="AP340" i="9"/>
  <c r="AP368" i="9"/>
  <c r="AP376" i="9"/>
  <c r="AP384" i="9"/>
  <c r="AP408" i="9"/>
  <c r="AP334" i="9"/>
  <c r="AP325" i="9"/>
  <c r="AP333" i="9"/>
  <c r="AP341" i="9"/>
  <c r="AP369" i="9"/>
  <c r="AP377" i="9"/>
  <c r="AP409" i="9"/>
  <c r="AP326" i="9"/>
  <c r="AP342" i="9"/>
  <c r="AP370" i="9"/>
  <c r="AP378" i="9"/>
  <c r="AP327" i="9"/>
  <c r="AP335" i="9"/>
  <c r="AP343" i="9"/>
  <c r="AP371" i="9"/>
  <c r="AP379" i="9"/>
  <c r="AP411" i="9"/>
  <c r="AP338" i="9"/>
  <c r="AP381" i="9"/>
  <c r="AP344" i="9"/>
  <c r="AP382" i="9"/>
  <c r="AP405" i="9"/>
  <c r="AP328" i="9"/>
  <c r="AP329" i="9"/>
  <c r="AP365" i="9"/>
  <c r="AP406" i="9"/>
  <c r="AP366" i="9"/>
  <c r="AP372" i="9"/>
  <c r="AP337" i="9"/>
  <c r="AP330" i="9"/>
  <c r="AP373" i="9"/>
  <c r="AP33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A578" i="9" l="1"/>
  <c r="A570" i="9"/>
  <c r="A298" i="9"/>
  <c r="A582" i="9"/>
  <c r="A574" i="9"/>
  <c r="A566" i="9"/>
  <c r="AF228" i="9"/>
  <c r="AF236" i="9"/>
  <c r="AF232" i="9"/>
  <c r="AF238" i="9"/>
  <c r="AF240" i="9"/>
  <c r="AF230" i="9"/>
  <c r="AF234" i="9"/>
  <c r="AF242" i="9"/>
  <c r="AF237" i="9"/>
  <c r="AF241" i="9"/>
  <c r="AF239" i="9"/>
  <c r="AF244" i="9"/>
  <c r="AF243" i="9"/>
  <c r="AF235" i="9"/>
  <c r="AF226" i="9"/>
  <c r="AF225" i="9"/>
  <c r="AF227" i="9"/>
  <c r="AF229" i="9"/>
  <c r="AF231" i="9"/>
  <c r="AF233" i="9"/>
  <c r="AN242" i="9"/>
  <c r="AN226" i="9"/>
  <c r="AN234" i="9"/>
  <c r="AN240" i="9"/>
  <c r="A405" i="9"/>
  <c r="A389" i="9"/>
  <c r="A345" i="9"/>
  <c r="AN225" i="9"/>
  <c r="AN233" i="9"/>
  <c r="AN241" i="9"/>
  <c r="AN228" i="9"/>
  <c r="AN232" i="9"/>
  <c r="AN238" i="9"/>
  <c r="AN227" i="9"/>
  <c r="AN231" i="9"/>
  <c r="AN237" i="9"/>
  <c r="AN243" i="9"/>
  <c r="AN230" i="9"/>
  <c r="AN236" i="9"/>
  <c r="AN244" i="9"/>
  <c r="A453" i="9"/>
  <c r="AN229" i="9"/>
  <c r="AN235" i="9"/>
  <c r="AN239" i="9"/>
  <c r="A583" i="9"/>
  <c r="A575" i="9"/>
  <c r="A567" i="9"/>
  <c r="A581" i="9"/>
  <c r="A533" i="9"/>
  <c r="A469" i="9"/>
  <c r="A280" i="9"/>
  <c r="A557" i="9"/>
  <c r="A517" i="9"/>
  <c r="A297" i="9"/>
  <c r="A534" i="9"/>
  <c r="A470" i="9"/>
  <c r="A493" i="9"/>
  <c r="A361" i="9"/>
  <c r="A551" i="9"/>
  <c r="A339" i="9"/>
  <c r="A365" i="9"/>
  <c r="A321" i="9"/>
  <c r="A579" i="9"/>
  <c r="A571" i="9"/>
  <c r="A406" i="9"/>
  <c r="A429" i="9"/>
  <c r="A281" i="9"/>
  <c r="A277" i="9"/>
  <c r="A273" i="9"/>
  <c r="A269" i="9"/>
  <c r="A265" i="9"/>
  <c r="A423" i="9"/>
  <c r="A383" i="9"/>
  <c r="A299" i="9"/>
  <c r="A510" i="9"/>
  <c r="A446" i="9"/>
  <c r="A362" i="9"/>
  <c r="A338" i="9"/>
  <c r="A322" i="9"/>
  <c r="A27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3" i="9"/>
  <c r="A337" i="9"/>
  <c r="A329" i="9"/>
  <c r="A313" i="9"/>
  <c r="A305" i="9"/>
  <c r="A289" i="9"/>
  <c r="A511" i="9"/>
  <c r="A487" i="9"/>
  <c r="A447" i="9"/>
  <c r="A315" i="9"/>
  <c r="A382" i="9"/>
  <c r="A552" i="9"/>
  <c r="A528" i="9"/>
  <c r="A504" i="9"/>
  <c r="A480" i="9"/>
  <c r="A456" i="9"/>
  <c r="A440" i="9"/>
  <c r="A424" i="9"/>
  <c r="A400" i="9"/>
  <c r="A376" i="9"/>
  <c r="A364" i="9"/>
  <c r="A340" i="9"/>
  <c r="A324" i="9"/>
  <c r="A300" i="9"/>
  <c r="A559" i="9"/>
  <c r="A535" i="9"/>
  <c r="A479" i="9"/>
  <c r="A455" i="9"/>
  <c r="A431" i="9"/>
  <c r="A407" i="9"/>
  <c r="A367" i="9"/>
  <c r="A363" i="9"/>
  <c r="A30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4" i="9"/>
  <c r="A346" i="9"/>
  <c r="A330" i="9"/>
  <c r="A314" i="9"/>
  <c r="A306" i="9"/>
  <c r="A290" i="9"/>
  <c r="A284" i="9"/>
  <c r="A272" i="9"/>
  <c r="A268" i="9"/>
  <c r="A573" i="9"/>
  <c r="A565" i="9"/>
  <c r="A544" i="9"/>
  <c r="A520" i="9"/>
  <c r="A496" i="9"/>
  <c r="A472" i="9"/>
  <c r="A448" i="9"/>
  <c r="A416" i="9"/>
  <c r="A384" i="9"/>
  <c r="A368" i="9"/>
  <c r="A356" i="9"/>
  <c r="A332" i="9"/>
  <c r="A308" i="9"/>
  <c r="A527" i="9"/>
  <c r="A503" i="9"/>
  <c r="A463" i="9"/>
  <c r="A439" i="9"/>
  <c r="A399" i="9"/>
  <c r="A375" i="9"/>
  <c r="A355" i="9"/>
  <c r="A323" i="9"/>
  <c r="A291" i="9"/>
  <c r="A542" i="9"/>
  <c r="A560" i="9"/>
  <c r="A536" i="9"/>
  <c r="A512" i="9"/>
  <c r="A488" i="9"/>
  <c r="A464" i="9"/>
  <c r="A432" i="9"/>
  <c r="A408" i="9"/>
  <c r="A392" i="9"/>
  <c r="A348" i="9"/>
  <c r="A316" i="9"/>
  <c r="A292" i="9"/>
  <c r="A543" i="9"/>
  <c r="A519" i="9"/>
  <c r="A495" i="9"/>
  <c r="A471" i="9"/>
  <c r="A415" i="9"/>
  <c r="A391" i="9"/>
  <c r="A347" i="9"/>
  <c r="A33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57" i="9"/>
  <c r="A349" i="9"/>
  <c r="A341" i="9"/>
  <c r="A333" i="9"/>
  <c r="A325" i="9"/>
  <c r="A317" i="9"/>
  <c r="A309" i="9"/>
  <c r="A301" i="9"/>
  <c r="A293" i="9"/>
  <c r="A285" i="9"/>
  <c r="A563" i="9"/>
  <c r="A539" i="9"/>
  <c r="A515" i="9"/>
  <c r="A491" i="9"/>
  <c r="A467" i="9"/>
  <c r="A443" i="9"/>
  <c r="A403" i="9"/>
  <c r="A379" i="9"/>
  <c r="A359" i="9"/>
  <c r="A335" i="9"/>
  <c r="A311" i="9"/>
  <c r="A287" i="9"/>
  <c r="A554" i="9"/>
  <c r="A530" i="9"/>
  <c r="A506" i="9"/>
  <c r="A482" i="9"/>
  <c r="A458" i="9"/>
  <c r="A434" i="9"/>
  <c r="A410" i="9"/>
  <c r="A386" i="9"/>
  <c r="A342" i="9"/>
  <c r="A310" i="9"/>
  <c r="A29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1" i="9"/>
  <c r="A327" i="9"/>
  <c r="A303" i="9"/>
  <c r="A562" i="9"/>
  <c r="A546" i="9"/>
  <c r="A522" i="9"/>
  <c r="A490" i="9"/>
  <c r="A474" i="9"/>
  <c r="A450" i="9"/>
  <c r="A426" i="9"/>
  <c r="A402" i="9"/>
  <c r="A378" i="9"/>
  <c r="A350" i="9"/>
  <c r="A326" i="9"/>
  <c r="A318" i="9"/>
  <c r="A286" i="9"/>
  <c r="A270" i="9"/>
  <c r="A555" i="9"/>
  <c r="A531" i="9"/>
  <c r="A499" i="9"/>
  <c r="A475" i="9"/>
  <c r="A459" i="9"/>
  <c r="A427" i="9"/>
  <c r="A411" i="9"/>
  <c r="A395" i="9"/>
  <c r="A371" i="9"/>
  <c r="A343" i="9"/>
  <c r="A319" i="9"/>
  <c r="A295" i="9"/>
  <c r="A538" i="9"/>
  <c r="A514" i="9"/>
  <c r="A498" i="9"/>
  <c r="A466" i="9"/>
  <c r="A442" i="9"/>
  <c r="A418" i="9"/>
  <c r="A394" i="9"/>
  <c r="A37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A236" i="9"/>
  <c r="A244" i="9"/>
  <c r="A230" i="9"/>
  <c r="A234" i="9"/>
  <c r="A238" i="9"/>
  <c r="A242" i="9"/>
  <c r="A226" i="9"/>
  <c r="A225" i="9"/>
  <c r="A233" i="9"/>
  <c r="A24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BL224" i="9"/>
  <c r="AE224" i="9" s="1"/>
  <c r="AH224" i="9"/>
  <c r="F224" i="9"/>
  <c r="C224" i="9"/>
  <c r="BL223" i="9"/>
  <c r="AE223" i="9" s="1"/>
  <c r="AH223" i="9"/>
  <c r="F223" i="9"/>
  <c r="C223" i="9"/>
  <c r="BL222" i="9"/>
  <c r="AE222" i="9" s="1"/>
  <c r="AH222" i="9"/>
  <c r="F222" i="9"/>
  <c r="C222" i="9"/>
  <c r="BL221" i="9"/>
  <c r="AE221" i="9" s="1"/>
  <c r="AH221" i="9"/>
  <c r="F221" i="9"/>
  <c r="C221" i="9"/>
  <c r="BL220" i="9"/>
  <c r="AE220" i="9" s="1"/>
  <c r="AH220" i="9"/>
  <c r="F220" i="9"/>
  <c r="C220" i="9"/>
  <c r="BL219" i="9"/>
  <c r="AE219" i="9" s="1"/>
  <c r="AH219" i="9"/>
  <c r="F219" i="9"/>
  <c r="C219" i="9"/>
  <c r="BL218" i="9"/>
  <c r="AE218" i="9" s="1"/>
  <c r="AH218" i="9"/>
  <c r="F218" i="9"/>
  <c r="C218" i="9"/>
  <c r="BL217" i="9"/>
  <c r="AE217" i="9" s="1"/>
  <c r="AH217" i="9"/>
  <c r="F217" i="9"/>
  <c r="C217" i="9"/>
  <c r="BL216" i="9"/>
  <c r="AE216" i="9" s="1"/>
  <c r="AH216" i="9"/>
  <c r="F216" i="9"/>
  <c r="C216" i="9"/>
  <c r="BL215" i="9"/>
  <c r="AE215" i="9" s="1"/>
  <c r="AH215" i="9"/>
  <c r="F215" i="9"/>
  <c r="C215" i="9"/>
  <c r="BL214" i="9"/>
  <c r="AE214" i="9" s="1"/>
  <c r="AH214" i="9"/>
  <c r="F214" i="9"/>
  <c r="C214" i="9"/>
  <c r="BL213" i="9"/>
  <c r="AE213" i="9" s="1"/>
  <c r="AH213" i="9"/>
  <c r="F213" i="9"/>
  <c r="C213" i="9"/>
  <c r="BL212" i="9"/>
  <c r="AE212" i="9" s="1"/>
  <c r="AH212" i="9"/>
  <c r="F212" i="9"/>
  <c r="C212" i="9"/>
  <c r="BL211" i="9"/>
  <c r="AE211" i="9" s="1"/>
  <c r="AH211" i="9"/>
  <c r="F211" i="9"/>
  <c r="C211" i="9"/>
  <c r="BL210" i="9"/>
  <c r="AE210" i="9" s="1"/>
  <c r="AH210" i="9"/>
  <c r="F210" i="9"/>
  <c r="C210" i="9"/>
  <c r="BL209" i="9"/>
  <c r="AE209" i="9" s="1"/>
  <c r="AH209" i="9"/>
  <c r="F209" i="9"/>
  <c r="C209" i="9"/>
  <c r="BL208" i="9"/>
  <c r="AE208" i="9" s="1"/>
  <c r="AH208" i="9"/>
  <c r="F208" i="9"/>
  <c r="C208" i="9"/>
  <c r="BL207" i="9"/>
  <c r="AE207" i="9" s="1"/>
  <c r="AH207" i="9"/>
  <c r="F207" i="9"/>
  <c r="C207" i="9"/>
  <c r="BL206" i="9"/>
  <c r="AE206" i="9" s="1"/>
  <c r="AH206" i="9"/>
  <c r="F206" i="9"/>
  <c r="C206" i="9"/>
  <c r="BL205" i="9"/>
  <c r="AE205" i="9" s="1"/>
  <c r="AH205" i="9"/>
  <c r="F205" i="9"/>
  <c r="C20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08" i="9"/>
  <c r="AF210" i="9"/>
  <c r="AF212" i="9"/>
  <c r="AF214" i="9"/>
  <c r="AF216" i="9"/>
  <c r="AF218" i="9"/>
  <c r="AF220" i="9"/>
  <c r="AF222" i="9"/>
  <c r="AF224" i="9"/>
  <c r="AF248" i="9"/>
  <c r="AF252" i="9"/>
  <c r="AF254" i="9"/>
  <c r="AF256" i="9"/>
  <c r="AF258" i="9"/>
  <c r="AF260" i="9"/>
  <c r="AF264" i="9"/>
  <c r="AF32" i="9"/>
  <c r="AF38" i="9"/>
  <c r="AF48" i="9"/>
  <c r="AF28" i="9"/>
  <c r="AF34" i="9"/>
  <c r="AF42" i="9"/>
  <c r="AF249" i="9"/>
  <c r="AF250" i="9"/>
  <c r="AF7" i="9"/>
  <c r="AF11" i="9"/>
  <c r="AF15" i="9"/>
  <c r="AF19" i="9"/>
  <c r="AF245" i="9"/>
  <c r="AF246" i="9"/>
  <c r="AF9" i="9"/>
  <c r="AF13" i="9"/>
  <c r="AF17" i="9"/>
  <c r="AF247" i="9"/>
  <c r="AF251" i="9"/>
  <c r="AF253" i="9"/>
  <c r="AF255" i="9"/>
  <c r="AF257" i="9"/>
  <c r="AF259" i="9"/>
  <c r="AF261" i="9"/>
  <c r="AF262" i="9"/>
  <c r="AF263" i="9"/>
  <c r="AF6" i="9"/>
  <c r="AF5" i="9"/>
  <c r="AF10" i="9"/>
  <c r="AF14" i="9"/>
  <c r="AF18" i="9"/>
  <c r="AF45" i="9"/>
  <c r="AF46" i="9"/>
  <c r="AF86" i="9"/>
  <c r="AF85" i="9"/>
  <c r="AF97" i="9"/>
  <c r="AF98" i="9"/>
  <c r="AF206" i="9"/>
  <c r="AF20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07" i="9"/>
  <c r="AF209" i="9"/>
  <c r="AF211" i="9"/>
  <c r="AF213" i="9"/>
  <c r="AF215" i="9"/>
  <c r="AF217" i="9"/>
  <c r="AF219" i="9"/>
  <c r="AF221" i="9"/>
  <c r="AF22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10" i="9"/>
  <c r="AN220" i="9"/>
  <c r="AN250" i="9"/>
  <c r="AN26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06" i="9"/>
  <c r="AN214" i="9"/>
  <c r="AN222" i="9"/>
  <c r="AN246" i="9"/>
  <c r="AN252" i="9"/>
  <c r="AN25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07" i="9"/>
  <c r="AN213" i="9"/>
  <c r="AN219" i="9"/>
  <c r="AN245" i="9"/>
  <c r="AN251" i="9"/>
  <c r="AN255" i="9"/>
  <c r="AN26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08" i="9"/>
  <c r="AN216" i="9"/>
  <c r="AN224" i="9"/>
  <c r="AN254" i="9"/>
  <c r="AN26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09" i="9"/>
  <c r="AN215" i="9"/>
  <c r="AN221" i="9"/>
  <c r="AN247" i="9"/>
  <c r="AN253" i="9"/>
  <c r="AN257" i="9"/>
  <c r="AN26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12" i="9"/>
  <c r="AN218" i="9"/>
  <c r="AN248" i="9"/>
  <c r="AN256" i="9"/>
  <c r="AN26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05" i="9"/>
  <c r="AN211" i="9"/>
  <c r="AN217" i="9"/>
  <c r="AN223" i="9"/>
  <c r="AN249" i="9"/>
  <c r="AN259" i="9"/>
  <c r="AP347" i="9"/>
  <c r="AP355" i="9"/>
  <c r="AP348" i="9"/>
  <c r="AP356" i="9"/>
  <c r="AP349" i="9"/>
  <c r="AP357" i="9"/>
  <c r="AP350" i="9"/>
  <c r="AP358" i="9"/>
  <c r="AP351" i="9"/>
  <c r="AP352" i="9"/>
  <c r="AP345" i="9"/>
  <c r="AP346" i="9"/>
  <c r="AP353" i="9"/>
  <c r="AP35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A252" i="9"/>
  <c r="A34" i="9"/>
  <c r="A44" i="9"/>
  <c r="A95" i="9"/>
  <c r="A110" i="9"/>
  <c r="A121" i="9"/>
  <c r="A143" i="9"/>
  <c r="A154" i="9"/>
  <c r="A86" i="9"/>
  <c r="A221" i="9"/>
  <c r="A245" i="9"/>
  <c r="A52" i="9"/>
  <c r="A63" i="9"/>
  <c r="A139" i="9"/>
  <c r="A166" i="9"/>
  <c r="A222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A250" i="9"/>
  <c r="A255" i="9"/>
  <c r="A159" i="9"/>
  <c r="A181" i="9"/>
  <c r="A248" i="9"/>
  <c r="A91" i="9"/>
  <c r="A156" i="9"/>
  <c r="A24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07" i="9"/>
  <c r="A246" i="9"/>
  <c r="A61" i="9"/>
  <c r="A107" i="9"/>
  <c r="A251" i="9"/>
  <c r="A12" i="9"/>
  <c r="A27" i="9"/>
  <c r="A89" i="9"/>
  <c r="A94" i="9"/>
  <c r="A124" i="9"/>
  <c r="A126" i="9"/>
  <c r="A134" i="9"/>
  <c r="A162" i="9"/>
  <c r="A177" i="9"/>
  <c r="A205" i="9"/>
  <c r="A210" i="9"/>
  <c r="A216" i="9"/>
  <c r="A261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<sst xmlns="http://schemas.openxmlformats.org/spreadsheetml/2006/main" count="3527" uniqueCount="629">
  <si>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</si>
  <si>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</si>
  <si>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</si>
  <si>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</si>
  <si>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</si>
  <si>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</si>
  <si>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</si>
  <si>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</si>
  <si>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</si>
  <si>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</si>
  <si>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</si>
  <si>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</si>
  <si>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</si>
  <si>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</si>
  <si>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</si>
  <si>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</si>
  <si>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</si>
  <si>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</si>
  <si>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</si>
  <si>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</si>
  <si>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</si>
  <si>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</si>
  <si>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</si>
  <si>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</si>
  <si>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</si>
  <si>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</si>
  <si>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</si>
  <si>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</si>
  <si>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</si>
  <si>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</si>
  <si>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</si>
  <si>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</si>
  <si>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</si>
  <si>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</si>
  <si>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</si>
  <si>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</si>
  <si>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</si>
  <si>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</si>
  <si>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</si>
  <si>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</si>
  <si>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</si>
  <si>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</si>
  <si>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</si>
  <si>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</si>
  <si>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</si>
  <si>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</si>
  <si>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</si>
  <si>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</si>
  <si>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</si>
  <si>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</si>
  <si>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</si>
  <si>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</si>
  <si>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</si>
  <si>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</si>
  <si>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</si>
  <si>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</si>
  <si>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</si>
  <si>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</si>
  <si>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</si>
  <si>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</si>
  <si>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</si>
  <si>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</si>
  <si>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</si>
  <si>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</si>
  <si>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</si>
  <si>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</si>
  <si>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</si>
  <si>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</si>
  <si>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</si>
  <si>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</si>
  <si>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</si>
  <si>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</si>
  <si>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</si>
  <si>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</si>
  <si>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</si>
  <si>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</si>
  <si>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</si>
  <si>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</si>
  <si>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</si>
  <si>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</si>
  <si>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</si>
  <si>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</si>
  <si>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</si>
  <si>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</si>
  <si>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</si>
  <si>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</si>
  <si>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</si>
  <si>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</si>
  <si>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</si>
  <si>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</si>
  <si>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</si>
  <si>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</si>
  <si>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</si>
  <si>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</si>
  <si>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</si>
  <si>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</si>
  <si>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</si>
  <si>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</si>
  <si>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</si>
  <si>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</si>
  <si>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</si>
  <si>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</si>
  <si>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</si>
  <si>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</si>
  <si>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</si>
  <si>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</si>
  <si>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</si>
  <si>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</si>
  <si>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</si>
  <si>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</si>
  <si>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</si>
  <si>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</si>
  <si>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</si>
  <si>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</si>
  <si>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</si>
  <si>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</si>
  <si>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</si>
  <si>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</si>
  <si>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</si>
  <si>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</si>
  <si>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</si>
  <si>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</si>
  <si>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</si>
  <si>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</si>
  <si>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</si>
  <si>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</si>
  <si>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</si>
  <si>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</si>
  <si>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</si>
  <si>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</si>
  <si>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</si>
  <si>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</si>
  <si>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</si>
  <si>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</si>
  <si>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</si>
  <si>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</si>
  <si>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</si>
  <si>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</si>
  <si>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</si>
  <si>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</si>
  <si>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</si>
  <si>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</si>
  <si>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</si>
  <si>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</si>
  <si>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</si>
  <si>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</si>
  <si>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</si>
  <si>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</si>
  <si>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</si>
  <si>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</si>
  <si>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</si>
  <si>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</si>
  <si>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</si>
  <si>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</si>
  <si>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</si>
  <si>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</si>
  <si>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</si>
  <si>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</si>
  <si>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</si>
  <si>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</si>
  <si>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</si>
  <si>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</si>
  <si>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</si>
  <si>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</si>
  <si>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</si>
  <si>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</si>
  <si>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</si>
  <si>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</si>
  <si>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</si>
  <si>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</si>
  <si>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</si>
  <si>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</si>
  <si>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</si>
  <si>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</si>
  <si>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</si>
  <si>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</si>
  <si>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</si>
  <si>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</si>
  <si>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</si>
  <si>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</si>
  <si>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</si>
  <si>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</si>
  <si>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</si>
  <si>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</si>
  <si>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</si>
  <si>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</si>
  <si>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</si>
  <si>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</si>
  <si>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</si>
  <si>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</si>
  <si>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</si>
  <si>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</si>
  <si>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</si>
  <si>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</si>
  <si>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</si>
  <si>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</si>
  <si>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</si>
  <si>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</si>
  <si>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</si>
  <si>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</si>
  <si>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</si>
  <si>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</si>
  <si>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</si>
  <si>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</si>
  <si>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</si>
  <si>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</si>
  <si>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</si>
  <si>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</si>
  <si>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</si>
  <si>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</si>
  <si>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</si>
  <si>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</si>
  <si>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</si>
  <si>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</si>
  <si>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</si>
  <si>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</si>
  <si>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</si>
  <si>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</si>
  <si>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</si>
  <si>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</si>
  <si>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</si>
  <si>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</si>
  <si>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</si>
  <si>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</si>
  <si>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</si>
  <si>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</si>
  <si>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</si>
  <si>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</si>
  <si>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</si>
  <si>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</si>
  <si>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</si>
  <si>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</si>
  <si>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</si>
  <si>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</si>
  <si>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</si>
  <si>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</si>
  <si>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</si>
  <si>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</si>
  <si>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</si>
  <si>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</si>
  <si>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</si>
  <si>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</si>
  <si>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</si>
  <si>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</si>
  <si>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</si>
  <si>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</si>
  <si>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</si>
  <si>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</si>
  <si>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</si>
  <si>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</si>
  <si>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</si>
  <si>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</si>
  <si>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</si>
  <si>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</si>
  <si>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</si>
  <si>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</si>
  <si>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</si>
  <si>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</si>
  <si>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</si>
  <si>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</si>
  <si>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</si>
  <si>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</si>
  <si>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</si>
  <si>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</si>
  <si>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</si>
  <si>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</si>
  <si>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</si>
  <si>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</si>
  <si>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</si>
  <si>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</si>
  <si>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</si>
  <si>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</si>
  <si>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</si>
  <si>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</si>
  <si>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</si>
  <si>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</si>
  <si>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</si>
  <si>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</si>
  <si>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</si>
  <si>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</si>
  <si>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</si>
  <si>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</si>
  <si>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</si>
  <si>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</si>
  <si>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</si>
  <si>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</si>
  <si>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</si>
  <si>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</si>
  <si>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</si>
  <si>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</si>
  <si>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</si>
  <si>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</si>
  <si>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</si>
  <si>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</si>
  <si>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</si>
  <si>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</si>
  <si>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</si>
  <si>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</si>
  <si>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</si>
  <si>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</si>
  <si>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</si>
  <si>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</si>
  <si>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</si>
  <si>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</si>
  <si>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</si>
  <si>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</si>
  <si>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</si>
  <si>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</si>
  <si>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</si>
  <si>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</si>
  <si>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</si>
  <si>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</si>
  <si>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</si>
  <si>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</si>
  <si>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</si>
  <si>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</si>
  <si>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</si>
  <si>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</si>
  <si>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</si>
  <si>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</si>
  <si>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</si>
  <si>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</si>
  <si>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</si>
  <si>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</si>
  <si>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</si>
  <si>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</si>
  <si>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</si>
  <si>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</si>
  <si>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</si>
  <si>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</si>
  <si>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</si>
  <si>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</si>
  <si>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</si>
  <si>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</si>
  <si>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</si>
  <si>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</si>
  <si>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</si>
  <si>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</si>
  <si>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</si>
  <si>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</si>
  <si>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</si>
  <si>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</si>
  <si>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</si>
  <si>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</si>
  <si>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</si>
  <si>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</si>
  <si>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</si>
  <si>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</si>
  <si>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</si>
  <si>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</si>
  <si>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</si>
  <si>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</si>
  <si>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</si>
  <si>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</si>
  <si>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</si>
  <si>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</si>
  <si>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</si>
  <si>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</si>
  <si>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</si>
  <si>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2" type="noConversion"/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</si>
  <si>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</si>
  <si>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</si>
  <si>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</si>
  <si>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</si>
  <si>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</si>
  <si>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</si>
  <si>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</si>
  <si>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</si>
  <si>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</si>
  <si>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</si>
  <si>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</si>
  <si>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</si>
  <si>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</si>
  <si>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</si>
  <si>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</si>
  <si>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</si>
  <si>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</si>
  <si>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</si>
  <si>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</si>
  <si>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</si>
  <si>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</si>
  <si>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</si>
  <si>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</si>
  <si>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</si>
  <si>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</si>
  <si>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</si>
  <si>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</si>
  <si>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</si>
  <si>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</si>
  <si>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</si>
  <si>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</si>
  <si>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</si>
  <si>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</si>
  <si>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</si>
  <si>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</si>
  <si>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</si>
  <si>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</si>
  <si>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</si>
  <si>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</si>
  <si>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</si>
  <si>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</si>
  <si>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</si>
  <si>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</si>
  <si>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</si>
  <si>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</si>
  <si>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</si>
  <si>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</si>
  <si>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</si>
  <si>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</si>
  <si>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</si>
  <si>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</si>
  <si>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</si>
  <si>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</si>
  <si>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</si>
  <si>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</si>
  <si>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</si>
  <si>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</si>
  <si>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</si>
  <si>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</si>
  <si>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</si>
  <si>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</si>
  <si>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</si>
  <si>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</si>
  <si>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</si>
  <si>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</si>
  <si>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</si>
  <si>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</si>
  <si>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</si>
  <si>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</si>
  <si>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</si>
  <si>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</si>
  <si>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</si>
  <si>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</si>
  <si>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</si>
  <si>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</si>
  <si>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</si>
  <si>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</si>
  <si>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</si>
  <si>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</si>
  <si>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</si>
  <si>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</si>
  <si>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</si>
  <si>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</si>
  <si>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</si>
  <si>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</si>
  <si>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</si>
  <si>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</si>
  <si>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</si>
  <si>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</si>
  <si>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</si>
  <si>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</si>
  <si>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</si>
  <si>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</si>
  <si>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</si>
  <si>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</si>
  <si>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</si>
  <si>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</si>
  <si>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</si>
  <si>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</si>
  <si>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</si>
  <si>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</si>
  <si>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</si>
  <si>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</si>
  <si>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</si>
  <si>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</si>
  <si>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</si>
  <si>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</si>
  <si>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</si>
  <si>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</si>
  <si>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</si>
  <si>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</si>
  <si>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</si>
  <si>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</si>
  <si>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</si>
  <si>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</si>
  <si>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</si>
  <si>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</si>
  <si>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</si>
  <si>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</si>
  <si>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</si>
  <si>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</si>
  <si>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</si>
  <si>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</si>
  <si>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</si>
  <si>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</si>
  <si>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</si>
  <si>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</si>
  <si>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</si>
  <si>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</si>
  <si>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</si>
  <si>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</si>
  <si>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</si>
  <si>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</si>
  <si>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</si>
  <si>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</si>
  <si>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</si>
  <si>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</si>
  <si>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</si>
  <si>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</si>
  <si>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</si>
  <si>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</si>
  <si>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</si>
  <si>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</si>
  <si>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</si>
  <si>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</si>
  <si>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</si>
  <si>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</si>
  <si>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</si>
  <si>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</si>
  <si>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</si>
  <si>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</si>
  <si>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</si>
  <si>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</si>
  <si>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</si>
  <si>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</si>
  <si>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</si>
  <si>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</si>
  <si>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</si>
  <si>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</si>
  <si>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</si>
  <si>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</si>
  <si>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</si>
  <si>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</si>
  <si>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</si>
  <si>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</si>
  <si>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</si>
  <si>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</si>
  <si>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</si>
  <si>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</si>
  <si>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</si>
  <si>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</si>
  <si>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</si>
  <si>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</si>
  <si>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</si>
  <si>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</si>
  <si>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</si>
  <si>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</si>
  <si>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</si>
  <si>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</si>
  <si>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</si>
  <si>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</si>
  <si>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</si>
  <si>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</si>
  <si>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</si>
  <si>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</si>
  <si>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</si>
  <si>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</si>
  <si>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</si>
  <si>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</si>
  <si>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</si>
  <si>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</si>
  <si>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</si>
  <si>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</si>
  <si>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</si>
  <si>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</si>
  <si>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</si>
  <si>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</si>
  <si>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</si>
  <si>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</si>
  <si>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</si>
  <si>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</si>
  <si>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</si>
  <si>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</si>
  <si>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</si>
  <si>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</si>
  <si>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</si>
  <si>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</si>
  <si>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</si>
  <si>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</si>
  <si>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</si>
  <si>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</si>
  <si>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</si>
  <si>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</si>
  <si>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</si>
  <si>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</si>
  <si>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</si>
  <si>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</si>
  <si>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</si>
  <si>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</si>
  <si>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</si>
  <si>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</si>
  <si>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</si>
  <si>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</si>
  <si>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</si>
  <si>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</si>
  <si>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</si>
  <si>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</si>
  <si>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</si>
  <si>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</si>
  <si>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</si>
  <si>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</si>
  <si>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</si>
  <si>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</si>
  <si>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</si>
  <si>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</si>
  <si>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</si>
  <si>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</si>
  <si>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</si>
  <si>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</si>
  <si>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</si>
  <si>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</si>
  <si>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</si>
  <si>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</si>
  <si>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</si>
  <si>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</si>
  <si>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</si>
  <si>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</si>
  <si>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</si>
  <si>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</si>
  <si>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</si>
  <si>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</si>
  <si>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</si>
  <si>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</si>
  <si>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</si>
  <si>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</si>
  <si>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</si>
  <si>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</si>
  <si>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</si>
  <si>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</si>
  <si>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</si>
  <si>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消耗/产出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</si>
  <si>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</si>
  <si>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</si>
  <si>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</si>
  <si>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</si>
  <si>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</si>
  <si>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庄园势力限制</t>
    <phoneticPr fontId="12" type="noConversion"/>
  </si>
  <si>
    <t>增加庄园势力</t>
    <phoneticPr fontId="12" type="noConversion"/>
  </si>
  <si>
    <t>x/黄金
未来读表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</si>
</sst>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7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345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553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tabSelected="1" topLeftCell="Z1" zoomScale="85" zoomScaleNormal="85" workbookViewId="0">
      <selection activeCell="AF8" sqref="AF8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532</v>
      </c>
      <c r="U2" s="9" t="s">
        <v>572</v>
      </c>
      <c r="V2" s="11" t="s">
        <v>61</v>
      </c>
      <c r="X2" s="9" t="s">
        <v>572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534</v>
      </c>
      <c r="U3" s="9" t="s">
        <v>599</v>
      </c>
      <c r="V3" s="11" t="s">
        <v>624</v>
      </c>
      <c r="X3" s="9" t="s">
        <v>573</v>
      </c>
      <c r="Z3" s="9" t="s">
        <v>335</v>
      </c>
      <c r="AA3" s="9" t="s">
        <v>340</v>
      </c>
      <c r="AC3" s="9" t="s">
        <v>449</v>
      </c>
      <c r="AE3" s="56" t="s">
        <v>478</v>
      </c>
      <c r="AH3" s="31" t="s">
        <v>246</v>
      </c>
      <c r="AI3" s="30"/>
      <c r="AJ3" s="31" t="s">
        <v>451</v>
      </c>
      <c r="AK3" s="30"/>
      <c r="AL3" s="31" t="s">
        <v>552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625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533</v>
      </c>
      <c r="S4" s="79" t="s">
        <v>622</v>
      </c>
      <c r="T4" s="87" t="s">
        <v>603</v>
      </c>
      <c r="U4" s="27" t="s">
        <v>601</v>
      </c>
      <c r="V4" s="94" t="s">
        <v>620</v>
      </c>
      <c r="W4" s="87" t="s">
        <v>602</v>
      </c>
      <c r="X4" s="27" t="s">
        <v>600</v>
      </c>
      <c r="Y4" s="79" t="s">
        <v>621</v>
      </c>
      <c r="Z4" s="27" t="s">
        <v>334</v>
      </c>
      <c r="AA4" s="27" t="s">
        <v>339</v>
      </c>
      <c r="AB4" s="79" t="s">
        <v>447</v>
      </c>
      <c r="AC4" s="27" t="s">
        <v>626</v>
      </c>
      <c r="AD4" s="79" t="s">
        <v>623</v>
      </c>
      <c r="AE4" s="95" t="s">
        <v>535</v>
      </c>
      <c r="AF4" s="96" t="s">
        <v>627</v>
      </c>
      <c r="AG4" s="79" t="s">
        <v>171</v>
      </c>
      <c r="AH4" s="66" t="s">
        <v>318</v>
      </c>
      <c r="AI4" s="65" t="s">
        <v>448</v>
      </c>
      <c r="AJ4" s="66" t="s">
        <v>450</v>
      </c>
      <c r="AK4" s="65" t="s">
        <v>452</v>
      </c>
      <c r="AL4" s="66" t="s">
        <v>460</v>
      </c>
      <c r="AM4" s="65" t="s">
        <v>461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359</v>
      </c>
      <c r="L5" s="16">
        <v>1</v>
      </c>
      <c r="M5" s="16">
        <v>15</v>
      </c>
      <c r="N5" s="16"/>
      <c r="O5" s="17"/>
      <c r="P5" s="17"/>
      <c r="Q5" s="18"/>
      <c r="R5" s="16" t="s">
        <v>394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604</v>
      </c>
      <c r="X5" s="16">
        <f ca="1">IFERROR(OFFSET(ITEM_RES!$A$5,MATCH(BUILDING!W5,ITEM_RES!$J$5:$J$231,0)-1,0),0)</f>
        <v>211010001</v>
      </c>
      <c r="Y5" s="80"/>
      <c r="Z5" s="16" t="s">
        <v>574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462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489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496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359</v>
      </c>
      <c r="L6" s="9">
        <v>1</v>
      </c>
      <c r="M6" s="9">
        <v>15</v>
      </c>
      <c r="R6" s="9" t="s">
        <v>394</v>
      </c>
      <c r="U6" s="9">
        <f ca="1">IFERROR(OFFSET(ITEM_RES!$A$5,MATCH(BUILDING!T6,ITEM_RES!$J$5:$J$231,0)-1,0),0)</f>
        <v>0</v>
      </c>
      <c r="W6" s="86" t="s">
        <v>604</v>
      </c>
      <c r="X6" s="9">
        <f ca="1">IFERROR(OFFSET(ITEM_RES!$A$5,MATCH(BUILDING!W6,ITEM_RES!$J$5:$J$231,0)-1,0),0)</f>
        <v>211010001</v>
      </c>
      <c r="Z6" s="9" t="s">
        <v>574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462</v>
      </c>
      <c r="AR6" s="11">
        <v>50</v>
      </c>
      <c r="AU6" s="11">
        <f ca="1">IFERROR(OFFSET(ITEM_RES!$A$1,MATCH(AV6,ITEM_RES!$J:$J,0)-1,0),0)</f>
        <v>211040001</v>
      </c>
      <c r="AV6" s="10" t="s">
        <v>489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359</v>
      </c>
      <c r="L7" s="9">
        <v>1</v>
      </c>
      <c r="M7" s="9">
        <v>15</v>
      </c>
      <c r="R7" s="9" t="s">
        <v>394</v>
      </c>
      <c r="U7" s="9">
        <f ca="1">IFERROR(OFFSET(ITEM_RES!$A$5,MATCH(BUILDING!T7,ITEM_RES!$J$5:$J$231,0)-1,0),0)</f>
        <v>0</v>
      </c>
      <c r="W7" s="86" t="s">
        <v>604</v>
      </c>
      <c r="X7" s="9">
        <f ca="1">IFERROR(OFFSET(ITEM_RES!$A$5,MATCH(BUILDING!W7,ITEM_RES!$J$5:$J$231,0)-1,0),0)</f>
        <v>211010001</v>
      </c>
      <c r="Z7" s="9" t="s">
        <v>574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462</v>
      </c>
      <c r="AR7" s="11">
        <v>75</v>
      </c>
      <c r="AU7" s="11">
        <f ca="1">IFERROR(OFFSET(ITEM_RES!$A$1,MATCH(AV7,ITEM_RES!$J:$J,0)-1,0),0)</f>
        <v>211040001</v>
      </c>
      <c r="AV7" s="10" t="s">
        <v>489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359</v>
      </c>
      <c r="L8" s="9">
        <v>1</v>
      </c>
      <c r="M8" s="9">
        <v>15</v>
      </c>
      <c r="R8" s="9" t="s">
        <v>394</v>
      </c>
      <c r="U8" s="9">
        <f ca="1">IFERROR(OFFSET(ITEM_RES!$A$5,MATCH(BUILDING!T8,ITEM_RES!$J$5:$J$231,0)-1,0),0)</f>
        <v>0</v>
      </c>
      <c r="W8" s="86" t="s">
        <v>604</v>
      </c>
      <c r="X8" s="9">
        <f ca="1">IFERROR(OFFSET(ITEM_RES!$A$5,MATCH(BUILDING!W8,ITEM_RES!$J$5:$J$231,0)-1,0),0)</f>
        <v>211010001</v>
      </c>
      <c r="Z8" s="9" t="s">
        <v>574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462</v>
      </c>
      <c r="AR8" s="11">
        <v>125</v>
      </c>
      <c r="AU8" s="11">
        <f ca="1">IFERROR(OFFSET(ITEM_RES!$A$1,MATCH(AV8,ITEM_RES!$J:$J,0)-1,0),0)</f>
        <v>211040001</v>
      </c>
      <c r="AV8" s="10" t="s">
        <v>489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359</v>
      </c>
      <c r="L9" s="9">
        <v>1</v>
      </c>
      <c r="M9" s="9">
        <v>15</v>
      </c>
      <c r="R9" s="9" t="s">
        <v>394</v>
      </c>
      <c r="U9" s="9">
        <f ca="1">IFERROR(OFFSET(ITEM_RES!$A$5,MATCH(BUILDING!T9,ITEM_RES!$J$5:$J$231,0)-1,0),0)</f>
        <v>0</v>
      </c>
      <c r="W9" s="86" t="s">
        <v>604</v>
      </c>
      <c r="X9" s="9">
        <f ca="1">IFERROR(OFFSET(ITEM_RES!$A$5,MATCH(BUILDING!W9,ITEM_RES!$J$5:$J$231,0)-1,0),0)</f>
        <v>211010001</v>
      </c>
      <c r="Z9" s="9" t="s">
        <v>574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462</v>
      </c>
      <c r="AR9" s="11">
        <v>200</v>
      </c>
      <c r="AU9" s="11">
        <f ca="1">IFERROR(OFFSET(ITEM_RES!$A$1,MATCH(AV9,ITEM_RES!$J:$J,0)-1,0),0)</f>
        <v>211040001</v>
      </c>
      <c r="AV9" s="10" t="s">
        <v>489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359</v>
      </c>
      <c r="L10" s="9">
        <v>1</v>
      </c>
      <c r="M10" s="9">
        <v>15</v>
      </c>
      <c r="R10" s="9" t="s">
        <v>394</v>
      </c>
      <c r="U10" s="9">
        <f ca="1">IFERROR(OFFSET(ITEM_RES!$A$5,MATCH(BUILDING!T10,ITEM_RES!$J$5:$J$231,0)-1,0),0)</f>
        <v>0</v>
      </c>
      <c r="W10" s="86" t="s">
        <v>604</v>
      </c>
      <c r="X10" s="9">
        <f ca="1">IFERROR(OFFSET(ITEM_RES!$A$5,MATCH(BUILDING!W10,ITEM_RES!$J$5:$J$231,0)-1,0),0)</f>
        <v>211010001</v>
      </c>
      <c r="Z10" s="9" t="s">
        <v>574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462</v>
      </c>
      <c r="AR10" s="11">
        <v>250</v>
      </c>
      <c r="AU10" s="11">
        <f ca="1">IFERROR(OFFSET(ITEM_RES!$A$1,MATCH(AV10,ITEM_RES!$J:$J,0)-1,0),0)</f>
        <v>211040001</v>
      </c>
      <c r="AV10" s="10" t="s">
        <v>489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359</v>
      </c>
      <c r="L11" s="9">
        <v>1</v>
      </c>
      <c r="M11" s="9">
        <v>15</v>
      </c>
      <c r="R11" s="9" t="s">
        <v>394</v>
      </c>
      <c r="U11" s="9">
        <f ca="1">IFERROR(OFFSET(ITEM_RES!$A$5,MATCH(BUILDING!T11,ITEM_RES!$J$5:$J$231,0)-1,0),0)</f>
        <v>0</v>
      </c>
      <c r="W11" s="86" t="s">
        <v>604</v>
      </c>
      <c r="X11" s="9">
        <f ca="1">IFERROR(OFFSET(ITEM_RES!$A$5,MATCH(BUILDING!W11,ITEM_RES!$J$5:$J$231,0)-1,0),0)</f>
        <v>211010001</v>
      </c>
      <c r="Z11" s="9" t="s">
        <v>574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462</v>
      </c>
      <c r="AR11" s="11">
        <v>500</v>
      </c>
      <c r="AU11" s="11">
        <f ca="1">IFERROR(OFFSET(ITEM_RES!$A$1,MATCH(AV11,ITEM_RES!$J:$J,0)-1,0),0)</f>
        <v>211040001</v>
      </c>
      <c r="AV11" s="10" t="s">
        <v>489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359</v>
      </c>
      <c r="L12" s="9">
        <v>1</v>
      </c>
      <c r="M12" s="9">
        <v>15</v>
      </c>
      <c r="R12" s="9" t="s">
        <v>394</v>
      </c>
      <c r="U12" s="9">
        <f ca="1">IFERROR(OFFSET(ITEM_RES!$A$5,MATCH(BUILDING!T12,ITEM_RES!$J$5:$J$231,0)-1,0),0)</f>
        <v>0</v>
      </c>
      <c r="W12" s="86" t="s">
        <v>604</v>
      </c>
      <c r="X12" s="9">
        <f ca="1">IFERROR(OFFSET(ITEM_RES!$A$5,MATCH(BUILDING!W12,ITEM_RES!$J$5:$J$231,0)-1,0),0)</f>
        <v>211010001</v>
      </c>
      <c r="Z12" s="9" t="s">
        <v>574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462</v>
      </c>
      <c r="AR12" s="11">
        <v>500</v>
      </c>
      <c r="AU12" s="11">
        <f ca="1">IFERROR(OFFSET(ITEM_RES!$A$1,MATCH(AV12,ITEM_RES!$J:$J,0)-1,0),0)</f>
        <v>211040001</v>
      </c>
      <c r="AV12" s="10" t="s">
        <v>489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359</v>
      </c>
      <c r="L13" s="9">
        <v>1</v>
      </c>
      <c r="M13" s="9">
        <v>15</v>
      </c>
      <c r="R13" s="9" t="s">
        <v>394</v>
      </c>
      <c r="U13" s="9">
        <f ca="1">IFERROR(OFFSET(ITEM_RES!$A$5,MATCH(BUILDING!T13,ITEM_RES!$J$5:$J$231,0)-1,0),0)</f>
        <v>0</v>
      </c>
      <c r="W13" s="86" t="s">
        <v>604</v>
      </c>
      <c r="X13" s="9">
        <f ca="1">IFERROR(OFFSET(ITEM_RES!$A$5,MATCH(BUILDING!W13,ITEM_RES!$J$5:$J$231,0)-1,0),0)</f>
        <v>211010001</v>
      </c>
      <c r="Z13" s="9" t="s">
        <v>574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462</v>
      </c>
      <c r="AR13" s="11">
        <v>750</v>
      </c>
      <c r="AU13" s="11">
        <f ca="1">IFERROR(OFFSET(ITEM_RES!$A$1,MATCH(AV13,ITEM_RES!$J:$J,0)-1,0),0)</f>
        <v>211040001</v>
      </c>
      <c r="AV13" s="10" t="s">
        <v>489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359</v>
      </c>
      <c r="L14" s="9">
        <v>1</v>
      </c>
      <c r="M14" s="9">
        <v>15</v>
      </c>
      <c r="R14" s="9" t="s">
        <v>394</v>
      </c>
      <c r="U14" s="9">
        <f ca="1">IFERROR(OFFSET(ITEM_RES!$A$5,MATCH(BUILDING!T14,ITEM_RES!$J$5:$J$231,0)-1,0),0)</f>
        <v>0</v>
      </c>
      <c r="W14" s="86" t="s">
        <v>604</v>
      </c>
      <c r="X14" s="9">
        <f ca="1">IFERROR(OFFSET(ITEM_RES!$A$5,MATCH(BUILDING!W14,ITEM_RES!$J$5:$J$231,0)-1,0),0)</f>
        <v>211010001</v>
      </c>
      <c r="Z14" s="9" t="s">
        <v>574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462</v>
      </c>
      <c r="AR14" s="11">
        <v>1000</v>
      </c>
      <c r="AU14" s="11">
        <f ca="1">IFERROR(OFFSET(ITEM_RES!$A$1,MATCH(AV14,ITEM_RES!$J:$J,0)-1,0),0)</f>
        <v>211040001</v>
      </c>
      <c r="AV14" s="10" t="s">
        <v>489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503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359</v>
      </c>
      <c r="L15" s="9">
        <v>1</v>
      </c>
      <c r="M15" s="9">
        <v>15</v>
      </c>
      <c r="R15" s="9" t="s">
        <v>394</v>
      </c>
      <c r="U15" s="9">
        <f ca="1">IFERROR(OFFSET(ITEM_RES!$A$5,MATCH(BUILDING!T15,ITEM_RES!$J$5:$J$231,0)-1,0),0)</f>
        <v>0</v>
      </c>
      <c r="W15" s="86" t="s">
        <v>604</v>
      </c>
      <c r="X15" s="9">
        <f ca="1">IFERROR(OFFSET(ITEM_RES!$A$5,MATCH(BUILDING!W15,ITEM_RES!$J$5:$J$231,0)-1,0),0)</f>
        <v>211010001</v>
      </c>
      <c r="Z15" s="9" t="s">
        <v>574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462</v>
      </c>
      <c r="AR15" s="11">
        <v>1250</v>
      </c>
      <c r="AU15" s="11">
        <f ca="1">IFERROR(OFFSET(ITEM_RES!$A$1,MATCH(AV15,ITEM_RES!$J:$J,0)-1,0),0)</f>
        <v>211040001</v>
      </c>
      <c r="AV15" s="10" t="s">
        <v>489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359</v>
      </c>
      <c r="L16" s="9">
        <v>1</v>
      </c>
      <c r="M16" s="9">
        <v>15</v>
      </c>
      <c r="R16" s="9" t="s">
        <v>394</v>
      </c>
      <c r="U16" s="9">
        <f ca="1">IFERROR(OFFSET(ITEM_RES!$A$5,MATCH(BUILDING!T16,ITEM_RES!$J$5:$J$231,0)-1,0),0)</f>
        <v>0</v>
      </c>
      <c r="W16" s="86" t="s">
        <v>604</v>
      </c>
      <c r="X16" s="9">
        <f ca="1">IFERROR(OFFSET(ITEM_RES!$A$5,MATCH(BUILDING!W16,ITEM_RES!$J$5:$J$231,0)-1,0),0)</f>
        <v>211010001</v>
      </c>
      <c r="Z16" s="9" t="s">
        <v>574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462</v>
      </c>
      <c r="AR16" s="11">
        <v>1500</v>
      </c>
      <c r="AU16" s="11">
        <f ca="1">IFERROR(OFFSET(ITEM_RES!$A$1,MATCH(AV16,ITEM_RES!$J:$J,0)-1,0),0)</f>
        <v>211040001</v>
      </c>
      <c r="AV16" s="10" t="s">
        <v>489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359</v>
      </c>
      <c r="L17" s="9">
        <v>1</v>
      </c>
      <c r="M17" s="9">
        <v>15</v>
      </c>
      <c r="R17" s="9" t="s">
        <v>394</v>
      </c>
      <c r="U17" s="9">
        <f ca="1">IFERROR(OFFSET(ITEM_RES!$A$5,MATCH(BUILDING!T17,ITEM_RES!$J$5:$J$231,0)-1,0),0)</f>
        <v>0</v>
      </c>
      <c r="W17" s="86" t="s">
        <v>604</v>
      </c>
      <c r="X17" s="9">
        <f ca="1">IFERROR(OFFSET(ITEM_RES!$A$5,MATCH(BUILDING!W17,ITEM_RES!$J$5:$J$231,0)-1,0),0)</f>
        <v>211010001</v>
      </c>
      <c r="Z17" s="9" t="s">
        <v>574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462</v>
      </c>
      <c r="AR17" s="11">
        <v>1750</v>
      </c>
      <c r="AU17" s="11">
        <f ca="1">IFERROR(OFFSET(ITEM_RES!$A$1,MATCH(AV17,ITEM_RES!$J:$J,0)-1,0),0)</f>
        <v>211040001</v>
      </c>
      <c r="AV17" s="10" t="s">
        <v>489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359</v>
      </c>
      <c r="L18" s="9">
        <v>1</v>
      </c>
      <c r="M18" s="9">
        <v>15</v>
      </c>
      <c r="R18" s="9" t="s">
        <v>394</v>
      </c>
      <c r="U18" s="9">
        <f ca="1">IFERROR(OFFSET(ITEM_RES!$A$5,MATCH(BUILDING!T18,ITEM_RES!$J$5:$J$231,0)-1,0),0)</f>
        <v>0</v>
      </c>
      <c r="W18" s="86" t="s">
        <v>604</v>
      </c>
      <c r="X18" s="9">
        <f ca="1">IFERROR(OFFSET(ITEM_RES!$A$5,MATCH(BUILDING!W18,ITEM_RES!$J$5:$J$231,0)-1,0),0)</f>
        <v>211010001</v>
      </c>
      <c r="Z18" s="9" t="s">
        <v>574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462</v>
      </c>
      <c r="AR18" s="11">
        <v>2250</v>
      </c>
      <c r="AU18" s="11">
        <f ca="1">IFERROR(OFFSET(ITEM_RES!$A$1,MATCH(AV18,ITEM_RES!$J:$J,0)-1,0),0)</f>
        <v>211040001</v>
      </c>
      <c r="AV18" s="10" t="s">
        <v>489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359</v>
      </c>
      <c r="L19" s="9">
        <v>1</v>
      </c>
      <c r="M19" s="9">
        <v>15</v>
      </c>
      <c r="R19" s="9" t="s">
        <v>394</v>
      </c>
      <c r="U19" s="9">
        <f ca="1">IFERROR(OFFSET(ITEM_RES!$A$5,MATCH(BUILDING!T19,ITEM_RES!$J$5:$J$231,0)-1,0),0)</f>
        <v>0</v>
      </c>
      <c r="W19" s="86" t="s">
        <v>604</v>
      </c>
      <c r="X19" s="9">
        <f ca="1">IFERROR(OFFSET(ITEM_RES!$A$5,MATCH(BUILDING!W19,ITEM_RES!$J$5:$J$231,0)-1,0),0)</f>
        <v>211010001</v>
      </c>
      <c r="Z19" s="9" t="s">
        <v>574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462</v>
      </c>
      <c r="AR19" s="11">
        <v>2750</v>
      </c>
      <c r="AU19" s="11">
        <f ca="1">IFERROR(OFFSET(ITEM_RES!$A$1,MATCH(AV19,ITEM_RES!$J:$J,0)-1,0),0)</f>
        <v>211040001</v>
      </c>
      <c r="AV19" s="10" t="s">
        <v>489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359</v>
      </c>
      <c r="L20" s="9">
        <v>0</v>
      </c>
      <c r="M20" s="9">
        <v>15</v>
      </c>
      <c r="R20" s="9" t="s">
        <v>394</v>
      </c>
      <c r="U20" s="9">
        <f ca="1">IFERROR(OFFSET(ITEM_RES!$A$5,MATCH(BUILDING!T20,ITEM_RES!$J$5:$J$231,0)-1,0),0)</f>
        <v>0</v>
      </c>
      <c r="W20" s="86" t="s">
        <v>604</v>
      </c>
      <c r="X20" s="9">
        <f ca="1">IFERROR(OFFSET(ITEM_RES!$A$5,MATCH(BUILDING!W20,ITEM_RES!$J$5:$J$231,0)-1,0),0)</f>
        <v>211010001</v>
      </c>
      <c r="Z20" s="9" t="s">
        <v>574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215070001</v>
      </c>
      <c r="AQ20" s="10" t="s">
        <v>479</v>
      </c>
      <c r="AR20" s="11">
        <v>3500</v>
      </c>
      <c r="AU20" s="11">
        <f ca="1">IFERROR(OFFSET(ITEM_RES!$A$1,MATCH(AV20,ITEM_RES!$J:$J,0)-1,0),0)</f>
        <v>211040001</v>
      </c>
      <c r="AV20" s="10" t="s">
        <v>489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359</v>
      </c>
      <c r="L21" s="9">
        <v>0</v>
      </c>
      <c r="M21" s="9">
        <v>15</v>
      </c>
      <c r="R21" s="9" t="s">
        <v>394</v>
      </c>
      <c r="U21" s="9">
        <f ca="1">IFERROR(OFFSET(ITEM_RES!$A$5,MATCH(BUILDING!T21,ITEM_RES!$J$5:$J$231,0)-1,0),0)</f>
        <v>0</v>
      </c>
      <c r="W21" s="86" t="s">
        <v>604</v>
      </c>
      <c r="X21" s="9">
        <f ca="1">IFERROR(OFFSET(ITEM_RES!$A$5,MATCH(BUILDING!W21,ITEM_RES!$J$5:$J$231,0)-1,0),0)</f>
        <v>211010001</v>
      </c>
      <c r="Z21" s="9" t="s">
        <v>574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215070001</v>
      </c>
      <c r="AQ21" s="10" t="s">
        <v>479</v>
      </c>
      <c r="AR21" s="11">
        <v>4250</v>
      </c>
      <c r="AU21" s="11">
        <f ca="1">IFERROR(OFFSET(ITEM_RES!$A$1,MATCH(AV21,ITEM_RES!$J:$J,0)-1,0),0)</f>
        <v>211040001</v>
      </c>
      <c r="AV21" s="10" t="s">
        <v>489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359</v>
      </c>
      <c r="L22" s="9">
        <v>0</v>
      </c>
      <c r="M22" s="9">
        <v>15</v>
      </c>
      <c r="R22" s="9" t="s">
        <v>394</v>
      </c>
      <c r="U22" s="9">
        <f ca="1">IFERROR(OFFSET(ITEM_RES!$A$5,MATCH(BUILDING!T22,ITEM_RES!$J$5:$J$231,0)-1,0),0)</f>
        <v>0</v>
      </c>
      <c r="W22" s="86" t="s">
        <v>604</v>
      </c>
      <c r="X22" s="9">
        <f ca="1">IFERROR(OFFSET(ITEM_RES!$A$5,MATCH(BUILDING!W22,ITEM_RES!$J$5:$J$231,0)-1,0),0)</f>
        <v>211010001</v>
      </c>
      <c r="Z22" s="9" t="s">
        <v>574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215070001</v>
      </c>
      <c r="AQ22" s="10" t="s">
        <v>479</v>
      </c>
      <c r="AR22" s="11">
        <v>5250</v>
      </c>
      <c r="AU22" s="11">
        <f ca="1">IFERROR(OFFSET(ITEM_RES!$A$1,MATCH(AV22,ITEM_RES!$J:$J,0)-1,0),0)</f>
        <v>211040001</v>
      </c>
      <c r="AV22" s="10" t="s">
        <v>489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359</v>
      </c>
      <c r="L23" s="9">
        <v>0</v>
      </c>
      <c r="M23" s="9">
        <v>15</v>
      </c>
      <c r="R23" s="9" t="s">
        <v>394</v>
      </c>
      <c r="U23" s="9">
        <f ca="1">IFERROR(OFFSET(ITEM_RES!$A$5,MATCH(BUILDING!T23,ITEM_RES!$J$5:$J$231,0)-1,0),0)</f>
        <v>0</v>
      </c>
      <c r="W23" s="86" t="s">
        <v>604</v>
      </c>
      <c r="X23" s="9">
        <f ca="1">IFERROR(OFFSET(ITEM_RES!$A$5,MATCH(BUILDING!W23,ITEM_RES!$J$5:$J$231,0)-1,0),0)</f>
        <v>211010001</v>
      </c>
      <c r="Z23" s="9" t="s">
        <v>574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215070001</v>
      </c>
      <c r="AQ23" s="10" t="s">
        <v>479</v>
      </c>
      <c r="AR23" s="11">
        <v>6250</v>
      </c>
      <c r="AU23" s="11">
        <f ca="1">IFERROR(OFFSET(ITEM_RES!$A$1,MATCH(AV23,ITEM_RES!$J:$J,0)-1,0),0)</f>
        <v>211040001</v>
      </c>
      <c r="AV23" s="10" t="s">
        <v>489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359</v>
      </c>
      <c r="L24" s="9">
        <v>0</v>
      </c>
      <c r="M24" s="9">
        <v>15</v>
      </c>
      <c r="R24" s="9" t="s">
        <v>394</v>
      </c>
      <c r="U24" s="9">
        <f ca="1">IFERROR(OFFSET(ITEM_RES!$A$5,MATCH(BUILDING!T24,ITEM_RES!$J$5:$J$231,0)-1,0),0)</f>
        <v>0</v>
      </c>
      <c r="W24" s="86" t="s">
        <v>604</v>
      </c>
      <c r="X24" s="9">
        <f ca="1">IFERROR(OFFSET(ITEM_RES!$A$5,MATCH(BUILDING!W24,ITEM_RES!$J$5:$J$231,0)-1,0),0)</f>
        <v>211010001</v>
      </c>
      <c r="Z24" s="9" t="s">
        <v>574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215070001</v>
      </c>
      <c r="AQ24" s="10" t="s">
        <v>479</v>
      </c>
      <c r="AR24" s="11">
        <v>7500</v>
      </c>
      <c r="AU24" s="11">
        <f ca="1">IFERROR(OFFSET(ITEM_RES!$A$1,MATCH(AV24,ITEM_RES!$J:$J,0)-1,0),0)</f>
        <v>211040001</v>
      </c>
      <c r="AV24" s="10" t="s">
        <v>489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360</v>
      </c>
      <c r="L25" s="16">
        <v>1</v>
      </c>
      <c r="M25" s="16">
        <v>15</v>
      </c>
      <c r="N25" s="16"/>
      <c r="O25" s="17"/>
      <c r="P25" s="17"/>
      <c r="Q25" s="18"/>
      <c r="R25" s="16" t="s">
        <v>382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605</v>
      </c>
      <c r="X25" s="16">
        <f ca="1">IFERROR(OFFSET(ITEM_RES!$A$5,MATCH(BUILDING!W25,ITEM_RES!$J$5:$J$231,0)-1,0),0)</f>
        <v>211020001</v>
      </c>
      <c r="Y25" s="80"/>
      <c r="Z25" s="16" t="s">
        <v>575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463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489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496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360</v>
      </c>
      <c r="L26" s="9">
        <v>1</v>
      </c>
      <c r="M26" s="9">
        <v>15</v>
      </c>
      <c r="R26" s="9" t="s">
        <v>382</v>
      </c>
      <c r="U26" s="9">
        <f ca="1">IFERROR(OFFSET(ITEM_RES!$A$5,MATCH(BUILDING!T26,ITEM_RES!$J$5:$J$231,0)-1,0),0)</f>
        <v>0</v>
      </c>
      <c r="W26" s="86" t="s">
        <v>605</v>
      </c>
      <c r="X26" s="9">
        <f ca="1">IFERROR(OFFSET(ITEM_RES!$A$5,MATCH(BUILDING!W26,ITEM_RES!$J$5:$J$231,0)-1,0),0)</f>
        <v>211020001</v>
      </c>
      <c r="Z26" s="9" t="s">
        <v>575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463</v>
      </c>
      <c r="AR26" s="11">
        <v>50</v>
      </c>
      <c r="AU26" s="11">
        <f ca="1">IFERROR(OFFSET(ITEM_RES!$A$1,MATCH(AV26,ITEM_RES!$J:$J,0)-1,0),0)</f>
        <v>211040001</v>
      </c>
      <c r="AV26" s="10" t="s">
        <v>489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360</v>
      </c>
      <c r="L27" s="9">
        <v>1</v>
      </c>
      <c r="M27" s="9">
        <v>15</v>
      </c>
      <c r="R27" s="9" t="s">
        <v>382</v>
      </c>
      <c r="U27" s="9">
        <f ca="1">IFERROR(OFFSET(ITEM_RES!$A$5,MATCH(BUILDING!T27,ITEM_RES!$J$5:$J$231,0)-1,0),0)</f>
        <v>0</v>
      </c>
      <c r="W27" s="86" t="s">
        <v>605</v>
      </c>
      <c r="X27" s="9">
        <f ca="1">IFERROR(OFFSET(ITEM_RES!$A$5,MATCH(BUILDING!W27,ITEM_RES!$J$5:$J$231,0)-1,0),0)</f>
        <v>211020001</v>
      </c>
      <c r="Z27" s="9" t="s">
        <v>575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463</v>
      </c>
      <c r="AR27" s="11">
        <v>75</v>
      </c>
      <c r="AU27" s="11">
        <f ca="1">IFERROR(OFFSET(ITEM_RES!$A$1,MATCH(AV27,ITEM_RES!$J:$J,0)-1,0),0)</f>
        <v>211040001</v>
      </c>
      <c r="AV27" s="10" t="s">
        <v>489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360</v>
      </c>
      <c r="L28" s="9">
        <v>1</v>
      </c>
      <c r="M28" s="9">
        <v>15</v>
      </c>
      <c r="R28" s="9" t="s">
        <v>382</v>
      </c>
      <c r="U28" s="9">
        <f ca="1">IFERROR(OFFSET(ITEM_RES!$A$5,MATCH(BUILDING!T28,ITEM_RES!$J$5:$J$231,0)-1,0),0)</f>
        <v>0</v>
      </c>
      <c r="W28" s="86" t="s">
        <v>605</v>
      </c>
      <c r="X28" s="9">
        <f ca="1">IFERROR(OFFSET(ITEM_RES!$A$5,MATCH(BUILDING!W28,ITEM_RES!$J$5:$J$231,0)-1,0),0)</f>
        <v>211020001</v>
      </c>
      <c r="Z28" s="9" t="s">
        <v>575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463</v>
      </c>
      <c r="AR28" s="11">
        <v>125</v>
      </c>
      <c r="AU28" s="11">
        <f ca="1">IFERROR(OFFSET(ITEM_RES!$A$1,MATCH(AV28,ITEM_RES!$J:$J,0)-1,0),0)</f>
        <v>211040001</v>
      </c>
      <c r="AV28" s="10" t="s">
        <v>489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360</v>
      </c>
      <c r="L29" s="9">
        <v>1</v>
      </c>
      <c r="M29" s="9">
        <v>15</v>
      </c>
      <c r="R29" s="9" t="s">
        <v>382</v>
      </c>
      <c r="U29" s="9">
        <f ca="1">IFERROR(OFFSET(ITEM_RES!$A$5,MATCH(BUILDING!T29,ITEM_RES!$J$5:$J$231,0)-1,0),0)</f>
        <v>0</v>
      </c>
      <c r="W29" s="86" t="s">
        <v>605</v>
      </c>
      <c r="X29" s="9">
        <f ca="1">IFERROR(OFFSET(ITEM_RES!$A$5,MATCH(BUILDING!W29,ITEM_RES!$J$5:$J$231,0)-1,0),0)</f>
        <v>211020001</v>
      </c>
      <c r="Z29" s="9" t="s">
        <v>575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463</v>
      </c>
      <c r="AR29" s="11">
        <v>200</v>
      </c>
      <c r="AU29" s="11">
        <f ca="1">IFERROR(OFFSET(ITEM_RES!$A$1,MATCH(AV29,ITEM_RES!$J:$J,0)-1,0),0)</f>
        <v>211040001</v>
      </c>
      <c r="AV29" s="10" t="s">
        <v>489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360</v>
      </c>
      <c r="L30" s="9">
        <v>1</v>
      </c>
      <c r="M30" s="9">
        <v>15</v>
      </c>
      <c r="R30" s="9" t="s">
        <v>382</v>
      </c>
      <c r="U30" s="9">
        <f ca="1">IFERROR(OFFSET(ITEM_RES!$A$5,MATCH(BUILDING!T30,ITEM_RES!$J$5:$J$231,0)-1,0),0)</f>
        <v>0</v>
      </c>
      <c r="W30" s="86" t="s">
        <v>605</v>
      </c>
      <c r="X30" s="9">
        <f ca="1">IFERROR(OFFSET(ITEM_RES!$A$5,MATCH(BUILDING!W30,ITEM_RES!$J$5:$J$231,0)-1,0),0)</f>
        <v>211020001</v>
      </c>
      <c r="Z30" s="9" t="s">
        <v>575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463</v>
      </c>
      <c r="AR30" s="11">
        <v>250</v>
      </c>
      <c r="AU30" s="11">
        <f ca="1">IFERROR(OFFSET(ITEM_RES!$A$1,MATCH(AV30,ITEM_RES!$J:$J,0)-1,0),0)</f>
        <v>211040001</v>
      </c>
      <c r="AV30" s="10" t="s">
        <v>489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360</v>
      </c>
      <c r="L31" s="9">
        <v>1</v>
      </c>
      <c r="M31" s="9">
        <v>15</v>
      </c>
      <c r="R31" s="9" t="s">
        <v>382</v>
      </c>
      <c r="U31" s="9">
        <f ca="1">IFERROR(OFFSET(ITEM_RES!$A$5,MATCH(BUILDING!T31,ITEM_RES!$J$5:$J$231,0)-1,0),0)</f>
        <v>0</v>
      </c>
      <c r="W31" s="86" t="s">
        <v>605</v>
      </c>
      <c r="X31" s="9">
        <f ca="1">IFERROR(OFFSET(ITEM_RES!$A$5,MATCH(BUILDING!W31,ITEM_RES!$J$5:$J$231,0)-1,0),0)</f>
        <v>211020001</v>
      </c>
      <c r="Z31" s="9" t="s">
        <v>575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463</v>
      </c>
      <c r="AR31" s="11">
        <v>500</v>
      </c>
      <c r="AU31" s="11">
        <f ca="1">IFERROR(OFFSET(ITEM_RES!$A$1,MATCH(AV31,ITEM_RES!$J:$J,0)-1,0),0)</f>
        <v>211040001</v>
      </c>
      <c r="AV31" s="10" t="s">
        <v>489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360</v>
      </c>
      <c r="L32" s="9">
        <v>1</v>
      </c>
      <c r="M32" s="9">
        <v>15</v>
      </c>
      <c r="R32" s="9" t="s">
        <v>382</v>
      </c>
      <c r="U32" s="9">
        <f ca="1">IFERROR(OFFSET(ITEM_RES!$A$5,MATCH(BUILDING!T32,ITEM_RES!$J$5:$J$231,0)-1,0),0)</f>
        <v>0</v>
      </c>
      <c r="W32" s="86" t="s">
        <v>605</v>
      </c>
      <c r="X32" s="9">
        <f ca="1">IFERROR(OFFSET(ITEM_RES!$A$5,MATCH(BUILDING!W32,ITEM_RES!$J$5:$J$231,0)-1,0),0)</f>
        <v>211020001</v>
      </c>
      <c r="Z32" s="9" t="s">
        <v>575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463</v>
      </c>
      <c r="AR32" s="11">
        <v>500</v>
      </c>
      <c r="AU32" s="11">
        <f ca="1">IFERROR(OFFSET(ITEM_RES!$A$1,MATCH(AV32,ITEM_RES!$J:$J,0)-1,0),0)</f>
        <v>211040001</v>
      </c>
      <c r="AV32" s="10" t="s">
        <v>489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360</v>
      </c>
      <c r="L33" s="9">
        <v>1</v>
      </c>
      <c r="M33" s="9">
        <v>15</v>
      </c>
      <c r="R33" s="9" t="s">
        <v>382</v>
      </c>
      <c r="U33" s="9">
        <f ca="1">IFERROR(OFFSET(ITEM_RES!$A$5,MATCH(BUILDING!T33,ITEM_RES!$J$5:$J$231,0)-1,0),0)</f>
        <v>0</v>
      </c>
      <c r="W33" s="86" t="s">
        <v>605</v>
      </c>
      <c r="X33" s="9">
        <f ca="1">IFERROR(OFFSET(ITEM_RES!$A$5,MATCH(BUILDING!W33,ITEM_RES!$J$5:$J$231,0)-1,0),0)</f>
        <v>211020001</v>
      </c>
      <c r="Z33" s="9" t="s">
        <v>575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463</v>
      </c>
      <c r="AR33" s="11">
        <v>750</v>
      </c>
      <c r="AU33" s="11">
        <f ca="1">IFERROR(OFFSET(ITEM_RES!$A$1,MATCH(AV33,ITEM_RES!$J:$J,0)-1,0),0)</f>
        <v>211040001</v>
      </c>
      <c r="AV33" s="10" t="s">
        <v>489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360</v>
      </c>
      <c r="L34" s="9">
        <v>1</v>
      </c>
      <c r="M34" s="9">
        <v>15</v>
      </c>
      <c r="R34" s="9" t="s">
        <v>382</v>
      </c>
      <c r="U34" s="9">
        <f ca="1">IFERROR(OFFSET(ITEM_RES!$A$5,MATCH(BUILDING!T34,ITEM_RES!$J$5:$J$231,0)-1,0),0)</f>
        <v>0</v>
      </c>
      <c r="W34" s="86" t="s">
        <v>605</v>
      </c>
      <c r="X34" s="9">
        <f ca="1">IFERROR(OFFSET(ITEM_RES!$A$5,MATCH(BUILDING!W34,ITEM_RES!$J$5:$J$231,0)-1,0),0)</f>
        <v>211020001</v>
      </c>
      <c r="Z34" s="9" t="s">
        <v>575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463</v>
      </c>
      <c r="AR34" s="11">
        <v>1000</v>
      </c>
      <c r="AU34" s="11">
        <f ca="1">IFERROR(OFFSET(ITEM_RES!$A$1,MATCH(AV34,ITEM_RES!$J:$J,0)-1,0),0)</f>
        <v>211040001</v>
      </c>
      <c r="AV34" s="10" t="s">
        <v>489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387</v>
      </c>
      <c r="L35" s="9">
        <v>1</v>
      </c>
      <c r="M35" s="9">
        <v>15</v>
      </c>
      <c r="R35" s="9" t="s">
        <v>382</v>
      </c>
      <c r="U35" s="9">
        <f ca="1">IFERROR(OFFSET(ITEM_RES!$A$5,MATCH(BUILDING!T35,ITEM_RES!$J$5:$J$231,0)-1,0),0)</f>
        <v>0</v>
      </c>
      <c r="W35" s="86" t="s">
        <v>605</v>
      </c>
      <c r="X35" s="9">
        <f ca="1">IFERROR(OFFSET(ITEM_RES!$A$5,MATCH(BUILDING!W35,ITEM_RES!$J$5:$J$231,0)-1,0),0)</f>
        <v>211020001</v>
      </c>
      <c r="Z35" s="9" t="s">
        <v>575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463</v>
      </c>
      <c r="AR35" s="11">
        <v>1250</v>
      </c>
      <c r="AU35" s="11">
        <f ca="1">IFERROR(OFFSET(ITEM_RES!$A$1,MATCH(AV35,ITEM_RES!$J:$J,0)-1,0),0)</f>
        <v>211040001</v>
      </c>
      <c r="AV35" s="10" t="s">
        <v>489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360</v>
      </c>
      <c r="L36" s="9">
        <v>1</v>
      </c>
      <c r="M36" s="9">
        <v>15</v>
      </c>
      <c r="R36" s="9" t="s">
        <v>382</v>
      </c>
      <c r="U36" s="9">
        <f ca="1">IFERROR(OFFSET(ITEM_RES!$A$5,MATCH(BUILDING!T36,ITEM_RES!$J$5:$J$231,0)-1,0),0)</f>
        <v>0</v>
      </c>
      <c r="W36" s="86" t="s">
        <v>605</v>
      </c>
      <c r="X36" s="9">
        <f ca="1">IFERROR(OFFSET(ITEM_RES!$A$5,MATCH(BUILDING!W36,ITEM_RES!$J$5:$J$231,0)-1,0),0)</f>
        <v>211020001</v>
      </c>
      <c r="Z36" s="9" t="s">
        <v>575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463</v>
      </c>
      <c r="AR36" s="11">
        <v>1500</v>
      </c>
      <c r="AU36" s="11">
        <f ca="1">IFERROR(OFFSET(ITEM_RES!$A$1,MATCH(AV36,ITEM_RES!$J:$J,0)-1,0),0)</f>
        <v>211040001</v>
      </c>
      <c r="AV36" s="10" t="s">
        <v>489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360</v>
      </c>
      <c r="L37" s="9">
        <v>1</v>
      </c>
      <c r="M37" s="9">
        <v>15</v>
      </c>
      <c r="R37" s="9" t="s">
        <v>382</v>
      </c>
      <c r="U37" s="9">
        <f ca="1">IFERROR(OFFSET(ITEM_RES!$A$5,MATCH(BUILDING!T37,ITEM_RES!$J$5:$J$231,0)-1,0),0)</f>
        <v>0</v>
      </c>
      <c r="W37" s="86" t="s">
        <v>605</v>
      </c>
      <c r="X37" s="9">
        <f ca="1">IFERROR(OFFSET(ITEM_RES!$A$5,MATCH(BUILDING!W37,ITEM_RES!$J$5:$J$231,0)-1,0),0)</f>
        <v>211020001</v>
      </c>
      <c r="Z37" s="9" t="s">
        <v>575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463</v>
      </c>
      <c r="AR37" s="11">
        <v>1750</v>
      </c>
      <c r="AU37" s="11">
        <f ca="1">IFERROR(OFFSET(ITEM_RES!$A$1,MATCH(AV37,ITEM_RES!$J:$J,0)-1,0),0)</f>
        <v>211040001</v>
      </c>
      <c r="AV37" s="10" t="s">
        <v>489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360</v>
      </c>
      <c r="L38" s="9">
        <v>1</v>
      </c>
      <c r="M38" s="9">
        <v>15</v>
      </c>
      <c r="R38" s="9" t="s">
        <v>382</v>
      </c>
      <c r="U38" s="9">
        <f ca="1">IFERROR(OFFSET(ITEM_RES!$A$5,MATCH(BUILDING!T38,ITEM_RES!$J$5:$J$231,0)-1,0),0)</f>
        <v>0</v>
      </c>
      <c r="W38" s="86" t="s">
        <v>605</v>
      </c>
      <c r="X38" s="9">
        <f ca="1">IFERROR(OFFSET(ITEM_RES!$A$5,MATCH(BUILDING!W38,ITEM_RES!$J$5:$J$231,0)-1,0),0)</f>
        <v>211020001</v>
      </c>
      <c r="Z38" s="9" t="s">
        <v>575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463</v>
      </c>
      <c r="AR38" s="11">
        <v>2250</v>
      </c>
      <c r="AU38" s="11">
        <f ca="1">IFERROR(OFFSET(ITEM_RES!$A$1,MATCH(AV38,ITEM_RES!$J:$J,0)-1,0),0)</f>
        <v>211040001</v>
      </c>
      <c r="AV38" s="10" t="s">
        <v>489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360</v>
      </c>
      <c r="L39" s="9">
        <v>1</v>
      </c>
      <c r="M39" s="9">
        <v>15</v>
      </c>
      <c r="R39" s="9" t="s">
        <v>382</v>
      </c>
      <c r="U39" s="9">
        <f ca="1">IFERROR(OFFSET(ITEM_RES!$A$5,MATCH(BUILDING!T39,ITEM_RES!$J$5:$J$231,0)-1,0),0)</f>
        <v>0</v>
      </c>
      <c r="W39" s="86" t="s">
        <v>605</v>
      </c>
      <c r="X39" s="9">
        <f ca="1">IFERROR(OFFSET(ITEM_RES!$A$5,MATCH(BUILDING!W39,ITEM_RES!$J$5:$J$231,0)-1,0),0)</f>
        <v>211020001</v>
      </c>
      <c r="Z39" s="9" t="s">
        <v>575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215070001</v>
      </c>
      <c r="AQ39" s="10" t="s">
        <v>479</v>
      </c>
      <c r="AR39" s="11">
        <v>2750</v>
      </c>
      <c r="AU39" s="11">
        <f ca="1">IFERROR(OFFSET(ITEM_RES!$A$1,MATCH(AV39,ITEM_RES!$J:$J,0)-1,0),0)</f>
        <v>211040001</v>
      </c>
      <c r="AV39" s="10" t="s">
        <v>489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360</v>
      </c>
      <c r="L40" s="9">
        <v>0</v>
      </c>
      <c r="M40" s="9">
        <v>15</v>
      </c>
      <c r="R40" s="9" t="s">
        <v>382</v>
      </c>
      <c r="U40" s="9">
        <f ca="1">IFERROR(OFFSET(ITEM_RES!$A$5,MATCH(BUILDING!T40,ITEM_RES!$J$5:$J$231,0)-1,0),0)</f>
        <v>0</v>
      </c>
      <c r="W40" s="86" t="s">
        <v>605</v>
      </c>
      <c r="X40" s="9">
        <f ca="1">IFERROR(OFFSET(ITEM_RES!$A$5,MATCH(BUILDING!W40,ITEM_RES!$J$5:$J$231,0)-1,0),0)</f>
        <v>211020001</v>
      </c>
      <c r="Z40" s="9" t="s">
        <v>575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215070001</v>
      </c>
      <c r="AQ40" s="10" t="s">
        <v>479</v>
      </c>
      <c r="AR40" s="11">
        <v>3500</v>
      </c>
      <c r="AU40" s="11">
        <f ca="1">IFERROR(OFFSET(ITEM_RES!$A$1,MATCH(AV40,ITEM_RES!$J:$J,0)-1,0),0)</f>
        <v>211040001</v>
      </c>
      <c r="AV40" s="10" t="s">
        <v>489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360</v>
      </c>
      <c r="L41" s="9">
        <v>0</v>
      </c>
      <c r="M41" s="9">
        <v>15</v>
      </c>
      <c r="R41" s="9" t="s">
        <v>382</v>
      </c>
      <c r="U41" s="9">
        <f ca="1">IFERROR(OFFSET(ITEM_RES!$A$5,MATCH(BUILDING!T41,ITEM_RES!$J$5:$J$231,0)-1,0),0)</f>
        <v>0</v>
      </c>
      <c r="W41" s="86" t="s">
        <v>605</v>
      </c>
      <c r="X41" s="9">
        <f ca="1">IFERROR(OFFSET(ITEM_RES!$A$5,MATCH(BUILDING!W41,ITEM_RES!$J$5:$J$231,0)-1,0),0)</f>
        <v>211020001</v>
      </c>
      <c r="Z41" s="9" t="s">
        <v>575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215070001</v>
      </c>
      <c r="AQ41" s="10" t="s">
        <v>479</v>
      </c>
      <c r="AR41" s="11">
        <v>4250</v>
      </c>
      <c r="AU41" s="11">
        <f ca="1">IFERROR(OFFSET(ITEM_RES!$A$1,MATCH(AV41,ITEM_RES!$J:$J,0)-1,0),0)</f>
        <v>211040001</v>
      </c>
      <c r="AV41" s="10" t="s">
        <v>489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360</v>
      </c>
      <c r="L42" s="9">
        <v>0</v>
      </c>
      <c r="M42" s="9">
        <v>15</v>
      </c>
      <c r="R42" s="9" t="s">
        <v>382</v>
      </c>
      <c r="U42" s="9">
        <f ca="1">IFERROR(OFFSET(ITEM_RES!$A$5,MATCH(BUILDING!T42,ITEM_RES!$J$5:$J$231,0)-1,0),0)</f>
        <v>0</v>
      </c>
      <c r="W42" s="86" t="s">
        <v>605</v>
      </c>
      <c r="X42" s="9">
        <f ca="1">IFERROR(OFFSET(ITEM_RES!$A$5,MATCH(BUILDING!W42,ITEM_RES!$J$5:$J$231,0)-1,0),0)</f>
        <v>211020001</v>
      </c>
      <c r="Z42" s="9" t="s">
        <v>575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215070001</v>
      </c>
      <c r="AQ42" s="10" t="s">
        <v>479</v>
      </c>
      <c r="AR42" s="11">
        <v>5250</v>
      </c>
      <c r="AU42" s="11">
        <f ca="1">IFERROR(OFFSET(ITEM_RES!$A$1,MATCH(AV42,ITEM_RES!$J:$J,0)-1,0),0)</f>
        <v>211040001</v>
      </c>
      <c r="AV42" s="10" t="s">
        <v>489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360</v>
      </c>
      <c r="L43" s="9">
        <v>0</v>
      </c>
      <c r="M43" s="9">
        <v>15</v>
      </c>
      <c r="R43" s="9" t="s">
        <v>382</v>
      </c>
      <c r="U43" s="9">
        <f ca="1">IFERROR(OFFSET(ITEM_RES!$A$5,MATCH(BUILDING!T43,ITEM_RES!$J$5:$J$231,0)-1,0),0)</f>
        <v>0</v>
      </c>
      <c r="W43" s="86" t="s">
        <v>605</v>
      </c>
      <c r="X43" s="9">
        <f ca="1">IFERROR(OFFSET(ITEM_RES!$A$5,MATCH(BUILDING!W43,ITEM_RES!$J$5:$J$231,0)-1,0),0)</f>
        <v>211020001</v>
      </c>
      <c r="Z43" s="9" t="s">
        <v>575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215070001</v>
      </c>
      <c r="AQ43" s="10" t="s">
        <v>479</v>
      </c>
      <c r="AR43" s="11">
        <v>6250</v>
      </c>
      <c r="AU43" s="11">
        <f ca="1">IFERROR(OFFSET(ITEM_RES!$A$1,MATCH(AV43,ITEM_RES!$J:$J,0)-1,0),0)</f>
        <v>211040001</v>
      </c>
      <c r="AV43" s="10" t="s">
        <v>489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360</v>
      </c>
      <c r="L44" s="9">
        <v>0</v>
      </c>
      <c r="M44" s="9">
        <v>15</v>
      </c>
      <c r="R44" s="9" t="s">
        <v>382</v>
      </c>
      <c r="U44" s="9">
        <f ca="1">IFERROR(OFFSET(ITEM_RES!$A$5,MATCH(BUILDING!T44,ITEM_RES!$J$5:$J$231,0)-1,0),0)</f>
        <v>0</v>
      </c>
      <c r="W44" s="86" t="s">
        <v>605</v>
      </c>
      <c r="X44" s="9">
        <f ca="1">IFERROR(OFFSET(ITEM_RES!$A$5,MATCH(BUILDING!W44,ITEM_RES!$J$5:$J$231,0)-1,0),0)</f>
        <v>211020001</v>
      </c>
      <c r="Z44" s="9" t="s">
        <v>575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215070001</v>
      </c>
      <c r="AQ44" s="10" t="s">
        <v>479</v>
      </c>
      <c r="AR44" s="11">
        <v>7500</v>
      </c>
      <c r="AU44" s="11">
        <f ca="1">IFERROR(OFFSET(ITEM_RES!$A$1,MATCH(AV44,ITEM_RES!$J:$J,0)-1,0),0)</f>
        <v>211040001</v>
      </c>
      <c r="AV44" s="10" t="s">
        <v>489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361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606</v>
      </c>
      <c r="X45" s="16">
        <f ca="1">IFERROR(OFFSET(ITEM_RES!$A$5,MATCH(BUILDING!W45,ITEM_RES!$J$5:$J$231,0)-1,0),0)</f>
        <v>211030001</v>
      </c>
      <c r="Y45" s="80"/>
      <c r="Z45" s="16" t="s">
        <v>576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464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489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496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361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606</v>
      </c>
      <c r="X46" s="9">
        <f ca="1">IFERROR(OFFSET(ITEM_RES!$A$5,MATCH(BUILDING!W46,ITEM_RES!$J$5:$J$231,0)-1,0),0)</f>
        <v>211030001</v>
      </c>
      <c r="Z46" s="9" t="s">
        <v>576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464</v>
      </c>
      <c r="AR46" s="11">
        <v>50</v>
      </c>
      <c r="AU46" s="11">
        <f ca="1">IFERROR(OFFSET(ITEM_RES!$A$1,MATCH(AV46,ITEM_RES!$J:$J,0)-1,0),0)</f>
        <v>211040001</v>
      </c>
      <c r="AV46" s="10" t="s">
        <v>489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361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606</v>
      </c>
      <c r="X47" s="9">
        <f ca="1">IFERROR(OFFSET(ITEM_RES!$A$5,MATCH(BUILDING!W47,ITEM_RES!$J$5:$J$231,0)-1,0),0)</f>
        <v>211030001</v>
      </c>
      <c r="Z47" s="9" t="s">
        <v>576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464</v>
      </c>
      <c r="AR47" s="11">
        <v>75</v>
      </c>
      <c r="AU47" s="11">
        <f ca="1">IFERROR(OFFSET(ITEM_RES!$A$1,MATCH(AV47,ITEM_RES!$J:$J,0)-1,0),0)</f>
        <v>211040001</v>
      </c>
      <c r="AV47" s="10" t="s">
        <v>489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361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606</v>
      </c>
      <c r="X48" s="9">
        <f ca="1">IFERROR(OFFSET(ITEM_RES!$A$5,MATCH(BUILDING!W48,ITEM_RES!$J$5:$J$231,0)-1,0),0)</f>
        <v>211030001</v>
      </c>
      <c r="Z48" s="9" t="s">
        <v>576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464</v>
      </c>
      <c r="AR48" s="11">
        <v>125</v>
      </c>
      <c r="AU48" s="11">
        <f ca="1">IFERROR(OFFSET(ITEM_RES!$A$1,MATCH(AV48,ITEM_RES!$J:$J,0)-1,0),0)</f>
        <v>211040001</v>
      </c>
      <c r="AV48" s="10" t="s">
        <v>489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361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606</v>
      </c>
      <c r="X49" s="9">
        <f ca="1">IFERROR(OFFSET(ITEM_RES!$A$5,MATCH(BUILDING!W49,ITEM_RES!$J$5:$J$231,0)-1,0),0)</f>
        <v>211030001</v>
      </c>
      <c r="Z49" s="9" t="s">
        <v>576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464</v>
      </c>
      <c r="AR49" s="11">
        <v>200</v>
      </c>
      <c r="AU49" s="11">
        <f ca="1">IFERROR(OFFSET(ITEM_RES!$A$1,MATCH(AV49,ITEM_RES!$J:$J,0)-1,0),0)</f>
        <v>211040001</v>
      </c>
      <c r="AV49" s="10" t="s">
        <v>489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361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606</v>
      </c>
      <c r="X50" s="9">
        <f ca="1">IFERROR(OFFSET(ITEM_RES!$A$5,MATCH(BUILDING!W50,ITEM_RES!$J$5:$J$231,0)-1,0),0)</f>
        <v>211030001</v>
      </c>
      <c r="Z50" s="9" t="s">
        <v>576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464</v>
      </c>
      <c r="AR50" s="11">
        <v>250</v>
      </c>
      <c r="AU50" s="11">
        <f ca="1">IFERROR(OFFSET(ITEM_RES!$A$1,MATCH(AV50,ITEM_RES!$J:$J,0)-1,0),0)</f>
        <v>211040001</v>
      </c>
      <c r="AV50" s="10" t="s">
        <v>489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361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606</v>
      </c>
      <c r="X51" s="9">
        <f ca="1">IFERROR(OFFSET(ITEM_RES!$A$5,MATCH(BUILDING!W51,ITEM_RES!$J$5:$J$231,0)-1,0),0)</f>
        <v>211030001</v>
      </c>
      <c r="Z51" s="9" t="s">
        <v>576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464</v>
      </c>
      <c r="AR51" s="11">
        <v>500</v>
      </c>
      <c r="AU51" s="11">
        <f ca="1">IFERROR(OFFSET(ITEM_RES!$A$1,MATCH(AV51,ITEM_RES!$J:$J,0)-1,0),0)</f>
        <v>211040001</v>
      </c>
      <c r="AV51" s="10" t="s">
        <v>489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361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606</v>
      </c>
      <c r="X52" s="9">
        <f ca="1">IFERROR(OFFSET(ITEM_RES!$A$5,MATCH(BUILDING!W52,ITEM_RES!$J$5:$J$231,0)-1,0),0)</f>
        <v>211030001</v>
      </c>
      <c r="Z52" s="9" t="s">
        <v>576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464</v>
      </c>
      <c r="AR52" s="11">
        <v>500</v>
      </c>
      <c r="AU52" s="11">
        <f ca="1">IFERROR(OFFSET(ITEM_RES!$A$1,MATCH(AV52,ITEM_RES!$J:$J,0)-1,0),0)</f>
        <v>211040001</v>
      </c>
      <c r="AV52" s="10" t="s">
        <v>489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388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606</v>
      </c>
      <c r="X53" s="9">
        <f ca="1">IFERROR(OFFSET(ITEM_RES!$A$5,MATCH(BUILDING!W53,ITEM_RES!$J$5:$J$231,0)-1,0),0)</f>
        <v>211030001</v>
      </c>
      <c r="Z53" s="9" t="s">
        <v>576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464</v>
      </c>
      <c r="AR53" s="11">
        <v>750</v>
      </c>
      <c r="AU53" s="11">
        <f ca="1">IFERROR(OFFSET(ITEM_RES!$A$1,MATCH(AV53,ITEM_RES!$J:$J,0)-1,0),0)</f>
        <v>211040001</v>
      </c>
      <c r="AV53" s="10" t="s">
        <v>489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361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606</v>
      </c>
      <c r="X54" s="9">
        <f ca="1">IFERROR(OFFSET(ITEM_RES!$A$5,MATCH(BUILDING!W54,ITEM_RES!$J$5:$J$231,0)-1,0),0)</f>
        <v>211030001</v>
      </c>
      <c r="Z54" s="9" t="s">
        <v>576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464</v>
      </c>
      <c r="AR54" s="11">
        <v>1000</v>
      </c>
      <c r="AU54" s="11">
        <f ca="1">IFERROR(OFFSET(ITEM_RES!$A$1,MATCH(AV54,ITEM_RES!$J:$J,0)-1,0),0)</f>
        <v>211040001</v>
      </c>
      <c r="AV54" s="10" t="s">
        <v>489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361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606</v>
      </c>
      <c r="X55" s="9">
        <f ca="1">IFERROR(OFFSET(ITEM_RES!$A$5,MATCH(BUILDING!W55,ITEM_RES!$J$5:$J$231,0)-1,0),0)</f>
        <v>211030001</v>
      </c>
      <c r="Z55" s="9" t="s">
        <v>576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464</v>
      </c>
      <c r="AR55" s="11">
        <v>1250</v>
      </c>
      <c r="AU55" s="11">
        <f ca="1">IFERROR(OFFSET(ITEM_RES!$A$1,MATCH(AV55,ITEM_RES!$J:$J,0)-1,0),0)</f>
        <v>211040001</v>
      </c>
      <c r="AV55" s="10" t="s">
        <v>489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361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606</v>
      </c>
      <c r="X56" s="9">
        <f ca="1">IFERROR(OFFSET(ITEM_RES!$A$5,MATCH(BUILDING!W56,ITEM_RES!$J$5:$J$231,0)-1,0),0)</f>
        <v>211030001</v>
      </c>
      <c r="Z56" s="9" t="s">
        <v>576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464</v>
      </c>
      <c r="AR56" s="11">
        <v>1500</v>
      </c>
      <c r="AU56" s="11">
        <f ca="1">IFERROR(OFFSET(ITEM_RES!$A$1,MATCH(AV56,ITEM_RES!$J:$J,0)-1,0),0)</f>
        <v>211040001</v>
      </c>
      <c r="AV56" s="10" t="s">
        <v>489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361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606</v>
      </c>
      <c r="X57" s="9">
        <f ca="1">IFERROR(OFFSET(ITEM_RES!$A$5,MATCH(BUILDING!W57,ITEM_RES!$J$5:$J$231,0)-1,0),0)</f>
        <v>211030001</v>
      </c>
      <c r="Z57" s="9" t="s">
        <v>576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464</v>
      </c>
      <c r="AR57" s="11">
        <v>1750</v>
      </c>
      <c r="AU57" s="11">
        <f ca="1">IFERROR(OFFSET(ITEM_RES!$A$1,MATCH(AV57,ITEM_RES!$J:$J,0)-1,0),0)</f>
        <v>211040001</v>
      </c>
      <c r="AV57" s="10" t="s">
        <v>489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361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606</v>
      </c>
      <c r="X58" s="9">
        <f ca="1">IFERROR(OFFSET(ITEM_RES!$A$5,MATCH(BUILDING!W58,ITEM_RES!$J$5:$J$231,0)-1,0),0)</f>
        <v>211030001</v>
      </c>
      <c r="Z58" s="9" t="s">
        <v>576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215070001</v>
      </c>
      <c r="AQ58" s="10" t="s">
        <v>479</v>
      </c>
      <c r="AR58" s="11">
        <v>2250</v>
      </c>
      <c r="AU58" s="11">
        <f ca="1">IFERROR(OFFSET(ITEM_RES!$A$1,MATCH(AV58,ITEM_RES!$J:$J,0)-1,0),0)</f>
        <v>211040001</v>
      </c>
      <c r="AV58" s="10" t="s">
        <v>489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361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606</v>
      </c>
      <c r="X59" s="9">
        <f ca="1">IFERROR(OFFSET(ITEM_RES!$A$5,MATCH(BUILDING!W59,ITEM_RES!$J$5:$J$231,0)-1,0),0)</f>
        <v>211030001</v>
      </c>
      <c r="Z59" s="9" t="s">
        <v>576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215070001</v>
      </c>
      <c r="AQ59" s="10" t="s">
        <v>479</v>
      </c>
      <c r="AR59" s="11">
        <v>2750</v>
      </c>
      <c r="AU59" s="11">
        <f ca="1">IFERROR(OFFSET(ITEM_RES!$A$1,MATCH(AV59,ITEM_RES!$J:$J,0)-1,0),0)</f>
        <v>211040001</v>
      </c>
      <c r="AV59" s="10" t="s">
        <v>489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361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606</v>
      </c>
      <c r="X60" s="9">
        <f ca="1">IFERROR(OFFSET(ITEM_RES!$A$5,MATCH(BUILDING!W60,ITEM_RES!$J$5:$J$231,0)-1,0),0)</f>
        <v>211030001</v>
      </c>
      <c r="Z60" s="9" t="s">
        <v>576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215070001</v>
      </c>
      <c r="AQ60" s="10" t="s">
        <v>479</v>
      </c>
      <c r="AR60" s="11">
        <v>3500</v>
      </c>
      <c r="AU60" s="11">
        <f ca="1">IFERROR(OFFSET(ITEM_RES!$A$1,MATCH(AV60,ITEM_RES!$J:$J,0)-1,0),0)</f>
        <v>211040001</v>
      </c>
      <c r="AV60" s="10" t="s">
        <v>489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361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606</v>
      </c>
      <c r="X61" s="9">
        <f ca="1">IFERROR(OFFSET(ITEM_RES!$A$5,MATCH(BUILDING!W61,ITEM_RES!$J$5:$J$231,0)-1,0),0)</f>
        <v>211030001</v>
      </c>
      <c r="Z61" s="9" t="s">
        <v>576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215070001</v>
      </c>
      <c r="AQ61" s="10" t="s">
        <v>479</v>
      </c>
      <c r="AR61" s="11">
        <v>4250</v>
      </c>
      <c r="AU61" s="11">
        <f ca="1">IFERROR(OFFSET(ITEM_RES!$A$1,MATCH(AV61,ITEM_RES!$J:$J,0)-1,0),0)</f>
        <v>211040001</v>
      </c>
      <c r="AV61" s="10" t="s">
        <v>489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361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606</v>
      </c>
      <c r="X62" s="9">
        <f ca="1">IFERROR(OFFSET(ITEM_RES!$A$5,MATCH(BUILDING!W62,ITEM_RES!$J$5:$J$231,0)-1,0),0)</f>
        <v>211030001</v>
      </c>
      <c r="Z62" s="9" t="s">
        <v>576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215070001</v>
      </c>
      <c r="AQ62" s="10" t="s">
        <v>479</v>
      </c>
      <c r="AR62" s="11">
        <v>5250</v>
      </c>
      <c r="AU62" s="11">
        <f ca="1">IFERROR(OFFSET(ITEM_RES!$A$1,MATCH(AV62,ITEM_RES!$J:$J,0)-1,0),0)</f>
        <v>211040001</v>
      </c>
      <c r="AV62" s="10" t="s">
        <v>489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361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606</v>
      </c>
      <c r="X63" s="9">
        <f ca="1">IFERROR(OFFSET(ITEM_RES!$A$5,MATCH(BUILDING!W63,ITEM_RES!$J$5:$J$231,0)-1,0),0)</f>
        <v>211030001</v>
      </c>
      <c r="Z63" s="9" t="s">
        <v>576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215070001</v>
      </c>
      <c r="AQ63" s="10" t="s">
        <v>479</v>
      </c>
      <c r="AR63" s="11">
        <v>6250</v>
      </c>
      <c r="AU63" s="11">
        <f ca="1">IFERROR(OFFSET(ITEM_RES!$A$1,MATCH(AV63,ITEM_RES!$J:$J,0)-1,0),0)</f>
        <v>211040001</v>
      </c>
      <c r="AV63" s="10" t="s">
        <v>489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361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606</v>
      </c>
      <c r="X64" s="9">
        <f ca="1">IFERROR(OFFSET(ITEM_RES!$A$5,MATCH(BUILDING!W64,ITEM_RES!$J$5:$J$231,0)-1,0),0)</f>
        <v>211030001</v>
      </c>
      <c r="Z64" s="9" t="s">
        <v>576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215070001</v>
      </c>
      <c r="AQ64" s="10" t="s">
        <v>479</v>
      </c>
      <c r="AR64" s="11">
        <v>7500</v>
      </c>
      <c r="AU64" s="11">
        <f ca="1">IFERROR(OFFSET(ITEM_RES!$A$1,MATCH(AV64,ITEM_RES!$J:$J,0)-1,0),0)</f>
        <v>211040001</v>
      </c>
      <c r="AV64" s="10" t="s">
        <v>489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607</v>
      </c>
      <c r="X65" s="16">
        <f ca="1">IFERROR(OFFSET(ITEM_RES!$A$5,MATCH(BUILDING!W65,ITEM_RES!$J$5:$J$231,0)-1,0),0)</f>
        <v>211040001</v>
      </c>
      <c r="Y65" s="80"/>
      <c r="Z65" s="16" t="s">
        <v>577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462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473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496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607</v>
      </c>
      <c r="X66" s="9">
        <f ca="1">IFERROR(OFFSET(ITEM_RES!$A$5,MATCH(BUILDING!W66,ITEM_RES!$J$5:$J$231,0)-1,0),0)</f>
        <v>211040001</v>
      </c>
      <c r="Z66" s="9" t="s">
        <v>577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464</v>
      </c>
      <c r="AR66" s="11">
        <v>50</v>
      </c>
      <c r="AU66" s="11">
        <f ca="1">IFERROR(OFFSET(ITEM_RES!$A$1,MATCH(AV66,ITEM_RES!$J:$J,0)-1,0),0)</f>
        <v>212040001</v>
      </c>
      <c r="AV66" s="10" t="s">
        <v>473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607</v>
      </c>
      <c r="X67" s="9">
        <f ca="1">IFERROR(OFFSET(ITEM_RES!$A$5,MATCH(BUILDING!W67,ITEM_RES!$J$5:$J$231,0)-1,0),0)</f>
        <v>211040001</v>
      </c>
      <c r="Z67" s="9" t="s">
        <v>577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464</v>
      </c>
      <c r="AR67" s="11">
        <v>75</v>
      </c>
      <c r="AU67" s="11">
        <f ca="1">IFERROR(OFFSET(ITEM_RES!$A$1,MATCH(AV67,ITEM_RES!$J:$J,0)-1,0),0)</f>
        <v>212040001</v>
      </c>
      <c r="AV67" s="10" t="s">
        <v>473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607</v>
      </c>
      <c r="X68" s="9">
        <f ca="1">IFERROR(OFFSET(ITEM_RES!$A$5,MATCH(BUILDING!W68,ITEM_RES!$J$5:$J$231,0)-1,0),0)</f>
        <v>211040001</v>
      </c>
      <c r="Z68" s="9" t="s">
        <v>577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464</v>
      </c>
      <c r="AR68" s="11">
        <v>125</v>
      </c>
      <c r="AU68" s="11">
        <f ca="1">IFERROR(OFFSET(ITEM_RES!$A$1,MATCH(AV68,ITEM_RES!$J:$J,0)-1,0),0)</f>
        <v>212040001</v>
      </c>
      <c r="AV68" s="10" t="s">
        <v>473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607</v>
      </c>
      <c r="X69" s="9">
        <f ca="1">IFERROR(OFFSET(ITEM_RES!$A$5,MATCH(BUILDING!W69,ITEM_RES!$J$5:$J$231,0)-1,0),0)</f>
        <v>211040001</v>
      </c>
      <c r="Z69" s="9" t="s">
        <v>577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464</v>
      </c>
      <c r="AR69" s="11">
        <v>200</v>
      </c>
      <c r="AU69" s="11">
        <f ca="1">IFERROR(OFFSET(ITEM_RES!$A$1,MATCH(AV69,ITEM_RES!$J:$J,0)-1,0),0)</f>
        <v>212040001</v>
      </c>
      <c r="AV69" s="10" t="s">
        <v>473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607</v>
      </c>
      <c r="X70" s="9">
        <f ca="1">IFERROR(OFFSET(ITEM_RES!$A$5,MATCH(BUILDING!W70,ITEM_RES!$J$5:$J$231,0)-1,0),0)</f>
        <v>211040001</v>
      </c>
      <c r="Z70" s="9" t="s">
        <v>577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464</v>
      </c>
      <c r="AR70" s="11">
        <v>250</v>
      </c>
      <c r="AU70" s="11">
        <f ca="1">IFERROR(OFFSET(ITEM_RES!$A$1,MATCH(AV70,ITEM_RES!$J:$J,0)-1,0),0)</f>
        <v>212040001</v>
      </c>
      <c r="AV70" s="10" t="s">
        <v>473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607</v>
      </c>
      <c r="X71" s="9">
        <f ca="1">IFERROR(OFFSET(ITEM_RES!$A$5,MATCH(BUILDING!W71,ITEM_RES!$J$5:$J$231,0)-1,0),0)</f>
        <v>211040001</v>
      </c>
      <c r="Z71" s="9" t="s">
        <v>577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464</v>
      </c>
      <c r="AR71" s="11">
        <v>500</v>
      </c>
      <c r="AU71" s="11">
        <f ca="1">IFERROR(OFFSET(ITEM_RES!$A$1,MATCH(AV71,ITEM_RES!$J:$J,0)-1,0),0)</f>
        <v>212040001</v>
      </c>
      <c r="AV71" s="10" t="s">
        <v>473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607</v>
      </c>
      <c r="X72" s="9">
        <f ca="1">IFERROR(OFFSET(ITEM_RES!$A$5,MATCH(BUILDING!W72,ITEM_RES!$J$5:$J$231,0)-1,0),0)</f>
        <v>211040001</v>
      </c>
      <c r="Z72" s="9" t="s">
        <v>577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464</v>
      </c>
      <c r="AR72" s="11">
        <v>500</v>
      </c>
      <c r="AU72" s="11">
        <f ca="1">IFERROR(OFFSET(ITEM_RES!$A$1,MATCH(AV72,ITEM_RES!$J:$J,0)-1,0),0)</f>
        <v>212040001</v>
      </c>
      <c r="AV72" s="10" t="s">
        <v>473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607</v>
      </c>
      <c r="X73" s="9">
        <f ca="1">IFERROR(OFFSET(ITEM_RES!$A$5,MATCH(BUILDING!W73,ITEM_RES!$J$5:$J$231,0)-1,0),0)</f>
        <v>211040001</v>
      </c>
      <c r="Z73" s="9" t="s">
        <v>577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464</v>
      </c>
      <c r="AR73" s="11">
        <v>750</v>
      </c>
      <c r="AU73" s="11">
        <f ca="1">IFERROR(OFFSET(ITEM_RES!$A$1,MATCH(AV73,ITEM_RES!$J:$J,0)-1,0),0)</f>
        <v>212040001</v>
      </c>
      <c r="AV73" s="10" t="s">
        <v>473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607</v>
      </c>
      <c r="X74" s="9">
        <f ca="1">IFERROR(OFFSET(ITEM_RES!$A$5,MATCH(BUILDING!W74,ITEM_RES!$J$5:$J$231,0)-1,0),0)</f>
        <v>211040001</v>
      </c>
      <c r="Z74" s="9" t="s">
        <v>577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464</v>
      </c>
      <c r="AR74" s="11">
        <v>1000</v>
      </c>
      <c r="AU74" s="11">
        <f ca="1">IFERROR(OFFSET(ITEM_RES!$A$1,MATCH(AV74,ITEM_RES!$J:$J,0)-1,0),0)</f>
        <v>212040001</v>
      </c>
      <c r="AV74" s="10" t="s">
        <v>473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607</v>
      </c>
      <c r="X75" s="9">
        <f ca="1">IFERROR(OFFSET(ITEM_RES!$A$5,MATCH(BUILDING!W75,ITEM_RES!$J$5:$J$231,0)-1,0),0)</f>
        <v>211040001</v>
      </c>
      <c r="Z75" s="9" t="s">
        <v>577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464</v>
      </c>
      <c r="AR75" s="11">
        <v>1250</v>
      </c>
      <c r="AU75" s="11">
        <f ca="1">IFERROR(OFFSET(ITEM_RES!$A$1,MATCH(AV75,ITEM_RES!$J:$J,0)-1,0),0)</f>
        <v>212040001</v>
      </c>
      <c r="AV75" s="10" t="s">
        <v>473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504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607</v>
      </c>
      <c r="X76" s="9">
        <f ca="1">IFERROR(OFFSET(ITEM_RES!$A$5,MATCH(BUILDING!W76,ITEM_RES!$J$5:$J$231,0)-1,0),0)</f>
        <v>211040001</v>
      </c>
      <c r="Z76" s="9" t="s">
        <v>577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464</v>
      </c>
      <c r="AR76" s="11">
        <v>1500</v>
      </c>
      <c r="AU76" s="11">
        <f ca="1">IFERROR(OFFSET(ITEM_RES!$A$1,MATCH(AV76,ITEM_RES!$J:$J,0)-1,0),0)</f>
        <v>212040001</v>
      </c>
      <c r="AV76" s="10" t="s">
        <v>473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607</v>
      </c>
      <c r="X77" s="9">
        <f ca="1">IFERROR(OFFSET(ITEM_RES!$A$5,MATCH(BUILDING!W77,ITEM_RES!$J$5:$J$231,0)-1,0),0)</f>
        <v>211040001</v>
      </c>
      <c r="Z77" s="9" t="s">
        <v>577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464</v>
      </c>
      <c r="AR77" s="11">
        <v>1750</v>
      </c>
      <c r="AU77" s="11">
        <f ca="1">IFERROR(OFFSET(ITEM_RES!$A$1,MATCH(AV77,ITEM_RES!$J:$J,0)-1,0),0)</f>
        <v>212040001</v>
      </c>
      <c r="AV77" s="10" t="s">
        <v>473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607</v>
      </c>
      <c r="X78" s="9">
        <f ca="1">IFERROR(OFFSET(ITEM_RES!$A$5,MATCH(BUILDING!W78,ITEM_RES!$J$5:$J$231,0)-1,0),0)</f>
        <v>211040001</v>
      </c>
      <c r="Z78" s="9" t="s">
        <v>577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464</v>
      </c>
      <c r="AR78" s="11">
        <v>2250</v>
      </c>
      <c r="AU78" s="11">
        <f ca="1">IFERROR(OFFSET(ITEM_RES!$A$1,MATCH(AV78,ITEM_RES!$J:$J,0)-1,0),0)</f>
        <v>215050001</v>
      </c>
      <c r="AV78" s="10" t="s">
        <v>485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607</v>
      </c>
      <c r="X79" s="9">
        <f ca="1">IFERROR(OFFSET(ITEM_RES!$A$5,MATCH(BUILDING!W79,ITEM_RES!$J$5:$J$231,0)-1,0),0)</f>
        <v>211040001</v>
      </c>
      <c r="Z79" s="9" t="s">
        <v>577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464</v>
      </c>
      <c r="AR79" s="11">
        <v>2750</v>
      </c>
      <c r="AU79" s="11">
        <f ca="1">IFERROR(OFFSET(ITEM_RES!$A$1,MATCH(AV79,ITEM_RES!$J:$J,0)-1,0),0)</f>
        <v>215050001</v>
      </c>
      <c r="AV79" s="10" t="s">
        <v>485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607</v>
      </c>
      <c r="X80" s="9">
        <f ca="1">IFERROR(OFFSET(ITEM_RES!$A$5,MATCH(BUILDING!W80,ITEM_RES!$J$5:$J$231,0)-1,0),0)</f>
        <v>211040001</v>
      </c>
      <c r="Z80" s="9" t="s">
        <v>577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464</v>
      </c>
      <c r="AR80" s="11">
        <v>3500</v>
      </c>
      <c r="AU80" s="11">
        <f ca="1">IFERROR(OFFSET(ITEM_RES!$A$1,MATCH(AV80,ITEM_RES!$J:$J,0)-1,0),0)</f>
        <v>215050001</v>
      </c>
      <c r="AV80" s="10" t="s">
        <v>485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607</v>
      </c>
      <c r="X81" s="9">
        <f ca="1">IFERROR(OFFSET(ITEM_RES!$A$5,MATCH(BUILDING!W81,ITEM_RES!$J$5:$J$231,0)-1,0),0)</f>
        <v>211040001</v>
      </c>
      <c r="Z81" s="9" t="s">
        <v>577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464</v>
      </c>
      <c r="AR81" s="11">
        <v>4250</v>
      </c>
      <c r="AU81" s="11">
        <f ca="1">IFERROR(OFFSET(ITEM_RES!$A$1,MATCH(AV81,ITEM_RES!$J:$J,0)-1,0),0)</f>
        <v>215050001</v>
      </c>
      <c r="AV81" s="10" t="s">
        <v>485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607</v>
      </c>
      <c r="X82" s="9">
        <f ca="1">IFERROR(OFFSET(ITEM_RES!$A$5,MATCH(BUILDING!W82,ITEM_RES!$J$5:$J$231,0)-1,0),0)</f>
        <v>211040001</v>
      </c>
      <c r="Z82" s="9" t="s">
        <v>577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464</v>
      </c>
      <c r="AR82" s="11">
        <v>5250</v>
      </c>
      <c r="AU82" s="11">
        <f ca="1">IFERROR(OFFSET(ITEM_RES!$A$1,MATCH(AV82,ITEM_RES!$J:$J,0)-1,0),0)</f>
        <v>215050001</v>
      </c>
      <c r="AV82" s="10" t="s">
        <v>485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607</v>
      </c>
      <c r="X83" s="9">
        <f ca="1">IFERROR(OFFSET(ITEM_RES!$A$5,MATCH(BUILDING!W83,ITEM_RES!$J$5:$J$231,0)-1,0),0)</f>
        <v>211040001</v>
      </c>
      <c r="Z83" s="9" t="s">
        <v>577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464</v>
      </c>
      <c r="AR83" s="11">
        <v>6250</v>
      </c>
      <c r="AU83" s="11">
        <f ca="1">IFERROR(OFFSET(ITEM_RES!$A$1,MATCH(AV83,ITEM_RES!$J:$J,0)-1,0),0)</f>
        <v>215050001</v>
      </c>
      <c r="AV83" s="10" t="s">
        <v>485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607</v>
      </c>
      <c r="X84" s="9">
        <f ca="1">IFERROR(OFFSET(ITEM_RES!$A$5,MATCH(BUILDING!W84,ITEM_RES!$J$5:$J$231,0)-1,0),0)</f>
        <v>211040001</v>
      </c>
      <c r="Z84" s="9" t="s">
        <v>577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462</v>
      </c>
      <c r="AR84" s="11">
        <v>7500</v>
      </c>
      <c r="AU84" s="11">
        <f ca="1">IFERROR(OFFSET(ITEM_RES!$A$1,MATCH(AV84,ITEM_RES!$J:$J,0)-1,0),0)</f>
        <v>215050001</v>
      </c>
      <c r="AV84" s="10" t="s">
        <v>485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383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609</v>
      </c>
      <c r="U85" s="16">
        <f ca="1">IFERROR(OFFSET(ITEM_RES!$A$5,MATCH(BUILDING!T85,ITEM_RES!$J$5:$J$231,0)-1,0),0)</f>
        <v>215020001</v>
      </c>
      <c r="V85" s="18">
        <v>100</v>
      </c>
      <c r="W85" s="88" t="s">
        <v>608</v>
      </c>
      <c r="X85" s="16">
        <f ca="1">IFERROR(OFFSET(ITEM_RES!$A$5,MATCH(BUILDING!W85,ITEM_RES!$J$5:$J$231,0)-1,0),0)</f>
        <v>215030001</v>
      </c>
      <c r="Y85" s="80"/>
      <c r="Z85" s="16" t="s">
        <v>578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466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472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496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383</v>
      </c>
      <c r="L86" s="9">
        <v>1</v>
      </c>
      <c r="M86" s="9">
        <v>15</v>
      </c>
      <c r="R86" s="9">
        <v>22</v>
      </c>
      <c r="T86" s="86" t="s">
        <v>609</v>
      </c>
      <c r="U86" s="9">
        <f ca="1">IFERROR(OFFSET(ITEM_RES!$A$5,MATCH(BUILDING!T86,ITEM_RES!$J$5:$J$231,0)-1,0),0)</f>
        <v>215020001</v>
      </c>
      <c r="V86" s="11">
        <v>100</v>
      </c>
      <c r="W86" s="86" t="s">
        <v>608</v>
      </c>
      <c r="X86" s="9">
        <f ca="1">IFERROR(OFFSET(ITEM_RES!$A$5,MATCH(BUILDING!W86,ITEM_RES!$J$5:$J$231,0)-1,0),0)</f>
        <v>215030001</v>
      </c>
      <c r="Z86" s="9" t="s">
        <v>578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467</v>
      </c>
      <c r="AR86" s="11">
        <v>50</v>
      </c>
      <c r="AU86" s="11">
        <f ca="1">IFERROR(OFFSET(ITEM_RES!$A$1,MATCH(AV86,ITEM_RES!$J:$J,0)-1,0),0)</f>
        <v>212010001</v>
      </c>
      <c r="AV86" s="10" t="s">
        <v>472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383</v>
      </c>
      <c r="L87" s="9">
        <v>1</v>
      </c>
      <c r="M87" s="9">
        <v>15</v>
      </c>
      <c r="R87" s="9">
        <v>22</v>
      </c>
      <c r="T87" s="86" t="s">
        <v>609</v>
      </c>
      <c r="U87" s="9">
        <f ca="1">IFERROR(OFFSET(ITEM_RES!$A$5,MATCH(BUILDING!T87,ITEM_RES!$J$5:$J$231,0)-1,0),0)</f>
        <v>215020001</v>
      </c>
      <c r="V87" s="11">
        <v>100</v>
      </c>
      <c r="W87" s="86" t="s">
        <v>608</v>
      </c>
      <c r="X87" s="9">
        <f ca="1">IFERROR(OFFSET(ITEM_RES!$A$5,MATCH(BUILDING!W87,ITEM_RES!$J$5:$J$231,0)-1,0),0)</f>
        <v>215030001</v>
      </c>
      <c r="Z87" s="9" t="s">
        <v>578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466</v>
      </c>
      <c r="AR87" s="11">
        <v>75</v>
      </c>
      <c r="AU87" s="11">
        <f ca="1">IFERROR(OFFSET(ITEM_RES!$A$1,MATCH(AV87,ITEM_RES!$J:$J,0)-1,0),0)</f>
        <v>212010001</v>
      </c>
      <c r="AV87" s="10" t="s">
        <v>472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383</v>
      </c>
      <c r="L88" s="9">
        <v>1</v>
      </c>
      <c r="M88" s="9">
        <v>15</v>
      </c>
      <c r="R88" s="9">
        <v>22</v>
      </c>
      <c r="T88" s="86" t="s">
        <v>609</v>
      </c>
      <c r="U88" s="9">
        <f ca="1">IFERROR(OFFSET(ITEM_RES!$A$5,MATCH(BUILDING!T88,ITEM_RES!$J$5:$J$231,0)-1,0),0)</f>
        <v>215020001</v>
      </c>
      <c r="V88" s="11">
        <v>100</v>
      </c>
      <c r="W88" s="86" t="s">
        <v>608</v>
      </c>
      <c r="X88" s="9">
        <f ca="1">IFERROR(OFFSET(ITEM_RES!$A$5,MATCH(BUILDING!W88,ITEM_RES!$J$5:$J$231,0)-1,0),0)</f>
        <v>215030001</v>
      </c>
      <c r="Z88" s="9" t="s">
        <v>578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467</v>
      </c>
      <c r="AR88" s="11">
        <v>125</v>
      </c>
      <c r="AU88" s="11">
        <f ca="1">IFERROR(OFFSET(ITEM_RES!$A$1,MATCH(AV88,ITEM_RES!$J:$J,0)-1,0),0)</f>
        <v>212010001</v>
      </c>
      <c r="AV88" s="10" t="s">
        <v>472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383</v>
      </c>
      <c r="L89" s="9">
        <v>1</v>
      </c>
      <c r="M89" s="9">
        <v>15</v>
      </c>
      <c r="R89" s="9">
        <v>22</v>
      </c>
      <c r="T89" s="86" t="s">
        <v>609</v>
      </c>
      <c r="U89" s="9">
        <f ca="1">IFERROR(OFFSET(ITEM_RES!$A$5,MATCH(BUILDING!T89,ITEM_RES!$J$5:$J$231,0)-1,0),0)</f>
        <v>215020001</v>
      </c>
      <c r="V89" s="11">
        <v>100</v>
      </c>
      <c r="W89" s="86" t="s">
        <v>608</v>
      </c>
      <c r="X89" s="9">
        <f ca="1">IFERROR(OFFSET(ITEM_RES!$A$5,MATCH(BUILDING!W89,ITEM_RES!$J$5:$J$231,0)-1,0),0)</f>
        <v>215030001</v>
      </c>
      <c r="Z89" s="9" t="s">
        <v>578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466</v>
      </c>
      <c r="AR89" s="11">
        <v>200</v>
      </c>
      <c r="AU89" s="11">
        <f ca="1">IFERROR(OFFSET(ITEM_RES!$A$1,MATCH(AV89,ITEM_RES!$J:$J,0)-1,0),0)</f>
        <v>212010001</v>
      </c>
      <c r="AV89" s="10" t="s">
        <v>472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383</v>
      </c>
      <c r="L90" s="9">
        <v>1</v>
      </c>
      <c r="M90" s="9">
        <v>15</v>
      </c>
      <c r="R90" s="9">
        <v>22</v>
      </c>
      <c r="T90" s="86" t="s">
        <v>609</v>
      </c>
      <c r="U90" s="9">
        <f ca="1">IFERROR(OFFSET(ITEM_RES!$A$5,MATCH(BUILDING!T90,ITEM_RES!$J$5:$J$231,0)-1,0),0)</f>
        <v>215020001</v>
      </c>
      <c r="V90" s="11">
        <v>100</v>
      </c>
      <c r="W90" s="86" t="s">
        <v>608</v>
      </c>
      <c r="X90" s="9">
        <f ca="1">IFERROR(OFFSET(ITEM_RES!$A$5,MATCH(BUILDING!W90,ITEM_RES!$J$5:$J$231,0)-1,0),0)</f>
        <v>215030001</v>
      </c>
      <c r="Z90" s="9" t="s">
        <v>578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467</v>
      </c>
      <c r="AR90" s="11">
        <v>250</v>
      </c>
      <c r="AU90" s="11">
        <f ca="1">IFERROR(OFFSET(ITEM_RES!$A$1,MATCH(AV90,ITEM_RES!$J:$J,0)-1,0),0)</f>
        <v>212010001</v>
      </c>
      <c r="AV90" s="10" t="s">
        <v>472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383</v>
      </c>
      <c r="L91" s="9">
        <v>1</v>
      </c>
      <c r="M91" s="9">
        <v>15</v>
      </c>
      <c r="R91" s="9">
        <v>22</v>
      </c>
      <c r="T91" s="86" t="s">
        <v>609</v>
      </c>
      <c r="U91" s="9">
        <f ca="1">IFERROR(OFFSET(ITEM_RES!$A$5,MATCH(BUILDING!T91,ITEM_RES!$J$5:$J$231,0)-1,0),0)</f>
        <v>215020001</v>
      </c>
      <c r="V91" s="11">
        <v>100</v>
      </c>
      <c r="W91" s="86" t="s">
        <v>608</v>
      </c>
      <c r="X91" s="9">
        <f ca="1">IFERROR(OFFSET(ITEM_RES!$A$5,MATCH(BUILDING!W91,ITEM_RES!$J$5:$J$231,0)-1,0),0)</f>
        <v>215030001</v>
      </c>
      <c r="Z91" s="9" t="s">
        <v>578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467</v>
      </c>
      <c r="AR91" s="11">
        <v>500</v>
      </c>
      <c r="AU91" s="11">
        <f ca="1">IFERROR(OFFSET(ITEM_RES!$A$1,MATCH(AV91,ITEM_RES!$J:$J,0)-1,0),0)</f>
        <v>212010001</v>
      </c>
      <c r="AV91" s="10" t="s">
        <v>472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383</v>
      </c>
      <c r="L92" s="9">
        <v>1</v>
      </c>
      <c r="M92" s="9">
        <v>15</v>
      </c>
      <c r="R92" s="9">
        <v>22</v>
      </c>
      <c r="T92" s="86" t="s">
        <v>609</v>
      </c>
      <c r="U92" s="9">
        <f ca="1">IFERROR(OFFSET(ITEM_RES!$A$5,MATCH(BUILDING!T92,ITEM_RES!$J$5:$J$231,0)-1,0),0)</f>
        <v>215020001</v>
      </c>
      <c r="V92" s="11">
        <v>100</v>
      </c>
      <c r="W92" s="86" t="s">
        <v>608</v>
      </c>
      <c r="X92" s="9">
        <f ca="1">IFERROR(OFFSET(ITEM_RES!$A$5,MATCH(BUILDING!W92,ITEM_RES!$J$5:$J$231,0)-1,0),0)</f>
        <v>215030001</v>
      </c>
      <c r="Z92" s="9" t="s">
        <v>578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493</v>
      </c>
      <c r="AR92" s="11">
        <v>500</v>
      </c>
      <c r="AU92" s="11">
        <f ca="1">IFERROR(OFFSET(ITEM_RES!$A$1,MATCH(AV92,ITEM_RES!$J:$J,0)-1,0),0)</f>
        <v>212010001</v>
      </c>
      <c r="AV92" s="10" t="s">
        <v>472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383</v>
      </c>
      <c r="L93" s="9">
        <v>1</v>
      </c>
      <c r="M93" s="9">
        <v>15</v>
      </c>
      <c r="R93" s="9">
        <v>22</v>
      </c>
      <c r="T93" s="86" t="s">
        <v>609</v>
      </c>
      <c r="U93" s="9">
        <f ca="1">IFERROR(OFFSET(ITEM_RES!$A$5,MATCH(BUILDING!T93,ITEM_RES!$J$5:$J$231,0)-1,0),0)</f>
        <v>215020001</v>
      </c>
      <c r="V93" s="11">
        <v>100</v>
      </c>
      <c r="W93" s="86" t="s">
        <v>608</v>
      </c>
      <c r="X93" s="9">
        <f ca="1">IFERROR(OFFSET(ITEM_RES!$A$5,MATCH(BUILDING!W93,ITEM_RES!$J$5:$J$231,0)-1,0),0)</f>
        <v>215030001</v>
      </c>
      <c r="Z93" s="9" t="s">
        <v>578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493</v>
      </c>
      <c r="AR93" s="11">
        <v>750</v>
      </c>
      <c r="AU93" s="11">
        <f ca="1">IFERROR(OFFSET(ITEM_RES!$A$1,MATCH(AV93,ITEM_RES!$J:$J,0)-1,0),0)</f>
        <v>212010001</v>
      </c>
      <c r="AV93" s="10" t="s">
        <v>472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383</v>
      </c>
      <c r="L94" s="9">
        <v>1</v>
      </c>
      <c r="M94" s="9">
        <v>15</v>
      </c>
      <c r="R94" s="9">
        <v>22</v>
      </c>
      <c r="T94" s="86" t="s">
        <v>609</v>
      </c>
      <c r="U94" s="9">
        <f ca="1">IFERROR(OFFSET(ITEM_RES!$A$5,MATCH(BUILDING!T94,ITEM_RES!$J$5:$J$231,0)-1,0),0)</f>
        <v>215020001</v>
      </c>
      <c r="V94" s="11">
        <v>100</v>
      </c>
      <c r="W94" s="86" t="s">
        <v>608</v>
      </c>
      <c r="X94" s="9">
        <f ca="1">IFERROR(OFFSET(ITEM_RES!$A$5,MATCH(BUILDING!W94,ITEM_RES!$J$5:$J$231,0)-1,0),0)</f>
        <v>215030001</v>
      </c>
      <c r="Z94" s="9" t="s">
        <v>578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493</v>
      </c>
      <c r="AR94" s="11">
        <v>1000</v>
      </c>
      <c r="AU94" s="11">
        <f ca="1">IFERROR(OFFSET(ITEM_RES!$A$1,MATCH(AV94,ITEM_RES!$J:$J,0)-1,0),0)</f>
        <v>212010001</v>
      </c>
      <c r="AV94" s="10" t="s">
        <v>472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383</v>
      </c>
      <c r="L95" s="9">
        <v>1</v>
      </c>
      <c r="M95" s="9">
        <v>15</v>
      </c>
      <c r="R95" s="9">
        <v>22</v>
      </c>
      <c r="T95" s="86" t="s">
        <v>609</v>
      </c>
      <c r="U95" s="9">
        <f ca="1">IFERROR(OFFSET(ITEM_RES!$A$5,MATCH(BUILDING!T95,ITEM_RES!$J$5:$J$231,0)-1,0),0)</f>
        <v>215020001</v>
      </c>
      <c r="V95" s="11">
        <v>100</v>
      </c>
      <c r="W95" s="86" t="s">
        <v>608</v>
      </c>
      <c r="X95" s="9">
        <f ca="1">IFERROR(OFFSET(ITEM_RES!$A$5,MATCH(BUILDING!W95,ITEM_RES!$J$5:$J$231,0)-1,0),0)</f>
        <v>215030001</v>
      </c>
      <c r="Z95" s="9" t="s">
        <v>578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481</v>
      </c>
      <c r="AR95" s="11">
        <v>1250</v>
      </c>
      <c r="AU95" s="11">
        <f ca="1">IFERROR(OFFSET(ITEM_RES!$A$1,MATCH(AV95,ITEM_RES!$J:$J,0)-1,0),0)</f>
        <v>212010001</v>
      </c>
      <c r="AV95" s="10" t="s">
        <v>472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383</v>
      </c>
      <c r="L96" s="9">
        <v>1</v>
      </c>
      <c r="M96" s="9">
        <v>15</v>
      </c>
      <c r="R96" s="9">
        <v>22</v>
      </c>
      <c r="T96" s="86" t="s">
        <v>609</v>
      </c>
      <c r="U96" s="9">
        <f ca="1">IFERROR(OFFSET(ITEM_RES!$A$5,MATCH(BUILDING!T96,ITEM_RES!$J$5:$J$231,0)-1,0),0)</f>
        <v>215020001</v>
      </c>
      <c r="V96" s="11">
        <v>100</v>
      </c>
      <c r="W96" s="86" t="s">
        <v>608</v>
      </c>
      <c r="X96" s="9">
        <f ca="1">IFERROR(OFFSET(ITEM_RES!$A$5,MATCH(BUILDING!W96,ITEM_RES!$J$5:$J$231,0)-1,0),0)</f>
        <v>215030001</v>
      </c>
      <c r="Z96" s="9" t="s">
        <v>578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481</v>
      </c>
      <c r="AR96" s="11">
        <v>1500</v>
      </c>
      <c r="AU96" s="11">
        <f ca="1">IFERROR(OFFSET(ITEM_RES!$A$1,MATCH(AV96,ITEM_RES!$J:$J,0)-1,0),0)</f>
        <v>212010001</v>
      </c>
      <c r="AV96" s="10" t="s">
        <v>472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505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383</v>
      </c>
      <c r="L97" s="9">
        <v>1</v>
      </c>
      <c r="M97" s="9">
        <v>15</v>
      </c>
      <c r="R97" s="9">
        <v>22</v>
      </c>
      <c r="T97" s="86" t="s">
        <v>609</v>
      </c>
      <c r="U97" s="9">
        <f ca="1">IFERROR(OFFSET(ITEM_RES!$A$5,MATCH(BUILDING!T97,ITEM_RES!$J$5:$J$231,0)-1,0),0)</f>
        <v>215020001</v>
      </c>
      <c r="V97" s="11">
        <v>100</v>
      </c>
      <c r="W97" s="86" t="s">
        <v>608</v>
      </c>
      <c r="X97" s="9">
        <f ca="1">IFERROR(OFFSET(ITEM_RES!$A$5,MATCH(BUILDING!W97,ITEM_RES!$J$5:$J$231,0)-1,0),0)</f>
        <v>215030001</v>
      </c>
      <c r="Z97" s="9" t="s">
        <v>578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481</v>
      </c>
      <c r="AR97" s="11">
        <v>1750</v>
      </c>
      <c r="AU97" s="11">
        <f ca="1">IFERROR(OFFSET(ITEM_RES!$A$1,MATCH(AV97,ITEM_RES!$J:$J,0)-1,0),0)</f>
        <v>212010001</v>
      </c>
      <c r="AV97" s="10" t="s">
        <v>472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383</v>
      </c>
      <c r="L98" s="9">
        <v>1</v>
      </c>
      <c r="M98" s="9">
        <v>15</v>
      </c>
      <c r="R98" s="9">
        <v>22</v>
      </c>
      <c r="T98" s="86" t="s">
        <v>609</v>
      </c>
      <c r="U98" s="9">
        <f ca="1">IFERROR(OFFSET(ITEM_RES!$A$5,MATCH(BUILDING!T98,ITEM_RES!$J$5:$J$231,0)-1,0),0)</f>
        <v>215020001</v>
      </c>
      <c r="V98" s="11">
        <v>100</v>
      </c>
      <c r="W98" s="86" t="s">
        <v>608</v>
      </c>
      <c r="X98" s="9">
        <f ca="1">IFERROR(OFFSET(ITEM_RES!$A$5,MATCH(BUILDING!W98,ITEM_RES!$J$5:$J$231,0)-1,0),0)</f>
        <v>215030001</v>
      </c>
      <c r="Z98" s="9" t="s">
        <v>578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481</v>
      </c>
      <c r="AR98" s="11">
        <v>2250</v>
      </c>
      <c r="AU98" s="11">
        <f ca="1">IFERROR(OFFSET(ITEM_RES!$A$1,MATCH(AV98,ITEM_RES!$J:$J,0)-1,0),0)</f>
        <v>212010001</v>
      </c>
      <c r="AV98" s="10" t="s">
        <v>472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383</v>
      </c>
      <c r="L99" s="9">
        <v>1</v>
      </c>
      <c r="M99" s="9">
        <v>15</v>
      </c>
      <c r="R99" s="9">
        <v>22</v>
      </c>
      <c r="T99" s="86" t="s">
        <v>609</v>
      </c>
      <c r="U99" s="9">
        <f ca="1">IFERROR(OFFSET(ITEM_RES!$A$5,MATCH(BUILDING!T99,ITEM_RES!$J$5:$J$231,0)-1,0),0)</f>
        <v>215020001</v>
      </c>
      <c r="V99" s="11">
        <v>100</v>
      </c>
      <c r="W99" s="86" t="s">
        <v>608</v>
      </c>
      <c r="X99" s="9">
        <f ca="1">IFERROR(OFFSET(ITEM_RES!$A$5,MATCH(BUILDING!W99,ITEM_RES!$J$5:$J$231,0)-1,0),0)</f>
        <v>215030001</v>
      </c>
      <c r="Z99" s="9" t="s">
        <v>578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481</v>
      </c>
      <c r="AR99" s="11">
        <v>2750</v>
      </c>
      <c r="AU99" s="11">
        <f ca="1">IFERROR(OFFSET(ITEM_RES!$A$1,MATCH(AV99,ITEM_RES!$J:$J,0)-1,0),0)</f>
        <v>215070001</v>
      </c>
      <c r="AV99" s="10" t="s">
        <v>468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383</v>
      </c>
      <c r="L100" s="9">
        <v>0</v>
      </c>
      <c r="M100" s="9">
        <v>15</v>
      </c>
      <c r="R100" s="9">
        <v>22</v>
      </c>
      <c r="T100" s="86" t="s">
        <v>609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608</v>
      </c>
      <c r="X100" s="9">
        <f ca="1">IFERROR(OFFSET(ITEM_RES!$A$5,MATCH(BUILDING!W100,ITEM_RES!$J$5:$J$231,0)-1,0),0)</f>
        <v>215030001</v>
      </c>
      <c r="Z100" s="9" t="s">
        <v>578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481</v>
      </c>
      <c r="AR100" s="11">
        <v>3500</v>
      </c>
      <c r="AU100" s="11">
        <f ca="1">IFERROR(OFFSET(ITEM_RES!$A$1,MATCH(AV100,ITEM_RES!$J:$J,0)-1,0),0)</f>
        <v>215070001</v>
      </c>
      <c r="AV100" s="10" t="s">
        <v>468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383</v>
      </c>
      <c r="L101" s="9">
        <v>0</v>
      </c>
      <c r="M101" s="9">
        <v>15</v>
      </c>
      <c r="R101" s="9">
        <v>22</v>
      </c>
      <c r="T101" s="86" t="s">
        <v>609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608</v>
      </c>
      <c r="X101" s="9">
        <f ca="1">IFERROR(OFFSET(ITEM_RES!$A$5,MATCH(BUILDING!W101,ITEM_RES!$J$5:$J$231,0)-1,0),0)</f>
        <v>215030001</v>
      </c>
      <c r="Z101" s="9" t="s">
        <v>578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481</v>
      </c>
      <c r="AR101" s="11">
        <v>4250</v>
      </c>
      <c r="AU101" s="11">
        <f ca="1">IFERROR(OFFSET(ITEM_RES!$A$1,MATCH(AV101,ITEM_RES!$J:$J,0)-1,0),0)</f>
        <v>215070001</v>
      </c>
      <c r="AV101" s="10" t="s">
        <v>468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383</v>
      </c>
      <c r="L102" s="9">
        <v>0</v>
      </c>
      <c r="M102" s="9">
        <v>15</v>
      </c>
      <c r="R102" s="9">
        <v>22</v>
      </c>
      <c r="T102" s="86" t="s">
        <v>609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608</v>
      </c>
      <c r="X102" s="9">
        <f ca="1">IFERROR(OFFSET(ITEM_RES!$A$5,MATCH(BUILDING!W102,ITEM_RES!$J$5:$J$231,0)-1,0),0)</f>
        <v>215030001</v>
      </c>
      <c r="Z102" s="9" t="s">
        <v>578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494</v>
      </c>
      <c r="AR102" s="11">
        <v>5250</v>
      </c>
      <c r="AU102" s="11">
        <f ca="1">IFERROR(OFFSET(ITEM_RES!$A$1,MATCH(AV102,ITEM_RES!$J:$J,0)-1,0),0)</f>
        <v>215070001</v>
      </c>
      <c r="AV102" s="10" t="s">
        <v>468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383</v>
      </c>
      <c r="L103" s="9">
        <v>0</v>
      </c>
      <c r="M103" s="9">
        <v>15</v>
      </c>
      <c r="R103" s="9">
        <v>22</v>
      </c>
      <c r="T103" s="86" t="s">
        <v>609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608</v>
      </c>
      <c r="X103" s="9">
        <f ca="1">IFERROR(OFFSET(ITEM_RES!$A$5,MATCH(BUILDING!W103,ITEM_RES!$J$5:$J$231,0)-1,0),0)</f>
        <v>215030001</v>
      </c>
      <c r="Z103" s="9" t="s">
        <v>578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494</v>
      </c>
      <c r="AR103" s="11">
        <v>6250</v>
      </c>
      <c r="AU103" s="11">
        <f ca="1">IFERROR(OFFSET(ITEM_RES!$A$1,MATCH(AV103,ITEM_RES!$J:$J,0)-1,0),0)</f>
        <v>215070001</v>
      </c>
      <c r="AV103" s="10" t="s">
        <v>468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383</v>
      </c>
      <c r="L104" s="9">
        <v>0</v>
      </c>
      <c r="M104" s="9">
        <v>15</v>
      </c>
      <c r="R104" s="9">
        <v>22</v>
      </c>
      <c r="T104" s="86" t="s">
        <v>609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608</v>
      </c>
      <c r="X104" s="9">
        <f ca="1">IFERROR(OFFSET(ITEM_RES!$A$5,MATCH(BUILDING!W104,ITEM_RES!$J$5:$J$231,0)-1,0),0)</f>
        <v>215030001</v>
      </c>
      <c r="Z104" s="9" t="s">
        <v>578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494</v>
      </c>
      <c r="AR104" s="11">
        <v>7500</v>
      </c>
      <c r="AU104" s="11">
        <f ca="1">IFERROR(OFFSET(ITEM_RES!$A$1,MATCH(AV104,ITEM_RES!$J:$J,0)-1,0),0)</f>
        <v>215070001</v>
      </c>
      <c r="AV104" s="10" t="s">
        <v>468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381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616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609</v>
      </c>
      <c r="X105" s="16">
        <f ca="1">IFERROR(OFFSET(ITEM_RES!$A$5,MATCH(BUILDING!W105,ITEM_RES!$J$5:$J$231,0)-1,0),0)</f>
        <v>215020001</v>
      </c>
      <c r="Y105" s="80"/>
      <c r="Z105" s="16" t="s">
        <v>579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466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457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496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381</v>
      </c>
      <c r="L106" s="9">
        <v>1</v>
      </c>
      <c r="M106" s="9">
        <v>15</v>
      </c>
      <c r="R106" s="9">
        <v>33</v>
      </c>
      <c r="T106" s="86" t="s">
        <v>430</v>
      </c>
      <c r="U106" s="9">
        <f ca="1">IFERROR(OFFSET(ITEM_RES!$A$5,MATCH(BUILDING!T106,ITEM_RES!$J$5:$J$231,0)-1,0),0)</f>
        <v>212020001</v>
      </c>
      <c r="V106" s="11">
        <v>10</v>
      </c>
      <c r="W106" s="86" t="s">
        <v>609</v>
      </c>
      <c r="X106" s="9">
        <f ca="1">IFERROR(OFFSET(ITEM_RES!$A$5,MATCH(BUILDING!W106,ITEM_RES!$J$5:$J$231,0)-1,0),0)</f>
        <v>215020001</v>
      </c>
      <c r="Z106" s="9" t="s">
        <v>579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467</v>
      </c>
      <c r="AR106" s="11">
        <v>50</v>
      </c>
      <c r="AU106" s="11">
        <f ca="1">IFERROR(OFFSET(ITEM_RES!$A$1,MATCH(AV106,ITEM_RES!$J:$J,0)-1,0),0)</f>
        <v>212010001</v>
      </c>
      <c r="AV106" s="10" t="s">
        <v>457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381</v>
      </c>
      <c r="L107" s="9">
        <v>1</v>
      </c>
      <c r="M107" s="9">
        <v>15</v>
      </c>
      <c r="R107" s="9">
        <v>33</v>
      </c>
      <c r="T107" s="86" t="s">
        <v>430</v>
      </c>
      <c r="U107" s="9">
        <f ca="1">IFERROR(OFFSET(ITEM_RES!$A$5,MATCH(BUILDING!T107,ITEM_RES!$J$5:$J$231,0)-1,0),0)</f>
        <v>212020001</v>
      </c>
      <c r="V107" s="11">
        <v>10</v>
      </c>
      <c r="W107" s="86" t="s">
        <v>609</v>
      </c>
      <c r="X107" s="9">
        <f ca="1">IFERROR(OFFSET(ITEM_RES!$A$5,MATCH(BUILDING!W107,ITEM_RES!$J$5:$J$231,0)-1,0),0)</f>
        <v>215020001</v>
      </c>
      <c r="Z107" s="9" t="s">
        <v>579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466</v>
      </c>
      <c r="AR107" s="11">
        <v>75</v>
      </c>
      <c r="AU107" s="11">
        <f ca="1">IFERROR(OFFSET(ITEM_RES!$A$1,MATCH(AV107,ITEM_RES!$J:$J,0)-1,0),0)</f>
        <v>212010001</v>
      </c>
      <c r="AV107" s="10" t="s">
        <v>457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381</v>
      </c>
      <c r="L108" s="9">
        <v>1</v>
      </c>
      <c r="M108" s="9">
        <v>15</v>
      </c>
      <c r="R108" s="9">
        <v>33</v>
      </c>
      <c r="T108" s="86" t="s">
        <v>430</v>
      </c>
      <c r="U108" s="9">
        <f ca="1">IFERROR(OFFSET(ITEM_RES!$A$5,MATCH(BUILDING!T108,ITEM_RES!$J$5:$J$231,0)-1,0),0)</f>
        <v>212020001</v>
      </c>
      <c r="V108" s="11">
        <v>10</v>
      </c>
      <c r="W108" s="86" t="s">
        <v>609</v>
      </c>
      <c r="X108" s="9">
        <f ca="1">IFERROR(OFFSET(ITEM_RES!$A$5,MATCH(BUILDING!W108,ITEM_RES!$J$5:$J$231,0)-1,0),0)</f>
        <v>215020001</v>
      </c>
      <c r="Z108" s="9" t="s">
        <v>579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467</v>
      </c>
      <c r="AR108" s="11">
        <v>125</v>
      </c>
      <c r="AU108" s="11">
        <f ca="1">IFERROR(OFFSET(ITEM_RES!$A$1,MATCH(AV108,ITEM_RES!$J:$J,0)-1,0),0)</f>
        <v>212010001</v>
      </c>
      <c r="AV108" s="10" t="s">
        <v>457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381</v>
      </c>
      <c r="L109" s="9">
        <v>1</v>
      </c>
      <c r="M109" s="9">
        <v>15</v>
      </c>
      <c r="R109" s="9">
        <v>33</v>
      </c>
      <c r="T109" s="86" t="s">
        <v>430</v>
      </c>
      <c r="U109" s="9">
        <f ca="1">IFERROR(OFFSET(ITEM_RES!$A$5,MATCH(BUILDING!T109,ITEM_RES!$J$5:$J$231,0)-1,0),0)</f>
        <v>212020001</v>
      </c>
      <c r="V109" s="11">
        <v>10</v>
      </c>
      <c r="W109" s="86" t="s">
        <v>609</v>
      </c>
      <c r="X109" s="9">
        <f ca="1">IFERROR(OFFSET(ITEM_RES!$A$5,MATCH(BUILDING!W109,ITEM_RES!$J$5:$J$231,0)-1,0),0)</f>
        <v>215020001</v>
      </c>
      <c r="Z109" s="9" t="s">
        <v>579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466</v>
      </c>
      <c r="AR109" s="11">
        <v>200</v>
      </c>
      <c r="AU109" s="11">
        <f ca="1">IFERROR(OFFSET(ITEM_RES!$A$1,MATCH(AV109,ITEM_RES!$J:$J,0)-1,0),0)</f>
        <v>212010001</v>
      </c>
      <c r="AV109" s="10" t="s">
        <v>457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381</v>
      </c>
      <c r="L110" s="9">
        <v>1</v>
      </c>
      <c r="M110" s="9">
        <v>15</v>
      </c>
      <c r="R110" s="9">
        <v>33</v>
      </c>
      <c r="T110" s="86" t="s">
        <v>430</v>
      </c>
      <c r="U110" s="9">
        <f ca="1">IFERROR(OFFSET(ITEM_RES!$A$5,MATCH(BUILDING!T110,ITEM_RES!$J$5:$J$231,0)-1,0),0)</f>
        <v>212020001</v>
      </c>
      <c r="V110" s="11">
        <v>10</v>
      </c>
      <c r="W110" s="86" t="s">
        <v>609</v>
      </c>
      <c r="X110" s="9">
        <f ca="1">IFERROR(OFFSET(ITEM_RES!$A$5,MATCH(BUILDING!W110,ITEM_RES!$J$5:$J$231,0)-1,0),0)</f>
        <v>215020001</v>
      </c>
      <c r="Z110" s="9" t="s">
        <v>579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467</v>
      </c>
      <c r="AR110" s="11">
        <v>250</v>
      </c>
      <c r="AU110" s="11">
        <f ca="1">IFERROR(OFFSET(ITEM_RES!$A$1,MATCH(AV110,ITEM_RES!$J:$J,0)-1,0),0)</f>
        <v>212010001</v>
      </c>
      <c r="AV110" s="10" t="s">
        <v>457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381</v>
      </c>
      <c r="L111" s="9">
        <v>1</v>
      </c>
      <c r="M111" s="9">
        <v>15</v>
      </c>
      <c r="R111" s="9">
        <v>33</v>
      </c>
      <c r="T111" s="86" t="s">
        <v>430</v>
      </c>
      <c r="U111" s="9">
        <f ca="1">IFERROR(OFFSET(ITEM_RES!$A$5,MATCH(BUILDING!T111,ITEM_RES!$J$5:$J$231,0)-1,0),0)</f>
        <v>212020001</v>
      </c>
      <c r="V111" s="11">
        <v>10</v>
      </c>
      <c r="W111" s="86" t="s">
        <v>609</v>
      </c>
      <c r="X111" s="9">
        <f ca="1">IFERROR(OFFSET(ITEM_RES!$A$5,MATCH(BUILDING!W111,ITEM_RES!$J$5:$J$231,0)-1,0),0)</f>
        <v>215020001</v>
      </c>
      <c r="Z111" s="9" t="s">
        <v>579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466</v>
      </c>
      <c r="AR111" s="11">
        <v>500</v>
      </c>
      <c r="AU111" s="11">
        <f ca="1">IFERROR(OFFSET(ITEM_RES!$A$1,MATCH(AV111,ITEM_RES!$J:$J,0)-1,0),0)</f>
        <v>212010001</v>
      </c>
      <c r="AV111" s="10" t="s">
        <v>457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381</v>
      </c>
      <c r="L112" s="9">
        <v>1</v>
      </c>
      <c r="M112" s="9">
        <v>15</v>
      </c>
      <c r="R112" s="9">
        <v>33</v>
      </c>
      <c r="T112" s="86" t="s">
        <v>430</v>
      </c>
      <c r="U112" s="9">
        <f ca="1">IFERROR(OFFSET(ITEM_RES!$A$5,MATCH(BUILDING!T112,ITEM_RES!$J$5:$J$231,0)-1,0),0)</f>
        <v>212020001</v>
      </c>
      <c r="V112" s="11">
        <v>10</v>
      </c>
      <c r="W112" s="86" t="s">
        <v>609</v>
      </c>
      <c r="X112" s="9">
        <f ca="1">IFERROR(OFFSET(ITEM_RES!$A$5,MATCH(BUILDING!W112,ITEM_RES!$J$5:$J$231,0)-1,0),0)</f>
        <v>215020001</v>
      </c>
      <c r="Z112" s="9" t="s">
        <v>579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467</v>
      </c>
      <c r="AR112" s="11">
        <v>500</v>
      </c>
      <c r="AU112" s="11">
        <f ca="1">IFERROR(OFFSET(ITEM_RES!$A$1,MATCH(AV112,ITEM_RES!$J:$J,0)-1,0),0)</f>
        <v>212010001</v>
      </c>
      <c r="AV112" s="10" t="s">
        <v>457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381</v>
      </c>
      <c r="L113" s="9">
        <v>1</v>
      </c>
      <c r="M113" s="9">
        <v>15</v>
      </c>
      <c r="R113" s="9">
        <v>33</v>
      </c>
      <c r="T113" s="86" t="s">
        <v>430</v>
      </c>
      <c r="U113" s="9">
        <f ca="1">IFERROR(OFFSET(ITEM_RES!$A$5,MATCH(BUILDING!T113,ITEM_RES!$J$5:$J$231,0)-1,0),0)</f>
        <v>212020001</v>
      </c>
      <c r="V113" s="11">
        <v>10</v>
      </c>
      <c r="W113" s="86" t="s">
        <v>609</v>
      </c>
      <c r="X113" s="9">
        <f ca="1">IFERROR(OFFSET(ITEM_RES!$A$5,MATCH(BUILDING!W113,ITEM_RES!$J$5:$J$231,0)-1,0),0)</f>
        <v>215020001</v>
      </c>
      <c r="Z113" s="9" t="s">
        <v>579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466</v>
      </c>
      <c r="AR113" s="11">
        <v>750</v>
      </c>
      <c r="AU113" s="11">
        <f ca="1">IFERROR(OFFSET(ITEM_RES!$A$1,MATCH(AV113,ITEM_RES!$J:$J,0)-1,0),0)</f>
        <v>212010001</v>
      </c>
      <c r="AV113" s="10" t="s">
        <v>457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381</v>
      </c>
      <c r="L114" s="9">
        <v>1</v>
      </c>
      <c r="M114" s="9">
        <v>15</v>
      </c>
      <c r="R114" s="9">
        <v>33</v>
      </c>
      <c r="T114" s="86" t="s">
        <v>430</v>
      </c>
      <c r="U114" s="9">
        <f ca="1">IFERROR(OFFSET(ITEM_RES!$A$5,MATCH(BUILDING!T114,ITEM_RES!$J$5:$J$231,0)-1,0),0)</f>
        <v>212020001</v>
      </c>
      <c r="V114" s="11">
        <v>10</v>
      </c>
      <c r="W114" s="86" t="s">
        <v>609</v>
      </c>
      <c r="X114" s="9">
        <f ca="1">IFERROR(OFFSET(ITEM_RES!$A$5,MATCH(BUILDING!W114,ITEM_RES!$J$5:$J$231,0)-1,0),0)</f>
        <v>215020001</v>
      </c>
      <c r="Z114" s="9" t="s">
        <v>579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467</v>
      </c>
      <c r="AR114" s="11">
        <v>1000</v>
      </c>
      <c r="AU114" s="11">
        <f ca="1">IFERROR(OFFSET(ITEM_RES!$A$1,MATCH(AV114,ITEM_RES!$J:$J,0)-1,0),0)</f>
        <v>212010001</v>
      </c>
      <c r="AV114" s="10" t="s">
        <v>457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381</v>
      </c>
      <c r="L115" s="9">
        <v>1</v>
      </c>
      <c r="M115" s="9">
        <v>15</v>
      </c>
      <c r="R115" s="9">
        <v>33</v>
      </c>
      <c r="T115" s="86" t="s">
        <v>430</v>
      </c>
      <c r="U115" s="9">
        <f ca="1">IFERROR(OFFSET(ITEM_RES!$A$5,MATCH(BUILDING!T115,ITEM_RES!$J$5:$J$231,0)-1,0),0)</f>
        <v>212020001</v>
      </c>
      <c r="V115" s="11">
        <v>10</v>
      </c>
      <c r="W115" s="86" t="s">
        <v>609</v>
      </c>
      <c r="X115" s="9">
        <f ca="1">IFERROR(OFFSET(ITEM_RES!$A$5,MATCH(BUILDING!W115,ITEM_RES!$J$5:$J$231,0)-1,0),0)</f>
        <v>215020001</v>
      </c>
      <c r="Z115" s="9" t="s">
        <v>579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493</v>
      </c>
      <c r="AR115" s="11">
        <v>1250</v>
      </c>
      <c r="AU115" s="11">
        <f ca="1">IFERROR(OFFSET(ITEM_RES!$A$1,MATCH(AV115,ITEM_RES!$J:$J,0)-1,0),0)</f>
        <v>212010001</v>
      </c>
      <c r="AV115" s="10" t="s">
        <v>457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381</v>
      </c>
      <c r="L116" s="9">
        <v>1</v>
      </c>
      <c r="M116" s="9">
        <v>15</v>
      </c>
      <c r="R116" s="9">
        <v>33</v>
      </c>
      <c r="T116" s="86" t="s">
        <v>430</v>
      </c>
      <c r="U116" s="9">
        <f ca="1">IFERROR(OFFSET(ITEM_RES!$A$5,MATCH(BUILDING!T116,ITEM_RES!$J$5:$J$231,0)-1,0),0)</f>
        <v>212020001</v>
      </c>
      <c r="V116" s="11">
        <v>10</v>
      </c>
      <c r="W116" s="86" t="s">
        <v>609</v>
      </c>
      <c r="X116" s="9">
        <f ca="1">IFERROR(OFFSET(ITEM_RES!$A$5,MATCH(BUILDING!W116,ITEM_RES!$J$5:$J$231,0)-1,0),0)</f>
        <v>215020001</v>
      </c>
      <c r="Z116" s="9" t="s">
        <v>579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493</v>
      </c>
      <c r="AR116" s="11">
        <v>1500</v>
      </c>
      <c r="AU116" s="11">
        <f ca="1">IFERROR(OFFSET(ITEM_RES!$A$1,MATCH(AV116,ITEM_RES!$J:$J,0)-1,0),0)</f>
        <v>212010001</v>
      </c>
      <c r="AV116" s="10" t="s">
        <v>457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381</v>
      </c>
      <c r="L117" s="9">
        <v>1</v>
      </c>
      <c r="M117" s="9">
        <v>15</v>
      </c>
      <c r="R117" s="9">
        <v>33</v>
      </c>
      <c r="T117" s="86" t="s">
        <v>430</v>
      </c>
      <c r="U117" s="9">
        <f ca="1">IFERROR(OFFSET(ITEM_RES!$A$5,MATCH(BUILDING!T117,ITEM_RES!$J$5:$J$231,0)-1,0),0)</f>
        <v>212020001</v>
      </c>
      <c r="V117" s="11">
        <v>10</v>
      </c>
      <c r="W117" s="86" t="s">
        <v>609</v>
      </c>
      <c r="X117" s="9">
        <f ca="1">IFERROR(OFFSET(ITEM_RES!$A$5,MATCH(BUILDING!W117,ITEM_RES!$J$5:$J$231,0)-1,0),0)</f>
        <v>215020001</v>
      </c>
      <c r="Z117" s="9" t="s">
        <v>579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493</v>
      </c>
      <c r="AR117" s="11">
        <v>1750</v>
      </c>
      <c r="AU117" s="11">
        <f ca="1">IFERROR(OFFSET(ITEM_RES!$A$1,MATCH(AV117,ITEM_RES!$J:$J,0)-1,0),0)</f>
        <v>212010001</v>
      </c>
      <c r="AV117" s="10" t="s">
        <v>457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381</v>
      </c>
      <c r="L118" s="9">
        <v>1</v>
      </c>
      <c r="M118" s="9">
        <v>15</v>
      </c>
      <c r="R118" s="9">
        <v>33</v>
      </c>
      <c r="T118" s="86" t="s">
        <v>430</v>
      </c>
      <c r="U118" s="9">
        <f ca="1">IFERROR(OFFSET(ITEM_RES!$A$5,MATCH(BUILDING!T118,ITEM_RES!$J$5:$J$231,0)-1,0),0)</f>
        <v>212020001</v>
      </c>
      <c r="V118" s="11">
        <v>10</v>
      </c>
      <c r="W118" s="86" t="s">
        <v>609</v>
      </c>
      <c r="X118" s="9">
        <f ca="1">IFERROR(OFFSET(ITEM_RES!$A$5,MATCH(BUILDING!W118,ITEM_RES!$J$5:$J$231,0)-1,0),0)</f>
        <v>215020001</v>
      </c>
      <c r="Z118" s="9" t="s">
        <v>579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493</v>
      </c>
      <c r="AR118" s="11">
        <v>2250</v>
      </c>
      <c r="AU118" s="11">
        <f ca="1">IFERROR(OFFSET(ITEM_RES!$A$1,MATCH(AV118,ITEM_RES!$J:$J,0)-1,0),0)</f>
        <v>212010001</v>
      </c>
      <c r="AV118" s="10" t="s">
        <v>457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381</v>
      </c>
      <c r="L119" s="9">
        <v>1</v>
      </c>
      <c r="M119" s="9">
        <v>15</v>
      </c>
      <c r="R119" s="9">
        <v>33</v>
      </c>
      <c r="T119" s="86" t="s">
        <v>430</v>
      </c>
      <c r="U119" s="9">
        <f ca="1">IFERROR(OFFSET(ITEM_RES!$A$5,MATCH(BUILDING!T119,ITEM_RES!$J$5:$J$231,0)-1,0),0)</f>
        <v>212020001</v>
      </c>
      <c r="V119" s="11">
        <v>10</v>
      </c>
      <c r="W119" s="86" t="s">
        <v>609</v>
      </c>
      <c r="X119" s="9">
        <f ca="1">IFERROR(OFFSET(ITEM_RES!$A$5,MATCH(BUILDING!W119,ITEM_RES!$J$5:$J$231,0)-1,0),0)</f>
        <v>215020001</v>
      </c>
      <c r="Z119" s="9" t="s">
        <v>579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493</v>
      </c>
      <c r="AR119" s="11">
        <v>2750</v>
      </c>
      <c r="AU119" s="11">
        <f ca="1">IFERROR(OFFSET(ITEM_RES!$A$1,MATCH(AV119,ITEM_RES!$J:$J,0)-1,0),0)</f>
        <v>215070001</v>
      </c>
      <c r="AV119" s="10" t="s">
        <v>458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381</v>
      </c>
      <c r="L120" s="9">
        <v>0</v>
      </c>
      <c r="M120" s="9">
        <v>15</v>
      </c>
      <c r="R120" s="9">
        <v>33</v>
      </c>
      <c r="T120" s="86" t="s">
        <v>430</v>
      </c>
      <c r="U120" s="9">
        <f ca="1">IFERROR(OFFSET(ITEM_RES!$A$5,MATCH(BUILDING!T120,ITEM_RES!$J$5:$J$231,0)-1,0),0)</f>
        <v>212020001</v>
      </c>
      <c r="V120" s="11">
        <v>10</v>
      </c>
      <c r="W120" s="86" t="s">
        <v>609</v>
      </c>
      <c r="X120" s="9">
        <f ca="1">IFERROR(OFFSET(ITEM_RES!$A$5,MATCH(BUILDING!W120,ITEM_RES!$J$5:$J$231,0)-1,0),0)</f>
        <v>215020001</v>
      </c>
      <c r="Z120" s="9" t="s">
        <v>579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493</v>
      </c>
      <c r="AR120" s="11">
        <v>3500</v>
      </c>
      <c r="AU120" s="11">
        <f ca="1">IFERROR(OFFSET(ITEM_RES!$A$1,MATCH(AV120,ITEM_RES!$J:$J,0)-1,0),0)</f>
        <v>215070001</v>
      </c>
      <c r="AV120" s="10" t="s">
        <v>458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381</v>
      </c>
      <c r="L121" s="9">
        <v>0</v>
      </c>
      <c r="M121" s="9">
        <v>15</v>
      </c>
      <c r="R121" s="9">
        <v>33</v>
      </c>
      <c r="T121" s="86" t="s">
        <v>430</v>
      </c>
      <c r="U121" s="9">
        <f ca="1">IFERROR(OFFSET(ITEM_RES!$A$5,MATCH(BUILDING!T121,ITEM_RES!$J$5:$J$231,0)-1,0),0)</f>
        <v>212020001</v>
      </c>
      <c r="V121" s="11">
        <v>10</v>
      </c>
      <c r="W121" s="86" t="s">
        <v>609</v>
      </c>
      <c r="X121" s="9">
        <f ca="1">IFERROR(OFFSET(ITEM_RES!$A$5,MATCH(BUILDING!W121,ITEM_RES!$J$5:$J$231,0)-1,0),0)</f>
        <v>215020001</v>
      </c>
      <c r="Z121" s="9" t="s">
        <v>579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481</v>
      </c>
      <c r="AR121" s="11">
        <v>4250</v>
      </c>
      <c r="AU121" s="11">
        <f ca="1">IFERROR(OFFSET(ITEM_RES!$A$1,MATCH(AV121,ITEM_RES!$J:$J,0)-1,0),0)</f>
        <v>215070001</v>
      </c>
      <c r="AV121" s="10" t="s">
        <v>458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381</v>
      </c>
      <c r="L122" s="9">
        <v>0</v>
      </c>
      <c r="M122" s="9">
        <v>15</v>
      </c>
      <c r="R122" s="9">
        <v>33</v>
      </c>
      <c r="T122" s="86" t="s">
        <v>430</v>
      </c>
      <c r="U122" s="9">
        <f ca="1">IFERROR(OFFSET(ITEM_RES!$A$5,MATCH(BUILDING!T122,ITEM_RES!$J$5:$J$231,0)-1,0),0)</f>
        <v>212020001</v>
      </c>
      <c r="V122" s="11">
        <v>10</v>
      </c>
      <c r="W122" s="86" t="s">
        <v>609</v>
      </c>
      <c r="X122" s="9">
        <f ca="1">IFERROR(OFFSET(ITEM_RES!$A$5,MATCH(BUILDING!W122,ITEM_RES!$J$5:$J$231,0)-1,0),0)</f>
        <v>215020001</v>
      </c>
      <c r="Z122" s="9" t="s">
        <v>579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494</v>
      </c>
      <c r="AR122" s="11">
        <v>5250</v>
      </c>
      <c r="AU122" s="11">
        <f ca="1">IFERROR(OFFSET(ITEM_RES!$A$1,MATCH(AV122,ITEM_RES!$J:$J,0)-1,0),0)</f>
        <v>215070001</v>
      </c>
      <c r="AV122" s="10" t="s">
        <v>458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381</v>
      </c>
      <c r="L123" s="9">
        <v>0</v>
      </c>
      <c r="M123" s="9">
        <v>15</v>
      </c>
      <c r="R123" s="9">
        <v>33</v>
      </c>
      <c r="T123" s="86" t="s">
        <v>430</v>
      </c>
      <c r="U123" s="9">
        <f ca="1">IFERROR(OFFSET(ITEM_RES!$A$5,MATCH(BUILDING!T123,ITEM_RES!$J$5:$J$231,0)-1,0),0)</f>
        <v>212020001</v>
      </c>
      <c r="V123" s="11">
        <v>10</v>
      </c>
      <c r="W123" s="86" t="s">
        <v>609</v>
      </c>
      <c r="X123" s="9">
        <f ca="1">IFERROR(OFFSET(ITEM_RES!$A$5,MATCH(BUILDING!W123,ITEM_RES!$J$5:$J$231,0)-1,0),0)</f>
        <v>215020001</v>
      </c>
      <c r="Z123" s="9" t="s">
        <v>579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494</v>
      </c>
      <c r="AR123" s="11">
        <v>6250</v>
      </c>
      <c r="AU123" s="11">
        <f ca="1">IFERROR(OFFSET(ITEM_RES!$A$1,MATCH(AV123,ITEM_RES!$J:$J,0)-1,0),0)</f>
        <v>215070001</v>
      </c>
      <c r="AV123" s="10" t="s">
        <v>458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381</v>
      </c>
      <c r="L124" s="9">
        <v>0</v>
      </c>
      <c r="M124" s="9">
        <v>15</v>
      </c>
      <c r="R124" s="9">
        <v>33</v>
      </c>
      <c r="T124" s="86" t="s">
        <v>430</v>
      </c>
      <c r="U124" s="9">
        <f ca="1">IFERROR(OFFSET(ITEM_RES!$A$5,MATCH(BUILDING!T124,ITEM_RES!$J$5:$J$231,0)-1,0),0)</f>
        <v>212020001</v>
      </c>
      <c r="V124" s="11">
        <v>10</v>
      </c>
      <c r="W124" s="86" t="s">
        <v>609</v>
      </c>
      <c r="X124" s="9">
        <f ca="1">IFERROR(OFFSET(ITEM_RES!$A$5,MATCH(BUILDING!W124,ITEM_RES!$J$5:$J$231,0)-1,0),0)</f>
        <v>215020001</v>
      </c>
      <c r="Z124" s="9" t="s">
        <v>579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494</v>
      </c>
      <c r="AR124" s="11">
        <v>7500</v>
      </c>
      <c r="AU124" s="11">
        <f ca="1">IFERROR(OFFSET(ITEM_RES!$A$1,MATCH(AV124,ITEM_RES!$J:$J,0)-1,0),0)</f>
        <v>215070001</v>
      </c>
      <c r="AV124" s="10" t="s">
        <v>458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363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610</v>
      </c>
      <c r="X125" s="16">
        <f ca="1">IFERROR(OFFSET(ITEM_RES!$A$5,MATCH(BUILDING!W125,ITEM_RES!$J$5:$J$231,0)-1,0),0)</f>
        <v>211050001</v>
      </c>
      <c r="Y125" s="80"/>
      <c r="Z125" s="16" t="s">
        <v>580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496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363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610</v>
      </c>
      <c r="X126" s="9">
        <f ca="1">IFERROR(OFFSET(ITEM_RES!$A$5,MATCH(BUILDING!W126,ITEM_RES!$J$5:$J$231,0)-1,0),0)</f>
        <v>211050001</v>
      </c>
      <c r="Z126" s="9" t="s">
        <v>580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363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610</v>
      </c>
      <c r="X127" s="9">
        <f ca="1">IFERROR(OFFSET(ITEM_RES!$A$5,MATCH(BUILDING!W127,ITEM_RES!$J$5:$J$231,0)-1,0),0)</f>
        <v>211050001</v>
      </c>
      <c r="Z127" s="9" t="s">
        <v>580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363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610</v>
      </c>
      <c r="X128" s="9">
        <f ca="1">IFERROR(OFFSET(ITEM_RES!$A$5,MATCH(BUILDING!W128,ITEM_RES!$J$5:$J$231,0)-1,0),0)</f>
        <v>211050001</v>
      </c>
      <c r="Z128" s="9" t="s">
        <v>580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363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610</v>
      </c>
      <c r="X129" s="9">
        <f ca="1">IFERROR(OFFSET(ITEM_RES!$A$5,MATCH(BUILDING!W129,ITEM_RES!$J$5:$J$231,0)-1,0),0)</f>
        <v>211050001</v>
      </c>
      <c r="Z129" s="9" t="s">
        <v>580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363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610</v>
      </c>
      <c r="X130" s="9">
        <f ca="1">IFERROR(OFFSET(ITEM_RES!$A$5,MATCH(BUILDING!W130,ITEM_RES!$J$5:$J$231,0)-1,0),0)</f>
        <v>211050001</v>
      </c>
      <c r="Z130" s="9" t="s">
        <v>580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363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610</v>
      </c>
      <c r="X131" s="9">
        <f ca="1">IFERROR(OFFSET(ITEM_RES!$A$5,MATCH(BUILDING!W131,ITEM_RES!$J$5:$J$231,0)-1,0),0)</f>
        <v>211050001</v>
      </c>
      <c r="Z131" s="9" t="s">
        <v>580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363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610</v>
      </c>
      <c r="X132" s="9">
        <f ca="1">IFERROR(OFFSET(ITEM_RES!$A$5,MATCH(BUILDING!W132,ITEM_RES!$J$5:$J$231,0)-1,0),0)</f>
        <v>211050001</v>
      </c>
      <c r="Z132" s="9" t="s">
        <v>580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363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610</v>
      </c>
      <c r="X133" s="9">
        <f ca="1">IFERROR(OFFSET(ITEM_RES!$A$5,MATCH(BUILDING!W133,ITEM_RES!$J$5:$J$231,0)-1,0),0)</f>
        <v>211050001</v>
      </c>
      <c r="Z133" s="9" t="s">
        <v>580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1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363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610</v>
      </c>
      <c r="X134" s="9">
        <f ca="1">IFERROR(OFFSET(ITEM_RES!$A$5,MATCH(BUILDING!W134,ITEM_RES!$J$5:$J$231,0)-1,0),0)</f>
        <v>211050001</v>
      </c>
      <c r="Z134" s="9" t="s">
        <v>580</v>
      </c>
      <c r="AA134" s="9">
        <v>10</v>
      </c>
      <c r="AC134" s="9">
        <v>8000</v>
      </c>
      <c r="AE134" s="56">
        <f t="shared" ref="AE134:AE21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1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363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610</v>
      </c>
      <c r="X135" s="9">
        <f ca="1">IFERROR(OFFSET(ITEM_RES!$A$5,MATCH(BUILDING!W135,ITEM_RES!$J$5:$J$231,0)-1,0),0)</f>
        <v>211050001</v>
      </c>
      <c r="Z135" s="9" t="s">
        <v>580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363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610</v>
      </c>
      <c r="X136" s="9">
        <f ca="1">IFERROR(OFFSET(ITEM_RES!$A$5,MATCH(BUILDING!W136,ITEM_RES!$J$5:$J$231,0)-1,0),0)</f>
        <v>211050001</v>
      </c>
      <c r="Z136" s="9" t="s">
        <v>580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363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610</v>
      </c>
      <c r="X137" s="9">
        <f ca="1">IFERROR(OFFSET(ITEM_RES!$A$5,MATCH(BUILDING!W137,ITEM_RES!$J$5:$J$231,0)-1,0),0)</f>
        <v>211050001</v>
      </c>
      <c r="Z137" s="9" t="s">
        <v>580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363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610</v>
      </c>
      <c r="X138" s="9">
        <f ca="1">IFERROR(OFFSET(ITEM_RES!$A$5,MATCH(BUILDING!W138,ITEM_RES!$J$5:$J$231,0)-1,0),0)</f>
        <v>211050001</v>
      </c>
      <c r="Z138" s="9" t="s">
        <v>580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363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610</v>
      </c>
      <c r="X139" s="9">
        <f ca="1">IFERROR(OFFSET(ITEM_RES!$A$5,MATCH(BUILDING!W139,ITEM_RES!$J$5:$J$231,0)-1,0),0)</f>
        <v>211050001</v>
      </c>
      <c r="Z139" s="9" t="s">
        <v>580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363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610</v>
      </c>
      <c r="X140" s="9">
        <f ca="1">IFERROR(OFFSET(ITEM_RES!$A$5,MATCH(BUILDING!W140,ITEM_RES!$J$5:$J$231,0)-1,0),0)</f>
        <v>211050001</v>
      </c>
      <c r="Z140" s="9" t="s">
        <v>580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363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610</v>
      </c>
      <c r="X141" s="9">
        <f ca="1">IFERROR(OFFSET(ITEM_RES!$A$5,MATCH(BUILDING!W141,ITEM_RES!$J$5:$J$231,0)-1,0),0)</f>
        <v>211050001</v>
      </c>
      <c r="Z141" s="9" t="s">
        <v>580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363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610</v>
      </c>
      <c r="X142" s="9">
        <f ca="1">IFERROR(OFFSET(ITEM_RES!$A$5,MATCH(BUILDING!W142,ITEM_RES!$J$5:$J$231,0)-1,0),0)</f>
        <v>211050001</v>
      </c>
      <c r="Z142" s="9" t="s">
        <v>580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363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610</v>
      </c>
      <c r="X143" s="9">
        <f ca="1">IFERROR(OFFSET(ITEM_RES!$A$5,MATCH(BUILDING!W143,ITEM_RES!$J$5:$J$231,0)-1,0),0)</f>
        <v>211050001</v>
      </c>
      <c r="Z143" s="9" t="s">
        <v>580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363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610</v>
      </c>
      <c r="X144" s="9">
        <f ca="1">IFERROR(OFFSET(ITEM_RES!$A$5,MATCH(BUILDING!W144,ITEM_RES!$J$5:$J$231,0)-1,0),0)</f>
        <v>211050001</v>
      </c>
      <c r="Z144" s="9" t="s">
        <v>580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362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610</v>
      </c>
      <c r="X145" s="16">
        <f ca="1">IFERROR(OFFSET(ITEM_RES!$A$5,MATCH(BUILDING!W145,ITEM_RES!$J$5:$J$231,0)-1,0),0)</f>
        <v>211050001</v>
      </c>
      <c r="Y145" s="80"/>
      <c r="Z145" s="16" t="s">
        <v>581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470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496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362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610</v>
      </c>
      <c r="X146" s="9">
        <f ca="1">IFERROR(OFFSET(ITEM_RES!$A$5,MATCH(BUILDING!W146,ITEM_RES!$J$5:$J$231,0)-1,0),0)</f>
        <v>211050001</v>
      </c>
      <c r="Z146" s="9" t="s">
        <v>581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470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362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610</v>
      </c>
      <c r="X147" s="9">
        <f ca="1">IFERROR(OFFSET(ITEM_RES!$A$5,MATCH(BUILDING!W147,ITEM_RES!$J$5:$J$231,0)-1,0),0)</f>
        <v>211050001</v>
      </c>
      <c r="Z147" s="9" t="s">
        <v>581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470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362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610</v>
      </c>
      <c r="X148" s="9">
        <f ca="1">IFERROR(OFFSET(ITEM_RES!$A$5,MATCH(BUILDING!W148,ITEM_RES!$J$5:$J$231,0)-1,0),0)</f>
        <v>211050001</v>
      </c>
      <c r="Z148" s="9" t="s">
        <v>581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470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362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610</v>
      </c>
      <c r="X149" s="9">
        <f ca="1">IFERROR(OFFSET(ITEM_RES!$A$5,MATCH(BUILDING!W149,ITEM_RES!$J$5:$J$231,0)-1,0),0)</f>
        <v>211050001</v>
      </c>
      <c r="Z149" s="9" t="s">
        <v>581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470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362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610</v>
      </c>
      <c r="X150" s="9">
        <f ca="1">IFERROR(OFFSET(ITEM_RES!$A$5,MATCH(BUILDING!W150,ITEM_RES!$J$5:$J$231,0)-1,0),0)</f>
        <v>211050001</v>
      </c>
      <c r="Z150" s="9" t="s">
        <v>581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470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362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610</v>
      </c>
      <c r="X151" s="9">
        <f ca="1">IFERROR(OFFSET(ITEM_RES!$A$5,MATCH(BUILDING!W151,ITEM_RES!$J$5:$J$231,0)-1,0),0)</f>
        <v>211050001</v>
      </c>
      <c r="Z151" s="9" t="s">
        <v>581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470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362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610</v>
      </c>
      <c r="X152" s="9">
        <f ca="1">IFERROR(OFFSET(ITEM_RES!$A$5,MATCH(BUILDING!W152,ITEM_RES!$J$5:$J$231,0)-1,0),0)</f>
        <v>211050001</v>
      </c>
      <c r="Z152" s="9" t="s">
        <v>581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470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36" si="70">B153*10000000+C153*1000000+D153*10000+E153*100+F153</f>
        <v>111060009</v>
      </c>
      <c r="B153" s="13">
        <v>11</v>
      </c>
      <c r="C153" s="12">
        <f t="shared" ref="C153:C236" si="71">H153</f>
        <v>1</v>
      </c>
      <c r="D153" s="13">
        <v>6</v>
      </c>
      <c r="E153" s="13">
        <v>0</v>
      </c>
      <c r="F153" s="12">
        <f t="shared" ref="F153:F236" si="72">I153</f>
        <v>9</v>
      </c>
      <c r="H153" s="9">
        <v>1</v>
      </c>
      <c r="I153" s="9">
        <v>9</v>
      </c>
      <c r="K153" s="9" t="s">
        <v>362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610</v>
      </c>
      <c r="X153" s="9">
        <f ca="1">IFERROR(OFFSET(ITEM_RES!$A$5,MATCH(BUILDING!W153,ITEM_RES!$J$5:$J$231,0)-1,0),0)</f>
        <v>211050001</v>
      </c>
      <c r="Z153" s="9" t="s">
        <v>581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470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3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362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610</v>
      </c>
      <c r="X154" s="9">
        <f ca="1">IFERROR(OFFSET(ITEM_RES!$A$5,MATCH(BUILDING!W154,ITEM_RES!$J$5:$J$231,0)-1,0),0)</f>
        <v>211050001</v>
      </c>
      <c r="Z154" s="9" t="s">
        <v>581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3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470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362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610</v>
      </c>
      <c r="X155" s="9">
        <f ca="1">IFERROR(OFFSET(ITEM_RES!$A$5,MATCH(BUILDING!W155,ITEM_RES!$J$5:$J$231,0)-1,0),0)</f>
        <v>211050001</v>
      </c>
      <c r="Z155" s="9" t="s">
        <v>581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362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610</v>
      </c>
      <c r="X156" s="9">
        <f ca="1">IFERROR(OFFSET(ITEM_RES!$A$5,MATCH(BUILDING!W156,ITEM_RES!$J$5:$J$231,0)-1,0),0)</f>
        <v>211050001</v>
      </c>
      <c r="Z156" s="9" t="s">
        <v>581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470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362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610</v>
      </c>
      <c r="X157" s="9">
        <f ca="1">IFERROR(OFFSET(ITEM_RES!$A$5,MATCH(BUILDING!W157,ITEM_RES!$J$5:$J$231,0)-1,0),0)</f>
        <v>211050001</v>
      </c>
      <c r="Z157" s="9" t="s">
        <v>581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484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362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610</v>
      </c>
      <c r="X158" s="9">
        <f ca="1">IFERROR(OFFSET(ITEM_RES!$A$5,MATCH(BUILDING!W158,ITEM_RES!$J$5:$J$231,0)-1,0),0)</f>
        <v>211050001</v>
      </c>
      <c r="Z158" s="9" t="s">
        <v>581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484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362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610</v>
      </c>
      <c r="X159" s="9">
        <f ca="1">IFERROR(OFFSET(ITEM_RES!$A$5,MATCH(BUILDING!W159,ITEM_RES!$J$5:$J$231,0)-1,0),0)</f>
        <v>211050001</v>
      </c>
      <c r="Z159" s="9" t="s">
        <v>581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484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362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610</v>
      </c>
      <c r="X160" s="9">
        <f ca="1">IFERROR(OFFSET(ITEM_RES!$A$5,MATCH(BUILDING!W160,ITEM_RES!$J$5:$J$231,0)-1,0),0)</f>
        <v>211050001</v>
      </c>
      <c r="Z160" s="9" t="s">
        <v>581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484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362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610</v>
      </c>
      <c r="X161" s="9">
        <f ca="1">IFERROR(OFFSET(ITEM_RES!$A$5,MATCH(BUILDING!W161,ITEM_RES!$J$5:$J$231,0)-1,0),0)</f>
        <v>211050001</v>
      </c>
      <c r="Z161" s="9" t="s">
        <v>581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484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362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610</v>
      </c>
      <c r="X162" s="9">
        <f ca="1">IFERROR(OFFSET(ITEM_RES!$A$5,MATCH(BUILDING!W162,ITEM_RES!$J$5:$J$231,0)-1,0),0)</f>
        <v>211050001</v>
      </c>
      <c r="Z162" s="9" t="s">
        <v>581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484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362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610</v>
      </c>
      <c r="X163" s="9">
        <f ca="1">IFERROR(OFFSET(ITEM_RES!$A$5,MATCH(BUILDING!W163,ITEM_RES!$J$5:$J$231,0)-1,0),0)</f>
        <v>211050001</v>
      </c>
      <c r="Z163" s="9" t="s">
        <v>581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484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362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610</v>
      </c>
      <c r="X164" s="9">
        <f ca="1">IFERROR(OFFSET(ITEM_RES!$A$5,MATCH(BUILDING!W164,ITEM_RES!$J$5:$J$231,0)-1,0),0)</f>
        <v>211050001</v>
      </c>
      <c r="Z164" s="9" t="s">
        <v>581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484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364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610</v>
      </c>
      <c r="U165" s="16">
        <f ca="1">IFERROR(OFFSET(ITEM_RES!$A$5,MATCH(BUILDING!T165,ITEM_RES!$J$5:$J$231,0)-1,0),0)</f>
        <v>211050001</v>
      </c>
      <c r="V165" s="18">
        <v>1</v>
      </c>
      <c r="W165" s="88" t="s">
        <v>611</v>
      </c>
      <c r="X165" s="16">
        <f ca="1">IFERROR(OFFSET(ITEM_RES!$A$5,MATCH(BUILDING!W165,ITEM_RES!$J$5:$J$231,0)-1,0),0)</f>
        <v>215070001</v>
      </c>
      <c r="Y165" s="80"/>
      <c r="Z165" s="16" t="s">
        <v>582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470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496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364</v>
      </c>
      <c r="L166" s="9">
        <v>1</v>
      </c>
      <c r="M166" s="9">
        <v>15</v>
      </c>
      <c r="R166" s="9">
        <v>66</v>
      </c>
      <c r="T166" s="86" t="s">
        <v>610</v>
      </c>
      <c r="U166" s="9">
        <f ca="1">IFERROR(OFFSET(ITEM_RES!$A$5,MATCH(BUILDING!T166,ITEM_RES!$J$5:$J$231,0)-1,0),0)</f>
        <v>211050001</v>
      </c>
      <c r="V166" s="11">
        <v>1</v>
      </c>
      <c r="W166" s="86" t="s">
        <v>611</v>
      </c>
      <c r="X166" s="9">
        <f ca="1">IFERROR(OFFSET(ITEM_RES!$A$5,MATCH(BUILDING!W166,ITEM_RES!$J$5:$J$231,0)-1,0),0)</f>
        <v>215070001</v>
      </c>
      <c r="Z166" s="9" t="s">
        <v>582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470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364</v>
      </c>
      <c r="L167" s="9">
        <v>1</v>
      </c>
      <c r="M167" s="9">
        <v>15</v>
      </c>
      <c r="R167" s="9">
        <v>66</v>
      </c>
      <c r="T167" s="86" t="s">
        <v>610</v>
      </c>
      <c r="U167" s="9">
        <f ca="1">IFERROR(OFFSET(ITEM_RES!$A$5,MATCH(BUILDING!T167,ITEM_RES!$J$5:$J$231,0)-1,0),0)</f>
        <v>211050001</v>
      </c>
      <c r="V167" s="11">
        <v>1</v>
      </c>
      <c r="W167" s="86" t="s">
        <v>611</v>
      </c>
      <c r="X167" s="9">
        <f ca="1">IFERROR(OFFSET(ITEM_RES!$A$5,MATCH(BUILDING!W167,ITEM_RES!$J$5:$J$231,0)-1,0),0)</f>
        <v>215070001</v>
      </c>
      <c r="Z167" s="9" t="s">
        <v>582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470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364</v>
      </c>
      <c r="L168" s="9">
        <v>1</v>
      </c>
      <c r="M168" s="9">
        <v>15</v>
      </c>
      <c r="R168" s="9">
        <v>66</v>
      </c>
      <c r="T168" s="86" t="s">
        <v>610</v>
      </c>
      <c r="U168" s="9">
        <f ca="1">IFERROR(OFFSET(ITEM_RES!$A$5,MATCH(BUILDING!T168,ITEM_RES!$J$5:$J$231,0)-1,0),0)</f>
        <v>211050001</v>
      </c>
      <c r="V168" s="11">
        <v>1</v>
      </c>
      <c r="W168" s="86" t="s">
        <v>611</v>
      </c>
      <c r="X168" s="9">
        <f ca="1">IFERROR(OFFSET(ITEM_RES!$A$5,MATCH(BUILDING!W168,ITEM_RES!$J$5:$J$231,0)-1,0),0)</f>
        <v>215070001</v>
      </c>
      <c r="Z168" s="9" t="s">
        <v>582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470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364</v>
      </c>
      <c r="L169" s="9">
        <v>1</v>
      </c>
      <c r="M169" s="9">
        <v>15</v>
      </c>
      <c r="R169" s="9">
        <v>66</v>
      </c>
      <c r="T169" s="86" t="s">
        <v>610</v>
      </c>
      <c r="U169" s="9">
        <f ca="1">IFERROR(OFFSET(ITEM_RES!$A$5,MATCH(BUILDING!T169,ITEM_RES!$J$5:$J$231,0)-1,0),0)</f>
        <v>211050001</v>
      </c>
      <c r="V169" s="11">
        <v>1</v>
      </c>
      <c r="W169" s="86" t="s">
        <v>611</v>
      </c>
      <c r="X169" s="9">
        <f ca="1">IFERROR(OFFSET(ITEM_RES!$A$5,MATCH(BUILDING!W169,ITEM_RES!$J$5:$J$231,0)-1,0),0)</f>
        <v>215070001</v>
      </c>
      <c r="Z169" s="9" t="s">
        <v>582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470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364</v>
      </c>
      <c r="L170" s="9">
        <v>1</v>
      </c>
      <c r="M170" s="9">
        <v>15</v>
      </c>
      <c r="R170" s="9">
        <v>66</v>
      </c>
      <c r="T170" s="86" t="s">
        <v>610</v>
      </c>
      <c r="U170" s="9">
        <f ca="1">IFERROR(OFFSET(ITEM_RES!$A$5,MATCH(BUILDING!T170,ITEM_RES!$J$5:$J$231,0)-1,0),0)</f>
        <v>211050001</v>
      </c>
      <c r="V170" s="11">
        <v>1</v>
      </c>
      <c r="W170" s="86" t="s">
        <v>611</v>
      </c>
      <c r="X170" s="9">
        <f ca="1">IFERROR(OFFSET(ITEM_RES!$A$5,MATCH(BUILDING!W170,ITEM_RES!$J$5:$J$231,0)-1,0),0)</f>
        <v>215070001</v>
      </c>
      <c r="Z170" s="9" t="s">
        <v>582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470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364</v>
      </c>
      <c r="L171" s="9">
        <v>1</v>
      </c>
      <c r="M171" s="9">
        <v>15</v>
      </c>
      <c r="R171" s="9">
        <v>66</v>
      </c>
      <c r="T171" s="86" t="s">
        <v>610</v>
      </c>
      <c r="U171" s="9">
        <f ca="1">IFERROR(OFFSET(ITEM_RES!$A$5,MATCH(BUILDING!T171,ITEM_RES!$J$5:$J$231,0)-1,0),0)</f>
        <v>211050001</v>
      </c>
      <c r="V171" s="11">
        <v>1</v>
      </c>
      <c r="W171" s="86" t="s">
        <v>611</v>
      </c>
      <c r="X171" s="9">
        <f ca="1">IFERROR(OFFSET(ITEM_RES!$A$5,MATCH(BUILDING!W171,ITEM_RES!$J$5:$J$231,0)-1,0),0)</f>
        <v>215070001</v>
      </c>
      <c r="Z171" s="9" t="s">
        <v>582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470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364</v>
      </c>
      <c r="L172" s="9">
        <v>1</v>
      </c>
      <c r="M172" s="9">
        <v>15</v>
      </c>
      <c r="R172" s="9">
        <v>66</v>
      </c>
      <c r="T172" s="86" t="s">
        <v>610</v>
      </c>
      <c r="U172" s="9">
        <f ca="1">IFERROR(OFFSET(ITEM_RES!$A$5,MATCH(BUILDING!T172,ITEM_RES!$J$5:$J$231,0)-1,0),0)</f>
        <v>211050001</v>
      </c>
      <c r="V172" s="11">
        <v>1</v>
      </c>
      <c r="W172" s="86" t="s">
        <v>611</v>
      </c>
      <c r="X172" s="9">
        <f ca="1">IFERROR(OFFSET(ITEM_RES!$A$5,MATCH(BUILDING!W172,ITEM_RES!$J$5:$J$231,0)-1,0),0)</f>
        <v>215070001</v>
      </c>
      <c r="Z172" s="9" t="s">
        <v>582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470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364</v>
      </c>
      <c r="L173" s="9">
        <v>1</v>
      </c>
      <c r="M173" s="9">
        <v>15</v>
      </c>
      <c r="R173" s="9">
        <v>66</v>
      </c>
      <c r="T173" s="86" t="s">
        <v>610</v>
      </c>
      <c r="U173" s="9">
        <f ca="1">IFERROR(OFFSET(ITEM_RES!$A$5,MATCH(BUILDING!T173,ITEM_RES!$J$5:$J$231,0)-1,0),0)</f>
        <v>211050001</v>
      </c>
      <c r="V173" s="11">
        <v>1</v>
      </c>
      <c r="W173" s="86" t="s">
        <v>611</v>
      </c>
      <c r="X173" s="9">
        <f ca="1">IFERROR(OFFSET(ITEM_RES!$A$5,MATCH(BUILDING!W173,ITEM_RES!$J$5:$J$231,0)-1,0),0)</f>
        <v>215070001</v>
      </c>
      <c r="Z173" s="9" t="s">
        <v>582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470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364</v>
      </c>
      <c r="L174" s="9">
        <v>1</v>
      </c>
      <c r="M174" s="9">
        <v>15</v>
      </c>
      <c r="R174" s="9">
        <v>66</v>
      </c>
      <c r="T174" s="86" t="s">
        <v>610</v>
      </c>
      <c r="U174" s="9">
        <f ca="1">IFERROR(OFFSET(ITEM_RES!$A$5,MATCH(BUILDING!T174,ITEM_RES!$J$5:$J$231,0)-1,0),0)</f>
        <v>211050001</v>
      </c>
      <c r="V174" s="11">
        <v>1</v>
      </c>
      <c r="W174" s="86" t="s">
        <v>611</v>
      </c>
      <c r="X174" s="9">
        <f ca="1">IFERROR(OFFSET(ITEM_RES!$A$5,MATCH(BUILDING!W174,ITEM_RES!$J$5:$J$231,0)-1,0),0)</f>
        <v>215070001</v>
      </c>
      <c r="Z174" s="9" t="s">
        <v>582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470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364</v>
      </c>
      <c r="L175" s="9">
        <v>1</v>
      </c>
      <c r="M175" s="9">
        <v>15</v>
      </c>
      <c r="R175" s="9">
        <v>66</v>
      </c>
      <c r="T175" s="86" t="s">
        <v>610</v>
      </c>
      <c r="U175" s="9">
        <f ca="1">IFERROR(OFFSET(ITEM_RES!$A$5,MATCH(BUILDING!T175,ITEM_RES!$J$5:$J$231,0)-1,0),0)</f>
        <v>211050001</v>
      </c>
      <c r="V175" s="11">
        <v>1</v>
      </c>
      <c r="W175" s="86" t="s">
        <v>611</v>
      </c>
      <c r="X175" s="9">
        <f ca="1">IFERROR(OFFSET(ITEM_RES!$A$5,MATCH(BUILDING!W175,ITEM_RES!$J$5:$J$231,0)-1,0),0)</f>
        <v>215070001</v>
      </c>
      <c r="Z175" s="9" t="s">
        <v>582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470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364</v>
      </c>
      <c r="L176" s="9">
        <v>1</v>
      </c>
      <c r="M176" s="9">
        <v>15</v>
      </c>
      <c r="R176" s="9">
        <v>66</v>
      </c>
      <c r="T176" s="86" t="s">
        <v>610</v>
      </c>
      <c r="U176" s="9">
        <f ca="1">IFERROR(OFFSET(ITEM_RES!$A$5,MATCH(BUILDING!T176,ITEM_RES!$J$5:$J$231,0)-1,0),0)</f>
        <v>211050001</v>
      </c>
      <c r="V176" s="11">
        <v>1</v>
      </c>
      <c r="W176" s="86" t="s">
        <v>611</v>
      </c>
      <c r="X176" s="9">
        <f ca="1">IFERROR(OFFSET(ITEM_RES!$A$5,MATCH(BUILDING!W176,ITEM_RES!$J$5:$J$231,0)-1,0),0)</f>
        <v>215070001</v>
      </c>
      <c r="Z176" s="9" t="s">
        <v>582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470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364</v>
      </c>
      <c r="L177" s="9">
        <v>1</v>
      </c>
      <c r="M177" s="9">
        <v>15</v>
      </c>
      <c r="R177" s="9">
        <v>66</v>
      </c>
      <c r="T177" s="86" t="s">
        <v>610</v>
      </c>
      <c r="U177" s="9">
        <f ca="1">IFERROR(OFFSET(ITEM_RES!$A$5,MATCH(BUILDING!T177,ITEM_RES!$J$5:$J$231,0)-1,0),0)</f>
        <v>211050001</v>
      </c>
      <c r="V177" s="11">
        <v>1</v>
      </c>
      <c r="W177" s="86" t="s">
        <v>611</v>
      </c>
      <c r="X177" s="9">
        <f ca="1">IFERROR(OFFSET(ITEM_RES!$A$5,MATCH(BUILDING!W177,ITEM_RES!$J$5:$J$231,0)-1,0),0)</f>
        <v>215070001</v>
      </c>
      <c r="Z177" s="9" t="s">
        <v>582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470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364</v>
      </c>
      <c r="L178" s="9">
        <v>1</v>
      </c>
      <c r="M178" s="9">
        <v>15</v>
      </c>
      <c r="R178" s="9">
        <v>66</v>
      </c>
      <c r="T178" s="86" t="s">
        <v>610</v>
      </c>
      <c r="U178" s="9">
        <f ca="1">IFERROR(OFFSET(ITEM_RES!$A$5,MATCH(BUILDING!T178,ITEM_RES!$J$5:$J$231,0)-1,0),0)</f>
        <v>211050001</v>
      </c>
      <c r="V178" s="11">
        <v>1</v>
      </c>
      <c r="W178" s="86" t="s">
        <v>611</v>
      </c>
      <c r="X178" s="9">
        <f ca="1">IFERROR(OFFSET(ITEM_RES!$A$5,MATCH(BUILDING!W178,ITEM_RES!$J$5:$J$231,0)-1,0),0)</f>
        <v>215070001</v>
      </c>
      <c r="Z178" s="9" t="s">
        <v>582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470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364</v>
      </c>
      <c r="L179" s="9">
        <v>1</v>
      </c>
      <c r="M179" s="9">
        <v>15</v>
      </c>
      <c r="R179" s="9">
        <v>66</v>
      </c>
      <c r="T179" s="86" t="s">
        <v>610</v>
      </c>
      <c r="U179" s="9">
        <f ca="1">IFERROR(OFFSET(ITEM_RES!$A$5,MATCH(BUILDING!T179,ITEM_RES!$J$5:$J$231,0)-1,0),0)</f>
        <v>211050001</v>
      </c>
      <c r="V179" s="11">
        <v>1</v>
      </c>
      <c r="W179" s="86" t="s">
        <v>611</v>
      </c>
      <c r="X179" s="9">
        <f ca="1">IFERROR(OFFSET(ITEM_RES!$A$5,MATCH(BUILDING!W179,ITEM_RES!$J$5:$J$231,0)-1,0),0)</f>
        <v>215070001</v>
      </c>
      <c r="Z179" s="9" t="s">
        <v>582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470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364</v>
      </c>
      <c r="L180" s="9">
        <v>0</v>
      </c>
      <c r="M180" s="9">
        <v>15</v>
      </c>
      <c r="R180" s="9">
        <v>66</v>
      </c>
      <c r="T180" s="86" t="s">
        <v>610</v>
      </c>
      <c r="U180" s="9">
        <f ca="1">IFERROR(OFFSET(ITEM_RES!$A$5,MATCH(BUILDING!T180,ITEM_RES!$J$5:$J$231,0)-1,0),0)</f>
        <v>211050001</v>
      </c>
      <c r="V180" s="11">
        <v>1</v>
      </c>
      <c r="W180" s="86" t="s">
        <v>611</v>
      </c>
      <c r="X180" s="9">
        <f ca="1">IFERROR(OFFSET(ITEM_RES!$A$5,MATCH(BUILDING!W180,ITEM_RES!$J$5:$J$231,0)-1,0),0)</f>
        <v>215070001</v>
      </c>
      <c r="Z180" s="9" t="s">
        <v>582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470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364</v>
      </c>
      <c r="L181" s="9">
        <v>0</v>
      </c>
      <c r="M181" s="9">
        <v>15</v>
      </c>
      <c r="R181" s="9">
        <v>66</v>
      </c>
      <c r="T181" s="86" t="s">
        <v>610</v>
      </c>
      <c r="U181" s="9">
        <f ca="1">IFERROR(OFFSET(ITEM_RES!$A$5,MATCH(BUILDING!T181,ITEM_RES!$J$5:$J$231,0)-1,0),0)</f>
        <v>211050001</v>
      </c>
      <c r="V181" s="11">
        <v>1</v>
      </c>
      <c r="W181" s="86" t="s">
        <v>611</v>
      </c>
      <c r="X181" s="9">
        <f ca="1">IFERROR(OFFSET(ITEM_RES!$A$5,MATCH(BUILDING!W181,ITEM_RES!$J$5:$J$231,0)-1,0),0)</f>
        <v>215070001</v>
      </c>
      <c r="Z181" s="9" t="s">
        <v>582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484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364</v>
      </c>
      <c r="L182" s="9">
        <v>0</v>
      </c>
      <c r="M182" s="9">
        <v>15</v>
      </c>
      <c r="R182" s="9">
        <v>66</v>
      </c>
      <c r="T182" s="86" t="s">
        <v>610</v>
      </c>
      <c r="U182" s="9">
        <f ca="1">IFERROR(OFFSET(ITEM_RES!$A$5,MATCH(BUILDING!T182,ITEM_RES!$J$5:$J$231,0)-1,0),0)</f>
        <v>211050001</v>
      </c>
      <c r="V182" s="11">
        <v>1</v>
      </c>
      <c r="W182" s="86" t="s">
        <v>611</v>
      </c>
      <c r="X182" s="9">
        <f ca="1">IFERROR(OFFSET(ITEM_RES!$A$5,MATCH(BUILDING!W182,ITEM_RES!$J$5:$J$231,0)-1,0),0)</f>
        <v>215070001</v>
      </c>
      <c r="Z182" s="9" t="s">
        <v>582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484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364</v>
      </c>
      <c r="L183" s="9">
        <v>0</v>
      </c>
      <c r="M183" s="9">
        <v>15</v>
      </c>
      <c r="R183" s="9">
        <v>66</v>
      </c>
      <c r="T183" s="86" t="s">
        <v>610</v>
      </c>
      <c r="U183" s="9">
        <f ca="1">IFERROR(OFFSET(ITEM_RES!$A$5,MATCH(BUILDING!T183,ITEM_RES!$J$5:$J$231,0)-1,0),0)</f>
        <v>211050001</v>
      </c>
      <c r="V183" s="11">
        <v>1</v>
      </c>
      <c r="W183" s="86" t="s">
        <v>611</v>
      </c>
      <c r="X183" s="9">
        <f ca="1">IFERROR(OFFSET(ITEM_RES!$A$5,MATCH(BUILDING!W183,ITEM_RES!$J$5:$J$231,0)-1,0),0)</f>
        <v>215070001</v>
      </c>
      <c r="Z183" s="9" t="s">
        <v>582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484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364</v>
      </c>
      <c r="L184" s="9">
        <v>0</v>
      </c>
      <c r="M184" s="9">
        <v>15</v>
      </c>
      <c r="R184" s="9">
        <v>66</v>
      </c>
      <c r="T184" s="86" t="s">
        <v>610</v>
      </c>
      <c r="U184" s="9">
        <f ca="1">IFERROR(OFFSET(ITEM_RES!$A$5,MATCH(BUILDING!T184,ITEM_RES!$J$5:$J$231,0)-1,0),0)</f>
        <v>211050001</v>
      </c>
      <c r="V184" s="11">
        <v>1</v>
      </c>
      <c r="W184" s="86" t="s">
        <v>611</v>
      </c>
      <c r="X184" s="9">
        <f ca="1">IFERROR(OFFSET(ITEM_RES!$A$5,MATCH(BUILDING!W184,ITEM_RES!$J$5:$J$231,0)-1,0),0)</f>
        <v>215070001</v>
      </c>
      <c r="Z184" s="9" t="s">
        <v>582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484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569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583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415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420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569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583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415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569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583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415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569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583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415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569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583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415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569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583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415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569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583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415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569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583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415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569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583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415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569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583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415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507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569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583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415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569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583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415</v>
      </c>
      <c r="AR196" s="11">
        <v>1500</v>
      </c>
      <c r="AU196" s="11">
        <f ca="1">IFERROR(OFFSET(ITEM_RES!$A$1,MATCH(AV196,ITEM_RES!$J:$J,0)-1,0),0)</f>
        <v>215050001</v>
      </c>
      <c r="AV196" s="10" t="s">
        <v>416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569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583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415</v>
      </c>
      <c r="AR197" s="11">
        <v>1750</v>
      </c>
      <c r="AU197" s="11">
        <f ca="1">IFERROR(OFFSET(ITEM_RES!$A$1,MATCH(AV197,ITEM_RES!$J:$J,0)-1,0),0)</f>
        <v>215050001</v>
      </c>
      <c r="AV197" s="10" t="s">
        <v>416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569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583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415</v>
      </c>
      <c r="AR198" s="11">
        <v>2250</v>
      </c>
      <c r="AU198" s="11">
        <f ca="1">IFERROR(OFFSET(ITEM_RES!$A$1,MATCH(AV198,ITEM_RES!$J:$J,0)-1,0),0)</f>
        <v>215050001</v>
      </c>
      <c r="AV198" s="10" t="s">
        <v>416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569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583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415</v>
      </c>
      <c r="AR199" s="11">
        <v>2750</v>
      </c>
      <c r="AU199" s="11">
        <f ca="1">IFERROR(OFFSET(ITEM_RES!$A$1,MATCH(AV199,ITEM_RES!$J:$J,0)-1,0),0)</f>
        <v>215050001</v>
      </c>
      <c r="AV199" s="10" t="s">
        <v>416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569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583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415</v>
      </c>
      <c r="AR200" s="11">
        <v>3500</v>
      </c>
      <c r="AU200" s="11">
        <f ca="1">IFERROR(OFFSET(ITEM_RES!$A$1,MATCH(AV200,ITEM_RES!$J:$J,0)-1,0),0)</f>
        <v>215050001</v>
      </c>
      <c r="AV200" s="10" t="s">
        <v>416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569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583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415</v>
      </c>
      <c r="AR201" s="11">
        <v>4250</v>
      </c>
      <c r="AU201" s="11">
        <f ca="1">IFERROR(OFFSET(ITEM_RES!$A$1,MATCH(AV201,ITEM_RES!$J:$J,0)-1,0),0)</f>
        <v>215050001</v>
      </c>
      <c r="AV201" s="10" t="s">
        <v>416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569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583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415</v>
      </c>
      <c r="AR202" s="11">
        <v>5250</v>
      </c>
      <c r="AU202" s="11">
        <f ca="1">IFERROR(OFFSET(ITEM_RES!$A$1,MATCH(AV202,ITEM_RES!$J:$J,0)-1,0),0)</f>
        <v>215050001</v>
      </c>
      <c r="AV202" s="10" t="s">
        <v>416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569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583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416</v>
      </c>
      <c r="AR203" s="11">
        <v>6250</v>
      </c>
      <c r="AU203" s="11">
        <f ca="1">IFERROR(OFFSET(ITEM_RES!$A$1,MATCH(AV203,ITEM_RES!$J:$J,0)-1,0),0)</f>
        <v>215070001</v>
      </c>
      <c r="AV203" s="10" t="s">
        <v>458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569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583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570</v>
      </c>
      <c r="AR204" s="11">
        <v>7500</v>
      </c>
      <c r="AU204" s="11">
        <f ca="1">IFERROR(OFFSET(ITEM_RES!$A$1,MATCH(AV204,ITEM_RES!$J:$J,0)-1,0),0)</f>
        <v>215070001</v>
      </c>
      <c r="AV204" s="10" t="s">
        <v>458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si="70"/>
        <v>113020001</v>
      </c>
      <c r="B205" s="20">
        <v>11</v>
      </c>
      <c r="C205" s="19">
        <f t="shared" si="71"/>
        <v>3</v>
      </c>
      <c r="D205" s="20">
        <v>2</v>
      </c>
      <c r="E205" s="20">
        <v>0</v>
      </c>
      <c r="F205" s="19">
        <f t="shared" si="72"/>
        <v>1</v>
      </c>
      <c r="G205" s="80"/>
      <c r="H205" s="16">
        <v>3</v>
      </c>
      <c r="I205" s="16">
        <v>1</v>
      </c>
      <c r="J205" s="80"/>
      <c r="K205" s="64" t="s">
        <v>385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584</v>
      </c>
      <c r="AA205" s="16">
        <v>1</v>
      </c>
      <c r="AB205" s="80"/>
      <c r="AC205" s="16">
        <v>0</v>
      </c>
      <c r="AD205" s="80"/>
      <c r="AE205" s="57">
        <f t="shared" si="67"/>
        <v>605</v>
      </c>
      <c r="AF205" s="17">
        <f>AE205</f>
        <v>605</v>
      </c>
      <c r="AG205" s="80"/>
      <c r="AH205" s="18">
        <f t="shared" si="66"/>
        <v>5</v>
      </c>
      <c r="AI205" s="17">
        <v>5</v>
      </c>
      <c r="AJ205" s="18">
        <f t="shared" si="74"/>
        <v>5</v>
      </c>
      <c r="AK205" s="17">
        <v>5</v>
      </c>
      <c r="AL205" s="18">
        <f t="shared" si="74"/>
        <v>5</v>
      </c>
      <c r="AM205" s="17">
        <v>5</v>
      </c>
      <c r="AN205" s="57">
        <f t="shared" si="68"/>
        <v>3</v>
      </c>
      <c r="AO205" s="18"/>
      <c r="AP205" s="18">
        <f ca="1">IFERROR(OFFSET(ITEM_RES!$A$1,MATCH(AQ205,ITEM_RES!$J:$J,0)-1,0),0)</f>
        <v>212040001</v>
      </c>
      <c r="AQ205" s="17" t="s">
        <v>471</v>
      </c>
      <c r="AR205" s="18">
        <v>25</v>
      </c>
      <c r="AS205" s="17"/>
      <c r="AT205" s="18"/>
      <c r="AU205" s="18">
        <f ca="1">IFERROR(OFFSET(ITEM_RES!$A$1,MATCH(AV205,ITEM_RES!$J:$J,0)-1,0),0)</f>
        <v>212010001</v>
      </c>
      <c r="AV205" s="17" t="s">
        <v>457</v>
      </c>
      <c r="AW205" s="18">
        <v>25</v>
      </c>
      <c r="AX205" s="17"/>
      <c r="AY205" s="18"/>
      <c r="AZ205" s="18">
        <f ca="1">IFERROR(OFFSET(ITEM_RES!$A$1,MATCH(BA205,ITEM_RES!$J:$J,0)-1,0),0)</f>
        <v>213010001</v>
      </c>
      <c r="BA205" s="17" t="s">
        <v>496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3"/>
        <v>0</v>
      </c>
      <c r="BM205" s="17"/>
    </row>
    <row r="206" spans="1:65" x14ac:dyDescent="0.3">
      <c r="A206" s="14">
        <f t="shared" si="70"/>
        <v>113020002</v>
      </c>
      <c r="B206" s="13">
        <v>11</v>
      </c>
      <c r="C206" s="12">
        <f t="shared" si="71"/>
        <v>3</v>
      </c>
      <c r="D206" s="13">
        <v>2</v>
      </c>
      <c r="E206" s="13">
        <v>0</v>
      </c>
      <c r="F206" s="12">
        <f t="shared" si="72"/>
        <v>2</v>
      </c>
      <c r="H206" s="9">
        <v>3</v>
      </c>
      <c r="I206" s="9">
        <v>2</v>
      </c>
      <c r="K206" s="56" t="s">
        <v>385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584</v>
      </c>
      <c r="AA206" s="9">
        <v>2</v>
      </c>
      <c r="AC206" s="9">
        <v>200</v>
      </c>
      <c r="AE206" s="56">
        <f t="shared" si="67"/>
        <v>210</v>
      </c>
      <c r="AF206" s="10">
        <f>AE205+AE206</f>
        <v>815</v>
      </c>
      <c r="AH206" s="11">
        <f t="shared" si="66"/>
        <v>10</v>
      </c>
      <c r="AI206" s="10">
        <v>10</v>
      </c>
      <c r="AJ206" s="11">
        <f t="shared" si="74"/>
        <v>10</v>
      </c>
      <c r="AK206" s="10">
        <v>10</v>
      </c>
      <c r="AL206" s="11">
        <f t="shared" si="74"/>
        <v>10</v>
      </c>
      <c r="AM206" s="10">
        <v>10</v>
      </c>
      <c r="AN206" s="56">
        <f t="shared" si="68"/>
        <v>2</v>
      </c>
      <c r="AP206" s="11">
        <f ca="1">IFERROR(OFFSET(ITEM_RES!$A$1,MATCH(AQ206,ITEM_RES!$J:$J,0)-1,0),0)</f>
        <v>212040001</v>
      </c>
      <c r="AQ206" s="10" t="s">
        <v>471</v>
      </c>
      <c r="AR206" s="11">
        <v>50</v>
      </c>
      <c r="AU206" s="11">
        <f ca="1">IFERROR(OFFSET(ITEM_RES!$A$1,MATCH(AV206,ITEM_RES!$J:$J,0)-1,0),0)</f>
        <v>212010001</v>
      </c>
      <c r="AV206" s="10" t="s">
        <v>457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3"/>
        <v>0</v>
      </c>
    </row>
    <row r="207" spans="1:65" x14ac:dyDescent="0.3">
      <c r="A207" s="14">
        <f t="shared" si="70"/>
        <v>113020003</v>
      </c>
      <c r="B207" s="13">
        <v>11</v>
      </c>
      <c r="C207" s="12">
        <f t="shared" si="71"/>
        <v>3</v>
      </c>
      <c r="D207" s="13">
        <v>2</v>
      </c>
      <c r="E207" s="13">
        <v>0</v>
      </c>
      <c r="F207" s="12">
        <f t="shared" si="72"/>
        <v>3</v>
      </c>
      <c r="H207" s="9">
        <v>3</v>
      </c>
      <c r="I207" s="9">
        <v>3</v>
      </c>
      <c r="K207" s="56" t="s">
        <v>385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584</v>
      </c>
      <c r="AA207" s="9">
        <v>3</v>
      </c>
      <c r="AC207" s="9">
        <v>600</v>
      </c>
      <c r="AE207" s="56">
        <f t="shared" si="67"/>
        <v>315</v>
      </c>
      <c r="AF207" s="10">
        <f t="shared" ref="AF207:AF224" si="86">AE206+AE207</f>
        <v>525</v>
      </c>
      <c r="AH207" s="11">
        <f t="shared" si="66"/>
        <v>15</v>
      </c>
      <c r="AI207" s="10">
        <v>15</v>
      </c>
      <c r="AJ207" s="11">
        <f t="shared" si="74"/>
        <v>15</v>
      </c>
      <c r="AK207" s="10">
        <v>15</v>
      </c>
      <c r="AL207" s="11">
        <f t="shared" si="74"/>
        <v>15</v>
      </c>
      <c r="AM207" s="10">
        <v>15</v>
      </c>
      <c r="AN207" s="56">
        <f t="shared" si="68"/>
        <v>2</v>
      </c>
      <c r="AP207" s="11">
        <f ca="1">IFERROR(OFFSET(ITEM_RES!$A$1,MATCH(AQ207,ITEM_RES!$J:$J,0)-1,0),0)</f>
        <v>212040001</v>
      </c>
      <c r="AQ207" s="10" t="s">
        <v>471</v>
      </c>
      <c r="AR207" s="11">
        <v>75</v>
      </c>
      <c r="AU207" s="11">
        <f ca="1">IFERROR(OFFSET(ITEM_RES!$A$1,MATCH(AV207,ITEM_RES!$J:$J,0)-1,0),0)</f>
        <v>212010001</v>
      </c>
      <c r="AV207" s="10" t="s">
        <v>457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3"/>
        <v>0</v>
      </c>
    </row>
    <row r="208" spans="1:65" x14ac:dyDescent="0.3">
      <c r="A208" s="14">
        <f t="shared" si="70"/>
        <v>113020004</v>
      </c>
      <c r="B208" s="13">
        <v>11</v>
      </c>
      <c r="C208" s="12">
        <f t="shared" si="71"/>
        <v>3</v>
      </c>
      <c r="D208" s="13">
        <v>2</v>
      </c>
      <c r="E208" s="13">
        <v>0</v>
      </c>
      <c r="F208" s="12">
        <f t="shared" si="72"/>
        <v>4</v>
      </c>
      <c r="H208" s="9">
        <v>3</v>
      </c>
      <c r="I208" s="9">
        <v>4</v>
      </c>
      <c r="K208" s="56" t="s">
        <v>385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584</v>
      </c>
      <c r="AA208" s="9">
        <v>4</v>
      </c>
      <c r="AC208" s="9">
        <v>1000</v>
      </c>
      <c r="AE208" s="56">
        <f t="shared" si="67"/>
        <v>525</v>
      </c>
      <c r="AF208" s="10">
        <f t="shared" si="86"/>
        <v>840</v>
      </c>
      <c r="AH208" s="11">
        <f t="shared" si="66"/>
        <v>20</v>
      </c>
      <c r="AI208" s="10">
        <v>20</v>
      </c>
      <c r="AJ208" s="11">
        <f t="shared" si="74"/>
        <v>25</v>
      </c>
      <c r="AK208" s="10">
        <v>25</v>
      </c>
      <c r="AL208" s="11">
        <f t="shared" si="74"/>
        <v>25</v>
      </c>
      <c r="AM208" s="10">
        <v>25</v>
      </c>
      <c r="AN208" s="56">
        <f t="shared" si="68"/>
        <v>2</v>
      </c>
      <c r="AP208" s="11">
        <f ca="1">IFERROR(OFFSET(ITEM_RES!$A$1,MATCH(AQ208,ITEM_RES!$J:$J,0)-1,0),0)</f>
        <v>212040001</v>
      </c>
      <c r="AQ208" s="10" t="s">
        <v>471</v>
      </c>
      <c r="AR208" s="11">
        <v>125</v>
      </c>
      <c r="AU208" s="11">
        <f ca="1">IFERROR(OFFSET(ITEM_RES!$A$1,MATCH(AV208,ITEM_RES!$J:$J,0)-1,0),0)</f>
        <v>212010001</v>
      </c>
      <c r="AV208" s="10" t="s">
        <v>457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3"/>
        <v>0</v>
      </c>
    </row>
    <row r="209" spans="1:64" x14ac:dyDescent="0.3">
      <c r="A209" s="14">
        <f t="shared" si="70"/>
        <v>113020005</v>
      </c>
      <c r="B209" s="13">
        <v>11</v>
      </c>
      <c r="C209" s="12">
        <f t="shared" si="71"/>
        <v>3</v>
      </c>
      <c r="D209" s="13">
        <v>2</v>
      </c>
      <c r="E209" s="13">
        <v>0</v>
      </c>
      <c r="F209" s="12">
        <f t="shared" si="72"/>
        <v>5</v>
      </c>
      <c r="H209" s="9">
        <v>3</v>
      </c>
      <c r="I209" s="9">
        <v>5</v>
      </c>
      <c r="K209" s="56" t="s">
        <v>385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584</v>
      </c>
      <c r="AA209" s="9">
        <v>5</v>
      </c>
      <c r="AC209" s="9">
        <v>1600</v>
      </c>
      <c r="AE209" s="56">
        <f t="shared" si="67"/>
        <v>840</v>
      </c>
      <c r="AF209" s="10">
        <f t="shared" si="86"/>
        <v>1365</v>
      </c>
      <c r="AH209" s="11">
        <f t="shared" si="66"/>
        <v>25</v>
      </c>
      <c r="AI209" s="10">
        <v>25</v>
      </c>
      <c r="AJ209" s="11">
        <f t="shared" si="74"/>
        <v>40</v>
      </c>
      <c r="AK209" s="10">
        <v>40</v>
      </c>
      <c r="AL209" s="11">
        <f t="shared" si="74"/>
        <v>40</v>
      </c>
      <c r="AM209" s="10">
        <v>40</v>
      </c>
      <c r="AN209" s="56">
        <f t="shared" si="68"/>
        <v>2</v>
      </c>
      <c r="AP209" s="11">
        <f ca="1">IFERROR(OFFSET(ITEM_RES!$A$1,MATCH(AQ209,ITEM_RES!$J:$J,0)-1,0),0)</f>
        <v>212040001</v>
      </c>
      <c r="AQ209" s="10" t="s">
        <v>471</v>
      </c>
      <c r="AR209" s="11">
        <v>200</v>
      </c>
      <c r="AU209" s="11">
        <f ca="1">IFERROR(OFFSET(ITEM_RES!$A$1,MATCH(AV209,ITEM_RES!$J:$J,0)-1,0),0)</f>
        <v>212010001</v>
      </c>
      <c r="AV209" s="10" t="s">
        <v>457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3"/>
        <v>0</v>
      </c>
    </row>
    <row r="210" spans="1:64" x14ac:dyDescent="0.3">
      <c r="A210" s="14">
        <f t="shared" si="70"/>
        <v>113020006</v>
      </c>
      <c r="B210" s="13">
        <v>11</v>
      </c>
      <c r="C210" s="12">
        <f t="shared" si="71"/>
        <v>3</v>
      </c>
      <c r="D210" s="13">
        <v>2</v>
      </c>
      <c r="E210" s="13">
        <v>0</v>
      </c>
      <c r="F210" s="12">
        <f t="shared" si="72"/>
        <v>6</v>
      </c>
      <c r="H210" s="9">
        <v>3</v>
      </c>
      <c r="I210" s="9">
        <v>6</v>
      </c>
      <c r="K210" s="56" t="s">
        <v>385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584</v>
      </c>
      <c r="AA210" s="9">
        <v>6</v>
      </c>
      <c r="AC210" s="9">
        <v>2000</v>
      </c>
      <c r="AE210" s="56">
        <f t="shared" si="67"/>
        <v>1050</v>
      </c>
      <c r="AF210" s="10">
        <f t="shared" si="86"/>
        <v>1890</v>
      </c>
      <c r="AH210" s="11">
        <f t="shared" si="66"/>
        <v>30</v>
      </c>
      <c r="AI210" s="10">
        <v>30</v>
      </c>
      <c r="AJ210" s="11">
        <f t="shared" si="74"/>
        <v>50</v>
      </c>
      <c r="AK210" s="10">
        <v>50</v>
      </c>
      <c r="AL210" s="11">
        <f t="shared" si="74"/>
        <v>50</v>
      </c>
      <c r="AM210" s="10">
        <v>50</v>
      </c>
      <c r="AN210" s="56">
        <f t="shared" si="68"/>
        <v>2</v>
      </c>
      <c r="AP210" s="11">
        <f ca="1">IFERROR(OFFSET(ITEM_RES!$A$1,MATCH(AQ210,ITEM_RES!$J:$J,0)-1,0),0)</f>
        <v>212040001</v>
      </c>
      <c r="AQ210" s="10" t="s">
        <v>471</v>
      </c>
      <c r="AR210" s="11">
        <v>250</v>
      </c>
      <c r="AU210" s="11">
        <f ca="1">IFERROR(OFFSET(ITEM_RES!$A$1,MATCH(AV210,ITEM_RES!$J:$J,0)-1,0),0)</f>
        <v>212010001</v>
      </c>
      <c r="AV210" s="10" t="s">
        <v>457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3"/>
        <v>0</v>
      </c>
    </row>
    <row r="211" spans="1:64" x14ac:dyDescent="0.3">
      <c r="A211" s="14">
        <f t="shared" si="70"/>
        <v>113020007</v>
      </c>
      <c r="B211" s="13">
        <v>11</v>
      </c>
      <c r="C211" s="12">
        <f t="shared" si="71"/>
        <v>3</v>
      </c>
      <c r="D211" s="13">
        <v>2</v>
      </c>
      <c r="E211" s="13">
        <v>0</v>
      </c>
      <c r="F211" s="12">
        <f t="shared" si="72"/>
        <v>7</v>
      </c>
      <c r="H211" s="9">
        <v>3</v>
      </c>
      <c r="I211" s="9">
        <v>7</v>
      </c>
      <c r="K211" s="56" t="s">
        <v>385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584</v>
      </c>
      <c r="AA211" s="9">
        <v>7</v>
      </c>
      <c r="AC211" s="9">
        <v>4000</v>
      </c>
      <c r="AE211" s="56">
        <f t="shared" si="67"/>
        <v>2100</v>
      </c>
      <c r="AF211" s="10">
        <f t="shared" si="86"/>
        <v>3150</v>
      </c>
      <c r="AH211" s="11">
        <f t="shared" si="66"/>
        <v>35</v>
      </c>
      <c r="AI211" s="10">
        <v>35</v>
      </c>
      <c r="AJ211" s="11">
        <f t="shared" si="74"/>
        <v>100</v>
      </c>
      <c r="AK211" s="10">
        <v>100</v>
      </c>
      <c r="AL211" s="11">
        <f t="shared" si="74"/>
        <v>100</v>
      </c>
      <c r="AM211" s="10">
        <v>100</v>
      </c>
      <c r="AN211" s="56">
        <f t="shared" si="68"/>
        <v>2</v>
      </c>
      <c r="AP211" s="11">
        <f ca="1">IFERROR(OFFSET(ITEM_RES!$A$1,MATCH(AQ211,ITEM_RES!$J:$J,0)-1,0),0)</f>
        <v>212040001</v>
      </c>
      <c r="AQ211" s="10" t="s">
        <v>471</v>
      </c>
      <c r="AR211" s="11">
        <v>500</v>
      </c>
      <c r="AU211" s="11">
        <f ca="1">IFERROR(OFFSET(ITEM_RES!$A$1,MATCH(AV211,ITEM_RES!$J:$J,0)-1,0),0)</f>
        <v>212010001</v>
      </c>
      <c r="AV211" s="10" t="s">
        <v>457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3"/>
        <v>0</v>
      </c>
    </row>
    <row r="212" spans="1:64" x14ac:dyDescent="0.3">
      <c r="A212" s="14">
        <f t="shared" si="70"/>
        <v>113020008</v>
      </c>
      <c r="B212" s="13">
        <v>11</v>
      </c>
      <c r="C212" s="12">
        <f t="shared" si="71"/>
        <v>3</v>
      </c>
      <c r="D212" s="13">
        <v>2</v>
      </c>
      <c r="E212" s="13">
        <v>0</v>
      </c>
      <c r="F212" s="12">
        <f t="shared" si="72"/>
        <v>8</v>
      </c>
      <c r="H212" s="9">
        <v>3</v>
      </c>
      <c r="I212" s="9">
        <v>8</v>
      </c>
      <c r="K212" s="56" t="s">
        <v>385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584</v>
      </c>
      <c r="AA212" s="9">
        <v>8</v>
      </c>
      <c r="AC212" s="9">
        <v>4000</v>
      </c>
      <c r="AE212" s="56">
        <f t="shared" si="67"/>
        <v>2100</v>
      </c>
      <c r="AF212" s="10">
        <f t="shared" si="86"/>
        <v>4200</v>
      </c>
      <c r="AH212" s="11">
        <f t="shared" si="66"/>
        <v>40</v>
      </c>
      <c r="AI212" s="10">
        <v>40</v>
      </c>
      <c r="AJ212" s="11">
        <f t="shared" si="74"/>
        <v>100</v>
      </c>
      <c r="AK212" s="10">
        <v>100</v>
      </c>
      <c r="AL212" s="11">
        <f t="shared" si="74"/>
        <v>100</v>
      </c>
      <c r="AM212" s="10">
        <v>100</v>
      </c>
      <c r="AN212" s="56">
        <f t="shared" si="68"/>
        <v>2</v>
      </c>
      <c r="AP212" s="11">
        <f ca="1">IFERROR(OFFSET(ITEM_RES!$A$1,MATCH(AQ212,ITEM_RES!$J:$J,0)-1,0),0)</f>
        <v>212040001</v>
      </c>
      <c r="AQ212" s="10" t="s">
        <v>471</v>
      </c>
      <c r="AR212" s="11">
        <v>500</v>
      </c>
      <c r="AU212" s="11">
        <f ca="1">IFERROR(OFFSET(ITEM_RES!$A$1,MATCH(AV212,ITEM_RES!$J:$J,0)-1,0),0)</f>
        <v>212010001</v>
      </c>
      <c r="AV212" s="10" t="s">
        <v>457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3"/>
        <v>0</v>
      </c>
    </row>
    <row r="213" spans="1:64" x14ac:dyDescent="0.3">
      <c r="A213" s="14">
        <f t="shared" si="70"/>
        <v>113020009</v>
      </c>
      <c r="B213" s="13">
        <v>11</v>
      </c>
      <c r="C213" s="12">
        <f t="shared" si="71"/>
        <v>3</v>
      </c>
      <c r="D213" s="13">
        <v>2</v>
      </c>
      <c r="E213" s="13">
        <v>0</v>
      </c>
      <c r="F213" s="12">
        <f t="shared" si="72"/>
        <v>9</v>
      </c>
      <c r="H213" s="9">
        <v>3</v>
      </c>
      <c r="I213" s="9">
        <v>9</v>
      </c>
      <c r="K213" s="56" t="s">
        <v>385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584</v>
      </c>
      <c r="AA213" s="9">
        <v>9</v>
      </c>
      <c r="AC213" s="9">
        <v>6000</v>
      </c>
      <c r="AE213" s="56">
        <f t="shared" si="67"/>
        <v>3150</v>
      </c>
      <c r="AF213" s="10">
        <f t="shared" si="86"/>
        <v>5250</v>
      </c>
      <c r="AH213" s="11">
        <f t="shared" si="66"/>
        <v>45</v>
      </c>
      <c r="AI213" s="10">
        <v>45</v>
      </c>
      <c r="AJ213" s="11">
        <f t="shared" si="74"/>
        <v>150</v>
      </c>
      <c r="AK213" s="10">
        <v>150</v>
      </c>
      <c r="AL213" s="11">
        <f t="shared" si="74"/>
        <v>150</v>
      </c>
      <c r="AM213" s="10">
        <v>150</v>
      </c>
      <c r="AN213" s="56">
        <f t="shared" si="68"/>
        <v>2</v>
      </c>
      <c r="AP213" s="11">
        <f ca="1">IFERROR(OFFSET(ITEM_RES!$A$1,MATCH(AQ213,ITEM_RES!$J:$J,0)-1,0),0)</f>
        <v>212040001</v>
      </c>
      <c r="AQ213" s="10" t="s">
        <v>471</v>
      </c>
      <c r="AR213" s="11">
        <v>750</v>
      </c>
      <c r="AU213" s="11">
        <f ca="1">IFERROR(OFFSET(ITEM_RES!$A$1,MATCH(AV213,ITEM_RES!$J:$J,0)-1,0),0)</f>
        <v>212010001</v>
      </c>
      <c r="AV213" s="10" t="s">
        <v>457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3"/>
        <v>0</v>
      </c>
    </row>
    <row r="214" spans="1:64" x14ac:dyDescent="0.3">
      <c r="A214" s="14">
        <f t="shared" si="70"/>
        <v>113020010</v>
      </c>
      <c r="B214" s="13">
        <v>11</v>
      </c>
      <c r="C214" s="12">
        <f t="shared" si="71"/>
        <v>3</v>
      </c>
      <c r="D214" s="13">
        <v>2</v>
      </c>
      <c r="E214" s="13">
        <v>0</v>
      </c>
      <c r="F214" s="12">
        <f t="shared" si="72"/>
        <v>10</v>
      </c>
      <c r="H214" s="9">
        <v>3</v>
      </c>
      <c r="I214" s="9">
        <v>10</v>
      </c>
      <c r="K214" s="56" t="s">
        <v>385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584</v>
      </c>
      <c r="AA214" s="9">
        <v>10</v>
      </c>
      <c r="AC214" s="9">
        <v>8000</v>
      </c>
      <c r="AE214" s="56">
        <f t="shared" si="67"/>
        <v>4700</v>
      </c>
      <c r="AF214" s="10">
        <f t="shared" si="86"/>
        <v>7850</v>
      </c>
      <c r="AH214" s="11">
        <f t="shared" si="66"/>
        <v>50</v>
      </c>
      <c r="AI214" s="10">
        <v>50</v>
      </c>
      <c r="AJ214" s="11">
        <f t="shared" si="74"/>
        <v>200</v>
      </c>
      <c r="AK214" s="10">
        <v>200</v>
      </c>
      <c r="AL214" s="11">
        <f t="shared" si="74"/>
        <v>200</v>
      </c>
      <c r="AM214" s="10">
        <v>200</v>
      </c>
      <c r="AN214" s="56">
        <f t="shared" si="68"/>
        <v>3</v>
      </c>
      <c r="AP214" s="11">
        <f ca="1">IFERROR(OFFSET(ITEM_RES!$A$1,MATCH(AQ214,ITEM_RES!$J:$J,0)-1,0),0)</f>
        <v>212040001</v>
      </c>
      <c r="AQ214" s="10" t="s">
        <v>471</v>
      </c>
      <c r="AR214" s="11">
        <v>1000</v>
      </c>
      <c r="AU214" s="11">
        <f ca="1">IFERROR(OFFSET(ITEM_RES!$A$1,MATCH(AV214,ITEM_RES!$J:$J,0)-1,0),0)</f>
        <v>212010001</v>
      </c>
      <c r="AV214" s="10" t="s">
        <v>457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571</v>
      </c>
      <c r="BG214" s="11">
        <v>1</v>
      </c>
      <c r="BJ214" s="11">
        <f ca="1">IFERROR(OFFSET(ITEM_RES!$A$1,MATCH(BK214,ITEM_RES!$J:$J,0)-1,0),0)</f>
        <v>0</v>
      </c>
      <c r="BL214" s="11">
        <f t="shared" si="73"/>
        <v>0</v>
      </c>
    </row>
    <row r="215" spans="1:64" x14ac:dyDescent="0.3">
      <c r="A215" s="14">
        <f t="shared" si="70"/>
        <v>113020011</v>
      </c>
      <c r="B215" s="13">
        <v>11</v>
      </c>
      <c r="C215" s="12">
        <f t="shared" si="71"/>
        <v>3</v>
      </c>
      <c r="D215" s="13">
        <v>2</v>
      </c>
      <c r="E215" s="13">
        <v>0</v>
      </c>
      <c r="F215" s="12">
        <f t="shared" si="72"/>
        <v>11</v>
      </c>
      <c r="H215" s="9">
        <v>3</v>
      </c>
      <c r="I215" s="9">
        <v>11</v>
      </c>
      <c r="K215" s="56" t="s">
        <v>385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584</v>
      </c>
      <c r="AA215" s="9">
        <v>11</v>
      </c>
      <c r="AC215" s="9">
        <v>10000</v>
      </c>
      <c r="AE215" s="56">
        <f t="shared" si="67"/>
        <v>5250</v>
      </c>
      <c r="AF215" s="10">
        <f t="shared" si="86"/>
        <v>9950</v>
      </c>
      <c r="AH215" s="11">
        <f t="shared" si="66"/>
        <v>55</v>
      </c>
      <c r="AI215" s="10">
        <v>55</v>
      </c>
      <c r="AJ215" s="11">
        <f t="shared" si="74"/>
        <v>250</v>
      </c>
      <c r="AK215" s="10">
        <v>250</v>
      </c>
      <c r="AL215" s="11">
        <f t="shared" si="74"/>
        <v>250</v>
      </c>
      <c r="AM215" s="10">
        <v>250</v>
      </c>
      <c r="AN215" s="56">
        <f t="shared" si="68"/>
        <v>2</v>
      </c>
      <c r="AP215" s="11">
        <f ca="1">IFERROR(OFFSET(ITEM_RES!$A$1,MATCH(AQ215,ITEM_RES!$J:$J,0)-1,0),0)</f>
        <v>215050001</v>
      </c>
      <c r="AQ215" s="10" t="s">
        <v>485</v>
      </c>
      <c r="AR215" s="11">
        <v>1250</v>
      </c>
      <c r="AU215" s="11">
        <f ca="1">IFERROR(OFFSET(ITEM_RES!$A$1,MATCH(AV215,ITEM_RES!$J:$J,0)-1,0),0)</f>
        <v>212010001</v>
      </c>
      <c r="AV215" s="10" t="s">
        <v>457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3"/>
        <v>0</v>
      </c>
    </row>
    <row r="216" spans="1:64" x14ac:dyDescent="0.3">
      <c r="A216" s="14">
        <f t="shared" si="70"/>
        <v>113020012</v>
      </c>
      <c r="B216" s="13">
        <v>11</v>
      </c>
      <c r="C216" s="12">
        <f t="shared" si="71"/>
        <v>3</v>
      </c>
      <c r="D216" s="13">
        <v>2</v>
      </c>
      <c r="E216" s="13">
        <v>0</v>
      </c>
      <c r="F216" s="12">
        <f t="shared" si="72"/>
        <v>12</v>
      </c>
      <c r="H216" s="9">
        <v>3</v>
      </c>
      <c r="I216" s="9">
        <v>12</v>
      </c>
      <c r="K216" s="56" t="s">
        <v>385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584</v>
      </c>
      <c r="AA216" s="9">
        <v>12</v>
      </c>
      <c r="AC216" s="9">
        <v>12000</v>
      </c>
      <c r="AE216" s="56">
        <f t="shared" si="67"/>
        <v>6300</v>
      </c>
      <c r="AF216" s="10">
        <f t="shared" si="86"/>
        <v>11550</v>
      </c>
      <c r="AH216" s="11">
        <f t="shared" si="66"/>
        <v>60</v>
      </c>
      <c r="AI216" s="10">
        <v>60</v>
      </c>
      <c r="AJ216" s="11">
        <f t="shared" si="74"/>
        <v>300</v>
      </c>
      <c r="AK216" s="10">
        <v>300</v>
      </c>
      <c r="AL216" s="11">
        <f t="shared" si="74"/>
        <v>300</v>
      </c>
      <c r="AM216" s="10">
        <v>300</v>
      </c>
      <c r="AN216" s="56">
        <f t="shared" si="68"/>
        <v>2</v>
      </c>
      <c r="AP216" s="11">
        <f ca="1">IFERROR(OFFSET(ITEM_RES!$A$1,MATCH(AQ216,ITEM_RES!$J:$J,0)-1,0),0)</f>
        <v>215050001</v>
      </c>
      <c r="AQ216" s="10" t="s">
        <v>485</v>
      </c>
      <c r="AR216" s="11">
        <v>1500</v>
      </c>
      <c r="AU216" s="11">
        <f ca="1">IFERROR(OFFSET(ITEM_RES!$A$1,MATCH(AV216,ITEM_RES!$J:$J,0)-1,0),0)</f>
        <v>212010001</v>
      </c>
      <c r="AV216" s="10" t="s">
        <v>457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3"/>
        <v>0</v>
      </c>
    </row>
    <row r="217" spans="1:64" x14ac:dyDescent="0.3">
      <c r="A217" s="14">
        <f t="shared" si="70"/>
        <v>113020013</v>
      </c>
      <c r="B217" s="13">
        <v>11</v>
      </c>
      <c r="C217" s="12">
        <f t="shared" si="71"/>
        <v>3</v>
      </c>
      <c r="D217" s="13">
        <v>2</v>
      </c>
      <c r="E217" s="13">
        <v>0</v>
      </c>
      <c r="F217" s="12">
        <f t="shared" si="72"/>
        <v>13</v>
      </c>
      <c r="H217" s="9">
        <v>3</v>
      </c>
      <c r="I217" s="9">
        <v>13</v>
      </c>
      <c r="K217" s="56" t="s">
        <v>385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584</v>
      </c>
      <c r="AA217" s="9">
        <v>13</v>
      </c>
      <c r="AC217" s="9">
        <v>14000</v>
      </c>
      <c r="AE217" s="56">
        <f t="shared" si="67"/>
        <v>7350</v>
      </c>
      <c r="AF217" s="10">
        <f t="shared" si="86"/>
        <v>13650</v>
      </c>
      <c r="AH217" s="11">
        <f t="shared" ref="AH217:AH280" si="87">ROUND(AI217,0)</f>
        <v>65</v>
      </c>
      <c r="AI217" s="10">
        <v>65</v>
      </c>
      <c r="AJ217" s="11">
        <f t="shared" si="74"/>
        <v>350</v>
      </c>
      <c r="AK217" s="10">
        <v>350</v>
      </c>
      <c r="AL217" s="11">
        <f t="shared" si="74"/>
        <v>350</v>
      </c>
      <c r="AM217" s="10">
        <v>350</v>
      </c>
      <c r="AN217" s="56">
        <f t="shared" si="68"/>
        <v>2</v>
      </c>
      <c r="AP217" s="11">
        <f ca="1">IFERROR(OFFSET(ITEM_RES!$A$1,MATCH(AQ217,ITEM_RES!$J:$J,0)-1,0),0)</f>
        <v>215050001</v>
      </c>
      <c r="AQ217" s="10" t="s">
        <v>485</v>
      </c>
      <c r="AR217" s="11">
        <v>1750</v>
      </c>
      <c r="AU217" s="11">
        <f ca="1">IFERROR(OFFSET(ITEM_RES!$A$1,MATCH(AV217,ITEM_RES!$J:$J,0)-1,0),0)</f>
        <v>212010001</v>
      </c>
      <c r="AV217" s="10" t="s">
        <v>457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73"/>
        <v>0</v>
      </c>
    </row>
    <row r="218" spans="1:64" x14ac:dyDescent="0.3">
      <c r="A218" s="14">
        <f t="shared" si="70"/>
        <v>113020014</v>
      </c>
      <c r="B218" s="13">
        <v>11</v>
      </c>
      <c r="C218" s="12">
        <f t="shared" si="71"/>
        <v>3</v>
      </c>
      <c r="D218" s="13">
        <v>2</v>
      </c>
      <c r="E218" s="13">
        <v>0</v>
      </c>
      <c r="F218" s="12">
        <f t="shared" si="72"/>
        <v>14</v>
      </c>
      <c r="H218" s="9">
        <v>3</v>
      </c>
      <c r="I218" s="9">
        <v>14</v>
      </c>
      <c r="K218" s="56" t="s">
        <v>385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584</v>
      </c>
      <c r="AA218" s="9">
        <v>14</v>
      </c>
      <c r="AC218" s="9">
        <v>18000</v>
      </c>
      <c r="AE218" s="56">
        <f t="shared" ref="AE218:AE281" si="88">AK218*10+AM218+AR218+AW218+500*BB218+500*BG218+500*BL218</f>
        <v>9450</v>
      </c>
      <c r="AF218" s="10">
        <f t="shared" si="86"/>
        <v>16800</v>
      </c>
      <c r="AH218" s="11">
        <f t="shared" si="87"/>
        <v>70</v>
      </c>
      <c r="AI218" s="10">
        <v>70</v>
      </c>
      <c r="AJ218" s="11">
        <f t="shared" si="74"/>
        <v>450</v>
      </c>
      <c r="AK218" s="10">
        <v>450</v>
      </c>
      <c r="AL218" s="11">
        <f t="shared" si="74"/>
        <v>450</v>
      </c>
      <c r="AM218" s="10">
        <v>450</v>
      </c>
      <c r="AN218" s="56">
        <f t="shared" ref="AN218:AN281" si="89">(AR218&gt;0)*1+(AW218&gt;0)*1+(BB218&gt;0)*1+(BG218&gt;0)*1+(BL218&gt;0)*1</f>
        <v>2</v>
      </c>
      <c r="AP218" s="11">
        <f ca="1">IFERROR(OFFSET(ITEM_RES!$A$1,MATCH(AQ218,ITEM_RES!$J:$J,0)-1,0),0)</f>
        <v>215050001</v>
      </c>
      <c r="AQ218" s="10" t="s">
        <v>485</v>
      </c>
      <c r="AR218" s="11">
        <v>2250</v>
      </c>
      <c r="AU218" s="11">
        <f ca="1">IFERROR(OFFSET(ITEM_RES!$A$1,MATCH(AV218,ITEM_RES!$J:$J,0)-1,0),0)</f>
        <v>212010001</v>
      </c>
      <c r="AV218" s="10" t="s">
        <v>457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73"/>
        <v>0</v>
      </c>
    </row>
    <row r="219" spans="1:64" x14ac:dyDescent="0.3">
      <c r="A219" s="14">
        <f t="shared" si="70"/>
        <v>113020015</v>
      </c>
      <c r="B219" s="13">
        <v>11</v>
      </c>
      <c r="C219" s="12">
        <f t="shared" si="71"/>
        <v>3</v>
      </c>
      <c r="D219" s="13">
        <v>2</v>
      </c>
      <c r="E219" s="13">
        <v>0</v>
      </c>
      <c r="F219" s="12">
        <f t="shared" si="72"/>
        <v>15</v>
      </c>
      <c r="H219" s="9">
        <v>3</v>
      </c>
      <c r="I219" s="9">
        <v>15</v>
      </c>
      <c r="K219" s="56" t="s">
        <v>385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584</v>
      </c>
      <c r="AA219" s="9">
        <v>15</v>
      </c>
      <c r="AC219" s="9">
        <v>22000</v>
      </c>
      <c r="AE219" s="56">
        <f t="shared" si="88"/>
        <v>11550</v>
      </c>
      <c r="AF219" s="10">
        <f t="shared" si="86"/>
        <v>21000</v>
      </c>
      <c r="AH219" s="11">
        <f t="shared" si="87"/>
        <v>75</v>
      </c>
      <c r="AI219" s="10">
        <v>75</v>
      </c>
      <c r="AJ219" s="11">
        <f t="shared" si="74"/>
        <v>550</v>
      </c>
      <c r="AK219" s="10">
        <v>550</v>
      </c>
      <c r="AL219" s="11">
        <f t="shared" si="74"/>
        <v>550</v>
      </c>
      <c r="AM219" s="10">
        <v>550</v>
      </c>
      <c r="AN219" s="56">
        <f t="shared" si="89"/>
        <v>2</v>
      </c>
      <c r="AP219" s="11">
        <f ca="1">IFERROR(OFFSET(ITEM_RES!$A$1,MATCH(AQ219,ITEM_RES!$J:$J,0)-1,0),0)</f>
        <v>215050001</v>
      </c>
      <c r="AQ219" s="10" t="s">
        <v>485</v>
      </c>
      <c r="AR219" s="11">
        <v>2750</v>
      </c>
      <c r="AU219" s="11">
        <f ca="1">IFERROR(OFFSET(ITEM_RES!$A$1,MATCH(AV219,ITEM_RES!$J:$J,0)-1,0),0)</f>
        <v>212010001</v>
      </c>
      <c r="AV219" s="10" t="s">
        <v>472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73"/>
        <v>0</v>
      </c>
    </row>
    <row r="220" spans="1:64" x14ac:dyDescent="0.3">
      <c r="A220" s="14">
        <f t="shared" si="70"/>
        <v>113020016</v>
      </c>
      <c r="B220" s="13">
        <v>11</v>
      </c>
      <c r="C220" s="12">
        <f t="shared" si="71"/>
        <v>3</v>
      </c>
      <c r="D220" s="13">
        <v>2</v>
      </c>
      <c r="E220" s="13">
        <v>0</v>
      </c>
      <c r="F220" s="12">
        <f t="shared" si="72"/>
        <v>16</v>
      </c>
      <c r="H220" s="9">
        <v>3</v>
      </c>
      <c r="I220" s="9">
        <v>16</v>
      </c>
      <c r="K220" s="56" t="s">
        <v>385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584</v>
      </c>
      <c r="AA220" s="9">
        <v>16</v>
      </c>
      <c r="AC220" s="9">
        <v>28000</v>
      </c>
      <c r="AE220" s="56">
        <f t="shared" si="88"/>
        <v>14700</v>
      </c>
      <c r="AF220" s="10">
        <f t="shared" si="86"/>
        <v>26250</v>
      </c>
      <c r="AH220" s="11">
        <f t="shared" si="87"/>
        <v>80</v>
      </c>
      <c r="AI220" s="10">
        <v>80</v>
      </c>
      <c r="AJ220" s="11">
        <f t="shared" si="74"/>
        <v>700</v>
      </c>
      <c r="AK220" s="10">
        <v>700</v>
      </c>
      <c r="AL220" s="11">
        <f t="shared" si="74"/>
        <v>700</v>
      </c>
      <c r="AM220" s="10">
        <v>700</v>
      </c>
      <c r="AN220" s="56">
        <f t="shared" si="89"/>
        <v>2</v>
      </c>
      <c r="AP220" s="11">
        <f ca="1">IFERROR(OFFSET(ITEM_RES!$A$1,MATCH(AQ220,ITEM_RES!$J:$J,0)-1,0),0)</f>
        <v>215050001</v>
      </c>
      <c r="AQ220" s="10" t="s">
        <v>485</v>
      </c>
      <c r="AR220" s="11">
        <v>3500</v>
      </c>
      <c r="AU220" s="11">
        <f ca="1">IFERROR(OFFSET(ITEM_RES!$A$1,MATCH(AV220,ITEM_RES!$J:$J,0)-1,0),0)</f>
        <v>215070001</v>
      </c>
      <c r="AV220" s="10" t="s">
        <v>468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73"/>
        <v>0</v>
      </c>
    </row>
    <row r="221" spans="1:64" x14ac:dyDescent="0.3">
      <c r="A221" s="14">
        <f t="shared" si="70"/>
        <v>113020017</v>
      </c>
      <c r="B221" s="13">
        <v>11</v>
      </c>
      <c r="C221" s="12">
        <f t="shared" si="71"/>
        <v>3</v>
      </c>
      <c r="D221" s="13">
        <v>2</v>
      </c>
      <c r="E221" s="13">
        <v>0</v>
      </c>
      <c r="F221" s="12">
        <f t="shared" si="72"/>
        <v>17</v>
      </c>
      <c r="H221" s="9">
        <v>3</v>
      </c>
      <c r="I221" s="9">
        <v>17</v>
      </c>
      <c r="K221" s="56" t="s">
        <v>385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584</v>
      </c>
      <c r="AA221" s="9">
        <v>17</v>
      </c>
      <c r="AC221" s="9">
        <v>34000</v>
      </c>
      <c r="AE221" s="56">
        <f t="shared" si="88"/>
        <v>17850</v>
      </c>
      <c r="AF221" s="10">
        <f t="shared" si="86"/>
        <v>32550</v>
      </c>
      <c r="AH221" s="11">
        <f t="shared" si="87"/>
        <v>85</v>
      </c>
      <c r="AI221" s="10">
        <v>85</v>
      </c>
      <c r="AJ221" s="11">
        <f t="shared" si="74"/>
        <v>850</v>
      </c>
      <c r="AK221" s="10">
        <v>850</v>
      </c>
      <c r="AL221" s="11">
        <f t="shared" si="74"/>
        <v>850</v>
      </c>
      <c r="AM221" s="10">
        <v>850</v>
      </c>
      <c r="AN221" s="56">
        <f t="shared" si="89"/>
        <v>2</v>
      </c>
      <c r="AP221" s="11">
        <f ca="1">IFERROR(OFFSET(ITEM_RES!$A$1,MATCH(AQ221,ITEM_RES!$J:$J,0)-1,0),0)</f>
        <v>215050001</v>
      </c>
      <c r="AQ221" s="10" t="s">
        <v>485</v>
      </c>
      <c r="AR221" s="11">
        <v>4250</v>
      </c>
      <c r="AU221" s="11">
        <f ca="1">IFERROR(OFFSET(ITEM_RES!$A$1,MATCH(AV221,ITEM_RES!$J:$J,0)-1,0),0)</f>
        <v>215070001</v>
      </c>
      <c r="AV221" s="10" t="s">
        <v>458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73"/>
        <v>0</v>
      </c>
    </row>
    <row r="222" spans="1:64" x14ac:dyDescent="0.3">
      <c r="A222" s="14">
        <f t="shared" si="70"/>
        <v>113020018</v>
      </c>
      <c r="B222" s="13">
        <v>11</v>
      </c>
      <c r="C222" s="12">
        <f t="shared" si="71"/>
        <v>3</v>
      </c>
      <c r="D222" s="13">
        <v>2</v>
      </c>
      <c r="E222" s="13">
        <v>0</v>
      </c>
      <c r="F222" s="12">
        <f t="shared" si="72"/>
        <v>18</v>
      </c>
      <c r="H222" s="9">
        <v>3</v>
      </c>
      <c r="I222" s="9">
        <v>18</v>
      </c>
      <c r="K222" s="56" t="s">
        <v>385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584</v>
      </c>
      <c r="AA222" s="9">
        <v>18</v>
      </c>
      <c r="AC222" s="9">
        <v>42000</v>
      </c>
      <c r="AE222" s="56">
        <f t="shared" si="88"/>
        <v>22050</v>
      </c>
      <c r="AF222" s="10">
        <f t="shared" si="86"/>
        <v>39900</v>
      </c>
      <c r="AH222" s="11">
        <f t="shared" si="87"/>
        <v>90</v>
      </c>
      <c r="AI222" s="10">
        <v>90</v>
      </c>
      <c r="AJ222" s="11">
        <f t="shared" si="74"/>
        <v>1050</v>
      </c>
      <c r="AK222" s="10">
        <v>1050</v>
      </c>
      <c r="AL222" s="11">
        <f t="shared" si="74"/>
        <v>1050</v>
      </c>
      <c r="AM222" s="10">
        <v>1050</v>
      </c>
      <c r="AN222" s="56">
        <f t="shared" si="89"/>
        <v>2</v>
      </c>
      <c r="AP222" s="11">
        <f ca="1">IFERROR(OFFSET(ITEM_RES!$A$1,MATCH(AQ222,ITEM_RES!$J:$J,0)-1,0),0)</f>
        <v>215050001</v>
      </c>
      <c r="AQ222" s="10" t="s">
        <v>485</v>
      </c>
      <c r="AR222" s="11">
        <v>5250</v>
      </c>
      <c r="AU222" s="11">
        <f ca="1">IFERROR(OFFSET(ITEM_RES!$A$1,MATCH(AV222,ITEM_RES!$J:$J,0)-1,0),0)</f>
        <v>215070001</v>
      </c>
      <c r="AV222" s="10" t="s">
        <v>458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73"/>
        <v>0</v>
      </c>
    </row>
    <row r="223" spans="1:64" x14ac:dyDescent="0.3">
      <c r="A223" s="14">
        <f t="shared" si="70"/>
        <v>113020019</v>
      </c>
      <c r="B223" s="13">
        <v>11</v>
      </c>
      <c r="C223" s="12">
        <f t="shared" si="71"/>
        <v>3</v>
      </c>
      <c r="D223" s="13">
        <v>2</v>
      </c>
      <c r="E223" s="13">
        <v>0</v>
      </c>
      <c r="F223" s="12">
        <f t="shared" si="72"/>
        <v>19</v>
      </c>
      <c r="H223" s="9">
        <v>3</v>
      </c>
      <c r="I223" s="9">
        <v>19</v>
      </c>
      <c r="K223" s="56" t="s">
        <v>385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584</v>
      </c>
      <c r="AA223" s="9">
        <v>19</v>
      </c>
      <c r="AC223" s="9">
        <v>50000</v>
      </c>
      <c r="AE223" s="56">
        <f t="shared" si="88"/>
        <v>26250</v>
      </c>
      <c r="AF223" s="10">
        <f t="shared" si="86"/>
        <v>48300</v>
      </c>
      <c r="AH223" s="11">
        <f t="shared" si="87"/>
        <v>95</v>
      </c>
      <c r="AI223" s="10">
        <v>95</v>
      </c>
      <c r="AJ223" s="11">
        <f t="shared" si="74"/>
        <v>1250</v>
      </c>
      <c r="AK223" s="10">
        <v>1250</v>
      </c>
      <c r="AL223" s="11">
        <f t="shared" si="74"/>
        <v>1250</v>
      </c>
      <c r="AM223" s="10">
        <v>1250</v>
      </c>
      <c r="AN223" s="56">
        <f t="shared" si="89"/>
        <v>2</v>
      </c>
      <c r="AP223" s="11">
        <f ca="1">IFERROR(OFFSET(ITEM_RES!$A$1,MATCH(AQ223,ITEM_RES!$J:$J,0)-1,0),0)</f>
        <v>215050001</v>
      </c>
      <c r="AQ223" s="10" t="s">
        <v>485</v>
      </c>
      <c r="AR223" s="11">
        <v>6250</v>
      </c>
      <c r="AU223" s="11">
        <f ca="1">IFERROR(OFFSET(ITEM_RES!$A$1,MATCH(AV223,ITEM_RES!$J:$J,0)-1,0),0)</f>
        <v>215070001</v>
      </c>
      <c r="AV223" s="10" t="s">
        <v>458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73"/>
        <v>0</v>
      </c>
    </row>
    <row r="224" spans="1:64" ht="17.25" thickBot="1" x14ac:dyDescent="0.35">
      <c r="A224" s="14">
        <f t="shared" si="70"/>
        <v>113020020</v>
      </c>
      <c r="B224" s="13">
        <v>11</v>
      </c>
      <c r="C224" s="12">
        <f t="shared" si="71"/>
        <v>3</v>
      </c>
      <c r="D224" s="13">
        <v>2</v>
      </c>
      <c r="E224" s="13">
        <v>0</v>
      </c>
      <c r="F224" s="12">
        <f t="shared" si="72"/>
        <v>20</v>
      </c>
      <c r="H224" s="9">
        <v>3</v>
      </c>
      <c r="I224" s="9">
        <v>20</v>
      </c>
      <c r="K224" s="56" t="s">
        <v>385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584</v>
      </c>
      <c r="AA224" s="9">
        <v>20</v>
      </c>
      <c r="AC224" s="9">
        <v>60000</v>
      </c>
      <c r="AE224" s="56">
        <f t="shared" si="88"/>
        <v>31500</v>
      </c>
      <c r="AF224" s="10">
        <f t="shared" si="86"/>
        <v>57750</v>
      </c>
      <c r="AH224" s="11">
        <f t="shared" si="87"/>
        <v>100</v>
      </c>
      <c r="AI224" s="10">
        <v>100</v>
      </c>
      <c r="AJ224" s="11">
        <f t="shared" si="74"/>
        <v>1500</v>
      </c>
      <c r="AK224" s="10">
        <v>1500</v>
      </c>
      <c r="AL224" s="11">
        <f t="shared" si="74"/>
        <v>1500</v>
      </c>
      <c r="AM224" s="10">
        <v>1500</v>
      </c>
      <c r="AN224" s="56">
        <f t="shared" si="89"/>
        <v>2</v>
      </c>
      <c r="AP224" s="11">
        <f ca="1">IFERROR(OFFSET(ITEM_RES!$A$1,MATCH(AQ224,ITEM_RES!$J:$J,0)-1,0),0)</f>
        <v>215050001</v>
      </c>
      <c r="AQ224" s="10" t="s">
        <v>485</v>
      </c>
      <c r="AR224" s="11">
        <v>7500</v>
      </c>
      <c r="AU224" s="11">
        <f ca="1">IFERROR(OFFSET(ITEM_RES!$A$1,MATCH(AV224,ITEM_RES!$J:$J,0)-1,0),0)</f>
        <v>215070001</v>
      </c>
      <c r="AV224" s="10" t="s">
        <v>458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73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393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585</v>
      </c>
      <c r="AA225" s="16">
        <v>1</v>
      </c>
      <c r="AB225" s="80"/>
      <c r="AC225" s="16">
        <v>0</v>
      </c>
      <c r="AD225" s="80"/>
      <c r="AE225" s="57">
        <f t="shared" si="88"/>
        <v>580</v>
      </c>
      <c r="AF225" s="17">
        <f>AE225</f>
        <v>580</v>
      </c>
      <c r="AG225" s="80"/>
      <c r="AH225" s="18">
        <f t="shared" si="87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89"/>
        <v>2</v>
      </c>
      <c r="AO225" s="18"/>
      <c r="AP225" s="18">
        <f ca="1">IFERROR(OFFSET(ITEM_RES!$A$1,MATCH(AQ225,ITEM_RES!$J:$J,0)-1,0),0)</f>
        <v>212040001</v>
      </c>
      <c r="AQ225" s="17" t="s">
        <v>471</v>
      </c>
      <c r="AR225" s="18">
        <v>25</v>
      </c>
      <c r="AS225" s="17"/>
      <c r="AT225" s="18"/>
      <c r="AU225" s="18">
        <f ca="1">IFERROR(OFFSET(ITEM_RES!$A$1,MATCH(AV225,ITEM_RES!$J:$J,0)-1,0),0)</f>
        <v>0</v>
      </c>
      <c r="AV225" s="17"/>
      <c r="AW225" s="18"/>
      <c r="AX225" s="17"/>
      <c r="AY225" s="18"/>
      <c r="AZ225" s="18">
        <f ca="1">IFERROR(OFFSET(ITEM_RES!$A$1,MATCH(BA225,ITEM_RES!$J:$J,0)-1,0),0)</f>
        <v>213010001</v>
      </c>
      <c r="BA225" s="17" t="s">
        <v>496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393</v>
      </c>
      <c r="L226" s="9">
        <v>1</v>
      </c>
      <c r="M226" s="9">
        <v>15</v>
      </c>
      <c r="N226" s="85"/>
      <c r="R226" s="9">
        <v>88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585</v>
      </c>
      <c r="AA226" s="9">
        <v>2</v>
      </c>
      <c r="AC226" s="9">
        <v>200</v>
      </c>
      <c r="AE226" s="56">
        <f t="shared" si="88"/>
        <v>160</v>
      </c>
      <c r="AF226" s="10">
        <f>AE225+AE226</f>
        <v>740</v>
      </c>
      <c r="AH226" s="11">
        <f t="shared" si="87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89"/>
        <v>1</v>
      </c>
      <c r="AP226" s="11">
        <f ca="1">IFERROR(OFFSET(ITEM_RES!$A$1,MATCH(AQ226,ITEM_RES!$J:$J,0)-1,0),0)</f>
        <v>212040001</v>
      </c>
      <c r="AQ226" s="10" t="s">
        <v>471</v>
      </c>
      <c r="AR226" s="11">
        <v>50</v>
      </c>
      <c r="AU226" s="11">
        <f ca="1">IFERROR(OFFSET(ITEM_RES!$A$1,MATCH(AV226,ITEM_RES!$J:$J,0)-1,0),0)</f>
        <v>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393</v>
      </c>
      <c r="L227" s="9">
        <v>1</v>
      </c>
      <c r="M227" s="9">
        <v>15</v>
      </c>
      <c r="R227" s="9">
        <v>88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585</v>
      </c>
      <c r="AA227" s="9">
        <v>3</v>
      </c>
      <c r="AC227" s="9">
        <v>600</v>
      </c>
      <c r="AE227" s="56">
        <f t="shared" si="88"/>
        <v>240</v>
      </c>
      <c r="AF227" s="10">
        <f t="shared" ref="AF227:AF244" si="90">AE226+AE227</f>
        <v>400</v>
      </c>
      <c r="AH227" s="11">
        <f t="shared" si="87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89"/>
        <v>1</v>
      </c>
      <c r="AP227" s="11">
        <f ca="1">IFERROR(OFFSET(ITEM_RES!$A$1,MATCH(AQ227,ITEM_RES!$J:$J,0)-1,0),0)</f>
        <v>212040001</v>
      </c>
      <c r="AQ227" s="10" t="s">
        <v>471</v>
      </c>
      <c r="AR227" s="11">
        <v>75</v>
      </c>
      <c r="AU227" s="11">
        <f ca="1">IFERROR(OFFSET(ITEM_RES!$A$1,MATCH(AV227,ITEM_RES!$J:$J,0)-1,0),0)</f>
        <v>0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393</v>
      </c>
      <c r="L228" s="9">
        <v>1</v>
      </c>
      <c r="M228" s="9">
        <v>15</v>
      </c>
      <c r="R228" s="9">
        <v>88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585</v>
      </c>
      <c r="AA228" s="9">
        <v>4</v>
      </c>
      <c r="AC228" s="9">
        <v>1000</v>
      </c>
      <c r="AE228" s="56">
        <f t="shared" si="88"/>
        <v>400</v>
      </c>
      <c r="AF228" s="10">
        <f t="shared" si="90"/>
        <v>640</v>
      </c>
      <c r="AH228" s="11">
        <f t="shared" si="87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89"/>
        <v>1</v>
      </c>
      <c r="AP228" s="11">
        <f ca="1">IFERROR(OFFSET(ITEM_RES!$A$1,MATCH(AQ228,ITEM_RES!$J:$J,0)-1,0),0)</f>
        <v>212040001</v>
      </c>
      <c r="AQ228" s="10" t="s">
        <v>471</v>
      </c>
      <c r="AR228" s="11">
        <v>125</v>
      </c>
      <c r="AU228" s="11">
        <f ca="1">IFERROR(OFFSET(ITEM_RES!$A$1,MATCH(AV228,ITEM_RES!$J:$J,0)-1,0),0)</f>
        <v>0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393</v>
      </c>
      <c r="L229" s="9">
        <v>1</v>
      </c>
      <c r="M229" s="9">
        <v>15</v>
      </c>
      <c r="R229" s="9">
        <v>88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585</v>
      </c>
      <c r="AA229" s="9">
        <v>5</v>
      </c>
      <c r="AC229" s="9">
        <v>1600</v>
      </c>
      <c r="AE229" s="56">
        <f t="shared" si="88"/>
        <v>640</v>
      </c>
      <c r="AF229" s="10">
        <f t="shared" si="90"/>
        <v>1040</v>
      </c>
      <c r="AH229" s="11">
        <f t="shared" si="87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89"/>
        <v>1</v>
      </c>
      <c r="AP229" s="11">
        <f ca="1">IFERROR(OFFSET(ITEM_RES!$A$1,MATCH(AQ229,ITEM_RES!$J:$J,0)-1,0),0)</f>
        <v>212040001</v>
      </c>
      <c r="AQ229" s="10" t="s">
        <v>471</v>
      </c>
      <c r="AR229" s="11">
        <v>200</v>
      </c>
      <c r="AU229" s="11">
        <f ca="1">IFERROR(OFFSET(ITEM_RES!$A$1,MATCH(AV229,ITEM_RES!$J:$J,0)-1,0),0)</f>
        <v>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393</v>
      </c>
      <c r="L230" s="9">
        <v>1</v>
      </c>
      <c r="M230" s="9">
        <v>15</v>
      </c>
      <c r="R230" s="9">
        <v>88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585</v>
      </c>
      <c r="AA230" s="9">
        <v>6</v>
      </c>
      <c r="AC230" s="9">
        <v>2000</v>
      </c>
      <c r="AE230" s="56">
        <f t="shared" si="88"/>
        <v>800</v>
      </c>
      <c r="AF230" s="10">
        <f t="shared" si="90"/>
        <v>1440</v>
      </c>
      <c r="AH230" s="11">
        <f t="shared" si="87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89"/>
        <v>1</v>
      </c>
      <c r="AP230" s="11">
        <f ca="1">IFERROR(OFFSET(ITEM_RES!$A$1,MATCH(AQ230,ITEM_RES!$J:$J,0)-1,0),0)</f>
        <v>212040001</v>
      </c>
      <c r="AQ230" s="10" t="s">
        <v>471</v>
      </c>
      <c r="AR230" s="11">
        <v>250</v>
      </c>
      <c r="AU230" s="11">
        <f ca="1">IFERROR(OFFSET(ITEM_RES!$A$1,MATCH(AV230,ITEM_RES!$J:$J,0)-1,0),0)</f>
        <v>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393</v>
      </c>
      <c r="L231" s="9">
        <v>1</v>
      </c>
      <c r="M231" s="9">
        <v>15</v>
      </c>
      <c r="R231" s="9">
        <v>88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585</v>
      </c>
      <c r="AA231" s="9">
        <v>7</v>
      </c>
      <c r="AC231" s="9">
        <v>4000</v>
      </c>
      <c r="AE231" s="56">
        <f t="shared" si="88"/>
        <v>1600</v>
      </c>
      <c r="AF231" s="10">
        <f t="shared" si="90"/>
        <v>2400</v>
      </c>
      <c r="AH231" s="11">
        <f t="shared" si="87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89"/>
        <v>1</v>
      </c>
      <c r="AP231" s="11">
        <f ca="1">IFERROR(OFFSET(ITEM_RES!$A$1,MATCH(AQ231,ITEM_RES!$J:$J,0)-1,0),0)</f>
        <v>212040001</v>
      </c>
      <c r="AQ231" s="10" t="s">
        <v>471</v>
      </c>
      <c r="AR231" s="11">
        <v>500</v>
      </c>
      <c r="AU231" s="11">
        <f ca="1">IFERROR(OFFSET(ITEM_RES!$A$1,MATCH(AV231,ITEM_RES!$J:$J,0)-1,0),0)</f>
        <v>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393</v>
      </c>
      <c r="L232" s="9">
        <v>1</v>
      </c>
      <c r="M232" s="9">
        <v>15</v>
      </c>
      <c r="R232" s="9">
        <v>88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585</v>
      </c>
      <c r="AA232" s="9">
        <v>8</v>
      </c>
      <c r="AC232" s="9">
        <v>4000</v>
      </c>
      <c r="AE232" s="56">
        <f t="shared" si="88"/>
        <v>1600</v>
      </c>
      <c r="AF232" s="10">
        <f t="shared" si="90"/>
        <v>3200</v>
      </c>
      <c r="AH232" s="11">
        <f t="shared" si="87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89"/>
        <v>1</v>
      </c>
      <c r="AP232" s="11">
        <f ca="1">IFERROR(OFFSET(ITEM_RES!$A$1,MATCH(AQ232,ITEM_RES!$J:$J,0)-1,0),0)</f>
        <v>212040001</v>
      </c>
      <c r="AQ232" s="10" t="s">
        <v>471</v>
      </c>
      <c r="AR232" s="11">
        <v>500</v>
      </c>
      <c r="AU232" s="11">
        <f ca="1">IFERROR(OFFSET(ITEM_RES!$A$1,MATCH(AV232,ITEM_RES!$J:$J,0)-1,0),0)</f>
        <v>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393</v>
      </c>
      <c r="L233" s="9">
        <v>1</v>
      </c>
      <c r="M233" s="9">
        <v>15</v>
      </c>
      <c r="R233" s="9">
        <v>88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585</v>
      </c>
      <c r="AA233" s="9">
        <v>9</v>
      </c>
      <c r="AC233" s="9">
        <v>6000</v>
      </c>
      <c r="AE233" s="56">
        <f t="shared" si="88"/>
        <v>2400</v>
      </c>
      <c r="AF233" s="10">
        <f t="shared" si="90"/>
        <v>4000</v>
      </c>
      <c r="AH233" s="11">
        <f t="shared" si="87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89"/>
        <v>1</v>
      </c>
      <c r="AP233" s="11">
        <f ca="1">IFERROR(OFFSET(ITEM_RES!$A$1,MATCH(AQ233,ITEM_RES!$J:$J,0)-1,0),0)</f>
        <v>212040001</v>
      </c>
      <c r="AQ233" s="10" t="s">
        <v>471</v>
      </c>
      <c r="AR233" s="11">
        <v>750</v>
      </c>
      <c r="AU233" s="11">
        <f ca="1">IFERROR(OFFSET(ITEM_RES!$A$1,MATCH(AV233,ITEM_RES!$J:$J,0)-1,0),0)</f>
        <v>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393</v>
      </c>
      <c r="L234" s="9">
        <v>1</v>
      </c>
      <c r="M234" s="9">
        <v>15</v>
      </c>
      <c r="R234" s="9">
        <v>88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585</v>
      </c>
      <c r="AA234" s="9">
        <v>10</v>
      </c>
      <c r="AC234" s="9">
        <v>8000</v>
      </c>
      <c r="AE234" s="56">
        <f t="shared" si="88"/>
        <v>3700</v>
      </c>
      <c r="AF234" s="10">
        <f t="shared" si="90"/>
        <v>6100</v>
      </c>
      <c r="AH234" s="11">
        <f t="shared" si="87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89"/>
        <v>2</v>
      </c>
      <c r="AP234" s="11">
        <f ca="1">IFERROR(OFFSET(ITEM_RES!$A$1,MATCH(AQ234,ITEM_RES!$J:$J,0)-1,0),0)</f>
        <v>212040001</v>
      </c>
      <c r="AQ234" s="10" t="s">
        <v>471</v>
      </c>
      <c r="AR234" s="11">
        <v>1000</v>
      </c>
      <c r="AU234" s="11">
        <f ca="1">IFERROR(OFFSET(ITEM_RES!$A$1,MATCH(AV234,ITEM_RES!$J:$J,0)-1,0),0)</f>
        <v>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508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393</v>
      </c>
      <c r="L235" s="9">
        <v>1</v>
      </c>
      <c r="M235" s="9">
        <v>15</v>
      </c>
      <c r="R235" s="9">
        <v>88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585</v>
      </c>
      <c r="AA235" s="9">
        <v>11</v>
      </c>
      <c r="AC235" s="9">
        <v>10000</v>
      </c>
      <c r="AE235" s="56">
        <f t="shared" si="88"/>
        <v>4000</v>
      </c>
      <c r="AF235" s="10">
        <f t="shared" si="90"/>
        <v>7700</v>
      </c>
      <c r="AH235" s="11">
        <f t="shared" si="87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89"/>
        <v>1</v>
      </c>
      <c r="AP235" s="11">
        <f ca="1">IFERROR(OFFSET(ITEM_RES!$A$1,MATCH(AQ235,ITEM_RES!$J:$J,0)-1,0),0)</f>
        <v>212040001</v>
      </c>
      <c r="AQ235" s="10" t="s">
        <v>471</v>
      </c>
      <c r="AR235" s="11">
        <v>1250</v>
      </c>
      <c r="AU235" s="11">
        <f ca="1">IFERROR(OFFSET(ITEM_RES!$A$1,MATCH(AV235,ITEM_RES!$J:$J,0)-1,0),0)</f>
        <v>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393</v>
      </c>
      <c r="L236" s="9">
        <v>1</v>
      </c>
      <c r="M236" s="9">
        <v>15</v>
      </c>
      <c r="R236" s="9">
        <v>88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585</v>
      </c>
      <c r="AA236" s="9">
        <v>12</v>
      </c>
      <c r="AC236" s="9">
        <v>12000</v>
      </c>
      <c r="AE236" s="56">
        <f t="shared" si="88"/>
        <v>4800</v>
      </c>
      <c r="AF236" s="10">
        <f t="shared" si="90"/>
        <v>8800</v>
      </c>
      <c r="AH236" s="11">
        <f t="shared" si="87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89"/>
        <v>1</v>
      </c>
      <c r="AP236" s="11">
        <f ca="1">IFERROR(OFFSET(ITEM_RES!$A$1,MATCH(AQ236,ITEM_RES!$J:$J,0)-1,0),0)</f>
        <v>212040001</v>
      </c>
      <c r="AQ236" s="10" t="s">
        <v>471</v>
      </c>
      <c r="AR236" s="11">
        <v>1500</v>
      </c>
      <c r="AU236" s="11">
        <f ca="1">IFERROR(OFFSET(ITEM_RES!$A$1,MATCH(AV236,ITEM_RES!$J:$J,0)-1,0),0)</f>
        <v>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ref="A237:A300" si="91">B237*10000000+C237*1000000+D237*10000+E237*100+F237</f>
        <v>113030013</v>
      </c>
      <c r="B237" s="13">
        <v>11</v>
      </c>
      <c r="C237" s="12">
        <f t="shared" ref="C237:C300" si="92">H237</f>
        <v>3</v>
      </c>
      <c r="D237" s="13">
        <v>3</v>
      </c>
      <c r="E237" s="13">
        <v>0</v>
      </c>
      <c r="F237" s="12">
        <f t="shared" ref="F237:F300" si="93">I237</f>
        <v>13</v>
      </c>
      <c r="H237" s="9">
        <v>3</v>
      </c>
      <c r="I237" s="9">
        <v>13</v>
      </c>
      <c r="K237" s="56" t="s">
        <v>393</v>
      </c>
      <c r="L237" s="9">
        <v>1</v>
      </c>
      <c r="M237" s="9">
        <v>15</v>
      </c>
      <c r="R237" s="9">
        <v>88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585</v>
      </c>
      <c r="AA237" s="9">
        <v>13</v>
      </c>
      <c r="AC237" s="9">
        <v>14000</v>
      </c>
      <c r="AE237" s="56">
        <f t="shared" si="88"/>
        <v>5600</v>
      </c>
      <c r="AF237" s="10">
        <f t="shared" si="90"/>
        <v>10400</v>
      </c>
      <c r="AH237" s="11">
        <f t="shared" si="87"/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89"/>
        <v>1</v>
      </c>
      <c r="AP237" s="11">
        <f ca="1">IFERROR(OFFSET(ITEM_RES!$A$1,MATCH(AQ237,ITEM_RES!$J:$J,0)-1,0),0)</f>
        <v>215050001</v>
      </c>
      <c r="AQ237" s="10" t="s">
        <v>485</v>
      </c>
      <c r="AR237" s="11">
        <v>1750</v>
      </c>
      <c r="AU237" s="11">
        <f ca="1">IFERROR(OFFSET(ITEM_RES!$A$1,MATCH(AV237,ITEM_RES!$J:$J,0)-1,0),0)</f>
        <v>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ref="BL237:BL264" si="94">IF(BM237&lt;100,ROUND(BM237,1-LEN(ROUND(BM237,0))),ROUND(BM237,2-LEN(ROUND(BM237,0))))</f>
        <v>0</v>
      </c>
    </row>
    <row r="238" spans="1:65" x14ac:dyDescent="0.3">
      <c r="A238" s="14">
        <f t="shared" si="91"/>
        <v>113030014</v>
      </c>
      <c r="B238" s="13">
        <v>11</v>
      </c>
      <c r="C238" s="12">
        <f t="shared" si="92"/>
        <v>3</v>
      </c>
      <c r="D238" s="13">
        <v>3</v>
      </c>
      <c r="E238" s="13">
        <v>0</v>
      </c>
      <c r="F238" s="12">
        <f t="shared" si="93"/>
        <v>14</v>
      </c>
      <c r="H238" s="9">
        <v>3</v>
      </c>
      <c r="I238" s="9">
        <v>14</v>
      </c>
      <c r="K238" s="56" t="s">
        <v>393</v>
      </c>
      <c r="L238" s="9">
        <v>1</v>
      </c>
      <c r="M238" s="9">
        <v>15</v>
      </c>
      <c r="R238" s="9">
        <v>88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585</v>
      </c>
      <c r="AA238" s="9">
        <v>14</v>
      </c>
      <c r="AC238" s="9">
        <v>18000</v>
      </c>
      <c r="AE238" s="56">
        <f t="shared" si="88"/>
        <v>7200</v>
      </c>
      <c r="AF238" s="10">
        <f t="shared" si="90"/>
        <v>12800</v>
      </c>
      <c r="AH238" s="11">
        <f t="shared" si="87"/>
        <v>70</v>
      </c>
      <c r="AI238" s="10">
        <v>70</v>
      </c>
      <c r="AJ238" s="11">
        <f t="shared" ref="AJ238:AL301" si="95">ROUND(AK238,0)</f>
        <v>450</v>
      </c>
      <c r="AK238" s="10">
        <v>450</v>
      </c>
      <c r="AL238" s="11">
        <f t="shared" si="95"/>
        <v>450</v>
      </c>
      <c r="AM238" s="10">
        <v>450</v>
      </c>
      <c r="AN238" s="56">
        <f t="shared" si="89"/>
        <v>1</v>
      </c>
      <c r="AP238" s="11">
        <f ca="1">IFERROR(OFFSET(ITEM_RES!$A$1,MATCH(AQ238,ITEM_RES!$J:$J,0)-1,0),0)</f>
        <v>215050001</v>
      </c>
      <c r="AQ238" s="10" t="s">
        <v>485</v>
      </c>
      <c r="AR238" s="11">
        <v>2250</v>
      </c>
      <c r="AU238" s="11">
        <f ca="1">IFERROR(OFFSET(ITEM_RES!$A$1,MATCH(AV238,ITEM_RES!$J:$J,0)-1,0),0)</f>
        <v>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94"/>
        <v>0</v>
      </c>
    </row>
    <row r="239" spans="1:65" x14ac:dyDescent="0.3">
      <c r="A239" s="14">
        <f t="shared" si="91"/>
        <v>113030015</v>
      </c>
      <c r="B239" s="13">
        <v>11</v>
      </c>
      <c r="C239" s="12">
        <f t="shared" si="92"/>
        <v>3</v>
      </c>
      <c r="D239" s="13">
        <v>3</v>
      </c>
      <c r="E239" s="13">
        <v>0</v>
      </c>
      <c r="F239" s="12">
        <f t="shared" si="93"/>
        <v>15</v>
      </c>
      <c r="H239" s="9">
        <v>3</v>
      </c>
      <c r="I239" s="9">
        <v>15</v>
      </c>
      <c r="K239" s="56" t="s">
        <v>393</v>
      </c>
      <c r="L239" s="9">
        <v>1</v>
      </c>
      <c r="M239" s="9">
        <v>15</v>
      </c>
      <c r="R239" s="9">
        <v>88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585</v>
      </c>
      <c r="AA239" s="9">
        <v>15</v>
      </c>
      <c r="AC239" s="9">
        <v>22000</v>
      </c>
      <c r="AE239" s="56">
        <f t="shared" si="88"/>
        <v>8800</v>
      </c>
      <c r="AF239" s="10">
        <f t="shared" si="90"/>
        <v>16000</v>
      </c>
      <c r="AH239" s="11">
        <f t="shared" si="87"/>
        <v>75</v>
      </c>
      <c r="AI239" s="10">
        <v>75</v>
      </c>
      <c r="AJ239" s="11">
        <f t="shared" si="95"/>
        <v>550</v>
      </c>
      <c r="AK239" s="10">
        <v>550</v>
      </c>
      <c r="AL239" s="11">
        <f t="shared" si="95"/>
        <v>550</v>
      </c>
      <c r="AM239" s="10">
        <v>550</v>
      </c>
      <c r="AN239" s="56">
        <f t="shared" si="89"/>
        <v>1</v>
      </c>
      <c r="AP239" s="11">
        <f ca="1">IFERROR(OFFSET(ITEM_RES!$A$1,MATCH(AQ239,ITEM_RES!$J:$J,0)-1,0),0)</f>
        <v>215050001</v>
      </c>
      <c r="AQ239" s="10" t="s">
        <v>485</v>
      </c>
      <c r="AR239" s="11">
        <v>2750</v>
      </c>
      <c r="AU239" s="11">
        <f ca="1">IFERROR(OFFSET(ITEM_RES!$A$1,MATCH(AV239,ITEM_RES!$J:$J,0)-1,0),0)</f>
        <v>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94"/>
        <v>0</v>
      </c>
    </row>
    <row r="240" spans="1:65" x14ac:dyDescent="0.3">
      <c r="A240" s="14">
        <f t="shared" si="91"/>
        <v>113030016</v>
      </c>
      <c r="B240" s="13">
        <v>11</v>
      </c>
      <c r="C240" s="12">
        <f t="shared" si="92"/>
        <v>3</v>
      </c>
      <c r="D240" s="13">
        <v>3</v>
      </c>
      <c r="E240" s="13">
        <v>0</v>
      </c>
      <c r="F240" s="12">
        <f t="shared" si="93"/>
        <v>16</v>
      </c>
      <c r="H240" s="9">
        <v>3</v>
      </c>
      <c r="I240" s="9">
        <v>16</v>
      </c>
      <c r="K240" s="56" t="s">
        <v>393</v>
      </c>
      <c r="L240" s="9">
        <v>0</v>
      </c>
      <c r="M240" s="9">
        <v>15</v>
      </c>
      <c r="R240" s="9">
        <v>88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585</v>
      </c>
      <c r="AA240" s="9">
        <v>16</v>
      </c>
      <c r="AC240" s="9">
        <v>28000</v>
      </c>
      <c r="AE240" s="56">
        <f t="shared" si="88"/>
        <v>11200</v>
      </c>
      <c r="AF240" s="10">
        <f t="shared" si="90"/>
        <v>20000</v>
      </c>
      <c r="AH240" s="11">
        <f t="shared" si="87"/>
        <v>80</v>
      </c>
      <c r="AI240" s="10">
        <v>80</v>
      </c>
      <c r="AJ240" s="11">
        <f t="shared" si="95"/>
        <v>700</v>
      </c>
      <c r="AK240" s="10">
        <v>700</v>
      </c>
      <c r="AL240" s="11">
        <f t="shared" si="95"/>
        <v>700</v>
      </c>
      <c r="AM240" s="10">
        <v>700</v>
      </c>
      <c r="AN240" s="56">
        <f t="shared" si="89"/>
        <v>1</v>
      </c>
      <c r="AP240" s="11">
        <f ca="1">IFERROR(OFFSET(ITEM_RES!$A$1,MATCH(AQ240,ITEM_RES!$J:$J,0)-1,0),0)</f>
        <v>215050001</v>
      </c>
      <c r="AQ240" s="10" t="s">
        <v>485</v>
      </c>
      <c r="AR240" s="11">
        <v>3500</v>
      </c>
      <c r="AU240" s="11">
        <f ca="1">IFERROR(OFFSET(ITEM_RES!$A$1,MATCH(AV240,ITEM_RES!$J:$J,0)-1,0),0)</f>
        <v>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94"/>
        <v>0</v>
      </c>
    </row>
    <row r="241" spans="1:65" x14ac:dyDescent="0.3">
      <c r="A241" s="14">
        <f t="shared" si="91"/>
        <v>113030017</v>
      </c>
      <c r="B241" s="13">
        <v>11</v>
      </c>
      <c r="C241" s="12">
        <f t="shared" si="92"/>
        <v>3</v>
      </c>
      <c r="D241" s="13">
        <v>3</v>
      </c>
      <c r="E241" s="13">
        <v>0</v>
      </c>
      <c r="F241" s="12">
        <f t="shared" si="93"/>
        <v>17</v>
      </c>
      <c r="H241" s="9">
        <v>3</v>
      </c>
      <c r="I241" s="9">
        <v>17</v>
      </c>
      <c r="K241" s="56" t="s">
        <v>393</v>
      </c>
      <c r="L241" s="9">
        <v>0</v>
      </c>
      <c r="M241" s="9">
        <v>15</v>
      </c>
      <c r="R241" s="9">
        <v>88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585</v>
      </c>
      <c r="AA241" s="9">
        <v>17</v>
      </c>
      <c r="AC241" s="9">
        <v>34000</v>
      </c>
      <c r="AE241" s="56">
        <f t="shared" si="88"/>
        <v>13600</v>
      </c>
      <c r="AF241" s="10">
        <f t="shared" si="90"/>
        <v>24800</v>
      </c>
      <c r="AH241" s="11">
        <f t="shared" si="87"/>
        <v>85</v>
      </c>
      <c r="AI241" s="10">
        <v>85</v>
      </c>
      <c r="AJ241" s="11">
        <f t="shared" si="95"/>
        <v>850</v>
      </c>
      <c r="AK241" s="10">
        <v>850</v>
      </c>
      <c r="AL241" s="11">
        <f t="shared" si="95"/>
        <v>850</v>
      </c>
      <c r="AM241" s="10">
        <v>850</v>
      </c>
      <c r="AN241" s="56">
        <f t="shared" si="89"/>
        <v>1</v>
      </c>
      <c r="AP241" s="11">
        <f ca="1">IFERROR(OFFSET(ITEM_RES!$A$1,MATCH(AQ241,ITEM_RES!$J:$J,0)-1,0),0)</f>
        <v>215050001</v>
      </c>
      <c r="AQ241" s="10" t="s">
        <v>485</v>
      </c>
      <c r="AR241" s="11">
        <v>4250</v>
      </c>
      <c r="AU241" s="11">
        <f ca="1">IFERROR(OFFSET(ITEM_RES!$A$1,MATCH(AV241,ITEM_RES!$J:$J,0)-1,0),0)</f>
        <v>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94"/>
        <v>0</v>
      </c>
    </row>
    <row r="242" spans="1:65" x14ac:dyDescent="0.3">
      <c r="A242" s="14">
        <f t="shared" si="91"/>
        <v>113030018</v>
      </c>
      <c r="B242" s="13">
        <v>11</v>
      </c>
      <c r="C242" s="12">
        <f t="shared" si="92"/>
        <v>3</v>
      </c>
      <c r="D242" s="13">
        <v>3</v>
      </c>
      <c r="E242" s="13">
        <v>0</v>
      </c>
      <c r="F242" s="12">
        <f t="shared" si="93"/>
        <v>18</v>
      </c>
      <c r="H242" s="9">
        <v>3</v>
      </c>
      <c r="I242" s="9">
        <v>18</v>
      </c>
      <c r="K242" s="56" t="s">
        <v>393</v>
      </c>
      <c r="L242" s="9">
        <v>0</v>
      </c>
      <c r="M242" s="9">
        <v>15</v>
      </c>
      <c r="R242" s="9">
        <v>88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585</v>
      </c>
      <c r="AA242" s="9">
        <v>18</v>
      </c>
      <c r="AC242" s="9">
        <v>42000</v>
      </c>
      <c r="AE242" s="56">
        <f t="shared" si="88"/>
        <v>16800</v>
      </c>
      <c r="AF242" s="10">
        <f t="shared" si="90"/>
        <v>30400</v>
      </c>
      <c r="AH242" s="11">
        <f t="shared" si="87"/>
        <v>90</v>
      </c>
      <c r="AI242" s="10">
        <v>90</v>
      </c>
      <c r="AJ242" s="11">
        <f t="shared" si="95"/>
        <v>1050</v>
      </c>
      <c r="AK242" s="10">
        <v>1050</v>
      </c>
      <c r="AL242" s="11">
        <f t="shared" si="95"/>
        <v>1050</v>
      </c>
      <c r="AM242" s="10">
        <v>1050</v>
      </c>
      <c r="AN242" s="56">
        <f t="shared" si="89"/>
        <v>1</v>
      </c>
      <c r="AP242" s="11">
        <f ca="1">IFERROR(OFFSET(ITEM_RES!$A$1,MATCH(AQ242,ITEM_RES!$J:$J,0)-1,0),0)</f>
        <v>215050001</v>
      </c>
      <c r="AQ242" s="10" t="s">
        <v>485</v>
      </c>
      <c r="AR242" s="11">
        <v>5250</v>
      </c>
      <c r="AU242" s="11">
        <f ca="1">IFERROR(OFFSET(ITEM_RES!$A$1,MATCH(AV242,ITEM_RES!$J:$J,0)-1,0),0)</f>
        <v>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94"/>
        <v>0</v>
      </c>
    </row>
    <row r="243" spans="1:65" x14ac:dyDescent="0.3">
      <c r="A243" s="14">
        <f t="shared" si="91"/>
        <v>113030019</v>
      </c>
      <c r="B243" s="13">
        <v>11</v>
      </c>
      <c r="C243" s="12">
        <f t="shared" si="92"/>
        <v>3</v>
      </c>
      <c r="D243" s="13">
        <v>3</v>
      </c>
      <c r="E243" s="13">
        <v>0</v>
      </c>
      <c r="F243" s="12">
        <f t="shared" si="93"/>
        <v>19</v>
      </c>
      <c r="H243" s="9">
        <v>3</v>
      </c>
      <c r="I243" s="9">
        <v>19</v>
      </c>
      <c r="K243" s="56" t="s">
        <v>393</v>
      </c>
      <c r="L243" s="9">
        <v>0</v>
      </c>
      <c r="M243" s="9">
        <v>15</v>
      </c>
      <c r="R243" s="9">
        <v>88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585</v>
      </c>
      <c r="AA243" s="9">
        <v>19</v>
      </c>
      <c r="AC243" s="9">
        <v>50000</v>
      </c>
      <c r="AE243" s="56">
        <f t="shared" si="88"/>
        <v>20000</v>
      </c>
      <c r="AF243" s="10">
        <f t="shared" si="90"/>
        <v>36800</v>
      </c>
      <c r="AH243" s="11">
        <f t="shared" si="87"/>
        <v>95</v>
      </c>
      <c r="AI243" s="10">
        <v>95</v>
      </c>
      <c r="AJ243" s="11">
        <f t="shared" si="95"/>
        <v>1250</v>
      </c>
      <c r="AK243" s="10">
        <v>1250</v>
      </c>
      <c r="AL243" s="11">
        <f t="shared" si="95"/>
        <v>1250</v>
      </c>
      <c r="AM243" s="10">
        <v>1250</v>
      </c>
      <c r="AN243" s="56">
        <f t="shared" si="89"/>
        <v>1</v>
      </c>
      <c r="AP243" s="11">
        <f ca="1">IFERROR(OFFSET(ITEM_RES!$A$1,MATCH(AQ243,ITEM_RES!$J:$J,0)-1,0),0)</f>
        <v>215050001</v>
      </c>
      <c r="AQ243" s="10" t="s">
        <v>485</v>
      </c>
      <c r="AR243" s="11">
        <v>6250</v>
      </c>
      <c r="AU243" s="11">
        <f ca="1">IFERROR(OFFSET(ITEM_RES!$A$1,MATCH(AV243,ITEM_RES!$J:$J,0)-1,0),0)</f>
        <v>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94"/>
        <v>0</v>
      </c>
    </row>
    <row r="244" spans="1:65" ht="17.25" thickBot="1" x14ac:dyDescent="0.35">
      <c r="A244" s="14">
        <f t="shared" si="91"/>
        <v>113030020</v>
      </c>
      <c r="B244" s="13">
        <v>11</v>
      </c>
      <c r="C244" s="12">
        <f t="shared" si="92"/>
        <v>3</v>
      </c>
      <c r="D244" s="13">
        <v>3</v>
      </c>
      <c r="E244" s="13">
        <v>0</v>
      </c>
      <c r="F244" s="12">
        <f t="shared" si="93"/>
        <v>20</v>
      </c>
      <c r="H244" s="9">
        <v>3</v>
      </c>
      <c r="I244" s="9">
        <v>20</v>
      </c>
      <c r="K244" s="56" t="s">
        <v>393</v>
      </c>
      <c r="L244" s="9">
        <v>0</v>
      </c>
      <c r="M244" s="9">
        <v>15</v>
      </c>
      <c r="R244" s="9">
        <v>88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585</v>
      </c>
      <c r="AA244" s="9">
        <v>20</v>
      </c>
      <c r="AC244" s="9">
        <v>60000</v>
      </c>
      <c r="AE244" s="56">
        <f t="shared" si="88"/>
        <v>24000</v>
      </c>
      <c r="AF244" s="10">
        <f t="shared" si="90"/>
        <v>44000</v>
      </c>
      <c r="AH244" s="11">
        <f t="shared" si="87"/>
        <v>100</v>
      </c>
      <c r="AI244" s="10">
        <v>100</v>
      </c>
      <c r="AJ244" s="11">
        <f t="shared" si="95"/>
        <v>1500</v>
      </c>
      <c r="AK244" s="10">
        <v>1500</v>
      </c>
      <c r="AL244" s="11">
        <f t="shared" si="95"/>
        <v>1500</v>
      </c>
      <c r="AM244" s="10">
        <v>1500</v>
      </c>
      <c r="AN244" s="56">
        <f t="shared" si="89"/>
        <v>1</v>
      </c>
      <c r="AP244" s="11">
        <f ca="1">IFERROR(OFFSET(ITEM_RES!$A$1,MATCH(AQ244,ITEM_RES!$J:$J,0)-1,0),0)</f>
        <v>215050001</v>
      </c>
      <c r="AQ244" s="10" t="s">
        <v>485</v>
      </c>
      <c r="AR244" s="11">
        <v>7500</v>
      </c>
      <c r="AU244" s="11">
        <f ca="1">IFERROR(OFFSET(ITEM_RES!$A$1,MATCH(AV244,ITEM_RES!$J:$J,0)-1,0),0)</f>
        <v>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94"/>
        <v>0</v>
      </c>
    </row>
    <row r="245" spans="1:65" s="15" customFormat="1" x14ac:dyDescent="0.3">
      <c r="A245" s="21">
        <f t="shared" si="91"/>
        <v>113040001</v>
      </c>
      <c r="B245" s="20">
        <v>11</v>
      </c>
      <c r="C245" s="19">
        <f t="shared" si="92"/>
        <v>3</v>
      </c>
      <c r="D245" s="20">
        <v>4</v>
      </c>
      <c r="E245" s="20">
        <v>0</v>
      </c>
      <c r="F245" s="19">
        <f t="shared" si="93"/>
        <v>1</v>
      </c>
      <c r="G245" s="80"/>
      <c r="H245" s="16">
        <v>3</v>
      </c>
      <c r="I245" s="16">
        <v>1</v>
      </c>
      <c r="J245" s="80"/>
      <c r="K245" s="16" t="s">
        <v>371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586</v>
      </c>
      <c r="AA245" s="16">
        <v>1</v>
      </c>
      <c r="AB245" s="80"/>
      <c r="AC245" s="16">
        <v>0</v>
      </c>
      <c r="AD245" s="80"/>
      <c r="AE245" s="57">
        <f t="shared" si="88"/>
        <v>605</v>
      </c>
      <c r="AF245" s="17">
        <f>AE245</f>
        <v>605</v>
      </c>
      <c r="AG245" s="80"/>
      <c r="AH245" s="18">
        <f t="shared" si="87"/>
        <v>5</v>
      </c>
      <c r="AI245" s="17">
        <v>5</v>
      </c>
      <c r="AJ245" s="18">
        <f t="shared" si="95"/>
        <v>5</v>
      </c>
      <c r="AK245" s="17">
        <v>5</v>
      </c>
      <c r="AL245" s="18">
        <f t="shared" si="95"/>
        <v>5</v>
      </c>
      <c r="AM245" s="17">
        <v>5</v>
      </c>
      <c r="AN245" s="57">
        <f t="shared" si="89"/>
        <v>3</v>
      </c>
      <c r="AO245" s="18"/>
      <c r="AP245" s="18">
        <f ca="1">IFERROR(OFFSET(ITEM_RES!$A$1,MATCH(AQ245,ITEM_RES!$J:$J,0)-1,0),0)</f>
        <v>212040001</v>
      </c>
      <c r="AQ245" s="17" t="s">
        <v>471</v>
      </c>
      <c r="AR245" s="18">
        <v>25</v>
      </c>
      <c r="AS245" s="17"/>
      <c r="AT245" s="18"/>
      <c r="AU245" s="18">
        <f ca="1">IFERROR(OFFSET(ITEM_RES!$A$1,MATCH(AV245,ITEM_RES!$J:$J,0)-1,0),0)</f>
        <v>212010001</v>
      </c>
      <c r="AV245" s="17" t="s">
        <v>457</v>
      </c>
      <c r="AW245" s="18">
        <v>25</v>
      </c>
      <c r="AX245" s="17"/>
      <c r="AY245" s="18"/>
      <c r="AZ245" s="18">
        <f ca="1">IFERROR(OFFSET(ITEM_RES!$A$1,MATCH(BA245,ITEM_RES!$J:$J,0)-1,0),0)</f>
        <v>213010001</v>
      </c>
      <c r="BA245" s="17" t="s">
        <v>496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94"/>
        <v>0</v>
      </c>
      <c r="BM245" s="17"/>
    </row>
    <row r="246" spans="1:65" x14ac:dyDescent="0.3">
      <c r="A246" s="14">
        <f t="shared" si="91"/>
        <v>113040002</v>
      </c>
      <c r="B246" s="13">
        <v>11</v>
      </c>
      <c r="C246" s="12">
        <f t="shared" si="92"/>
        <v>3</v>
      </c>
      <c r="D246" s="13">
        <v>4</v>
      </c>
      <c r="E246" s="13">
        <v>0</v>
      </c>
      <c r="F246" s="12">
        <f t="shared" si="93"/>
        <v>2</v>
      </c>
      <c r="H246" s="9">
        <v>3</v>
      </c>
      <c r="I246" s="9">
        <v>2</v>
      </c>
      <c r="K246" s="9" t="s">
        <v>371</v>
      </c>
      <c r="L246" s="9">
        <v>1</v>
      </c>
      <c r="M246" s="9">
        <v>15</v>
      </c>
      <c r="R246" s="9">
        <v>99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586</v>
      </c>
      <c r="AA246" s="9">
        <v>2</v>
      </c>
      <c r="AC246" s="9">
        <v>800</v>
      </c>
      <c r="AE246" s="56">
        <f t="shared" si="88"/>
        <v>210</v>
      </c>
      <c r="AF246" s="10">
        <f>AE245+AE246</f>
        <v>815</v>
      </c>
      <c r="AH246" s="11">
        <f t="shared" si="87"/>
        <v>10</v>
      </c>
      <c r="AI246" s="10">
        <v>10</v>
      </c>
      <c r="AJ246" s="11">
        <f t="shared" si="95"/>
        <v>10</v>
      </c>
      <c r="AK246" s="10">
        <v>10</v>
      </c>
      <c r="AL246" s="11">
        <f t="shared" si="95"/>
        <v>10</v>
      </c>
      <c r="AM246" s="10">
        <v>10</v>
      </c>
      <c r="AN246" s="56">
        <f t="shared" si="89"/>
        <v>2</v>
      </c>
      <c r="AP246" s="11">
        <f ca="1">IFERROR(OFFSET(ITEM_RES!$A$1,MATCH(AQ246,ITEM_RES!$J:$J,0)-1,0),0)</f>
        <v>212040001</v>
      </c>
      <c r="AQ246" s="10" t="s">
        <v>471</v>
      </c>
      <c r="AR246" s="11">
        <v>50</v>
      </c>
      <c r="AU246" s="11">
        <f ca="1">IFERROR(OFFSET(ITEM_RES!$A$1,MATCH(AV246,ITEM_RES!$J:$J,0)-1,0),0)</f>
        <v>212010001</v>
      </c>
      <c r="AV246" s="10" t="s">
        <v>457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94"/>
        <v>0</v>
      </c>
    </row>
    <row r="247" spans="1:65" x14ac:dyDescent="0.3">
      <c r="A247" s="14">
        <f t="shared" si="91"/>
        <v>113040003</v>
      </c>
      <c r="B247" s="13">
        <v>11</v>
      </c>
      <c r="C247" s="12">
        <f t="shared" si="92"/>
        <v>3</v>
      </c>
      <c r="D247" s="13">
        <v>4</v>
      </c>
      <c r="E247" s="13">
        <v>0</v>
      </c>
      <c r="F247" s="12">
        <f t="shared" si="93"/>
        <v>3</v>
      </c>
      <c r="H247" s="9">
        <v>3</v>
      </c>
      <c r="I247" s="9">
        <v>3</v>
      </c>
      <c r="K247" s="9" t="s">
        <v>371</v>
      </c>
      <c r="L247" s="9">
        <v>1</v>
      </c>
      <c r="M247" s="9">
        <v>15</v>
      </c>
      <c r="R247" s="9">
        <v>99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586</v>
      </c>
      <c r="AA247" s="9">
        <v>3</v>
      </c>
      <c r="AC247" s="9">
        <v>1200</v>
      </c>
      <c r="AE247" s="56">
        <f t="shared" si="88"/>
        <v>315</v>
      </c>
      <c r="AF247" s="10">
        <f t="shared" ref="AF247:AF264" si="96">AE246+AE247</f>
        <v>525</v>
      </c>
      <c r="AH247" s="11">
        <f t="shared" si="87"/>
        <v>15</v>
      </c>
      <c r="AI247" s="10">
        <v>15</v>
      </c>
      <c r="AJ247" s="11">
        <f t="shared" si="95"/>
        <v>15</v>
      </c>
      <c r="AK247" s="10">
        <v>15</v>
      </c>
      <c r="AL247" s="11">
        <f t="shared" si="95"/>
        <v>15</v>
      </c>
      <c r="AM247" s="10">
        <v>15</v>
      </c>
      <c r="AN247" s="56">
        <f t="shared" si="89"/>
        <v>2</v>
      </c>
      <c r="AP247" s="11">
        <f ca="1">IFERROR(OFFSET(ITEM_RES!$A$1,MATCH(AQ247,ITEM_RES!$J:$J,0)-1,0),0)</f>
        <v>212040001</v>
      </c>
      <c r="AQ247" s="10" t="s">
        <v>471</v>
      </c>
      <c r="AR247" s="11">
        <v>75</v>
      </c>
      <c r="AU247" s="11">
        <f ca="1">IFERROR(OFFSET(ITEM_RES!$A$1,MATCH(AV247,ITEM_RES!$J:$J,0)-1,0),0)</f>
        <v>212010001</v>
      </c>
      <c r="AV247" s="10" t="s">
        <v>457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94"/>
        <v>0</v>
      </c>
    </row>
    <row r="248" spans="1:65" x14ac:dyDescent="0.3">
      <c r="A248" s="14">
        <f t="shared" si="91"/>
        <v>113040004</v>
      </c>
      <c r="B248" s="13">
        <v>11</v>
      </c>
      <c r="C248" s="12">
        <f t="shared" si="92"/>
        <v>3</v>
      </c>
      <c r="D248" s="13">
        <v>4</v>
      </c>
      <c r="E248" s="13">
        <v>0</v>
      </c>
      <c r="F248" s="12">
        <f t="shared" si="93"/>
        <v>4</v>
      </c>
      <c r="H248" s="9">
        <v>3</v>
      </c>
      <c r="I248" s="9">
        <v>4</v>
      </c>
      <c r="K248" s="9" t="s">
        <v>371</v>
      </c>
      <c r="L248" s="9">
        <v>1</v>
      </c>
      <c r="M248" s="9">
        <v>15</v>
      </c>
      <c r="R248" s="9">
        <v>99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586</v>
      </c>
      <c r="AA248" s="9">
        <v>4</v>
      </c>
      <c r="AC248" s="9">
        <v>2000</v>
      </c>
      <c r="AE248" s="56">
        <f t="shared" si="88"/>
        <v>525</v>
      </c>
      <c r="AF248" s="10">
        <f t="shared" si="96"/>
        <v>840</v>
      </c>
      <c r="AH248" s="11">
        <f t="shared" si="87"/>
        <v>20</v>
      </c>
      <c r="AI248" s="10">
        <v>20</v>
      </c>
      <c r="AJ248" s="11">
        <f t="shared" si="95"/>
        <v>25</v>
      </c>
      <c r="AK248" s="10">
        <v>25</v>
      </c>
      <c r="AL248" s="11">
        <f t="shared" si="95"/>
        <v>25</v>
      </c>
      <c r="AM248" s="10">
        <v>25</v>
      </c>
      <c r="AN248" s="56">
        <f t="shared" si="89"/>
        <v>2</v>
      </c>
      <c r="AP248" s="11">
        <f ca="1">IFERROR(OFFSET(ITEM_RES!$A$1,MATCH(AQ248,ITEM_RES!$J:$J,0)-1,0),0)</f>
        <v>212040001</v>
      </c>
      <c r="AQ248" s="10" t="s">
        <v>471</v>
      </c>
      <c r="AR248" s="11">
        <v>125</v>
      </c>
      <c r="AU248" s="11">
        <f ca="1">IFERROR(OFFSET(ITEM_RES!$A$1,MATCH(AV248,ITEM_RES!$J:$J,0)-1,0),0)</f>
        <v>212010001</v>
      </c>
      <c r="AV248" s="10" t="s">
        <v>457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94"/>
        <v>0</v>
      </c>
    </row>
    <row r="249" spans="1:65" x14ac:dyDescent="0.3">
      <c r="A249" s="14">
        <f t="shared" si="91"/>
        <v>113040005</v>
      </c>
      <c r="B249" s="13">
        <v>11</v>
      </c>
      <c r="C249" s="12">
        <f t="shared" si="92"/>
        <v>3</v>
      </c>
      <c r="D249" s="13">
        <v>4</v>
      </c>
      <c r="E249" s="13">
        <v>0</v>
      </c>
      <c r="F249" s="12">
        <f t="shared" si="93"/>
        <v>5</v>
      </c>
      <c r="H249" s="9">
        <v>3</v>
      </c>
      <c r="I249" s="9">
        <v>5</v>
      </c>
      <c r="K249" s="9" t="s">
        <v>371</v>
      </c>
      <c r="L249" s="9">
        <v>1</v>
      </c>
      <c r="M249" s="9">
        <v>15</v>
      </c>
      <c r="R249" s="9">
        <v>99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586</v>
      </c>
      <c r="AA249" s="9">
        <v>5</v>
      </c>
      <c r="AC249" s="9">
        <v>3200</v>
      </c>
      <c r="AE249" s="56">
        <f t="shared" si="88"/>
        <v>840</v>
      </c>
      <c r="AF249" s="10">
        <f t="shared" si="96"/>
        <v>1365</v>
      </c>
      <c r="AH249" s="11">
        <f t="shared" si="87"/>
        <v>25</v>
      </c>
      <c r="AI249" s="10">
        <v>25</v>
      </c>
      <c r="AJ249" s="11">
        <f t="shared" si="95"/>
        <v>40</v>
      </c>
      <c r="AK249" s="10">
        <v>40</v>
      </c>
      <c r="AL249" s="11">
        <f t="shared" si="95"/>
        <v>40</v>
      </c>
      <c r="AM249" s="10">
        <v>40</v>
      </c>
      <c r="AN249" s="56">
        <f t="shared" si="89"/>
        <v>2</v>
      </c>
      <c r="AP249" s="11">
        <f ca="1">IFERROR(OFFSET(ITEM_RES!$A$1,MATCH(AQ249,ITEM_RES!$J:$J,0)-1,0),0)</f>
        <v>212040001</v>
      </c>
      <c r="AQ249" s="10" t="s">
        <v>471</v>
      </c>
      <c r="AR249" s="11">
        <v>200</v>
      </c>
      <c r="AU249" s="11">
        <f ca="1">IFERROR(OFFSET(ITEM_RES!$A$1,MATCH(AV249,ITEM_RES!$J:$J,0)-1,0),0)</f>
        <v>212010001</v>
      </c>
      <c r="AV249" s="10" t="s">
        <v>457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94"/>
        <v>0</v>
      </c>
    </row>
    <row r="250" spans="1:65" x14ac:dyDescent="0.3">
      <c r="A250" s="14">
        <f t="shared" si="91"/>
        <v>113040006</v>
      </c>
      <c r="B250" s="13">
        <v>11</v>
      </c>
      <c r="C250" s="12">
        <f t="shared" si="92"/>
        <v>3</v>
      </c>
      <c r="D250" s="13">
        <v>4</v>
      </c>
      <c r="E250" s="13">
        <v>0</v>
      </c>
      <c r="F250" s="12">
        <f t="shared" si="93"/>
        <v>6</v>
      </c>
      <c r="H250" s="9">
        <v>3</v>
      </c>
      <c r="I250" s="9">
        <v>6</v>
      </c>
      <c r="K250" s="9" t="s">
        <v>371</v>
      </c>
      <c r="L250" s="9">
        <v>1</v>
      </c>
      <c r="M250" s="9">
        <v>15</v>
      </c>
      <c r="R250" s="9">
        <v>99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586</v>
      </c>
      <c r="AA250" s="9">
        <v>6</v>
      </c>
      <c r="AC250" s="9">
        <v>4000</v>
      </c>
      <c r="AE250" s="56">
        <f t="shared" si="88"/>
        <v>1050</v>
      </c>
      <c r="AF250" s="10">
        <f t="shared" si="96"/>
        <v>1890</v>
      </c>
      <c r="AH250" s="11">
        <f t="shared" si="87"/>
        <v>30</v>
      </c>
      <c r="AI250" s="10">
        <v>30</v>
      </c>
      <c r="AJ250" s="11">
        <f t="shared" si="95"/>
        <v>50</v>
      </c>
      <c r="AK250" s="10">
        <v>50</v>
      </c>
      <c r="AL250" s="11">
        <f t="shared" si="95"/>
        <v>50</v>
      </c>
      <c r="AM250" s="10">
        <v>50</v>
      </c>
      <c r="AN250" s="56">
        <f t="shared" si="89"/>
        <v>2</v>
      </c>
      <c r="AP250" s="11">
        <f ca="1">IFERROR(OFFSET(ITEM_RES!$A$1,MATCH(AQ250,ITEM_RES!$J:$J,0)-1,0),0)</f>
        <v>212040001</v>
      </c>
      <c r="AQ250" s="10" t="s">
        <v>471</v>
      </c>
      <c r="AR250" s="11">
        <v>250</v>
      </c>
      <c r="AU250" s="11">
        <f ca="1">IFERROR(OFFSET(ITEM_RES!$A$1,MATCH(AV250,ITEM_RES!$J:$J,0)-1,0),0)</f>
        <v>212010001</v>
      </c>
      <c r="AV250" s="10" t="s">
        <v>457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94"/>
        <v>0</v>
      </c>
    </row>
    <row r="251" spans="1:65" x14ac:dyDescent="0.3">
      <c r="A251" s="14">
        <f t="shared" si="91"/>
        <v>113040007</v>
      </c>
      <c r="B251" s="13">
        <v>11</v>
      </c>
      <c r="C251" s="12">
        <f t="shared" si="92"/>
        <v>3</v>
      </c>
      <c r="D251" s="13">
        <v>4</v>
      </c>
      <c r="E251" s="13">
        <v>0</v>
      </c>
      <c r="F251" s="12">
        <f t="shared" si="93"/>
        <v>7</v>
      </c>
      <c r="H251" s="9">
        <v>3</v>
      </c>
      <c r="I251" s="9">
        <v>7</v>
      </c>
      <c r="K251" s="9" t="s">
        <v>371</v>
      </c>
      <c r="L251" s="9">
        <v>1</v>
      </c>
      <c r="M251" s="9">
        <v>15</v>
      </c>
      <c r="R251" s="9">
        <v>99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586</v>
      </c>
      <c r="AA251" s="9">
        <v>7</v>
      </c>
      <c r="AC251" s="9">
        <v>8000</v>
      </c>
      <c r="AE251" s="56">
        <f t="shared" si="88"/>
        <v>2100</v>
      </c>
      <c r="AF251" s="10">
        <f t="shared" si="96"/>
        <v>3150</v>
      </c>
      <c r="AH251" s="11">
        <f t="shared" si="87"/>
        <v>35</v>
      </c>
      <c r="AI251" s="10">
        <v>35</v>
      </c>
      <c r="AJ251" s="11">
        <f t="shared" si="95"/>
        <v>100</v>
      </c>
      <c r="AK251" s="10">
        <v>100</v>
      </c>
      <c r="AL251" s="11">
        <f t="shared" si="95"/>
        <v>100</v>
      </c>
      <c r="AM251" s="10">
        <v>100</v>
      </c>
      <c r="AN251" s="56">
        <f t="shared" si="89"/>
        <v>2</v>
      </c>
      <c r="AP251" s="11">
        <f ca="1">IFERROR(OFFSET(ITEM_RES!$A$1,MATCH(AQ251,ITEM_RES!$J:$J,0)-1,0),0)</f>
        <v>212040001</v>
      </c>
      <c r="AQ251" s="10" t="s">
        <v>471</v>
      </c>
      <c r="AR251" s="11">
        <v>500</v>
      </c>
      <c r="AU251" s="11">
        <f ca="1">IFERROR(OFFSET(ITEM_RES!$A$1,MATCH(AV251,ITEM_RES!$J:$J,0)-1,0),0)</f>
        <v>212010001</v>
      </c>
      <c r="AV251" s="10" t="s">
        <v>457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94"/>
        <v>0</v>
      </c>
    </row>
    <row r="252" spans="1:65" x14ac:dyDescent="0.3">
      <c r="A252" s="14">
        <f t="shared" si="91"/>
        <v>113040008</v>
      </c>
      <c r="B252" s="13">
        <v>11</v>
      </c>
      <c r="C252" s="12">
        <f t="shared" si="92"/>
        <v>3</v>
      </c>
      <c r="D252" s="13">
        <v>4</v>
      </c>
      <c r="E252" s="13">
        <v>0</v>
      </c>
      <c r="F252" s="12">
        <f t="shared" si="93"/>
        <v>8</v>
      </c>
      <c r="H252" s="9">
        <v>3</v>
      </c>
      <c r="I252" s="9">
        <v>8</v>
      </c>
      <c r="K252" s="9" t="s">
        <v>371</v>
      </c>
      <c r="L252" s="9">
        <v>1</v>
      </c>
      <c r="M252" s="9">
        <v>15</v>
      </c>
      <c r="R252" s="9">
        <v>99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586</v>
      </c>
      <c r="AA252" s="9">
        <v>8</v>
      </c>
      <c r="AC252" s="9">
        <v>8000</v>
      </c>
      <c r="AE252" s="56">
        <f t="shared" si="88"/>
        <v>2600</v>
      </c>
      <c r="AF252" s="10">
        <f t="shared" si="96"/>
        <v>4700</v>
      </c>
      <c r="AH252" s="11">
        <f t="shared" si="87"/>
        <v>40</v>
      </c>
      <c r="AI252" s="10">
        <v>40</v>
      </c>
      <c r="AJ252" s="11">
        <f t="shared" si="95"/>
        <v>100</v>
      </c>
      <c r="AK252" s="10">
        <v>100</v>
      </c>
      <c r="AL252" s="11">
        <f t="shared" si="95"/>
        <v>100</v>
      </c>
      <c r="AM252" s="10">
        <v>100</v>
      </c>
      <c r="AN252" s="56">
        <f t="shared" si="89"/>
        <v>3</v>
      </c>
      <c r="AP252" s="11">
        <f ca="1">IFERROR(OFFSET(ITEM_RES!$A$1,MATCH(AQ252,ITEM_RES!$J:$J,0)-1,0),0)</f>
        <v>212040001</v>
      </c>
      <c r="AQ252" s="10" t="s">
        <v>471</v>
      </c>
      <c r="AR252" s="11">
        <v>500</v>
      </c>
      <c r="AU252" s="11">
        <f ca="1">IFERROR(OFFSET(ITEM_RES!$A$1,MATCH(AV252,ITEM_RES!$J:$J,0)-1,0),0)</f>
        <v>212010001</v>
      </c>
      <c r="AV252" s="10" t="s">
        <v>457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213090001</v>
      </c>
      <c r="BF252" s="10" t="s">
        <v>508</v>
      </c>
      <c r="BG252" s="11">
        <v>1</v>
      </c>
      <c r="BJ252" s="11">
        <f ca="1">IFERROR(OFFSET(ITEM_RES!$A$1,MATCH(BK252,ITEM_RES!$J:$J,0)-1,0),0)</f>
        <v>0</v>
      </c>
      <c r="BL252" s="11">
        <f t="shared" si="94"/>
        <v>0</v>
      </c>
    </row>
    <row r="253" spans="1:65" x14ac:dyDescent="0.3">
      <c r="A253" s="14">
        <f t="shared" si="91"/>
        <v>113040009</v>
      </c>
      <c r="B253" s="13">
        <v>11</v>
      </c>
      <c r="C253" s="12">
        <f t="shared" si="92"/>
        <v>3</v>
      </c>
      <c r="D253" s="13">
        <v>4</v>
      </c>
      <c r="E253" s="13">
        <v>0</v>
      </c>
      <c r="F253" s="12">
        <f t="shared" si="93"/>
        <v>9</v>
      </c>
      <c r="H253" s="9">
        <v>3</v>
      </c>
      <c r="I253" s="9">
        <v>9</v>
      </c>
      <c r="K253" s="9" t="s">
        <v>371</v>
      </c>
      <c r="L253" s="9">
        <v>1</v>
      </c>
      <c r="M253" s="9">
        <v>15</v>
      </c>
      <c r="R253" s="9">
        <v>99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586</v>
      </c>
      <c r="AA253" s="9">
        <v>9</v>
      </c>
      <c r="AC253" s="9">
        <v>12000</v>
      </c>
      <c r="AE253" s="56">
        <f t="shared" si="88"/>
        <v>3150</v>
      </c>
      <c r="AF253" s="10">
        <f t="shared" si="96"/>
        <v>5750</v>
      </c>
      <c r="AH253" s="11">
        <f t="shared" si="87"/>
        <v>45</v>
      </c>
      <c r="AI253" s="10">
        <v>45</v>
      </c>
      <c r="AJ253" s="11">
        <f t="shared" si="95"/>
        <v>150</v>
      </c>
      <c r="AK253" s="10">
        <v>150</v>
      </c>
      <c r="AL253" s="11">
        <f t="shared" si="95"/>
        <v>150</v>
      </c>
      <c r="AM253" s="10">
        <v>150</v>
      </c>
      <c r="AN253" s="56">
        <f t="shared" si="89"/>
        <v>2</v>
      </c>
      <c r="AP253" s="11">
        <f ca="1">IFERROR(OFFSET(ITEM_RES!$A$1,MATCH(AQ253,ITEM_RES!$J:$J,0)-1,0),0)</f>
        <v>212040001</v>
      </c>
      <c r="AQ253" s="10" t="s">
        <v>471</v>
      </c>
      <c r="AR253" s="11">
        <v>750</v>
      </c>
      <c r="AU253" s="11">
        <f ca="1">IFERROR(OFFSET(ITEM_RES!$A$1,MATCH(AV253,ITEM_RES!$J:$J,0)-1,0),0)</f>
        <v>212010001</v>
      </c>
      <c r="AV253" s="10" t="s">
        <v>457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94"/>
        <v>0</v>
      </c>
    </row>
    <row r="254" spans="1:65" x14ac:dyDescent="0.3">
      <c r="A254" s="14">
        <f t="shared" si="91"/>
        <v>113040010</v>
      </c>
      <c r="B254" s="13">
        <v>11</v>
      </c>
      <c r="C254" s="12">
        <f t="shared" si="92"/>
        <v>3</v>
      </c>
      <c r="D254" s="13">
        <v>4</v>
      </c>
      <c r="E254" s="13">
        <v>0</v>
      </c>
      <c r="F254" s="12">
        <f t="shared" si="93"/>
        <v>10</v>
      </c>
      <c r="H254" s="9">
        <v>3</v>
      </c>
      <c r="I254" s="9">
        <v>10</v>
      </c>
      <c r="K254" s="9" t="s">
        <v>371</v>
      </c>
      <c r="L254" s="9">
        <v>1</v>
      </c>
      <c r="M254" s="9">
        <v>15</v>
      </c>
      <c r="R254" s="9">
        <v>99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586</v>
      </c>
      <c r="AA254" s="9">
        <v>10</v>
      </c>
      <c r="AC254" s="9">
        <v>16000</v>
      </c>
      <c r="AE254" s="56">
        <f t="shared" si="88"/>
        <v>4200</v>
      </c>
      <c r="AF254" s="10">
        <f t="shared" si="96"/>
        <v>7350</v>
      </c>
      <c r="AH254" s="11">
        <f t="shared" si="87"/>
        <v>50</v>
      </c>
      <c r="AI254" s="10">
        <v>50</v>
      </c>
      <c r="AJ254" s="11">
        <f t="shared" si="95"/>
        <v>200</v>
      </c>
      <c r="AK254" s="10">
        <v>200</v>
      </c>
      <c r="AL254" s="11">
        <f t="shared" si="95"/>
        <v>200</v>
      </c>
      <c r="AM254" s="10">
        <v>200</v>
      </c>
      <c r="AN254" s="56">
        <f t="shared" si="89"/>
        <v>2</v>
      </c>
      <c r="AP254" s="11">
        <f ca="1">IFERROR(OFFSET(ITEM_RES!$A$1,MATCH(AQ254,ITEM_RES!$J:$J,0)-1,0),0)</f>
        <v>212040001</v>
      </c>
      <c r="AQ254" s="10" t="s">
        <v>471</v>
      </c>
      <c r="AR254" s="11">
        <v>1000</v>
      </c>
      <c r="AU254" s="11">
        <f ca="1">IFERROR(OFFSET(ITEM_RES!$A$1,MATCH(AV254,ITEM_RES!$J:$J,0)-1,0),0)</f>
        <v>212010001</v>
      </c>
      <c r="AV254" s="10" t="s">
        <v>457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  <c r="BL254" s="11">
        <f t="shared" si="94"/>
        <v>0</v>
      </c>
    </row>
    <row r="255" spans="1:65" x14ac:dyDescent="0.3">
      <c r="A255" s="14">
        <f t="shared" si="91"/>
        <v>113040011</v>
      </c>
      <c r="B255" s="13">
        <v>11</v>
      </c>
      <c r="C255" s="12">
        <f t="shared" si="92"/>
        <v>3</v>
      </c>
      <c r="D255" s="13">
        <v>4</v>
      </c>
      <c r="E255" s="13">
        <v>0</v>
      </c>
      <c r="F255" s="12">
        <f t="shared" si="93"/>
        <v>11</v>
      </c>
      <c r="H255" s="9">
        <v>3</v>
      </c>
      <c r="I255" s="9">
        <v>11</v>
      </c>
      <c r="K255" s="9" t="s">
        <v>371</v>
      </c>
      <c r="L255" s="9">
        <v>1</v>
      </c>
      <c r="M255" s="9">
        <v>15</v>
      </c>
      <c r="R255" s="9">
        <v>99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586</v>
      </c>
      <c r="AA255" s="9">
        <v>11</v>
      </c>
      <c r="AC255" s="9">
        <v>20000</v>
      </c>
      <c r="AE255" s="56">
        <f t="shared" si="88"/>
        <v>5250</v>
      </c>
      <c r="AF255" s="10">
        <f t="shared" si="96"/>
        <v>9450</v>
      </c>
      <c r="AH255" s="11">
        <f t="shared" si="87"/>
        <v>55</v>
      </c>
      <c r="AI255" s="10">
        <v>55</v>
      </c>
      <c r="AJ255" s="11">
        <f t="shared" si="95"/>
        <v>250</v>
      </c>
      <c r="AK255" s="10">
        <v>250</v>
      </c>
      <c r="AL255" s="11">
        <f t="shared" si="95"/>
        <v>250</v>
      </c>
      <c r="AM255" s="10">
        <v>250</v>
      </c>
      <c r="AN255" s="56">
        <f t="shared" si="89"/>
        <v>2</v>
      </c>
      <c r="AP255" s="11">
        <f ca="1">IFERROR(OFFSET(ITEM_RES!$A$1,MATCH(AQ255,ITEM_RES!$J:$J,0)-1,0),0)</f>
        <v>212040001</v>
      </c>
      <c r="AQ255" s="10" t="s">
        <v>471</v>
      </c>
      <c r="AR255" s="11">
        <v>1250</v>
      </c>
      <c r="AU255" s="11">
        <f ca="1">IFERROR(OFFSET(ITEM_RES!$A$1,MATCH(AV255,ITEM_RES!$J:$J,0)-1,0),0)</f>
        <v>212010001</v>
      </c>
      <c r="AV255" s="10" t="s">
        <v>457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94"/>
        <v>0</v>
      </c>
    </row>
    <row r="256" spans="1:65" x14ac:dyDescent="0.3">
      <c r="A256" s="14">
        <f t="shared" si="91"/>
        <v>113040012</v>
      </c>
      <c r="B256" s="13">
        <v>11</v>
      </c>
      <c r="C256" s="12">
        <f t="shared" si="92"/>
        <v>3</v>
      </c>
      <c r="D256" s="13">
        <v>4</v>
      </c>
      <c r="E256" s="13">
        <v>0</v>
      </c>
      <c r="F256" s="12">
        <f t="shared" si="93"/>
        <v>12</v>
      </c>
      <c r="H256" s="9">
        <v>3</v>
      </c>
      <c r="I256" s="9">
        <v>12</v>
      </c>
      <c r="K256" s="9" t="s">
        <v>371</v>
      </c>
      <c r="L256" s="9">
        <v>1</v>
      </c>
      <c r="M256" s="9">
        <v>15</v>
      </c>
      <c r="R256" s="9">
        <v>99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586</v>
      </c>
      <c r="AA256" s="9">
        <v>12</v>
      </c>
      <c r="AC256" s="9">
        <v>24000</v>
      </c>
      <c r="AE256" s="56">
        <f t="shared" si="88"/>
        <v>6300</v>
      </c>
      <c r="AF256" s="10">
        <f t="shared" si="96"/>
        <v>11550</v>
      </c>
      <c r="AH256" s="11">
        <f t="shared" si="87"/>
        <v>60</v>
      </c>
      <c r="AI256" s="10">
        <v>60</v>
      </c>
      <c r="AJ256" s="11">
        <f t="shared" si="95"/>
        <v>300</v>
      </c>
      <c r="AK256" s="10">
        <v>300</v>
      </c>
      <c r="AL256" s="11">
        <f t="shared" si="95"/>
        <v>300</v>
      </c>
      <c r="AM256" s="10">
        <v>300</v>
      </c>
      <c r="AN256" s="56">
        <f t="shared" si="89"/>
        <v>2</v>
      </c>
      <c r="AP256" s="11">
        <f ca="1">IFERROR(OFFSET(ITEM_RES!$A$1,MATCH(AQ256,ITEM_RES!$J:$J,0)-1,0),0)</f>
        <v>212040001</v>
      </c>
      <c r="AQ256" s="10" t="s">
        <v>471</v>
      </c>
      <c r="AR256" s="11">
        <v>1500</v>
      </c>
      <c r="AU256" s="11">
        <f ca="1">IFERROR(OFFSET(ITEM_RES!$A$1,MATCH(AV256,ITEM_RES!$J:$J,0)-1,0),0)</f>
        <v>212010001</v>
      </c>
      <c r="AV256" s="10" t="s">
        <v>457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94"/>
        <v>0</v>
      </c>
    </row>
    <row r="257" spans="1:65" x14ac:dyDescent="0.3">
      <c r="A257" s="14">
        <f t="shared" si="91"/>
        <v>113040013</v>
      </c>
      <c r="B257" s="13">
        <v>11</v>
      </c>
      <c r="C257" s="12">
        <f t="shared" si="92"/>
        <v>3</v>
      </c>
      <c r="D257" s="13">
        <v>4</v>
      </c>
      <c r="E257" s="13">
        <v>0</v>
      </c>
      <c r="F257" s="12">
        <f t="shared" si="93"/>
        <v>13</v>
      </c>
      <c r="H257" s="9">
        <v>3</v>
      </c>
      <c r="I257" s="9">
        <v>13</v>
      </c>
      <c r="K257" s="9" t="s">
        <v>371</v>
      </c>
      <c r="L257" s="9">
        <v>1</v>
      </c>
      <c r="M257" s="9">
        <v>15</v>
      </c>
      <c r="R257" s="9">
        <v>99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586</v>
      </c>
      <c r="AA257" s="9">
        <v>13</v>
      </c>
      <c r="AC257" s="9">
        <v>28000</v>
      </c>
      <c r="AE257" s="56">
        <f t="shared" si="88"/>
        <v>7350</v>
      </c>
      <c r="AF257" s="10">
        <f t="shared" si="96"/>
        <v>13650</v>
      </c>
      <c r="AH257" s="11">
        <f t="shared" si="87"/>
        <v>65</v>
      </c>
      <c r="AI257" s="10">
        <v>65</v>
      </c>
      <c r="AJ257" s="11">
        <f t="shared" si="95"/>
        <v>350</v>
      </c>
      <c r="AK257" s="10">
        <v>350</v>
      </c>
      <c r="AL257" s="11">
        <f t="shared" si="95"/>
        <v>350</v>
      </c>
      <c r="AM257" s="10">
        <v>350</v>
      </c>
      <c r="AN257" s="56">
        <f t="shared" si="89"/>
        <v>2</v>
      </c>
      <c r="AP257" s="11">
        <f ca="1">IFERROR(OFFSET(ITEM_RES!$A$1,MATCH(AQ257,ITEM_RES!$J:$J,0)-1,0),0)</f>
        <v>212040001</v>
      </c>
      <c r="AQ257" s="10" t="s">
        <v>471</v>
      </c>
      <c r="AR257" s="11">
        <v>1750</v>
      </c>
      <c r="AU257" s="11">
        <f ca="1">IFERROR(OFFSET(ITEM_RES!$A$1,MATCH(AV257,ITEM_RES!$J:$J,0)-1,0),0)</f>
        <v>212010001</v>
      </c>
      <c r="AV257" s="10" t="s">
        <v>457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si="94"/>
        <v>0</v>
      </c>
    </row>
    <row r="258" spans="1:65" x14ac:dyDescent="0.3">
      <c r="A258" s="14">
        <f t="shared" si="91"/>
        <v>113040014</v>
      </c>
      <c r="B258" s="13">
        <v>11</v>
      </c>
      <c r="C258" s="12">
        <f t="shared" si="92"/>
        <v>3</v>
      </c>
      <c r="D258" s="13">
        <v>4</v>
      </c>
      <c r="E258" s="13">
        <v>0</v>
      </c>
      <c r="F258" s="12">
        <f t="shared" si="93"/>
        <v>14</v>
      </c>
      <c r="H258" s="9">
        <v>3</v>
      </c>
      <c r="I258" s="9">
        <v>14</v>
      </c>
      <c r="K258" s="9" t="s">
        <v>371</v>
      </c>
      <c r="L258" s="9">
        <v>1</v>
      </c>
      <c r="M258" s="9">
        <v>15</v>
      </c>
      <c r="R258" s="9">
        <v>99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586</v>
      </c>
      <c r="AA258" s="9">
        <v>14</v>
      </c>
      <c r="AC258" s="9">
        <v>36000</v>
      </c>
      <c r="AE258" s="56">
        <f t="shared" si="88"/>
        <v>9450</v>
      </c>
      <c r="AF258" s="10">
        <f t="shared" si="96"/>
        <v>16800</v>
      </c>
      <c r="AH258" s="11">
        <f t="shared" si="87"/>
        <v>70</v>
      </c>
      <c r="AI258" s="10">
        <v>70</v>
      </c>
      <c r="AJ258" s="11">
        <f t="shared" si="95"/>
        <v>450</v>
      </c>
      <c r="AK258" s="10">
        <v>450</v>
      </c>
      <c r="AL258" s="11">
        <f t="shared" si="95"/>
        <v>450</v>
      </c>
      <c r="AM258" s="10">
        <v>450</v>
      </c>
      <c r="AN258" s="56">
        <f t="shared" si="89"/>
        <v>2</v>
      </c>
      <c r="AP258" s="11">
        <f ca="1">IFERROR(OFFSET(ITEM_RES!$A$1,MATCH(AQ258,ITEM_RES!$J:$J,0)-1,0),0)</f>
        <v>212040001</v>
      </c>
      <c r="AQ258" s="10" t="s">
        <v>471</v>
      </c>
      <c r="AR258" s="11">
        <v>2250</v>
      </c>
      <c r="AU258" s="11">
        <f ca="1">IFERROR(OFFSET(ITEM_RES!$A$1,MATCH(AV258,ITEM_RES!$J:$J,0)-1,0),0)</f>
        <v>212010001</v>
      </c>
      <c r="AV258" s="10" t="s">
        <v>457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94"/>
        <v>0</v>
      </c>
    </row>
    <row r="259" spans="1:65" x14ac:dyDescent="0.3">
      <c r="A259" s="14">
        <f t="shared" si="91"/>
        <v>113040015</v>
      </c>
      <c r="B259" s="13">
        <v>11</v>
      </c>
      <c r="C259" s="12">
        <f t="shared" si="92"/>
        <v>3</v>
      </c>
      <c r="D259" s="13">
        <v>4</v>
      </c>
      <c r="E259" s="13">
        <v>0</v>
      </c>
      <c r="F259" s="12">
        <f t="shared" si="93"/>
        <v>15</v>
      </c>
      <c r="H259" s="9">
        <v>3</v>
      </c>
      <c r="I259" s="9">
        <v>15</v>
      </c>
      <c r="K259" s="9" t="s">
        <v>371</v>
      </c>
      <c r="L259" s="9">
        <v>1</v>
      </c>
      <c r="M259" s="9">
        <v>15</v>
      </c>
      <c r="R259" s="9">
        <v>99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586</v>
      </c>
      <c r="AA259" s="9">
        <v>15</v>
      </c>
      <c r="AC259" s="9">
        <v>44000</v>
      </c>
      <c r="AE259" s="56">
        <f t="shared" si="88"/>
        <v>11550</v>
      </c>
      <c r="AF259" s="10">
        <f t="shared" si="96"/>
        <v>21000</v>
      </c>
      <c r="AH259" s="11">
        <f t="shared" si="87"/>
        <v>75</v>
      </c>
      <c r="AI259" s="10">
        <v>75</v>
      </c>
      <c r="AJ259" s="11">
        <f t="shared" si="95"/>
        <v>550</v>
      </c>
      <c r="AK259" s="10">
        <v>550</v>
      </c>
      <c r="AL259" s="11">
        <f t="shared" si="95"/>
        <v>550</v>
      </c>
      <c r="AM259" s="10">
        <v>550</v>
      </c>
      <c r="AN259" s="56">
        <f t="shared" si="89"/>
        <v>2</v>
      </c>
      <c r="AP259" s="11">
        <f ca="1">IFERROR(OFFSET(ITEM_RES!$A$1,MATCH(AQ259,ITEM_RES!$J:$J,0)-1,0),0)</f>
        <v>212040001</v>
      </c>
      <c r="AQ259" s="10" t="s">
        <v>471</v>
      </c>
      <c r="AR259" s="11">
        <v>2750</v>
      </c>
      <c r="AU259" s="11">
        <f ca="1">IFERROR(OFFSET(ITEM_RES!$A$1,MATCH(AV259,ITEM_RES!$J:$J,0)-1,0),0)</f>
        <v>212010001</v>
      </c>
      <c r="AV259" s="10" t="s">
        <v>472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94"/>
        <v>0</v>
      </c>
    </row>
    <row r="260" spans="1:65" x14ac:dyDescent="0.3">
      <c r="A260" s="14">
        <f t="shared" si="91"/>
        <v>113040016</v>
      </c>
      <c r="B260" s="13">
        <v>11</v>
      </c>
      <c r="C260" s="12">
        <f t="shared" si="92"/>
        <v>3</v>
      </c>
      <c r="D260" s="13">
        <v>4</v>
      </c>
      <c r="E260" s="13">
        <v>0</v>
      </c>
      <c r="F260" s="12">
        <f t="shared" si="93"/>
        <v>16</v>
      </c>
      <c r="H260" s="9">
        <v>3</v>
      </c>
      <c r="I260" s="9">
        <v>16</v>
      </c>
      <c r="K260" s="9" t="s">
        <v>371</v>
      </c>
      <c r="L260" s="9">
        <v>0</v>
      </c>
      <c r="M260" s="9">
        <v>15</v>
      </c>
      <c r="R260" s="9">
        <v>99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586</v>
      </c>
      <c r="AA260" s="9">
        <v>16</v>
      </c>
      <c r="AC260" s="9">
        <v>56000</v>
      </c>
      <c r="AE260" s="56">
        <f t="shared" si="88"/>
        <v>14700</v>
      </c>
      <c r="AF260" s="10">
        <f t="shared" si="96"/>
        <v>26250</v>
      </c>
      <c r="AH260" s="11">
        <f t="shared" si="87"/>
        <v>80</v>
      </c>
      <c r="AI260" s="10">
        <v>80</v>
      </c>
      <c r="AJ260" s="11">
        <f t="shared" si="95"/>
        <v>700</v>
      </c>
      <c r="AK260" s="10">
        <v>700</v>
      </c>
      <c r="AL260" s="11">
        <f t="shared" si="95"/>
        <v>700</v>
      </c>
      <c r="AM260" s="10">
        <v>700</v>
      </c>
      <c r="AN260" s="56">
        <f t="shared" si="89"/>
        <v>2</v>
      </c>
      <c r="AP260" s="11">
        <f ca="1">IFERROR(OFFSET(ITEM_RES!$A$1,MATCH(AQ260,ITEM_RES!$J:$J,0)-1,0),0)</f>
        <v>212040001</v>
      </c>
      <c r="AQ260" s="10" t="s">
        <v>471</v>
      </c>
      <c r="AR260" s="11">
        <v>3500</v>
      </c>
      <c r="AU260" s="11">
        <f ca="1">IFERROR(OFFSET(ITEM_RES!$A$1,MATCH(AV260,ITEM_RES!$J:$J,0)-1,0),0)</f>
        <v>212010001</v>
      </c>
      <c r="AV260" s="10" t="s">
        <v>472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94"/>
        <v>0</v>
      </c>
    </row>
    <row r="261" spans="1:65" x14ac:dyDescent="0.3">
      <c r="A261" s="14">
        <f t="shared" si="91"/>
        <v>113040017</v>
      </c>
      <c r="B261" s="13">
        <v>11</v>
      </c>
      <c r="C261" s="12">
        <f t="shared" si="92"/>
        <v>3</v>
      </c>
      <c r="D261" s="13">
        <v>4</v>
      </c>
      <c r="E261" s="13">
        <v>0</v>
      </c>
      <c r="F261" s="12">
        <f t="shared" si="93"/>
        <v>17</v>
      </c>
      <c r="H261" s="9">
        <v>3</v>
      </c>
      <c r="I261" s="9">
        <v>17</v>
      </c>
      <c r="K261" s="9" t="s">
        <v>371</v>
      </c>
      <c r="L261" s="9">
        <v>0</v>
      </c>
      <c r="M261" s="9">
        <v>15</v>
      </c>
      <c r="R261" s="9">
        <v>99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586</v>
      </c>
      <c r="AA261" s="9">
        <v>17</v>
      </c>
      <c r="AC261" s="9">
        <v>68000</v>
      </c>
      <c r="AE261" s="56">
        <f t="shared" si="88"/>
        <v>17850</v>
      </c>
      <c r="AF261" s="10">
        <f t="shared" si="96"/>
        <v>32550</v>
      </c>
      <c r="AH261" s="11">
        <f t="shared" si="87"/>
        <v>85</v>
      </c>
      <c r="AI261" s="10">
        <v>85</v>
      </c>
      <c r="AJ261" s="11">
        <f t="shared" si="95"/>
        <v>850</v>
      </c>
      <c r="AK261" s="10">
        <v>850</v>
      </c>
      <c r="AL261" s="11">
        <f t="shared" si="95"/>
        <v>850</v>
      </c>
      <c r="AM261" s="10">
        <v>850</v>
      </c>
      <c r="AN261" s="56">
        <f t="shared" si="89"/>
        <v>2</v>
      </c>
      <c r="AP261" s="11">
        <f ca="1">IFERROR(OFFSET(ITEM_RES!$A$1,MATCH(AQ261,ITEM_RES!$J:$J,0)-1,0),0)</f>
        <v>215050001</v>
      </c>
      <c r="AQ261" s="10" t="s">
        <v>484</v>
      </c>
      <c r="AR261" s="11">
        <v>4250</v>
      </c>
      <c r="AU261" s="11">
        <f ca="1">IFERROR(OFFSET(ITEM_RES!$A$1,MATCH(AV261,ITEM_RES!$J:$J,0)-1,0),0)</f>
        <v>212010001</v>
      </c>
      <c r="AV261" s="10" t="s">
        <v>472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94"/>
        <v>0</v>
      </c>
    </row>
    <row r="262" spans="1:65" x14ac:dyDescent="0.3">
      <c r="A262" s="14">
        <f t="shared" si="91"/>
        <v>113040018</v>
      </c>
      <c r="B262" s="13">
        <v>11</v>
      </c>
      <c r="C262" s="12">
        <f t="shared" si="92"/>
        <v>3</v>
      </c>
      <c r="D262" s="13">
        <v>4</v>
      </c>
      <c r="E262" s="13">
        <v>0</v>
      </c>
      <c r="F262" s="12">
        <f t="shared" si="93"/>
        <v>18</v>
      </c>
      <c r="H262" s="9">
        <v>3</v>
      </c>
      <c r="I262" s="9">
        <v>18</v>
      </c>
      <c r="K262" s="9" t="s">
        <v>371</v>
      </c>
      <c r="L262" s="9">
        <v>0</v>
      </c>
      <c r="M262" s="9">
        <v>15</v>
      </c>
      <c r="R262" s="9">
        <v>99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586</v>
      </c>
      <c r="AA262" s="9">
        <v>18</v>
      </c>
      <c r="AC262" s="9">
        <v>84000</v>
      </c>
      <c r="AE262" s="56">
        <f t="shared" si="88"/>
        <v>22050</v>
      </c>
      <c r="AF262" s="10">
        <f t="shared" si="96"/>
        <v>39900</v>
      </c>
      <c r="AH262" s="11">
        <f t="shared" si="87"/>
        <v>90</v>
      </c>
      <c r="AI262" s="10">
        <v>90</v>
      </c>
      <c r="AJ262" s="11">
        <f t="shared" si="95"/>
        <v>1050</v>
      </c>
      <c r="AK262" s="10">
        <v>1050</v>
      </c>
      <c r="AL262" s="11">
        <f t="shared" si="95"/>
        <v>1050</v>
      </c>
      <c r="AM262" s="10">
        <v>1050</v>
      </c>
      <c r="AN262" s="56">
        <f t="shared" si="89"/>
        <v>2</v>
      </c>
      <c r="AP262" s="11">
        <f ca="1">IFERROR(OFFSET(ITEM_RES!$A$1,MATCH(AQ262,ITEM_RES!$J:$J,0)-1,0),0)</f>
        <v>215050001</v>
      </c>
      <c r="AQ262" s="10" t="s">
        <v>484</v>
      </c>
      <c r="AR262" s="11">
        <v>5250</v>
      </c>
      <c r="AU262" s="11">
        <f ca="1">IFERROR(OFFSET(ITEM_RES!$A$1,MATCH(AV262,ITEM_RES!$J:$J,0)-1,0),0)</f>
        <v>215070001</v>
      </c>
      <c r="AV262" s="10" t="s">
        <v>458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94"/>
        <v>0</v>
      </c>
    </row>
    <row r="263" spans="1:65" x14ac:dyDescent="0.3">
      <c r="A263" s="14">
        <f t="shared" si="91"/>
        <v>113040019</v>
      </c>
      <c r="B263" s="13">
        <v>11</v>
      </c>
      <c r="C263" s="12">
        <f t="shared" si="92"/>
        <v>3</v>
      </c>
      <c r="D263" s="13">
        <v>4</v>
      </c>
      <c r="E263" s="13">
        <v>0</v>
      </c>
      <c r="F263" s="12">
        <f t="shared" si="93"/>
        <v>19</v>
      </c>
      <c r="H263" s="9">
        <v>3</v>
      </c>
      <c r="I263" s="9">
        <v>19</v>
      </c>
      <c r="K263" s="9" t="s">
        <v>371</v>
      </c>
      <c r="L263" s="9">
        <v>0</v>
      </c>
      <c r="M263" s="9">
        <v>15</v>
      </c>
      <c r="R263" s="9">
        <v>99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586</v>
      </c>
      <c r="AA263" s="9">
        <v>19</v>
      </c>
      <c r="AC263" s="9">
        <v>100000</v>
      </c>
      <c r="AE263" s="56">
        <f t="shared" si="88"/>
        <v>26250</v>
      </c>
      <c r="AF263" s="10">
        <f t="shared" si="96"/>
        <v>48300</v>
      </c>
      <c r="AH263" s="11">
        <f t="shared" si="87"/>
        <v>95</v>
      </c>
      <c r="AI263" s="10">
        <v>95</v>
      </c>
      <c r="AJ263" s="11">
        <f t="shared" si="95"/>
        <v>1250</v>
      </c>
      <c r="AK263" s="10">
        <v>1250</v>
      </c>
      <c r="AL263" s="11">
        <f t="shared" si="95"/>
        <v>1250</v>
      </c>
      <c r="AM263" s="10">
        <v>1250</v>
      </c>
      <c r="AN263" s="56">
        <f t="shared" si="89"/>
        <v>2</v>
      </c>
      <c r="AP263" s="11">
        <f ca="1">IFERROR(OFFSET(ITEM_RES!$A$1,MATCH(AQ263,ITEM_RES!$J:$J,0)-1,0),0)</f>
        <v>215050001</v>
      </c>
      <c r="AQ263" s="10" t="s">
        <v>484</v>
      </c>
      <c r="AR263" s="11">
        <v>6250</v>
      </c>
      <c r="AU263" s="11">
        <f ca="1">IFERROR(OFFSET(ITEM_RES!$A$1,MATCH(AV263,ITEM_RES!$J:$J,0)-1,0),0)</f>
        <v>215070001</v>
      </c>
      <c r="AV263" s="10" t="s">
        <v>458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94"/>
        <v>0</v>
      </c>
    </row>
    <row r="264" spans="1:65" ht="17.25" thickBot="1" x14ac:dyDescent="0.35">
      <c r="A264" s="14">
        <f t="shared" si="91"/>
        <v>113040020</v>
      </c>
      <c r="B264" s="13">
        <v>11</v>
      </c>
      <c r="C264" s="12">
        <f t="shared" si="92"/>
        <v>3</v>
      </c>
      <c r="D264" s="13">
        <v>4</v>
      </c>
      <c r="E264" s="13">
        <v>0</v>
      </c>
      <c r="F264" s="12">
        <f t="shared" si="93"/>
        <v>20</v>
      </c>
      <c r="H264" s="9">
        <v>3</v>
      </c>
      <c r="I264" s="9">
        <v>20</v>
      </c>
      <c r="K264" s="9" t="s">
        <v>371</v>
      </c>
      <c r="L264" s="9">
        <v>0</v>
      </c>
      <c r="M264" s="9">
        <v>15</v>
      </c>
      <c r="R264" s="9">
        <v>99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586</v>
      </c>
      <c r="AA264" s="9">
        <v>20</v>
      </c>
      <c r="AC264" s="9">
        <v>120000</v>
      </c>
      <c r="AE264" s="56">
        <f t="shared" si="88"/>
        <v>31500</v>
      </c>
      <c r="AF264" s="10">
        <f t="shared" si="96"/>
        <v>57750</v>
      </c>
      <c r="AH264" s="11">
        <f t="shared" si="87"/>
        <v>100</v>
      </c>
      <c r="AI264" s="10">
        <v>100</v>
      </c>
      <c r="AJ264" s="11">
        <f t="shared" si="95"/>
        <v>1500</v>
      </c>
      <c r="AK264" s="10">
        <v>1500</v>
      </c>
      <c r="AL264" s="11">
        <f t="shared" si="95"/>
        <v>1500</v>
      </c>
      <c r="AM264" s="10">
        <v>1500</v>
      </c>
      <c r="AN264" s="56">
        <f t="shared" si="89"/>
        <v>2</v>
      </c>
      <c r="AP264" s="11">
        <f ca="1">IFERROR(OFFSET(ITEM_RES!$A$1,MATCH(AQ264,ITEM_RES!$J:$J,0)-1,0),0)</f>
        <v>215050001</v>
      </c>
      <c r="AQ264" s="10" t="s">
        <v>484</v>
      </c>
      <c r="AR264" s="11">
        <v>7500</v>
      </c>
      <c r="AU264" s="11">
        <f ca="1">IFERROR(OFFSET(ITEM_RES!$A$1,MATCH(AV264,ITEM_RES!$J:$J,0)-1,0),0)</f>
        <v>215070001</v>
      </c>
      <c r="AV264" s="10" t="s">
        <v>458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94"/>
        <v>0</v>
      </c>
    </row>
    <row r="265" spans="1:65" s="15" customFormat="1" x14ac:dyDescent="0.3">
      <c r="A265" s="21">
        <f t="shared" si="91"/>
        <v>111070001</v>
      </c>
      <c r="B265" s="20">
        <v>11</v>
      </c>
      <c r="C265" s="19">
        <f t="shared" si="92"/>
        <v>1</v>
      </c>
      <c r="D265" s="20">
        <v>7</v>
      </c>
      <c r="E265" s="20">
        <v>0</v>
      </c>
      <c r="F265" s="19">
        <f t="shared" si="93"/>
        <v>1</v>
      </c>
      <c r="G265" s="80"/>
      <c r="H265" s="16">
        <v>1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587</v>
      </c>
      <c r="AA265" s="16">
        <v>1</v>
      </c>
      <c r="AB265" s="80"/>
      <c r="AC265" s="16">
        <v>0</v>
      </c>
      <c r="AD265" s="80"/>
      <c r="AE265" s="57">
        <f t="shared" si="88"/>
        <v>580</v>
      </c>
      <c r="AF265" s="17">
        <f>AE265</f>
        <v>580</v>
      </c>
      <c r="AG265" s="80"/>
      <c r="AH265" s="18">
        <f t="shared" si="87"/>
        <v>5</v>
      </c>
      <c r="AI265" s="17">
        <v>5</v>
      </c>
      <c r="AJ265" s="18">
        <f t="shared" si="95"/>
        <v>5</v>
      </c>
      <c r="AK265" s="17">
        <v>5</v>
      </c>
      <c r="AL265" s="18">
        <f t="shared" si="95"/>
        <v>5</v>
      </c>
      <c r="AM265" s="17">
        <v>5</v>
      </c>
      <c r="AN265" s="57">
        <f t="shared" si="89"/>
        <v>2</v>
      </c>
      <c r="AO265" s="18"/>
      <c r="AP265" s="18">
        <f ca="1">IFERROR(OFFSET(ITEM_RES!$A$1,MATCH(AQ265,ITEM_RES!$J:$J,0)-1,0),0)</f>
        <v>212040001</v>
      </c>
      <c r="AQ265" s="17" t="s">
        <v>471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496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91"/>
        <v>111070002</v>
      </c>
      <c r="B266" s="13">
        <v>11</v>
      </c>
      <c r="C266" s="12">
        <f t="shared" si="92"/>
        <v>1</v>
      </c>
      <c r="D266" s="13">
        <v>7</v>
      </c>
      <c r="E266" s="13">
        <v>0</v>
      </c>
      <c r="F266" s="12">
        <f t="shared" si="93"/>
        <v>2</v>
      </c>
      <c r="H266" s="9">
        <v>1</v>
      </c>
      <c r="I266" s="9">
        <v>2</v>
      </c>
      <c r="K266" s="9" t="s">
        <v>370</v>
      </c>
      <c r="L266" s="9">
        <v>1</v>
      </c>
      <c r="M266" s="9">
        <v>15</v>
      </c>
      <c r="R266" s="9">
        <v>111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587</v>
      </c>
      <c r="AA266" s="9">
        <v>2</v>
      </c>
      <c r="AC266" s="9">
        <v>200</v>
      </c>
      <c r="AE266" s="56">
        <f t="shared" si="88"/>
        <v>160</v>
      </c>
      <c r="AF266" s="10">
        <f>AE265+AE266</f>
        <v>740</v>
      </c>
      <c r="AH266" s="11">
        <f t="shared" si="87"/>
        <v>10</v>
      </c>
      <c r="AI266" s="10">
        <v>10</v>
      </c>
      <c r="AJ266" s="11">
        <f t="shared" si="95"/>
        <v>10</v>
      </c>
      <c r="AK266" s="10">
        <v>10</v>
      </c>
      <c r="AL266" s="11">
        <f t="shared" si="95"/>
        <v>10</v>
      </c>
      <c r="AM266" s="10">
        <v>10</v>
      </c>
      <c r="AN266" s="56">
        <f t="shared" si="89"/>
        <v>1</v>
      </c>
      <c r="AP266" s="11">
        <f ca="1">IFERROR(OFFSET(ITEM_RES!$A$1,MATCH(AQ266,ITEM_RES!$J:$J,0)-1,0),0)</f>
        <v>212040001</v>
      </c>
      <c r="AQ266" s="10" t="s">
        <v>471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91"/>
        <v>111070003</v>
      </c>
      <c r="B267" s="13">
        <v>11</v>
      </c>
      <c r="C267" s="12">
        <f t="shared" si="92"/>
        <v>1</v>
      </c>
      <c r="D267" s="13">
        <v>7</v>
      </c>
      <c r="E267" s="13">
        <v>0</v>
      </c>
      <c r="F267" s="12">
        <f t="shared" si="93"/>
        <v>3</v>
      </c>
      <c r="H267" s="9">
        <v>1</v>
      </c>
      <c r="I267" s="9">
        <v>3</v>
      </c>
      <c r="K267" s="9" t="s">
        <v>370</v>
      </c>
      <c r="L267" s="9">
        <v>1</v>
      </c>
      <c r="M267" s="9">
        <v>15</v>
      </c>
      <c r="R267" s="9">
        <v>111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587</v>
      </c>
      <c r="AA267" s="9">
        <v>3</v>
      </c>
      <c r="AC267" s="9">
        <v>600</v>
      </c>
      <c r="AE267" s="56">
        <f t="shared" si="88"/>
        <v>240</v>
      </c>
      <c r="AF267" s="10">
        <f t="shared" ref="AF267:AF284" si="97">AE266+AE267</f>
        <v>400</v>
      </c>
      <c r="AH267" s="11">
        <f t="shared" si="87"/>
        <v>15</v>
      </c>
      <c r="AI267" s="10">
        <v>15</v>
      </c>
      <c r="AJ267" s="11">
        <f t="shared" si="95"/>
        <v>15</v>
      </c>
      <c r="AK267" s="10">
        <v>15</v>
      </c>
      <c r="AL267" s="11">
        <f t="shared" si="95"/>
        <v>15</v>
      </c>
      <c r="AM267" s="10">
        <v>15</v>
      </c>
      <c r="AN267" s="56">
        <f t="shared" si="89"/>
        <v>1</v>
      </c>
      <c r="AP267" s="11">
        <f ca="1">IFERROR(OFFSET(ITEM_RES!$A$1,MATCH(AQ267,ITEM_RES!$J:$J,0)-1,0),0)</f>
        <v>212040001</v>
      </c>
      <c r="AQ267" s="10" t="s">
        <v>471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91"/>
        <v>111070004</v>
      </c>
      <c r="B268" s="13">
        <v>11</v>
      </c>
      <c r="C268" s="12">
        <f t="shared" si="92"/>
        <v>1</v>
      </c>
      <c r="D268" s="13">
        <v>7</v>
      </c>
      <c r="E268" s="13">
        <v>0</v>
      </c>
      <c r="F268" s="12">
        <f t="shared" si="93"/>
        <v>4</v>
      </c>
      <c r="H268" s="9">
        <v>1</v>
      </c>
      <c r="I268" s="9">
        <v>4</v>
      </c>
      <c r="K268" s="9" t="s">
        <v>370</v>
      </c>
      <c r="L268" s="9">
        <v>1</v>
      </c>
      <c r="M268" s="9">
        <v>15</v>
      </c>
      <c r="R268" s="9">
        <v>111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587</v>
      </c>
      <c r="AA268" s="9">
        <v>4</v>
      </c>
      <c r="AC268" s="9">
        <v>1000</v>
      </c>
      <c r="AE268" s="56">
        <f t="shared" si="88"/>
        <v>400</v>
      </c>
      <c r="AF268" s="10">
        <f t="shared" si="97"/>
        <v>640</v>
      </c>
      <c r="AH268" s="11">
        <f t="shared" si="87"/>
        <v>20</v>
      </c>
      <c r="AI268" s="10">
        <v>20</v>
      </c>
      <c r="AJ268" s="11">
        <f t="shared" si="95"/>
        <v>25</v>
      </c>
      <c r="AK268" s="10">
        <v>25</v>
      </c>
      <c r="AL268" s="11">
        <f t="shared" si="95"/>
        <v>25</v>
      </c>
      <c r="AM268" s="10">
        <v>25</v>
      </c>
      <c r="AN268" s="56">
        <f t="shared" si="89"/>
        <v>1</v>
      </c>
      <c r="AP268" s="11">
        <f ca="1">IFERROR(OFFSET(ITEM_RES!$A$1,MATCH(AQ268,ITEM_RES!$J:$J,0)-1,0),0)</f>
        <v>212040001</v>
      </c>
      <c r="AQ268" s="10" t="s">
        <v>471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91"/>
        <v>111070005</v>
      </c>
      <c r="B269" s="13">
        <v>11</v>
      </c>
      <c r="C269" s="12">
        <f t="shared" si="92"/>
        <v>1</v>
      </c>
      <c r="D269" s="13">
        <v>7</v>
      </c>
      <c r="E269" s="13">
        <v>0</v>
      </c>
      <c r="F269" s="12">
        <f t="shared" si="93"/>
        <v>5</v>
      </c>
      <c r="H269" s="9">
        <v>1</v>
      </c>
      <c r="I269" s="9">
        <v>5</v>
      </c>
      <c r="K269" s="9" t="s">
        <v>370</v>
      </c>
      <c r="L269" s="9">
        <v>1</v>
      </c>
      <c r="M269" s="9">
        <v>15</v>
      </c>
      <c r="R269" s="9">
        <v>111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587</v>
      </c>
      <c r="AA269" s="9">
        <v>5</v>
      </c>
      <c r="AC269" s="9">
        <v>1600</v>
      </c>
      <c r="AE269" s="56">
        <f t="shared" si="88"/>
        <v>640</v>
      </c>
      <c r="AF269" s="10">
        <f t="shared" si="97"/>
        <v>1040</v>
      </c>
      <c r="AH269" s="11">
        <f t="shared" si="87"/>
        <v>25</v>
      </c>
      <c r="AI269" s="10">
        <v>25</v>
      </c>
      <c r="AJ269" s="11">
        <f t="shared" si="95"/>
        <v>40</v>
      </c>
      <c r="AK269" s="10">
        <v>40</v>
      </c>
      <c r="AL269" s="11">
        <f t="shared" si="95"/>
        <v>40</v>
      </c>
      <c r="AM269" s="10">
        <v>40</v>
      </c>
      <c r="AN269" s="56">
        <f t="shared" si="89"/>
        <v>1</v>
      </c>
      <c r="AP269" s="11">
        <f ca="1">IFERROR(OFFSET(ITEM_RES!$A$1,MATCH(AQ269,ITEM_RES!$J:$J,0)-1,0),0)</f>
        <v>212040001</v>
      </c>
      <c r="AQ269" s="10" t="s">
        <v>471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91"/>
        <v>111070006</v>
      </c>
      <c r="B270" s="13">
        <v>11</v>
      </c>
      <c r="C270" s="12">
        <f t="shared" si="92"/>
        <v>1</v>
      </c>
      <c r="D270" s="13">
        <v>7</v>
      </c>
      <c r="E270" s="13">
        <v>0</v>
      </c>
      <c r="F270" s="12">
        <f t="shared" si="93"/>
        <v>6</v>
      </c>
      <c r="H270" s="9">
        <v>1</v>
      </c>
      <c r="I270" s="9">
        <v>6</v>
      </c>
      <c r="K270" s="9" t="s">
        <v>370</v>
      </c>
      <c r="L270" s="9">
        <v>1</v>
      </c>
      <c r="M270" s="9">
        <v>15</v>
      </c>
      <c r="R270" s="9">
        <v>111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587</v>
      </c>
      <c r="AA270" s="9">
        <v>6</v>
      </c>
      <c r="AC270" s="9">
        <v>2000</v>
      </c>
      <c r="AE270" s="56">
        <f t="shared" si="88"/>
        <v>800</v>
      </c>
      <c r="AF270" s="10">
        <f t="shared" si="97"/>
        <v>1440</v>
      </c>
      <c r="AH270" s="11">
        <f t="shared" si="87"/>
        <v>30</v>
      </c>
      <c r="AI270" s="10">
        <v>30</v>
      </c>
      <c r="AJ270" s="11">
        <f t="shared" si="95"/>
        <v>50</v>
      </c>
      <c r="AK270" s="10">
        <v>50</v>
      </c>
      <c r="AL270" s="11">
        <f t="shared" si="95"/>
        <v>50</v>
      </c>
      <c r="AM270" s="10">
        <v>50</v>
      </c>
      <c r="AN270" s="56">
        <f t="shared" si="89"/>
        <v>1</v>
      </c>
      <c r="AP270" s="11">
        <f ca="1">IFERROR(OFFSET(ITEM_RES!$A$1,MATCH(AQ270,ITEM_RES!$J:$J,0)-1,0),0)</f>
        <v>212040001</v>
      </c>
      <c r="AQ270" s="10" t="s">
        <v>471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91"/>
        <v>111070007</v>
      </c>
      <c r="B271" s="13">
        <v>11</v>
      </c>
      <c r="C271" s="12">
        <f t="shared" si="92"/>
        <v>1</v>
      </c>
      <c r="D271" s="13">
        <v>7</v>
      </c>
      <c r="E271" s="13">
        <v>0</v>
      </c>
      <c r="F271" s="12">
        <f t="shared" si="93"/>
        <v>7</v>
      </c>
      <c r="H271" s="9">
        <v>1</v>
      </c>
      <c r="I271" s="9">
        <v>7</v>
      </c>
      <c r="K271" s="9" t="s">
        <v>370</v>
      </c>
      <c r="L271" s="9">
        <v>1</v>
      </c>
      <c r="M271" s="9">
        <v>15</v>
      </c>
      <c r="R271" s="9">
        <v>111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587</v>
      </c>
      <c r="AA271" s="9">
        <v>7</v>
      </c>
      <c r="AC271" s="9">
        <v>4000</v>
      </c>
      <c r="AE271" s="56">
        <f t="shared" si="88"/>
        <v>1600</v>
      </c>
      <c r="AF271" s="10">
        <f t="shared" si="97"/>
        <v>2400</v>
      </c>
      <c r="AH271" s="11">
        <f t="shared" si="87"/>
        <v>35</v>
      </c>
      <c r="AI271" s="10">
        <v>35</v>
      </c>
      <c r="AJ271" s="11">
        <f t="shared" si="95"/>
        <v>100</v>
      </c>
      <c r="AK271" s="10">
        <v>100</v>
      </c>
      <c r="AL271" s="11">
        <f t="shared" si="95"/>
        <v>100</v>
      </c>
      <c r="AM271" s="10">
        <v>100</v>
      </c>
      <c r="AN271" s="56">
        <f t="shared" si="89"/>
        <v>1</v>
      </c>
      <c r="AP271" s="11">
        <f ca="1">IFERROR(OFFSET(ITEM_RES!$A$1,MATCH(AQ271,ITEM_RES!$J:$J,0)-1,0),0)</f>
        <v>212040001</v>
      </c>
      <c r="AQ271" s="10" t="s">
        <v>471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91"/>
        <v>111070008</v>
      </c>
      <c r="B272" s="13">
        <v>11</v>
      </c>
      <c r="C272" s="12">
        <f t="shared" si="92"/>
        <v>1</v>
      </c>
      <c r="D272" s="13">
        <v>7</v>
      </c>
      <c r="E272" s="13">
        <v>0</v>
      </c>
      <c r="F272" s="12">
        <f t="shared" si="93"/>
        <v>8</v>
      </c>
      <c r="H272" s="9">
        <v>1</v>
      </c>
      <c r="I272" s="9">
        <v>8</v>
      </c>
      <c r="K272" s="9" t="s">
        <v>370</v>
      </c>
      <c r="L272" s="9">
        <v>1</v>
      </c>
      <c r="M272" s="9">
        <v>15</v>
      </c>
      <c r="R272" s="9">
        <v>111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587</v>
      </c>
      <c r="AA272" s="9">
        <v>8</v>
      </c>
      <c r="AC272" s="9">
        <v>4000</v>
      </c>
      <c r="AE272" s="56">
        <f t="shared" si="88"/>
        <v>1600</v>
      </c>
      <c r="AF272" s="10">
        <f t="shared" si="97"/>
        <v>3200</v>
      </c>
      <c r="AH272" s="11">
        <f t="shared" si="87"/>
        <v>40</v>
      </c>
      <c r="AI272" s="10">
        <v>40</v>
      </c>
      <c r="AJ272" s="11">
        <f t="shared" si="95"/>
        <v>100</v>
      </c>
      <c r="AK272" s="10">
        <v>100</v>
      </c>
      <c r="AL272" s="11">
        <f t="shared" si="95"/>
        <v>100</v>
      </c>
      <c r="AM272" s="10">
        <v>100</v>
      </c>
      <c r="AN272" s="56">
        <f t="shared" si="89"/>
        <v>1</v>
      </c>
      <c r="AP272" s="11">
        <f ca="1">IFERROR(OFFSET(ITEM_RES!$A$1,MATCH(AQ272,ITEM_RES!$J:$J,0)-1,0),0)</f>
        <v>212040001</v>
      </c>
      <c r="AQ272" s="10" t="s">
        <v>471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91"/>
        <v>111070009</v>
      </c>
      <c r="B273" s="13">
        <v>11</v>
      </c>
      <c r="C273" s="12">
        <f t="shared" si="92"/>
        <v>1</v>
      </c>
      <c r="D273" s="13">
        <v>7</v>
      </c>
      <c r="E273" s="13">
        <v>0</v>
      </c>
      <c r="F273" s="12">
        <f t="shared" si="93"/>
        <v>9</v>
      </c>
      <c r="H273" s="9">
        <v>1</v>
      </c>
      <c r="I273" s="9">
        <v>9</v>
      </c>
      <c r="K273" s="9" t="s">
        <v>370</v>
      </c>
      <c r="L273" s="9">
        <v>1</v>
      </c>
      <c r="M273" s="9">
        <v>15</v>
      </c>
      <c r="R273" s="9">
        <v>111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587</v>
      </c>
      <c r="AA273" s="9">
        <v>9</v>
      </c>
      <c r="AC273" s="9">
        <v>6000</v>
      </c>
      <c r="AE273" s="56">
        <f t="shared" si="88"/>
        <v>2400</v>
      </c>
      <c r="AF273" s="10">
        <f t="shared" si="97"/>
        <v>4000</v>
      </c>
      <c r="AH273" s="11">
        <f t="shared" si="87"/>
        <v>45</v>
      </c>
      <c r="AI273" s="10">
        <v>45</v>
      </c>
      <c r="AJ273" s="11">
        <f t="shared" si="95"/>
        <v>150</v>
      </c>
      <c r="AK273" s="10">
        <v>150</v>
      </c>
      <c r="AL273" s="11">
        <f t="shared" si="95"/>
        <v>150</v>
      </c>
      <c r="AM273" s="10">
        <v>150</v>
      </c>
      <c r="AN273" s="56">
        <f t="shared" si="89"/>
        <v>1</v>
      </c>
      <c r="AP273" s="11">
        <f ca="1">IFERROR(OFFSET(ITEM_RES!$A$1,MATCH(AQ273,ITEM_RES!$J:$J,0)-1,0),0)</f>
        <v>212040001</v>
      </c>
      <c r="AQ273" s="10" t="s">
        <v>471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91"/>
        <v>111070010</v>
      </c>
      <c r="B274" s="13">
        <v>11</v>
      </c>
      <c r="C274" s="12">
        <f t="shared" si="92"/>
        <v>1</v>
      </c>
      <c r="D274" s="13">
        <v>7</v>
      </c>
      <c r="E274" s="13">
        <v>0</v>
      </c>
      <c r="F274" s="12">
        <f t="shared" si="93"/>
        <v>10</v>
      </c>
      <c r="H274" s="9">
        <v>1</v>
      </c>
      <c r="I274" s="9">
        <v>10</v>
      </c>
      <c r="K274" s="9" t="s">
        <v>370</v>
      </c>
      <c r="L274" s="9">
        <v>1</v>
      </c>
      <c r="M274" s="9">
        <v>15</v>
      </c>
      <c r="R274" s="9">
        <v>111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587</v>
      </c>
      <c r="AA274" s="9">
        <v>10</v>
      </c>
      <c r="AC274" s="9">
        <v>8000</v>
      </c>
      <c r="AE274" s="56">
        <f t="shared" si="88"/>
        <v>3200</v>
      </c>
      <c r="AF274" s="10">
        <f t="shared" si="97"/>
        <v>5600</v>
      </c>
      <c r="AH274" s="11">
        <f t="shared" si="87"/>
        <v>50</v>
      </c>
      <c r="AI274" s="10">
        <v>50</v>
      </c>
      <c r="AJ274" s="11">
        <f t="shared" si="95"/>
        <v>200</v>
      </c>
      <c r="AK274" s="10">
        <v>200</v>
      </c>
      <c r="AL274" s="11">
        <f t="shared" si="95"/>
        <v>200</v>
      </c>
      <c r="AM274" s="10">
        <v>200</v>
      </c>
      <c r="AN274" s="56">
        <f t="shared" si="89"/>
        <v>1</v>
      </c>
      <c r="AP274" s="11">
        <f ca="1">IFERROR(OFFSET(ITEM_RES!$A$1,MATCH(AQ274,ITEM_RES!$J:$J,0)-1,0),0)</f>
        <v>212040001</v>
      </c>
      <c r="AQ274" s="10" t="s">
        <v>471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91"/>
        <v>111070011</v>
      </c>
      <c r="B275" s="13">
        <v>11</v>
      </c>
      <c r="C275" s="12">
        <f t="shared" si="92"/>
        <v>1</v>
      </c>
      <c r="D275" s="13">
        <v>7</v>
      </c>
      <c r="E275" s="13">
        <v>0</v>
      </c>
      <c r="F275" s="12">
        <f t="shared" si="93"/>
        <v>11</v>
      </c>
      <c r="H275" s="9">
        <v>1</v>
      </c>
      <c r="I275" s="9">
        <v>11</v>
      </c>
      <c r="K275" s="9" t="s">
        <v>370</v>
      </c>
      <c r="L275" s="9">
        <v>1</v>
      </c>
      <c r="M275" s="9">
        <v>15</v>
      </c>
      <c r="R275" s="9">
        <v>111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587</v>
      </c>
      <c r="AA275" s="9">
        <v>11</v>
      </c>
      <c r="AC275" s="9">
        <v>10000</v>
      </c>
      <c r="AE275" s="56">
        <f t="shared" si="88"/>
        <v>4000</v>
      </c>
      <c r="AF275" s="10">
        <f t="shared" si="97"/>
        <v>7200</v>
      </c>
      <c r="AH275" s="11">
        <f t="shared" si="87"/>
        <v>55</v>
      </c>
      <c r="AI275" s="10">
        <v>55</v>
      </c>
      <c r="AJ275" s="11">
        <f t="shared" si="95"/>
        <v>250</v>
      </c>
      <c r="AK275" s="10">
        <v>250</v>
      </c>
      <c r="AL275" s="11">
        <f t="shared" si="95"/>
        <v>250</v>
      </c>
      <c r="AM275" s="10">
        <v>250</v>
      </c>
      <c r="AN275" s="56">
        <f t="shared" si="89"/>
        <v>1</v>
      </c>
      <c r="AP275" s="11">
        <f ca="1">IFERROR(OFFSET(ITEM_RES!$A$1,MATCH(AQ275,ITEM_RES!$J:$J,0)-1,0),0)</f>
        <v>212040001</v>
      </c>
      <c r="AQ275" s="10" t="s">
        <v>471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91"/>
        <v>111070012</v>
      </c>
      <c r="B276" s="13">
        <v>11</v>
      </c>
      <c r="C276" s="12">
        <f t="shared" si="92"/>
        <v>1</v>
      </c>
      <c r="D276" s="13">
        <v>7</v>
      </c>
      <c r="E276" s="13">
        <v>0</v>
      </c>
      <c r="F276" s="12">
        <f t="shared" si="93"/>
        <v>12</v>
      </c>
      <c r="H276" s="9">
        <v>1</v>
      </c>
      <c r="I276" s="9">
        <v>12</v>
      </c>
      <c r="K276" s="9" t="s">
        <v>370</v>
      </c>
      <c r="L276" s="9">
        <v>1</v>
      </c>
      <c r="M276" s="9">
        <v>15</v>
      </c>
      <c r="R276" s="9">
        <v>111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587</v>
      </c>
      <c r="AA276" s="9">
        <v>12</v>
      </c>
      <c r="AC276" s="9">
        <v>12000</v>
      </c>
      <c r="AE276" s="56">
        <f t="shared" si="88"/>
        <v>4800</v>
      </c>
      <c r="AF276" s="10">
        <f t="shared" si="97"/>
        <v>8800</v>
      </c>
      <c r="AH276" s="11">
        <f t="shared" si="87"/>
        <v>60</v>
      </c>
      <c r="AI276" s="10">
        <v>60</v>
      </c>
      <c r="AJ276" s="11">
        <f t="shared" si="95"/>
        <v>300</v>
      </c>
      <c r="AK276" s="10">
        <v>300</v>
      </c>
      <c r="AL276" s="11">
        <f t="shared" si="95"/>
        <v>300</v>
      </c>
      <c r="AM276" s="10">
        <v>300</v>
      </c>
      <c r="AN276" s="56">
        <f t="shared" si="89"/>
        <v>1</v>
      </c>
      <c r="AP276" s="11">
        <f ca="1">IFERROR(OFFSET(ITEM_RES!$A$1,MATCH(AQ276,ITEM_RES!$J:$J,0)-1,0),0)</f>
        <v>212040001</v>
      </c>
      <c r="AQ276" s="10" t="s">
        <v>471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91"/>
        <v>111070013</v>
      </c>
      <c r="B277" s="13">
        <v>11</v>
      </c>
      <c r="C277" s="12">
        <f t="shared" si="92"/>
        <v>1</v>
      </c>
      <c r="D277" s="13">
        <v>7</v>
      </c>
      <c r="E277" s="13">
        <v>0</v>
      </c>
      <c r="F277" s="12">
        <f t="shared" si="93"/>
        <v>13</v>
      </c>
      <c r="H277" s="9">
        <v>1</v>
      </c>
      <c r="I277" s="9">
        <v>13</v>
      </c>
      <c r="K277" s="9" t="s">
        <v>370</v>
      </c>
      <c r="L277" s="9">
        <v>1</v>
      </c>
      <c r="M277" s="9">
        <v>15</v>
      </c>
      <c r="R277" s="9">
        <v>111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587</v>
      </c>
      <c r="AA277" s="9">
        <v>13</v>
      </c>
      <c r="AC277" s="9">
        <v>14000</v>
      </c>
      <c r="AE277" s="56">
        <f t="shared" si="88"/>
        <v>5600</v>
      </c>
      <c r="AF277" s="10">
        <f t="shared" si="97"/>
        <v>10400</v>
      </c>
      <c r="AH277" s="11">
        <f t="shared" si="87"/>
        <v>65</v>
      </c>
      <c r="AI277" s="10">
        <v>65</v>
      </c>
      <c r="AJ277" s="11">
        <f t="shared" si="95"/>
        <v>350</v>
      </c>
      <c r="AK277" s="10">
        <v>350</v>
      </c>
      <c r="AL277" s="11">
        <f t="shared" si="95"/>
        <v>350</v>
      </c>
      <c r="AM277" s="10">
        <v>350</v>
      </c>
      <c r="AN277" s="56">
        <f t="shared" si="89"/>
        <v>1</v>
      </c>
      <c r="AP277" s="11">
        <f ca="1">IFERROR(OFFSET(ITEM_RES!$A$1,MATCH(AQ277,ITEM_RES!$J:$J,0)-1,0),0)</f>
        <v>212040001</v>
      </c>
      <c r="AQ277" s="10" t="s">
        <v>471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91"/>
        <v>111070014</v>
      </c>
      <c r="B278" s="13">
        <v>11</v>
      </c>
      <c r="C278" s="12">
        <f t="shared" si="92"/>
        <v>1</v>
      </c>
      <c r="D278" s="13">
        <v>7</v>
      </c>
      <c r="E278" s="13">
        <v>0</v>
      </c>
      <c r="F278" s="12">
        <f t="shared" si="93"/>
        <v>14</v>
      </c>
      <c r="H278" s="9">
        <v>1</v>
      </c>
      <c r="I278" s="9">
        <v>14</v>
      </c>
      <c r="K278" s="9" t="s">
        <v>370</v>
      </c>
      <c r="L278" s="9">
        <v>1</v>
      </c>
      <c r="M278" s="9">
        <v>15</v>
      </c>
      <c r="R278" s="9">
        <v>111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587</v>
      </c>
      <c r="AA278" s="9">
        <v>14</v>
      </c>
      <c r="AC278" s="9">
        <v>18000</v>
      </c>
      <c r="AE278" s="56">
        <f t="shared" si="88"/>
        <v>7700</v>
      </c>
      <c r="AF278" s="10">
        <f t="shared" si="97"/>
        <v>13300</v>
      </c>
      <c r="AH278" s="11">
        <f t="shared" si="87"/>
        <v>70</v>
      </c>
      <c r="AI278" s="10">
        <v>70</v>
      </c>
      <c r="AJ278" s="11">
        <f t="shared" si="95"/>
        <v>450</v>
      </c>
      <c r="AK278" s="10">
        <v>450</v>
      </c>
      <c r="AL278" s="11">
        <f t="shared" si="95"/>
        <v>450</v>
      </c>
      <c r="AM278" s="10">
        <v>450</v>
      </c>
      <c r="AN278" s="56">
        <f t="shared" si="89"/>
        <v>2</v>
      </c>
      <c r="AP278" s="11">
        <f ca="1">IFERROR(OFFSET(ITEM_RES!$A$1,MATCH(AQ278,ITEM_RES!$J:$J,0)-1,0),0)</f>
        <v>212040001</v>
      </c>
      <c r="AQ278" s="10" t="s">
        <v>471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508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91"/>
        <v>111070015</v>
      </c>
      <c r="B279" s="13">
        <v>11</v>
      </c>
      <c r="C279" s="12">
        <f t="shared" si="92"/>
        <v>1</v>
      </c>
      <c r="D279" s="13">
        <v>7</v>
      </c>
      <c r="E279" s="13">
        <v>0</v>
      </c>
      <c r="F279" s="12">
        <f t="shared" si="93"/>
        <v>15</v>
      </c>
      <c r="H279" s="9">
        <v>1</v>
      </c>
      <c r="I279" s="9">
        <v>15</v>
      </c>
      <c r="K279" s="9" t="s">
        <v>370</v>
      </c>
      <c r="L279" s="9">
        <v>1</v>
      </c>
      <c r="M279" s="9">
        <v>15</v>
      </c>
      <c r="R279" s="9">
        <v>111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587</v>
      </c>
      <c r="AA279" s="9">
        <v>15</v>
      </c>
      <c r="AC279" s="9">
        <v>22000</v>
      </c>
      <c r="AE279" s="56">
        <f t="shared" si="88"/>
        <v>8800</v>
      </c>
      <c r="AF279" s="10">
        <f t="shared" si="97"/>
        <v>16500</v>
      </c>
      <c r="AH279" s="11">
        <f t="shared" si="87"/>
        <v>75</v>
      </c>
      <c r="AI279" s="10">
        <v>75</v>
      </c>
      <c r="AJ279" s="11">
        <f t="shared" si="95"/>
        <v>550</v>
      </c>
      <c r="AK279" s="10">
        <v>550</v>
      </c>
      <c r="AL279" s="11">
        <f t="shared" si="95"/>
        <v>550</v>
      </c>
      <c r="AM279" s="10">
        <v>550</v>
      </c>
      <c r="AN279" s="56">
        <f t="shared" si="89"/>
        <v>1</v>
      </c>
      <c r="AP279" s="11">
        <f ca="1">IFERROR(OFFSET(ITEM_RES!$A$1,MATCH(AQ279,ITEM_RES!$J:$J,0)-1,0),0)</f>
        <v>212040001</v>
      </c>
      <c r="AQ279" s="10" t="s">
        <v>471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91"/>
        <v>111070016</v>
      </c>
      <c r="B280" s="13">
        <v>11</v>
      </c>
      <c r="C280" s="12">
        <f t="shared" si="92"/>
        <v>1</v>
      </c>
      <c r="D280" s="13">
        <v>7</v>
      </c>
      <c r="E280" s="13">
        <v>0</v>
      </c>
      <c r="F280" s="12">
        <f t="shared" si="93"/>
        <v>16</v>
      </c>
      <c r="H280" s="9">
        <v>1</v>
      </c>
      <c r="I280" s="9">
        <v>16</v>
      </c>
      <c r="K280" s="9" t="s">
        <v>370</v>
      </c>
      <c r="L280" s="9">
        <v>0</v>
      </c>
      <c r="M280" s="9">
        <v>15</v>
      </c>
      <c r="R280" s="9">
        <v>111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587</v>
      </c>
      <c r="AA280" s="9">
        <v>16</v>
      </c>
      <c r="AC280" s="9">
        <v>28000</v>
      </c>
      <c r="AE280" s="56">
        <f t="shared" si="88"/>
        <v>11200</v>
      </c>
      <c r="AF280" s="10">
        <f t="shared" si="97"/>
        <v>20000</v>
      </c>
      <c r="AH280" s="11">
        <f t="shared" si="87"/>
        <v>80</v>
      </c>
      <c r="AI280" s="10">
        <v>80</v>
      </c>
      <c r="AJ280" s="11">
        <f t="shared" si="95"/>
        <v>700</v>
      </c>
      <c r="AK280" s="10">
        <v>700</v>
      </c>
      <c r="AL280" s="11">
        <f t="shared" si="95"/>
        <v>700</v>
      </c>
      <c r="AM280" s="10">
        <v>700</v>
      </c>
      <c r="AN280" s="56">
        <f t="shared" si="89"/>
        <v>1</v>
      </c>
      <c r="AP280" s="11">
        <f ca="1">IFERROR(OFFSET(ITEM_RES!$A$1,MATCH(AQ280,ITEM_RES!$J:$J,0)-1,0),0)</f>
        <v>212040001</v>
      </c>
      <c r="AQ280" s="10" t="s">
        <v>471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si="91"/>
        <v>111070017</v>
      </c>
      <c r="B281" s="13">
        <v>11</v>
      </c>
      <c r="C281" s="12">
        <f t="shared" si="92"/>
        <v>1</v>
      </c>
      <c r="D281" s="13">
        <v>7</v>
      </c>
      <c r="E281" s="13">
        <v>0</v>
      </c>
      <c r="F281" s="12">
        <f t="shared" si="93"/>
        <v>17</v>
      </c>
      <c r="H281" s="9">
        <v>1</v>
      </c>
      <c r="I281" s="9">
        <v>17</v>
      </c>
      <c r="K281" s="9" t="s">
        <v>370</v>
      </c>
      <c r="L281" s="9">
        <v>0</v>
      </c>
      <c r="M281" s="9">
        <v>15</v>
      </c>
      <c r="R281" s="9">
        <v>111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587</v>
      </c>
      <c r="AA281" s="9">
        <v>17</v>
      </c>
      <c r="AC281" s="9">
        <v>34000</v>
      </c>
      <c r="AE281" s="56">
        <f t="shared" si="88"/>
        <v>13600</v>
      </c>
      <c r="AF281" s="10">
        <f t="shared" si="97"/>
        <v>24800</v>
      </c>
      <c r="AH281" s="11">
        <f t="shared" ref="AH281:AH344" si="98">ROUND(AI281,0)</f>
        <v>85</v>
      </c>
      <c r="AI281" s="10">
        <v>85</v>
      </c>
      <c r="AJ281" s="11">
        <f t="shared" si="95"/>
        <v>850</v>
      </c>
      <c r="AK281" s="10">
        <v>850</v>
      </c>
      <c r="AL281" s="11">
        <f t="shared" si="95"/>
        <v>850</v>
      </c>
      <c r="AM281" s="10">
        <v>850</v>
      </c>
      <c r="AN281" s="56">
        <f t="shared" si="89"/>
        <v>1</v>
      </c>
      <c r="AP281" s="11">
        <f ca="1">IFERROR(OFFSET(ITEM_RES!$A$1,MATCH(AQ281,ITEM_RES!$J:$J,0)-1,0),0)</f>
        <v>212040001</v>
      </c>
      <c r="AQ281" s="10" t="s">
        <v>471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1"/>
        <v>111070018</v>
      </c>
      <c r="B282" s="13">
        <v>11</v>
      </c>
      <c r="C282" s="12">
        <f t="shared" si="92"/>
        <v>1</v>
      </c>
      <c r="D282" s="13">
        <v>7</v>
      </c>
      <c r="E282" s="13">
        <v>0</v>
      </c>
      <c r="F282" s="12">
        <f t="shared" si="93"/>
        <v>18</v>
      </c>
      <c r="H282" s="9">
        <v>1</v>
      </c>
      <c r="I282" s="9">
        <v>18</v>
      </c>
      <c r="K282" s="9" t="s">
        <v>370</v>
      </c>
      <c r="L282" s="9">
        <v>0</v>
      </c>
      <c r="M282" s="9">
        <v>15</v>
      </c>
      <c r="R282" s="9">
        <v>111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587</v>
      </c>
      <c r="AA282" s="9">
        <v>18</v>
      </c>
      <c r="AC282" s="9">
        <v>42000</v>
      </c>
      <c r="AE282" s="56">
        <f t="shared" ref="AE282:AE345" si="99">AK282*10+AM282+AR282+AW282+500*BB282+500*BG282+500*BL282</f>
        <v>16800</v>
      </c>
      <c r="AF282" s="10">
        <f t="shared" si="97"/>
        <v>30400</v>
      </c>
      <c r="AH282" s="11">
        <f t="shared" si="98"/>
        <v>90</v>
      </c>
      <c r="AI282" s="10">
        <v>90</v>
      </c>
      <c r="AJ282" s="11">
        <f t="shared" si="95"/>
        <v>1050</v>
      </c>
      <c r="AK282" s="10">
        <v>1050</v>
      </c>
      <c r="AL282" s="11">
        <f t="shared" si="95"/>
        <v>1050</v>
      </c>
      <c r="AM282" s="10">
        <v>1050</v>
      </c>
      <c r="AN282" s="56">
        <f t="shared" ref="AN282:AN345" si="100">(AR282&gt;0)*1+(AW282&gt;0)*1+(BB282&gt;0)*1+(BG282&gt;0)*1+(BL282&gt;0)*1</f>
        <v>1</v>
      </c>
      <c r="AP282" s="11">
        <f ca="1">IFERROR(OFFSET(ITEM_RES!$A$1,MATCH(AQ282,ITEM_RES!$J:$J,0)-1,0),0)</f>
        <v>215050001</v>
      </c>
      <c r="AQ282" s="10" t="s">
        <v>484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1"/>
        <v>111070019</v>
      </c>
      <c r="B283" s="13">
        <v>11</v>
      </c>
      <c r="C283" s="12">
        <f t="shared" si="92"/>
        <v>1</v>
      </c>
      <c r="D283" s="13">
        <v>7</v>
      </c>
      <c r="E283" s="13">
        <v>0</v>
      </c>
      <c r="F283" s="12">
        <f t="shared" si="93"/>
        <v>19</v>
      </c>
      <c r="H283" s="9">
        <v>1</v>
      </c>
      <c r="I283" s="9">
        <v>19</v>
      </c>
      <c r="K283" s="9" t="s">
        <v>370</v>
      </c>
      <c r="L283" s="9">
        <v>0</v>
      </c>
      <c r="M283" s="9">
        <v>15</v>
      </c>
      <c r="R283" s="9">
        <v>111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587</v>
      </c>
      <c r="AA283" s="9">
        <v>19</v>
      </c>
      <c r="AC283" s="9">
        <v>50000</v>
      </c>
      <c r="AE283" s="56">
        <f t="shared" si="99"/>
        <v>20000</v>
      </c>
      <c r="AF283" s="10">
        <f t="shared" si="97"/>
        <v>36800</v>
      </c>
      <c r="AH283" s="11">
        <f t="shared" si="98"/>
        <v>95</v>
      </c>
      <c r="AI283" s="10">
        <v>95</v>
      </c>
      <c r="AJ283" s="11">
        <f t="shared" si="95"/>
        <v>1250</v>
      </c>
      <c r="AK283" s="10">
        <v>1250</v>
      </c>
      <c r="AL283" s="11">
        <f t="shared" si="95"/>
        <v>1250</v>
      </c>
      <c r="AM283" s="10">
        <v>1250</v>
      </c>
      <c r="AN283" s="56">
        <f t="shared" si="100"/>
        <v>1</v>
      </c>
      <c r="AP283" s="11">
        <f ca="1">IFERROR(OFFSET(ITEM_RES!$A$1,MATCH(AQ283,ITEM_RES!$J:$J,0)-1,0),0)</f>
        <v>215050001</v>
      </c>
      <c r="AQ283" s="10" t="s">
        <v>484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1"/>
        <v>111070020</v>
      </c>
      <c r="B284" s="13">
        <v>11</v>
      </c>
      <c r="C284" s="12">
        <f t="shared" si="92"/>
        <v>1</v>
      </c>
      <c r="D284" s="13">
        <v>7</v>
      </c>
      <c r="E284" s="13">
        <v>0</v>
      </c>
      <c r="F284" s="12">
        <f t="shared" si="93"/>
        <v>20</v>
      </c>
      <c r="H284" s="9">
        <v>1</v>
      </c>
      <c r="I284" s="9">
        <v>20</v>
      </c>
      <c r="K284" s="9" t="s">
        <v>370</v>
      </c>
      <c r="L284" s="9">
        <v>0</v>
      </c>
      <c r="M284" s="9">
        <v>15</v>
      </c>
      <c r="R284" s="9">
        <v>111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587</v>
      </c>
      <c r="AA284" s="9">
        <v>20</v>
      </c>
      <c r="AC284" s="9">
        <v>60000</v>
      </c>
      <c r="AE284" s="56">
        <f t="shared" si="99"/>
        <v>24000</v>
      </c>
      <c r="AF284" s="10">
        <f t="shared" si="97"/>
        <v>44000</v>
      </c>
      <c r="AH284" s="11">
        <f t="shared" si="98"/>
        <v>100</v>
      </c>
      <c r="AI284" s="10">
        <v>100</v>
      </c>
      <c r="AJ284" s="11">
        <f t="shared" si="95"/>
        <v>1500</v>
      </c>
      <c r="AK284" s="10">
        <v>1500</v>
      </c>
      <c r="AL284" s="11">
        <f t="shared" si="95"/>
        <v>1500</v>
      </c>
      <c r="AM284" s="10">
        <v>1500</v>
      </c>
      <c r="AN284" s="56">
        <f t="shared" si="100"/>
        <v>1</v>
      </c>
      <c r="AP284" s="11">
        <f ca="1">IFERROR(OFFSET(ITEM_RES!$A$1,MATCH(AQ284,ITEM_RES!$J:$J,0)-1,0),0)</f>
        <v>215050001</v>
      </c>
      <c r="AQ284" s="10" t="s">
        <v>484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1"/>
        <v>111080001</v>
      </c>
      <c r="B285" s="20">
        <v>11</v>
      </c>
      <c r="C285" s="19">
        <f t="shared" si="92"/>
        <v>1</v>
      </c>
      <c r="D285" s="20">
        <v>8</v>
      </c>
      <c r="E285" s="20">
        <v>0</v>
      </c>
      <c r="F285" s="19">
        <f t="shared" si="93"/>
        <v>1</v>
      </c>
      <c r="G285" s="80"/>
      <c r="H285" s="16">
        <v>1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588</v>
      </c>
      <c r="AA285" s="16">
        <v>1</v>
      </c>
      <c r="AB285" s="80"/>
      <c r="AC285" s="16">
        <v>0</v>
      </c>
      <c r="AD285" s="80"/>
      <c r="AE285" s="57">
        <f t="shared" si="99"/>
        <v>580</v>
      </c>
      <c r="AF285" s="17">
        <f>AE285</f>
        <v>580</v>
      </c>
      <c r="AG285" s="80"/>
      <c r="AH285" s="18">
        <f t="shared" si="98"/>
        <v>5</v>
      </c>
      <c r="AI285" s="17">
        <v>5</v>
      </c>
      <c r="AJ285" s="18">
        <f t="shared" si="95"/>
        <v>5</v>
      </c>
      <c r="AK285" s="17">
        <v>5</v>
      </c>
      <c r="AL285" s="18">
        <f t="shared" si="95"/>
        <v>5</v>
      </c>
      <c r="AM285" s="17">
        <v>5</v>
      </c>
      <c r="AN285" s="57">
        <f t="shared" si="100"/>
        <v>2</v>
      </c>
      <c r="AO285" s="18"/>
      <c r="AP285" s="18">
        <f ca="1">IFERROR(OFFSET(ITEM_RES!$A$1,MATCH(AQ285,ITEM_RES!$J:$J,0)-1,0),0)</f>
        <v>212040001</v>
      </c>
      <c r="AQ285" s="17" t="s">
        <v>471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496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1"/>
        <v>111080002</v>
      </c>
      <c r="B286" s="13">
        <v>11</v>
      </c>
      <c r="C286" s="12">
        <f t="shared" si="92"/>
        <v>1</v>
      </c>
      <c r="D286" s="13">
        <v>8</v>
      </c>
      <c r="E286" s="13">
        <v>0</v>
      </c>
      <c r="F286" s="12">
        <f t="shared" si="93"/>
        <v>2</v>
      </c>
      <c r="H286" s="9">
        <v>1</v>
      </c>
      <c r="I286" s="9">
        <v>2</v>
      </c>
      <c r="K286" s="9" t="s">
        <v>369</v>
      </c>
      <c r="L286" s="9">
        <v>1</v>
      </c>
      <c r="M286" s="9">
        <v>15</v>
      </c>
      <c r="R286" s="9">
        <v>222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588</v>
      </c>
      <c r="AA286" s="9">
        <v>2</v>
      </c>
      <c r="AC286" s="9">
        <v>200</v>
      </c>
      <c r="AE286" s="56">
        <f t="shared" si="99"/>
        <v>160</v>
      </c>
      <c r="AF286" s="10">
        <f>AE285+AE286</f>
        <v>740</v>
      </c>
      <c r="AH286" s="11">
        <f t="shared" si="98"/>
        <v>10</v>
      </c>
      <c r="AI286" s="10">
        <v>10</v>
      </c>
      <c r="AJ286" s="11">
        <f t="shared" si="95"/>
        <v>10</v>
      </c>
      <c r="AK286" s="10">
        <v>10</v>
      </c>
      <c r="AL286" s="11">
        <f t="shared" si="95"/>
        <v>10</v>
      </c>
      <c r="AM286" s="10">
        <v>10</v>
      </c>
      <c r="AN286" s="56">
        <f t="shared" si="100"/>
        <v>1</v>
      </c>
      <c r="AP286" s="11">
        <f ca="1">IFERROR(OFFSET(ITEM_RES!$A$1,MATCH(AQ286,ITEM_RES!$J:$J,0)-1,0),0)</f>
        <v>212040001</v>
      </c>
      <c r="AQ286" s="10" t="s">
        <v>471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1"/>
        <v>111080003</v>
      </c>
      <c r="B287" s="13">
        <v>11</v>
      </c>
      <c r="C287" s="12">
        <f t="shared" si="92"/>
        <v>1</v>
      </c>
      <c r="D287" s="13">
        <v>8</v>
      </c>
      <c r="E287" s="13">
        <v>0</v>
      </c>
      <c r="F287" s="12">
        <f t="shared" si="93"/>
        <v>3</v>
      </c>
      <c r="H287" s="9">
        <v>1</v>
      </c>
      <c r="I287" s="9">
        <v>3</v>
      </c>
      <c r="K287" s="9" t="s">
        <v>369</v>
      </c>
      <c r="L287" s="9">
        <v>1</v>
      </c>
      <c r="M287" s="9">
        <v>15</v>
      </c>
      <c r="R287" s="9">
        <v>222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588</v>
      </c>
      <c r="AA287" s="9">
        <v>3</v>
      </c>
      <c r="AC287" s="9">
        <v>600</v>
      </c>
      <c r="AE287" s="56">
        <f t="shared" si="99"/>
        <v>240</v>
      </c>
      <c r="AF287" s="10">
        <f t="shared" ref="AF287:AF304" si="101">AE286+AE287</f>
        <v>400</v>
      </c>
      <c r="AH287" s="11">
        <f t="shared" si="98"/>
        <v>15</v>
      </c>
      <c r="AI287" s="10">
        <v>15</v>
      </c>
      <c r="AJ287" s="11">
        <f t="shared" si="95"/>
        <v>15</v>
      </c>
      <c r="AK287" s="10">
        <v>15</v>
      </c>
      <c r="AL287" s="11">
        <f t="shared" si="95"/>
        <v>15</v>
      </c>
      <c r="AM287" s="10">
        <v>15</v>
      </c>
      <c r="AN287" s="56">
        <f t="shared" si="100"/>
        <v>1</v>
      </c>
      <c r="AP287" s="11">
        <f ca="1">IFERROR(OFFSET(ITEM_RES!$A$1,MATCH(AQ287,ITEM_RES!$J:$J,0)-1,0),0)</f>
        <v>212040001</v>
      </c>
      <c r="AQ287" s="10" t="s">
        <v>471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1"/>
        <v>111080004</v>
      </c>
      <c r="B288" s="13">
        <v>11</v>
      </c>
      <c r="C288" s="12">
        <f t="shared" si="92"/>
        <v>1</v>
      </c>
      <c r="D288" s="13">
        <v>8</v>
      </c>
      <c r="E288" s="13">
        <v>0</v>
      </c>
      <c r="F288" s="12">
        <f t="shared" si="93"/>
        <v>4</v>
      </c>
      <c r="H288" s="9">
        <v>1</v>
      </c>
      <c r="I288" s="9">
        <v>4</v>
      </c>
      <c r="K288" s="9" t="s">
        <v>369</v>
      </c>
      <c r="L288" s="9">
        <v>1</v>
      </c>
      <c r="M288" s="9">
        <v>15</v>
      </c>
      <c r="R288" s="9">
        <v>222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588</v>
      </c>
      <c r="AA288" s="9">
        <v>4</v>
      </c>
      <c r="AC288" s="9">
        <v>1000</v>
      </c>
      <c r="AE288" s="56">
        <f t="shared" si="99"/>
        <v>400</v>
      </c>
      <c r="AF288" s="10">
        <f t="shared" si="101"/>
        <v>640</v>
      </c>
      <c r="AH288" s="11">
        <f t="shared" si="98"/>
        <v>20</v>
      </c>
      <c r="AI288" s="10">
        <v>20</v>
      </c>
      <c r="AJ288" s="11">
        <f t="shared" si="95"/>
        <v>25</v>
      </c>
      <c r="AK288" s="10">
        <v>25</v>
      </c>
      <c r="AL288" s="11">
        <f t="shared" si="95"/>
        <v>25</v>
      </c>
      <c r="AM288" s="10">
        <v>25</v>
      </c>
      <c r="AN288" s="56">
        <f t="shared" si="100"/>
        <v>1</v>
      </c>
      <c r="AP288" s="11">
        <f ca="1">IFERROR(OFFSET(ITEM_RES!$A$1,MATCH(AQ288,ITEM_RES!$J:$J,0)-1,0),0)</f>
        <v>212040001</v>
      </c>
      <c r="AQ288" s="10" t="s">
        <v>471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1"/>
        <v>111080005</v>
      </c>
      <c r="B289" s="13">
        <v>11</v>
      </c>
      <c r="C289" s="12">
        <f t="shared" si="92"/>
        <v>1</v>
      </c>
      <c r="D289" s="13">
        <v>8</v>
      </c>
      <c r="E289" s="13">
        <v>0</v>
      </c>
      <c r="F289" s="12">
        <f t="shared" si="93"/>
        <v>5</v>
      </c>
      <c r="H289" s="9">
        <v>1</v>
      </c>
      <c r="I289" s="9">
        <v>5</v>
      </c>
      <c r="K289" s="9" t="s">
        <v>369</v>
      </c>
      <c r="L289" s="9">
        <v>1</v>
      </c>
      <c r="M289" s="9">
        <v>15</v>
      </c>
      <c r="R289" s="9">
        <v>222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588</v>
      </c>
      <c r="AA289" s="9">
        <v>5</v>
      </c>
      <c r="AC289" s="9">
        <v>1600</v>
      </c>
      <c r="AE289" s="56">
        <f t="shared" si="99"/>
        <v>640</v>
      </c>
      <c r="AF289" s="10">
        <f t="shared" si="101"/>
        <v>1040</v>
      </c>
      <c r="AH289" s="11">
        <f t="shared" si="98"/>
        <v>25</v>
      </c>
      <c r="AI289" s="10">
        <v>25</v>
      </c>
      <c r="AJ289" s="11">
        <f t="shared" si="95"/>
        <v>40</v>
      </c>
      <c r="AK289" s="10">
        <v>40</v>
      </c>
      <c r="AL289" s="11">
        <f t="shared" si="95"/>
        <v>40</v>
      </c>
      <c r="AM289" s="10">
        <v>40</v>
      </c>
      <c r="AN289" s="56">
        <f t="shared" si="100"/>
        <v>1</v>
      </c>
      <c r="AP289" s="11">
        <f ca="1">IFERROR(OFFSET(ITEM_RES!$A$1,MATCH(AQ289,ITEM_RES!$J:$J,0)-1,0),0)</f>
        <v>212040001</v>
      </c>
      <c r="AQ289" s="10" t="s">
        <v>471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1"/>
        <v>111080006</v>
      </c>
      <c r="B290" s="13">
        <v>11</v>
      </c>
      <c r="C290" s="12">
        <f t="shared" si="92"/>
        <v>1</v>
      </c>
      <c r="D290" s="13">
        <v>8</v>
      </c>
      <c r="E290" s="13">
        <v>0</v>
      </c>
      <c r="F290" s="12">
        <f t="shared" si="93"/>
        <v>6</v>
      </c>
      <c r="H290" s="9">
        <v>1</v>
      </c>
      <c r="I290" s="9">
        <v>6</v>
      </c>
      <c r="K290" s="9" t="s">
        <v>369</v>
      </c>
      <c r="L290" s="9">
        <v>1</v>
      </c>
      <c r="M290" s="9">
        <v>15</v>
      </c>
      <c r="R290" s="9">
        <v>222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588</v>
      </c>
      <c r="AA290" s="9">
        <v>6</v>
      </c>
      <c r="AC290" s="9">
        <v>2000</v>
      </c>
      <c r="AE290" s="56">
        <f t="shared" si="99"/>
        <v>800</v>
      </c>
      <c r="AF290" s="10">
        <f t="shared" si="101"/>
        <v>1440</v>
      </c>
      <c r="AH290" s="11">
        <f t="shared" si="98"/>
        <v>30</v>
      </c>
      <c r="AI290" s="10">
        <v>30</v>
      </c>
      <c r="AJ290" s="11">
        <f t="shared" si="95"/>
        <v>50</v>
      </c>
      <c r="AK290" s="10">
        <v>50</v>
      </c>
      <c r="AL290" s="11">
        <f t="shared" si="95"/>
        <v>50</v>
      </c>
      <c r="AM290" s="10">
        <v>50</v>
      </c>
      <c r="AN290" s="56">
        <f t="shared" si="100"/>
        <v>1</v>
      </c>
      <c r="AP290" s="11">
        <f ca="1">IFERROR(OFFSET(ITEM_RES!$A$1,MATCH(AQ290,ITEM_RES!$J:$J,0)-1,0),0)</f>
        <v>212040001</v>
      </c>
      <c r="AQ290" s="10" t="s">
        <v>471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1"/>
        <v>111080007</v>
      </c>
      <c r="B291" s="13">
        <v>11</v>
      </c>
      <c r="C291" s="12">
        <f t="shared" si="92"/>
        <v>1</v>
      </c>
      <c r="D291" s="13">
        <v>8</v>
      </c>
      <c r="E291" s="13">
        <v>0</v>
      </c>
      <c r="F291" s="12">
        <f t="shared" si="93"/>
        <v>7</v>
      </c>
      <c r="H291" s="9">
        <v>1</v>
      </c>
      <c r="I291" s="9">
        <v>7</v>
      </c>
      <c r="K291" s="9" t="s">
        <v>369</v>
      </c>
      <c r="L291" s="9">
        <v>1</v>
      </c>
      <c r="M291" s="9">
        <v>15</v>
      </c>
      <c r="R291" s="9">
        <v>222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588</v>
      </c>
      <c r="AA291" s="9">
        <v>7</v>
      </c>
      <c r="AC291" s="9">
        <v>4000</v>
      </c>
      <c r="AE291" s="56">
        <f t="shared" si="99"/>
        <v>1600</v>
      </c>
      <c r="AF291" s="10">
        <f t="shared" si="101"/>
        <v>2400</v>
      </c>
      <c r="AH291" s="11">
        <f t="shared" si="98"/>
        <v>35</v>
      </c>
      <c r="AI291" s="10">
        <v>35</v>
      </c>
      <c r="AJ291" s="11">
        <f t="shared" si="95"/>
        <v>100</v>
      </c>
      <c r="AK291" s="10">
        <v>100</v>
      </c>
      <c r="AL291" s="11">
        <f t="shared" si="95"/>
        <v>100</v>
      </c>
      <c r="AM291" s="10">
        <v>100</v>
      </c>
      <c r="AN291" s="56">
        <f t="shared" si="100"/>
        <v>1</v>
      </c>
      <c r="AP291" s="11">
        <f ca="1">IFERROR(OFFSET(ITEM_RES!$A$1,MATCH(AQ291,ITEM_RES!$J:$J,0)-1,0),0)</f>
        <v>212040001</v>
      </c>
      <c r="AQ291" s="10" t="s">
        <v>471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1"/>
        <v>111080008</v>
      </c>
      <c r="B292" s="13">
        <v>11</v>
      </c>
      <c r="C292" s="12">
        <f t="shared" si="92"/>
        <v>1</v>
      </c>
      <c r="D292" s="13">
        <v>8</v>
      </c>
      <c r="E292" s="13">
        <v>0</v>
      </c>
      <c r="F292" s="12">
        <f t="shared" si="93"/>
        <v>8</v>
      </c>
      <c r="H292" s="9">
        <v>1</v>
      </c>
      <c r="I292" s="9">
        <v>8</v>
      </c>
      <c r="K292" s="9" t="s">
        <v>369</v>
      </c>
      <c r="L292" s="9">
        <v>1</v>
      </c>
      <c r="M292" s="9">
        <v>15</v>
      </c>
      <c r="R292" s="9">
        <v>222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588</v>
      </c>
      <c r="AA292" s="9">
        <v>8</v>
      </c>
      <c r="AC292" s="9">
        <v>4000</v>
      </c>
      <c r="AE292" s="56">
        <f t="shared" si="99"/>
        <v>1600</v>
      </c>
      <c r="AF292" s="10">
        <f t="shared" si="101"/>
        <v>3200</v>
      </c>
      <c r="AH292" s="11">
        <f t="shared" si="98"/>
        <v>40</v>
      </c>
      <c r="AI292" s="10">
        <v>40</v>
      </c>
      <c r="AJ292" s="11">
        <f t="shared" si="95"/>
        <v>100</v>
      </c>
      <c r="AK292" s="10">
        <v>100</v>
      </c>
      <c r="AL292" s="11">
        <f t="shared" si="95"/>
        <v>100</v>
      </c>
      <c r="AM292" s="10">
        <v>100</v>
      </c>
      <c r="AN292" s="56">
        <f t="shared" si="100"/>
        <v>1</v>
      </c>
      <c r="AP292" s="11">
        <f ca="1">IFERROR(OFFSET(ITEM_RES!$A$1,MATCH(AQ292,ITEM_RES!$J:$J,0)-1,0),0)</f>
        <v>212040001</v>
      </c>
      <c r="AQ292" s="10" t="s">
        <v>471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91"/>
        <v>111080009</v>
      </c>
      <c r="B293" s="13">
        <v>11</v>
      </c>
      <c r="C293" s="12">
        <f t="shared" si="92"/>
        <v>1</v>
      </c>
      <c r="D293" s="13">
        <v>8</v>
      </c>
      <c r="E293" s="13">
        <v>0</v>
      </c>
      <c r="F293" s="12">
        <f t="shared" si="93"/>
        <v>9</v>
      </c>
      <c r="H293" s="9">
        <v>1</v>
      </c>
      <c r="I293" s="9">
        <v>9</v>
      </c>
      <c r="K293" s="9" t="s">
        <v>369</v>
      </c>
      <c r="L293" s="9">
        <v>1</v>
      </c>
      <c r="M293" s="9">
        <v>15</v>
      </c>
      <c r="R293" s="9">
        <v>222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588</v>
      </c>
      <c r="AA293" s="9">
        <v>9</v>
      </c>
      <c r="AC293" s="9">
        <v>6000</v>
      </c>
      <c r="AE293" s="56">
        <f t="shared" si="99"/>
        <v>2400</v>
      </c>
      <c r="AF293" s="10">
        <f t="shared" si="101"/>
        <v>4000</v>
      </c>
      <c r="AH293" s="11">
        <f t="shared" si="98"/>
        <v>45</v>
      </c>
      <c r="AI293" s="10">
        <v>45</v>
      </c>
      <c r="AJ293" s="11">
        <f t="shared" si="95"/>
        <v>150</v>
      </c>
      <c r="AK293" s="10">
        <v>150</v>
      </c>
      <c r="AL293" s="11">
        <f t="shared" si="95"/>
        <v>150</v>
      </c>
      <c r="AM293" s="10">
        <v>150</v>
      </c>
      <c r="AN293" s="56">
        <f t="shared" si="100"/>
        <v>1</v>
      </c>
      <c r="AP293" s="11">
        <f ca="1">IFERROR(OFFSET(ITEM_RES!$A$1,MATCH(AQ293,ITEM_RES!$J:$J,0)-1,0),0)</f>
        <v>212040001</v>
      </c>
      <c r="AQ293" s="10" t="s">
        <v>471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1"/>
        <v>111080010</v>
      </c>
      <c r="B294" s="13">
        <v>11</v>
      </c>
      <c r="C294" s="12">
        <f t="shared" si="92"/>
        <v>1</v>
      </c>
      <c r="D294" s="13">
        <v>8</v>
      </c>
      <c r="E294" s="13">
        <v>0</v>
      </c>
      <c r="F294" s="12">
        <f t="shared" si="93"/>
        <v>10</v>
      </c>
      <c r="H294" s="9">
        <v>1</v>
      </c>
      <c r="I294" s="9">
        <v>10</v>
      </c>
      <c r="K294" s="9" t="s">
        <v>369</v>
      </c>
      <c r="L294" s="9">
        <v>1</v>
      </c>
      <c r="M294" s="9">
        <v>15</v>
      </c>
      <c r="R294" s="9">
        <v>222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588</v>
      </c>
      <c r="AA294" s="9">
        <v>10</v>
      </c>
      <c r="AC294" s="9">
        <v>8000</v>
      </c>
      <c r="AE294" s="56">
        <f t="shared" si="99"/>
        <v>3200</v>
      </c>
      <c r="AF294" s="10">
        <f t="shared" si="101"/>
        <v>5600</v>
      </c>
      <c r="AH294" s="11">
        <f t="shared" si="98"/>
        <v>50</v>
      </c>
      <c r="AI294" s="10">
        <v>50</v>
      </c>
      <c r="AJ294" s="11">
        <f t="shared" si="95"/>
        <v>200</v>
      </c>
      <c r="AK294" s="10">
        <v>200</v>
      </c>
      <c r="AL294" s="11">
        <f t="shared" si="95"/>
        <v>200</v>
      </c>
      <c r="AM294" s="10">
        <v>200</v>
      </c>
      <c r="AN294" s="56">
        <f t="shared" si="100"/>
        <v>1</v>
      </c>
      <c r="AP294" s="11">
        <f ca="1">IFERROR(OFFSET(ITEM_RES!$A$1,MATCH(AQ294,ITEM_RES!$J:$J,0)-1,0),0)</f>
        <v>212040001</v>
      </c>
      <c r="AQ294" s="10" t="s">
        <v>471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1"/>
        <v>111080011</v>
      </c>
      <c r="B295" s="13">
        <v>11</v>
      </c>
      <c r="C295" s="12">
        <f t="shared" si="92"/>
        <v>1</v>
      </c>
      <c r="D295" s="13">
        <v>8</v>
      </c>
      <c r="E295" s="13">
        <v>0</v>
      </c>
      <c r="F295" s="12">
        <f t="shared" si="93"/>
        <v>11</v>
      </c>
      <c r="H295" s="9">
        <v>1</v>
      </c>
      <c r="I295" s="9">
        <v>11</v>
      </c>
      <c r="K295" s="9" t="s">
        <v>369</v>
      </c>
      <c r="L295" s="9">
        <v>1</v>
      </c>
      <c r="M295" s="9">
        <v>15</v>
      </c>
      <c r="R295" s="9">
        <v>222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588</v>
      </c>
      <c r="AA295" s="9">
        <v>11</v>
      </c>
      <c r="AC295" s="9">
        <v>10000</v>
      </c>
      <c r="AE295" s="56">
        <f t="shared" si="99"/>
        <v>4000</v>
      </c>
      <c r="AF295" s="10">
        <f t="shared" si="101"/>
        <v>7200</v>
      </c>
      <c r="AH295" s="11">
        <f t="shared" si="98"/>
        <v>55</v>
      </c>
      <c r="AI295" s="10">
        <v>55</v>
      </c>
      <c r="AJ295" s="11">
        <f t="shared" si="95"/>
        <v>250</v>
      </c>
      <c r="AK295" s="10">
        <v>250</v>
      </c>
      <c r="AL295" s="11">
        <f t="shared" si="95"/>
        <v>250</v>
      </c>
      <c r="AM295" s="10">
        <v>250</v>
      </c>
      <c r="AN295" s="56">
        <f t="shared" si="100"/>
        <v>1</v>
      </c>
      <c r="AP295" s="11">
        <f ca="1">IFERROR(OFFSET(ITEM_RES!$A$1,MATCH(AQ295,ITEM_RES!$J:$J,0)-1,0),0)</f>
        <v>212040001</v>
      </c>
      <c r="AQ295" s="10" t="s">
        <v>471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1"/>
        <v>111080012</v>
      </c>
      <c r="B296" s="13">
        <v>11</v>
      </c>
      <c r="C296" s="12">
        <f t="shared" si="92"/>
        <v>1</v>
      </c>
      <c r="D296" s="13">
        <v>8</v>
      </c>
      <c r="E296" s="13">
        <v>0</v>
      </c>
      <c r="F296" s="12">
        <f t="shared" si="93"/>
        <v>12</v>
      </c>
      <c r="H296" s="9">
        <v>1</v>
      </c>
      <c r="I296" s="9">
        <v>12</v>
      </c>
      <c r="K296" s="9" t="s">
        <v>369</v>
      </c>
      <c r="L296" s="9">
        <v>1</v>
      </c>
      <c r="M296" s="9">
        <v>15</v>
      </c>
      <c r="R296" s="9">
        <v>222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588</v>
      </c>
      <c r="AA296" s="9">
        <v>12</v>
      </c>
      <c r="AC296" s="9">
        <v>12000</v>
      </c>
      <c r="AE296" s="56">
        <f t="shared" si="99"/>
        <v>4800</v>
      </c>
      <c r="AF296" s="10">
        <f t="shared" si="101"/>
        <v>8800</v>
      </c>
      <c r="AH296" s="11">
        <f t="shared" si="98"/>
        <v>60</v>
      </c>
      <c r="AI296" s="10">
        <v>60</v>
      </c>
      <c r="AJ296" s="11">
        <f t="shared" si="95"/>
        <v>300</v>
      </c>
      <c r="AK296" s="10">
        <v>300</v>
      </c>
      <c r="AL296" s="11">
        <f t="shared" si="95"/>
        <v>300</v>
      </c>
      <c r="AM296" s="10">
        <v>300</v>
      </c>
      <c r="AN296" s="56">
        <f t="shared" si="100"/>
        <v>1</v>
      </c>
      <c r="AP296" s="11">
        <f ca="1">IFERROR(OFFSET(ITEM_RES!$A$1,MATCH(AQ296,ITEM_RES!$J:$J,0)-1,0),0)</f>
        <v>212040001</v>
      </c>
      <c r="AQ296" s="10" t="s">
        <v>471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1"/>
        <v>111080013</v>
      </c>
      <c r="B297" s="13">
        <v>11</v>
      </c>
      <c r="C297" s="12">
        <f t="shared" si="92"/>
        <v>1</v>
      </c>
      <c r="D297" s="13">
        <v>8</v>
      </c>
      <c r="E297" s="13">
        <v>0</v>
      </c>
      <c r="F297" s="12">
        <f t="shared" si="93"/>
        <v>13</v>
      </c>
      <c r="H297" s="9">
        <v>1</v>
      </c>
      <c r="I297" s="9">
        <v>13</v>
      </c>
      <c r="K297" s="9" t="s">
        <v>369</v>
      </c>
      <c r="L297" s="9">
        <v>1</v>
      </c>
      <c r="M297" s="9">
        <v>15</v>
      </c>
      <c r="R297" s="9">
        <v>222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588</v>
      </c>
      <c r="AA297" s="9">
        <v>13</v>
      </c>
      <c r="AC297" s="9">
        <v>14000</v>
      </c>
      <c r="AE297" s="56">
        <f t="shared" si="99"/>
        <v>5600</v>
      </c>
      <c r="AF297" s="10">
        <f t="shared" si="101"/>
        <v>10400</v>
      </c>
      <c r="AH297" s="11">
        <f t="shared" si="98"/>
        <v>65</v>
      </c>
      <c r="AI297" s="10">
        <v>65</v>
      </c>
      <c r="AJ297" s="11">
        <f t="shared" si="95"/>
        <v>350</v>
      </c>
      <c r="AK297" s="10">
        <v>350</v>
      </c>
      <c r="AL297" s="11">
        <f t="shared" si="95"/>
        <v>350</v>
      </c>
      <c r="AM297" s="10">
        <v>350</v>
      </c>
      <c r="AN297" s="56">
        <f t="shared" si="100"/>
        <v>1</v>
      </c>
      <c r="AP297" s="11">
        <f ca="1">IFERROR(OFFSET(ITEM_RES!$A$1,MATCH(AQ297,ITEM_RES!$J:$J,0)-1,0),0)</f>
        <v>212040001</v>
      </c>
      <c r="AQ297" s="10" t="s">
        <v>471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1"/>
        <v>111080014</v>
      </c>
      <c r="B298" s="13">
        <v>11</v>
      </c>
      <c r="C298" s="12">
        <f t="shared" si="92"/>
        <v>1</v>
      </c>
      <c r="D298" s="13">
        <v>8</v>
      </c>
      <c r="E298" s="13">
        <v>0</v>
      </c>
      <c r="F298" s="12">
        <f t="shared" si="93"/>
        <v>14</v>
      </c>
      <c r="H298" s="9">
        <v>1</v>
      </c>
      <c r="I298" s="9">
        <v>14</v>
      </c>
      <c r="K298" s="9" t="s">
        <v>369</v>
      </c>
      <c r="L298" s="9">
        <v>1</v>
      </c>
      <c r="M298" s="9">
        <v>15</v>
      </c>
      <c r="R298" s="9">
        <v>222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588</v>
      </c>
      <c r="AA298" s="9">
        <v>14</v>
      </c>
      <c r="AC298" s="9">
        <v>18000</v>
      </c>
      <c r="AE298" s="56">
        <f t="shared" si="99"/>
        <v>7700</v>
      </c>
      <c r="AF298" s="10">
        <f t="shared" si="101"/>
        <v>13300</v>
      </c>
      <c r="AH298" s="11">
        <f t="shared" si="98"/>
        <v>70</v>
      </c>
      <c r="AI298" s="10">
        <v>70</v>
      </c>
      <c r="AJ298" s="11">
        <f t="shared" si="95"/>
        <v>450</v>
      </c>
      <c r="AK298" s="10">
        <v>450</v>
      </c>
      <c r="AL298" s="11">
        <f t="shared" si="95"/>
        <v>450</v>
      </c>
      <c r="AM298" s="10">
        <v>450</v>
      </c>
      <c r="AN298" s="56">
        <f t="shared" si="100"/>
        <v>2</v>
      </c>
      <c r="AP298" s="11">
        <f ca="1">IFERROR(OFFSET(ITEM_RES!$A$1,MATCH(AQ298,ITEM_RES!$J:$J,0)-1,0),0)</f>
        <v>212040001</v>
      </c>
      <c r="AQ298" s="10" t="s">
        <v>471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508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91"/>
        <v>111080015</v>
      </c>
      <c r="B299" s="13">
        <v>11</v>
      </c>
      <c r="C299" s="12">
        <f t="shared" si="92"/>
        <v>1</v>
      </c>
      <c r="D299" s="13">
        <v>8</v>
      </c>
      <c r="E299" s="13">
        <v>0</v>
      </c>
      <c r="F299" s="12">
        <f t="shared" si="93"/>
        <v>15</v>
      </c>
      <c r="H299" s="9">
        <v>1</v>
      </c>
      <c r="I299" s="9">
        <v>15</v>
      </c>
      <c r="K299" s="9" t="s">
        <v>369</v>
      </c>
      <c r="L299" s="9">
        <v>1</v>
      </c>
      <c r="M299" s="9">
        <v>15</v>
      </c>
      <c r="R299" s="9">
        <v>222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588</v>
      </c>
      <c r="AA299" s="9">
        <v>15</v>
      </c>
      <c r="AC299" s="9">
        <v>22000</v>
      </c>
      <c r="AE299" s="56">
        <f t="shared" si="99"/>
        <v>8800</v>
      </c>
      <c r="AF299" s="10">
        <f t="shared" si="101"/>
        <v>16500</v>
      </c>
      <c r="AH299" s="11">
        <f t="shared" si="98"/>
        <v>75</v>
      </c>
      <c r="AI299" s="10">
        <v>75</v>
      </c>
      <c r="AJ299" s="11">
        <f t="shared" si="95"/>
        <v>550</v>
      </c>
      <c r="AK299" s="10">
        <v>550</v>
      </c>
      <c r="AL299" s="11">
        <f t="shared" si="95"/>
        <v>550</v>
      </c>
      <c r="AM299" s="10">
        <v>550</v>
      </c>
      <c r="AN299" s="56">
        <f t="shared" si="100"/>
        <v>1</v>
      </c>
      <c r="AP299" s="11">
        <f ca="1">IFERROR(OFFSET(ITEM_RES!$A$1,MATCH(AQ299,ITEM_RES!$J:$J,0)-1,0),0)</f>
        <v>212040001</v>
      </c>
      <c r="AQ299" s="10" t="s">
        <v>471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1"/>
        <v>111080016</v>
      </c>
      <c r="B300" s="13">
        <v>11</v>
      </c>
      <c r="C300" s="12">
        <f t="shared" si="92"/>
        <v>1</v>
      </c>
      <c r="D300" s="13">
        <v>8</v>
      </c>
      <c r="E300" s="13">
        <v>0</v>
      </c>
      <c r="F300" s="12">
        <f t="shared" si="93"/>
        <v>16</v>
      </c>
      <c r="H300" s="9">
        <v>1</v>
      </c>
      <c r="I300" s="9">
        <v>16</v>
      </c>
      <c r="K300" s="9" t="s">
        <v>369</v>
      </c>
      <c r="L300" s="9">
        <v>0</v>
      </c>
      <c r="M300" s="9">
        <v>15</v>
      </c>
      <c r="R300" s="9">
        <v>222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588</v>
      </c>
      <c r="AA300" s="9">
        <v>16</v>
      </c>
      <c r="AC300" s="9">
        <v>28000</v>
      </c>
      <c r="AE300" s="56">
        <f t="shared" si="99"/>
        <v>11200</v>
      </c>
      <c r="AF300" s="10">
        <f t="shared" si="101"/>
        <v>20000</v>
      </c>
      <c r="AH300" s="11">
        <f t="shared" si="98"/>
        <v>80</v>
      </c>
      <c r="AI300" s="10">
        <v>80</v>
      </c>
      <c r="AJ300" s="11">
        <f t="shared" si="95"/>
        <v>700</v>
      </c>
      <c r="AK300" s="10">
        <v>700</v>
      </c>
      <c r="AL300" s="11">
        <f t="shared" si="95"/>
        <v>700</v>
      </c>
      <c r="AM300" s="10">
        <v>700</v>
      </c>
      <c r="AN300" s="56">
        <f t="shared" si="100"/>
        <v>1</v>
      </c>
      <c r="AP300" s="11">
        <f ca="1">IFERROR(OFFSET(ITEM_RES!$A$1,MATCH(AQ300,ITEM_RES!$J:$J,0)-1,0),0)</f>
        <v>212040001</v>
      </c>
      <c r="AQ300" s="10" t="s">
        <v>471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ref="A301:A364" si="102">B301*10000000+C301*1000000+D301*10000+E301*100+F301</f>
        <v>111080017</v>
      </c>
      <c r="B301" s="13">
        <v>11</v>
      </c>
      <c r="C301" s="12">
        <f t="shared" ref="C301:C364" si="103">H301</f>
        <v>1</v>
      </c>
      <c r="D301" s="13">
        <v>8</v>
      </c>
      <c r="E301" s="13">
        <v>0</v>
      </c>
      <c r="F301" s="12">
        <f t="shared" ref="F301:F364" si="104">I301</f>
        <v>17</v>
      </c>
      <c r="H301" s="9">
        <v>1</v>
      </c>
      <c r="I301" s="9">
        <v>17</v>
      </c>
      <c r="K301" s="9" t="s">
        <v>369</v>
      </c>
      <c r="L301" s="9">
        <v>0</v>
      </c>
      <c r="M301" s="9">
        <v>15</v>
      </c>
      <c r="R301" s="9">
        <v>222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588</v>
      </c>
      <c r="AA301" s="9">
        <v>17</v>
      </c>
      <c r="AC301" s="9">
        <v>34000</v>
      </c>
      <c r="AE301" s="56">
        <f t="shared" si="99"/>
        <v>13600</v>
      </c>
      <c r="AF301" s="10">
        <f t="shared" si="101"/>
        <v>24800</v>
      </c>
      <c r="AH301" s="11">
        <f t="shared" si="98"/>
        <v>85</v>
      </c>
      <c r="AI301" s="10">
        <v>85</v>
      </c>
      <c r="AJ301" s="11">
        <f t="shared" si="95"/>
        <v>850</v>
      </c>
      <c r="AK301" s="10">
        <v>850</v>
      </c>
      <c r="AL301" s="11">
        <f t="shared" si="95"/>
        <v>850</v>
      </c>
      <c r="AM301" s="10">
        <v>850</v>
      </c>
      <c r="AN301" s="56">
        <f t="shared" si="100"/>
        <v>1</v>
      </c>
      <c r="AP301" s="11">
        <f ca="1">IFERROR(OFFSET(ITEM_RES!$A$1,MATCH(AQ301,ITEM_RES!$J:$J,0)-1,0),0)</f>
        <v>212040001</v>
      </c>
      <c r="AQ301" s="10" t="s">
        <v>471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2"/>
        <v>111080018</v>
      </c>
      <c r="B302" s="13">
        <v>11</v>
      </c>
      <c r="C302" s="12">
        <f t="shared" si="103"/>
        <v>1</v>
      </c>
      <c r="D302" s="13">
        <v>8</v>
      </c>
      <c r="E302" s="13">
        <v>0</v>
      </c>
      <c r="F302" s="12">
        <f t="shared" si="104"/>
        <v>18</v>
      </c>
      <c r="H302" s="9">
        <v>1</v>
      </c>
      <c r="I302" s="9">
        <v>18</v>
      </c>
      <c r="K302" s="9" t="s">
        <v>369</v>
      </c>
      <c r="L302" s="9">
        <v>0</v>
      </c>
      <c r="M302" s="9">
        <v>15</v>
      </c>
      <c r="R302" s="9">
        <v>222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588</v>
      </c>
      <c r="AA302" s="9">
        <v>18</v>
      </c>
      <c r="AC302" s="9">
        <v>42000</v>
      </c>
      <c r="AE302" s="56">
        <f t="shared" si="99"/>
        <v>16800</v>
      </c>
      <c r="AF302" s="10">
        <f t="shared" si="101"/>
        <v>30400</v>
      </c>
      <c r="AH302" s="11">
        <f t="shared" si="98"/>
        <v>90</v>
      </c>
      <c r="AI302" s="10">
        <v>90</v>
      </c>
      <c r="AJ302" s="11">
        <f t="shared" ref="AJ302:AL364" si="105">ROUND(AK302,0)</f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si="100"/>
        <v>1</v>
      </c>
      <c r="AP302" s="11">
        <f ca="1">IFERROR(OFFSET(ITEM_RES!$A$1,MATCH(AQ302,ITEM_RES!$J:$J,0)-1,0),0)</f>
        <v>212040001</v>
      </c>
      <c r="AQ302" s="10" t="s">
        <v>471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2"/>
        <v>111080019</v>
      </c>
      <c r="B303" s="13">
        <v>11</v>
      </c>
      <c r="C303" s="12">
        <f t="shared" si="103"/>
        <v>1</v>
      </c>
      <c r="D303" s="13">
        <v>8</v>
      </c>
      <c r="E303" s="13">
        <v>0</v>
      </c>
      <c r="F303" s="12">
        <f t="shared" si="104"/>
        <v>19</v>
      </c>
      <c r="H303" s="9">
        <v>1</v>
      </c>
      <c r="I303" s="9">
        <v>19</v>
      </c>
      <c r="K303" s="9" t="s">
        <v>369</v>
      </c>
      <c r="L303" s="9">
        <v>0</v>
      </c>
      <c r="M303" s="9">
        <v>15</v>
      </c>
      <c r="R303" s="9">
        <v>222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588</v>
      </c>
      <c r="AA303" s="9">
        <v>19</v>
      </c>
      <c r="AC303" s="9">
        <v>50000</v>
      </c>
      <c r="AE303" s="56">
        <f t="shared" si="99"/>
        <v>20000</v>
      </c>
      <c r="AF303" s="10">
        <f t="shared" si="101"/>
        <v>36800</v>
      </c>
      <c r="AH303" s="11">
        <f t="shared" si="9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00"/>
        <v>1</v>
      </c>
      <c r="AP303" s="11">
        <f ca="1">IFERROR(OFFSET(ITEM_RES!$A$1,MATCH(AQ303,ITEM_RES!$J:$J,0)-1,0),0)</f>
        <v>215050001</v>
      </c>
      <c r="AQ303" s="10" t="s">
        <v>484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2"/>
        <v>111080020</v>
      </c>
      <c r="B304" s="13">
        <v>11</v>
      </c>
      <c r="C304" s="12">
        <f t="shared" si="103"/>
        <v>1</v>
      </c>
      <c r="D304" s="13">
        <v>8</v>
      </c>
      <c r="E304" s="13">
        <v>0</v>
      </c>
      <c r="F304" s="12">
        <f t="shared" si="104"/>
        <v>20</v>
      </c>
      <c r="H304" s="9">
        <v>1</v>
      </c>
      <c r="I304" s="9">
        <v>20</v>
      </c>
      <c r="K304" s="9" t="s">
        <v>369</v>
      </c>
      <c r="L304" s="9">
        <v>0</v>
      </c>
      <c r="M304" s="9">
        <v>15</v>
      </c>
      <c r="R304" s="9">
        <v>222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588</v>
      </c>
      <c r="AA304" s="9">
        <v>20</v>
      </c>
      <c r="AC304" s="9">
        <v>60000</v>
      </c>
      <c r="AE304" s="56">
        <f t="shared" si="99"/>
        <v>24000</v>
      </c>
      <c r="AF304" s="10">
        <f t="shared" si="101"/>
        <v>44000</v>
      </c>
      <c r="AH304" s="11">
        <f t="shared" si="9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00"/>
        <v>1</v>
      </c>
      <c r="AP304" s="11">
        <f ca="1">IFERROR(OFFSET(ITEM_RES!$A$1,MATCH(AQ304,ITEM_RES!$J:$J,0)-1,0),0)</f>
        <v>215050001</v>
      </c>
      <c r="AQ304" s="10" t="s">
        <v>484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2"/>
        <v>112040001</v>
      </c>
      <c r="B305" s="20">
        <v>11</v>
      </c>
      <c r="C305" s="19">
        <f t="shared" si="103"/>
        <v>2</v>
      </c>
      <c r="D305" s="20">
        <v>4</v>
      </c>
      <c r="E305" s="20">
        <v>0</v>
      </c>
      <c r="F305" s="19">
        <f t="shared" si="104"/>
        <v>1</v>
      </c>
      <c r="G305" s="80"/>
      <c r="H305" s="16">
        <v>2</v>
      </c>
      <c r="I305" s="16">
        <v>1</v>
      </c>
      <c r="J305" s="80"/>
      <c r="K305" s="16" t="s">
        <v>377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0"/>
      <c r="T305" s="88" t="s">
        <v>617</v>
      </c>
      <c r="U305" s="16">
        <f ca="1">IFERROR(OFFSET(ITEM_RES!$A$5,MATCH(BUILDING!T305,ITEM_RES!$J$5:$J$231,0)-1,0),0)</f>
        <v>212030001</v>
      </c>
      <c r="V305" s="18">
        <v>2</v>
      </c>
      <c r="W305" s="88" t="s">
        <v>612</v>
      </c>
      <c r="X305" s="16">
        <f ca="1">IFERROR(OFFSET(ITEM_RES!$A$5,MATCH(BUILDING!W305,ITEM_RES!$J$5:$J$231,0)-1,0),0)</f>
        <v>215040001</v>
      </c>
      <c r="Y305" s="80"/>
      <c r="Z305" s="16" t="s">
        <v>589</v>
      </c>
      <c r="AA305" s="16">
        <v>1</v>
      </c>
      <c r="AB305" s="80"/>
      <c r="AC305" s="16">
        <v>0</v>
      </c>
      <c r="AD305" s="80"/>
      <c r="AE305" s="57">
        <f t="shared" si="99"/>
        <v>605</v>
      </c>
      <c r="AF305" s="17">
        <f>AE305</f>
        <v>605</v>
      </c>
      <c r="AG305" s="80"/>
      <c r="AH305" s="18">
        <f t="shared" si="9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00"/>
        <v>3</v>
      </c>
      <c r="AO305" s="18"/>
      <c r="AP305" s="18">
        <f ca="1">IFERROR(OFFSET(ITEM_RES!$A$1,MATCH(AQ305,ITEM_RES!$J:$J,0)-1,0),0)</f>
        <v>212010001</v>
      </c>
      <c r="AQ305" s="17" t="s">
        <v>472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471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496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2"/>
        <v>112040002</v>
      </c>
      <c r="B306" s="13">
        <v>11</v>
      </c>
      <c r="C306" s="12">
        <f t="shared" si="103"/>
        <v>2</v>
      </c>
      <c r="D306" s="13">
        <v>4</v>
      </c>
      <c r="E306" s="13">
        <v>0</v>
      </c>
      <c r="F306" s="12">
        <f t="shared" si="104"/>
        <v>2</v>
      </c>
      <c r="H306" s="9">
        <v>2</v>
      </c>
      <c r="I306" s="9">
        <v>2</v>
      </c>
      <c r="K306" s="9" t="s">
        <v>377</v>
      </c>
      <c r="L306" s="9">
        <v>1</v>
      </c>
      <c r="M306" s="9">
        <v>15</v>
      </c>
      <c r="R306" s="9">
        <v>333</v>
      </c>
      <c r="T306" s="86" t="s">
        <v>617</v>
      </c>
      <c r="U306" s="9">
        <f ca="1">IFERROR(OFFSET(ITEM_RES!$A$5,MATCH(BUILDING!T306,ITEM_RES!$J$5:$J$231,0)-1,0),0)</f>
        <v>212030001</v>
      </c>
      <c r="V306" s="11">
        <v>2</v>
      </c>
      <c r="W306" s="86" t="s">
        <v>612</v>
      </c>
      <c r="X306" s="9">
        <f ca="1">IFERROR(OFFSET(ITEM_RES!$A$5,MATCH(BUILDING!W306,ITEM_RES!$J$5:$J$231,0)-1,0),0)</f>
        <v>215040001</v>
      </c>
      <c r="Z306" s="9" t="s">
        <v>589</v>
      </c>
      <c r="AA306" s="9">
        <v>2</v>
      </c>
      <c r="AC306" s="9">
        <v>800</v>
      </c>
      <c r="AE306" s="56">
        <f t="shared" si="99"/>
        <v>210</v>
      </c>
      <c r="AF306" s="10">
        <f>AE305+AE306</f>
        <v>815</v>
      </c>
      <c r="AH306" s="11">
        <f t="shared" si="9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00"/>
        <v>2</v>
      </c>
      <c r="AP306" s="11">
        <f ca="1">IFERROR(OFFSET(ITEM_RES!$A$1,MATCH(AQ306,ITEM_RES!$J:$J,0)-1,0),0)</f>
        <v>212010001</v>
      </c>
      <c r="AQ306" s="10" t="s">
        <v>472</v>
      </c>
      <c r="AR306" s="11">
        <v>50</v>
      </c>
      <c r="AU306" s="11">
        <f ca="1">IFERROR(OFFSET(ITEM_RES!$A$1,MATCH(AV306,ITEM_RES!$J:$J,0)-1,0),0)</f>
        <v>212040001</v>
      </c>
      <c r="AV306" s="10" t="s">
        <v>471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2"/>
        <v>112040003</v>
      </c>
      <c r="B307" s="13">
        <v>11</v>
      </c>
      <c r="C307" s="12">
        <f t="shared" si="103"/>
        <v>2</v>
      </c>
      <c r="D307" s="13">
        <v>4</v>
      </c>
      <c r="E307" s="13">
        <v>0</v>
      </c>
      <c r="F307" s="12">
        <f t="shared" si="104"/>
        <v>3</v>
      </c>
      <c r="H307" s="9">
        <v>2</v>
      </c>
      <c r="I307" s="9">
        <v>3</v>
      </c>
      <c r="K307" s="9" t="s">
        <v>377</v>
      </c>
      <c r="L307" s="9">
        <v>1</v>
      </c>
      <c r="M307" s="9">
        <v>15</v>
      </c>
      <c r="R307" s="9">
        <v>333</v>
      </c>
      <c r="T307" s="86" t="s">
        <v>617</v>
      </c>
      <c r="U307" s="9">
        <f ca="1">IFERROR(OFFSET(ITEM_RES!$A$5,MATCH(BUILDING!T307,ITEM_RES!$J$5:$J$231,0)-1,0),0)</f>
        <v>212030001</v>
      </c>
      <c r="V307" s="11">
        <v>2</v>
      </c>
      <c r="W307" s="86" t="s">
        <v>612</v>
      </c>
      <c r="X307" s="9">
        <f ca="1">IFERROR(OFFSET(ITEM_RES!$A$5,MATCH(BUILDING!W307,ITEM_RES!$J$5:$J$231,0)-1,0),0)</f>
        <v>215040001</v>
      </c>
      <c r="Z307" s="9" t="s">
        <v>589</v>
      </c>
      <c r="AA307" s="9">
        <v>3</v>
      </c>
      <c r="AC307" s="9">
        <v>1200</v>
      </c>
      <c r="AE307" s="56">
        <f t="shared" si="99"/>
        <v>315</v>
      </c>
      <c r="AF307" s="10">
        <f t="shared" ref="AF307:AF324" si="106">AE306+AE307</f>
        <v>525</v>
      </c>
      <c r="AH307" s="11">
        <f t="shared" si="9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00"/>
        <v>2</v>
      </c>
      <c r="AP307" s="11">
        <f ca="1">IFERROR(OFFSET(ITEM_RES!$A$1,MATCH(AQ307,ITEM_RES!$J:$J,0)-1,0),0)</f>
        <v>212010001</v>
      </c>
      <c r="AQ307" s="10" t="s">
        <v>472</v>
      </c>
      <c r="AR307" s="11">
        <v>75</v>
      </c>
      <c r="AU307" s="11">
        <f ca="1">IFERROR(OFFSET(ITEM_RES!$A$1,MATCH(AV307,ITEM_RES!$J:$J,0)-1,0),0)</f>
        <v>212040001</v>
      </c>
      <c r="AV307" s="10" t="s">
        <v>471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2"/>
        <v>112040004</v>
      </c>
      <c r="B308" s="13">
        <v>11</v>
      </c>
      <c r="C308" s="12">
        <f t="shared" si="103"/>
        <v>2</v>
      </c>
      <c r="D308" s="13">
        <v>4</v>
      </c>
      <c r="E308" s="13">
        <v>0</v>
      </c>
      <c r="F308" s="12">
        <f t="shared" si="104"/>
        <v>4</v>
      </c>
      <c r="H308" s="9">
        <v>2</v>
      </c>
      <c r="I308" s="9">
        <v>4</v>
      </c>
      <c r="K308" s="9" t="s">
        <v>377</v>
      </c>
      <c r="L308" s="9">
        <v>1</v>
      </c>
      <c r="M308" s="9">
        <v>15</v>
      </c>
      <c r="R308" s="9">
        <v>333</v>
      </c>
      <c r="T308" s="86" t="s">
        <v>617</v>
      </c>
      <c r="U308" s="9">
        <f ca="1">IFERROR(OFFSET(ITEM_RES!$A$5,MATCH(BUILDING!T308,ITEM_RES!$J$5:$J$231,0)-1,0),0)</f>
        <v>212030001</v>
      </c>
      <c r="V308" s="11">
        <v>2</v>
      </c>
      <c r="W308" s="86" t="s">
        <v>612</v>
      </c>
      <c r="X308" s="9">
        <f ca="1">IFERROR(OFFSET(ITEM_RES!$A$5,MATCH(BUILDING!W308,ITEM_RES!$J$5:$J$231,0)-1,0),0)</f>
        <v>215040001</v>
      </c>
      <c r="Z308" s="9" t="s">
        <v>589</v>
      </c>
      <c r="AA308" s="9">
        <v>4</v>
      </c>
      <c r="AC308" s="9">
        <v>2000</v>
      </c>
      <c r="AE308" s="56">
        <f t="shared" si="99"/>
        <v>525</v>
      </c>
      <c r="AF308" s="10">
        <f t="shared" si="106"/>
        <v>840</v>
      </c>
      <c r="AH308" s="11">
        <f t="shared" si="9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00"/>
        <v>2</v>
      </c>
      <c r="AP308" s="11">
        <f ca="1">IFERROR(OFFSET(ITEM_RES!$A$1,MATCH(AQ308,ITEM_RES!$J:$J,0)-1,0),0)</f>
        <v>212010001</v>
      </c>
      <c r="AQ308" s="10" t="s">
        <v>472</v>
      </c>
      <c r="AR308" s="11">
        <v>125</v>
      </c>
      <c r="AU308" s="11">
        <f ca="1">IFERROR(OFFSET(ITEM_RES!$A$1,MATCH(AV308,ITEM_RES!$J:$J,0)-1,0),0)</f>
        <v>212040001</v>
      </c>
      <c r="AV308" s="10" t="s">
        <v>471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2"/>
        <v>112040005</v>
      </c>
      <c r="B309" s="13">
        <v>11</v>
      </c>
      <c r="C309" s="12">
        <f t="shared" si="103"/>
        <v>2</v>
      </c>
      <c r="D309" s="13">
        <v>4</v>
      </c>
      <c r="E309" s="13">
        <v>0</v>
      </c>
      <c r="F309" s="12">
        <f t="shared" si="104"/>
        <v>5</v>
      </c>
      <c r="H309" s="9">
        <v>2</v>
      </c>
      <c r="I309" s="9">
        <v>5</v>
      </c>
      <c r="K309" s="9" t="s">
        <v>377</v>
      </c>
      <c r="L309" s="9">
        <v>1</v>
      </c>
      <c r="M309" s="9">
        <v>15</v>
      </c>
      <c r="R309" s="9">
        <v>333</v>
      </c>
      <c r="T309" s="86" t="s">
        <v>617</v>
      </c>
      <c r="U309" s="9">
        <f ca="1">IFERROR(OFFSET(ITEM_RES!$A$5,MATCH(BUILDING!T309,ITEM_RES!$J$5:$J$231,0)-1,0),0)</f>
        <v>212030001</v>
      </c>
      <c r="V309" s="11">
        <v>2</v>
      </c>
      <c r="W309" s="86" t="s">
        <v>612</v>
      </c>
      <c r="X309" s="9">
        <f ca="1">IFERROR(OFFSET(ITEM_RES!$A$5,MATCH(BUILDING!W309,ITEM_RES!$J$5:$J$231,0)-1,0),0)</f>
        <v>215040001</v>
      </c>
      <c r="Z309" s="9" t="s">
        <v>589</v>
      </c>
      <c r="AA309" s="9">
        <v>5</v>
      </c>
      <c r="AC309" s="9">
        <v>3200</v>
      </c>
      <c r="AE309" s="56">
        <f t="shared" si="99"/>
        <v>840</v>
      </c>
      <c r="AF309" s="10">
        <f t="shared" si="106"/>
        <v>1365</v>
      </c>
      <c r="AH309" s="11">
        <f t="shared" si="9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00"/>
        <v>2</v>
      </c>
      <c r="AP309" s="11">
        <f ca="1">IFERROR(OFFSET(ITEM_RES!$A$1,MATCH(AQ309,ITEM_RES!$J:$J,0)-1,0),0)</f>
        <v>212010001</v>
      </c>
      <c r="AQ309" s="10" t="s">
        <v>472</v>
      </c>
      <c r="AR309" s="11">
        <v>200</v>
      </c>
      <c r="AU309" s="11">
        <f ca="1">IFERROR(OFFSET(ITEM_RES!$A$1,MATCH(AV309,ITEM_RES!$J:$J,0)-1,0),0)</f>
        <v>212040001</v>
      </c>
      <c r="AV309" s="10" t="s">
        <v>471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2"/>
        <v>112040006</v>
      </c>
      <c r="B310" s="13">
        <v>11</v>
      </c>
      <c r="C310" s="12">
        <f t="shared" si="103"/>
        <v>2</v>
      </c>
      <c r="D310" s="13">
        <v>4</v>
      </c>
      <c r="E310" s="13">
        <v>0</v>
      </c>
      <c r="F310" s="12">
        <f t="shared" si="104"/>
        <v>6</v>
      </c>
      <c r="H310" s="9">
        <v>2</v>
      </c>
      <c r="I310" s="9">
        <v>6</v>
      </c>
      <c r="K310" s="9" t="s">
        <v>377</v>
      </c>
      <c r="L310" s="9">
        <v>1</v>
      </c>
      <c r="M310" s="9">
        <v>15</v>
      </c>
      <c r="R310" s="9">
        <v>333</v>
      </c>
      <c r="T310" s="86" t="s">
        <v>617</v>
      </c>
      <c r="U310" s="9">
        <f ca="1">IFERROR(OFFSET(ITEM_RES!$A$5,MATCH(BUILDING!T310,ITEM_RES!$J$5:$J$231,0)-1,0),0)</f>
        <v>212030001</v>
      </c>
      <c r="V310" s="11">
        <v>2</v>
      </c>
      <c r="W310" s="86" t="s">
        <v>612</v>
      </c>
      <c r="X310" s="9">
        <f ca="1">IFERROR(OFFSET(ITEM_RES!$A$5,MATCH(BUILDING!W310,ITEM_RES!$J$5:$J$231,0)-1,0),0)</f>
        <v>215040001</v>
      </c>
      <c r="Z310" s="9" t="s">
        <v>589</v>
      </c>
      <c r="AA310" s="9">
        <v>6</v>
      </c>
      <c r="AC310" s="9">
        <v>4000</v>
      </c>
      <c r="AE310" s="56">
        <f t="shared" si="99"/>
        <v>1050</v>
      </c>
      <c r="AF310" s="10">
        <f t="shared" si="106"/>
        <v>1890</v>
      </c>
      <c r="AH310" s="11">
        <f t="shared" si="9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00"/>
        <v>2</v>
      </c>
      <c r="AP310" s="11">
        <f ca="1">IFERROR(OFFSET(ITEM_RES!$A$1,MATCH(AQ310,ITEM_RES!$J:$J,0)-1,0),0)</f>
        <v>212010001</v>
      </c>
      <c r="AQ310" s="10" t="s">
        <v>472</v>
      </c>
      <c r="AR310" s="11">
        <v>250</v>
      </c>
      <c r="AU310" s="11">
        <f ca="1">IFERROR(OFFSET(ITEM_RES!$A$1,MATCH(AV310,ITEM_RES!$J:$J,0)-1,0),0)</f>
        <v>212040001</v>
      </c>
      <c r="AV310" s="10" t="s">
        <v>471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2"/>
        <v>112040007</v>
      </c>
      <c r="B311" s="13">
        <v>11</v>
      </c>
      <c r="C311" s="12">
        <f t="shared" si="103"/>
        <v>2</v>
      </c>
      <c r="D311" s="13">
        <v>4</v>
      </c>
      <c r="E311" s="13">
        <v>0</v>
      </c>
      <c r="F311" s="12">
        <f t="shared" si="104"/>
        <v>7</v>
      </c>
      <c r="H311" s="9">
        <v>2</v>
      </c>
      <c r="I311" s="9">
        <v>7</v>
      </c>
      <c r="K311" s="9" t="s">
        <v>376</v>
      </c>
      <c r="L311" s="9">
        <v>1</v>
      </c>
      <c r="M311" s="9">
        <v>15</v>
      </c>
      <c r="R311" s="9">
        <v>333</v>
      </c>
      <c r="T311" s="86" t="s">
        <v>617</v>
      </c>
      <c r="U311" s="9">
        <f ca="1">IFERROR(OFFSET(ITEM_RES!$A$5,MATCH(BUILDING!T311,ITEM_RES!$J$5:$J$231,0)-1,0),0)</f>
        <v>212030001</v>
      </c>
      <c r="V311" s="11">
        <v>2</v>
      </c>
      <c r="W311" s="86" t="s">
        <v>612</v>
      </c>
      <c r="X311" s="9">
        <f ca="1">IFERROR(OFFSET(ITEM_RES!$A$5,MATCH(BUILDING!W311,ITEM_RES!$J$5:$J$231,0)-1,0),0)</f>
        <v>215040001</v>
      </c>
      <c r="Z311" s="9" t="s">
        <v>589</v>
      </c>
      <c r="AA311" s="9">
        <v>7</v>
      </c>
      <c r="AC311" s="9">
        <v>8000</v>
      </c>
      <c r="AE311" s="56">
        <f t="shared" si="99"/>
        <v>2100</v>
      </c>
      <c r="AF311" s="10">
        <f t="shared" si="106"/>
        <v>3150</v>
      </c>
      <c r="AH311" s="11">
        <f t="shared" si="9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00"/>
        <v>2</v>
      </c>
      <c r="AP311" s="11">
        <f ca="1">IFERROR(OFFSET(ITEM_RES!$A$1,MATCH(AQ311,ITEM_RES!$J:$J,0)-1,0),0)</f>
        <v>212010001</v>
      </c>
      <c r="AQ311" s="10" t="s">
        <v>472</v>
      </c>
      <c r="AR311" s="11">
        <v>500</v>
      </c>
      <c r="AU311" s="11">
        <f ca="1">IFERROR(OFFSET(ITEM_RES!$A$1,MATCH(AV311,ITEM_RES!$J:$J,0)-1,0),0)</f>
        <v>212040001</v>
      </c>
      <c r="AV311" s="10" t="s">
        <v>471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2"/>
        <v>112040008</v>
      </c>
      <c r="B312" s="13">
        <v>11</v>
      </c>
      <c r="C312" s="12">
        <f t="shared" si="103"/>
        <v>2</v>
      </c>
      <c r="D312" s="13">
        <v>4</v>
      </c>
      <c r="E312" s="13">
        <v>0</v>
      </c>
      <c r="F312" s="12">
        <f t="shared" si="104"/>
        <v>8</v>
      </c>
      <c r="H312" s="9">
        <v>2</v>
      </c>
      <c r="I312" s="9">
        <v>8</v>
      </c>
      <c r="K312" s="9" t="s">
        <v>376</v>
      </c>
      <c r="L312" s="9">
        <v>1</v>
      </c>
      <c r="M312" s="9">
        <v>15</v>
      </c>
      <c r="R312" s="9">
        <v>333</v>
      </c>
      <c r="T312" s="86" t="s">
        <v>617</v>
      </c>
      <c r="U312" s="9">
        <f ca="1">IFERROR(OFFSET(ITEM_RES!$A$5,MATCH(BUILDING!T312,ITEM_RES!$J$5:$J$231,0)-1,0),0)</f>
        <v>212030001</v>
      </c>
      <c r="V312" s="11">
        <v>2</v>
      </c>
      <c r="W312" s="86" t="s">
        <v>612</v>
      </c>
      <c r="X312" s="9">
        <f ca="1">IFERROR(OFFSET(ITEM_RES!$A$5,MATCH(BUILDING!W312,ITEM_RES!$J$5:$J$231,0)-1,0),0)</f>
        <v>215040001</v>
      </c>
      <c r="Z312" s="9" t="s">
        <v>589</v>
      </c>
      <c r="AA312" s="9">
        <v>8</v>
      </c>
      <c r="AC312" s="9">
        <v>8000</v>
      </c>
      <c r="AE312" s="56">
        <f t="shared" si="99"/>
        <v>2600</v>
      </c>
      <c r="AF312" s="10">
        <f t="shared" si="106"/>
        <v>4700</v>
      </c>
      <c r="AH312" s="11">
        <f t="shared" si="9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00"/>
        <v>3</v>
      </c>
      <c r="AP312" s="11">
        <f ca="1">IFERROR(OFFSET(ITEM_RES!$A$1,MATCH(AQ312,ITEM_RES!$J:$J,0)-1,0),0)</f>
        <v>212010001</v>
      </c>
      <c r="AQ312" s="10" t="s">
        <v>472</v>
      </c>
      <c r="AR312" s="11">
        <v>500</v>
      </c>
      <c r="AU312" s="11">
        <f ca="1">IFERROR(OFFSET(ITEM_RES!$A$1,MATCH(AV312,ITEM_RES!$J:$J,0)-1,0),0)</f>
        <v>212040001</v>
      </c>
      <c r="AV312" s="10" t="s">
        <v>471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213100001</v>
      </c>
      <c r="BF312" s="10" t="s">
        <v>509</v>
      </c>
      <c r="BG312" s="11">
        <v>1</v>
      </c>
      <c r="BJ312" s="11">
        <f ca="1">IFERROR(OFFSET(ITEM_RES!$A$1,MATCH(BK312,ITEM_RES!$J:$J,0)-1,0),0)</f>
        <v>0</v>
      </c>
    </row>
    <row r="313" spans="1:65" x14ac:dyDescent="0.3">
      <c r="A313" s="14">
        <f t="shared" si="102"/>
        <v>112040009</v>
      </c>
      <c r="B313" s="13">
        <v>11</v>
      </c>
      <c r="C313" s="12">
        <f t="shared" si="103"/>
        <v>2</v>
      </c>
      <c r="D313" s="13">
        <v>4</v>
      </c>
      <c r="E313" s="13">
        <v>0</v>
      </c>
      <c r="F313" s="12">
        <f t="shared" si="104"/>
        <v>9</v>
      </c>
      <c r="H313" s="9">
        <v>2</v>
      </c>
      <c r="I313" s="9">
        <v>9</v>
      </c>
      <c r="K313" s="9" t="s">
        <v>376</v>
      </c>
      <c r="L313" s="9">
        <v>1</v>
      </c>
      <c r="M313" s="9">
        <v>15</v>
      </c>
      <c r="R313" s="9">
        <v>333</v>
      </c>
      <c r="T313" s="86" t="s">
        <v>617</v>
      </c>
      <c r="U313" s="9">
        <f ca="1">IFERROR(OFFSET(ITEM_RES!$A$5,MATCH(BUILDING!T313,ITEM_RES!$J$5:$J$231,0)-1,0),0)</f>
        <v>212030001</v>
      </c>
      <c r="V313" s="11">
        <v>2</v>
      </c>
      <c r="W313" s="86" t="s">
        <v>612</v>
      </c>
      <c r="X313" s="9">
        <f ca="1">IFERROR(OFFSET(ITEM_RES!$A$5,MATCH(BUILDING!W313,ITEM_RES!$J$5:$J$231,0)-1,0),0)</f>
        <v>215040001</v>
      </c>
      <c r="Z313" s="9" t="s">
        <v>589</v>
      </c>
      <c r="AA313" s="9">
        <v>9</v>
      </c>
      <c r="AC313" s="9">
        <v>12000</v>
      </c>
      <c r="AE313" s="56">
        <f t="shared" si="99"/>
        <v>3150</v>
      </c>
      <c r="AF313" s="10">
        <f t="shared" si="106"/>
        <v>5750</v>
      </c>
      <c r="AH313" s="11">
        <f t="shared" si="9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00"/>
        <v>2</v>
      </c>
      <c r="AP313" s="11">
        <f ca="1">IFERROR(OFFSET(ITEM_RES!$A$1,MATCH(AQ313,ITEM_RES!$J:$J,0)-1,0),0)</f>
        <v>215070001</v>
      </c>
      <c r="AQ313" s="10" t="s">
        <v>468</v>
      </c>
      <c r="AR313" s="11">
        <v>750</v>
      </c>
      <c r="AU313" s="11">
        <f ca="1">IFERROR(OFFSET(ITEM_RES!$A$1,MATCH(AV313,ITEM_RES!$J:$J,0)-1,0),0)</f>
        <v>212040001</v>
      </c>
      <c r="AV313" s="10" t="s">
        <v>471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2"/>
        <v>112040010</v>
      </c>
      <c r="B314" s="13">
        <v>11</v>
      </c>
      <c r="C314" s="12">
        <f t="shared" si="103"/>
        <v>2</v>
      </c>
      <c r="D314" s="13">
        <v>4</v>
      </c>
      <c r="E314" s="13">
        <v>0</v>
      </c>
      <c r="F314" s="12">
        <f t="shared" si="104"/>
        <v>10</v>
      </c>
      <c r="H314" s="9">
        <v>2</v>
      </c>
      <c r="I314" s="9">
        <v>10</v>
      </c>
      <c r="K314" s="9" t="s">
        <v>376</v>
      </c>
      <c r="L314" s="9">
        <v>1</v>
      </c>
      <c r="M314" s="9">
        <v>15</v>
      </c>
      <c r="R314" s="9">
        <v>333</v>
      </c>
      <c r="T314" s="86" t="s">
        <v>617</v>
      </c>
      <c r="U314" s="9">
        <f ca="1">IFERROR(OFFSET(ITEM_RES!$A$5,MATCH(BUILDING!T314,ITEM_RES!$J$5:$J$231,0)-1,0),0)</f>
        <v>212030001</v>
      </c>
      <c r="V314" s="11">
        <v>2</v>
      </c>
      <c r="W314" s="86" t="s">
        <v>612</v>
      </c>
      <c r="X314" s="9">
        <f ca="1">IFERROR(OFFSET(ITEM_RES!$A$5,MATCH(BUILDING!W314,ITEM_RES!$J$5:$J$231,0)-1,0),0)</f>
        <v>215040001</v>
      </c>
      <c r="Z314" s="9" t="s">
        <v>589</v>
      </c>
      <c r="AA314" s="9">
        <v>10</v>
      </c>
      <c r="AC314" s="9">
        <v>16000</v>
      </c>
      <c r="AE314" s="56">
        <f t="shared" si="99"/>
        <v>4200</v>
      </c>
      <c r="AF314" s="10">
        <f t="shared" si="106"/>
        <v>7350</v>
      </c>
      <c r="AH314" s="11">
        <f t="shared" si="9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00"/>
        <v>2</v>
      </c>
      <c r="AP314" s="11">
        <f ca="1">IFERROR(OFFSET(ITEM_RES!$A$1,MATCH(AQ314,ITEM_RES!$J:$J,0)-1,0),0)</f>
        <v>215070001</v>
      </c>
      <c r="AQ314" s="10" t="s">
        <v>468</v>
      </c>
      <c r="AR314" s="11">
        <v>1000</v>
      </c>
      <c r="AU314" s="11">
        <f ca="1">IFERROR(OFFSET(ITEM_RES!$A$1,MATCH(AV314,ITEM_RES!$J:$J,0)-1,0),0)</f>
        <v>212040001</v>
      </c>
      <c r="AV314" s="10" t="s">
        <v>471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2"/>
        <v>112040011</v>
      </c>
      <c r="B315" s="13">
        <v>11</v>
      </c>
      <c r="C315" s="12">
        <f t="shared" si="103"/>
        <v>2</v>
      </c>
      <c r="D315" s="13">
        <v>4</v>
      </c>
      <c r="E315" s="13">
        <v>0</v>
      </c>
      <c r="F315" s="12">
        <f t="shared" si="104"/>
        <v>11</v>
      </c>
      <c r="H315" s="9">
        <v>2</v>
      </c>
      <c r="I315" s="9">
        <v>11</v>
      </c>
      <c r="K315" s="9" t="s">
        <v>376</v>
      </c>
      <c r="L315" s="9">
        <v>1</v>
      </c>
      <c r="M315" s="9">
        <v>15</v>
      </c>
      <c r="R315" s="9">
        <v>333</v>
      </c>
      <c r="T315" s="86" t="s">
        <v>617</v>
      </c>
      <c r="U315" s="9">
        <f ca="1">IFERROR(OFFSET(ITEM_RES!$A$5,MATCH(BUILDING!T315,ITEM_RES!$J$5:$J$231,0)-1,0),0)</f>
        <v>212030001</v>
      </c>
      <c r="V315" s="11">
        <v>2</v>
      </c>
      <c r="W315" s="86" t="s">
        <v>612</v>
      </c>
      <c r="X315" s="9">
        <f ca="1">IFERROR(OFFSET(ITEM_RES!$A$5,MATCH(BUILDING!W315,ITEM_RES!$J$5:$J$231,0)-1,0),0)</f>
        <v>215040001</v>
      </c>
      <c r="Z315" s="9" t="s">
        <v>589</v>
      </c>
      <c r="AA315" s="9">
        <v>11</v>
      </c>
      <c r="AC315" s="9">
        <v>20000</v>
      </c>
      <c r="AE315" s="56">
        <f t="shared" si="99"/>
        <v>5250</v>
      </c>
      <c r="AF315" s="10">
        <f t="shared" si="106"/>
        <v>9450</v>
      </c>
      <c r="AH315" s="11">
        <f t="shared" si="9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00"/>
        <v>2</v>
      </c>
      <c r="AP315" s="11">
        <f ca="1">IFERROR(OFFSET(ITEM_RES!$A$1,MATCH(AQ315,ITEM_RES!$J:$J,0)-1,0),0)</f>
        <v>215070001</v>
      </c>
      <c r="AQ315" s="10" t="s">
        <v>468</v>
      </c>
      <c r="AR315" s="11">
        <v>1250</v>
      </c>
      <c r="AU315" s="11">
        <f ca="1">IFERROR(OFFSET(ITEM_RES!$A$1,MATCH(AV315,ITEM_RES!$J:$J,0)-1,0),0)</f>
        <v>212040001</v>
      </c>
      <c r="AV315" s="10" t="s">
        <v>471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2"/>
        <v>112040012</v>
      </c>
      <c r="B316" s="13">
        <v>11</v>
      </c>
      <c r="C316" s="12">
        <f t="shared" si="103"/>
        <v>2</v>
      </c>
      <c r="D316" s="13">
        <v>4</v>
      </c>
      <c r="E316" s="13">
        <v>0</v>
      </c>
      <c r="F316" s="12">
        <f t="shared" si="104"/>
        <v>12</v>
      </c>
      <c r="H316" s="9">
        <v>2</v>
      </c>
      <c r="I316" s="9">
        <v>12</v>
      </c>
      <c r="K316" s="9" t="s">
        <v>376</v>
      </c>
      <c r="L316" s="9">
        <v>1</v>
      </c>
      <c r="M316" s="9">
        <v>15</v>
      </c>
      <c r="R316" s="9">
        <v>333</v>
      </c>
      <c r="T316" s="86" t="s">
        <v>617</v>
      </c>
      <c r="U316" s="9">
        <f ca="1">IFERROR(OFFSET(ITEM_RES!$A$5,MATCH(BUILDING!T316,ITEM_RES!$J$5:$J$231,0)-1,0),0)</f>
        <v>212030001</v>
      </c>
      <c r="V316" s="11">
        <v>2</v>
      </c>
      <c r="W316" s="86" t="s">
        <v>612</v>
      </c>
      <c r="X316" s="9">
        <f ca="1">IFERROR(OFFSET(ITEM_RES!$A$5,MATCH(BUILDING!W316,ITEM_RES!$J$5:$J$231,0)-1,0),0)</f>
        <v>215040001</v>
      </c>
      <c r="Z316" s="9" t="s">
        <v>589</v>
      </c>
      <c r="AA316" s="9">
        <v>12</v>
      </c>
      <c r="AC316" s="9">
        <v>24000</v>
      </c>
      <c r="AE316" s="56">
        <f t="shared" si="99"/>
        <v>6300</v>
      </c>
      <c r="AF316" s="10">
        <f t="shared" si="106"/>
        <v>11550</v>
      </c>
      <c r="AH316" s="11">
        <f t="shared" si="9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00"/>
        <v>2</v>
      </c>
      <c r="AP316" s="11">
        <f ca="1">IFERROR(OFFSET(ITEM_RES!$A$1,MATCH(AQ316,ITEM_RES!$J:$J,0)-1,0),0)</f>
        <v>215070001</v>
      </c>
      <c r="AQ316" s="10" t="s">
        <v>468</v>
      </c>
      <c r="AR316" s="11">
        <v>1500</v>
      </c>
      <c r="AU316" s="11">
        <f ca="1">IFERROR(OFFSET(ITEM_RES!$A$1,MATCH(AV316,ITEM_RES!$J:$J,0)-1,0),0)</f>
        <v>212040001</v>
      </c>
      <c r="AV316" s="10" t="s">
        <v>471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2"/>
        <v>112040013</v>
      </c>
      <c r="B317" s="13">
        <v>11</v>
      </c>
      <c r="C317" s="12">
        <f t="shared" si="103"/>
        <v>2</v>
      </c>
      <c r="D317" s="13">
        <v>4</v>
      </c>
      <c r="E317" s="13">
        <v>0</v>
      </c>
      <c r="F317" s="12">
        <f t="shared" si="104"/>
        <v>13</v>
      </c>
      <c r="H317" s="9">
        <v>2</v>
      </c>
      <c r="I317" s="9">
        <v>13</v>
      </c>
      <c r="K317" s="9" t="s">
        <v>376</v>
      </c>
      <c r="L317" s="9">
        <v>1</v>
      </c>
      <c r="M317" s="9">
        <v>15</v>
      </c>
      <c r="R317" s="9">
        <v>333</v>
      </c>
      <c r="T317" s="86" t="s">
        <v>617</v>
      </c>
      <c r="U317" s="9">
        <f ca="1">IFERROR(OFFSET(ITEM_RES!$A$5,MATCH(BUILDING!T317,ITEM_RES!$J$5:$J$231,0)-1,0),0)</f>
        <v>212030001</v>
      </c>
      <c r="V317" s="11">
        <v>2</v>
      </c>
      <c r="W317" s="86" t="s">
        <v>612</v>
      </c>
      <c r="X317" s="9">
        <f ca="1">IFERROR(OFFSET(ITEM_RES!$A$5,MATCH(BUILDING!W317,ITEM_RES!$J$5:$J$231,0)-1,0),0)</f>
        <v>215040001</v>
      </c>
      <c r="Z317" s="9" t="s">
        <v>589</v>
      </c>
      <c r="AA317" s="9">
        <v>13</v>
      </c>
      <c r="AC317" s="9">
        <v>28000</v>
      </c>
      <c r="AE317" s="56">
        <f t="shared" si="99"/>
        <v>7350</v>
      </c>
      <c r="AF317" s="10">
        <f t="shared" si="106"/>
        <v>13650</v>
      </c>
      <c r="AH317" s="11">
        <f t="shared" si="9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00"/>
        <v>2</v>
      </c>
      <c r="AP317" s="11">
        <f ca="1">IFERROR(OFFSET(ITEM_RES!$A$1,MATCH(AQ317,ITEM_RES!$J:$J,0)-1,0),0)</f>
        <v>215070001</v>
      </c>
      <c r="AQ317" s="10" t="s">
        <v>468</v>
      </c>
      <c r="AR317" s="11">
        <v>1750</v>
      </c>
      <c r="AU317" s="11">
        <f ca="1">IFERROR(OFFSET(ITEM_RES!$A$1,MATCH(AV317,ITEM_RES!$J:$J,0)-1,0),0)</f>
        <v>212040001</v>
      </c>
      <c r="AV317" s="10" t="s">
        <v>471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2"/>
        <v>112040014</v>
      </c>
      <c r="B318" s="13">
        <v>11</v>
      </c>
      <c r="C318" s="12">
        <f t="shared" si="103"/>
        <v>2</v>
      </c>
      <c r="D318" s="13">
        <v>4</v>
      </c>
      <c r="E318" s="13">
        <v>0</v>
      </c>
      <c r="F318" s="12">
        <f t="shared" si="104"/>
        <v>14</v>
      </c>
      <c r="H318" s="9">
        <v>2</v>
      </c>
      <c r="I318" s="9">
        <v>14</v>
      </c>
      <c r="K318" s="9" t="s">
        <v>376</v>
      </c>
      <c r="L318" s="9">
        <v>1</v>
      </c>
      <c r="M318" s="9">
        <v>15</v>
      </c>
      <c r="R318" s="9">
        <v>333</v>
      </c>
      <c r="T318" s="86" t="s">
        <v>617</v>
      </c>
      <c r="U318" s="9">
        <f ca="1">IFERROR(OFFSET(ITEM_RES!$A$5,MATCH(BUILDING!T318,ITEM_RES!$J$5:$J$231,0)-1,0),0)</f>
        <v>212030001</v>
      </c>
      <c r="V318" s="11">
        <v>2</v>
      </c>
      <c r="W318" s="86" t="s">
        <v>612</v>
      </c>
      <c r="X318" s="9">
        <f ca="1">IFERROR(OFFSET(ITEM_RES!$A$5,MATCH(BUILDING!W318,ITEM_RES!$J$5:$J$231,0)-1,0),0)</f>
        <v>215040001</v>
      </c>
      <c r="Z318" s="9" t="s">
        <v>589</v>
      </c>
      <c r="AA318" s="9">
        <v>14</v>
      </c>
      <c r="AC318" s="9">
        <v>36000</v>
      </c>
      <c r="AE318" s="56">
        <f t="shared" si="99"/>
        <v>9450</v>
      </c>
      <c r="AF318" s="10">
        <f t="shared" si="106"/>
        <v>16800</v>
      </c>
      <c r="AH318" s="11">
        <f t="shared" si="9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00"/>
        <v>2</v>
      </c>
      <c r="AP318" s="11">
        <f ca="1">IFERROR(OFFSET(ITEM_RES!$A$1,MATCH(AQ318,ITEM_RES!$J:$J,0)-1,0),0)</f>
        <v>215070001</v>
      </c>
      <c r="AQ318" s="10" t="s">
        <v>468</v>
      </c>
      <c r="AR318" s="11">
        <v>2250</v>
      </c>
      <c r="AU318" s="11">
        <f ca="1">IFERROR(OFFSET(ITEM_RES!$A$1,MATCH(AV318,ITEM_RES!$J:$J,0)-1,0),0)</f>
        <v>212040001</v>
      </c>
      <c r="AV318" s="10" t="s">
        <v>471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102"/>
        <v>112040015</v>
      </c>
      <c r="B319" s="13">
        <v>11</v>
      </c>
      <c r="C319" s="12">
        <f t="shared" si="103"/>
        <v>2</v>
      </c>
      <c r="D319" s="13">
        <v>4</v>
      </c>
      <c r="E319" s="13">
        <v>0</v>
      </c>
      <c r="F319" s="12">
        <f t="shared" si="104"/>
        <v>15</v>
      </c>
      <c r="H319" s="9">
        <v>2</v>
      </c>
      <c r="I319" s="9">
        <v>15</v>
      </c>
      <c r="K319" s="9" t="s">
        <v>376</v>
      </c>
      <c r="L319" s="9">
        <v>1</v>
      </c>
      <c r="M319" s="9">
        <v>15</v>
      </c>
      <c r="R319" s="9">
        <v>333</v>
      </c>
      <c r="T319" s="86" t="s">
        <v>617</v>
      </c>
      <c r="U319" s="9">
        <f ca="1">IFERROR(OFFSET(ITEM_RES!$A$5,MATCH(BUILDING!T319,ITEM_RES!$J$5:$J$231,0)-1,0),0)</f>
        <v>212030001</v>
      </c>
      <c r="V319" s="11">
        <v>2</v>
      </c>
      <c r="W319" s="86" t="s">
        <v>612</v>
      </c>
      <c r="X319" s="9">
        <f ca="1">IFERROR(OFFSET(ITEM_RES!$A$5,MATCH(BUILDING!W319,ITEM_RES!$J$5:$J$231,0)-1,0),0)</f>
        <v>215040001</v>
      </c>
      <c r="Z319" s="9" t="s">
        <v>589</v>
      </c>
      <c r="AA319" s="9">
        <v>15</v>
      </c>
      <c r="AC319" s="9">
        <v>44000</v>
      </c>
      <c r="AE319" s="56">
        <f t="shared" si="99"/>
        <v>11550</v>
      </c>
      <c r="AF319" s="10">
        <f t="shared" si="106"/>
        <v>21000</v>
      </c>
      <c r="AH319" s="11">
        <f t="shared" si="9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00"/>
        <v>2</v>
      </c>
      <c r="AP319" s="11">
        <f ca="1">IFERROR(OFFSET(ITEM_RES!$A$1,MATCH(AQ319,ITEM_RES!$J:$J,0)-1,0),0)</f>
        <v>215070001</v>
      </c>
      <c r="AQ319" s="10" t="s">
        <v>468</v>
      </c>
      <c r="AR319" s="11">
        <v>2750</v>
      </c>
      <c r="AU319" s="11">
        <f ca="1">IFERROR(OFFSET(ITEM_RES!$A$1,MATCH(AV319,ITEM_RES!$J:$J,0)-1,0),0)</f>
        <v>212040001</v>
      </c>
      <c r="AV319" s="10" t="s">
        <v>471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2"/>
        <v>112040016</v>
      </c>
      <c r="B320" s="13">
        <v>11</v>
      </c>
      <c r="C320" s="12">
        <f t="shared" si="103"/>
        <v>2</v>
      </c>
      <c r="D320" s="13">
        <v>4</v>
      </c>
      <c r="E320" s="13">
        <v>0</v>
      </c>
      <c r="F320" s="12">
        <f t="shared" si="104"/>
        <v>16</v>
      </c>
      <c r="H320" s="9">
        <v>2</v>
      </c>
      <c r="I320" s="9">
        <v>16</v>
      </c>
      <c r="K320" s="9" t="s">
        <v>376</v>
      </c>
      <c r="L320" s="9">
        <v>0</v>
      </c>
      <c r="M320" s="9">
        <v>15</v>
      </c>
      <c r="R320" s="9">
        <v>333</v>
      </c>
      <c r="T320" s="86" t="s">
        <v>617</v>
      </c>
      <c r="U320" s="9">
        <f ca="1">IFERROR(OFFSET(ITEM_RES!$A$5,MATCH(BUILDING!T320,ITEM_RES!$J$5:$J$231,0)-1,0),0)</f>
        <v>212030001</v>
      </c>
      <c r="V320" s="11">
        <v>2</v>
      </c>
      <c r="W320" s="86" t="s">
        <v>612</v>
      </c>
      <c r="X320" s="9">
        <f ca="1">IFERROR(OFFSET(ITEM_RES!$A$5,MATCH(BUILDING!W320,ITEM_RES!$J$5:$J$231,0)-1,0),0)</f>
        <v>215040001</v>
      </c>
      <c r="Z320" s="9" t="s">
        <v>589</v>
      </c>
      <c r="AA320" s="9">
        <v>16</v>
      </c>
      <c r="AC320" s="9">
        <v>56000</v>
      </c>
      <c r="AE320" s="56">
        <f t="shared" si="99"/>
        <v>14700</v>
      </c>
      <c r="AF320" s="10">
        <f t="shared" si="106"/>
        <v>26250</v>
      </c>
      <c r="AH320" s="11">
        <f t="shared" si="9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00"/>
        <v>2</v>
      </c>
      <c r="AP320" s="11">
        <f ca="1">IFERROR(OFFSET(ITEM_RES!$A$1,MATCH(AQ320,ITEM_RES!$J:$J,0)-1,0),0)</f>
        <v>215070001</v>
      </c>
      <c r="AQ320" s="10" t="s">
        <v>468</v>
      </c>
      <c r="AR320" s="11">
        <v>3500</v>
      </c>
      <c r="AU320" s="11">
        <f ca="1">IFERROR(OFFSET(ITEM_RES!$A$1,MATCH(AV320,ITEM_RES!$J:$J,0)-1,0),0)</f>
        <v>212040001</v>
      </c>
      <c r="AV320" s="10" t="s">
        <v>471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102"/>
        <v>112040017</v>
      </c>
      <c r="B321" s="13">
        <v>11</v>
      </c>
      <c r="C321" s="12">
        <f t="shared" si="103"/>
        <v>2</v>
      </c>
      <c r="D321" s="13">
        <v>4</v>
      </c>
      <c r="E321" s="13">
        <v>0</v>
      </c>
      <c r="F321" s="12">
        <f t="shared" si="104"/>
        <v>17</v>
      </c>
      <c r="H321" s="9">
        <v>2</v>
      </c>
      <c r="I321" s="9">
        <v>17</v>
      </c>
      <c r="K321" s="9" t="s">
        <v>376</v>
      </c>
      <c r="L321" s="9">
        <v>0</v>
      </c>
      <c r="M321" s="9">
        <v>15</v>
      </c>
      <c r="R321" s="9">
        <v>333</v>
      </c>
      <c r="T321" s="86" t="s">
        <v>617</v>
      </c>
      <c r="U321" s="9">
        <f ca="1">IFERROR(OFFSET(ITEM_RES!$A$5,MATCH(BUILDING!T321,ITEM_RES!$J$5:$J$231,0)-1,0),0)</f>
        <v>212030001</v>
      </c>
      <c r="V321" s="11">
        <v>2</v>
      </c>
      <c r="W321" s="86" t="s">
        <v>612</v>
      </c>
      <c r="X321" s="9">
        <f ca="1">IFERROR(OFFSET(ITEM_RES!$A$5,MATCH(BUILDING!W321,ITEM_RES!$J$5:$J$231,0)-1,0),0)</f>
        <v>215040001</v>
      </c>
      <c r="Z321" s="9" t="s">
        <v>589</v>
      </c>
      <c r="AA321" s="9">
        <v>17</v>
      </c>
      <c r="AC321" s="9">
        <v>68000</v>
      </c>
      <c r="AE321" s="56">
        <f t="shared" si="99"/>
        <v>17850</v>
      </c>
      <c r="AF321" s="10">
        <f t="shared" si="106"/>
        <v>32550</v>
      </c>
      <c r="AH321" s="11">
        <f t="shared" si="9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00"/>
        <v>2</v>
      </c>
      <c r="AP321" s="11">
        <f ca="1">IFERROR(OFFSET(ITEM_RES!$A$1,MATCH(AQ321,ITEM_RES!$J:$J,0)-1,0),0)</f>
        <v>215070001</v>
      </c>
      <c r="AQ321" s="10" t="s">
        <v>468</v>
      </c>
      <c r="AR321" s="11">
        <v>4250</v>
      </c>
      <c r="AU321" s="11">
        <f ca="1">IFERROR(OFFSET(ITEM_RES!$A$1,MATCH(AV321,ITEM_RES!$J:$J,0)-1,0),0)</f>
        <v>212040001</v>
      </c>
      <c r="AV321" s="10" t="s">
        <v>471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02"/>
        <v>112040018</v>
      </c>
      <c r="B322" s="13">
        <v>11</v>
      </c>
      <c r="C322" s="12">
        <f t="shared" si="103"/>
        <v>2</v>
      </c>
      <c r="D322" s="13">
        <v>4</v>
      </c>
      <c r="E322" s="13">
        <v>0</v>
      </c>
      <c r="F322" s="12">
        <f t="shared" si="104"/>
        <v>18</v>
      </c>
      <c r="H322" s="9">
        <v>2</v>
      </c>
      <c r="I322" s="9">
        <v>18</v>
      </c>
      <c r="K322" s="9" t="s">
        <v>376</v>
      </c>
      <c r="L322" s="9">
        <v>0</v>
      </c>
      <c r="M322" s="9">
        <v>15</v>
      </c>
      <c r="R322" s="9">
        <v>333</v>
      </c>
      <c r="T322" s="86" t="s">
        <v>617</v>
      </c>
      <c r="U322" s="9">
        <f ca="1">IFERROR(OFFSET(ITEM_RES!$A$5,MATCH(BUILDING!T322,ITEM_RES!$J$5:$J$231,0)-1,0),0)</f>
        <v>212030001</v>
      </c>
      <c r="V322" s="11">
        <v>2</v>
      </c>
      <c r="W322" s="86" t="s">
        <v>612</v>
      </c>
      <c r="X322" s="9">
        <f ca="1">IFERROR(OFFSET(ITEM_RES!$A$5,MATCH(BUILDING!W322,ITEM_RES!$J$5:$J$231,0)-1,0),0)</f>
        <v>215040001</v>
      </c>
      <c r="Z322" s="9" t="s">
        <v>589</v>
      </c>
      <c r="AA322" s="9">
        <v>18</v>
      </c>
      <c r="AC322" s="9">
        <v>84000</v>
      </c>
      <c r="AE322" s="56">
        <f t="shared" si="99"/>
        <v>22050</v>
      </c>
      <c r="AF322" s="10">
        <f t="shared" si="106"/>
        <v>39900</v>
      </c>
      <c r="AH322" s="11">
        <f t="shared" si="98"/>
        <v>90</v>
      </c>
      <c r="AI322" s="10">
        <v>90</v>
      </c>
      <c r="AJ322" s="11">
        <f t="shared" si="105"/>
        <v>1050</v>
      </c>
      <c r="AK322" s="10">
        <v>1050</v>
      </c>
      <c r="AL322" s="11">
        <f t="shared" si="105"/>
        <v>1050</v>
      </c>
      <c r="AM322" s="10">
        <v>1050</v>
      </c>
      <c r="AN322" s="56">
        <f t="shared" si="100"/>
        <v>2</v>
      </c>
      <c r="AP322" s="11">
        <f ca="1">IFERROR(OFFSET(ITEM_RES!$A$1,MATCH(AQ322,ITEM_RES!$J:$J,0)-1,0),0)</f>
        <v>215070001</v>
      </c>
      <c r="AQ322" s="10" t="s">
        <v>468</v>
      </c>
      <c r="AR322" s="11">
        <v>5250</v>
      </c>
      <c r="AU322" s="11">
        <f ca="1">IFERROR(OFFSET(ITEM_RES!$A$1,MATCH(AV322,ITEM_RES!$J:$J,0)-1,0),0)</f>
        <v>212040001</v>
      </c>
      <c r="AV322" s="10" t="s">
        <v>471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02"/>
        <v>112040019</v>
      </c>
      <c r="B323" s="13">
        <v>11</v>
      </c>
      <c r="C323" s="12">
        <f t="shared" si="103"/>
        <v>2</v>
      </c>
      <c r="D323" s="13">
        <v>4</v>
      </c>
      <c r="E323" s="13">
        <v>0</v>
      </c>
      <c r="F323" s="12">
        <f t="shared" si="104"/>
        <v>19</v>
      </c>
      <c r="H323" s="9">
        <v>2</v>
      </c>
      <c r="I323" s="9">
        <v>19</v>
      </c>
      <c r="K323" s="9" t="s">
        <v>376</v>
      </c>
      <c r="L323" s="9">
        <v>0</v>
      </c>
      <c r="M323" s="9">
        <v>15</v>
      </c>
      <c r="R323" s="9">
        <v>333</v>
      </c>
      <c r="T323" s="86" t="s">
        <v>617</v>
      </c>
      <c r="U323" s="9">
        <f ca="1">IFERROR(OFFSET(ITEM_RES!$A$5,MATCH(BUILDING!T323,ITEM_RES!$J$5:$J$231,0)-1,0),0)</f>
        <v>212030001</v>
      </c>
      <c r="V323" s="11">
        <v>2</v>
      </c>
      <c r="W323" s="86" t="s">
        <v>612</v>
      </c>
      <c r="X323" s="9">
        <f ca="1">IFERROR(OFFSET(ITEM_RES!$A$5,MATCH(BUILDING!W323,ITEM_RES!$J$5:$J$231,0)-1,0),0)</f>
        <v>215040001</v>
      </c>
      <c r="Z323" s="9" t="s">
        <v>589</v>
      </c>
      <c r="AA323" s="9">
        <v>19</v>
      </c>
      <c r="AC323" s="9">
        <v>100000</v>
      </c>
      <c r="AE323" s="56">
        <f t="shared" si="99"/>
        <v>26250</v>
      </c>
      <c r="AF323" s="10">
        <f t="shared" si="106"/>
        <v>48300</v>
      </c>
      <c r="AH323" s="11">
        <f t="shared" si="98"/>
        <v>95</v>
      </c>
      <c r="AI323" s="10">
        <v>95</v>
      </c>
      <c r="AJ323" s="11">
        <f t="shared" si="105"/>
        <v>1250</v>
      </c>
      <c r="AK323" s="10">
        <v>1250</v>
      </c>
      <c r="AL323" s="11">
        <f t="shared" si="105"/>
        <v>1250</v>
      </c>
      <c r="AM323" s="10">
        <v>1250</v>
      </c>
      <c r="AN323" s="56">
        <f t="shared" si="100"/>
        <v>2</v>
      </c>
      <c r="AP323" s="11">
        <f ca="1">IFERROR(OFFSET(ITEM_RES!$A$1,MATCH(AQ323,ITEM_RES!$J:$J,0)-1,0),0)</f>
        <v>215070001</v>
      </c>
      <c r="AQ323" s="10" t="s">
        <v>468</v>
      </c>
      <c r="AR323" s="11">
        <v>6250</v>
      </c>
      <c r="AU323" s="11">
        <f ca="1">IFERROR(OFFSET(ITEM_RES!$A$1,MATCH(AV323,ITEM_RES!$J:$J,0)-1,0),0)</f>
        <v>212040001</v>
      </c>
      <c r="AV323" s="10" t="s">
        <v>471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02"/>
        <v>112040020</v>
      </c>
      <c r="B324" s="13">
        <v>11</v>
      </c>
      <c r="C324" s="12">
        <f t="shared" si="103"/>
        <v>2</v>
      </c>
      <c r="D324" s="13">
        <v>4</v>
      </c>
      <c r="E324" s="13">
        <v>0</v>
      </c>
      <c r="F324" s="12">
        <f t="shared" si="104"/>
        <v>20</v>
      </c>
      <c r="H324" s="9">
        <v>2</v>
      </c>
      <c r="I324" s="9">
        <v>20</v>
      </c>
      <c r="K324" s="9" t="s">
        <v>376</v>
      </c>
      <c r="L324" s="9">
        <v>0</v>
      </c>
      <c r="M324" s="9">
        <v>15</v>
      </c>
      <c r="R324" s="9">
        <v>333</v>
      </c>
      <c r="T324" s="86" t="s">
        <v>617</v>
      </c>
      <c r="U324" s="9">
        <f ca="1">IFERROR(OFFSET(ITEM_RES!$A$5,MATCH(BUILDING!T324,ITEM_RES!$J$5:$J$231,0)-1,0),0)</f>
        <v>212030001</v>
      </c>
      <c r="V324" s="11">
        <v>2</v>
      </c>
      <c r="W324" s="86" t="s">
        <v>612</v>
      </c>
      <c r="X324" s="9">
        <f ca="1">IFERROR(OFFSET(ITEM_RES!$A$5,MATCH(BUILDING!W324,ITEM_RES!$J$5:$J$231,0)-1,0),0)</f>
        <v>215040001</v>
      </c>
      <c r="Z324" s="9" t="s">
        <v>589</v>
      </c>
      <c r="AA324" s="9">
        <v>20</v>
      </c>
      <c r="AC324" s="9">
        <v>120000</v>
      </c>
      <c r="AE324" s="56">
        <f t="shared" si="99"/>
        <v>31500</v>
      </c>
      <c r="AF324" s="10">
        <f t="shared" si="106"/>
        <v>57750</v>
      </c>
      <c r="AH324" s="11">
        <f t="shared" si="98"/>
        <v>100</v>
      </c>
      <c r="AI324" s="10">
        <v>100</v>
      </c>
      <c r="AJ324" s="11">
        <f t="shared" si="105"/>
        <v>1500</v>
      </c>
      <c r="AK324" s="10">
        <v>1500</v>
      </c>
      <c r="AL324" s="11">
        <f t="shared" si="105"/>
        <v>1500</v>
      </c>
      <c r="AM324" s="10">
        <v>1500</v>
      </c>
      <c r="AN324" s="56">
        <f t="shared" si="100"/>
        <v>2</v>
      </c>
      <c r="AP324" s="11">
        <f ca="1">IFERROR(OFFSET(ITEM_RES!$A$1,MATCH(AQ324,ITEM_RES!$J:$J,0)-1,0),0)</f>
        <v>215070001</v>
      </c>
      <c r="AQ324" s="10" t="s">
        <v>468</v>
      </c>
      <c r="AR324" s="11">
        <v>7500</v>
      </c>
      <c r="AU324" s="11">
        <f ca="1">IFERROR(OFFSET(ITEM_RES!$A$1,MATCH(AV324,ITEM_RES!$J:$J,0)-1,0),0)</f>
        <v>212040001</v>
      </c>
      <c r="AV324" s="10" t="s">
        <v>471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02"/>
        <v>112050001</v>
      </c>
      <c r="B325" s="20">
        <v>11</v>
      </c>
      <c r="C325" s="19">
        <f t="shared" si="103"/>
        <v>2</v>
      </c>
      <c r="D325" s="20">
        <v>5</v>
      </c>
      <c r="E325" s="20">
        <v>0</v>
      </c>
      <c r="F325" s="19">
        <f t="shared" si="104"/>
        <v>1</v>
      </c>
      <c r="G325" s="80"/>
      <c r="H325" s="16">
        <v>2</v>
      </c>
      <c r="I325" s="16">
        <v>1</v>
      </c>
      <c r="J325" s="80"/>
      <c r="K325" s="16" t="s">
        <v>378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0"/>
      <c r="T325" s="88" t="s">
        <v>618</v>
      </c>
      <c r="U325" s="16">
        <f ca="1">IFERROR(OFFSET(ITEM_RES!$A$5,MATCH(BUILDING!T325,ITEM_RES!$J$5:$J$231,0)-1,0),0)</f>
        <v>212040001</v>
      </c>
      <c r="V325" s="18">
        <v>1</v>
      </c>
      <c r="W325" s="88" t="s">
        <v>416</v>
      </c>
      <c r="X325" s="16">
        <f ca="1">IFERROR(OFFSET(ITEM_RES!$A$5,MATCH(BUILDING!W325,ITEM_RES!$J$5:$J$231,0)-1,0),0)</f>
        <v>215050001</v>
      </c>
      <c r="Y325" s="80"/>
      <c r="Z325" s="16" t="s">
        <v>590</v>
      </c>
      <c r="AA325" s="16">
        <v>1</v>
      </c>
      <c r="AB325" s="80"/>
      <c r="AC325" s="16">
        <v>0</v>
      </c>
      <c r="AD325" s="80"/>
      <c r="AE325" s="57">
        <f t="shared" si="99"/>
        <v>605</v>
      </c>
      <c r="AF325" s="17">
        <f>AE325</f>
        <v>605</v>
      </c>
      <c r="AG325" s="80"/>
      <c r="AH325" s="18">
        <f t="shared" si="98"/>
        <v>5</v>
      </c>
      <c r="AI325" s="17">
        <v>5</v>
      </c>
      <c r="AJ325" s="18">
        <f t="shared" si="105"/>
        <v>5</v>
      </c>
      <c r="AK325" s="17">
        <v>5</v>
      </c>
      <c r="AL325" s="18">
        <f t="shared" si="105"/>
        <v>5</v>
      </c>
      <c r="AM325" s="17">
        <v>5</v>
      </c>
      <c r="AN325" s="57">
        <f t="shared" si="100"/>
        <v>3</v>
      </c>
      <c r="AO325" s="18"/>
      <c r="AP325" s="18">
        <f ca="1">IFERROR(OFFSET(ITEM_RES!$A$1,MATCH(AQ325,ITEM_RES!$J:$J,0)-1,0),0)</f>
        <v>212010001</v>
      </c>
      <c r="AQ325" s="17" t="s">
        <v>472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471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496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02"/>
        <v>112050002</v>
      </c>
      <c r="B326" s="13">
        <v>11</v>
      </c>
      <c r="C326" s="12">
        <f t="shared" si="103"/>
        <v>2</v>
      </c>
      <c r="D326" s="13">
        <v>5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372</v>
      </c>
      <c r="L326" s="9">
        <v>1</v>
      </c>
      <c r="M326" s="9">
        <v>15</v>
      </c>
      <c r="R326" s="9">
        <v>444</v>
      </c>
      <c r="T326" s="86" t="s">
        <v>618</v>
      </c>
      <c r="U326" s="9">
        <f ca="1">IFERROR(OFFSET(ITEM_RES!$A$5,MATCH(BUILDING!T326,ITEM_RES!$J$5:$J$231,0)-1,0),0)</f>
        <v>212040001</v>
      </c>
      <c r="V326" s="11">
        <v>1</v>
      </c>
      <c r="W326" s="86" t="s">
        <v>416</v>
      </c>
      <c r="X326" s="9">
        <f ca="1">IFERROR(OFFSET(ITEM_RES!$A$5,MATCH(BUILDING!W326,ITEM_RES!$J$5:$J$231,0)-1,0),0)</f>
        <v>215050001</v>
      </c>
      <c r="Z326" s="9" t="s">
        <v>590</v>
      </c>
      <c r="AA326" s="9">
        <v>2</v>
      </c>
      <c r="AC326" s="9">
        <v>800</v>
      </c>
      <c r="AE326" s="56">
        <f t="shared" si="99"/>
        <v>210</v>
      </c>
      <c r="AF326" s="10">
        <f>AE325+AE326</f>
        <v>815</v>
      </c>
      <c r="AH326" s="11">
        <f t="shared" si="98"/>
        <v>10</v>
      </c>
      <c r="AI326" s="10">
        <v>10</v>
      </c>
      <c r="AJ326" s="11">
        <f t="shared" si="105"/>
        <v>10</v>
      </c>
      <c r="AK326" s="10">
        <v>10</v>
      </c>
      <c r="AL326" s="11">
        <f t="shared" si="105"/>
        <v>10</v>
      </c>
      <c r="AM326" s="10">
        <v>10</v>
      </c>
      <c r="AN326" s="56">
        <f t="shared" si="100"/>
        <v>2</v>
      </c>
      <c r="AP326" s="11">
        <f ca="1">IFERROR(OFFSET(ITEM_RES!$A$1,MATCH(AQ326,ITEM_RES!$J:$J,0)-1,0),0)</f>
        <v>212010001</v>
      </c>
      <c r="AQ326" s="10" t="s">
        <v>472</v>
      </c>
      <c r="AR326" s="11">
        <v>50</v>
      </c>
      <c r="AU326" s="11">
        <f ca="1">IFERROR(OFFSET(ITEM_RES!$A$1,MATCH(AV326,ITEM_RES!$J:$J,0)-1,0),0)</f>
        <v>212040001</v>
      </c>
      <c r="AV326" s="10" t="s">
        <v>471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02"/>
        <v>112050003</v>
      </c>
      <c r="B327" s="13">
        <v>11</v>
      </c>
      <c r="C327" s="12">
        <f t="shared" si="103"/>
        <v>2</v>
      </c>
      <c r="D327" s="13">
        <v>5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372</v>
      </c>
      <c r="L327" s="9">
        <v>1</v>
      </c>
      <c r="M327" s="9">
        <v>15</v>
      </c>
      <c r="R327" s="9">
        <v>444</v>
      </c>
      <c r="T327" s="86" t="s">
        <v>618</v>
      </c>
      <c r="U327" s="9">
        <f ca="1">IFERROR(OFFSET(ITEM_RES!$A$5,MATCH(BUILDING!T327,ITEM_RES!$J$5:$J$231,0)-1,0),0)</f>
        <v>212040001</v>
      </c>
      <c r="V327" s="11">
        <v>1</v>
      </c>
      <c r="W327" s="86" t="s">
        <v>416</v>
      </c>
      <c r="X327" s="9">
        <f ca="1">IFERROR(OFFSET(ITEM_RES!$A$5,MATCH(BUILDING!W327,ITEM_RES!$J$5:$J$231,0)-1,0),0)</f>
        <v>215050001</v>
      </c>
      <c r="Z327" s="9" t="s">
        <v>590</v>
      </c>
      <c r="AA327" s="9">
        <v>3</v>
      </c>
      <c r="AC327" s="9">
        <v>1200</v>
      </c>
      <c r="AE327" s="56">
        <f t="shared" si="99"/>
        <v>315</v>
      </c>
      <c r="AF327" s="10">
        <f t="shared" ref="AF327:AF344" si="107">AE326+AE327</f>
        <v>525</v>
      </c>
      <c r="AH327" s="11">
        <f t="shared" si="98"/>
        <v>15</v>
      </c>
      <c r="AI327" s="10">
        <v>15</v>
      </c>
      <c r="AJ327" s="11">
        <f t="shared" si="105"/>
        <v>15</v>
      </c>
      <c r="AK327" s="10">
        <v>15</v>
      </c>
      <c r="AL327" s="11">
        <f t="shared" si="105"/>
        <v>15</v>
      </c>
      <c r="AM327" s="10">
        <v>15</v>
      </c>
      <c r="AN327" s="56">
        <f t="shared" si="100"/>
        <v>2</v>
      </c>
      <c r="AP327" s="11">
        <f ca="1">IFERROR(OFFSET(ITEM_RES!$A$1,MATCH(AQ327,ITEM_RES!$J:$J,0)-1,0),0)</f>
        <v>212010001</v>
      </c>
      <c r="AQ327" s="10" t="s">
        <v>472</v>
      </c>
      <c r="AR327" s="11">
        <v>75</v>
      </c>
      <c r="AU327" s="11">
        <f ca="1">IFERROR(OFFSET(ITEM_RES!$A$1,MATCH(AV327,ITEM_RES!$J:$J,0)-1,0),0)</f>
        <v>212040001</v>
      </c>
      <c r="AV327" s="10" t="s">
        <v>471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02"/>
        <v>112050004</v>
      </c>
      <c r="B328" s="13">
        <v>11</v>
      </c>
      <c r="C328" s="12">
        <f t="shared" si="103"/>
        <v>2</v>
      </c>
      <c r="D328" s="13">
        <v>5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372</v>
      </c>
      <c r="L328" s="9">
        <v>1</v>
      </c>
      <c r="M328" s="9">
        <v>15</v>
      </c>
      <c r="R328" s="9">
        <v>444</v>
      </c>
      <c r="T328" s="86" t="s">
        <v>618</v>
      </c>
      <c r="U328" s="9">
        <f ca="1">IFERROR(OFFSET(ITEM_RES!$A$5,MATCH(BUILDING!T328,ITEM_RES!$J$5:$J$231,0)-1,0),0)</f>
        <v>212040001</v>
      </c>
      <c r="V328" s="11">
        <v>1</v>
      </c>
      <c r="W328" s="86" t="s">
        <v>416</v>
      </c>
      <c r="X328" s="9">
        <f ca="1">IFERROR(OFFSET(ITEM_RES!$A$5,MATCH(BUILDING!W328,ITEM_RES!$J$5:$J$231,0)-1,0),0)</f>
        <v>215050001</v>
      </c>
      <c r="Z328" s="9" t="s">
        <v>590</v>
      </c>
      <c r="AA328" s="9">
        <v>4</v>
      </c>
      <c r="AC328" s="9">
        <v>2000</v>
      </c>
      <c r="AE328" s="56">
        <f t="shared" si="99"/>
        <v>525</v>
      </c>
      <c r="AF328" s="10">
        <f t="shared" si="107"/>
        <v>840</v>
      </c>
      <c r="AH328" s="11">
        <f t="shared" si="98"/>
        <v>20</v>
      </c>
      <c r="AI328" s="10">
        <v>20</v>
      </c>
      <c r="AJ328" s="11">
        <f t="shared" si="105"/>
        <v>25</v>
      </c>
      <c r="AK328" s="10">
        <v>25</v>
      </c>
      <c r="AL328" s="11">
        <f t="shared" si="105"/>
        <v>25</v>
      </c>
      <c r="AM328" s="10">
        <v>25</v>
      </c>
      <c r="AN328" s="56">
        <f t="shared" si="100"/>
        <v>2</v>
      </c>
      <c r="AP328" s="11">
        <f ca="1">IFERROR(OFFSET(ITEM_RES!$A$1,MATCH(AQ328,ITEM_RES!$J:$J,0)-1,0),0)</f>
        <v>212010001</v>
      </c>
      <c r="AQ328" s="10" t="s">
        <v>472</v>
      </c>
      <c r="AR328" s="11">
        <v>125</v>
      </c>
      <c r="AU328" s="11">
        <f ca="1">IFERROR(OFFSET(ITEM_RES!$A$1,MATCH(AV328,ITEM_RES!$J:$J,0)-1,0),0)</f>
        <v>212040001</v>
      </c>
      <c r="AV328" s="10" t="s">
        <v>471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02"/>
        <v>112050005</v>
      </c>
      <c r="B329" s="13">
        <v>11</v>
      </c>
      <c r="C329" s="12">
        <f t="shared" si="103"/>
        <v>2</v>
      </c>
      <c r="D329" s="13">
        <v>5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372</v>
      </c>
      <c r="L329" s="9">
        <v>1</v>
      </c>
      <c r="M329" s="9">
        <v>15</v>
      </c>
      <c r="R329" s="9">
        <v>444</v>
      </c>
      <c r="T329" s="86" t="s">
        <v>618</v>
      </c>
      <c r="U329" s="9">
        <f ca="1">IFERROR(OFFSET(ITEM_RES!$A$5,MATCH(BUILDING!T329,ITEM_RES!$J$5:$J$231,0)-1,0),0)</f>
        <v>212040001</v>
      </c>
      <c r="V329" s="11">
        <v>1</v>
      </c>
      <c r="W329" s="86" t="s">
        <v>416</v>
      </c>
      <c r="X329" s="9">
        <f ca="1">IFERROR(OFFSET(ITEM_RES!$A$5,MATCH(BUILDING!W329,ITEM_RES!$J$5:$J$231,0)-1,0),0)</f>
        <v>215050001</v>
      </c>
      <c r="Z329" s="9" t="s">
        <v>590</v>
      </c>
      <c r="AA329" s="9">
        <v>5</v>
      </c>
      <c r="AC329" s="9">
        <v>3200</v>
      </c>
      <c r="AE329" s="56">
        <f t="shared" si="99"/>
        <v>840</v>
      </c>
      <c r="AF329" s="10">
        <f t="shared" si="107"/>
        <v>1365</v>
      </c>
      <c r="AH329" s="11">
        <f t="shared" si="98"/>
        <v>25</v>
      </c>
      <c r="AI329" s="10">
        <v>25</v>
      </c>
      <c r="AJ329" s="11">
        <f t="shared" si="105"/>
        <v>40</v>
      </c>
      <c r="AK329" s="10">
        <v>40</v>
      </c>
      <c r="AL329" s="11">
        <f t="shared" si="105"/>
        <v>40</v>
      </c>
      <c r="AM329" s="10">
        <v>40</v>
      </c>
      <c r="AN329" s="56">
        <f t="shared" si="100"/>
        <v>2</v>
      </c>
      <c r="AP329" s="11">
        <f ca="1">IFERROR(OFFSET(ITEM_RES!$A$1,MATCH(AQ329,ITEM_RES!$J:$J,0)-1,0),0)</f>
        <v>212010001</v>
      </c>
      <c r="AQ329" s="10" t="s">
        <v>472</v>
      </c>
      <c r="AR329" s="11">
        <v>200</v>
      </c>
      <c r="AU329" s="11">
        <f ca="1">IFERROR(OFFSET(ITEM_RES!$A$1,MATCH(AV329,ITEM_RES!$J:$J,0)-1,0),0)</f>
        <v>212040001</v>
      </c>
      <c r="AV329" s="10" t="s">
        <v>471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02"/>
        <v>112050006</v>
      </c>
      <c r="B330" s="13">
        <v>11</v>
      </c>
      <c r="C330" s="12">
        <f t="shared" si="103"/>
        <v>2</v>
      </c>
      <c r="D330" s="13">
        <v>5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372</v>
      </c>
      <c r="L330" s="9">
        <v>1</v>
      </c>
      <c r="M330" s="9">
        <v>15</v>
      </c>
      <c r="R330" s="9">
        <v>444</v>
      </c>
      <c r="T330" s="86" t="s">
        <v>618</v>
      </c>
      <c r="U330" s="9">
        <f ca="1">IFERROR(OFFSET(ITEM_RES!$A$5,MATCH(BUILDING!T330,ITEM_RES!$J$5:$J$231,0)-1,0),0)</f>
        <v>212040001</v>
      </c>
      <c r="V330" s="11">
        <v>1</v>
      </c>
      <c r="W330" s="86" t="s">
        <v>416</v>
      </c>
      <c r="X330" s="9">
        <f ca="1">IFERROR(OFFSET(ITEM_RES!$A$5,MATCH(BUILDING!W330,ITEM_RES!$J$5:$J$231,0)-1,0),0)</f>
        <v>215050001</v>
      </c>
      <c r="Z330" s="9" t="s">
        <v>590</v>
      </c>
      <c r="AA330" s="9">
        <v>6</v>
      </c>
      <c r="AC330" s="9">
        <v>4000</v>
      </c>
      <c r="AE330" s="56">
        <f t="shared" si="99"/>
        <v>1050</v>
      </c>
      <c r="AF330" s="10">
        <f t="shared" si="107"/>
        <v>1890</v>
      </c>
      <c r="AH330" s="11">
        <f t="shared" si="98"/>
        <v>30</v>
      </c>
      <c r="AI330" s="10">
        <v>30</v>
      </c>
      <c r="AJ330" s="11">
        <f t="shared" si="105"/>
        <v>50</v>
      </c>
      <c r="AK330" s="10">
        <v>50</v>
      </c>
      <c r="AL330" s="11">
        <f t="shared" si="105"/>
        <v>50</v>
      </c>
      <c r="AM330" s="10">
        <v>50</v>
      </c>
      <c r="AN330" s="56">
        <f t="shared" si="100"/>
        <v>2</v>
      </c>
      <c r="AP330" s="11">
        <f ca="1">IFERROR(OFFSET(ITEM_RES!$A$1,MATCH(AQ330,ITEM_RES!$J:$J,0)-1,0),0)</f>
        <v>212010001</v>
      </c>
      <c r="AQ330" s="10" t="s">
        <v>472</v>
      </c>
      <c r="AR330" s="11">
        <v>250</v>
      </c>
      <c r="AU330" s="11">
        <f ca="1">IFERROR(OFFSET(ITEM_RES!$A$1,MATCH(AV330,ITEM_RES!$J:$J,0)-1,0),0)</f>
        <v>212040001</v>
      </c>
      <c r="AV330" s="10" t="s">
        <v>471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02"/>
        <v>112050007</v>
      </c>
      <c r="B331" s="13">
        <v>11</v>
      </c>
      <c r="C331" s="12">
        <f t="shared" si="103"/>
        <v>2</v>
      </c>
      <c r="D331" s="13">
        <v>5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372</v>
      </c>
      <c r="L331" s="9">
        <v>1</v>
      </c>
      <c r="M331" s="9">
        <v>15</v>
      </c>
      <c r="R331" s="9">
        <v>444</v>
      </c>
      <c r="T331" s="86" t="s">
        <v>618</v>
      </c>
      <c r="U331" s="9">
        <f ca="1">IFERROR(OFFSET(ITEM_RES!$A$5,MATCH(BUILDING!T331,ITEM_RES!$J$5:$J$231,0)-1,0),0)</f>
        <v>212040001</v>
      </c>
      <c r="V331" s="11">
        <v>1</v>
      </c>
      <c r="W331" s="86" t="s">
        <v>416</v>
      </c>
      <c r="X331" s="9">
        <f ca="1">IFERROR(OFFSET(ITEM_RES!$A$5,MATCH(BUILDING!W331,ITEM_RES!$J$5:$J$231,0)-1,0),0)</f>
        <v>215050001</v>
      </c>
      <c r="Z331" s="9" t="s">
        <v>590</v>
      </c>
      <c r="AA331" s="9">
        <v>7</v>
      </c>
      <c r="AC331" s="9">
        <v>8000</v>
      </c>
      <c r="AE331" s="56">
        <f t="shared" si="99"/>
        <v>2600</v>
      </c>
      <c r="AF331" s="10">
        <f t="shared" si="107"/>
        <v>3650</v>
      </c>
      <c r="AH331" s="11">
        <f t="shared" si="98"/>
        <v>35</v>
      </c>
      <c r="AI331" s="10">
        <v>35</v>
      </c>
      <c r="AJ331" s="11">
        <f t="shared" si="105"/>
        <v>100</v>
      </c>
      <c r="AK331" s="10">
        <v>100</v>
      </c>
      <c r="AL331" s="11">
        <f t="shared" si="105"/>
        <v>100</v>
      </c>
      <c r="AM331" s="10">
        <v>100</v>
      </c>
      <c r="AN331" s="56">
        <f t="shared" si="100"/>
        <v>3</v>
      </c>
      <c r="AP331" s="11">
        <f ca="1">IFERROR(OFFSET(ITEM_RES!$A$1,MATCH(AQ331,ITEM_RES!$J:$J,0)-1,0),0)</f>
        <v>212010001</v>
      </c>
      <c r="AQ331" s="10" t="s">
        <v>472</v>
      </c>
      <c r="AR331" s="11">
        <v>500</v>
      </c>
      <c r="AU331" s="11">
        <f ca="1">IFERROR(OFFSET(ITEM_RES!$A$1,MATCH(AV331,ITEM_RES!$J:$J,0)-1,0),0)</f>
        <v>212040001</v>
      </c>
      <c r="AV331" s="10" t="s">
        <v>471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213110001</v>
      </c>
      <c r="BF331" s="10" t="s">
        <v>510</v>
      </c>
      <c r="BG331" s="11">
        <v>1</v>
      </c>
      <c r="BJ331" s="11">
        <f ca="1">IFERROR(OFFSET(ITEM_RES!$A$1,MATCH(BK331,ITEM_RES!$J:$J,0)-1,0),0)</f>
        <v>0</v>
      </c>
    </row>
    <row r="332" spans="1:65" x14ac:dyDescent="0.3">
      <c r="A332" s="14">
        <f t="shared" si="102"/>
        <v>112050008</v>
      </c>
      <c r="B332" s="13">
        <v>11</v>
      </c>
      <c r="C332" s="12">
        <f t="shared" si="103"/>
        <v>2</v>
      </c>
      <c r="D332" s="13">
        <v>5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372</v>
      </c>
      <c r="L332" s="9">
        <v>1</v>
      </c>
      <c r="M332" s="9">
        <v>15</v>
      </c>
      <c r="R332" s="9">
        <v>444</v>
      </c>
      <c r="T332" s="86" t="s">
        <v>618</v>
      </c>
      <c r="U332" s="9">
        <f ca="1">IFERROR(OFFSET(ITEM_RES!$A$5,MATCH(BUILDING!T332,ITEM_RES!$J$5:$J$231,0)-1,0),0)</f>
        <v>212040001</v>
      </c>
      <c r="V332" s="11">
        <v>1</v>
      </c>
      <c r="W332" s="86" t="s">
        <v>416</v>
      </c>
      <c r="X332" s="9">
        <f ca="1">IFERROR(OFFSET(ITEM_RES!$A$5,MATCH(BUILDING!W332,ITEM_RES!$J$5:$J$231,0)-1,0),0)</f>
        <v>215050001</v>
      </c>
      <c r="Z332" s="9" t="s">
        <v>590</v>
      </c>
      <c r="AA332" s="9">
        <v>8</v>
      </c>
      <c r="AC332" s="9">
        <v>8000</v>
      </c>
      <c r="AE332" s="56">
        <f t="shared" si="99"/>
        <v>2100</v>
      </c>
      <c r="AF332" s="10">
        <f t="shared" si="107"/>
        <v>4700</v>
      </c>
      <c r="AH332" s="11">
        <f t="shared" si="98"/>
        <v>40</v>
      </c>
      <c r="AI332" s="10">
        <v>40</v>
      </c>
      <c r="AJ332" s="11">
        <f t="shared" si="105"/>
        <v>100</v>
      </c>
      <c r="AK332" s="10">
        <v>100</v>
      </c>
      <c r="AL332" s="11">
        <f t="shared" si="105"/>
        <v>100</v>
      </c>
      <c r="AM332" s="10">
        <v>100</v>
      </c>
      <c r="AN332" s="56">
        <f t="shared" si="100"/>
        <v>2</v>
      </c>
      <c r="AP332" s="11">
        <f ca="1">IFERROR(OFFSET(ITEM_RES!$A$1,MATCH(AQ332,ITEM_RES!$J:$J,0)-1,0),0)</f>
        <v>212010001</v>
      </c>
      <c r="AQ332" s="10" t="s">
        <v>472</v>
      </c>
      <c r="AR332" s="11">
        <v>500</v>
      </c>
      <c r="AU332" s="11">
        <f ca="1">IFERROR(OFFSET(ITEM_RES!$A$1,MATCH(AV332,ITEM_RES!$J:$J,0)-1,0),0)</f>
        <v>212040001</v>
      </c>
      <c r="AV332" s="10" t="s">
        <v>471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102"/>
        <v>112050009</v>
      </c>
      <c r="B333" s="13">
        <v>11</v>
      </c>
      <c r="C333" s="12">
        <f t="shared" si="103"/>
        <v>2</v>
      </c>
      <c r="D333" s="13">
        <v>5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372</v>
      </c>
      <c r="L333" s="9">
        <v>1</v>
      </c>
      <c r="M333" s="9">
        <v>15</v>
      </c>
      <c r="R333" s="9">
        <v>444</v>
      </c>
      <c r="T333" s="86" t="s">
        <v>618</v>
      </c>
      <c r="U333" s="9">
        <f ca="1">IFERROR(OFFSET(ITEM_RES!$A$5,MATCH(BUILDING!T333,ITEM_RES!$J$5:$J$231,0)-1,0),0)</f>
        <v>212040001</v>
      </c>
      <c r="V333" s="11">
        <v>1</v>
      </c>
      <c r="W333" s="86" t="s">
        <v>416</v>
      </c>
      <c r="X333" s="9">
        <f ca="1">IFERROR(OFFSET(ITEM_RES!$A$5,MATCH(BUILDING!W333,ITEM_RES!$J$5:$J$231,0)-1,0),0)</f>
        <v>215050001</v>
      </c>
      <c r="Z333" s="9" t="s">
        <v>590</v>
      </c>
      <c r="AA333" s="9">
        <v>9</v>
      </c>
      <c r="AC333" s="9">
        <v>12000</v>
      </c>
      <c r="AE333" s="56">
        <f t="shared" si="99"/>
        <v>3150</v>
      </c>
      <c r="AF333" s="10">
        <f t="shared" si="107"/>
        <v>5250</v>
      </c>
      <c r="AH333" s="11">
        <f t="shared" si="98"/>
        <v>45</v>
      </c>
      <c r="AI333" s="10">
        <v>45</v>
      </c>
      <c r="AJ333" s="11">
        <f t="shared" si="105"/>
        <v>150</v>
      </c>
      <c r="AK333" s="10">
        <v>150</v>
      </c>
      <c r="AL333" s="11">
        <f t="shared" si="105"/>
        <v>150</v>
      </c>
      <c r="AM333" s="10">
        <v>150</v>
      </c>
      <c r="AN333" s="56">
        <f t="shared" si="100"/>
        <v>2</v>
      </c>
      <c r="AP333" s="11">
        <f ca="1">IFERROR(OFFSET(ITEM_RES!$A$1,MATCH(AQ333,ITEM_RES!$J:$J,0)-1,0),0)</f>
        <v>212010001</v>
      </c>
      <c r="AQ333" s="10" t="s">
        <v>472</v>
      </c>
      <c r="AR333" s="11">
        <v>750</v>
      </c>
      <c r="AU333" s="11">
        <f ca="1">IFERROR(OFFSET(ITEM_RES!$A$1,MATCH(AV333,ITEM_RES!$J:$J,0)-1,0),0)</f>
        <v>212040001</v>
      </c>
      <c r="AV333" s="10" t="s">
        <v>471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02"/>
        <v>112050010</v>
      </c>
      <c r="B334" s="13">
        <v>11</v>
      </c>
      <c r="C334" s="12">
        <f t="shared" si="103"/>
        <v>2</v>
      </c>
      <c r="D334" s="13">
        <v>5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372</v>
      </c>
      <c r="L334" s="9">
        <v>1</v>
      </c>
      <c r="M334" s="9">
        <v>15</v>
      </c>
      <c r="R334" s="9">
        <v>444</v>
      </c>
      <c r="T334" s="86" t="s">
        <v>618</v>
      </c>
      <c r="U334" s="9">
        <f ca="1">IFERROR(OFFSET(ITEM_RES!$A$5,MATCH(BUILDING!T334,ITEM_RES!$J$5:$J$231,0)-1,0),0)</f>
        <v>212040001</v>
      </c>
      <c r="V334" s="11">
        <v>1</v>
      </c>
      <c r="W334" s="86" t="s">
        <v>416</v>
      </c>
      <c r="X334" s="9">
        <f ca="1">IFERROR(OFFSET(ITEM_RES!$A$5,MATCH(BUILDING!W334,ITEM_RES!$J$5:$J$231,0)-1,0),0)</f>
        <v>215050001</v>
      </c>
      <c r="Z334" s="9" t="s">
        <v>590</v>
      </c>
      <c r="AA334" s="9">
        <v>10</v>
      </c>
      <c r="AC334" s="9">
        <v>16000</v>
      </c>
      <c r="AE334" s="56">
        <f t="shared" si="99"/>
        <v>4200</v>
      </c>
      <c r="AF334" s="10">
        <f t="shared" si="107"/>
        <v>7350</v>
      </c>
      <c r="AH334" s="11">
        <f t="shared" si="98"/>
        <v>50</v>
      </c>
      <c r="AI334" s="10">
        <v>50</v>
      </c>
      <c r="AJ334" s="11">
        <f t="shared" si="105"/>
        <v>200</v>
      </c>
      <c r="AK334" s="10">
        <v>200</v>
      </c>
      <c r="AL334" s="11">
        <f t="shared" si="105"/>
        <v>200</v>
      </c>
      <c r="AM334" s="10">
        <v>200</v>
      </c>
      <c r="AN334" s="56">
        <f t="shared" si="100"/>
        <v>2</v>
      </c>
      <c r="AP334" s="11">
        <f ca="1">IFERROR(OFFSET(ITEM_RES!$A$1,MATCH(AQ334,ITEM_RES!$J:$J,0)-1,0),0)</f>
        <v>212010001</v>
      </c>
      <c r="AQ334" s="10" t="s">
        <v>472</v>
      </c>
      <c r="AR334" s="11">
        <v>1000</v>
      </c>
      <c r="AU334" s="11">
        <f ca="1">IFERROR(OFFSET(ITEM_RES!$A$1,MATCH(AV334,ITEM_RES!$J:$J,0)-1,0),0)</f>
        <v>212040001</v>
      </c>
      <c r="AV334" s="10" t="s">
        <v>471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02"/>
        <v>112050011</v>
      </c>
      <c r="B335" s="13">
        <v>11</v>
      </c>
      <c r="C335" s="12">
        <f t="shared" si="103"/>
        <v>2</v>
      </c>
      <c r="D335" s="13">
        <v>5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372</v>
      </c>
      <c r="L335" s="9">
        <v>1</v>
      </c>
      <c r="M335" s="9">
        <v>15</v>
      </c>
      <c r="R335" s="9">
        <v>444</v>
      </c>
      <c r="T335" s="86" t="s">
        <v>618</v>
      </c>
      <c r="U335" s="9">
        <f ca="1">IFERROR(OFFSET(ITEM_RES!$A$5,MATCH(BUILDING!T335,ITEM_RES!$J$5:$J$231,0)-1,0),0)</f>
        <v>212040001</v>
      </c>
      <c r="V335" s="11">
        <v>1</v>
      </c>
      <c r="W335" s="86" t="s">
        <v>416</v>
      </c>
      <c r="X335" s="9">
        <f ca="1">IFERROR(OFFSET(ITEM_RES!$A$5,MATCH(BUILDING!W335,ITEM_RES!$J$5:$J$231,0)-1,0),0)</f>
        <v>215050001</v>
      </c>
      <c r="Z335" s="9" t="s">
        <v>590</v>
      </c>
      <c r="AA335" s="9">
        <v>11</v>
      </c>
      <c r="AC335" s="9">
        <v>20000</v>
      </c>
      <c r="AE335" s="56">
        <f t="shared" si="99"/>
        <v>5250</v>
      </c>
      <c r="AF335" s="10">
        <f t="shared" si="107"/>
        <v>9450</v>
      </c>
      <c r="AH335" s="11">
        <f t="shared" si="98"/>
        <v>55</v>
      </c>
      <c r="AI335" s="10">
        <v>55</v>
      </c>
      <c r="AJ335" s="11">
        <f t="shared" si="105"/>
        <v>250</v>
      </c>
      <c r="AK335" s="10">
        <v>250</v>
      </c>
      <c r="AL335" s="11">
        <f t="shared" si="105"/>
        <v>250</v>
      </c>
      <c r="AM335" s="10">
        <v>250</v>
      </c>
      <c r="AN335" s="56">
        <f t="shared" si="100"/>
        <v>2</v>
      </c>
      <c r="AP335" s="11">
        <f ca="1">IFERROR(OFFSET(ITEM_RES!$A$1,MATCH(AQ335,ITEM_RES!$J:$J,0)-1,0),0)</f>
        <v>212010001</v>
      </c>
      <c r="AQ335" s="10" t="s">
        <v>472</v>
      </c>
      <c r="AR335" s="11">
        <v>1250</v>
      </c>
      <c r="AU335" s="11">
        <f ca="1">IFERROR(OFFSET(ITEM_RES!$A$1,MATCH(AV335,ITEM_RES!$J:$J,0)-1,0),0)</f>
        <v>212040001</v>
      </c>
      <c r="AV335" s="10" t="s">
        <v>471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02"/>
        <v>112050012</v>
      </c>
      <c r="B336" s="13">
        <v>11</v>
      </c>
      <c r="C336" s="12">
        <f t="shared" si="103"/>
        <v>2</v>
      </c>
      <c r="D336" s="13">
        <v>5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372</v>
      </c>
      <c r="L336" s="9">
        <v>1</v>
      </c>
      <c r="M336" s="9">
        <v>15</v>
      </c>
      <c r="R336" s="9">
        <v>444</v>
      </c>
      <c r="T336" s="86" t="s">
        <v>618</v>
      </c>
      <c r="U336" s="9">
        <f ca="1">IFERROR(OFFSET(ITEM_RES!$A$5,MATCH(BUILDING!T336,ITEM_RES!$J$5:$J$231,0)-1,0),0)</f>
        <v>212040001</v>
      </c>
      <c r="V336" s="11">
        <v>1</v>
      </c>
      <c r="W336" s="86" t="s">
        <v>416</v>
      </c>
      <c r="X336" s="9">
        <f ca="1">IFERROR(OFFSET(ITEM_RES!$A$5,MATCH(BUILDING!W336,ITEM_RES!$J$5:$J$231,0)-1,0),0)</f>
        <v>215050001</v>
      </c>
      <c r="Z336" s="9" t="s">
        <v>590</v>
      </c>
      <c r="AA336" s="9">
        <v>12</v>
      </c>
      <c r="AC336" s="9">
        <v>24000</v>
      </c>
      <c r="AE336" s="56">
        <f t="shared" si="99"/>
        <v>6300</v>
      </c>
      <c r="AF336" s="10">
        <f t="shared" si="107"/>
        <v>11550</v>
      </c>
      <c r="AH336" s="11">
        <f t="shared" si="98"/>
        <v>60</v>
      </c>
      <c r="AI336" s="10">
        <v>60</v>
      </c>
      <c r="AJ336" s="11">
        <f t="shared" si="105"/>
        <v>300</v>
      </c>
      <c r="AK336" s="10">
        <v>300</v>
      </c>
      <c r="AL336" s="11">
        <f t="shared" si="105"/>
        <v>300</v>
      </c>
      <c r="AM336" s="10">
        <v>300</v>
      </c>
      <c r="AN336" s="56">
        <f t="shared" si="100"/>
        <v>2</v>
      </c>
      <c r="AP336" s="11">
        <f ca="1">IFERROR(OFFSET(ITEM_RES!$A$1,MATCH(AQ336,ITEM_RES!$J:$J,0)-1,0),0)</f>
        <v>215070001</v>
      </c>
      <c r="AQ336" s="10" t="s">
        <v>468</v>
      </c>
      <c r="AR336" s="11">
        <v>1500</v>
      </c>
      <c r="AU336" s="11">
        <f ca="1">IFERROR(OFFSET(ITEM_RES!$A$1,MATCH(AV336,ITEM_RES!$J:$J,0)-1,0),0)</f>
        <v>212040001</v>
      </c>
      <c r="AV336" s="10" t="s">
        <v>471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02"/>
        <v>112050013</v>
      </c>
      <c r="B337" s="13">
        <v>11</v>
      </c>
      <c r="C337" s="12">
        <f t="shared" si="103"/>
        <v>2</v>
      </c>
      <c r="D337" s="13">
        <v>5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372</v>
      </c>
      <c r="L337" s="9">
        <v>1</v>
      </c>
      <c r="M337" s="9">
        <v>15</v>
      </c>
      <c r="R337" s="9">
        <v>444</v>
      </c>
      <c r="T337" s="86" t="s">
        <v>618</v>
      </c>
      <c r="U337" s="9">
        <f ca="1">IFERROR(OFFSET(ITEM_RES!$A$5,MATCH(BUILDING!T337,ITEM_RES!$J$5:$J$231,0)-1,0),0)</f>
        <v>212040001</v>
      </c>
      <c r="V337" s="11">
        <v>1</v>
      </c>
      <c r="W337" s="86" t="s">
        <v>416</v>
      </c>
      <c r="X337" s="9">
        <f ca="1">IFERROR(OFFSET(ITEM_RES!$A$5,MATCH(BUILDING!W337,ITEM_RES!$J$5:$J$231,0)-1,0),0)</f>
        <v>215050001</v>
      </c>
      <c r="Z337" s="9" t="s">
        <v>590</v>
      </c>
      <c r="AA337" s="9">
        <v>13</v>
      </c>
      <c r="AC337" s="9">
        <v>28000</v>
      </c>
      <c r="AE337" s="56">
        <f t="shared" si="99"/>
        <v>7350</v>
      </c>
      <c r="AF337" s="10">
        <f t="shared" si="107"/>
        <v>13650</v>
      </c>
      <c r="AH337" s="11">
        <f t="shared" si="98"/>
        <v>65</v>
      </c>
      <c r="AI337" s="10">
        <v>65</v>
      </c>
      <c r="AJ337" s="11">
        <f t="shared" si="105"/>
        <v>350</v>
      </c>
      <c r="AK337" s="10">
        <v>350</v>
      </c>
      <c r="AL337" s="11">
        <f t="shared" si="105"/>
        <v>350</v>
      </c>
      <c r="AM337" s="10">
        <v>350</v>
      </c>
      <c r="AN337" s="56">
        <f t="shared" si="100"/>
        <v>2</v>
      </c>
      <c r="AP337" s="11">
        <f ca="1">IFERROR(OFFSET(ITEM_RES!$A$1,MATCH(AQ337,ITEM_RES!$J:$J,0)-1,0),0)</f>
        <v>215070001</v>
      </c>
      <c r="AQ337" s="10" t="s">
        <v>468</v>
      </c>
      <c r="AR337" s="11">
        <v>1750</v>
      </c>
      <c r="AU337" s="11">
        <f ca="1">IFERROR(OFFSET(ITEM_RES!$A$1,MATCH(AV337,ITEM_RES!$J:$J,0)-1,0),0)</f>
        <v>212040001</v>
      </c>
      <c r="AV337" s="10" t="s">
        <v>471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02"/>
        <v>112050014</v>
      </c>
      <c r="B338" s="13">
        <v>11</v>
      </c>
      <c r="C338" s="12">
        <f t="shared" si="103"/>
        <v>2</v>
      </c>
      <c r="D338" s="13">
        <v>5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372</v>
      </c>
      <c r="L338" s="9">
        <v>1</v>
      </c>
      <c r="M338" s="9">
        <v>15</v>
      </c>
      <c r="R338" s="9">
        <v>444</v>
      </c>
      <c r="T338" s="86" t="s">
        <v>618</v>
      </c>
      <c r="U338" s="9">
        <f ca="1">IFERROR(OFFSET(ITEM_RES!$A$5,MATCH(BUILDING!T338,ITEM_RES!$J$5:$J$231,0)-1,0),0)</f>
        <v>212040001</v>
      </c>
      <c r="V338" s="11">
        <v>1</v>
      </c>
      <c r="W338" s="86" t="s">
        <v>416</v>
      </c>
      <c r="X338" s="9">
        <f ca="1">IFERROR(OFFSET(ITEM_RES!$A$5,MATCH(BUILDING!W338,ITEM_RES!$J$5:$J$231,0)-1,0),0)</f>
        <v>215050001</v>
      </c>
      <c r="Z338" s="9" t="s">
        <v>590</v>
      </c>
      <c r="AA338" s="9">
        <v>14</v>
      </c>
      <c r="AC338" s="9">
        <v>36000</v>
      </c>
      <c r="AE338" s="56">
        <f t="shared" si="99"/>
        <v>9450</v>
      </c>
      <c r="AF338" s="10">
        <f t="shared" si="107"/>
        <v>16800</v>
      </c>
      <c r="AH338" s="11">
        <f t="shared" si="98"/>
        <v>70</v>
      </c>
      <c r="AI338" s="10">
        <v>70</v>
      </c>
      <c r="AJ338" s="11">
        <f t="shared" si="105"/>
        <v>450</v>
      </c>
      <c r="AK338" s="10">
        <v>450</v>
      </c>
      <c r="AL338" s="11">
        <f t="shared" si="105"/>
        <v>450</v>
      </c>
      <c r="AM338" s="10">
        <v>450</v>
      </c>
      <c r="AN338" s="56">
        <f t="shared" si="100"/>
        <v>2</v>
      </c>
      <c r="AP338" s="11">
        <f ca="1">IFERROR(OFFSET(ITEM_RES!$A$1,MATCH(AQ338,ITEM_RES!$J:$J,0)-1,0),0)</f>
        <v>215070001</v>
      </c>
      <c r="AQ338" s="10" t="s">
        <v>468</v>
      </c>
      <c r="AR338" s="11">
        <v>2250</v>
      </c>
      <c r="AU338" s="11">
        <f ca="1">IFERROR(OFFSET(ITEM_RES!$A$1,MATCH(AV338,ITEM_RES!$J:$J,0)-1,0),0)</f>
        <v>212040001</v>
      </c>
      <c r="AV338" s="10" t="s">
        <v>471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02"/>
        <v>112050015</v>
      </c>
      <c r="B339" s="13">
        <v>11</v>
      </c>
      <c r="C339" s="12">
        <f t="shared" si="103"/>
        <v>2</v>
      </c>
      <c r="D339" s="13">
        <v>5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372</v>
      </c>
      <c r="L339" s="9">
        <v>1</v>
      </c>
      <c r="M339" s="9">
        <v>15</v>
      </c>
      <c r="R339" s="9">
        <v>444</v>
      </c>
      <c r="T339" s="86" t="s">
        <v>618</v>
      </c>
      <c r="U339" s="9">
        <f ca="1">IFERROR(OFFSET(ITEM_RES!$A$5,MATCH(BUILDING!T339,ITEM_RES!$J$5:$J$231,0)-1,0),0)</f>
        <v>212040001</v>
      </c>
      <c r="V339" s="11">
        <v>1</v>
      </c>
      <c r="W339" s="86" t="s">
        <v>416</v>
      </c>
      <c r="X339" s="9">
        <f ca="1">IFERROR(OFFSET(ITEM_RES!$A$5,MATCH(BUILDING!W339,ITEM_RES!$J$5:$J$231,0)-1,0),0)</f>
        <v>215050001</v>
      </c>
      <c r="Z339" s="9" t="s">
        <v>590</v>
      </c>
      <c r="AA339" s="9">
        <v>15</v>
      </c>
      <c r="AC339" s="9">
        <v>44000</v>
      </c>
      <c r="AE339" s="56">
        <f t="shared" si="99"/>
        <v>11550</v>
      </c>
      <c r="AF339" s="10">
        <f t="shared" si="107"/>
        <v>21000</v>
      </c>
      <c r="AH339" s="11">
        <f t="shared" si="98"/>
        <v>75</v>
      </c>
      <c r="AI339" s="10">
        <v>75</v>
      </c>
      <c r="AJ339" s="11">
        <f t="shared" si="105"/>
        <v>550</v>
      </c>
      <c r="AK339" s="10">
        <v>550</v>
      </c>
      <c r="AL339" s="11">
        <f t="shared" si="105"/>
        <v>550</v>
      </c>
      <c r="AM339" s="10">
        <v>550</v>
      </c>
      <c r="AN339" s="56">
        <f t="shared" si="100"/>
        <v>2</v>
      </c>
      <c r="AP339" s="11">
        <f ca="1">IFERROR(OFFSET(ITEM_RES!$A$1,MATCH(AQ339,ITEM_RES!$J:$J,0)-1,0),0)</f>
        <v>215070001</v>
      </c>
      <c r="AQ339" s="10" t="s">
        <v>468</v>
      </c>
      <c r="AR339" s="11">
        <v>2750</v>
      </c>
      <c r="AU339" s="11">
        <f ca="1">IFERROR(OFFSET(ITEM_RES!$A$1,MATCH(AV339,ITEM_RES!$J:$J,0)-1,0),0)</f>
        <v>212040001</v>
      </c>
      <c r="AV339" s="10" t="s">
        <v>471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02"/>
        <v>112050016</v>
      </c>
      <c r="B340" s="13">
        <v>11</v>
      </c>
      <c r="C340" s="12">
        <f t="shared" si="103"/>
        <v>2</v>
      </c>
      <c r="D340" s="13">
        <v>5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372</v>
      </c>
      <c r="L340" s="9">
        <v>0</v>
      </c>
      <c r="M340" s="9">
        <v>15</v>
      </c>
      <c r="R340" s="9">
        <v>444</v>
      </c>
      <c r="T340" s="86" t="s">
        <v>618</v>
      </c>
      <c r="U340" s="9">
        <f ca="1">IFERROR(OFFSET(ITEM_RES!$A$5,MATCH(BUILDING!T340,ITEM_RES!$J$5:$J$231,0)-1,0),0)</f>
        <v>212040001</v>
      </c>
      <c r="V340" s="11">
        <v>1</v>
      </c>
      <c r="W340" s="86" t="s">
        <v>416</v>
      </c>
      <c r="X340" s="9">
        <f ca="1">IFERROR(OFFSET(ITEM_RES!$A$5,MATCH(BUILDING!W340,ITEM_RES!$J$5:$J$231,0)-1,0),0)</f>
        <v>215050001</v>
      </c>
      <c r="Z340" s="9" t="s">
        <v>590</v>
      </c>
      <c r="AA340" s="9">
        <v>16</v>
      </c>
      <c r="AC340" s="9">
        <v>56000</v>
      </c>
      <c r="AE340" s="56">
        <f t="shared" si="99"/>
        <v>14700</v>
      </c>
      <c r="AF340" s="10">
        <f t="shared" si="107"/>
        <v>26250</v>
      </c>
      <c r="AH340" s="11">
        <f t="shared" si="98"/>
        <v>80</v>
      </c>
      <c r="AI340" s="10">
        <v>80</v>
      </c>
      <c r="AJ340" s="11">
        <f t="shared" si="105"/>
        <v>700</v>
      </c>
      <c r="AK340" s="10">
        <v>700</v>
      </c>
      <c r="AL340" s="11">
        <f t="shared" si="105"/>
        <v>700</v>
      </c>
      <c r="AM340" s="10">
        <v>700</v>
      </c>
      <c r="AN340" s="56">
        <f t="shared" si="100"/>
        <v>2</v>
      </c>
      <c r="AP340" s="11">
        <f ca="1">IFERROR(OFFSET(ITEM_RES!$A$1,MATCH(AQ340,ITEM_RES!$J:$J,0)-1,0),0)</f>
        <v>215070001</v>
      </c>
      <c r="AQ340" s="10" t="s">
        <v>468</v>
      </c>
      <c r="AR340" s="11">
        <v>3500</v>
      </c>
      <c r="AU340" s="11">
        <f ca="1">IFERROR(OFFSET(ITEM_RES!$A$1,MATCH(AV340,ITEM_RES!$J:$J,0)-1,0),0)</f>
        <v>212040001</v>
      </c>
      <c r="AV340" s="10" t="s">
        <v>471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02"/>
        <v>112050017</v>
      </c>
      <c r="B341" s="13">
        <v>11</v>
      </c>
      <c r="C341" s="12">
        <f t="shared" si="103"/>
        <v>2</v>
      </c>
      <c r="D341" s="13">
        <v>5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372</v>
      </c>
      <c r="L341" s="9">
        <v>0</v>
      </c>
      <c r="M341" s="9">
        <v>15</v>
      </c>
      <c r="R341" s="9">
        <v>444</v>
      </c>
      <c r="T341" s="86" t="s">
        <v>618</v>
      </c>
      <c r="U341" s="9">
        <f ca="1">IFERROR(OFFSET(ITEM_RES!$A$5,MATCH(BUILDING!T341,ITEM_RES!$J$5:$J$231,0)-1,0),0)</f>
        <v>212040001</v>
      </c>
      <c r="V341" s="11">
        <v>1</v>
      </c>
      <c r="W341" s="86" t="s">
        <v>416</v>
      </c>
      <c r="X341" s="9">
        <f ca="1">IFERROR(OFFSET(ITEM_RES!$A$5,MATCH(BUILDING!W341,ITEM_RES!$J$5:$J$231,0)-1,0),0)</f>
        <v>215050001</v>
      </c>
      <c r="Z341" s="9" t="s">
        <v>590</v>
      </c>
      <c r="AA341" s="9">
        <v>17</v>
      </c>
      <c r="AC341" s="9">
        <v>68000</v>
      </c>
      <c r="AE341" s="56">
        <f t="shared" si="99"/>
        <v>17850</v>
      </c>
      <c r="AF341" s="10">
        <f t="shared" si="107"/>
        <v>32550</v>
      </c>
      <c r="AH341" s="11">
        <f t="shared" si="98"/>
        <v>85</v>
      </c>
      <c r="AI341" s="10">
        <v>85</v>
      </c>
      <c r="AJ341" s="11">
        <f t="shared" si="105"/>
        <v>850</v>
      </c>
      <c r="AK341" s="10">
        <v>850</v>
      </c>
      <c r="AL341" s="11">
        <f t="shared" si="105"/>
        <v>850</v>
      </c>
      <c r="AM341" s="10">
        <v>850</v>
      </c>
      <c r="AN341" s="56">
        <f t="shared" si="100"/>
        <v>2</v>
      </c>
      <c r="AP341" s="11">
        <f ca="1">IFERROR(OFFSET(ITEM_RES!$A$1,MATCH(AQ341,ITEM_RES!$J:$J,0)-1,0),0)</f>
        <v>215070001</v>
      </c>
      <c r="AQ341" s="10" t="s">
        <v>468</v>
      </c>
      <c r="AR341" s="11">
        <v>4250</v>
      </c>
      <c r="AU341" s="11">
        <f ca="1">IFERROR(OFFSET(ITEM_RES!$A$1,MATCH(AV341,ITEM_RES!$J:$J,0)-1,0),0)</f>
        <v>212040001</v>
      </c>
      <c r="AV341" s="10" t="s">
        <v>471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02"/>
        <v>112050018</v>
      </c>
      <c r="B342" s="13">
        <v>11</v>
      </c>
      <c r="C342" s="12">
        <f t="shared" si="103"/>
        <v>2</v>
      </c>
      <c r="D342" s="13">
        <v>5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372</v>
      </c>
      <c r="L342" s="9">
        <v>0</v>
      </c>
      <c r="M342" s="9">
        <v>15</v>
      </c>
      <c r="R342" s="9">
        <v>444</v>
      </c>
      <c r="T342" s="86" t="s">
        <v>618</v>
      </c>
      <c r="U342" s="9">
        <f ca="1">IFERROR(OFFSET(ITEM_RES!$A$5,MATCH(BUILDING!T342,ITEM_RES!$J$5:$J$231,0)-1,0),0)</f>
        <v>212040001</v>
      </c>
      <c r="V342" s="11">
        <v>1</v>
      </c>
      <c r="W342" s="86" t="s">
        <v>416</v>
      </c>
      <c r="X342" s="9">
        <f ca="1">IFERROR(OFFSET(ITEM_RES!$A$5,MATCH(BUILDING!W342,ITEM_RES!$J$5:$J$231,0)-1,0),0)</f>
        <v>215050001</v>
      </c>
      <c r="Z342" s="9" t="s">
        <v>590</v>
      </c>
      <c r="AA342" s="9">
        <v>18</v>
      </c>
      <c r="AC342" s="9">
        <v>84000</v>
      </c>
      <c r="AE342" s="56">
        <f t="shared" si="99"/>
        <v>22050</v>
      </c>
      <c r="AF342" s="10">
        <f t="shared" si="107"/>
        <v>39900</v>
      </c>
      <c r="AH342" s="11">
        <f t="shared" si="98"/>
        <v>90</v>
      </c>
      <c r="AI342" s="10">
        <v>90</v>
      </c>
      <c r="AJ342" s="11">
        <f t="shared" si="105"/>
        <v>1050</v>
      </c>
      <c r="AK342" s="10">
        <v>1050</v>
      </c>
      <c r="AL342" s="11">
        <f t="shared" si="105"/>
        <v>1050</v>
      </c>
      <c r="AM342" s="10">
        <v>1050</v>
      </c>
      <c r="AN342" s="56">
        <f t="shared" si="100"/>
        <v>2</v>
      </c>
      <c r="AP342" s="11">
        <f ca="1">IFERROR(OFFSET(ITEM_RES!$A$1,MATCH(AQ342,ITEM_RES!$J:$J,0)-1,0),0)</f>
        <v>215070001</v>
      </c>
      <c r="AQ342" s="10" t="s">
        <v>468</v>
      </c>
      <c r="AR342" s="11">
        <v>5250</v>
      </c>
      <c r="AU342" s="11">
        <f ca="1">IFERROR(OFFSET(ITEM_RES!$A$1,MATCH(AV342,ITEM_RES!$J:$J,0)-1,0),0)</f>
        <v>212040001</v>
      </c>
      <c r="AV342" s="10" t="s">
        <v>471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02"/>
        <v>112050019</v>
      </c>
      <c r="B343" s="13">
        <v>11</v>
      </c>
      <c r="C343" s="12">
        <f t="shared" si="103"/>
        <v>2</v>
      </c>
      <c r="D343" s="13">
        <v>5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372</v>
      </c>
      <c r="L343" s="9">
        <v>0</v>
      </c>
      <c r="M343" s="9">
        <v>15</v>
      </c>
      <c r="R343" s="9">
        <v>444</v>
      </c>
      <c r="T343" s="86" t="s">
        <v>618</v>
      </c>
      <c r="U343" s="9">
        <f ca="1">IFERROR(OFFSET(ITEM_RES!$A$5,MATCH(BUILDING!T343,ITEM_RES!$J$5:$J$231,0)-1,0),0)</f>
        <v>212040001</v>
      </c>
      <c r="V343" s="11">
        <v>1</v>
      </c>
      <c r="W343" s="86" t="s">
        <v>416</v>
      </c>
      <c r="X343" s="9">
        <f ca="1">IFERROR(OFFSET(ITEM_RES!$A$5,MATCH(BUILDING!W343,ITEM_RES!$J$5:$J$231,0)-1,0),0)</f>
        <v>215050001</v>
      </c>
      <c r="Z343" s="9" t="s">
        <v>590</v>
      </c>
      <c r="AA343" s="9">
        <v>19</v>
      </c>
      <c r="AC343" s="9">
        <v>100000</v>
      </c>
      <c r="AE343" s="56">
        <f t="shared" si="99"/>
        <v>26250</v>
      </c>
      <c r="AF343" s="10">
        <f t="shared" si="107"/>
        <v>48300</v>
      </c>
      <c r="AH343" s="11">
        <f t="shared" si="98"/>
        <v>95</v>
      </c>
      <c r="AI343" s="10">
        <v>95</v>
      </c>
      <c r="AJ343" s="11">
        <f t="shared" si="105"/>
        <v>1250</v>
      </c>
      <c r="AK343" s="10">
        <v>1250</v>
      </c>
      <c r="AL343" s="11">
        <f t="shared" si="105"/>
        <v>1250</v>
      </c>
      <c r="AM343" s="10">
        <v>1250</v>
      </c>
      <c r="AN343" s="56">
        <f t="shared" si="100"/>
        <v>2</v>
      </c>
      <c r="AP343" s="11">
        <f ca="1">IFERROR(OFFSET(ITEM_RES!$A$1,MATCH(AQ343,ITEM_RES!$J:$J,0)-1,0),0)</f>
        <v>215070001</v>
      </c>
      <c r="AQ343" s="10" t="s">
        <v>468</v>
      </c>
      <c r="AR343" s="11">
        <v>6250</v>
      </c>
      <c r="AU343" s="11">
        <f ca="1">IFERROR(OFFSET(ITEM_RES!$A$1,MATCH(AV343,ITEM_RES!$J:$J,0)-1,0),0)</f>
        <v>212040001</v>
      </c>
      <c r="AV343" s="10" t="s">
        <v>471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02"/>
        <v>112050020</v>
      </c>
      <c r="B344" s="13">
        <v>11</v>
      </c>
      <c r="C344" s="12">
        <f t="shared" si="103"/>
        <v>2</v>
      </c>
      <c r="D344" s="13">
        <v>5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372</v>
      </c>
      <c r="L344" s="9">
        <v>0</v>
      </c>
      <c r="M344" s="9">
        <v>15</v>
      </c>
      <c r="R344" s="9">
        <v>444</v>
      </c>
      <c r="T344" s="86" t="s">
        <v>618</v>
      </c>
      <c r="U344" s="9">
        <f ca="1">IFERROR(OFFSET(ITEM_RES!$A$5,MATCH(BUILDING!T344,ITEM_RES!$J$5:$J$231,0)-1,0),0)</f>
        <v>212040001</v>
      </c>
      <c r="V344" s="11">
        <v>1</v>
      </c>
      <c r="W344" s="86" t="s">
        <v>416</v>
      </c>
      <c r="X344" s="9">
        <f ca="1">IFERROR(OFFSET(ITEM_RES!$A$5,MATCH(BUILDING!W344,ITEM_RES!$J$5:$J$231,0)-1,0),0)</f>
        <v>215050001</v>
      </c>
      <c r="Z344" s="9" t="s">
        <v>590</v>
      </c>
      <c r="AA344" s="9">
        <v>20</v>
      </c>
      <c r="AC344" s="9">
        <v>120000</v>
      </c>
      <c r="AE344" s="56">
        <f t="shared" si="99"/>
        <v>31500</v>
      </c>
      <c r="AF344" s="10">
        <f t="shared" si="107"/>
        <v>57750</v>
      </c>
      <c r="AH344" s="11">
        <f t="shared" si="98"/>
        <v>100</v>
      </c>
      <c r="AI344" s="10">
        <v>100</v>
      </c>
      <c r="AJ344" s="11">
        <f t="shared" si="105"/>
        <v>1500</v>
      </c>
      <c r="AK344" s="10">
        <v>1500</v>
      </c>
      <c r="AL344" s="11">
        <f t="shared" si="105"/>
        <v>1500</v>
      </c>
      <c r="AM344" s="10">
        <v>1500</v>
      </c>
      <c r="AN344" s="56">
        <f t="shared" si="100"/>
        <v>2</v>
      </c>
      <c r="AP344" s="11">
        <f ca="1">IFERROR(OFFSET(ITEM_RES!$A$1,MATCH(AQ344,ITEM_RES!$J:$J,0)-1,0),0)</f>
        <v>215070001</v>
      </c>
      <c r="AQ344" s="10" t="s">
        <v>468</v>
      </c>
      <c r="AR344" s="11">
        <v>7500</v>
      </c>
      <c r="AU344" s="11">
        <f ca="1">IFERROR(OFFSET(ITEM_RES!$A$1,MATCH(AV344,ITEM_RES!$J:$J,0)-1,0),0)</f>
        <v>212040001</v>
      </c>
      <c r="AV344" s="10" t="s">
        <v>471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02"/>
        <v>111090001</v>
      </c>
      <c r="B345" s="20">
        <v>11</v>
      </c>
      <c r="C345" s="19">
        <f t="shared" si="103"/>
        <v>1</v>
      </c>
      <c r="D345" s="20">
        <v>9</v>
      </c>
      <c r="E345" s="20">
        <v>0</v>
      </c>
      <c r="F345" s="19">
        <f t="shared" si="104"/>
        <v>1</v>
      </c>
      <c r="G345" s="80"/>
      <c r="H345" s="16">
        <v>1</v>
      </c>
      <c r="I345" s="16">
        <v>1</v>
      </c>
      <c r="J345" s="80"/>
      <c r="K345" s="16" t="s">
        <v>384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0"/>
      <c r="T345" s="88"/>
      <c r="U345" s="16">
        <f ca="1">IFERROR(OFFSET(ITEM_RES!$A$5,MATCH(BUILDING!T345,ITEM_RES!$J$5:$J$231,0)-1,0),0)</f>
        <v>0</v>
      </c>
      <c r="V345" s="18"/>
      <c r="W345" s="88" t="s">
        <v>613</v>
      </c>
      <c r="X345" s="16">
        <f ca="1">IFERROR(OFFSET(ITEM_RES!$A$5,MATCH(BUILDING!W345,ITEM_RES!$J$5:$J$231,0)-1,0),0)</f>
        <v>211060001</v>
      </c>
      <c r="Y345" s="80"/>
      <c r="Z345" s="16" t="s">
        <v>591</v>
      </c>
      <c r="AA345" s="16">
        <v>1</v>
      </c>
      <c r="AB345" s="80"/>
      <c r="AC345" s="16">
        <v>0</v>
      </c>
      <c r="AD345" s="80"/>
      <c r="AE345" s="57">
        <f t="shared" si="99"/>
        <v>605</v>
      </c>
      <c r="AF345" s="17">
        <f>AE345</f>
        <v>605</v>
      </c>
      <c r="AG345" s="80"/>
      <c r="AH345" s="18">
        <f t="shared" ref="AH345:AH388" si="108">ROUND(AI345,0)</f>
        <v>5</v>
      </c>
      <c r="AI345" s="17">
        <v>5</v>
      </c>
      <c r="AJ345" s="18">
        <f t="shared" si="105"/>
        <v>5</v>
      </c>
      <c r="AK345" s="17">
        <v>5</v>
      </c>
      <c r="AL345" s="18">
        <f t="shared" si="105"/>
        <v>5</v>
      </c>
      <c r="AM345" s="17">
        <v>5</v>
      </c>
      <c r="AN345" s="57">
        <f t="shared" si="100"/>
        <v>3</v>
      </c>
      <c r="AO345" s="18"/>
      <c r="AP345" s="18">
        <f ca="1">IFERROR(OFFSET(ITEM_RES!$A$1,MATCH(AQ345,ITEM_RES!$J:$J,0)-1,0),0)</f>
        <v>211050001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489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496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2"/>
        <v>111090002</v>
      </c>
      <c r="B346" s="13">
        <v>11</v>
      </c>
      <c r="C346" s="12">
        <f t="shared" si="103"/>
        <v>1</v>
      </c>
      <c r="D346" s="13">
        <v>9</v>
      </c>
      <c r="E346" s="13">
        <v>0</v>
      </c>
      <c r="F346" s="12">
        <f t="shared" si="104"/>
        <v>2</v>
      </c>
      <c r="H346" s="9">
        <v>1</v>
      </c>
      <c r="I346" s="9">
        <v>2</v>
      </c>
      <c r="K346" s="9" t="s">
        <v>384</v>
      </c>
      <c r="L346" s="9">
        <v>1</v>
      </c>
      <c r="M346" s="9">
        <v>15</v>
      </c>
      <c r="R346" s="9">
        <v>555</v>
      </c>
      <c r="U346" s="9">
        <f ca="1">IFERROR(OFFSET(ITEM_RES!$A$5,MATCH(BUILDING!T346,ITEM_RES!$J$5:$J$231,0)-1,0),0)</f>
        <v>0</v>
      </c>
      <c r="W346" s="86" t="s">
        <v>613</v>
      </c>
      <c r="X346" s="9">
        <f ca="1">IFERROR(OFFSET(ITEM_RES!$A$5,MATCH(BUILDING!W346,ITEM_RES!$J$5:$J$231,0)-1,0),0)</f>
        <v>211060001</v>
      </c>
      <c r="Z346" s="9" t="s">
        <v>591</v>
      </c>
      <c r="AA346" s="9">
        <v>2</v>
      </c>
      <c r="AC346" s="9">
        <v>200</v>
      </c>
      <c r="AE346" s="56">
        <f t="shared" ref="AE346:AE389" si="109">AK346*10+AM346+AR346+AW346+500*BB346+500*BG346+500*BL346</f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05"/>
        <v>10</v>
      </c>
      <c r="AK346" s="10">
        <v>10</v>
      </c>
      <c r="AL346" s="11">
        <f t="shared" si="105"/>
        <v>10</v>
      </c>
      <c r="AM346" s="10">
        <v>10</v>
      </c>
      <c r="AN346" s="56">
        <f t="shared" ref="AN346:AN389" si="110">(AR346&gt;0)*1+(AW346&gt;0)*1+(BB346&gt;0)*1+(BG346&gt;0)*1+(BL346&gt;0)*1</f>
        <v>2</v>
      </c>
      <c r="AP346" s="11">
        <f ca="1">IFERROR(OFFSET(ITEM_RES!$A$1,MATCH(AQ346,ITEM_RES!$J:$J,0)-1,0),0)</f>
        <v>211050001</v>
      </c>
      <c r="AQ346" s="10" t="s">
        <v>462</v>
      </c>
      <c r="AR346" s="11">
        <v>50</v>
      </c>
      <c r="AU346" s="11">
        <f ca="1">IFERROR(OFFSET(ITEM_RES!$A$1,MATCH(AV346,ITEM_RES!$J:$J,0)-1,0),0)</f>
        <v>211040001</v>
      </c>
      <c r="AV346" s="10" t="s">
        <v>489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2"/>
        <v>111090003</v>
      </c>
      <c r="B347" s="13">
        <v>11</v>
      </c>
      <c r="C347" s="12">
        <f t="shared" si="103"/>
        <v>1</v>
      </c>
      <c r="D347" s="13">
        <v>9</v>
      </c>
      <c r="E347" s="13">
        <v>0</v>
      </c>
      <c r="F347" s="12">
        <f t="shared" si="104"/>
        <v>3</v>
      </c>
      <c r="H347" s="9">
        <v>1</v>
      </c>
      <c r="I347" s="9">
        <v>3</v>
      </c>
      <c r="K347" s="9" t="s">
        <v>384</v>
      </c>
      <c r="L347" s="9">
        <v>1</v>
      </c>
      <c r="M347" s="9">
        <v>15</v>
      </c>
      <c r="R347" s="9">
        <v>555</v>
      </c>
      <c r="U347" s="9">
        <f ca="1">IFERROR(OFFSET(ITEM_RES!$A$5,MATCH(BUILDING!T347,ITEM_RES!$J$5:$J$231,0)-1,0),0)</f>
        <v>0</v>
      </c>
      <c r="W347" s="86" t="s">
        <v>613</v>
      </c>
      <c r="X347" s="9">
        <f ca="1">IFERROR(OFFSET(ITEM_RES!$A$5,MATCH(BUILDING!W347,ITEM_RES!$J$5:$J$231,0)-1,0),0)</f>
        <v>211060001</v>
      </c>
      <c r="Z347" s="9" t="s">
        <v>591</v>
      </c>
      <c r="AA347" s="9">
        <v>3</v>
      </c>
      <c r="AC347" s="9">
        <v>600</v>
      </c>
      <c r="AE347" s="56">
        <f t="shared" si="109"/>
        <v>315</v>
      </c>
      <c r="AF347" s="10">
        <f t="shared" ref="AF347:AF364" si="111">AE346+AE347</f>
        <v>525</v>
      </c>
      <c r="AH347" s="11">
        <f t="shared" si="108"/>
        <v>15</v>
      </c>
      <c r="AI347" s="10">
        <v>15</v>
      </c>
      <c r="AJ347" s="11">
        <f t="shared" si="105"/>
        <v>15</v>
      </c>
      <c r="AK347" s="10">
        <v>15</v>
      </c>
      <c r="AL347" s="11">
        <f t="shared" si="10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211050001</v>
      </c>
      <c r="AQ347" s="10" t="s">
        <v>462</v>
      </c>
      <c r="AR347" s="11">
        <v>75</v>
      </c>
      <c r="AU347" s="11">
        <f ca="1">IFERROR(OFFSET(ITEM_RES!$A$1,MATCH(AV347,ITEM_RES!$J:$J,0)-1,0),0)</f>
        <v>211040001</v>
      </c>
      <c r="AV347" s="10" t="s">
        <v>489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2"/>
        <v>111090004</v>
      </c>
      <c r="B348" s="13">
        <v>11</v>
      </c>
      <c r="C348" s="12">
        <f t="shared" si="103"/>
        <v>1</v>
      </c>
      <c r="D348" s="13">
        <v>9</v>
      </c>
      <c r="E348" s="13">
        <v>0</v>
      </c>
      <c r="F348" s="12">
        <f t="shared" si="104"/>
        <v>4</v>
      </c>
      <c r="H348" s="9">
        <v>1</v>
      </c>
      <c r="I348" s="9">
        <v>4</v>
      </c>
      <c r="K348" s="9" t="s">
        <v>384</v>
      </c>
      <c r="L348" s="9">
        <v>1</v>
      </c>
      <c r="M348" s="9">
        <v>15</v>
      </c>
      <c r="R348" s="9">
        <v>555</v>
      </c>
      <c r="U348" s="9">
        <f ca="1">IFERROR(OFFSET(ITEM_RES!$A$5,MATCH(BUILDING!T348,ITEM_RES!$J$5:$J$231,0)-1,0),0)</f>
        <v>0</v>
      </c>
      <c r="W348" s="86" t="s">
        <v>613</v>
      </c>
      <c r="X348" s="9">
        <f ca="1">IFERROR(OFFSET(ITEM_RES!$A$5,MATCH(BUILDING!W348,ITEM_RES!$J$5:$J$231,0)-1,0),0)</f>
        <v>211060001</v>
      </c>
      <c r="Z348" s="9" t="s">
        <v>591</v>
      </c>
      <c r="AA348" s="9">
        <v>4</v>
      </c>
      <c r="AC348" s="9">
        <v>1000</v>
      </c>
      <c r="AE348" s="56">
        <f t="shared" si="109"/>
        <v>525</v>
      </c>
      <c r="AF348" s="10">
        <f t="shared" si="111"/>
        <v>840</v>
      </c>
      <c r="AH348" s="11">
        <f t="shared" si="108"/>
        <v>20</v>
      </c>
      <c r="AI348" s="10">
        <v>20</v>
      </c>
      <c r="AJ348" s="11">
        <f t="shared" si="105"/>
        <v>25</v>
      </c>
      <c r="AK348" s="10">
        <v>25</v>
      </c>
      <c r="AL348" s="11">
        <f t="shared" si="10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211050001</v>
      </c>
      <c r="AQ348" s="10" t="s">
        <v>462</v>
      </c>
      <c r="AR348" s="11">
        <v>125</v>
      </c>
      <c r="AU348" s="11">
        <f ca="1">IFERROR(OFFSET(ITEM_RES!$A$1,MATCH(AV348,ITEM_RES!$J:$J,0)-1,0),0)</f>
        <v>211040001</v>
      </c>
      <c r="AV348" s="10" t="s">
        <v>489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2"/>
        <v>111090005</v>
      </c>
      <c r="B349" s="13">
        <v>11</v>
      </c>
      <c r="C349" s="12">
        <f t="shared" si="103"/>
        <v>1</v>
      </c>
      <c r="D349" s="13">
        <v>9</v>
      </c>
      <c r="E349" s="13">
        <v>0</v>
      </c>
      <c r="F349" s="12">
        <f t="shared" si="104"/>
        <v>5</v>
      </c>
      <c r="H349" s="9">
        <v>1</v>
      </c>
      <c r="I349" s="9">
        <v>5</v>
      </c>
      <c r="K349" s="9" t="s">
        <v>384</v>
      </c>
      <c r="L349" s="9">
        <v>1</v>
      </c>
      <c r="M349" s="9">
        <v>15</v>
      </c>
      <c r="R349" s="9">
        <v>555</v>
      </c>
      <c r="U349" s="9">
        <f ca="1">IFERROR(OFFSET(ITEM_RES!$A$5,MATCH(BUILDING!T349,ITEM_RES!$J$5:$J$231,0)-1,0),0)</f>
        <v>0</v>
      </c>
      <c r="W349" s="86" t="s">
        <v>613</v>
      </c>
      <c r="X349" s="9">
        <f ca="1">IFERROR(OFFSET(ITEM_RES!$A$5,MATCH(BUILDING!W349,ITEM_RES!$J$5:$J$231,0)-1,0),0)</f>
        <v>211060001</v>
      </c>
      <c r="Z349" s="9" t="s">
        <v>591</v>
      </c>
      <c r="AA349" s="9">
        <v>5</v>
      </c>
      <c r="AC349" s="9">
        <v>1600</v>
      </c>
      <c r="AE349" s="56">
        <f t="shared" si="109"/>
        <v>840</v>
      </c>
      <c r="AF349" s="10">
        <f t="shared" si="111"/>
        <v>1365</v>
      </c>
      <c r="AH349" s="11">
        <f t="shared" si="108"/>
        <v>25</v>
      </c>
      <c r="AI349" s="10">
        <v>25</v>
      </c>
      <c r="AJ349" s="11">
        <f t="shared" si="105"/>
        <v>40</v>
      </c>
      <c r="AK349" s="10">
        <v>40</v>
      </c>
      <c r="AL349" s="11">
        <f t="shared" si="10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211050001</v>
      </c>
      <c r="AQ349" s="10" t="s">
        <v>462</v>
      </c>
      <c r="AR349" s="11">
        <v>200</v>
      </c>
      <c r="AU349" s="11">
        <f ca="1">IFERROR(OFFSET(ITEM_RES!$A$1,MATCH(AV349,ITEM_RES!$J:$J,0)-1,0),0)</f>
        <v>211040001</v>
      </c>
      <c r="AV349" s="10" t="s">
        <v>489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2"/>
        <v>111090006</v>
      </c>
      <c r="B350" s="13">
        <v>11</v>
      </c>
      <c r="C350" s="12">
        <f t="shared" si="103"/>
        <v>1</v>
      </c>
      <c r="D350" s="13">
        <v>9</v>
      </c>
      <c r="E350" s="13">
        <v>0</v>
      </c>
      <c r="F350" s="12">
        <f t="shared" si="104"/>
        <v>6</v>
      </c>
      <c r="H350" s="9">
        <v>1</v>
      </c>
      <c r="I350" s="9">
        <v>6</v>
      </c>
      <c r="K350" s="9" t="s">
        <v>384</v>
      </c>
      <c r="L350" s="9">
        <v>1</v>
      </c>
      <c r="M350" s="9">
        <v>15</v>
      </c>
      <c r="R350" s="9">
        <v>555</v>
      </c>
      <c r="U350" s="9">
        <f ca="1">IFERROR(OFFSET(ITEM_RES!$A$5,MATCH(BUILDING!T350,ITEM_RES!$J$5:$J$231,0)-1,0),0)</f>
        <v>0</v>
      </c>
      <c r="W350" s="86" t="s">
        <v>613</v>
      </c>
      <c r="X350" s="9">
        <f ca="1">IFERROR(OFFSET(ITEM_RES!$A$5,MATCH(BUILDING!W350,ITEM_RES!$J$5:$J$231,0)-1,0),0)</f>
        <v>211060001</v>
      </c>
      <c r="Z350" s="9" t="s">
        <v>591</v>
      </c>
      <c r="AA350" s="9">
        <v>6</v>
      </c>
      <c r="AC350" s="9">
        <v>2000</v>
      </c>
      <c r="AE350" s="56">
        <f t="shared" si="109"/>
        <v>1050</v>
      </c>
      <c r="AF350" s="10">
        <f t="shared" si="111"/>
        <v>1890</v>
      </c>
      <c r="AH350" s="11">
        <f t="shared" si="108"/>
        <v>30</v>
      </c>
      <c r="AI350" s="10">
        <v>30</v>
      </c>
      <c r="AJ350" s="11">
        <f t="shared" si="105"/>
        <v>50</v>
      </c>
      <c r="AK350" s="10">
        <v>50</v>
      </c>
      <c r="AL350" s="11">
        <f t="shared" si="10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211050001</v>
      </c>
      <c r="AQ350" s="10" t="s">
        <v>462</v>
      </c>
      <c r="AR350" s="11">
        <v>250</v>
      </c>
      <c r="AU350" s="11">
        <f ca="1">IFERROR(OFFSET(ITEM_RES!$A$1,MATCH(AV350,ITEM_RES!$J:$J,0)-1,0),0)</f>
        <v>211040001</v>
      </c>
      <c r="AV350" s="10" t="s">
        <v>489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2"/>
        <v>111090007</v>
      </c>
      <c r="B351" s="13">
        <v>11</v>
      </c>
      <c r="C351" s="12">
        <f t="shared" si="103"/>
        <v>1</v>
      </c>
      <c r="D351" s="13">
        <v>9</v>
      </c>
      <c r="E351" s="13">
        <v>0</v>
      </c>
      <c r="F351" s="12">
        <f t="shared" si="104"/>
        <v>7</v>
      </c>
      <c r="H351" s="9">
        <v>1</v>
      </c>
      <c r="I351" s="9">
        <v>7</v>
      </c>
      <c r="K351" s="9" t="s">
        <v>384</v>
      </c>
      <c r="L351" s="9">
        <v>1</v>
      </c>
      <c r="M351" s="9">
        <v>15</v>
      </c>
      <c r="R351" s="9">
        <v>555</v>
      </c>
      <c r="U351" s="9">
        <f ca="1">IFERROR(OFFSET(ITEM_RES!$A$5,MATCH(BUILDING!T351,ITEM_RES!$J$5:$J$231,0)-1,0),0)</f>
        <v>0</v>
      </c>
      <c r="W351" s="86" t="s">
        <v>613</v>
      </c>
      <c r="X351" s="9">
        <f ca="1">IFERROR(OFFSET(ITEM_RES!$A$5,MATCH(BUILDING!W351,ITEM_RES!$J$5:$J$231,0)-1,0),0)</f>
        <v>211060001</v>
      </c>
      <c r="Z351" s="9" t="s">
        <v>591</v>
      </c>
      <c r="AA351" s="9">
        <v>7</v>
      </c>
      <c r="AC351" s="9">
        <v>4000</v>
      </c>
      <c r="AE351" s="56">
        <f t="shared" si="109"/>
        <v>2100</v>
      </c>
      <c r="AF351" s="10">
        <f t="shared" si="111"/>
        <v>3150</v>
      </c>
      <c r="AH351" s="11">
        <f t="shared" si="108"/>
        <v>35</v>
      </c>
      <c r="AI351" s="10">
        <v>35</v>
      </c>
      <c r="AJ351" s="11">
        <f t="shared" si="105"/>
        <v>100</v>
      </c>
      <c r="AK351" s="10">
        <v>100</v>
      </c>
      <c r="AL351" s="11">
        <f t="shared" si="105"/>
        <v>100</v>
      </c>
      <c r="AM351" s="10">
        <v>100</v>
      </c>
      <c r="AN351" s="56">
        <f t="shared" si="110"/>
        <v>2</v>
      </c>
      <c r="AP351" s="11">
        <f ca="1">IFERROR(OFFSET(ITEM_RES!$A$1,MATCH(AQ351,ITEM_RES!$J:$J,0)-1,0),0)</f>
        <v>211050001</v>
      </c>
      <c r="AQ351" s="10" t="s">
        <v>462</v>
      </c>
      <c r="AR351" s="11">
        <v>500</v>
      </c>
      <c r="AU351" s="11">
        <f ca="1">IFERROR(OFFSET(ITEM_RES!$A$1,MATCH(AV351,ITEM_RES!$J:$J,0)-1,0),0)</f>
        <v>211040001</v>
      </c>
      <c r="AV351" s="10" t="s">
        <v>489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2"/>
        <v>111090008</v>
      </c>
      <c r="B352" s="13">
        <v>11</v>
      </c>
      <c r="C352" s="12">
        <f t="shared" si="103"/>
        <v>1</v>
      </c>
      <c r="D352" s="13">
        <v>9</v>
      </c>
      <c r="E352" s="13">
        <v>0</v>
      </c>
      <c r="F352" s="12">
        <f t="shared" si="104"/>
        <v>8</v>
      </c>
      <c r="H352" s="9">
        <v>1</v>
      </c>
      <c r="I352" s="9">
        <v>8</v>
      </c>
      <c r="K352" s="9" t="s">
        <v>384</v>
      </c>
      <c r="L352" s="9">
        <v>1</v>
      </c>
      <c r="M352" s="9">
        <v>15</v>
      </c>
      <c r="R352" s="9">
        <v>555</v>
      </c>
      <c r="U352" s="9">
        <f ca="1">IFERROR(OFFSET(ITEM_RES!$A$5,MATCH(BUILDING!T352,ITEM_RES!$J$5:$J$231,0)-1,0),0)</f>
        <v>0</v>
      </c>
      <c r="W352" s="86" t="s">
        <v>613</v>
      </c>
      <c r="X352" s="9">
        <f ca="1">IFERROR(OFFSET(ITEM_RES!$A$5,MATCH(BUILDING!W352,ITEM_RES!$J$5:$J$231,0)-1,0),0)</f>
        <v>211060001</v>
      </c>
      <c r="Z352" s="9" t="s">
        <v>591</v>
      </c>
      <c r="AA352" s="9">
        <v>8</v>
      </c>
      <c r="AC352" s="9">
        <v>4000</v>
      </c>
      <c r="AE352" s="56">
        <f t="shared" si="109"/>
        <v>2100</v>
      </c>
      <c r="AF352" s="10">
        <f t="shared" si="111"/>
        <v>4200</v>
      </c>
      <c r="AH352" s="11">
        <f t="shared" si="108"/>
        <v>40</v>
      </c>
      <c r="AI352" s="10">
        <v>40</v>
      </c>
      <c r="AJ352" s="11">
        <f t="shared" si="105"/>
        <v>100</v>
      </c>
      <c r="AK352" s="10">
        <v>100</v>
      </c>
      <c r="AL352" s="11">
        <f t="shared" si="10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211050001</v>
      </c>
      <c r="AQ352" s="10" t="s">
        <v>462</v>
      </c>
      <c r="AR352" s="11">
        <v>500</v>
      </c>
      <c r="AU352" s="11">
        <f ca="1">IFERROR(OFFSET(ITEM_RES!$A$1,MATCH(AV352,ITEM_RES!$J:$J,0)-1,0),0)</f>
        <v>211040001</v>
      </c>
      <c r="AV352" s="10" t="s">
        <v>489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2"/>
        <v>111090009</v>
      </c>
      <c r="B353" s="13">
        <v>11</v>
      </c>
      <c r="C353" s="12">
        <f t="shared" si="103"/>
        <v>1</v>
      </c>
      <c r="D353" s="13">
        <v>9</v>
      </c>
      <c r="E353" s="13">
        <v>0</v>
      </c>
      <c r="F353" s="12">
        <f t="shared" si="104"/>
        <v>9</v>
      </c>
      <c r="H353" s="9">
        <v>1</v>
      </c>
      <c r="I353" s="9">
        <v>9</v>
      </c>
      <c r="K353" s="9" t="s">
        <v>384</v>
      </c>
      <c r="L353" s="9">
        <v>1</v>
      </c>
      <c r="M353" s="9">
        <v>15</v>
      </c>
      <c r="R353" s="9">
        <v>555</v>
      </c>
      <c r="U353" s="9">
        <f ca="1">IFERROR(OFFSET(ITEM_RES!$A$5,MATCH(BUILDING!T353,ITEM_RES!$J$5:$J$231,0)-1,0),0)</f>
        <v>0</v>
      </c>
      <c r="W353" s="86" t="s">
        <v>613</v>
      </c>
      <c r="X353" s="9">
        <f ca="1">IFERROR(OFFSET(ITEM_RES!$A$5,MATCH(BUILDING!W353,ITEM_RES!$J$5:$J$231,0)-1,0),0)</f>
        <v>211060001</v>
      </c>
      <c r="Z353" s="9" t="s">
        <v>591</v>
      </c>
      <c r="AA353" s="9">
        <v>9</v>
      </c>
      <c r="AC353" s="9">
        <v>6000</v>
      </c>
      <c r="AE353" s="56">
        <f t="shared" si="109"/>
        <v>3150</v>
      </c>
      <c r="AF353" s="10">
        <f t="shared" si="111"/>
        <v>5250</v>
      </c>
      <c r="AH353" s="11">
        <f t="shared" si="108"/>
        <v>45</v>
      </c>
      <c r="AI353" s="10">
        <v>45</v>
      </c>
      <c r="AJ353" s="11">
        <f t="shared" si="105"/>
        <v>150</v>
      </c>
      <c r="AK353" s="10">
        <v>150</v>
      </c>
      <c r="AL353" s="11">
        <f t="shared" si="10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211050001</v>
      </c>
      <c r="AQ353" s="10" t="s">
        <v>462</v>
      </c>
      <c r="AR353" s="11">
        <v>750</v>
      </c>
      <c r="AU353" s="11">
        <f ca="1">IFERROR(OFFSET(ITEM_RES!$A$1,MATCH(AV353,ITEM_RES!$J:$J,0)-1,0),0)</f>
        <v>211040001</v>
      </c>
      <c r="AV353" s="10" t="s">
        <v>489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2"/>
        <v>111090010</v>
      </c>
      <c r="B354" s="13">
        <v>11</v>
      </c>
      <c r="C354" s="12">
        <f t="shared" si="103"/>
        <v>1</v>
      </c>
      <c r="D354" s="13">
        <v>9</v>
      </c>
      <c r="E354" s="13">
        <v>0</v>
      </c>
      <c r="F354" s="12">
        <f t="shared" si="104"/>
        <v>10</v>
      </c>
      <c r="H354" s="9">
        <v>1</v>
      </c>
      <c r="I354" s="9">
        <v>10</v>
      </c>
      <c r="K354" s="9" t="s">
        <v>384</v>
      </c>
      <c r="L354" s="9">
        <v>1</v>
      </c>
      <c r="M354" s="9">
        <v>15</v>
      </c>
      <c r="R354" s="9">
        <v>555</v>
      </c>
      <c r="U354" s="9">
        <f ca="1">IFERROR(OFFSET(ITEM_RES!$A$5,MATCH(BUILDING!T354,ITEM_RES!$J$5:$J$231,0)-1,0),0)</f>
        <v>0</v>
      </c>
      <c r="W354" s="86" t="s">
        <v>613</v>
      </c>
      <c r="X354" s="9">
        <f ca="1">IFERROR(OFFSET(ITEM_RES!$A$5,MATCH(BUILDING!W354,ITEM_RES!$J$5:$J$231,0)-1,0),0)</f>
        <v>211060001</v>
      </c>
      <c r="Z354" s="9" t="s">
        <v>591</v>
      </c>
      <c r="AA354" s="9">
        <v>10</v>
      </c>
      <c r="AC354" s="9">
        <v>8000</v>
      </c>
      <c r="AE354" s="56">
        <f t="shared" si="109"/>
        <v>4200</v>
      </c>
      <c r="AF354" s="10">
        <f t="shared" si="111"/>
        <v>7350</v>
      </c>
      <c r="AH354" s="11">
        <f t="shared" si="108"/>
        <v>50</v>
      </c>
      <c r="AI354" s="10">
        <v>50</v>
      </c>
      <c r="AJ354" s="11">
        <f t="shared" si="105"/>
        <v>200</v>
      </c>
      <c r="AK354" s="10">
        <v>200</v>
      </c>
      <c r="AL354" s="11">
        <f t="shared" si="10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211050001</v>
      </c>
      <c r="AQ354" s="10" t="s">
        <v>462</v>
      </c>
      <c r="AR354" s="11">
        <v>1000</v>
      </c>
      <c r="AU354" s="11">
        <f ca="1">IFERROR(OFFSET(ITEM_RES!$A$1,MATCH(AV354,ITEM_RES!$J:$J,0)-1,0),0)</f>
        <v>211040001</v>
      </c>
      <c r="AV354" s="10" t="s">
        <v>489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2"/>
        <v>111090011</v>
      </c>
      <c r="B355" s="13">
        <v>11</v>
      </c>
      <c r="C355" s="12">
        <f t="shared" si="103"/>
        <v>1</v>
      </c>
      <c r="D355" s="13">
        <v>9</v>
      </c>
      <c r="E355" s="13">
        <v>0</v>
      </c>
      <c r="F355" s="12">
        <f t="shared" si="104"/>
        <v>11</v>
      </c>
      <c r="H355" s="9">
        <v>1</v>
      </c>
      <c r="I355" s="9">
        <v>11</v>
      </c>
      <c r="K355" s="9" t="s">
        <v>384</v>
      </c>
      <c r="L355" s="9">
        <v>1</v>
      </c>
      <c r="M355" s="9">
        <v>15</v>
      </c>
      <c r="R355" s="9">
        <v>555</v>
      </c>
      <c r="U355" s="9">
        <f ca="1">IFERROR(OFFSET(ITEM_RES!$A$5,MATCH(BUILDING!T355,ITEM_RES!$J$5:$J$231,0)-1,0),0)</f>
        <v>0</v>
      </c>
      <c r="W355" s="86" t="s">
        <v>613</v>
      </c>
      <c r="X355" s="9">
        <f ca="1">IFERROR(OFFSET(ITEM_RES!$A$5,MATCH(BUILDING!W355,ITEM_RES!$J$5:$J$231,0)-1,0),0)</f>
        <v>211060001</v>
      </c>
      <c r="Z355" s="9" t="s">
        <v>591</v>
      </c>
      <c r="AA355" s="9">
        <v>11</v>
      </c>
      <c r="AC355" s="9">
        <v>10000</v>
      </c>
      <c r="AE355" s="56">
        <f t="shared" si="109"/>
        <v>5250</v>
      </c>
      <c r="AF355" s="10">
        <f t="shared" si="111"/>
        <v>9450</v>
      </c>
      <c r="AH355" s="11">
        <f t="shared" si="108"/>
        <v>55</v>
      </c>
      <c r="AI355" s="10">
        <v>55</v>
      </c>
      <c r="AJ355" s="11">
        <f t="shared" si="105"/>
        <v>250</v>
      </c>
      <c r="AK355" s="10">
        <v>250</v>
      </c>
      <c r="AL355" s="11">
        <f t="shared" si="10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211050001</v>
      </c>
      <c r="AQ355" s="10" t="s">
        <v>462</v>
      </c>
      <c r="AR355" s="11">
        <v>1250</v>
      </c>
      <c r="AU355" s="11">
        <f ca="1">IFERROR(OFFSET(ITEM_RES!$A$1,MATCH(AV355,ITEM_RES!$J:$J,0)-1,0),0)</f>
        <v>211040001</v>
      </c>
      <c r="AV355" s="10" t="s">
        <v>489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2"/>
        <v>111090012</v>
      </c>
      <c r="B356" s="13">
        <v>11</v>
      </c>
      <c r="C356" s="12">
        <f t="shared" si="103"/>
        <v>1</v>
      </c>
      <c r="D356" s="13">
        <v>9</v>
      </c>
      <c r="E356" s="13">
        <v>0</v>
      </c>
      <c r="F356" s="12">
        <f t="shared" si="104"/>
        <v>12</v>
      </c>
      <c r="H356" s="9">
        <v>1</v>
      </c>
      <c r="I356" s="9">
        <v>12</v>
      </c>
      <c r="K356" s="9" t="s">
        <v>384</v>
      </c>
      <c r="L356" s="9">
        <v>1</v>
      </c>
      <c r="M356" s="9">
        <v>15</v>
      </c>
      <c r="R356" s="9">
        <v>555</v>
      </c>
      <c r="U356" s="9">
        <f ca="1">IFERROR(OFFSET(ITEM_RES!$A$5,MATCH(BUILDING!T356,ITEM_RES!$J$5:$J$231,0)-1,0),0)</f>
        <v>0</v>
      </c>
      <c r="W356" s="86" t="s">
        <v>613</v>
      </c>
      <c r="X356" s="9">
        <f ca="1">IFERROR(OFFSET(ITEM_RES!$A$5,MATCH(BUILDING!W356,ITEM_RES!$J$5:$J$231,0)-1,0),0)</f>
        <v>211060001</v>
      </c>
      <c r="Z356" s="9" t="s">
        <v>591</v>
      </c>
      <c r="AA356" s="9">
        <v>12</v>
      </c>
      <c r="AC356" s="9">
        <v>12000</v>
      </c>
      <c r="AE356" s="56">
        <f t="shared" si="109"/>
        <v>6300</v>
      </c>
      <c r="AF356" s="10">
        <f t="shared" si="111"/>
        <v>11550</v>
      </c>
      <c r="AH356" s="11">
        <f t="shared" si="108"/>
        <v>60</v>
      </c>
      <c r="AI356" s="10">
        <v>60</v>
      </c>
      <c r="AJ356" s="11">
        <f t="shared" si="105"/>
        <v>300</v>
      </c>
      <c r="AK356" s="10">
        <v>300</v>
      </c>
      <c r="AL356" s="11">
        <f t="shared" si="10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211050001</v>
      </c>
      <c r="AQ356" s="10" t="s">
        <v>462</v>
      </c>
      <c r="AR356" s="11">
        <v>1500</v>
      </c>
      <c r="AU356" s="11">
        <f ca="1">IFERROR(OFFSET(ITEM_RES!$A$1,MATCH(AV356,ITEM_RES!$J:$J,0)-1,0),0)</f>
        <v>211040001</v>
      </c>
      <c r="AV356" s="10" t="s">
        <v>489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2"/>
        <v>111090013</v>
      </c>
      <c r="B357" s="13">
        <v>11</v>
      </c>
      <c r="C357" s="12">
        <f t="shared" si="103"/>
        <v>1</v>
      </c>
      <c r="D357" s="13">
        <v>9</v>
      </c>
      <c r="E357" s="13">
        <v>0</v>
      </c>
      <c r="F357" s="12">
        <f t="shared" si="104"/>
        <v>13</v>
      </c>
      <c r="H357" s="9">
        <v>1</v>
      </c>
      <c r="I357" s="9">
        <v>13</v>
      </c>
      <c r="K357" s="9" t="s">
        <v>384</v>
      </c>
      <c r="L357" s="9">
        <v>1</v>
      </c>
      <c r="M357" s="9">
        <v>15</v>
      </c>
      <c r="R357" s="9">
        <v>555</v>
      </c>
      <c r="U357" s="9">
        <f ca="1">IFERROR(OFFSET(ITEM_RES!$A$5,MATCH(BUILDING!T357,ITEM_RES!$J$5:$J$231,0)-1,0),0)</f>
        <v>0</v>
      </c>
      <c r="W357" s="86" t="s">
        <v>613</v>
      </c>
      <c r="X357" s="9">
        <f ca="1">IFERROR(OFFSET(ITEM_RES!$A$5,MATCH(BUILDING!W357,ITEM_RES!$J$5:$J$231,0)-1,0),0)</f>
        <v>211060001</v>
      </c>
      <c r="Z357" s="9" t="s">
        <v>591</v>
      </c>
      <c r="AA357" s="9">
        <v>13</v>
      </c>
      <c r="AC357" s="9">
        <v>14000</v>
      </c>
      <c r="AE357" s="56">
        <f t="shared" si="109"/>
        <v>7350</v>
      </c>
      <c r="AF357" s="10">
        <f t="shared" si="111"/>
        <v>13650</v>
      </c>
      <c r="AH357" s="11">
        <f t="shared" si="108"/>
        <v>65</v>
      </c>
      <c r="AI357" s="10">
        <v>65</v>
      </c>
      <c r="AJ357" s="11">
        <f t="shared" si="105"/>
        <v>350</v>
      </c>
      <c r="AK357" s="10">
        <v>350</v>
      </c>
      <c r="AL357" s="11">
        <f t="shared" si="10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211050001</v>
      </c>
      <c r="AQ357" s="10" t="s">
        <v>462</v>
      </c>
      <c r="AR357" s="11">
        <v>1750</v>
      </c>
      <c r="AU357" s="11">
        <f ca="1">IFERROR(OFFSET(ITEM_RES!$A$1,MATCH(AV357,ITEM_RES!$J:$J,0)-1,0),0)</f>
        <v>211040001</v>
      </c>
      <c r="AV357" s="10" t="s">
        <v>489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2"/>
        <v>111090014</v>
      </c>
      <c r="B358" s="13">
        <v>11</v>
      </c>
      <c r="C358" s="12">
        <f t="shared" si="103"/>
        <v>1</v>
      </c>
      <c r="D358" s="13">
        <v>9</v>
      </c>
      <c r="E358" s="13">
        <v>0</v>
      </c>
      <c r="F358" s="12">
        <f t="shared" si="104"/>
        <v>14</v>
      </c>
      <c r="H358" s="9">
        <v>1</v>
      </c>
      <c r="I358" s="9">
        <v>14</v>
      </c>
      <c r="K358" s="9" t="s">
        <v>384</v>
      </c>
      <c r="L358" s="9">
        <v>1</v>
      </c>
      <c r="M358" s="9">
        <v>15</v>
      </c>
      <c r="R358" s="9">
        <v>555</v>
      </c>
      <c r="U358" s="9">
        <f ca="1">IFERROR(OFFSET(ITEM_RES!$A$5,MATCH(BUILDING!T358,ITEM_RES!$J$5:$J$231,0)-1,0),0)</f>
        <v>0</v>
      </c>
      <c r="W358" s="86" t="s">
        <v>613</v>
      </c>
      <c r="X358" s="9">
        <f ca="1">IFERROR(OFFSET(ITEM_RES!$A$5,MATCH(BUILDING!W358,ITEM_RES!$J$5:$J$231,0)-1,0),0)</f>
        <v>211060001</v>
      </c>
      <c r="Z358" s="9" t="s">
        <v>591</v>
      </c>
      <c r="AA358" s="9">
        <v>14</v>
      </c>
      <c r="AC358" s="9">
        <v>18000</v>
      </c>
      <c r="AE358" s="56">
        <f t="shared" si="109"/>
        <v>9450</v>
      </c>
      <c r="AF358" s="10">
        <f t="shared" si="111"/>
        <v>16800</v>
      </c>
      <c r="AH358" s="11">
        <f t="shared" si="108"/>
        <v>70</v>
      </c>
      <c r="AI358" s="10">
        <v>70</v>
      </c>
      <c r="AJ358" s="11">
        <f t="shared" si="105"/>
        <v>450</v>
      </c>
      <c r="AK358" s="10">
        <v>450</v>
      </c>
      <c r="AL358" s="11">
        <f t="shared" si="10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211050001</v>
      </c>
      <c r="AQ358" s="10" t="s">
        <v>462</v>
      </c>
      <c r="AR358" s="11">
        <v>2250</v>
      </c>
      <c r="AU358" s="11">
        <f ca="1">IFERROR(OFFSET(ITEM_RES!$A$1,MATCH(AV358,ITEM_RES!$J:$J,0)-1,0),0)</f>
        <v>211040001</v>
      </c>
      <c r="AV358" s="10" t="s">
        <v>489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2"/>
        <v>111090015</v>
      </c>
      <c r="B359" s="13">
        <v>11</v>
      </c>
      <c r="C359" s="12">
        <f t="shared" si="103"/>
        <v>1</v>
      </c>
      <c r="D359" s="13">
        <v>9</v>
      </c>
      <c r="E359" s="13">
        <v>0</v>
      </c>
      <c r="F359" s="12">
        <f t="shared" si="104"/>
        <v>15</v>
      </c>
      <c r="H359" s="9">
        <v>1</v>
      </c>
      <c r="I359" s="9">
        <v>15</v>
      </c>
      <c r="K359" s="9" t="s">
        <v>384</v>
      </c>
      <c r="L359" s="9">
        <v>1</v>
      </c>
      <c r="M359" s="9">
        <v>15</v>
      </c>
      <c r="R359" s="9">
        <v>555</v>
      </c>
      <c r="U359" s="9">
        <f ca="1">IFERROR(OFFSET(ITEM_RES!$A$5,MATCH(BUILDING!T359,ITEM_RES!$J$5:$J$231,0)-1,0),0)</f>
        <v>0</v>
      </c>
      <c r="W359" s="86" t="s">
        <v>613</v>
      </c>
      <c r="X359" s="9">
        <f ca="1">IFERROR(OFFSET(ITEM_RES!$A$5,MATCH(BUILDING!W359,ITEM_RES!$J$5:$J$231,0)-1,0),0)</f>
        <v>211060001</v>
      </c>
      <c r="Z359" s="9" t="s">
        <v>591</v>
      </c>
      <c r="AA359" s="9">
        <v>15</v>
      </c>
      <c r="AC359" s="9">
        <v>22000</v>
      </c>
      <c r="AE359" s="56">
        <f t="shared" si="109"/>
        <v>11550</v>
      </c>
      <c r="AF359" s="10">
        <f t="shared" si="111"/>
        <v>21000</v>
      </c>
      <c r="AH359" s="11">
        <f t="shared" si="108"/>
        <v>75</v>
      </c>
      <c r="AI359" s="10">
        <v>75</v>
      </c>
      <c r="AJ359" s="11">
        <f t="shared" si="105"/>
        <v>550</v>
      </c>
      <c r="AK359" s="10">
        <v>550</v>
      </c>
      <c r="AL359" s="11">
        <f t="shared" si="10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215070001</v>
      </c>
      <c r="AQ359" s="10" t="s">
        <v>479</v>
      </c>
      <c r="AR359" s="11">
        <v>2750</v>
      </c>
      <c r="AU359" s="11">
        <f ca="1">IFERROR(OFFSET(ITEM_RES!$A$1,MATCH(AV359,ITEM_RES!$J:$J,0)-1,0),0)</f>
        <v>211040001</v>
      </c>
      <c r="AV359" s="10" t="s">
        <v>489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2"/>
        <v>111090016</v>
      </c>
      <c r="B360" s="13">
        <v>11</v>
      </c>
      <c r="C360" s="12">
        <f t="shared" si="103"/>
        <v>1</v>
      </c>
      <c r="D360" s="13">
        <v>9</v>
      </c>
      <c r="E360" s="13">
        <v>0</v>
      </c>
      <c r="F360" s="12">
        <f t="shared" si="104"/>
        <v>16</v>
      </c>
      <c r="H360" s="9">
        <v>1</v>
      </c>
      <c r="I360" s="9">
        <v>16</v>
      </c>
      <c r="K360" s="9" t="s">
        <v>384</v>
      </c>
      <c r="L360" s="9">
        <v>0</v>
      </c>
      <c r="M360" s="9">
        <v>15</v>
      </c>
      <c r="R360" s="9">
        <v>555</v>
      </c>
      <c r="U360" s="9">
        <f ca="1">IFERROR(OFFSET(ITEM_RES!$A$5,MATCH(BUILDING!T360,ITEM_RES!$J$5:$J$231,0)-1,0),0)</f>
        <v>0</v>
      </c>
      <c r="W360" s="86" t="s">
        <v>613</v>
      </c>
      <c r="X360" s="9">
        <f ca="1">IFERROR(OFFSET(ITEM_RES!$A$5,MATCH(BUILDING!W360,ITEM_RES!$J$5:$J$231,0)-1,0),0)</f>
        <v>211060001</v>
      </c>
      <c r="Z360" s="9" t="s">
        <v>591</v>
      </c>
      <c r="AA360" s="9">
        <v>16</v>
      </c>
      <c r="AC360" s="9">
        <v>28000</v>
      </c>
      <c r="AE360" s="56">
        <f t="shared" si="109"/>
        <v>14700</v>
      </c>
      <c r="AF360" s="10">
        <f t="shared" si="111"/>
        <v>26250</v>
      </c>
      <c r="AH360" s="11">
        <f t="shared" si="108"/>
        <v>80</v>
      </c>
      <c r="AI360" s="10">
        <v>80</v>
      </c>
      <c r="AJ360" s="11">
        <f t="shared" si="105"/>
        <v>700</v>
      </c>
      <c r="AK360" s="10">
        <v>700</v>
      </c>
      <c r="AL360" s="11">
        <f t="shared" si="10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215070001</v>
      </c>
      <c r="AQ360" s="10" t="s">
        <v>479</v>
      </c>
      <c r="AR360" s="11">
        <v>3500</v>
      </c>
      <c r="AU360" s="11">
        <f ca="1">IFERROR(OFFSET(ITEM_RES!$A$1,MATCH(AV360,ITEM_RES!$J:$J,0)-1,0),0)</f>
        <v>211040001</v>
      </c>
      <c r="AV360" s="10" t="s">
        <v>489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2"/>
        <v>111090017</v>
      </c>
      <c r="B361" s="13">
        <v>11</v>
      </c>
      <c r="C361" s="12">
        <f t="shared" si="103"/>
        <v>1</v>
      </c>
      <c r="D361" s="13">
        <v>9</v>
      </c>
      <c r="E361" s="13">
        <v>0</v>
      </c>
      <c r="F361" s="12">
        <f t="shared" si="104"/>
        <v>17</v>
      </c>
      <c r="H361" s="9">
        <v>1</v>
      </c>
      <c r="I361" s="9">
        <v>17</v>
      </c>
      <c r="K361" s="9" t="s">
        <v>384</v>
      </c>
      <c r="L361" s="9">
        <v>0</v>
      </c>
      <c r="M361" s="9">
        <v>15</v>
      </c>
      <c r="R361" s="9">
        <v>555</v>
      </c>
      <c r="U361" s="9">
        <f ca="1">IFERROR(OFFSET(ITEM_RES!$A$5,MATCH(BUILDING!T361,ITEM_RES!$J$5:$J$231,0)-1,0),0)</f>
        <v>0</v>
      </c>
      <c r="W361" s="86" t="s">
        <v>613</v>
      </c>
      <c r="X361" s="9">
        <f ca="1">IFERROR(OFFSET(ITEM_RES!$A$5,MATCH(BUILDING!W361,ITEM_RES!$J$5:$J$231,0)-1,0),0)</f>
        <v>211060001</v>
      </c>
      <c r="Z361" s="9" t="s">
        <v>591</v>
      </c>
      <c r="AA361" s="9">
        <v>17</v>
      </c>
      <c r="AC361" s="9">
        <v>34000</v>
      </c>
      <c r="AE361" s="56">
        <f t="shared" si="109"/>
        <v>17850</v>
      </c>
      <c r="AF361" s="10">
        <f t="shared" si="111"/>
        <v>32550</v>
      </c>
      <c r="AH361" s="11">
        <f t="shared" si="108"/>
        <v>85</v>
      </c>
      <c r="AI361" s="10">
        <v>85</v>
      </c>
      <c r="AJ361" s="11">
        <f t="shared" si="105"/>
        <v>850</v>
      </c>
      <c r="AK361" s="10">
        <v>850</v>
      </c>
      <c r="AL361" s="11">
        <f t="shared" si="10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215070001</v>
      </c>
      <c r="AQ361" s="10" t="s">
        <v>479</v>
      </c>
      <c r="AR361" s="11">
        <v>4250</v>
      </c>
      <c r="AU361" s="11">
        <f ca="1">IFERROR(OFFSET(ITEM_RES!$A$1,MATCH(AV361,ITEM_RES!$J:$J,0)-1,0),0)</f>
        <v>211040001</v>
      </c>
      <c r="AV361" s="10" t="s">
        <v>489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2"/>
        <v>111090018</v>
      </c>
      <c r="B362" s="13">
        <v>11</v>
      </c>
      <c r="C362" s="12">
        <f t="shared" si="103"/>
        <v>1</v>
      </c>
      <c r="D362" s="13">
        <v>9</v>
      </c>
      <c r="E362" s="13">
        <v>0</v>
      </c>
      <c r="F362" s="12">
        <f t="shared" si="104"/>
        <v>18</v>
      </c>
      <c r="H362" s="9">
        <v>1</v>
      </c>
      <c r="I362" s="9">
        <v>18</v>
      </c>
      <c r="K362" s="9" t="s">
        <v>384</v>
      </c>
      <c r="L362" s="9">
        <v>0</v>
      </c>
      <c r="M362" s="9">
        <v>15</v>
      </c>
      <c r="R362" s="9">
        <v>555</v>
      </c>
      <c r="U362" s="9">
        <f ca="1">IFERROR(OFFSET(ITEM_RES!$A$5,MATCH(BUILDING!T362,ITEM_RES!$J$5:$J$231,0)-1,0),0)</f>
        <v>0</v>
      </c>
      <c r="W362" s="86" t="s">
        <v>613</v>
      </c>
      <c r="X362" s="9">
        <f ca="1">IFERROR(OFFSET(ITEM_RES!$A$5,MATCH(BUILDING!W362,ITEM_RES!$J$5:$J$231,0)-1,0),0)</f>
        <v>211060001</v>
      </c>
      <c r="Z362" s="9" t="s">
        <v>591</v>
      </c>
      <c r="AA362" s="9">
        <v>18</v>
      </c>
      <c r="AC362" s="9">
        <v>42000</v>
      </c>
      <c r="AE362" s="56">
        <f t="shared" si="109"/>
        <v>22050</v>
      </c>
      <c r="AF362" s="10">
        <f t="shared" si="111"/>
        <v>39900</v>
      </c>
      <c r="AH362" s="11">
        <f t="shared" si="108"/>
        <v>90</v>
      </c>
      <c r="AI362" s="10">
        <v>90</v>
      </c>
      <c r="AJ362" s="11">
        <f t="shared" si="105"/>
        <v>1050</v>
      </c>
      <c r="AK362" s="10">
        <v>1050</v>
      </c>
      <c r="AL362" s="11">
        <f t="shared" si="10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215070001</v>
      </c>
      <c r="AQ362" s="10" t="s">
        <v>479</v>
      </c>
      <c r="AR362" s="11">
        <v>5250</v>
      </c>
      <c r="AU362" s="11">
        <f ca="1">IFERROR(OFFSET(ITEM_RES!$A$1,MATCH(AV362,ITEM_RES!$J:$J,0)-1,0),0)</f>
        <v>211040001</v>
      </c>
      <c r="AV362" s="10" t="s">
        <v>489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2"/>
        <v>111090019</v>
      </c>
      <c r="B363" s="13">
        <v>11</v>
      </c>
      <c r="C363" s="12">
        <f t="shared" si="103"/>
        <v>1</v>
      </c>
      <c r="D363" s="13">
        <v>9</v>
      </c>
      <c r="E363" s="13">
        <v>0</v>
      </c>
      <c r="F363" s="12">
        <f t="shared" si="104"/>
        <v>19</v>
      </c>
      <c r="H363" s="9">
        <v>1</v>
      </c>
      <c r="I363" s="9">
        <v>19</v>
      </c>
      <c r="K363" s="9" t="s">
        <v>384</v>
      </c>
      <c r="L363" s="9">
        <v>0</v>
      </c>
      <c r="M363" s="9">
        <v>15</v>
      </c>
      <c r="R363" s="9">
        <v>555</v>
      </c>
      <c r="U363" s="9">
        <f ca="1">IFERROR(OFFSET(ITEM_RES!$A$5,MATCH(BUILDING!T363,ITEM_RES!$J$5:$J$231,0)-1,0),0)</f>
        <v>0</v>
      </c>
      <c r="W363" s="86" t="s">
        <v>613</v>
      </c>
      <c r="X363" s="9">
        <f ca="1">IFERROR(OFFSET(ITEM_RES!$A$5,MATCH(BUILDING!W363,ITEM_RES!$J$5:$J$231,0)-1,0),0)</f>
        <v>211060001</v>
      </c>
      <c r="Z363" s="9" t="s">
        <v>591</v>
      </c>
      <c r="AA363" s="9">
        <v>19</v>
      </c>
      <c r="AC363" s="9">
        <v>50000</v>
      </c>
      <c r="AE363" s="56">
        <f t="shared" si="109"/>
        <v>26250</v>
      </c>
      <c r="AF363" s="10">
        <f t="shared" si="111"/>
        <v>48300</v>
      </c>
      <c r="AH363" s="11">
        <f t="shared" si="108"/>
        <v>95</v>
      </c>
      <c r="AI363" s="10">
        <v>95</v>
      </c>
      <c r="AJ363" s="11">
        <f t="shared" si="105"/>
        <v>1250</v>
      </c>
      <c r="AK363" s="10">
        <v>1250</v>
      </c>
      <c r="AL363" s="11">
        <f t="shared" si="10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215070001</v>
      </c>
      <c r="AQ363" s="10" t="s">
        <v>479</v>
      </c>
      <c r="AR363" s="11">
        <v>6250</v>
      </c>
      <c r="AU363" s="11">
        <f ca="1">IFERROR(OFFSET(ITEM_RES!$A$1,MATCH(AV363,ITEM_RES!$J:$J,0)-1,0),0)</f>
        <v>211040001</v>
      </c>
      <c r="AV363" s="10" t="s">
        <v>489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2"/>
        <v>111090020</v>
      </c>
      <c r="B364" s="13">
        <v>11</v>
      </c>
      <c r="C364" s="12">
        <f t="shared" si="103"/>
        <v>1</v>
      </c>
      <c r="D364" s="13">
        <v>9</v>
      </c>
      <c r="E364" s="13">
        <v>0</v>
      </c>
      <c r="F364" s="12">
        <f t="shared" si="104"/>
        <v>20</v>
      </c>
      <c r="H364" s="9">
        <v>1</v>
      </c>
      <c r="I364" s="9">
        <v>20</v>
      </c>
      <c r="K364" s="9" t="s">
        <v>384</v>
      </c>
      <c r="L364" s="9">
        <v>0</v>
      </c>
      <c r="M364" s="9">
        <v>15</v>
      </c>
      <c r="R364" s="9">
        <v>555</v>
      </c>
      <c r="U364" s="9">
        <f ca="1">IFERROR(OFFSET(ITEM_RES!$A$5,MATCH(BUILDING!T364,ITEM_RES!$J$5:$J$231,0)-1,0),0)</f>
        <v>0</v>
      </c>
      <c r="W364" s="86" t="s">
        <v>613</v>
      </c>
      <c r="X364" s="9">
        <f ca="1">IFERROR(OFFSET(ITEM_RES!$A$5,MATCH(BUILDING!W364,ITEM_RES!$J$5:$J$231,0)-1,0),0)</f>
        <v>211060001</v>
      </c>
      <c r="Z364" s="9" t="s">
        <v>591</v>
      </c>
      <c r="AA364" s="9">
        <v>20</v>
      </c>
      <c r="AC364" s="9">
        <v>60000</v>
      </c>
      <c r="AE364" s="56">
        <f t="shared" si="109"/>
        <v>31500</v>
      </c>
      <c r="AF364" s="10">
        <f t="shared" si="111"/>
        <v>57750</v>
      </c>
      <c r="AH364" s="11">
        <f t="shared" si="108"/>
        <v>100</v>
      </c>
      <c r="AI364" s="10">
        <v>100</v>
      </c>
      <c r="AJ364" s="11">
        <f t="shared" si="105"/>
        <v>1500</v>
      </c>
      <c r="AK364" s="10">
        <v>1500</v>
      </c>
      <c r="AL364" s="11">
        <f t="shared" si="10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215070001</v>
      </c>
      <c r="AQ364" s="10" t="s">
        <v>479</v>
      </c>
      <c r="AR364" s="11">
        <v>7500</v>
      </c>
      <c r="AU364" s="11">
        <f ca="1">IFERROR(OFFSET(ITEM_RES!$A$1,MATCH(AV364,ITEM_RES!$J:$J,0)-1,0),0)</f>
        <v>211040001</v>
      </c>
      <c r="AV364" s="10" t="s">
        <v>489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ref="A365:A408" si="112">B365*10000000+C365*1000000+D365*10000+E365*100+F365</f>
        <v>112060001</v>
      </c>
      <c r="B365" s="20">
        <v>11</v>
      </c>
      <c r="C365" s="19">
        <f t="shared" ref="C365:C408" si="113">H365</f>
        <v>2</v>
      </c>
      <c r="D365" s="20">
        <v>6</v>
      </c>
      <c r="E365" s="20">
        <v>0</v>
      </c>
      <c r="F365" s="19">
        <f t="shared" ref="F365:F408" si="114">I365</f>
        <v>1</v>
      </c>
      <c r="G365" s="80"/>
      <c r="H365" s="16">
        <v>2</v>
      </c>
      <c r="I365" s="16">
        <v>1</v>
      </c>
      <c r="J365" s="80"/>
      <c r="K365" s="16" t="s">
        <v>456</v>
      </c>
      <c r="L365" s="16">
        <v>1</v>
      </c>
      <c r="M365" s="16">
        <v>15</v>
      </c>
      <c r="N365" s="16"/>
      <c r="O365" s="17"/>
      <c r="P365" s="17"/>
      <c r="Q365" s="18"/>
      <c r="R365" s="16">
        <v>777</v>
      </c>
      <c r="S365" s="80"/>
      <c r="T365" s="88" t="s">
        <v>619</v>
      </c>
      <c r="U365" s="16">
        <f ca="1">IFERROR(OFFSET(ITEM_RES!$A$5,MATCH(BUILDING!T365,ITEM_RES!$J$5:$J$231,0)-1,0),0)</f>
        <v>212010001</v>
      </c>
      <c r="V365" s="18">
        <v>1</v>
      </c>
      <c r="W365" s="88" t="s">
        <v>614</v>
      </c>
      <c r="X365" s="16">
        <f ca="1">IFERROR(OFFSET(ITEM_RES!$A$5,MATCH(BUILDING!W365,ITEM_RES!$J$5:$J$231,0)-1,0),0)</f>
        <v>215070001</v>
      </c>
      <c r="Y365" s="80"/>
      <c r="Z365" s="16" t="s">
        <v>592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si="108"/>
        <v>5</v>
      </c>
      <c r="AI365" s="17">
        <v>5</v>
      </c>
      <c r="AJ365" s="18">
        <f t="shared" ref="AJ365:AL409" si="115">ROUND(AK365,0)</f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212010001</v>
      </c>
      <c r="AQ365" s="17" t="s">
        <v>472</v>
      </c>
      <c r="AR365" s="18">
        <v>25</v>
      </c>
      <c r="AS365" s="17"/>
      <c r="AT365" s="18"/>
      <c r="AU365" s="18">
        <f ca="1">IFERROR(OFFSET(ITEM_RES!$A$1,MATCH(AV365,ITEM_RES!$J:$J,0)-1,0),0)</f>
        <v>212040001</v>
      </c>
      <c r="AV365" s="17" t="s">
        <v>473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496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112060002</v>
      </c>
      <c r="B366" s="13">
        <v>11</v>
      </c>
      <c r="C366" s="12">
        <f t="shared" si="113"/>
        <v>2</v>
      </c>
      <c r="D366" s="13">
        <v>6</v>
      </c>
      <c r="E366" s="13">
        <v>0</v>
      </c>
      <c r="F366" s="12">
        <f t="shared" si="114"/>
        <v>2</v>
      </c>
      <c r="H366" s="9">
        <v>2</v>
      </c>
      <c r="I366" s="9">
        <v>2</v>
      </c>
      <c r="K366" s="9" t="s">
        <v>456</v>
      </c>
      <c r="L366" s="9">
        <v>1</v>
      </c>
      <c r="M366" s="9">
        <v>15</v>
      </c>
      <c r="R366" s="9">
        <v>777</v>
      </c>
      <c r="T366" s="86" t="s">
        <v>619</v>
      </c>
      <c r="U366" s="9">
        <f ca="1">IFERROR(OFFSET(ITEM_RES!$A$5,MATCH(BUILDING!T366,ITEM_RES!$J$5:$J$231,0)-1,0),0)</f>
        <v>212010001</v>
      </c>
      <c r="V366" s="11">
        <v>1</v>
      </c>
      <c r="W366" s="86" t="s">
        <v>614</v>
      </c>
      <c r="X366" s="9">
        <f ca="1">IFERROR(OFFSET(ITEM_RES!$A$5,MATCH(BUILDING!W366,ITEM_RES!$J$5:$J$231,0)-1,0),0)</f>
        <v>215070001</v>
      </c>
      <c r="Z366" s="9" t="s">
        <v>592</v>
      </c>
      <c r="AA366" s="9">
        <v>2</v>
      </c>
      <c r="AC366" s="9">
        <v>200</v>
      </c>
      <c r="AE366" s="56">
        <f t="shared" si="109"/>
        <v>210</v>
      </c>
      <c r="AF366" s="10">
        <f>AE365+AE366</f>
        <v>815</v>
      </c>
      <c r="AH366" s="11">
        <f t="shared" si="10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si="110"/>
        <v>2</v>
      </c>
      <c r="AP366" s="11">
        <f ca="1">IFERROR(OFFSET(ITEM_RES!$A$1,MATCH(AQ366,ITEM_RES!$J:$J,0)-1,0),0)</f>
        <v>212010001</v>
      </c>
      <c r="AQ366" s="10" t="s">
        <v>472</v>
      </c>
      <c r="AR366" s="11">
        <v>50</v>
      </c>
      <c r="AU366" s="11">
        <f ca="1">IFERROR(OFFSET(ITEM_RES!$A$1,MATCH(AV366,ITEM_RES!$J:$J,0)-1,0),0)</f>
        <v>212040001</v>
      </c>
      <c r="AV366" s="10" t="s">
        <v>473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112060003</v>
      </c>
      <c r="B367" s="13">
        <v>11</v>
      </c>
      <c r="C367" s="12">
        <f t="shared" si="113"/>
        <v>2</v>
      </c>
      <c r="D367" s="13">
        <v>6</v>
      </c>
      <c r="E367" s="13">
        <v>0</v>
      </c>
      <c r="F367" s="12">
        <f t="shared" si="114"/>
        <v>3</v>
      </c>
      <c r="H367" s="9">
        <v>2</v>
      </c>
      <c r="I367" s="9">
        <v>3</v>
      </c>
      <c r="K367" s="9" t="s">
        <v>456</v>
      </c>
      <c r="L367" s="9">
        <v>1</v>
      </c>
      <c r="M367" s="9">
        <v>15</v>
      </c>
      <c r="R367" s="9">
        <v>777</v>
      </c>
      <c r="T367" s="86" t="s">
        <v>619</v>
      </c>
      <c r="U367" s="9">
        <f ca="1">IFERROR(OFFSET(ITEM_RES!$A$5,MATCH(BUILDING!T367,ITEM_RES!$J$5:$J$231,0)-1,0),0)</f>
        <v>212010001</v>
      </c>
      <c r="V367" s="11">
        <v>1</v>
      </c>
      <c r="W367" s="86" t="s">
        <v>614</v>
      </c>
      <c r="X367" s="9">
        <f ca="1">IFERROR(OFFSET(ITEM_RES!$A$5,MATCH(BUILDING!W367,ITEM_RES!$J$5:$J$231,0)-1,0),0)</f>
        <v>215070001</v>
      </c>
      <c r="Z367" s="9" t="s">
        <v>592</v>
      </c>
      <c r="AA367" s="9">
        <v>3</v>
      </c>
      <c r="AC367" s="9">
        <v>600</v>
      </c>
      <c r="AE367" s="56">
        <f t="shared" si="109"/>
        <v>315</v>
      </c>
      <c r="AF367" s="10">
        <f t="shared" ref="AF367:AF384" si="116">AE366+AE367</f>
        <v>525</v>
      </c>
      <c r="AH367" s="11">
        <f t="shared" si="10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10"/>
        <v>2</v>
      </c>
      <c r="AP367" s="11">
        <f ca="1">IFERROR(OFFSET(ITEM_RES!$A$1,MATCH(AQ367,ITEM_RES!$J:$J,0)-1,0),0)</f>
        <v>212010001</v>
      </c>
      <c r="AQ367" s="10" t="s">
        <v>472</v>
      </c>
      <c r="AR367" s="11">
        <v>75</v>
      </c>
      <c r="AU367" s="11">
        <f ca="1">IFERROR(OFFSET(ITEM_RES!$A$1,MATCH(AV367,ITEM_RES!$J:$J,0)-1,0),0)</f>
        <v>212040001</v>
      </c>
      <c r="AV367" s="10" t="s">
        <v>473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112060004</v>
      </c>
      <c r="B368" s="13">
        <v>11</v>
      </c>
      <c r="C368" s="12">
        <f t="shared" si="113"/>
        <v>2</v>
      </c>
      <c r="D368" s="13">
        <v>6</v>
      </c>
      <c r="E368" s="13">
        <v>0</v>
      </c>
      <c r="F368" s="12">
        <f t="shared" si="114"/>
        <v>4</v>
      </c>
      <c r="H368" s="9">
        <v>2</v>
      </c>
      <c r="I368" s="9">
        <v>4</v>
      </c>
      <c r="K368" s="9" t="s">
        <v>456</v>
      </c>
      <c r="L368" s="9">
        <v>1</v>
      </c>
      <c r="M368" s="9">
        <v>15</v>
      </c>
      <c r="R368" s="9">
        <v>777</v>
      </c>
      <c r="T368" s="86" t="s">
        <v>619</v>
      </c>
      <c r="U368" s="9">
        <f ca="1">IFERROR(OFFSET(ITEM_RES!$A$5,MATCH(BUILDING!T368,ITEM_RES!$J$5:$J$231,0)-1,0),0)</f>
        <v>212010001</v>
      </c>
      <c r="V368" s="11">
        <v>1</v>
      </c>
      <c r="W368" s="86" t="s">
        <v>614</v>
      </c>
      <c r="X368" s="9">
        <f ca="1">IFERROR(OFFSET(ITEM_RES!$A$5,MATCH(BUILDING!W368,ITEM_RES!$J$5:$J$231,0)-1,0),0)</f>
        <v>215070001</v>
      </c>
      <c r="Z368" s="9" t="s">
        <v>592</v>
      </c>
      <c r="AA368" s="9">
        <v>4</v>
      </c>
      <c r="AC368" s="9">
        <v>1000</v>
      </c>
      <c r="AE368" s="56">
        <f t="shared" si="109"/>
        <v>525</v>
      </c>
      <c r="AF368" s="10">
        <f t="shared" si="116"/>
        <v>840</v>
      </c>
      <c r="AH368" s="11">
        <f t="shared" si="10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10"/>
        <v>2</v>
      </c>
      <c r="AP368" s="11">
        <f ca="1">IFERROR(OFFSET(ITEM_RES!$A$1,MATCH(AQ368,ITEM_RES!$J:$J,0)-1,0),0)</f>
        <v>212010001</v>
      </c>
      <c r="AQ368" s="10" t="s">
        <v>472</v>
      </c>
      <c r="AR368" s="11">
        <v>125</v>
      </c>
      <c r="AU368" s="11">
        <f ca="1">IFERROR(OFFSET(ITEM_RES!$A$1,MATCH(AV368,ITEM_RES!$J:$J,0)-1,0),0)</f>
        <v>212040001</v>
      </c>
      <c r="AV368" s="10" t="s">
        <v>473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112060005</v>
      </c>
      <c r="B369" s="13">
        <v>11</v>
      </c>
      <c r="C369" s="12">
        <f t="shared" si="113"/>
        <v>2</v>
      </c>
      <c r="D369" s="13">
        <v>6</v>
      </c>
      <c r="E369" s="13">
        <v>0</v>
      </c>
      <c r="F369" s="12">
        <f t="shared" si="114"/>
        <v>5</v>
      </c>
      <c r="H369" s="9">
        <v>2</v>
      </c>
      <c r="I369" s="9">
        <v>5</v>
      </c>
      <c r="K369" s="9" t="s">
        <v>456</v>
      </c>
      <c r="L369" s="9">
        <v>1</v>
      </c>
      <c r="M369" s="9">
        <v>15</v>
      </c>
      <c r="R369" s="9">
        <v>777</v>
      </c>
      <c r="T369" s="86" t="s">
        <v>619</v>
      </c>
      <c r="U369" s="9">
        <f ca="1">IFERROR(OFFSET(ITEM_RES!$A$5,MATCH(BUILDING!T369,ITEM_RES!$J$5:$J$231,0)-1,0),0)</f>
        <v>212010001</v>
      </c>
      <c r="V369" s="11">
        <v>1</v>
      </c>
      <c r="W369" s="86" t="s">
        <v>614</v>
      </c>
      <c r="X369" s="9">
        <f ca="1">IFERROR(OFFSET(ITEM_RES!$A$5,MATCH(BUILDING!W369,ITEM_RES!$J$5:$J$231,0)-1,0),0)</f>
        <v>215070001</v>
      </c>
      <c r="Z369" s="9" t="s">
        <v>592</v>
      </c>
      <c r="AA369" s="9">
        <v>5</v>
      </c>
      <c r="AC369" s="9">
        <v>1600</v>
      </c>
      <c r="AE369" s="56">
        <f t="shared" si="109"/>
        <v>840</v>
      </c>
      <c r="AF369" s="10">
        <f t="shared" si="116"/>
        <v>1365</v>
      </c>
      <c r="AH369" s="11">
        <f t="shared" si="10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10"/>
        <v>2</v>
      </c>
      <c r="AP369" s="11">
        <f ca="1">IFERROR(OFFSET(ITEM_RES!$A$1,MATCH(AQ369,ITEM_RES!$J:$J,0)-1,0),0)</f>
        <v>212010001</v>
      </c>
      <c r="AQ369" s="10" t="s">
        <v>472</v>
      </c>
      <c r="AR369" s="11">
        <v>200</v>
      </c>
      <c r="AU369" s="11">
        <f ca="1">IFERROR(OFFSET(ITEM_RES!$A$1,MATCH(AV369,ITEM_RES!$J:$J,0)-1,0),0)</f>
        <v>212040001</v>
      </c>
      <c r="AV369" s="10" t="s">
        <v>473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112060006</v>
      </c>
      <c r="B370" s="13">
        <v>11</v>
      </c>
      <c r="C370" s="12">
        <f t="shared" si="113"/>
        <v>2</v>
      </c>
      <c r="D370" s="13">
        <v>6</v>
      </c>
      <c r="E370" s="13">
        <v>0</v>
      </c>
      <c r="F370" s="12">
        <f t="shared" si="114"/>
        <v>6</v>
      </c>
      <c r="H370" s="9">
        <v>2</v>
      </c>
      <c r="I370" s="9">
        <v>6</v>
      </c>
      <c r="K370" s="9" t="s">
        <v>456</v>
      </c>
      <c r="L370" s="9">
        <v>1</v>
      </c>
      <c r="M370" s="9">
        <v>15</v>
      </c>
      <c r="R370" s="9">
        <v>777</v>
      </c>
      <c r="T370" s="86" t="s">
        <v>619</v>
      </c>
      <c r="U370" s="9">
        <f ca="1">IFERROR(OFFSET(ITEM_RES!$A$5,MATCH(BUILDING!T370,ITEM_RES!$J$5:$J$231,0)-1,0),0)</f>
        <v>212010001</v>
      </c>
      <c r="V370" s="11">
        <v>1</v>
      </c>
      <c r="W370" s="86" t="s">
        <v>614</v>
      </c>
      <c r="X370" s="9">
        <f ca="1">IFERROR(OFFSET(ITEM_RES!$A$5,MATCH(BUILDING!W370,ITEM_RES!$J$5:$J$231,0)-1,0),0)</f>
        <v>215070001</v>
      </c>
      <c r="Z370" s="9" t="s">
        <v>592</v>
      </c>
      <c r="AA370" s="9">
        <v>6</v>
      </c>
      <c r="AC370" s="9">
        <v>2000</v>
      </c>
      <c r="AE370" s="56">
        <f t="shared" si="109"/>
        <v>1550</v>
      </c>
      <c r="AF370" s="10">
        <f t="shared" si="116"/>
        <v>2390</v>
      </c>
      <c r="AH370" s="11">
        <f t="shared" si="10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10"/>
        <v>3</v>
      </c>
      <c r="AP370" s="11">
        <f ca="1">IFERROR(OFFSET(ITEM_RES!$A$1,MATCH(AQ370,ITEM_RES!$J:$J,0)-1,0),0)</f>
        <v>212010001</v>
      </c>
      <c r="AQ370" s="10" t="s">
        <v>472</v>
      </c>
      <c r="AR370" s="11">
        <v>250</v>
      </c>
      <c r="AU370" s="11">
        <f ca="1">IFERROR(OFFSET(ITEM_RES!$A$1,MATCH(AV370,ITEM_RES!$J:$J,0)-1,0),0)</f>
        <v>212040001</v>
      </c>
      <c r="AV370" s="10" t="s">
        <v>473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513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112060007</v>
      </c>
      <c r="B371" s="13">
        <v>11</v>
      </c>
      <c r="C371" s="12">
        <f t="shared" si="113"/>
        <v>2</v>
      </c>
      <c r="D371" s="13">
        <v>6</v>
      </c>
      <c r="E371" s="13">
        <v>0</v>
      </c>
      <c r="F371" s="12">
        <f t="shared" si="114"/>
        <v>7</v>
      </c>
      <c r="H371" s="9">
        <v>2</v>
      </c>
      <c r="I371" s="9">
        <v>7</v>
      </c>
      <c r="K371" s="9" t="s">
        <v>456</v>
      </c>
      <c r="L371" s="9">
        <v>1</v>
      </c>
      <c r="M371" s="9">
        <v>15</v>
      </c>
      <c r="R371" s="9">
        <v>777</v>
      </c>
      <c r="T371" s="86" t="s">
        <v>619</v>
      </c>
      <c r="U371" s="9">
        <f ca="1">IFERROR(OFFSET(ITEM_RES!$A$5,MATCH(BUILDING!T371,ITEM_RES!$J$5:$J$231,0)-1,0),0)</f>
        <v>212010001</v>
      </c>
      <c r="V371" s="11">
        <v>1</v>
      </c>
      <c r="W371" s="86" t="s">
        <v>614</v>
      </c>
      <c r="X371" s="9">
        <f ca="1">IFERROR(OFFSET(ITEM_RES!$A$5,MATCH(BUILDING!W371,ITEM_RES!$J$5:$J$231,0)-1,0),0)</f>
        <v>215070001</v>
      </c>
      <c r="Z371" s="9" t="s">
        <v>592</v>
      </c>
      <c r="AA371" s="9">
        <v>7</v>
      </c>
      <c r="AC371" s="9">
        <v>4000</v>
      </c>
      <c r="AE371" s="56">
        <f t="shared" si="109"/>
        <v>2100</v>
      </c>
      <c r="AF371" s="10">
        <f t="shared" si="116"/>
        <v>3650</v>
      </c>
      <c r="AH371" s="11">
        <f t="shared" si="10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10"/>
        <v>2</v>
      </c>
      <c r="AP371" s="11">
        <f ca="1">IFERROR(OFFSET(ITEM_RES!$A$1,MATCH(AQ371,ITEM_RES!$J:$J,0)-1,0),0)</f>
        <v>212010001</v>
      </c>
      <c r="AQ371" s="10" t="s">
        <v>472</v>
      </c>
      <c r="AR371" s="11">
        <v>500</v>
      </c>
      <c r="AU371" s="11">
        <f ca="1">IFERROR(OFFSET(ITEM_RES!$A$1,MATCH(AV371,ITEM_RES!$J:$J,0)-1,0),0)</f>
        <v>212040001</v>
      </c>
      <c r="AV371" s="10" t="s">
        <v>473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112060008</v>
      </c>
      <c r="B372" s="13">
        <v>11</v>
      </c>
      <c r="C372" s="12">
        <f t="shared" si="113"/>
        <v>2</v>
      </c>
      <c r="D372" s="13">
        <v>6</v>
      </c>
      <c r="E372" s="13">
        <v>0</v>
      </c>
      <c r="F372" s="12">
        <f t="shared" si="114"/>
        <v>8</v>
      </c>
      <c r="H372" s="9">
        <v>2</v>
      </c>
      <c r="I372" s="9">
        <v>8</v>
      </c>
      <c r="K372" s="9" t="s">
        <v>456</v>
      </c>
      <c r="L372" s="9">
        <v>1</v>
      </c>
      <c r="M372" s="9">
        <v>15</v>
      </c>
      <c r="R372" s="9">
        <v>777</v>
      </c>
      <c r="T372" s="86" t="s">
        <v>619</v>
      </c>
      <c r="U372" s="9">
        <f ca="1">IFERROR(OFFSET(ITEM_RES!$A$5,MATCH(BUILDING!T372,ITEM_RES!$J$5:$J$231,0)-1,0),0)</f>
        <v>212010001</v>
      </c>
      <c r="V372" s="11">
        <v>1</v>
      </c>
      <c r="W372" s="86" t="s">
        <v>614</v>
      </c>
      <c r="X372" s="9">
        <f ca="1">IFERROR(OFFSET(ITEM_RES!$A$5,MATCH(BUILDING!W372,ITEM_RES!$J$5:$J$231,0)-1,0),0)</f>
        <v>215070001</v>
      </c>
      <c r="Z372" s="9" t="s">
        <v>592</v>
      </c>
      <c r="AA372" s="9">
        <v>8</v>
      </c>
      <c r="AC372" s="9">
        <v>4000</v>
      </c>
      <c r="AE372" s="56">
        <f t="shared" si="109"/>
        <v>2100</v>
      </c>
      <c r="AF372" s="10">
        <f t="shared" si="116"/>
        <v>4200</v>
      </c>
      <c r="AH372" s="11">
        <f t="shared" si="10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10"/>
        <v>2</v>
      </c>
      <c r="AP372" s="11">
        <f ca="1">IFERROR(OFFSET(ITEM_RES!$A$1,MATCH(AQ372,ITEM_RES!$J:$J,0)-1,0),0)</f>
        <v>212010001</v>
      </c>
      <c r="AQ372" s="10" t="s">
        <v>472</v>
      </c>
      <c r="AR372" s="11">
        <v>500</v>
      </c>
      <c r="AU372" s="11">
        <f ca="1">IFERROR(OFFSET(ITEM_RES!$A$1,MATCH(AV372,ITEM_RES!$J:$J,0)-1,0),0)</f>
        <v>212040001</v>
      </c>
      <c r="AV372" s="10" t="s">
        <v>473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112060009</v>
      </c>
      <c r="B373" s="13">
        <v>11</v>
      </c>
      <c r="C373" s="12">
        <f t="shared" si="113"/>
        <v>2</v>
      </c>
      <c r="D373" s="13">
        <v>6</v>
      </c>
      <c r="E373" s="13">
        <v>0</v>
      </c>
      <c r="F373" s="12">
        <f t="shared" si="114"/>
        <v>9</v>
      </c>
      <c r="H373" s="9">
        <v>2</v>
      </c>
      <c r="I373" s="9">
        <v>9</v>
      </c>
      <c r="K373" s="9" t="s">
        <v>456</v>
      </c>
      <c r="L373" s="9">
        <v>1</v>
      </c>
      <c r="M373" s="9">
        <v>15</v>
      </c>
      <c r="R373" s="9">
        <v>777</v>
      </c>
      <c r="T373" s="86" t="s">
        <v>619</v>
      </c>
      <c r="U373" s="9">
        <f ca="1">IFERROR(OFFSET(ITEM_RES!$A$5,MATCH(BUILDING!T373,ITEM_RES!$J$5:$J$231,0)-1,0),0)</f>
        <v>212010001</v>
      </c>
      <c r="V373" s="11">
        <v>1</v>
      </c>
      <c r="W373" s="86" t="s">
        <v>614</v>
      </c>
      <c r="X373" s="9">
        <f ca="1">IFERROR(OFFSET(ITEM_RES!$A$5,MATCH(BUILDING!W373,ITEM_RES!$J$5:$J$231,0)-1,0),0)</f>
        <v>215070001</v>
      </c>
      <c r="Z373" s="9" t="s">
        <v>592</v>
      </c>
      <c r="AA373" s="9">
        <v>9</v>
      </c>
      <c r="AC373" s="9">
        <v>6000</v>
      </c>
      <c r="AE373" s="56">
        <f t="shared" si="109"/>
        <v>3150</v>
      </c>
      <c r="AF373" s="10">
        <f t="shared" si="116"/>
        <v>5250</v>
      </c>
      <c r="AH373" s="11">
        <f t="shared" si="10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10"/>
        <v>2</v>
      </c>
      <c r="AP373" s="11">
        <f ca="1">IFERROR(OFFSET(ITEM_RES!$A$1,MATCH(AQ373,ITEM_RES!$J:$J,0)-1,0),0)</f>
        <v>212010001</v>
      </c>
      <c r="AQ373" s="10" t="s">
        <v>472</v>
      </c>
      <c r="AR373" s="11">
        <v>750</v>
      </c>
      <c r="AU373" s="11">
        <f ca="1">IFERROR(OFFSET(ITEM_RES!$A$1,MATCH(AV373,ITEM_RES!$J:$J,0)-1,0),0)</f>
        <v>212040001</v>
      </c>
      <c r="AV373" s="10" t="s">
        <v>473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112060010</v>
      </c>
      <c r="B374" s="13">
        <v>11</v>
      </c>
      <c r="C374" s="12">
        <f t="shared" si="113"/>
        <v>2</v>
      </c>
      <c r="D374" s="13">
        <v>6</v>
      </c>
      <c r="E374" s="13">
        <v>0</v>
      </c>
      <c r="F374" s="12">
        <f t="shared" si="114"/>
        <v>10</v>
      </c>
      <c r="H374" s="9">
        <v>2</v>
      </c>
      <c r="I374" s="9">
        <v>10</v>
      </c>
      <c r="K374" s="9" t="s">
        <v>456</v>
      </c>
      <c r="L374" s="9">
        <v>1</v>
      </c>
      <c r="M374" s="9">
        <v>15</v>
      </c>
      <c r="R374" s="9">
        <v>777</v>
      </c>
      <c r="T374" s="86" t="s">
        <v>619</v>
      </c>
      <c r="U374" s="9">
        <f ca="1">IFERROR(OFFSET(ITEM_RES!$A$5,MATCH(BUILDING!T374,ITEM_RES!$J$5:$J$231,0)-1,0),0)</f>
        <v>212010001</v>
      </c>
      <c r="V374" s="11">
        <v>1</v>
      </c>
      <c r="W374" s="86" t="s">
        <v>614</v>
      </c>
      <c r="X374" s="9">
        <f ca="1">IFERROR(OFFSET(ITEM_RES!$A$5,MATCH(BUILDING!W374,ITEM_RES!$J$5:$J$231,0)-1,0),0)</f>
        <v>215070001</v>
      </c>
      <c r="Z374" s="9" t="s">
        <v>592</v>
      </c>
      <c r="AA374" s="9">
        <v>10</v>
      </c>
      <c r="AC374" s="9">
        <v>8000</v>
      </c>
      <c r="AE374" s="56">
        <f t="shared" si="109"/>
        <v>4200</v>
      </c>
      <c r="AF374" s="10">
        <f t="shared" si="116"/>
        <v>7350</v>
      </c>
      <c r="AH374" s="11">
        <f t="shared" si="10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10"/>
        <v>2</v>
      </c>
      <c r="AP374" s="11">
        <f ca="1">IFERROR(OFFSET(ITEM_RES!$A$1,MATCH(AQ374,ITEM_RES!$J:$J,0)-1,0),0)</f>
        <v>212010001</v>
      </c>
      <c r="AQ374" s="10" t="s">
        <v>472</v>
      </c>
      <c r="AR374" s="11">
        <v>1000</v>
      </c>
      <c r="AU374" s="11">
        <f ca="1">IFERROR(OFFSET(ITEM_RES!$A$1,MATCH(AV374,ITEM_RES!$J:$J,0)-1,0),0)</f>
        <v>212040001</v>
      </c>
      <c r="AV374" s="10" t="s">
        <v>473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112060011</v>
      </c>
      <c r="B375" s="13">
        <v>11</v>
      </c>
      <c r="C375" s="12">
        <f t="shared" si="113"/>
        <v>2</v>
      </c>
      <c r="D375" s="13">
        <v>6</v>
      </c>
      <c r="E375" s="13">
        <v>0</v>
      </c>
      <c r="F375" s="12">
        <f t="shared" si="114"/>
        <v>11</v>
      </c>
      <c r="H375" s="9">
        <v>2</v>
      </c>
      <c r="I375" s="9">
        <v>11</v>
      </c>
      <c r="K375" s="9" t="s">
        <v>456</v>
      </c>
      <c r="L375" s="9">
        <v>1</v>
      </c>
      <c r="M375" s="9">
        <v>15</v>
      </c>
      <c r="R375" s="9">
        <v>777</v>
      </c>
      <c r="T375" s="86" t="s">
        <v>619</v>
      </c>
      <c r="U375" s="9">
        <f ca="1">IFERROR(OFFSET(ITEM_RES!$A$5,MATCH(BUILDING!T375,ITEM_RES!$J$5:$J$231,0)-1,0),0)</f>
        <v>212010001</v>
      </c>
      <c r="V375" s="11">
        <v>1</v>
      </c>
      <c r="W375" s="86" t="s">
        <v>614</v>
      </c>
      <c r="X375" s="9">
        <f ca="1">IFERROR(OFFSET(ITEM_RES!$A$5,MATCH(BUILDING!W375,ITEM_RES!$J$5:$J$231,0)-1,0),0)</f>
        <v>215070001</v>
      </c>
      <c r="Z375" s="9" t="s">
        <v>592</v>
      </c>
      <c r="AA375" s="9">
        <v>11</v>
      </c>
      <c r="AC375" s="9">
        <v>10000</v>
      </c>
      <c r="AE375" s="56">
        <f t="shared" si="109"/>
        <v>5250</v>
      </c>
      <c r="AF375" s="10">
        <f t="shared" si="116"/>
        <v>9450</v>
      </c>
      <c r="AH375" s="11">
        <f t="shared" si="10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10"/>
        <v>2</v>
      </c>
      <c r="AP375" s="11">
        <f ca="1">IFERROR(OFFSET(ITEM_RES!$A$1,MATCH(AQ375,ITEM_RES!$J:$J,0)-1,0),0)</f>
        <v>212010001</v>
      </c>
      <c r="AQ375" s="10" t="s">
        <v>472</v>
      </c>
      <c r="AR375" s="11">
        <v>1250</v>
      </c>
      <c r="AU375" s="11">
        <f ca="1">IFERROR(OFFSET(ITEM_RES!$A$1,MATCH(AV375,ITEM_RES!$J:$J,0)-1,0),0)</f>
        <v>212040001</v>
      </c>
      <c r="AV375" s="10" t="s">
        <v>473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112060012</v>
      </c>
      <c r="B376" s="13">
        <v>11</v>
      </c>
      <c r="C376" s="12">
        <f t="shared" si="113"/>
        <v>2</v>
      </c>
      <c r="D376" s="13">
        <v>6</v>
      </c>
      <c r="E376" s="13">
        <v>0</v>
      </c>
      <c r="F376" s="12">
        <f t="shared" si="114"/>
        <v>12</v>
      </c>
      <c r="H376" s="9">
        <v>2</v>
      </c>
      <c r="I376" s="9">
        <v>12</v>
      </c>
      <c r="K376" s="9" t="s">
        <v>456</v>
      </c>
      <c r="L376" s="9">
        <v>1</v>
      </c>
      <c r="M376" s="9">
        <v>15</v>
      </c>
      <c r="R376" s="9">
        <v>777</v>
      </c>
      <c r="T376" s="86" t="s">
        <v>619</v>
      </c>
      <c r="U376" s="9">
        <f ca="1">IFERROR(OFFSET(ITEM_RES!$A$5,MATCH(BUILDING!T376,ITEM_RES!$J$5:$J$231,0)-1,0),0)</f>
        <v>212010001</v>
      </c>
      <c r="V376" s="11">
        <v>1</v>
      </c>
      <c r="W376" s="86" t="s">
        <v>614</v>
      </c>
      <c r="X376" s="9">
        <f ca="1">IFERROR(OFFSET(ITEM_RES!$A$5,MATCH(BUILDING!W376,ITEM_RES!$J$5:$J$231,0)-1,0),0)</f>
        <v>215070001</v>
      </c>
      <c r="Z376" s="9" t="s">
        <v>592</v>
      </c>
      <c r="AA376" s="9">
        <v>12</v>
      </c>
      <c r="AC376" s="9">
        <v>12000</v>
      </c>
      <c r="AE376" s="56">
        <f t="shared" si="109"/>
        <v>6300</v>
      </c>
      <c r="AF376" s="10">
        <f t="shared" si="116"/>
        <v>11550</v>
      </c>
      <c r="AH376" s="11">
        <f t="shared" si="10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10"/>
        <v>2</v>
      </c>
      <c r="AP376" s="11">
        <f ca="1">IFERROR(OFFSET(ITEM_RES!$A$1,MATCH(AQ376,ITEM_RES!$J:$J,0)-1,0),0)</f>
        <v>212010001</v>
      </c>
      <c r="AQ376" s="10" t="s">
        <v>472</v>
      </c>
      <c r="AR376" s="11">
        <v>1500</v>
      </c>
      <c r="AU376" s="11">
        <f ca="1">IFERROR(OFFSET(ITEM_RES!$A$1,MATCH(AV376,ITEM_RES!$J:$J,0)-1,0),0)</f>
        <v>212040001</v>
      </c>
      <c r="AV376" s="10" t="s">
        <v>473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112060013</v>
      </c>
      <c r="B377" s="13">
        <v>11</v>
      </c>
      <c r="C377" s="12">
        <f t="shared" si="113"/>
        <v>2</v>
      </c>
      <c r="D377" s="13">
        <v>6</v>
      </c>
      <c r="E377" s="13">
        <v>0</v>
      </c>
      <c r="F377" s="12">
        <f t="shared" si="114"/>
        <v>13</v>
      </c>
      <c r="H377" s="9">
        <v>2</v>
      </c>
      <c r="I377" s="9">
        <v>13</v>
      </c>
      <c r="K377" s="9" t="s">
        <v>456</v>
      </c>
      <c r="L377" s="9">
        <v>1</v>
      </c>
      <c r="M377" s="9">
        <v>15</v>
      </c>
      <c r="R377" s="9">
        <v>777</v>
      </c>
      <c r="T377" s="86" t="s">
        <v>619</v>
      </c>
      <c r="U377" s="9">
        <f ca="1">IFERROR(OFFSET(ITEM_RES!$A$5,MATCH(BUILDING!T377,ITEM_RES!$J$5:$J$231,0)-1,0),0)</f>
        <v>212010001</v>
      </c>
      <c r="V377" s="11">
        <v>1</v>
      </c>
      <c r="W377" s="86" t="s">
        <v>614</v>
      </c>
      <c r="X377" s="9">
        <f ca="1">IFERROR(OFFSET(ITEM_RES!$A$5,MATCH(BUILDING!W377,ITEM_RES!$J$5:$J$231,0)-1,0),0)</f>
        <v>215070001</v>
      </c>
      <c r="Z377" s="9" t="s">
        <v>592</v>
      </c>
      <c r="AA377" s="9">
        <v>13</v>
      </c>
      <c r="AC377" s="9">
        <v>14000</v>
      </c>
      <c r="AE377" s="56">
        <f t="shared" si="109"/>
        <v>7350</v>
      </c>
      <c r="AF377" s="10">
        <f t="shared" si="116"/>
        <v>13650</v>
      </c>
      <c r="AH377" s="11">
        <f t="shared" si="10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10"/>
        <v>2</v>
      </c>
      <c r="AP377" s="11">
        <f ca="1">IFERROR(OFFSET(ITEM_RES!$A$1,MATCH(AQ377,ITEM_RES!$J:$J,0)-1,0),0)</f>
        <v>212010001</v>
      </c>
      <c r="AQ377" s="10" t="s">
        <v>472</v>
      </c>
      <c r="AR377" s="11">
        <v>1750</v>
      </c>
      <c r="AU377" s="11">
        <f ca="1">IFERROR(OFFSET(ITEM_RES!$A$1,MATCH(AV377,ITEM_RES!$J:$J,0)-1,0),0)</f>
        <v>212040001</v>
      </c>
      <c r="AV377" s="10" t="s">
        <v>473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112060014</v>
      </c>
      <c r="B378" s="13">
        <v>11</v>
      </c>
      <c r="C378" s="12">
        <f t="shared" si="113"/>
        <v>2</v>
      </c>
      <c r="D378" s="13">
        <v>6</v>
      </c>
      <c r="E378" s="13">
        <v>0</v>
      </c>
      <c r="F378" s="12">
        <f t="shared" si="114"/>
        <v>14</v>
      </c>
      <c r="H378" s="9">
        <v>2</v>
      </c>
      <c r="I378" s="9">
        <v>14</v>
      </c>
      <c r="K378" s="9" t="s">
        <v>456</v>
      </c>
      <c r="L378" s="9">
        <v>1</v>
      </c>
      <c r="M378" s="9">
        <v>15</v>
      </c>
      <c r="R378" s="9">
        <v>777</v>
      </c>
      <c r="T378" s="86" t="s">
        <v>619</v>
      </c>
      <c r="U378" s="9">
        <f ca="1">IFERROR(OFFSET(ITEM_RES!$A$5,MATCH(BUILDING!T378,ITEM_RES!$J$5:$J$231,0)-1,0),0)</f>
        <v>212010001</v>
      </c>
      <c r="V378" s="11">
        <v>1</v>
      </c>
      <c r="W378" s="86" t="s">
        <v>614</v>
      </c>
      <c r="X378" s="9">
        <f ca="1">IFERROR(OFFSET(ITEM_RES!$A$5,MATCH(BUILDING!W378,ITEM_RES!$J$5:$J$231,0)-1,0),0)</f>
        <v>215070001</v>
      </c>
      <c r="Z378" s="9" t="s">
        <v>592</v>
      </c>
      <c r="AA378" s="9">
        <v>14</v>
      </c>
      <c r="AC378" s="9">
        <v>18000</v>
      </c>
      <c r="AE378" s="56">
        <f t="shared" si="109"/>
        <v>9450</v>
      </c>
      <c r="AF378" s="10">
        <f t="shared" si="116"/>
        <v>16800</v>
      </c>
      <c r="AH378" s="11">
        <f t="shared" si="10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10"/>
        <v>2</v>
      </c>
      <c r="AP378" s="11">
        <f ca="1">IFERROR(OFFSET(ITEM_RES!$A$1,MATCH(AQ378,ITEM_RES!$J:$J,0)-1,0),0)</f>
        <v>212010001</v>
      </c>
      <c r="AQ378" s="10" t="s">
        <v>472</v>
      </c>
      <c r="AR378" s="11">
        <v>2250</v>
      </c>
      <c r="AU378" s="11">
        <f ca="1">IFERROR(OFFSET(ITEM_RES!$A$1,MATCH(AV378,ITEM_RES!$J:$J,0)-1,0),0)</f>
        <v>212040001</v>
      </c>
      <c r="AV378" s="10" t="s">
        <v>473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112060015</v>
      </c>
      <c r="B379" s="13">
        <v>11</v>
      </c>
      <c r="C379" s="12">
        <f t="shared" si="113"/>
        <v>2</v>
      </c>
      <c r="D379" s="13">
        <v>6</v>
      </c>
      <c r="E379" s="13">
        <v>0</v>
      </c>
      <c r="F379" s="12">
        <f t="shared" si="114"/>
        <v>15</v>
      </c>
      <c r="H379" s="9">
        <v>2</v>
      </c>
      <c r="I379" s="9">
        <v>15</v>
      </c>
      <c r="K379" s="9" t="s">
        <v>456</v>
      </c>
      <c r="L379" s="9">
        <v>1</v>
      </c>
      <c r="M379" s="9">
        <v>15</v>
      </c>
      <c r="R379" s="9">
        <v>777</v>
      </c>
      <c r="T379" s="86" t="s">
        <v>619</v>
      </c>
      <c r="U379" s="9">
        <f ca="1">IFERROR(OFFSET(ITEM_RES!$A$5,MATCH(BUILDING!T379,ITEM_RES!$J$5:$J$231,0)-1,0),0)</f>
        <v>212010001</v>
      </c>
      <c r="V379" s="11">
        <v>1</v>
      </c>
      <c r="W379" s="86" t="s">
        <v>614</v>
      </c>
      <c r="X379" s="9">
        <f ca="1">IFERROR(OFFSET(ITEM_RES!$A$5,MATCH(BUILDING!W379,ITEM_RES!$J$5:$J$231,0)-1,0),0)</f>
        <v>215070001</v>
      </c>
      <c r="Z379" s="9" t="s">
        <v>592</v>
      </c>
      <c r="AA379" s="9">
        <v>15</v>
      </c>
      <c r="AC379" s="9">
        <v>22000</v>
      </c>
      <c r="AE379" s="56">
        <f t="shared" si="109"/>
        <v>11550</v>
      </c>
      <c r="AF379" s="10">
        <f t="shared" si="116"/>
        <v>21000</v>
      </c>
      <c r="AH379" s="11">
        <f t="shared" si="10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10"/>
        <v>2</v>
      </c>
      <c r="AP379" s="11">
        <f ca="1">IFERROR(OFFSET(ITEM_RES!$A$1,MATCH(AQ379,ITEM_RES!$J:$J,0)-1,0),0)</f>
        <v>215070001</v>
      </c>
      <c r="AQ379" s="10" t="s">
        <v>468</v>
      </c>
      <c r="AR379" s="11">
        <v>2750</v>
      </c>
      <c r="AU379" s="11">
        <f ca="1">IFERROR(OFFSET(ITEM_RES!$A$1,MATCH(AV379,ITEM_RES!$J:$J,0)-1,0),0)</f>
        <v>212040001</v>
      </c>
      <c r="AV379" s="10" t="s">
        <v>473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112060016</v>
      </c>
      <c r="B380" s="13">
        <v>11</v>
      </c>
      <c r="C380" s="12">
        <f t="shared" si="113"/>
        <v>2</v>
      </c>
      <c r="D380" s="13">
        <v>6</v>
      </c>
      <c r="E380" s="13">
        <v>0</v>
      </c>
      <c r="F380" s="12">
        <f t="shared" si="114"/>
        <v>16</v>
      </c>
      <c r="H380" s="9">
        <v>2</v>
      </c>
      <c r="I380" s="9">
        <v>16</v>
      </c>
      <c r="K380" s="9" t="s">
        <v>456</v>
      </c>
      <c r="L380" s="9">
        <v>0</v>
      </c>
      <c r="M380" s="9">
        <v>15</v>
      </c>
      <c r="R380" s="9">
        <v>777</v>
      </c>
      <c r="T380" s="86" t="s">
        <v>619</v>
      </c>
      <c r="U380" s="9">
        <f ca="1">IFERROR(OFFSET(ITEM_RES!$A$5,MATCH(BUILDING!T380,ITEM_RES!$J$5:$J$231,0)-1,0),0)</f>
        <v>212010001</v>
      </c>
      <c r="V380" s="11">
        <v>1</v>
      </c>
      <c r="W380" s="86" t="s">
        <v>614</v>
      </c>
      <c r="X380" s="9">
        <f ca="1">IFERROR(OFFSET(ITEM_RES!$A$5,MATCH(BUILDING!W380,ITEM_RES!$J$5:$J$231,0)-1,0),0)</f>
        <v>215070001</v>
      </c>
      <c r="Z380" s="9" t="s">
        <v>592</v>
      </c>
      <c r="AA380" s="9">
        <v>16</v>
      </c>
      <c r="AC380" s="9">
        <v>28000</v>
      </c>
      <c r="AE380" s="56">
        <f t="shared" si="109"/>
        <v>14700</v>
      </c>
      <c r="AF380" s="10">
        <f t="shared" si="116"/>
        <v>26250</v>
      </c>
      <c r="AH380" s="11">
        <f t="shared" si="10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10"/>
        <v>2</v>
      </c>
      <c r="AP380" s="11">
        <f ca="1">IFERROR(OFFSET(ITEM_RES!$A$1,MATCH(AQ380,ITEM_RES!$J:$J,0)-1,0),0)</f>
        <v>215070001</v>
      </c>
      <c r="AQ380" s="10" t="s">
        <v>468</v>
      </c>
      <c r="AR380" s="11">
        <v>3500</v>
      </c>
      <c r="AU380" s="11">
        <f ca="1">IFERROR(OFFSET(ITEM_RES!$A$1,MATCH(AV380,ITEM_RES!$J:$J,0)-1,0),0)</f>
        <v>212040001</v>
      </c>
      <c r="AV380" s="10" t="s">
        <v>473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112060017</v>
      </c>
      <c r="B381" s="13">
        <v>11</v>
      </c>
      <c r="C381" s="12">
        <f t="shared" si="113"/>
        <v>2</v>
      </c>
      <c r="D381" s="13">
        <v>6</v>
      </c>
      <c r="E381" s="13">
        <v>0</v>
      </c>
      <c r="F381" s="12">
        <f t="shared" si="114"/>
        <v>17</v>
      </c>
      <c r="H381" s="9">
        <v>2</v>
      </c>
      <c r="I381" s="9">
        <v>17</v>
      </c>
      <c r="K381" s="9" t="s">
        <v>456</v>
      </c>
      <c r="L381" s="9">
        <v>0</v>
      </c>
      <c r="M381" s="9">
        <v>15</v>
      </c>
      <c r="R381" s="9">
        <v>777</v>
      </c>
      <c r="T381" s="86" t="s">
        <v>619</v>
      </c>
      <c r="U381" s="9">
        <f ca="1">IFERROR(OFFSET(ITEM_RES!$A$5,MATCH(BUILDING!T381,ITEM_RES!$J$5:$J$231,0)-1,0),0)</f>
        <v>212010001</v>
      </c>
      <c r="V381" s="11">
        <v>1</v>
      </c>
      <c r="W381" s="86" t="s">
        <v>614</v>
      </c>
      <c r="X381" s="9">
        <f ca="1">IFERROR(OFFSET(ITEM_RES!$A$5,MATCH(BUILDING!W381,ITEM_RES!$J$5:$J$231,0)-1,0),0)</f>
        <v>215070001</v>
      </c>
      <c r="Z381" s="9" t="s">
        <v>592</v>
      </c>
      <c r="AA381" s="9">
        <v>17</v>
      </c>
      <c r="AC381" s="9">
        <v>34000</v>
      </c>
      <c r="AE381" s="56">
        <f t="shared" si="109"/>
        <v>17850</v>
      </c>
      <c r="AF381" s="10">
        <f t="shared" si="116"/>
        <v>32550</v>
      </c>
      <c r="AH381" s="11">
        <f t="shared" si="10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10"/>
        <v>2</v>
      </c>
      <c r="AP381" s="11">
        <f ca="1">IFERROR(OFFSET(ITEM_RES!$A$1,MATCH(AQ381,ITEM_RES!$J:$J,0)-1,0),0)</f>
        <v>215070001</v>
      </c>
      <c r="AQ381" s="10" t="s">
        <v>468</v>
      </c>
      <c r="AR381" s="11">
        <v>4250</v>
      </c>
      <c r="AU381" s="11">
        <f ca="1">IFERROR(OFFSET(ITEM_RES!$A$1,MATCH(AV381,ITEM_RES!$J:$J,0)-1,0),0)</f>
        <v>212040001</v>
      </c>
      <c r="AV381" s="10" t="s">
        <v>473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112060018</v>
      </c>
      <c r="B382" s="13">
        <v>11</v>
      </c>
      <c r="C382" s="12">
        <f t="shared" si="113"/>
        <v>2</v>
      </c>
      <c r="D382" s="13">
        <v>6</v>
      </c>
      <c r="E382" s="13">
        <v>0</v>
      </c>
      <c r="F382" s="12">
        <f t="shared" si="114"/>
        <v>18</v>
      </c>
      <c r="H382" s="9">
        <v>2</v>
      </c>
      <c r="I382" s="9">
        <v>18</v>
      </c>
      <c r="K382" s="9" t="s">
        <v>456</v>
      </c>
      <c r="L382" s="9">
        <v>0</v>
      </c>
      <c r="M382" s="9">
        <v>15</v>
      </c>
      <c r="R382" s="9">
        <v>777</v>
      </c>
      <c r="T382" s="86" t="s">
        <v>619</v>
      </c>
      <c r="U382" s="9">
        <f ca="1">IFERROR(OFFSET(ITEM_RES!$A$5,MATCH(BUILDING!T382,ITEM_RES!$J$5:$J$231,0)-1,0),0)</f>
        <v>212010001</v>
      </c>
      <c r="V382" s="11">
        <v>1</v>
      </c>
      <c r="W382" s="86" t="s">
        <v>614</v>
      </c>
      <c r="X382" s="9">
        <f ca="1">IFERROR(OFFSET(ITEM_RES!$A$5,MATCH(BUILDING!W382,ITEM_RES!$J$5:$J$231,0)-1,0),0)</f>
        <v>215070001</v>
      </c>
      <c r="Z382" s="9" t="s">
        <v>592</v>
      </c>
      <c r="AA382" s="9">
        <v>18</v>
      </c>
      <c r="AC382" s="9">
        <v>42000</v>
      </c>
      <c r="AE382" s="56">
        <f t="shared" si="109"/>
        <v>22050</v>
      </c>
      <c r="AF382" s="10">
        <f t="shared" si="116"/>
        <v>39900</v>
      </c>
      <c r="AH382" s="11">
        <f t="shared" si="10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10"/>
        <v>2</v>
      </c>
      <c r="AP382" s="11">
        <f ca="1">IFERROR(OFFSET(ITEM_RES!$A$1,MATCH(AQ382,ITEM_RES!$J:$J,0)-1,0),0)</f>
        <v>215070001</v>
      </c>
      <c r="AQ382" s="10" t="s">
        <v>468</v>
      </c>
      <c r="AR382" s="11">
        <v>5250</v>
      </c>
      <c r="AU382" s="11">
        <f ca="1">IFERROR(OFFSET(ITEM_RES!$A$1,MATCH(AV382,ITEM_RES!$J:$J,0)-1,0),0)</f>
        <v>212040001</v>
      </c>
      <c r="AV382" s="10" t="s">
        <v>473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112060019</v>
      </c>
      <c r="B383" s="13">
        <v>11</v>
      </c>
      <c r="C383" s="12">
        <f t="shared" si="113"/>
        <v>2</v>
      </c>
      <c r="D383" s="13">
        <v>6</v>
      </c>
      <c r="E383" s="13">
        <v>0</v>
      </c>
      <c r="F383" s="12">
        <f t="shared" si="114"/>
        <v>19</v>
      </c>
      <c r="H383" s="9">
        <v>2</v>
      </c>
      <c r="I383" s="9">
        <v>19</v>
      </c>
      <c r="K383" s="9" t="s">
        <v>456</v>
      </c>
      <c r="L383" s="9">
        <v>0</v>
      </c>
      <c r="M383" s="9">
        <v>15</v>
      </c>
      <c r="R383" s="9">
        <v>777</v>
      </c>
      <c r="T383" s="86" t="s">
        <v>619</v>
      </c>
      <c r="U383" s="9">
        <f ca="1">IFERROR(OFFSET(ITEM_RES!$A$5,MATCH(BUILDING!T383,ITEM_RES!$J$5:$J$231,0)-1,0),0)</f>
        <v>212010001</v>
      </c>
      <c r="V383" s="11">
        <v>1</v>
      </c>
      <c r="W383" s="86" t="s">
        <v>614</v>
      </c>
      <c r="X383" s="9">
        <f ca="1">IFERROR(OFFSET(ITEM_RES!$A$5,MATCH(BUILDING!W383,ITEM_RES!$J$5:$J$231,0)-1,0),0)</f>
        <v>215070001</v>
      </c>
      <c r="Z383" s="9" t="s">
        <v>592</v>
      </c>
      <c r="AA383" s="9">
        <v>19</v>
      </c>
      <c r="AC383" s="9">
        <v>50000</v>
      </c>
      <c r="AE383" s="56">
        <f t="shared" si="109"/>
        <v>26250</v>
      </c>
      <c r="AF383" s="10">
        <f t="shared" si="116"/>
        <v>48300</v>
      </c>
      <c r="AH383" s="11">
        <f t="shared" si="10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10"/>
        <v>2</v>
      </c>
      <c r="AP383" s="11">
        <f ca="1">IFERROR(OFFSET(ITEM_RES!$A$1,MATCH(AQ383,ITEM_RES!$J:$J,0)-1,0),0)</f>
        <v>215070001</v>
      </c>
      <c r="AQ383" s="10" t="s">
        <v>468</v>
      </c>
      <c r="AR383" s="11">
        <v>6250</v>
      </c>
      <c r="AU383" s="11">
        <f ca="1">IFERROR(OFFSET(ITEM_RES!$A$1,MATCH(AV383,ITEM_RES!$J:$J,0)-1,0),0)</f>
        <v>212040001</v>
      </c>
      <c r="AV383" s="10" t="s">
        <v>473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112060020</v>
      </c>
      <c r="B384" s="13">
        <v>11</v>
      </c>
      <c r="C384" s="12">
        <f t="shared" si="113"/>
        <v>2</v>
      </c>
      <c r="D384" s="13">
        <v>6</v>
      </c>
      <c r="E384" s="13">
        <v>0</v>
      </c>
      <c r="F384" s="12">
        <f t="shared" si="114"/>
        <v>20</v>
      </c>
      <c r="H384" s="9">
        <v>2</v>
      </c>
      <c r="I384" s="9">
        <v>20</v>
      </c>
      <c r="K384" s="9" t="s">
        <v>456</v>
      </c>
      <c r="L384" s="9">
        <v>0</v>
      </c>
      <c r="M384" s="9">
        <v>15</v>
      </c>
      <c r="R384" s="9">
        <v>777</v>
      </c>
      <c r="T384" s="86" t="s">
        <v>619</v>
      </c>
      <c r="U384" s="9">
        <f ca="1">IFERROR(OFFSET(ITEM_RES!$A$5,MATCH(BUILDING!T384,ITEM_RES!$J$5:$J$231,0)-1,0),0)</f>
        <v>212010001</v>
      </c>
      <c r="V384" s="11">
        <v>1</v>
      </c>
      <c r="W384" s="86" t="s">
        <v>614</v>
      </c>
      <c r="X384" s="9">
        <f ca="1">IFERROR(OFFSET(ITEM_RES!$A$5,MATCH(BUILDING!W384,ITEM_RES!$J$5:$J$231,0)-1,0),0)</f>
        <v>215070001</v>
      </c>
      <c r="Z384" s="9" t="s">
        <v>592</v>
      </c>
      <c r="AA384" s="9">
        <v>20</v>
      </c>
      <c r="AC384" s="9">
        <v>60000</v>
      </c>
      <c r="AE384" s="56">
        <f t="shared" si="109"/>
        <v>31500</v>
      </c>
      <c r="AF384" s="10">
        <f t="shared" si="116"/>
        <v>57750</v>
      </c>
      <c r="AH384" s="11">
        <f t="shared" si="10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10"/>
        <v>2</v>
      </c>
      <c r="AP384" s="11">
        <f ca="1">IFERROR(OFFSET(ITEM_RES!$A$1,MATCH(AQ384,ITEM_RES!$J:$J,0)-1,0),0)</f>
        <v>215070001</v>
      </c>
      <c r="AQ384" s="10" t="s">
        <v>468</v>
      </c>
      <c r="AR384" s="11">
        <v>7500</v>
      </c>
      <c r="AU384" s="11">
        <f ca="1">IFERROR(OFFSET(ITEM_RES!$A$1,MATCH(AV384,ITEM_RES!$J:$J,0)-1,0),0)</f>
        <v>212040001</v>
      </c>
      <c r="AV384" s="10" t="s">
        <v>473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12"/>
        <v>112070001</v>
      </c>
      <c r="B385" s="20">
        <v>11</v>
      </c>
      <c r="C385" s="19">
        <f t="shared" si="113"/>
        <v>2</v>
      </c>
      <c r="D385" s="20">
        <v>7</v>
      </c>
      <c r="E385" s="20">
        <v>0</v>
      </c>
      <c r="F385" s="19">
        <f t="shared" si="114"/>
        <v>1</v>
      </c>
      <c r="G385" s="80"/>
      <c r="H385" s="16">
        <v>2</v>
      </c>
      <c r="I385" s="16">
        <v>1</v>
      </c>
      <c r="J385" s="80"/>
      <c r="K385" s="16" t="s">
        <v>598</v>
      </c>
      <c r="L385" s="16">
        <v>1</v>
      </c>
      <c r="M385" s="16">
        <v>15</v>
      </c>
      <c r="N385" s="16"/>
      <c r="O385" s="17"/>
      <c r="P385" s="17"/>
      <c r="Q385" s="18"/>
      <c r="R385" s="16">
        <v>888</v>
      </c>
      <c r="S385" s="80"/>
      <c r="T385" s="88" t="s">
        <v>613</v>
      </c>
      <c r="U385" s="16">
        <f ca="1">IFERROR(OFFSET(ITEM_RES!$A$5,MATCH(BUILDING!T385,ITEM_RES!$J$5:$J$231,0)-1,0),0)</f>
        <v>211060001</v>
      </c>
      <c r="V385" s="18">
        <v>1</v>
      </c>
      <c r="W385" s="88" t="s">
        <v>615</v>
      </c>
      <c r="X385" s="16">
        <f ca="1">IFERROR(OFFSET(ITEM_RES!$A$5,MATCH(BUILDING!W385,ITEM_RES!$J$5:$J$231,0)-1,0),0)</f>
        <v>215060001</v>
      </c>
      <c r="Y385" s="80"/>
      <c r="Z385" s="16" t="s">
        <v>593</v>
      </c>
      <c r="AA385" s="16">
        <v>1</v>
      </c>
      <c r="AB385" s="80"/>
      <c r="AC385" s="16">
        <v>0</v>
      </c>
      <c r="AD385" s="80"/>
      <c r="AE385" s="57">
        <f t="shared" si="109"/>
        <v>605</v>
      </c>
      <c r="AF385" s="17">
        <f>AE385</f>
        <v>605</v>
      </c>
      <c r="AG385" s="80"/>
      <c r="AH385" s="18">
        <f t="shared" si="108"/>
        <v>5</v>
      </c>
      <c r="AI385" s="17">
        <v>5</v>
      </c>
      <c r="AJ385" s="18">
        <f t="shared" si="115"/>
        <v>5</v>
      </c>
      <c r="AK385" s="17">
        <v>5</v>
      </c>
      <c r="AL385" s="18">
        <f t="shared" si="115"/>
        <v>5</v>
      </c>
      <c r="AM385" s="17">
        <v>5</v>
      </c>
      <c r="AN385" s="57">
        <f t="shared" si="110"/>
        <v>3</v>
      </c>
      <c r="AO385" s="18"/>
      <c r="AP385" s="18">
        <f ca="1">IFERROR(OFFSET(ITEM_RES!$A$1,MATCH(AQ385,ITEM_RES!$J:$J,0)-1,0),0)</f>
        <v>212010001</v>
      </c>
      <c r="AQ385" s="17" t="s">
        <v>472</v>
      </c>
      <c r="AR385" s="18">
        <v>25</v>
      </c>
      <c r="AS385" s="17"/>
      <c r="AT385" s="18"/>
      <c r="AU385" s="18">
        <f ca="1">IFERROR(OFFSET(ITEM_RES!$A$1,MATCH(AV385,ITEM_RES!$J:$J,0)-1,0),0)</f>
        <v>211060001</v>
      </c>
      <c r="AV385" s="17" t="s">
        <v>465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496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12"/>
        <v>112070002</v>
      </c>
      <c r="B386" s="13">
        <v>11</v>
      </c>
      <c r="C386" s="12">
        <f t="shared" si="113"/>
        <v>2</v>
      </c>
      <c r="D386" s="13">
        <v>7</v>
      </c>
      <c r="E386" s="13">
        <v>0</v>
      </c>
      <c r="F386" s="12">
        <f t="shared" si="114"/>
        <v>2</v>
      </c>
      <c r="H386" s="9">
        <v>2</v>
      </c>
      <c r="I386" s="9">
        <v>2</v>
      </c>
      <c r="K386" s="9" t="s">
        <v>373</v>
      </c>
      <c r="L386" s="9">
        <v>1</v>
      </c>
      <c r="M386" s="9">
        <v>15</v>
      </c>
      <c r="R386" s="9">
        <v>888</v>
      </c>
      <c r="T386" s="86" t="s">
        <v>613</v>
      </c>
      <c r="U386" s="9">
        <f ca="1">IFERROR(OFFSET(ITEM_RES!$A$5,MATCH(BUILDING!T386,ITEM_RES!$J$5:$J$231,0)-1,0),0)</f>
        <v>211060001</v>
      </c>
      <c r="V386" s="11">
        <v>1</v>
      </c>
      <c r="W386" s="86" t="s">
        <v>615</v>
      </c>
      <c r="X386" s="9">
        <f ca="1">IFERROR(OFFSET(ITEM_RES!$A$5,MATCH(BUILDING!W386,ITEM_RES!$J$5:$J$231,0)-1,0),0)</f>
        <v>215060001</v>
      </c>
      <c r="Z386" s="9" t="s">
        <v>593</v>
      </c>
      <c r="AA386" s="9">
        <v>2</v>
      </c>
      <c r="AC386" s="9">
        <v>800</v>
      </c>
      <c r="AE386" s="56">
        <f t="shared" si="109"/>
        <v>210</v>
      </c>
      <c r="AF386" s="10">
        <f>AE385+AE386</f>
        <v>815</v>
      </c>
      <c r="AH386" s="11">
        <f t="shared" si="108"/>
        <v>10</v>
      </c>
      <c r="AI386" s="10">
        <v>10</v>
      </c>
      <c r="AJ386" s="11">
        <f t="shared" si="115"/>
        <v>10</v>
      </c>
      <c r="AK386" s="10">
        <v>10</v>
      </c>
      <c r="AL386" s="11">
        <f t="shared" si="115"/>
        <v>10</v>
      </c>
      <c r="AM386" s="10">
        <v>10</v>
      </c>
      <c r="AN386" s="56">
        <f t="shared" si="110"/>
        <v>2</v>
      </c>
      <c r="AP386" s="11">
        <f ca="1">IFERROR(OFFSET(ITEM_RES!$A$1,MATCH(AQ386,ITEM_RES!$J:$J,0)-1,0),0)</f>
        <v>212010001</v>
      </c>
      <c r="AQ386" s="10" t="s">
        <v>472</v>
      </c>
      <c r="AR386" s="11">
        <v>50</v>
      </c>
      <c r="AU386" s="11">
        <f ca="1">IFERROR(OFFSET(ITEM_RES!$A$1,MATCH(AV386,ITEM_RES!$J:$J,0)-1,0),0)</f>
        <v>211060001</v>
      </c>
      <c r="AV386" s="10" t="s">
        <v>465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12"/>
        <v>112070003</v>
      </c>
      <c r="B387" s="13">
        <v>11</v>
      </c>
      <c r="C387" s="12">
        <f t="shared" si="113"/>
        <v>2</v>
      </c>
      <c r="D387" s="13">
        <v>7</v>
      </c>
      <c r="E387" s="13">
        <v>0</v>
      </c>
      <c r="F387" s="12">
        <f t="shared" si="114"/>
        <v>3</v>
      </c>
      <c r="H387" s="9">
        <v>2</v>
      </c>
      <c r="I387" s="9">
        <v>3</v>
      </c>
      <c r="K387" s="9" t="s">
        <v>373</v>
      </c>
      <c r="L387" s="9">
        <v>1</v>
      </c>
      <c r="M387" s="9">
        <v>15</v>
      </c>
      <c r="R387" s="9">
        <v>888</v>
      </c>
      <c r="T387" s="86" t="s">
        <v>613</v>
      </c>
      <c r="U387" s="9">
        <f ca="1">IFERROR(OFFSET(ITEM_RES!$A$5,MATCH(BUILDING!T387,ITEM_RES!$J$5:$J$231,0)-1,0),0)</f>
        <v>211060001</v>
      </c>
      <c r="V387" s="11">
        <v>1</v>
      </c>
      <c r="W387" s="86" t="s">
        <v>615</v>
      </c>
      <c r="X387" s="9">
        <f ca="1">IFERROR(OFFSET(ITEM_RES!$A$5,MATCH(BUILDING!W387,ITEM_RES!$J$5:$J$231,0)-1,0),0)</f>
        <v>215060001</v>
      </c>
      <c r="Z387" s="9" t="s">
        <v>593</v>
      </c>
      <c r="AA387" s="9">
        <v>3</v>
      </c>
      <c r="AC387" s="9">
        <v>1200</v>
      </c>
      <c r="AE387" s="56">
        <f t="shared" si="109"/>
        <v>315</v>
      </c>
      <c r="AF387" s="10">
        <f t="shared" ref="AF387:AF404" si="117">AE386+AE387</f>
        <v>525</v>
      </c>
      <c r="AH387" s="11">
        <f t="shared" si="108"/>
        <v>15</v>
      </c>
      <c r="AI387" s="10">
        <v>15</v>
      </c>
      <c r="AJ387" s="11">
        <f t="shared" si="115"/>
        <v>15</v>
      </c>
      <c r="AK387" s="10">
        <v>15</v>
      </c>
      <c r="AL387" s="11">
        <f t="shared" si="115"/>
        <v>15</v>
      </c>
      <c r="AM387" s="10">
        <v>15</v>
      </c>
      <c r="AN387" s="56">
        <f t="shared" si="110"/>
        <v>2</v>
      </c>
      <c r="AP387" s="11">
        <f ca="1">IFERROR(OFFSET(ITEM_RES!$A$1,MATCH(AQ387,ITEM_RES!$J:$J,0)-1,0),0)</f>
        <v>212010001</v>
      </c>
      <c r="AQ387" s="10" t="s">
        <v>472</v>
      </c>
      <c r="AR387" s="11">
        <v>75</v>
      </c>
      <c r="AU387" s="11">
        <f ca="1">IFERROR(OFFSET(ITEM_RES!$A$1,MATCH(AV387,ITEM_RES!$J:$J,0)-1,0),0)</f>
        <v>211060001</v>
      </c>
      <c r="AV387" s="10" t="s">
        <v>465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12"/>
        <v>112070004</v>
      </c>
      <c r="B388" s="13">
        <v>11</v>
      </c>
      <c r="C388" s="12">
        <f t="shared" si="113"/>
        <v>2</v>
      </c>
      <c r="D388" s="13">
        <v>7</v>
      </c>
      <c r="E388" s="13">
        <v>0</v>
      </c>
      <c r="F388" s="12">
        <f t="shared" si="114"/>
        <v>4</v>
      </c>
      <c r="H388" s="9">
        <v>2</v>
      </c>
      <c r="I388" s="9">
        <v>4</v>
      </c>
      <c r="K388" s="9" t="s">
        <v>373</v>
      </c>
      <c r="L388" s="9">
        <v>1</v>
      </c>
      <c r="M388" s="9">
        <v>15</v>
      </c>
      <c r="R388" s="9">
        <v>888</v>
      </c>
      <c r="T388" s="86" t="s">
        <v>613</v>
      </c>
      <c r="U388" s="9">
        <f ca="1">IFERROR(OFFSET(ITEM_RES!$A$5,MATCH(BUILDING!T388,ITEM_RES!$J$5:$J$231,0)-1,0),0)</f>
        <v>211060001</v>
      </c>
      <c r="V388" s="11">
        <v>1</v>
      </c>
      <c r="W388" s="86" t="s">
        <v>615</v>
      </c>
      <c r="X388" s="9">
        <f ca="1">IFERROR(OFFSET(ITEM_RES!$A$5,MATCH(BUILDING!W388,ITEM_RES!$J$5:$J$231,0)-1,0),0)</f>
        <v>215060001</v>
      </c>
      <c r="Z388" s="9" t="s">
        <v>593</v>
      </c>
      <c r="AA388" s="9">
        <v>4</v>
      </c>
      <c r="AC388" s="9">
        <v>2000</v>
      </c>
      <c r="AE388" s="56">
        <f t="shared" si="109"/>
        <v>525</v>
      </c>
      <c r="AF388" s="10">
        <f t="shared" si="117"/>
        <v>840</v>
      </c>
      <c r="AH388" s="11">
        <f t="shared" si="108"/>
        <v>20</v>
      </c>
      <c r="AI388" s="10">
        <v>20</v>
      </c>
      <c r="AJ388" s="11">
        <f t="shared" si="115"/>
        <v>25</v>
      </c>
      <c r="AK388" s="10">
        <v>25</v>
      </c>
      <c r="AL388" s="11">
        <f t="shared" si="115"/>
        <v>25</v>
      </c>
      <c r="AM388" s="10">
        <v>25</v>
      </c>
      <c r="AN388" s="56">
        <f t="shared" si="110"/>
        <v>2</v>
      </c>
      <c r="AP388" s="11">
        <f ca="1">IFERROR(OFFSET(ITEM_RES!$A$1,MATCH(AQ388,ITEM_RES!$J:$J,0)-1,0),0)</f>
        <v>212010001</v>
      </c>
      <c r="AQ388" s="10" t="s">
        <v>472</v>
      </c>
      <c r="AR388" s="11">
        <v>125</v>
      </c>
      <c r="AU388" s="11">
        <f ca="1">IFERROR(OFFSET(ITEM_RES!$A$1,MATCH(AV388,ITEM_RES!$J:$J,0)-1,0),0)</f>
        <v>211060001</v>
      </c>
      <c r="AV388" s="10" t="s">
        <v>465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12"/>
        <v>112070005</v>
      </c>
      <c r="B389" s="13">
        <v>11</v>
      </c>
      <c r="C389" s="12">
        <f t="shared" si="113"/>
        <v>2</v>
      </c>
      <c r="D389" s="13">
        <v>7</v>
      </c>
      <c r="E389" s="13">
        <v>0</v>
      </c>
      <c r="F389" s="12">
        <f t="shared" si="114"/>
        <v>5</v>
      </c>
      <c r="H389" s="9">
        <v>2</v>
      </c>
      <c r="I389" s="9">
        <v>5</v>
      </c>
      <c r="K389" s="9" t="s">
        <v>373</v>
      </c>
      <c r="L389" s="9">
        <v>1</v>
      </c>
      <c r="M389" s="9">
        <v>15</v>
      </c>
      <c r="R389" s="9">
        <v>888</v>
      </c>
      <c r="T389" s="86" t="s">
        <v>613</v>
      </c>
      <c r="U389" s="9">
        <f ca="1">IFERROR(OFFSET(ITEM_RES!$A$5,MATCH(BUILDING!T389,ITEM_RES!$J$5:$J$231,0)-1,0),0)</f>
        <v>211060001</v>
      </c>
      <c r="V389" s="11">
        <v>1</v>
      </c>
      <c r="W389" s="86" t="s">
        <v>615</v>
      </c>
      <c r="X389" s="9">
        <f ca="1">IFERROR(OFFSET(ITEM_RES!$A$5,MATCH(BUILDING!W389,ITEM_RES!$J$5:$J$231,0)-1,0),0)</f>
        <v>215060001</v>
      </c>
      <c r="Z389" s="9" t="s">
        <v>593</v>
      </c>
      <c r="AA389" s="9">
        <v>5</v>
      </c>
      <c r="AC389" s="9">
        <v>3200</v>
      </c>
      <c r="AE389" s="56">
        <f t="shared" si="109"/>
        <v>840</v>
      </c>
      <c r="AF389" s="10">
        <f t="shared" si="117"/>
        <v>1365</v>
      </c>
      <c r="AH389" s="11">
        <f t="shared" ref="AH389:AH452" si="118">ROUND(AI389,0)</f>
        <v>25</v>
      </c>
      <c r="AI389" s="10">
        <v>25</v>
      </c>
      <c r="AJ389" s="11">
        <f t="shared" si="115"/>
        <v>40</v>
      </c>
      <c r="AK389" s="10">
        <v>40</v>
      </c>
      <c r="AL389" s="11">
        <f t="shared" si="115"/>
        <v>40</v>
      </c>
      <c r="AM389" s="10">
        <v>40</v>
      </c>
      <c r="AN389" s="56">
        <f t="shared" si="110"/>
        <v>2</v>
      </c>
      <c r="AP389" s="11">
        <f ca="1">IFERROR(OFFSET(ITEM_RES!$A$1,MATCH(AQ389,ITEM_RES!$J:$J,0)-1,0),0)</f>
        <v>212010001</v>
      </c>
      <c r="AQ389" s="10" t="s">
        <v>472</v>
      </c>
      <c r="AR389" s="11">
        <v>200</v>
      </c>
      <c r="AU389" s="11">
        <f ca="1">IFERROR(OFFSET(ITEM_RES!$A$1,MATCH(AV389,ITEM_RES!$J:$J,0)-1,0),0)</f>
        <v>211060001</v>
      </c>
      <c r="AV389" s="10" t="s">
        <v>465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12"/>
        <v>112070006</v>
      </c>
      <c r="B390" s="13">
        <v>11</v>
      </c>
      <c r="C390" s="12">
        <f t="shared" si="113"/>
        <v>2</v>
      </c>
      <c r="D390" s="13">
        <v>7</v>
      </c>
      <c r="E390" s="13">
        <v>0</v>
      </c>
      <c r="F390" s="12">
        <f t="shared" si="114"/>
        <v>6</v>
      </c>
      <c r="H390" s="9">
        <v>2</v>
      </c>
      <c r="I390" s="9">
        <v>6</v>
      </c>
      <c r="K390" s="9" t="s">
        <v>373</v>
      </c>
      <c r="L390" s="9">
        <v>1</v>
      </c>
      <c r="M390" s="9">
        <v>15</v>
      </c>
      <c r="R390" s="9">
        <v>888</v>
      </c>
      <c r="T390" s="86" t="s">
        <v>613</v>
      </c>
      <c r="U390" s="9">
        <f ca="1">IFERROR(OFFSET(ITEM_RES!$A$5,MATCH(BUILDING!T390,ITEM_RES!$J$5:$J$231,0)-1,0),0)</f>
        <v>211060001</v>
      </c>
      <c r="V390" s="11">
        <v>1</v>
      </c>
      <c r="W390" s="86" t="s">
        <v>615</v>
      </c>
      <c r="X390" s="9">
        <f ca="1">IFERROR(OFFSET(ITEM_RES!$A$5,MATCH(BUILDING!W390,ITEM_RES!$J$5:$J$231,0)-1,0),0)</f>
        <v>215060001</v>
      </c>
      <c r="Z390" s="9" t="s">
        <v>593</v>
      </c>
      <c r="AA390" s="9">
        <v>6</v>
      </c>
      <c r="AC390" s="9">
        <v>4000</v>
      </c>
      <c r="AE390" s="56">
        <f t="shared" ref="AE390:AE453" si="119">AK390*10+AM390+AR390+AW390+500*BB390+500*BG390+500*BL390</f>
        <v>1050</v>
      </c>
      <c r="AF390" s="10">
        <f t="shared" si="117"/>
        <v>1890</v>
      </c>
      <c r="AH390" s="11">
        <f t="shared" si="118"/>
        <v>30</v>
      </c>
      <c r="AI390" s="10">
        <v>30</v>
      </c>
      <c r="AJ390" s="11">
        <f t="shared" si="115"/>
        <v>50</v>
      </c>
      <c r="AK390" s="10">
        <v>50</v>
      </c>
      <c r="AL390" s="11">
        <f t="shared" si="115"/>
        <v>50</v>
      </c>
      <c r="AM390" s="10">
        <v>50</v>
      </c>
      <c r="AN390" s="56">
        <f t="shared" ref="AN390:AN453" si="120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472</v>
      </c>
      <c r="AR390" s="11">
        <v>250</v>
      </c>
      <c r="AU390" s="11">
        <f ca="1">IFERROR(OFFSET(ITEM_RES!$A$1,MATCH(AV390,ITEM_RES!$J:$J,0)-1,0),0)</f>
        <v>211060001</v>
      </c>
      <c r="AV390" s="10" t="s">
        <v>465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12"/>
        <v>112070007</v>
      </c>
      <c r="B391" s="13">
        <v>11</v>
      </c>
      <c r="C391" s="12">
        <f t="shared" si="113"/>
        <v>2</v>
      </c>
      <c r="D391" s="13">
        <v>7</v>
      </c>
      <c r="E391" s="13">
        <v>0</v>
      </c>
      <c r="F391" s="12">
        <f t="shared" si="114"/>
        <v>7</v>
      </c>
      <c r="H391" s="9">
        <v>2</v>
      </c>
      <c r="I391" s="9">
        <v>7</v>
      </c>
      <c r="K391" s="9" t="s">
        <v>373</v>
      </c>
      <c r="L391" s="9">
        <v>1</v>
      </c>
      <c r="M391" s="9">
        <v>15</v>
      </c>
      <c r="R391" s="9">
        <v>888</v>
      </c>
      <c r="T391" s="86" t="s">
        <v>613</v>
      </c>
      <c r="U391" s="9">
        <f ca="1">IFERROR(OFFSET(ITEM_RES!$A$5,MATCH(BUILDING!T391,ITEM_RES!$J$5:$J$231,0)-1,0),0)</f>
        <v>211060001</v>
      </c>
      <c r="V391" s="11">
        <v>1</v>
      </c>
      <c r="W391" s="86" t="s">
        <v>615</v>
      </c>
      <c r="X391" s="9">
        <f ca="1">IFERROR(OFFSET(ITEM_RES!$A$5,MATCH(BUILDING!W391,ITEM_RES!$J$5:$J$231,0)-1,0),0)</f>
        <v>215060001</v>
      </c>
      <c r="Z391" s="9" t="s">
        <v>593</v>
      </c>
      <c r="AA391" s="9">
        <v>7</v>
      </c>
      <c r="AC391" s="9">
        <v>8000</v>
      </c>
      <c r="AE391" s="56">
        <f t="shared" si="119"/>
        <v>2100</v>
      </c>
      <c r="AF391" s="10">
        <f t="shared" si="117"/>
        <v>3150</v>
      </c>
      <c r="AH391" s="11">
        <f t="shared" si="118"/>
        <v>35</v>
      </c>
      <c r="AI391" s="10">
        <v>35</v>
      </c>
      <c r="AJ391" s="11">
        <f t="shared" si="115"/>
        <v>100</v>
      </c>
      <c r="AK391" s="10">
        <v>100</v>
      </c>
      <c r="AL391" s="11">
        <f t="shared" si="11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472</v>
      </c>
      <c r="AR391" s="11">
        <v>500</v>
      </c>
      <c r="AU391" s="11">
        <f ca="1">IFERROR(OFFSET(ITEM_RES!$A$1,MATCH(AV391,ITEM_RES!$J:$J,0)-1,0),0)</f>
        <v>211060001</v>
      </c>
      <c r="AV391" s="10" t="s">
        <v>465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12"/>
        <v>112070008</v>
      </c>
      <c r="B392" s="13">
        <v>11</v>
      </c>
      <c r="C392" s="12">
        <f t="shared" si="113"/>
        <v>2</v>
      </c>
      <c r="D392" s="13">
        <v>7</v>
      </c>
      <c r="E392" s="13">
        <v>0</v>
      </c>
      <c r="F392" s="12">
        <f t="shared" si="114"/>
        <v>8</v>
      </c>
      <c r="H392" s="9">
        <v>2</v>
      </c>
      <c r="I392" s="9">
        <v>8</v>
      </c>
      <c r="K392" s="9" t="s">
        <v>373</v>
      </c>
      <c r="L392" s="9">
        <v>1</v>
      </c>
      <c r="M392" s="9">
        <v>15</v>
      </c>
      <c r="R392" s="9">
        <v>888</v>
      </c>
      <c r="T392" s="86" t="s">
        <v>613</v>
      </c>
      <c r="U392" s="9">
        <f ca="1">IFERROR(OFFSET(ITEM_RES!$A$5,MATCH(BUILDING!T392,ITEM_RES!$J$5:$J$231,0)-1,0),0)</f>
        <v>211060001</v>
      </c>
      <c r="V392" s="11">
        <v>1</v>
      </c>
      <c r="W392" s="86" t="s">
        <v>615</v>
      </c>
      <c r="X392" s="9">
        <f ca="1">IFERROR(OFFSET(ITEM_RES!$A$5,MATCH(BUILDING!W392,ITEM_RES!$J$5:$J$231,0)-1,0),0)</f>
        <v>215060001</v>
      </c>
      <c r="Z392" s="9" t="s">
        <v>593</v>
      </c>
      <c r="AA392" s="9">
        <v>8</v>
      </c>
      <c r="AC392" s="9">
        <v>8000</v>
      </c>
      <c r="AE392" s="56">
        <f t="shared" si="119"/>
        <v>2100</v>
      </c>
      <c r="AF392" s="10">
        <f t="shared" si="117"/>
        <v>4200</v>
      </c>
      <c r="AH392" s="11">
        <f t="shared" si="118"/>
        <v>40</v>
      </c>
      <c r="AI392" s="10">
        <v>40</v>
      </c>
      <c r="AJ392" s="11">
        <f t="shared" si="115"/>
        <v>100</v>
      </c>
      <c r="AK392" s="10">
        <v>100</v>
      </c>
      <c r="AL392" s="11">
        <f t="shared" si="11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472</v>
      </c>
      <c r="AR392" s="11">
        <v>500</v>
      </c>
      <c r="AU392" s="11">
        <f ca="1">IFERROR(OFFSET(ITEM_RES!$A$1,MATCH(AV392,ITEM_RES!$J:$J,0)-1,0),0)</f>
        <v>211060001</v>
      </c>
      <c r="AV392" s="10" t="s">
        <v>465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12"/>
        <v>112070009</v>
      </c>
      <c r="B393" s="13">
        <v>11</v>
      </c>
      <c r="C393" s="12">
        <f t="shared" si="113"/>
        <v>2</v>
      </c>
      <c r="D393" s="13">
        <v>7</v>
      </c>
      <c r="E393" s="13">
        <v>0</v>
      </c>
      <c r="F393" s="12">
        <f t="shared" si="114"/>
        <v>9</v>
      </c>
      <c r="H393" s="9">
        <v>2</v>
      </c>
      <c r="I393" s="9">
        <v>9</v>
      </c>
      <c r="K393" s="9" t="s">
        <v>373</v>
      </c>
      <c r="L393" s="9">
        <v>1</v>
      </c>
      <c r="M393" s="9">
        <v>15</v>
      </c>
      <c r="R393" s="9">
        <v>888</v>
      </c>
      <c r="T393" s="86" t="s">
        <v>613</v>
      </c>
      <c r="U393" s="9">
        <f ca="1">IFERROR(OFFSET(ITEM_RES!$A$5,MATCH(BUILDING!T393,ITEM_RES!$J$5:$J$231,0)-1,0),0)</f>
        <v>211060001</v>
      </c>
      <c r="V393" s="11">
        <v>1</v>
      </c>
      <c r="W393" s="86" t="s">
        <v>615</v>
      </c>
      <c r="X393" s="9">
        <f ca="1">IFERROR(OFFSET(ITEM_RES!$A$5,MATCH(BUILDING!W393,ITEM_RES!$J$5:$J$231,0)-1,0),0)</f>
        <v>215060001</v>
      </c>
      <c r="Z393" s="9" t="s">
        <v>593</v>
      </c>
      <c r="AA393" s="9">
        <v>9</v>
      </c>
      <c r="AC393" s="9">
        <v>12000</v>
      </c>
      <c r="AE393" s="56">
        <f t="shared" si="119"/>
        <v>3150</v>
      </c>
      <c r="AF393" s="10">
        <f t="shared" si="117"/>
        <v>5250</v>
      </c>
      <c r="AH393" s="11">
        <f t="shared" si="118"/>
        <v>45</v>
      </c>
      <c r="AI393" s="10">
        <v>45</v>
      </c>
      <c r="AJ393" s="11">
        <f t="shared" si="115"/>
        <v>150</v>
      </c>
      <c r="AK393" s="10">
        <v>150</v>
      </c>
      <c r="AL393" s="11">
        <f t="shared" si="11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472</v>
      </c>
      <c r="AR393" s="11">
        <v>750</v>
      </c>
      <c r="AU393" s="11">
        <f ca="1">IFERROR(OFFSET(ITEM_RES!$A$1,MATCH(AV393,ITEM_RES!$J:$J,0)-1,0),0)</f>
        <v>211060001</v>
      </c>
      <c r="AV393" s="10" t="s">
        <v>465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12"/>
        <v>112070010</v>
      </c>
      <c r="B394" s="13">
        <v>11</v>
      </c>
      <c r="C394" s="12">
        <f t="shared" si="113"/>
        <v>2</v>
      </c>
      <c r="D394" s="13">
        <v>7</v>
      </c>
      <c r="E394" s="13">
        <v>0</v>
      </c>
      <c r="F394" s="12">
        <f t="shared" si="114"/>
        <v>10</v>
      </c>
      <c r="H394" s="9">
        <v>2</v>
      </c>
      <c r="I394" s="9">
        <v>10</v>
      </c>
      <c r="K394" s="9" t="s">
        <v>373</v>
      </c>
      <c r="L394" s="9">
        <v>1</v>
      </c>
      <c r="M394" s="9">
        <v>15</v>
      </c>
      <c r="R394" s="9">
        <v>888</v>
      </c>
      <c r="T394" s="86" t="s">
        <v>613</v>
      </c>
      <c r="U394" s="9">
        <f ca="1">IFERROR(OFFSET(ITEM_RES!$A$5,MATCH(BUILDING!T394,ITEM_RES!$J$5:$J$231,0)-1,0),0)</f>
        <v>211060001</v>
      </c>
      <c r="V394" s="11">
        <v>1</v>
      </c>
      <c r="W394" s="86" t="s">
        <v>615</v>
      </c>
      <c r="X394" s="9">
        <f ca="1">IFERROR(OFFSET(ITEM_RES!$A$5,MATCH(BUILDING!W394,ITEM_RES!$J$5:$J$231,0)-1,0),0)</f>
        <v>215060001</v>
      </c>
      <c r="Z394" s="9" t="s">
        <v>593</v>
      </c>
      <c r="AA394" s="9">
        <v>10</v>
      </c>
      <c r="AC394" s="9">
        <v>16000</v>
      </c>
      <c r="AE394" s="56">
        <f t="shared" si="119"/>
        <v>4200</v>
      </c>
      <c r="AF394" s="10">
        <f t="shared" si="117"/>
        <v>7350</v>
      </c>
      <c r="AH394" s="11">
        <f t="shared" si="118"/>
        <v>50</v>
      </c>
      <c r="AI394" s="10">
        <v>50</v>
      </c>
      <c r="AJ394" s="11">
        <f t="shared" si="115"/>
        <v>200</v>
      </c>
      <c r="AK394" s="10">
        <v>200</v>
      </c>
      <c r="AL394" s="11">
        <f t="shared" si="11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472</v>
      </c>
      <c r="AR394" s="11">
        <v>1000</v>
      </c>
      <c r="AU394" s="11">
        <f ca="1">IFERROR(OFFSET(ITEM_RES!$A$1,MATCH(AV394,ITEM_RES!$J:$J,0)-1,0),0)</f>
        <v>211060001</v>
      </c>
      <c r="AV394" s="10" t="s">
        <v>465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12"/>
        <v>112070011</v>
      </c>
      <c r="B395" s="13">
        <v>11</v>
      </c>
      <c r="C395" s="12">
        <f t="shared" si="113"/>
        <v>2</v>
      </c>
      <c r="D395" s="13">
        <v>7</v>
      </c>
      <c r="E395" s="13">
        <v>0</v>
      </c>
      <c r="F395" s="12">
        <f t="shared" si="114"/>
        <v>11</v>
      </c>
      <c r="H395" s="9">
        <v>2</v>
      </c>
      <c r="I395" s="9">
        <v>11</v>
      </c>
      <c r="K395" s="9" t="s">
        <v>373</v>
      </c>
      <c r="L395" s="9">
        <v>1</v>
      </c>
      <c r="M395" s="9">
        <v>15</v>
      </c>
      <c r="R395" s="9">
        <v>888</v>
      </c>
      <c r="T395" s="86" t="s">
        <v>613</v>
      </c>
      <c r="U395" s="9">
        <f ca="1">IFERROR(OFFSET(ITEM_RES!$A$5,MATCH(BUILDING!T395,ITEM_RES!$J$5:$J$231,0)-1,0),0)</f>
        <v>211060001</v>
      </c>
      <c r="V395" s="11">
        <v>1</v>
      </c>
      <c r="W395" s="86" t="s">
        <v>615</v>
      </c>
      <c r="X395" s="9">
        <f ca="1">IFERROR(OFFSET(ITEM_RES!$A$5,MATCH(BUILDING!W395,ITEM_RES!$J$5:$J$231,0)-1,0),0)</f>
        <v>215060001</v>
      </c>
      <c r="Z395" s="9" t="s">
        <v>593</v>
      </c>
      <c r="AA395" s="9">
        <v>11</v>
      </c>
      <c r="AC395" s="9">
        <v>20000</v>
      </c>
      <c r="AE395" s="56">
        <f t="shared" si="119"/>
        <v>5750</v>
      </c>
      <c r="AF395" s="10">
        <f t="shared" si="117"/>
        <v>9950</v>
      </c>
      <c r="AH395" s="11">
        <f t="shared" si="118"/>
        <v>55</v>
      </c>
      <c r="AI395" s="10">
        <v>55</v>
      </c>
      <c r="AJ395" s="11">
        <f t="shared" si="115"/>
        <v>250</v>
      </c>
      <c r="AK395" s="10">
        <v>250</v>
      </c>
      <c r="AL395" s="11">
        <f t="shared" si="115"/>
        <v>250</v>
      </c>
      <c r="AM395" s="10">
        <v>250</v>
      </c>
      <c r="AN395" s="56">
        <f t="shared" si="120"/>
        <v>3</v>
      </c>
      <c r="AP395" s="11">
        <f ca="1">IFERROR(OFFSET(ITEM_RES!$A$1,MATCH(AQ395,ITEM_RES!$J:$J,0)-1,0),0)</f>
        <v>212010001</v>
      </c>
      <c r="AQ395" s="10" t="s">
        <v>472</v>
      </c>
      <c r="AR395" s="11">
        <v>1250</v>
      </c>
      <c r="AU395" s="11">
        <f ca="1">IFERROR(OFFSET(ITEM_RES!$A$1,MATCH(AV395,ITEM_RES!$J:$J,0)-1,0),0)</f>
        <v>211060001</v>
      </c>
      <c r="AV395" s="10" t="s">
        <v>465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511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12"/>
        <v>112070012</v>
      </c>
      <c r="B396" s="13">
        <v>11</v>
      </c>
      <c r="C396" s="12">
        <f t="shared" si="113"/>
        <v>2</v>
      </c>
      <c r="D396" s="13">
        <v>7</v>
      </c>
      <c r="E396" s="13">
        <v>0</v>
      </c>
      <c r="F396" s="12">
        <f t="shared" si="114"/>
        <v>12</v>
      </c>
      <c r="H396" s="9">
        <v>2</v>
      </c>
      <c r="I396" s="9">
        <v>12</v>
      </c>
      <c r="K396" s="9" t="s">
        <v>373</v>
      </c>
      <c r="L396" s="9">
        <v>1</v>
      </c>
      <c r="M396" s="9">
        <v>15</v>
      </c>
      <c r="R396" s="9">
        <v>888</v>
      </c>
      <c r="T396" s="86" t="s">
        <v>613</v>
      </c>
      <c r="U396" s="9">
        <f ca="1">IFERROR(OFFSET(ITEM_RES!$A$5,MATCH(BUILDING!T396,ITEM_RES!$J$5:$J$231,0)-1,0),0)</f>
        <v>211060001</v>
      </c>
      <c r="V396" s="11">
        <v>1</v>
      </c>
      <c r="W396" s="86" t="s">
        <v>615</v>
      </c>
      <c r="X396" s="9">
        <f ca="1">IFERROR(OFFSET(ITEM_RES!$A$5,MATCH(BUILDING!W396,ITEM_RES!$J$5:$J$231,0)-1,0),0)</f>
        <v>215060001</v>
      </c>
      <c r="Z396" s="9" t="s">
        <v>593</v>
      </c>
      <c r="AA396" s="9">
        <v>12</v>
      </c>
      <c r="AC396" s="9">
        <v>24000</v>
      </c>
      <c r="AE396" s="56">
        <f t="shared" si="119"/>
        <v>6300</v>
      </c>
      <c r="AF396" s="10">
        <f t="shared" si="117"/>
        <v>12050</v>
      </c>
      <c r="AH396" s="11">
        <f t="shared" si="118"/>
        <v>60</v>
      </c>
      <c r="AI396" s="10">
        <v>60</v>
      </c>
      <c r="AJ396" s="11">
        <f t="shared" si="115"/>
        <v>300</v>
      </c>
      <c r="AK396" s="10">
        <v>300</v>
      </c>
      <c r="AL396" s="11">
        <f t="shared" si="11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472</v>
      </c>
      <c r="AR396" s="11">
        <v>1500</v>
      </c>
      <c r="AU396" s="11">
        <f ca="1">IFERROR(OFFSET(ITEM_RES!$A$1,MATCH(AV396,ITEM_RES!$J:$J,0)-1,0),0)</f>
        <v>211060001</v>
      </c>
      <c r="AV396" s="10" t="s">
        <v>465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12"/>
        <v>112070013</v>
      </c>
      <c r="B397" s="13">
        <v>11</v>
      </c>
      <c r="C397" s="12">
        <f t="shared" si="113"/>
        <v>2</v>
      </c>
      <c r="D397" s="13">
        <v>7</v>
      </c>
      <c r="E397" s="13">
        <v>0</v>
      </c>
      <c r="F397" s="12">
        <f t="shared" si="114"/>
        <v>13</v>
      </c>
      <c r="H397" s="9">
        <v>2</v>
      </c>
      <c r="I397" s="9">
        <v>13</v>
      </c>
      <c r="K397" s="9" t="s">
        <v>373</v>
      </c>
      <c r="L397" s="9">
        <v>1</v>
      </c>
      <c r="M397" s="9">
        <v>15</v>
      </c>
      <c r="R397" s="9">
        <v>888</v>
      </c>
      <c r="T397" s="86" t="s">
        <v>613</v>
      </c>
      <c r="U397" s="9">
        <f ca="1">IFERROR(OFFSET(ITEM_RES!$A$5,MATCH(BUILDING!T397,ITEM_RES!$J$5:$J$231,0)-1,0),0)</f>
        <v>211060001</v>
      </c>
      <c r="V397" s="11">
        <v>1</v>
      </c>
      <c r="W397" s="86" t="s">
        <v>615</v>
      </c>
      <c r="X397" s="9">
        <f ca="1">IFERROR(OFFSET(ITEM_RES!$A$5,MATCH(BUILDING!W397,ITEM_RES!$J$5:$J$231,0)-1,0),0)</f>
        <v>215060001</v>
      </c>
      <c r="Z397" s="9" t="s">
        <v>593</v>
      </c>
      <c r="AA397" s="9">
        <v>13</v>
      </c>
      <c r="AC397" s="9">
        <v>28000</v>
      </c>
      <c r="AE397" s="56">
        <f t="shared" si="119"/>
        <v>7350</v>
      </c>
      <c r="AF397" s="10">
        <f t="shared" si="117"/>
        <v>13650</v>
      </c>
      <c r="AH397" s="11">
        <f t="shared" si="118"/>
        <v>65</v>
      </c>
      <c r="AI397" s="10">
        <v>65</v>
      </c>
      <c r="AJ397" s="11">
        <f t="shared" si="115"/>
        <v>350</v>
      </c>
      <c r="AK397" s="10">
        <v>350</v>
      </c>
      <c r="AL397" s="11">
        <f t="shared" si="11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472</v>
      </c>
      <c r="AR397" s="11">
        <v>1750</v>
      </c>
      <c r="AU397" s="11">
        <f ca="1">IFERROR(OFFSET(ITEM_RES!$A$1,MATCH(AV397,ITEM_RES!$J:$J,0)-1,0),0)</f>
        <v>211060001</v>
      </c>
      <c r="AV397" s="10" t="s">
        <v>465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12"/>
        <v>112070014</v>
      </c>
      <c r="B398" s="13">
        <v>11</v>
      </c>
      <c r="C398" s="12">
        <f t="shared" si="113"/>
        <v>2</v>
      </c>
      <c r="D398" s="13">
        <v>7</v>
      </c>
      <c r="E398" s="13">
        <v>0</v>
      </c>
      <c r="F398" s="12">
        <f t="shared" si="114"/>
        <v>14</v>
      </c>
      <c r="H398" s="9">
        <v>2</v>
      </c>
      <c r="I398" s="9">
        <v>14</v>
      </c>
      <c r="K398" s="9" t="s">
        <v>373</v>
      </c>
      <c r="L398" s="9">
        <v>1</v>
      </c>
      <c r="M398" s="9">
        <v>15</v>
      </c>
      <c r="R398" s="9">
        <v>888</v>
      </c>
      <c r="T398" s="86" t="s">
        <v>613</v>
      </c>
      <c r="U398" s="9">
        <f ca="1">IFERROR(OFFSET(ITEM_RES!$A$5,MATCH(BUILDING!T398,ITEM_RES!$J$5:$J$231,0)-1,0),0)</f>
        <v>211060001</v>
      </c>
      <c r="V398" s="11">
        <v>1</v>
      </c>
      <c r="W398" s="86" t="s">
        <v>615</v>
      </c>
      <c r="X398" s="9">
        <f ca="1">IFERROR(OFFSET(ITEM_RES!$A$5,MATCH(BUILDING!W398,ITEM_RES!$J$5:$J$231,0)-1,0),0)</f>
        <v>215060001</v>
      </c>
      <c r="Z398" s="9" t="s">
        <v>593</v>
      </c>
      <c r="AA398" s="9">
        <v>14</v>
      </c>
      <c r="AC398" s="9">
        <v>36000</v>
      </c>
      <c r="AE398" s="56">
        <f t="shared" si="119"/>
        <v>9450</v>
      </c>
      <c r="AF398" s="10">
        <f t="shared" si="117"/>
        <v>16800</v>
      </c>
      <c r="AH398" s="11">
        <f t="shared" si="118"/>
        <v>70</v>
      </c>
      <c r="AI398" s="10">
        <v>70</v>
      </c>
      <c r="AJ398" s="11">
        <f t="shared" si="115"/>
        <v>450</v>
      </c>
      <c r="AK398" s="10">
        <v>450</v>
      </c>
      <c r="AL398" s="11">
        <f t="shared" si="11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472</v>
      </c>
      <c r="AR398" s="11">
        <v>2250</v>
      </c>
      <c r="AU398" s="11">
        <f ca="1">IFERROR(OFFSET(ITEM_RES!$A$1,MATCH(AV398,ITEM_RES!$J:$J,0)-1,0),0)</f>
        <v>211070001</v>
      </c>
      <c r="AV398" s="10" t="s">
        <v>480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12"/>
        <v>112070015</v>
      </c>
      <c r="B399" s="13">
        <v>11</v>
      </c>
      <c r="C399" s="12">
        <f t="shared" si="113"/>
        <v>2</v>
      </c>
      <c r="D399" s="13">
        <v>7</v>
      </c>
      <c r="E399" s="13">
        <v>0</v>
      </c>
      <c r="F399" s="12">
        <f t="shared" si="114"/>
        <v>15</v>
      </c>
      <c r="H399" s="9">
        <v>2</v>
      </c>
      <c r="I399" s="9">
        <v>15</v>
      </c>
      <c r="K399" s="9" t="s">
        <v>373</v>
      </c>
      <c r="L399" s="9">
        <v>1</v>
      </c>
      <c r="M399" s="9">
        <v>15</v>
      </c>
      <c r="R399" s="9">
        <v>888</v>
      </c>
      <c r="T399" s="86" t="s">
        <v>613</v>
      </c>
      <c r="U399" s="9">
        <f ca="1">IFERROR(OFFSET(ITEM_RES!$A$5,MATCH(BUILDING!T399,ITEM_RES!$J$5:$J$231,0)-1,0),0)</f>
        <v>211060001</v>
      </c>
      <c r="V399" s="11">
        <v>1</v>
      </c>
      <c r="W399" s="86" t="s">
        <v>615</v>
      </c>
      <c r="X399" s="9">
        <f ca="1">IFERROR(OFFSET(ITEM_RES!$A$5,MATCH(BUILDING!W399,ITEM_RES!$J$5:$J$231,0)-1,0),0)</f>
        <v>215060001</v>
      </c>
      <c r="Z399" s="9" t="s">
        <v>593</v>
      </c>
      <c r="AA399" s="9">
        <v>15</v>
      </c>
      <c r="AC399" s="9">
        <v>44000</v>
      </c>
      <c r="AE399" s="56">
        <f t="shared" si="119"/>
        <v>11550</v>
      </c>
      <c r="AF399" s="10">
        <f t="shared" si="117"/>
        <v>21000</v>
      </c>
      <c r="AH399" s="11">
        <f t="shared" si="118"/>
        <v>75</v>
      </c>
      <c r="AI399" s="10">
        <v>75</v>
      </c>
      <c r="AJ399" s="11">
        <f t="shared" si="115"/>
        <v>550</v>
      </c>
      <c r="AK399" s="10">
        <v>550</v>
      </c>
      <c r="AL399" s="11">
        <f t="shared" si="11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468</v>
      </c>
      <c r="AR399" s="11">
        <v>2750</v>
      </c>
      <c r="AU399" s="11">
        <f ca="1">IFERROR(OFFSET(ITEM_RES!$A$1,MATCH(AV399,ITEM_RES!$J:$J,0)-1,0),0)</f>
        <v>211070001</v>
      </c>
      <c r="AV399" s="10" t="s">
        <v>480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12"/>
        <v>112070016</v>
      </c>
      <c r="B400" s="13">
        <v>11</v>
      </c>
      <c r="C400" s="12">
        <f t="shared" si="113"/>
        <v>2</v>
      </c>
      <c r="D400" s="13">
        <v>7</v>
      </c>
      <c r="E400" s="13">
        <v>0</v>
      </c>
      <c r="F400" s="12">
        <f t="shared" si="114"/>
        <v>16</v>
      </c>
      <c r="H400" s="9">
        <v>2</v>
      </c>
      <c r="I400" s="9">
        <v>16</v>
      </c>
      <c r="K400" s="9" t="s">
        <v>373</v>
      </c>
      <c r="L400" s="9">
        <v>0</v>
      </c>
      <c r="M400" s="9">
        <v>15</v>
      </c>
      <c r="R400" s="9">
        <v>888</v>
      </c>
      <c r="T400" s="86" t="s">
        <v>613</v>
      </c>
      <c r="U400" s="9">
        <f ca="1">IFERROR(OFFSET(ITEM_RES!$A$5,MATCH(BUILDING!T400,ITEM_RES!$J$5:$J$231,0)-1,0),0)</f>
        <v>211060001</v>
      </c>
      <c r="V400" s="11">
        <v>1</v>
      </c>
      <c r="W400" s="86" t="s">
        <v>615</v>
      </c>
      <c r="X400" s="9">
        <f ca="1">IFERROR(OFFSET(ITEM_RES!$A$5,MATCH(BUILDING!W400,ITEM_RES!$J$5:$J$231,0)-1,0),0)</f>
        <v>215060001</v>
      </c>
      <c r="Z400" s="9" t="s">
        <v>593</v>
      </c>
      <c r="AA400" s="9">
        <v>16</v>
      </c>
      <c r="AC400" s="9">
        <v>56000</v>
      </c>
      <c r="AE400" s="56">
        <f t="shared" si="119"/>
        <v>14700</v>
      </c>
      <c r="AF400" s="10">
        <f t="shared" si="117"/>
        <v>26250</v>
      </c>
      <c r="AH400" s="11">
        <f t="shared" si="118"/>
        <v>80</v>
      </c>
      <c r="AI400" s="10">
        <v>80</v>
      </c>
      <c r="AJ400" s="11">
        <f t="shared" si="115"/>
        <v>700</v>
      </c>
      <c r="AK400" s="10">
        <v>700</v>
      </c>
      <c r="AL400" s="11">
        <f t="shared" si="11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468</v>
      </c>
      <c r="AR400" s="11">
        <v>3500</v>
      </c>
      <c r="AU400" s="11">
        <f ca="1">IFERROR(OFFSET(ITEM_RES!$A$1,MATCH(AV400,ITEM_RES!$J:$J,0)-1,0),0)</f>
        <v>211070001</v>
      </c>
      <c r="AV400" s="10" t="s">
        <v>480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12"/>
        <v>112070017</v>
      </c>
      <c r="B401" s="13">
        <v>11</v>
      </c>
      <c r="C401" s="12">
        <f t="shared" si="113"/>
        <v>2</v>
      </c>
      <c r="D401" s="13">
        <v>7</v>
      </c>
      <c r="E401" s="13">
        <v>0</v>
      </c>
      <c r="F401" s="12">
        <f t="shared" si="114"/>
        <v>17</v>
      </c>
      <c r="H401" s="9">
        <v>2</v>
      </c>
      <c r="I401" s="9">
        <v>17</v>
      </c>
      <c r="K401" s="9" t="s">
        <v>373</v>
      </c>
      <c r="L401" s="9">
        <v>0</v>
      </c>
      <c r="M401" s="9">
        <v>15</v>
      </c>
      <c r="R401" s="9">
        <v>888</v>
      </c>
      <c r="T401" s="86" t="s">
        <v>613</v>
      </c>
      <c r="U401" s="9">
        <f ca="1">IFERROR(OFFSET(ITEM_RES!$A$5,MATCH(BUILDING!T401,ITEM_RES!$J$5:$J$231,0)-1,0),0)</f>
        <v>211060001</v>
      </c>
      <c r="V401" s="11">
        <v>1</v>
      </c>
      <c r="W401" s="86" t="s">
        <v>615</v>
      </c>
      <c r="X401" s="9">
        <f ca="1">IFERROR(OFFSET(ITEM_RES!$A$5,MATCH(BUILDING!W401,ITEM_RES!$J$5:$J$231,0)-1,0),0)</f>
        <v>215060001</v>
      </c>
      <c r="Z401" s="9" t="s">
        <v>593</v>
      </c>
      <c r="AA401" s="9">
        <v>17</v>
      </c>
      <c r="AC401" s="9">
        <v>68000</v>
      </c>
      <c r="AE401" s="56">
        <f t="shared" si="119"/>
        <v>17850</v>
      </c>
      <c r="AF401" s="10">
        <f t="shared" si="117"/>
        <v>32550</v>
      </c>
      <c r="AH401" s="11">
        <f t="shared" si="118"/>
        <v>85</v>
      </c>
      <c r="AI401" s="10">
        <v>85</v>
      </c>
      <c r="AJ401" s="11">
        <f t="shared" si="115"/>
        <v>850</v>
      </c>
      <c r="AK401" s="10">
        <v>850</v>
      </c>
      <c r="AL401" s="11">
        <f t="shared" si="11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468</v>
      </c>
      <c r="AR401" s="11">
        <v>4250</v>
      </c>
      <c r="AU401" s="11">
        <f ca="1">IFERROR(OFFSET(ITEM_RES!$A$1,MATCH(AV401,ITEM_RES!$J:$J,0)-1,0),0)</f>
        <v>211070001</v>
      </c>
      <c r="AV401" s="10" t="s">
        <v>480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12"/>
        <v>112070018</v>
      </c>
      <c r="B402" s="13">
        <v>11</v>
      </c>
      <c r="C402" s="12">
        <f t="shared" si="113"/>
        <v>2</v>
      </c>
      <c r="D402" s="13">
        <v>7</v>
      </c>
      <c r="E402" s="13">
        <v>0</v>
      </c>
      <c r="F402" s="12">
        <f t="shared" si="114"/>
        <v>18</v>
      </c>
      <c r="H402" s="9">
        <v>2</v>
      </c>
      <c r="I402" s="9">
        <v>18</v>
      </c>
      <c r="K402" s="9" t="s">
        <v>373</v>
      </c>
      <c r="L402" s="9">
        <v>0</v>
      </c>
      <c r="M402" s="9">
        <v>15</v>
      </c>
      <c r="R402" s="9">
        <v>888</v>
      </c>
      <c r="T402" s="86" t="s">
        <v>613</v>
      </c>
      <c r="U402" s="9">
        <f ca="1">IFERROR(OFFSET(ITEM_RES!$A$5,MATCH(BUILDING!T402,ITEM_RES!$J$5:$J$231,0)-1,0),0)</f>
        <v>211060001</v>
      </c>
      <c r="V402" s="11">
        <v>1</v>
      </c>
      <c r="W402" s="86" t="s">
        <v>615</v>
      </c>
      <c r="X402" s="9">
        <f ca="1">IFERROR(OFFSET(ITEM_RES!$A$5,MATCH(BUILDING!W402,ITEM_RES!$J$5:$J$231,0)-1,0),0)</f>
        <v>215060001</v>
      </c>
      <c r="Z402" s="9" t="s">
        <v>593</v>
      </c>
      <c r="AA402" s="9">
        <v>18</v>
      </c>
      <c r="AC402" s="9">
        <v>84000</v>
      </c>
      <c r="AE402" s="56">
        <f t="shared" si="119"/>
        <v>22050</v>
      </c>
      <c r="AF402" s="10">
        <f t="shared" si="117"/>
        <v>39900</v>
      </c>
      <c r="AH402" s="11">
        <f t="shared" si="118"/>
        <v>90</v>
      </c>
      <c r="AI402" s="10">
        <v>90</v>
      </c>
      <c r="AJ402" s="11">
        <f t="shared" si="115"/>
        <v>1050</v>
      </c>
      <c r="AK402" s="10">
        <v>1050</v>
      </c>
      <c r="AL402" s="11">
        <f t="shared" si="11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468</v>
      </c>
      <c r="AR402" s="11">
        <v>5250</v>
      </c>
      <c r="AU402" s="11">
        <f ca="1">IFERROR(OFFSET(ITEM_RES!$A$1,MATCH(AV402,ITEM_RES!$J:$J,0)-1,0),0)</f>
        <v>211070001</v>
      </c>
      <c r="AV402" s="10" t="s">
        <v>480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12"/>
        <v>112070019</v>
      </c>
      <c r="B403" s="13">
        <v>11</v>
      </c>
      <c r="C403" s="12">
        <f t="shared" si="113"/>
        <v>2</v>
      </c>
      <c r="D403" s="13">
        <v>7</v>
      </c>
      <c r="E403" s="13">
        <v>0</v>
      </c>
      <c r="F403" s="12">
        <f t="shared" si="114"/>
        <v>19</v>
      </c>
      <c r="H403" s="9">
        <v>2</v>
      </c>
      <c r="I403" s="9">
        <v>19</v>
      </c>
      <c r="K403" s="9" t="s">
        <v>373</v>
      </c>
      <c r="L403" s="9">
        <v>0</v>
      </c>
      <c r="M403" s="9">
        <v>15</v>
      </c>
      <c r="R403" s="9">
        <v>888</v>
      </c>
      <c r="T403" s="86" t="s">
        <v>613</v>
      </c>
      <c r="U403" s="9">
        <f ca="1">IFERROR(OFFSET(ITEM_RES!$A$5,MATCH(BUILDING!T403,ITEM_RES!$J$5:$J$231,0)-1,0),0)</f>
        <v>211060001</v>
      </c>
      <c r="V403" s="11">
        <v>1</v>
      </c>
      <c r="W403" s="86" t="s">
        <v>615</v>
      </c>
      <c r="X403" s="9">
        <f ca="1">IFERROR(OFFSET(ITEM_RES!$A$5,MATCH(BUILDING!W403,ITEM_RES!$J$5:$J$231,0)-1,0),0)</f>
        <v>215060001</v>
      </c>
      <c r="Z403" s="9" t="s">
        <v>593</v>
      </c>
      <c r="AA403" s="9">
        <v>19</v>
      </c>
      <c r="AC403" s="9">
        <v>100000</v>
      </c>
      <c r="AE403" s="56">
        <f t="shared" si="119"/>
        <v>26250</v>
      </c>
      <c r="AF403" s="10">
        <f t="shared" si="117"/>
        <v>48300</v>
      </c>
      <c r="AH403" s="11">
        <f t="shared" si="118"/>
        <v>95</v>
      </c>
      <c r="AI403" s="10">
        <v>95</v>
      </c>
      <c r="AJ403" s="11">
        <f t="shared" si="115"/>
        <v>1250</v>
      </c>
      <c r="AK403" s="10">
        <v>1250</v>
      </c>
      <c r="AL403" s="11">
        <f t="shared" si="11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468</v>
      </c>
      <c r="AR403" s="11">
        <v>6250</v>
      </c>
      <c r="AU403" s="11">
        <f ca="1">IFERROR(OFFSET(ITEM_RES!$A$1,MATCH(AV403,ITEM_RES!$J:$J,0)-1,0),0)</f>
        <v>211070001</v>
      </c>
      <c r="AV403" s="10" t="s">
        <v>480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12"/>
        <v>112070020</v>
      </c>
      <c r="B404" s="13">
        <v>11</v>
      </c>
      <c r="C404" s="12">
        <f t="shared" si="113"/>
        <v>2</v>
      </c>
      <c r="D404" s="13">
        <v>7</v>
      </c>
      <c r="E404" s="13">
        <v>0</v>
      </c>
      <c r="F404" s="12">
        <f t="shared" si="114"/>
        <v>20</v>
      </c>
      <c r="H404" s="9">
        <v>2</v>
      </c>
      <c r="I404" s="9">
        <v>20</v>
      </c>
      <c r="K404" s="9" t="s">
        <v>373</v>
      </c>
      <c r="L404" s="9">
        <v>0</v>
      </c>
      <c r="M404" s="9">
        <v>15</v>
      </c>
      <c r="R404" s="9">
        <v>888</v>
      </c>
      <c r="T404" s="86" t="s">
        <v>613</v>
      </c>
      <c r="U404" s="9">
        <f ca="1">IFERROR(OFFSET(ITEM_RES!$A$5,MATCH(BUILDING!T404,ITEM_RES!$J$5:$J$231,0)-1,0),0)</f>
        <v>211060001</v>
      </c>
      <c r="V404" s="11">
        <v>1</v>
      </c>
      <c r="W404" s="86" t="s">
        <v>615</v>
      </c>
      <c r="X404" s="9">
        <f ca="1">IFERROR(OFFSET(ITEM_RES!$A$5,MATCH(BUILDING!W404,ITEM_RES!$J$5:$J$231,0)-1,0),0)</f>
        <v>215060001</v>
      </c>
      <c r="Z404" s="9" t="s">
        <v>593</v>
      </c>
      <c r="AA404" s="9">
        <v>20</v>
      </c>
      <c r="AC404" s="9">
        <v>120000</v>
      </c>
      <c r="AE404" s="56">
        <f t="shared" si="119"/>
        <v>31500</v>
      </c>
      <c r="AF404" s="10">
        <f t="shared" si="117"/>
        <v>57750</v>
      </c>
      <c r="AH404" s="11">
        <f t="shared" si="118"/>
        <v>100</v>
      </c>
      <c r="AI404" s="10">
        <v>100</v>
      </c>
      <c r="AJ404" s="11">
        <f t="shared" si="115"/>
        <v>1500</v>
      </c>
      <c r="AK404" s="10">
        <v>1500</v>
      </c>
      <c r="AL404" s="11">
        <f t="shared" si="11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468</v>
      </c>
      <c r="AR404" s="11">
        <v>7500</v>
      </c>
      <c r="AU404" s="11">
        <f ca="1">IFERROR(OFFSET(ITEM_RES!$A$1,MATCH(AV404,ITEM_RES!$J:$J,0)-1,0),0)</f>
        <v>211070001</v>
      </c>
      <c r="AV404" s="10" t="s">
        <v>480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12"/>
        <v>114010001</v>
      </c>
      <c r="B405" s="20">
        <v>11</v>
      </c>
      <c r="C405" s="19">
        <f t="shared" si="113"/>
        <v>4</v>
      </c>
      <c r="D405" s="20">
        <v>1</v>
      </c>
      <c r="E405" s="20">
        <v>0</v>
      </c>
      <c r="F405" s="19">
        <f t="shared" si="114"/>
        <v>1</v>
      </c>
      <c r="G405" s="80"/>
      <c r="H405" s="16">
        <v>4</v>
      </c>
      <c r="I405" s="16">
        <v>1</v>
      </c>
      <c r="J405" s="80"/>
      <c r="K405" s="16" t="s">
        <v>474</v>
      </c>
      <c r="L405" s="16">
        <v>1</v>
      </c>
      <c r="M405" s="16">
        <v>15</v>
      </c>
      <c r="N405" s="16"/>
      <c r="O405" s="17"/>
      <c r="P405" s="17"/>
      <c r="Q405" s="18"/>
      <c r="R405" s="16">
        <v>999</v>
      </c>
      <c r="S405" s="80"/>
      <c r="T405" s="88"/>
      <c r="U405" s="16">
        <f ca="1">IFERROR(OFFSET(ITEM_RES!$A$5,MATCH(BUILDING!T405,ITEM_RES!$J$5:$J$231,0)-1,0),0)</f>
        <v>0</v>
      </c>
      <c r="V405" s="18"/>
      <c r="W405" s="88"/>
      <c r="X405" s="16">
        <f ca="1">IFERROR(OFFSET(ITEM_RES!$A$5,MATCH(BUILDING!W405,ITEM_RES!$J$5:$J$231,0)-1,0),0)</f>
        <v>0</v>
      </c>
      <c r="Y405" s="80"/>
      <c r="Z405" s="16" t="s">
        <v>594</v>
      </c>
      <c r="AA405" s="16">
        <v>1</v>
      </c>
      <c r="AB405" s="80"/>
      <c r="AC405" s="16">
        <v>0</v>
      </c>
      <c r="AD405" s="80"/>
      <c r="AE405" s="57">
        <f t="shared" si="119"/>
        <v>580</v>
      </c>
      <c r="AF405" s="17">
        <f>AE405</f>
        <v>580</v>
      </c>
      <c r="AG405" s="80"/>
      <c r="AH405" s="18">
        <f t="shared" si="118"/>
        <v>5</v>
      </c>
      <c r="AI405" s="17">
        <v>5</v>
      </c>
      <c r="AJ405" s="18">
        <f t="shared" si="115"/>
        <v>5</v>
      </c>
      <c r="AK405" s="17">
        <v>5</v>
      </c>
      <c r="AL405" s="18">
        <f t="shared" si="115"/>
        <v>5</v>
      </c>
      <c r="AM405" s="17">
        <v>5</v>
      </c>
      <c r="AN405" s="57">
        <f t="shared" si="120"/>
        <v>2</v>
      </c>
      <c r="AO405" s="18"/>
      <c r="AP405" s="18">
        <f ca="1">IFERROR(OFFSET(ITEM_RES!$A$1,MATCH(AQ405,ITEM_RES!$J:$J,0)-1,0),0)</f>
        <v>212010001</v>
      </c>
      <c r="AQ405" s="17" t="s">
        <v>472</v>
      </c>
      <c r="AR405" s="18">
        <v>25</v>
      </c>
      <c r="AS405" s="17"/>
      <c r="AT405" s="18"/>
      <c r="AU405" s="18">
        <f ca="1">IFERROR(OFFSET(ITEM_RES!$A$1,MATCH(AV405,ITEM_RES!$J:$J,0)-1,0),0)</f>
        <v>0</v>
      </c>
      <c r="AV405" s="17"/>
      <c r="AW405" s="18"/>
      <c r="AX405" s="17"/>
      <c r="AY405" s="18"/>
      <c r="AZ405" s="18">
        <f ca="1">IFERROR(OFFSET(ITEM_RES!$A$1,MATCH(BA405,ITEM_RES!$J:$J,0)-1,0),0)</f>
        <v>213010001</v>
      </c>
      <c r="BA405" s="17" t="s">
        <v>496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12"/>
        <v>114010002</v>
      </c>
      <c r="B406" s="13">
        <v>11</v>
      </c>
      <c r="C406" s="12">
        <f t="shared" si="113"/>
        <v>4</v>
      </c>
      <c r="D406" s="13">
        <v>1</v>
      </c>
      <c r="E406" s="13">
        <v>0</v>
      </c>
      <c r="F406" s="12">
        <f t="shared" si="114"/>
        <v>2</v>
      </c>
      <c r="H406" s="9">
        <v>4</v>
      </c>
      <c r="I406" s="9">
        <v>2</v>
      </c>
      <c r="K406" s="9" t="s">
        <v>474</v>
      </c>
      <c r="L406" s="9">
        <v>1</v>
      </c>
      <c r="M406" s="9">
        <v>15</v>
      </c>
      <c r="R406" s="9">
        <v>999</v>
      </c>
      <c r="U406" s="9">
        <f ca="1">IFERROR(OFFSET(ITEM_RES!$A$5,MATCH(BUILDING!T406,ITEM_RES!$J$5:$J$231,0)-1,0),0)</f>
        <v>0</v>
      </c>
      <c r="X406" s="9">
        <f ca="1">IFERROR(OFFSET(ITEM_RES!$A$5,MATCH(BUILDING!W406,ITEM_RES!$J$5:$J$231,0)-1,0),0)</f>
        <v>0</v>
      </c>
      <c r="Z406" s="9" t="s">
        <v>594</v>
      </c>
      <c r="AA406" s="9">
        <v>2</v>
      </c>
      <c r="AC406" s="9">
        <v>400</v>
      </c>
      <c r="AE406" s="56">
        <f t="shared" si="119"/>
        <v>160</v>
      </c>
      <c r="AF406" s="10">
        <f>AE405+AE406</f>
        <v>740</v>
      </c>
      <c r="AH406" s="11">
        <f t="shared" si="118"/>
        <v>10</v>
      </c>
      <c r="AI406" s="10">
        <v>10</v>
      </c>
      <c r="AJ406" s="11">
        <f t="shared" si="115"/>
        <v>10</v>
      </c>
      <c r="AK406" s="10">
        <v>10</v>
      </c>
      <c r="AL406" s="11">
        <f t="shared" si="115"/>
        <v>10</v>
      </c>
      <c r="AM406" s="10">
        <v>10</v>
      </c>
      <c r="AN406" s="56">
        <f t="shared" si="120"/>
        <v>1</v>
      </c>
      <c r="AP406" s="11">
        <f ca="1">IFERROR(OFFSET(ITEM_RES!$A$1,MATCH(AQ406,ITEM_RES!$J:$J,0)-1,0),0)</f>
        <v>212010001</v>
      </c>
      <c r="AQ406" s="10" t="s">
        <v>472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12"/>
        <v>114010003</v>
      </c>
      <c r="B407" s="13">
        <v>11</v>
      </c>
      <c r="C407" s="12">
        <f t="shared" si="113"/>
        <v>4</v>
      </c>
      <c r="D407" s="13">
        <v>1</v>
      </c>
      <c r="E407" s="13">
        <v>0</v>
      </c>
      <c r="F407" s="12">
        <f t="shared" si="114"/>
        <v>3</v>
      </c>
      <c r="H407" s="9">
        <v>4</v>
      </c>
      <c r="I407" s="9">
        <v>3</v>
      </c>
      <c r="K407" s="9" t="s">
        <v>474</v>
      </c>
      <c r="L407" s="9">
        <v>1</v>
      </c>
      <c r="M407" s="9">
        <v>15</v>
      </c>
      <c r="R407" s="9">
        <v>999</v>
      </c>
      <c r="U407" s="9">
        <f ca="1">IFERROR(OFFSET(ITEM_RES!$A$5,MATCH(BUILDING!T407,ITEM_RES!$J$5:$J$231,0)-1,0),0)</f>
        <v>0</v>
      </c>
      <c r="X407" s="9">
        <f ca="1">IFERROR(OFFSET(ITEM_RES!$A$5,MATCH(BUILDING!W407,ITEM_RES!$J$5:$J$231,0)-1,0),0)</f>
        <v>0</v>
      </c>
      <c r="Z407" s="9" t="s">
        <v>594</v>
      </c>
      <c r="AA407" s="9">
        <v>3</v>
      </c>
      <c r="AC407" s="9">
        <v>1200</v>
      </c>
      <c r="AE407" s="56">
        <f t="shared" si="119"/>
        <v>240</v>
      </c>
      <c r="AF407" s="10">
        <f t="shared" ref="AF407:AF424" si="121">AE406+AE407</f>
        <v>400</v>
      </c>
      <c r="AH407" s="11">
        <f t="shared" si="118"/>
        <v>15</v>
      </c>
      <c r="AI407" s="10">
        <v>15</v>
      </c>
      <c r="AJ407" s="11">
        <f t="shared" si="115"/>
        <v>15</v>
      </c>
      <c r="AK407" s="10">
        <v>15</v>
      </c>
      <c r="AL407" s="11">
        <f t="shared" si="115"/>
        <v>15</v>
      </c>
      <c r="AM407" s="10">
        <v>15</v>
      </c>
      <c r="AN407" s="56">
        <f t="shared" si="120"/>
        <v>1</v>
      </c>
      <c r="AP407" s="11">
        <f ca="1">IFERROR(OFFSET(ITEM_RES!$A$1,MATCH(AQ407,ITEM_RES!$J:$J,0)-1,0),0)</f>
        <v>212010001</v>
      </c>
      <c r="AQ407" s="10" t="s">
        <v>472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12"/>
        <v>114010004</v>
      </c>
      <c r="B408" s="13">
        <v>11</v>
      </c>
      <c r="C408" s="12">
        <f t="shared" si="113"/>
        <v>4</v>
      </c>
      <c r="D408" s="13">
        <v>1</v>
      </c>
      <c r="E408" s="13">
        <v>0</v>
      </c>
      <c r="F408" s="12">
        <f t="shared" si="114"/>
        <v>4</v>
      </c>
      <c r="H408" s="9">
        <v>4</v>
      </c>
      <c r="I408" s="9">
        <v>4</v>
      </c>
      <c r="K408" s="9" t="s">
        <v>474</v>
      </c>
      <c r="L408" s="9">
        <v>1</v>
      </c>
      <c r="M408" s="9">
        <v>15</v>
      </c>
      <c r="R408" s="9">
        <v>999</v>
      </c>
      <c r="U408" s="9">
        <f ca="1">IFERROR(OFFSET(ITEM_RES!$A$5,MATCH(BUILDING!T408,ITEM_RES!$J$5:$J$231,0)-1,0),0)</f>
        <v>0</v>
      </c>
      <c r="X408" s="9">
        <f ca="1">IFERROR(OFFSET(ITEM_RES!$A$5,MATCH(BUILDING!W408,ITEM_RES!$J$5:$J$231,0)-1,0),0)</f>
        <v>0</v>
      </c>
      <c r="Z408" s="9" t="s">
        <v>594</v>
      </c>
      <c r="AA408" s="9">
        <v>4</v>
      </c>
      <c r="AC408" s="9">
        <v>2000</v>
      </c>
      <c r="AE408" s="56">
        <f t="shared" si="119"/>
        <v>400</v>
      </c>
      <c r="AF408" s="10">
        <f t="shared" si="121"/>
        <v>640</v>
      </c>
      <c r="AH408" s="11">
        <f t="shared" si="118"/>
        <v>20</v>
      </c>
      <c r="AI408" s="10">
        <v>20</v>
      </c>
      <c r="AJ408" s="11">
        <f t="shared" si="115"/>
        <v>25</v>
      </c>
      <c r="AK408" s="10">
        <v>25</v>
      </c>
      <c r="AL408" s="11">
        <f t="shared" si="115"/>
        <v>25</v>
      </c>
      <c r="AM408" s="10">
        <v>25</v>
      </c>
      <c r="AN408" s="56">
        <f t="shared" si="120"/>
        <v>1</v>
      </c>
      <c r="AP408" s="11">
        <f ca="1">IFERROR(OFFSET(ITEM_RES!$A$1,MATCH(AQ408,ITEM_RES!$J:$J,0)-1,0),0)</f>
        <v>212010001</v>
      </c>
      <c r="AQ408" s="10" t="s">
        <v>472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22">B409*10000000+C409*1000000+D409*10000+E409*100+F409</f>
        <v>114010005</v>
      </c>
      <c r="B409" s="13">
        <v>11</v>
      </c>
      <c r="C409" s="12">
        <f t="shared" ref="C409:C472" si="123">H409</f>
        <v>4</v>
      </c>
      <c r="D409" s="13">
        <v>1</v>
      </c>
      <c r="E409" s="13">
        <v>0</v>
      </c>
      <c r="F409" s="12">
        <f t="shared" ref="F409:F472" si="124">I409</f>
        <v>5</v>
      </c>
      <c r="H409" s="9">
        <v>4</v>
      </c>
      <c r="I409" s="9">
        <v>5</v>
      </c>
      <c r="K409" s="9" t="s">
        <v>474</v>
      </c>
      <c r="L409" s="9">
        <v>1</v>
      </c>
      <c r="M409" s="9">
        <v>15</v>
      </c>
      <c r="R409" s="9">
        <v>999</v>
      </c>
      <c r="U409" s="9">
        <f ca="1">IFERROR(OFFSET(ITEM_RES!$A$5,MATCH(BUILDING!T409,ITEM_RES!$J$5:$J$231,0)-1,0),0)</f>
        <v>0</v>
      </c>
      <c r="X409" s="9">
        <f ca="1">IFERROR(OFFSET(ITEM_RES!$A$5,MATCH(BUILDING!W409,ITEM_RES!$J$5:$J$231,0)-1,0),0)</f>
        <v>0</v>
      </c>
      <c r="Z409" s="9" t="s">
        <v>594</v>
      </c>
      <c r="AA409" s="9">
        <v>5</v>
      </c>
      <c r="AC409" s="9">
        <v>3200</v>
      </c>
      <c r="AE409" s="56">
        <f t="shared" si="119"/>
        <v>640</v>
      </c>
      <c r="AF409" s="10">
        <f t="shared" si="121"/>
        <v>1040</v>
      </c>
      <c r="AH409" s="11">
        <f t="shared" si="118"/>
        <v>25</v>
      </c>
      <c r="AI409" s="10">
        <v>25</v>
      </c>
      <c r="AJ409" s="11">
        <f t="shared" si="115"/>
        <v>40</v>
      </c>
      <c r="AK409" s="10">
        <v>40</v>
      </c>
      <c r="AL409" s="11">
        <f t="shared" si="115"/>
        <v>40</v>
      </c>
      <c r="AM409" s="10">
        <v>40</v>
      </c>
      <c r="AN409" s="56">
        <f t="shared" si="120"/>
        <v>1</v>
      </c>
      <c r="AP409" s="11">
        <f ca="1">IFERROR(OFFSET(ITEM_RES!$A$1,MATCH(AQ409,ITEM_RES!$J:$J,0)-1,0),0)</f>
        <v>212010001</v>
      </c>
      <c r="AQ409" s="10" t="s">
        <v>472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114010006</v>
      </c>
      <c r="B410" s="13">
        <v>11</v>
      </c>
      <c r="C410" s="12">
        <f t="shared" si="123"/>
        <v>4</v>
      </c>
      <c r="D410" s="13">
        <v>1</v>
      </c>
      <c r="E410" s="13">
        <v>0</v>
      </c>
      <c r="F410" s="12">
        <f t="shared" si="124"/>
        <v>6</v>
      </c>
      <c r="H410" s="9">
        <v>4</v>
      </c>
      <c r="I410" s="9">
        <v>6</v>
      </c>
      <c r="K410" s="9" t="s">
        <v>474</v>
      </c>
      <c r="L410" s="9">
        <v>1</v>
      </c>
      <c r="M410" s="9">
        <v>15</v>
      </c>
      <c r="R410" s="9">
        <v>999</v>
      </c>
      <c r="U410" s="9">
        <f ca="1">IFERROR(OFFSET(ITEM_RES!$A$5,MATCH(BUILDING!T410,ITEM_RES!$J$5:$J$231,0)-1,0),0)</f>
        <v>0</v>
      </c>
      <c r="X410" s="9">
        <f ca="1">IFERROR(OFFSET(ITEM_RES!$A$5,MATCH(BUILDING!W410,ITEM_RES!$J$5:$J$231,0)-1,0),0)</f>
        <v>0</v>
      </c>
      <c r="Z410" s="9" t="s">
        <v>594</v>
      </c>
      <c r="AA410" s="9">
        <v>6</v>
      </c>
      <c r="AC410" s="9">
        <v>4000</v>
      </c>
      <c r="AE410" s="56">
        <f t="shared" si="119"/>
        <v>800</v>
      </c>
      <c r="AF410" s="10">
        <f t="shared" si="121"/>
        <v>1440</v>
      </c>
      <c r="AH410" s="11">
        <f t="shared" si="118"/>
        <v>30</v>
      </c>
      <c r="AI410" s="10">
        <v>30</v>
      </c>
      <c r="AJ410" s="11">
        <f t="shared" ref="AJ410:AL473" si="125">ROUND(AK410,0)</f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si="120"/>
        <v>1</v>
      </c>
      <c r="AP410" s="11">
        <f ca="1">IFERROR(OFFSET(ITEM_RES!$A$1,MATCH(AQ410,ITEM_RES!$J:$J,0)-1,0),0)</f>
        <v>212010001</v>
      </c>
      <c r="AQ410" s="10" t="s">
        <v>472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114010007</v>
      </c>
      <c r="B411" s="13">
        <v>11</v>
      </c>
      <c r="C411" s="12">
        <f t="shared" si="123"/>
        <v>4</v>
      </c>
      <c r="D411" s="13">
        <v>1</v>
      </c>
      <c r="E411" s="13">
        <v>0</v>
      </c>
      <c r="F411" s="12">
        <f t="shared" si="124"/>
        <v>7</v>
      </c>
      <c r="H411" s="9">
        <v>4</v>
      </c>
      <c r="I411" s="9">
        <v>7</v>
      </c>
      <c r="K411" s="9" t="s">
        <v>474</v>
      </c>
      <c r="L411" s="9">
        <v>1</v>
      </c>
      <c r="M411" s="9">
        <v>15</v>
      </c>
      <c r="R411" s="9">
        <v>999</v>
      </c>
      <c r="U411" s="9">
        <f ca="1">IFERROR(OFFSET(ITEM_RES!$A$5,MATCH(BUILDING!T411,ITEM_RES!$J$5:$J$231,0)-1,0),0)</f>
        <v>0</v>
      </c>
      <c r="X411" s="9">
        <f ca="1">IFERROR(OFFSET(ITEM_RES!$A$5,MATCH(BUILDING!W411,ITEM_RES!$J$5:$J$231,0)-1,0),0)</f>
        <v>0</v>
      </c>
      <c r="Z411" s="9" t="s">
        <v>594</v>
      </c>
      <c r="AA411" s="9">
        <v>7</v>
      </c>
      <c r="AC411" s="9">
        <v>8000</v>
      </c>
      <c r="AE411" s="56">
        <f t="shared" si="119"/>
        <v>1600</v>
      </c>
      <c r="AF411" s="10">
        <f t="shared" si="121"/>
        <v>2400</v>
      </c>
      <c r="AH411" s="11">
        <f t="shared" si="11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20"/>
        <v>1</v>
      </c>
      <c r="AP411" s="11">
        <f ca="1">IFERROR(OFFSET(ITEM_RES!$A$1,MATCH(AQ411,ITEM_RES!$J:$J,0)-1,0),0)</f>
        <v>212010001</v>
      </c>
      <c r="AQ411" s="10" t="s">
        <v>472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114010008</v>
      </c>
      <c r="B412" s="13">
        <v>11</v>
      </c>
      <c r="C412" s="12">
        <f t="shared" si="123"/>
        <v>4</v>
      </c>
      <c r="D412" s="13">
        <v>1</v>
      </c>
      <c r="E412" s="13">
        <v>0</v>
      </c>
      <c r="F412" s="12">
        <f t="shared" si="124"/>
        <v>8</v>
      </c>
      <c r="H412" s="9">
        <v>4</v>
      </c>
      <c r="I412" s="9">
        <v>8</v>
      </c>
      <c r="K412" s="9" t="s">
        <v>386</v>
      </c>
      <c r="L412" s="9">
        <v>1</v>
      </c>
      <c r="M412" s="9">
        <v>15</v>
      </c>
      <c r="R412" s="9">
        <v>999</v>
      </c>
      <c r="U412" s="9">
        <f ca="1">IFERROR(OFFSET(ITEM_RES!$A$5,MATCH(BUILDING!T412,ITEM_RES!$J$5:$J$231,0)-1,0),0)</f>
        <v>0</v>
      </c>
      <c r="X412" s="9">
        <f ca="1">IFERROR(OFFSET(ITEM_RES!$A$5,MATCH(BUILDING!W412,ITEM_RES!$J$5:$J$231,0)-1,0),0)</f>
        <v>0</v>
      </c>
      <c r="Z412" s="9" t="s">
        <v>594</v>
      </c>
      <c r="AA412" s="9">
        <v>8</v>
      </c>
      <c r="AC412" s="9">
        <v>8000</v>
      </c>
      <c r="AE412" s="56">
        <f t="shared" si="119"/>
        <v>1600</v>
      </c>
      <c r="AF412" s="10">
        <f t="shared" si="121"/>
        <v>3200</v>
      </c>
      <c r="AH412" s="11">
        <f t="shared" si="11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20"/>
        <v>1</v>
      </c>
      <c r="AP412" s="11">
        <f ca="1">IFERROR(OFFSET(ITEM_RES!$A$1,MATCH(AQ412,ITEM_RES!$J:$J,0)-1,0),0)</f>
        <v>215070001</v>
      </c>
      <c r="AQ412" s="10" t="s">
        <v>468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114010009</v>
      </c>
      <c r="B413" s="13">
        <v>11</v>
      </c>
      <c r="C413" s="12">
        <f t="shared" si="123"/>
        <v>4</v>
      </c>
      <c r="D413" s="13">
        <v>1</v>
      </c>
      <c r="E413" s="13">
        <v>0</v>
      </c>
      <c r="F413" s="12">
        <f t="shared" si="124"/>
        <v>9</v>
      </c>
      <c r="H413" s="9">
        <v>4</v>
      </c>
      <c r="I413" s="9">
        <v>9</v>
      </c>
      <c r="K413" s="9" t="s">
        <v>386</v>
      </c>
      <c r="L413" s="9">
        <v>1</v>
      </c>
      <c r="M413" s="9">
        <v>15</v>
      </c>
      <c r="R413" s="9">
        <v>999</v>
      </c>
      <c r="U413" s="9">
        <f ca="1">IFERROR(OFFSET(ITEM_RES!$A$5,MATCH(BUILDING!T413,ITEM_RES!$J$5:$J$231,0)-1,0),0)</f>
        <v>0</v>
      </c>
      <c r="X413" s="9">
        <f ca="1">IFERROR(OFFSET(ITEM_RES!$A$5,MATCH(BUILDING!W413,ITEM_RES!$J$5:$J$231,0)-1,0),0)</f>
        <v>0</v>
      </c>
      <c r="Z413" s="9" t="s">
        <v>594</v>
      </c>
      <c r="AA413" s="9">
        <v>9</v>
      </c>
      <c r="AC413" s="9">
        <v>12000</v>
      </c>
      <c r="AE413" s="56">
        <f t="shared" si="119"/>
        <v>2400</v>
      </c>
      <c r="AF413" s="10">
        <f t="shared" si="121"/>
        <v>4000</v>
      </c>
      <c r="AH413" s="11">
        <f t="shared" si="11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20"/>
        <v>1</v>
      </c>
      <c r="AP413" s="11">
        <f ca="1">IFERROR(OFFSET(ITEM_RES!$A$1,MATCH(AQ413,ITEM_RES!$J:$J,0)-1,0),0)</f>
        <v>215070001</v>
      </c>
      <c r="AQ413" s="10" t="s">
        <v>468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114010010</v>
      </c>
      <c r="B414" s="13">
        <v>11</v>
      </c>
      <c r="C414" s="12">
        <f t="shared" si="123"/>
        <v>4</v>
      </c>
      <c r="D414" s="13">
        <v>1</v>
      </c>
      <c r="E414" s="13">
        <v>0</v>
      </c>
      <c r="F414" s="12">
        <f t="shared" si="124"/>
        <v>10</v>
      </c>
      <c r="H414" s="9">
        <v>4</v>
      </c>
      <c r="I414" s="9">
        <v>10</v>
      </c>
      <c r="K414" s="9" t="s">
        <v>386</v>
      </c>
      <c r="L414" s="9">
        <v>1</v>
      </c>
      <c r="M414" s="9">
        <v>15</v>
      </c>
      <c r="R414" s="9">
        <v>999</v>
      </c>
      <c r="U414" s="9">
        <f ca="1">IFERROR(OFFSET(ITEM_RES!$A$5,MATCH(BUILDING!T414,ITEM_RES!$J$5:$J$231,0)-1,0),0)</f>
        <v>0</v>
      </c>
      <c r="X414" s="9">
        <f ca="1">IFERROR(OFFSET(ITEM_RES!$A$5,MATCH(BUILDING!W414,ITEM_RES!$J$5:$J$231,0)-1,0),0)</f>
        <v>0</v>
      </c>
      <c r="Z414" s="9" t="s">
        <v>594</v>
      </c>
      <c r="AA414" s="9">
        <v>10</v>
      </c>
      <c r="AC414" s="9">
        <v>16000</v>
      </c>
      <c r="AE414" s="56">
        <f t="shared" si="119"/>
        <v>3200</v>
      </c>
      <c r="AF414" s="10">
        <f t="shared" si="121"/>
        <v>5600</v>
      </c>
      <c r="AH414" s="11">
        <f t="shared" si="11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20"/>
        <v>1</v>
      </c>
      <c r="AP414" s="11">
        <f ca="1">IFERROR(OFFSET(ITEM_RES!$A$1,MATCH(AQ414,ITEM_RES!$J:$J,0)-1,0),0)</f>
        <v>215070001</v>
      </c>
      <c r="AQ414" s="10" t="s">
        <v>468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114010011</v>
      </c>
      <c r="B415" s="13">
        <v>11</v>
      </c>
      <c r="C415" s="12">
        <f t="shared" si="123"/>
        <v>4</v>
      </c>
      <c r="D415" s="13">
        <v>1</v>
      </c>
      <c r="E415" s="13">
        <v>0</v>
      </c>
      <c r="F415" s="12">
        <f t="shared" si="124"/>
        <v>11</v>
      </c>
      <c r="H415" s="9">
        <v>4</v>
      </c>
      <c r="I415" s="9">
        <v>11</v>
      </c>
      <c r="K415" s="9" t="s">
        <v>386</v>
      </c>
      <c r="L415" s="9">
        <v>1</v>
      </c>
      <c r="M415" s="9">
        <v>15</v>
      </c>
      <c r="R415" s="9">
        <v>999</v>
      </c>
      <c r="U415" s="9">
        <f ca="1">IFERROR(OFFSET(ITEM_RES!$A$5,MATCH(BUILDING!T415,ITEM_RES!$J$5:$J$231,0)-1,0),0)</f>
        <v>0</v>
      </c>
      <c r="X415" s="9">
        <f ca="1">IFERROR(OFFSET(ITEM_RES!$A$5,MATCH(BUILDING!W415,ITEM_RES!$J$5:$J$231,0)-1,0),0)</f>
        <v>0</v>
      </c>
      <c r="Z415" s="9" t="s">
        <v>594</v>
      </c>
      <c r="AA415" s="9">
        <v>11</v>
      </c>
      <c r="AC415" s="9">
        <v>20000</v>
      </c>
      <c r="AE415" s="56">
        <f t="shared" si="119"/>
        <v>4000</v>
      </c>
      <c r="AF415" s="10">
        <f t="shared" si="121"/>
        <v>7200</v>
      </c>
      <c r="AH415" s="11">
        <f t="shared" si="11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20"/>
        <v>1</v>
      </c>
      <c r="AP415" s="11">
        <f ca="1">IFERROR(OFFSET(ITEM_RES!$A$1,MATCH(AQ415,ITEM_RES!$J:$J,0)-1,0),0)</f>
        <v>215070001</v>
      </c>
      <c r="AQ415" s="10" t="s">
        <v>468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114010012</v>
      </c>
      <c r="B416" s="13">
        <v>11</v>
      </c>
      <c r="C416" s="12">
        <f t="shared" si="123"/>
        <v>4</v>
      </c>
      <c r="D416" s="13">
        <v>1</v>
      </c>
      <c r="E416" s="13">
        <v>0</v>
      </c>
      <c r="F416" s="12">
        <f t="shared" si="124"/>
        <v>12</v>
      </c>
      <c r="H416" s="9">
        <v>4</v>
      </c>
      <c r="I416" s="9">
        <v>12</v>
      </c>
      <c r="K416" s="9" t="s">
        <v>386</v>
      </c>
      <c r="L416" s="9">
        <v>1</v>
      </c>
      <c r="M416" s="9">
        <v>15</v>
      </c>
      <c r="R416" s="9">
        <v>999</v>
      </c>
      <c r="U416" s="9">
        <f ca="1">IFERROR(OFFSET(ITEM_RES!$A$5,MATCH(BUILDING!T416,ITEM_RES!$J$5:$J$231,0)-1,0),0)</f>
        <v>0</v>
      </c>
      <c r="X416" s="9">
        <f ca="1">IFERROR(OFFSET(ITEM_RES!$A$5,MATCH(BUILDING!W416,ITEM_RES!$J$5:$J$231,0)-1,0),0)</f>
        <v>0</v>
      </c>
      <c r="Z416" s="9" t="s">
        <v>594</v>
      </c>
      <c r="AA416" s="9">
        <v>12</v>
      </c>
      <c r="AC416" s="9">
        <v>24000</v>
      </c>
      <c r="AE416" s="56">
        <f t="shared" si="119"/>
        <v>4800</v>
      </c>
      <c r="AF416" s="10">
        <f t="shared" si="121"/>
        <v>8800</v>
      </c>
      <c r="AH416" s="11">
        <f t="shared" si="11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20"/>
        <v>1</v>
      </c>
      <c r="AP416" s="11">
        <f ca="1">IFERROR(OFFSET(ITEM_RES!$A$1,MATCH(AQ416,ITEM_RES!$J:$J,0)-1,0),0)</f>
        <v>215070001</v>
      </c>
      <c r="AQ416" s="10" t="s">
        <v>468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114010013</v>
      </c>
      <c r="B417" s="13">
        <v>11</v>
      </c>
      <c r="C417" s="12">
        <f t="shared" si="123"/>
        <v>4</v>
      </c>
      <c r="D417" s="13">
        <v>1</v>
      </c>
      <c r="E417" s="13">
        <v>0</v>
      </c>
      <c r="F417" s="12">
        <f t="shared" si="124"/>
        <v>13</v>
      </c>
      <c r="H417" s="9">
        <v>4</v>
      </c>
      <c r="I417" s="9">
        <v>13</v>
      </c>
      <c r="K417" s="9" t="s">
        <v>386</v>
      </c>
      <c r="L417" s="9">
        <v>1</v>
      </c>
      <c r="M417" s="9">
        <v>15</v>
      </c>
      <c r="R417" s="9">
        <v>999</v>
      </c>
      <c r="U417" s="9">
        <f ca="1">IFERROR(OFFSET(ITEM_RES!$A$5,MATCH(BUILDING!T417,ITEM_RES!$J$5:$J$231,0)-1,0),0)</f>
        <v>0</v>
      </c>
      <c r="X417" s="9">
        <f ca="1">IFERROR(OFFSET(ITEM_RES!$A$5,MATCH(BUILDING!W417,ITEM_RES!$J$5:$J$231,0)-1,0),0)</f>
        <v>0</v>
      </c>
      <c r="Z417" s="9" t="s">
        <v>594</v>
      </c>
      <c r="AA417" s="9">
        <v>13</v>
      </c>
      <c r="AC417" s="9">
        <v>28000</v>
      </c>
      <c r="AE417" s="56">
        <f t="shared" si="119"/>
        <v>6100</v>
      </c>
      <c r="AF417" s="10">
        <f t="shared" si="121"/>
        <v>10900</v>
      </c>
      <c r="AH417" s="11">
        <f t="shared" si="11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20"/>
        <v>2</v>
      </c>
      <c r="AP417" s="11">
        <f ca="1">IFERROR(OFFSET(ITEM_RES!$A$1,MATCH(AQ417,ITEM_RES!$J:$J,0)-1,0),0)</f>
        <v>215070001</v>
      </c>
      <c r="AQ417" s="10" t="s">
        <v>468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514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114010014</v>
      </c>
      <c r="B418" s="13">
        <v>11</v>
      </c>
      <c r="C418" s="12">
        <f t="shared" si="123"/>
        <v>4</v>
      </c>
      <c r="D418" s="13">
        <v>1</v>
      </c>
      <c r="E418" s="13">
        <v>0</v>
      </c>
      <c r="F418" s="12">
        <f t="shared" si="124"/>
        <v>14</v>
      </c>
      <c r="H418" s="9">
        <v>4</v>
      </c>
      <c r="I418" s="9">
        <v>14</v>
      </c>
      <c r="K418" s="9" t="s">
        <v>386</v>
      </c>
      <c r="L418" s="9">
        <v>1</v>
      </c>
      <c r="M418" s="9">
        <v>15</v>
      </c>
      <c r="R418" s="9">
        <v>999</v>
      </c>
      <c r="U418" s="9">
        <f ca="1">IFERROR(OFFSET(ITEM_RES!$A$5,MATCH(BUILDING!T418,ITEM_RES!$J$5:$J$231,0)-1,0),0)</f>
        <v>0</v>
      </c>
      <c r="X418" s="9">
        <f ca="1">IFERROR(OFFSET(ITEM_RES!$A$5,MATCH(BUILDING!W418,ITEM_RES!$J$5:$J$231,0)-1,0),0)</f>
        <v>0</v>
      </c>
      <c r="Z418" s="9" t="s">
        <v>594</v>
      </c>
      <c r="AA418" s="9">
        <v>14</v>
      </c>
      <c r="AC418" s="9">
        <v>36000</v>
      </c>
      <c r="AE418" s="56">
        <f t="shared" si="119"/>
        <v>7200</v>
      </c>
      <c r="AF418" s="10">
        <f t="shared" si="121"/>
        <v>13300</v>
      </c>
      <c r="AH418" s="11">
        <f t="shared" si="11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20"/>
        <v>1</v>
      </c>
      <c r="AP418" s="11">
        <f ca="1">IFERROR(OFFSET(ITEM_RES!$A$1,MATCH(AQ418,ITEM_RES!$J:$J,0)-1,0),0)</f>
        <v>215070001</v>
      </c>
      <c r="AQ418" s="10" t="s">
        <v>468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114010015</v>
      </c>
      <c r="B419" s="13">
        <v>11</v>
      </c>
      <c r="C419" s="12">
        <f t="shared" si="123"/>
        <v>4</v>
      </c>
      <c r="D419" s="13">
        <v>1</v>
      </c>
      <c r="E419" s="13">
        <v>0</v>
      </c>
      <c r="F419" s="12">
        <f t="shared" si="124"/>
        <v>15</v>
      </c>
      <c r="H419" s="9">
        <v>4</v>
      </c>
      <c r="I419" s="9">
        <v>15</v>
      </c>
      <c r="K419" s="9" t="s">
        <v>386</v>
      </c>
      <c r="L419" s="9">
        <v>1</v>
      </c>
      <c r="M419" s="9">
        <v>15</v>
      </c>
      <c r="R419" s="9">
        <v>999</v>
      </c>
      <c r="U419" s="9">
        <f ca="1">IFERROR(OFFSET(ITEM_RES!$A$5,MATCH(BUILDING!T419,ITEM_RES!$J$5:$J$231,0)-1,0),0)</f>
        <v>0</v>
      </c>
      <c r="X419" s="9">
        <f ca="1">IFERROR(OFFSET(ITEM_RES!$A$5,MATCH(BUILDING!W419,ITEM_RES!$J$5:$J$231,0)-1,0),0)</f>
        <v>0</v>
      </c>
      <c r="Z419" s="9" t="s">
        <v>594</v>
      </c>
      <c r="AA419" s="9">
        <v>15</v>
      </c>
      <c r="AC419" s="9">
        <v>44000</v>
      </c>
      <c r="AE419" s="56">
        <f t="shared" si="119"/>
        <v>8800</v>
      </c>
      <c r="AF419" s="10">
        <f t="shared" si="121"/>
        <v>16000</v>
      </c>
      <c r="AH419" s="11">
        <f t="shared" si="11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20"/>
        <v>1</v>
      </c>
      <c r="AP419" s="11">
        <f ca="1">IFERROR(OFFSET(ITEM_RES!$A$1,MATCH(AQ419,ITEM_RES!$J:$J,0)-1,0),0)</f>
        <v>215070001</v>
      </c>
      <c r="AQ419" s="10" t="s">
        <v>468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114010016</v>
      </c>
      <c r="B420" s="13">
        <v>11</v>
      </c>
      <c r="C420" s="12">
        <f t="shared" si="123"/>
        <v>4</v>
      </c>
      <c r="D420" s="13">
        <v>1</v>
      </c>
      <c r="E420" s="13">
        <v>0</v>
      </c>
      <c r="F420" s="12">
        <f t="shared" si="124"/>
        <v>16</v>
      </c>
      <c r="H420" s="9">
        <v>4</v>
      </c>
      <c r="I420" s="9">
        <v>16</v>
      </c>
      <c r="K420" s="9" t="s">
        <v>386</v>
      </c>
      <c r="L420" s="9">
        <v>0</v>
      </c>
      <c r="M420" s="9">
        <v>15</v>
      </c>
      <c r="R420" s="9">
        <v>999</v>
      </c>
      <c r="U420" s="9">
        <f ca="1">IFERROR(OFFSET(ITEM_RES!$A$5,MATCH(BUILDING!T420,ITEM_RES!$J$5:$J$231,0)-1,0),0)</f>
        <v>0</v>
      </c>
      <c r="X420" s="9">
        <f ca="1">IFERROR(OFFSET(ITEM_RES!$A$5,MATCH(BUILDING!W420,ITEM_RES!$J$5:$J$231,0)-1,0),0)</f>
        <v>0</v>
      </c>
      <c r="Z420" s="9" t="s">
        <v>594</v>
      </c>
      <c r="AA420" s="9">
        <v>16</v>
      </c>
      <c r="AC420" s="9">
        <v>56000</v>
      </c>
      <c r="AE420" s="56">
        <f t="shared" si="119"/>
        <v>11200</v>
      </c>
      <c r="AF420" s="10">
        <f t="shared" si="121"/>
        <v>20000</v>
      </c>
      <c r="AH420" s="11">
        <f t="shared" si="11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20"/>
        <v>1</v>
      </c>
      <c r="AP420" s="11">
        <f ca="1">IFERROR(OFFSET(ITEM_RES!$A$1,MATCH(AQ420,ITEM_RES!$J:$J,0)-1,0),0)</f>
        <v>215070001</v>
      </c>
      <c r="AQ420" s="10" t="s">
        <v>468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114010017</v>
      </c>
      <c r="B421" s="13">
        <v>11</v>
      </c>
      <c r="C421" s="12">
        <f t="shared" si="123"/>
        <v>4</v>
      </c>
      <c r="D421" s="13">
        <v>1</v>
      </c>
      <c r="E421" s="13">
        <v>0</v>
      </c>
      <c r="F421" s="12">
        <f t="shared" si="124"/>
        <v>17</v>
      </c>
      <c r="H421" s="9">
        <v>4</v>
      </c>
      <c r="I421" s="9">
        <v>17</v>
      </c>
      <c r="K421" s="9" t="s">
        <v>386</v>
      </c>
      <c r="L421" s="9">
        <v>0</v>
      </c>
      <c r="M421" s="9">
        <v>15</v>
      </c>
      <c r="R421" s="9">
        <v>999</v>
      </c>
      <c r="U421" s="9">
        <f ca="1">IFERROR(OFFSET(ITEM_RES!$A$5,MATCH(BUILDING!T421,ITEM_RES!$J$5:$J$231,0)-1,0),0)</f>
        <v>0</v>
      </c>
      <c r="X421" s="9">
        <f ca="1">IFERROR(OFFSET(ITEM_RES!$A$5,MATCH(BUILDING!W421,ITEM_RES!$J$5:$J$231,0)-1,0),0)</f>
        <v>0</v>
      </c>
      <c r="Z421" s="9" t="s">
        <v>594</v>
      </c>
      <c r="AA421" s="9">
        <v>17</v>
      </c>
      <c r="AC421" s="9">
        <v>68000</v>
      </c>
      <c r="AE421" s="56">
        <f t="shared" si="119"/>
        <v>13600</v>
      </c>
      <c r="AF421" s="10">
        <f t="shared" si="121"/>
        <v>24800</v>
      </c>
      <c r="AH421" s="11">
        <f t="shared" si="11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20"/>
        <v>1</v>
      </c>
      <c r="AP421" s="11">
        <f ca="1">IFERROR(OFFSET(ITEM_RES!$A$1,MATCH(AQ421,ITEM_RES!$J:$J,0)-1,0),0)</f>
        <v>215070001</v>
      </c>
      <c r="AQ421" s="10" t="s">
        <v>468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114010018</v>
      </c>
      <c r="B422" s="13">
        <v>11</v>
      </c>
      <c r="C422" s="12">
        <f t="shared" si="123"/>
        <v>4</v>
      </c>
      <c r="D422" s="13">
        <v>1</v>
      </c>
      <c r="E422" s="13">
        <v>0</v>
      </c>
      <c r="F422" s="12">
        <f t="shared" si="124"/>
        <v>18</v>
      </c>
      <c r="H422" s="9">
        <v>4</v>
      </c>
      <c r="I422" s="9">
        <v>18</v>
      </c>
      <c r="K422" s="9" t="s">
        <v>386</v>
      </c>
      <c r="L422" s="9">
        <v>0</v>
      </c>
      <c r="M422" s="9">
        <v>15</v>
      </c>
      <c r="R422" s="9">
        <v>999</v>
      </c>
      <c r="U422" s="9">
        <f ca="1">IFERROR(OFFSET(ITEM_RES!$A$5,MATCH(BUILDING!T422,ITEM_RES!$J$5:$J$231,0)-1,0),0)</f>
        <v>0</v>
      </c>
      <c r="X422" s="9">
        <f ca="1">IFERROR(OFFSET(ITEM_RES!$A$5,MATCH(BUILDING!W422,ITEM_RES!$J$5:$J$231,0)-1,0),0)</f>
        <v>0</v>
      </c>
      <c r="Z422" s="9" t="s">
        <v>594</v>
      </c>
      <c r="AA422" s="9">
        <v>18</v>
      </c>
      <c r="AC422" s="9">
        <v>84000</v>
      </c>
      <c r="AE422" s="56">
        <f t="shared" si="119"/>
        <v>16800</v>
      </c>
      <c r="AF422" s="10">
        <f t="shared" si="121"/>
        <v>30400</v>
      </c>
      <c r="AH422" s="11">
        <f t="shared" si="11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20"/>
        <v>1</v>
      </c>
      <c r="AP422" s="11">
        <f ca="1">IFERROR(OFFSET(ITEM_RES!$A$1,MATCH(AQ422,ITEM_RES!$J:$J,0)-1,0),0)</f>
        <v>215070001</v>
      </c>
      <c r="AQ422" s="10" t="s">
        <v>468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114010019</v>
      </c>
      <c r="B423" s="13">
        <v>11</v>
      </c>
      <c r="C423" s="12">
        <f t="shared" si="123"/>
        <v>4</v>
      </c>
      <c r="D423" s="13">
        <v>1</v>
      </c>
      <c r="E423" s="13">
        <v>0</v>
      </c>
      <c r="F423" s="12">
        <f t="shared" si="124"/>
        <v>19</v>
      </c>
      <c r="H423" s="9">
        <v>4</v>
      </c>
      <c r="I423" s="9">
        <v>19</v>
      </c>
      <c r="K423" s="9" t="s">
        <v>386</v>
      </c>
      <c r="L423" s="9">
        <v>0</v>
      </c>
      <c r="M423" s="9">
        <v>15</v>
      </c>
      <c r="R423" s="9">
        <v>999</v>
      </c>
      <c r="U423" s="9">
        <f ca="1">IFERROR(OFFSET(ITEM_RES!$A$5,MATCH(BUILDING!T423,ITEM_RES!$J$5:$J$231,0)-1,0),0)</f>
        <v>0</v>
      </c>
      <c r="X423" s="9">
        <f ca="1">IFERROR(OFFSET(ITEM_RES!$A$5,MATCH(BUILDING!W423,ITEM_RES!$J$5:$J$231,0)-1,0),0)</f>
        <v>0</v>
      </c>
      <c r="Z423" s="9" t="s">
        <v>594</v>
      </c>
      <c r="AA423" s="9">
        <v>19</v>
      </c>
      <c r="AC423" s="9">
        <v>100000</v>
      </c>
      <c r="AE423" s="56">
        <f t="shared" si="119"/>
        <v>20000</v>
      </c>
      <c r="AF423" s="10">
        <f t="shared" si="121"/>
        <v>36800</v>
      </c>
      <c r="AH423" s="11">
        <f t="shared" si="11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20"/>
        <v>1</v>
      </c>
      <c r="AP423" s="11">
        <f ca="1">IFERROR(OFFSET(ITEM_RES!$A$1,MATCH(AQ423,ITEM_RES!$J:$J,0)-1,0),0)</f>
        <v>215070001</v>
      </c>
      <c r="AQ423" s="10" t="s">
        <v>468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114010020</v>
      </c>
      <c r="B424" s="13">
        <v>11</v>
      </c>
      <c r="C424" s="12">
        <f t="shared" si="123"/>
        <v>4</v>
      </c>
      <c r="D424" s="13">
        <v>1</v>
      </c>
      <c r="E424" s="13">
        <v>0</v>
      </c>
      <c r="F424" s="12">
        <f t="shared" si="124"/>
        <v>20</v>
      </c>
      <c r="H424" s="9">
        <v>4</v>
      </c>
      <c r="I424" s="9">
        <v>20</v>
      </c>
      <c r="K424" s="9" t="s">
        <v>386</v>
      </c>
      <c r="L424" s="9">
        <v>0</v>
      </c>
      <c r="M424" s="9">
        <v>15</v>
      </c>
      <c r="R424" s="9">
        <v>999</v>
      </c>
      <c r="U424" s="9">
        <f ca="1">IFERROR(OFFSET(ITEM_RES!$A$5,MATCH(BUILDING!T424,ITEM_RES!$J$5:$J$231,0)-1,0),0)</f>
        <v>0</v>
      </c>
      <c r="X424" s="9">
        <f ca="1">IFERROR(OFFSET(ITEM_RES!$A$5,MATCH(BUILDING!W424,ITEM_RES!$J$5:$J$231,0)-1,0),0)</f>
        <v>0</v>
      </c>
      <c r="Z424" s="9" t="s">
        <v>594</v>
      </c>
      <c r="AA424" s="9">
        <v>20</v>
      </c>
      <c r="AC424" s="9">
        <v>120000</v>
      </c>
      <c r="AE424" s="56">
        <f t="shared" si="119"/>
        <v>24000</v>
      </c>
      <c r="AF424" s="10">
        <f t="shared" si="121"/>
        <v>44000</v>
      </c>
      <c r="AH424" s="11">
        <f t="shared" si="11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20"/>
        <v>1</v>
      </c>
      <c r="AP424" s="11">
        <f ca="1">IFERROR(OFFSET(ITEM_RES!$A$1,MATCH(AQ424,ITEM_RES!$J:$J,0)-1,0),0)</f>
        <v>215070001</v>
      </c>
      <c r="AQ424" s="10" t="s">
        <v>468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114020001</v>
      </c>
      <c r="B425" s="20">
        <v>11</v>
      </c>
      <c r="C425" s="19">
        <f t="shared" si="123"/>
        <v>4</v>
      </c>
      <c r="D425" s="20">
        <v>2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392</v>
      </c>
      <c r="L425" s="16">
        <v>1</v>
      </c>
      <c r="M425" s="16">
        <v>15</v>
      </c>
      <c r="N425" s="16"/>
      <c r="O425" s="17"/>
      <c r="P425" s="17"/>
      <c r="Q425" s="18"/>
      <c r="R425" s="16">
        <v>1111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595</v>
      </c>
      <c r="AA425" s="16">
        <v>1</v>
      </c>
      <c r="AB425" s="80"/>
      <c r="AC425" s="16">
        <v>0</v>
      </c>
      <c r="AD425" s="80"/>
      <c r="AE425" s="57">
        <f t="shared" si="119"/>
        <v>580</v>
      </c>
      <c r="AF425" s="17">
        <f>AE425</f>
        <v>580</v>
      </c>
      <c r="AG425" s="80"/>
      <c r="AH425" s="18">
        <f t="shared" si="11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20"/>
        <v>2</v>
      </c>
      <c r="AO425" s="18"/>
      <c r="AP425" s="18">
        <f ca="1">IFERROR(OFFSET(ITEM_RES!$A$1,MATCH(AQ425,ITEM_RES!$J:$J,0)-1,0),0)</f>
        <v>212040001</v>
      </c>
      <c r="AQ425" s="17" t="s">
        <v>473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496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114020002</v>
      </c>
      <c r="B426" s="13">
        <v>11</v>
      </c>
      <c r="C426" s="12">
        <f t="shared" si="123"/>
        <v>4</v>
      </c>
      <c r="D426" s="13">
        <v>2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392</v>
      </c>
      <c r="L426" s="9">
        <v>1</v>
      </c>
      <c r="M426" s="9">
        <v>15</v>
      </c>
      <c r="R426" s="9">
        <v>1111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595</v>
      </c>
      <c r="AA426" s="9">
        <v>2</v>
      </c>
      <c r="AC426" s="9">
        <v>400</v>
      </c>
      <c r="AE426" s="56">
        <f t="shared" si="119"/>
        <v>160</v>
      </c>
      <c r="AF426" s="10">
        <f>AE425+AE426</f>
        <v>740</v>
      </c>
      <c r="AH426" s="11">
        <f t="shared" si="11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20"/>
        <v>1</v>
      </c>
      <c r="AP426" s="11">
        <f ca="1">IFERROR(OFFSET(ITEM_RES!$A$1,MATCH(AQ426,ITEM_RES!$J:$J,0)-1,0),0)</f>
        <v>212040001</v>
      </c>
      <c r="AQ426" s="10" t="s">
        <v>473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114020003</v>
      </c>
      <c r="B427" s="13">
        <v>11</v>
      </c>
      <c r="C427" s="12">
        <f t="shared" si="123"/>
        <v>4</v>
      </c>
      <c r="D427" s="13">
        <v>2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392</v>
      </c>
      <c r="L427" s="9">
        <v>1</v>
      </c>
      <c r="M427" s="9">
        <v>15</v>
      </c>
      <c r="R427" s="9">
        <v>1111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595</v>
      </c>
      <c r="AA427" s="9">
        <v>3</v>
      </c>
      <c r="AC427" s="9">
        <v>1200</v>
      </c>
      <c r="AE427" s="56">
        <f t="shared" si="119"/>
        <v>240</v>
      </c>
      <c r="AF427" s="10">
        <f t="shared" ref="AF427:AF444" si="126">AE426+AE427</f>
        <v>400</v>
      </c>
      <c r="AH427" s="11">
        <f t="shared" si="11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20"/>
        <v>1</v>
      </c>
      <c r="AP427" s="11">
        <f ca="1">IFERROR(OFFSET(ITEM_RES!$A$1,MATCH(AQ427,ITEM_RES!$J:$J,0)-1,0),0)</f>
        <v>212040001</v>
      </c>
      <c r="AQ427" s="10" t="s">
        <v>473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114020004</v>
      </c>
      <c r="B428" s="13">
        <v>11</v>
      </c>
      <c r="C428" s="12">
        <f t="shared" si="123"/>
        <v>4</v>
      </c>
      <c r="D428" s="13">
        <v>2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392</v>
      </c>
      <c r="L428" s="9">
        <v>1</v>
      </c>
      <c r="M428" s="9">
        <v>15</v>
      </c>
      <c r="R428" s="9">
        <v>1111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595</v>
      </c>
      <c r="AA428" s="9">
        <v>4</v>
      </c>
      <c r="AC428" s="9">
        <v>2000</v>
      </c>
      <c r="AE428" s="56">
        <f t="shared" si="119"/>
        <v>400</v>
      </c>
      <c r="AF428" s="10">
        <f t="shared" si="126"/>
        <v>640</v>
      </c>
      <c r="AH428" s="11">
        <f t="shared" si="11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20"/>
        <v>1</v>
      </c>
      <c r="AP428" s="11">
        <f ca="1">IFERROR(OFFSET(ITEM_RES!$A$1,MATCH(AQ428,ITEM_RES!$J:$J,0)-1,0),0)</f>
        <v>212040001</v>
      </c>
      <c r="AQ428" s="10" t="s">
        <v>473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22"/>
        <v>114020005</v>
      </c>
      <c r="B429" s="13">
        <v>11</v>
      </c>
      <c r="C429" s="12">
        <f t="shared" si="123"/>
        <v>4</v>
      </c>
      <c r="D429" s="13">
        <v>2</v>
      </c>
      <c r="E429" s="13">
        <v>0</v>
      </c>
      <c r="F429" s="12">
        <f t="shared" si="124"/>
        <v>5</v>
      </c>
      <c r="H429" s="9">
        <v>4</v>
      </c>
      <c r="I429" s="9">
        <v>5</v>
      </c>
      <c r="K429" s="9" t="s">
        <v>392</v>
      </c>
      <c r="L429" s="9">
        <v>1</v>
      </c>
      <c r="M429" s="9">
        <v>15</v>
      </c>
      <c r="R429" s="9">
        <v>1111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595</v>
      </c>
      <c r="AA429" s="9">
        <v>5</v>
      </c>
      <c r="AC429" s="9">
        <v>3200</v>
      </c>
      <c r="AE429" s="56">
        <f t="shared" si="119"/>
        <v>640</v>
      </c>
      <c r="AF429" s="10">
        <f t="shared" si="126"/>
        <v>1040</v>
      </c>
      <c r="AH429" s="11">
        <f t="shared" si="11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20"/>
        <v>1</v>
      </c>
      <c r="AP429" s="11">
        <f ca="1">IFERROR(OFFSET(ITEM_RES!$A$1,MATCH(AQ429,ITEM_RES!$J:$J,0)-1,0),0)</f>
        <v>212040001</v>
      </c>
      <c r="AQ429" s="10" t="s">
        <v>473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22"/>
        <v>114020006</v>
      </c>
      <c r="B430" s="13">
        <v>11</v>
      </c>
      <c r="C430" s="12">
        <f t="shared" si="123"/>
        <v>4</v>
      </c>
      <c r="D430" s="13">
        <v>2</v>
      </c>
      <c r="E430" s="13">
        <v>0</v>
      </c>
      <c r="F430" s="12">
        <f t="shared" si="124"/>
        <v>6</v>
      </c>
      <c r="H430" s="9">
        <v>4</v>
      </c>
      <c r="I430" s="9">
        <v>6</v>
      </c>
      <c r="K430" s="9" t="s">
        <v>392</v>
      </c>
      <c r="L430" s="9">
        <v>1</v>
      </c>
      <c r="M430" s="9">
        <v>15</v>
      </c>
      <c r="R430" s="9">
        <v>1111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595</v>
      </c>
      <c r="AA430" s="9">
        <v>6</v>
      </c>
      <c r="AC430" s="9">
        <v>4000</v>
      </c>
      <c r="AE430" s="56">
        <f t="shared" si="119"/>
        <v>800</v>
      </c>
      <c r="AF430" s="10">
        <f t="shared" si="126"/>
        <v>1440</v>
      </c>
      <c r="AH430" s="11">
        <f t="shared" si="118"/>
        <v>30</v>
      </c>
      <c r="AI430" s="10">
        <v>30</v>
      </c>
      <c r="AJ430" s="11">
        <f t="shared" si="125"/>
        <v>50</v>
      </c>
      <c r="AK430" s="10">
        <v>50</v>
      </c>
      <c r="AL430" s="11">
        <f t="shared" si="125"/>
        <v>50</v>
      </c>
      <c r="AM430" s="10">
        <v>50</v>
      </c>
      <c r="AN430" s="56">
        <f t="shared" si="120"/>
        <v>1</v>
      </c>
      <c r="AP430" s="11">
        <f ca="1">IFERROR(OFFSET(ITEM_RES!$A$1,MATCH(AQ430,ITEM_RES!$J:$J,0)-1,0),0)</f>
        <v>212040001</v>
      </c>
      <c r="AQ430" s="10" t="s">
        <v>486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22"/>
        <v>114020007</v>
      </c>
      <c r="B431" s="13">
        <v>11</v>
      </c>
      <c r="C431" s="12">
        <f t="shared" si="123"/>
        <v>4</v>
      </c>
      <c r="D431" s="13">
        <v>2</v>
      </c>
      <c r="E431" s="13">
        <v>0</v>
      </c>
      <c r="F431" s="12">
        <f t="shared" si="124"/>
        <v>7</v>
      </c>
      <c r="H431" s="9">
        <v>4</v>
      </c>
      <c r="I431" s="9">
        <v>7</v>
      </c>
      <c r="K431" s="9" t="s">
        <v>392</v>
      </c>
      <c r="L431" s="9">
        <v>1</v>
      </c>
      <c r="M431" s="9">
        <v>15</v>
      </c>
      <c r="R431" s="9">
        <v>1111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595</v>
      </c>
      <c r="AA431" s="9">
        <v>7</v>
      </c>
      <c r="AC431" s="9">
        <v>8000</v>
      </c>
      <c r="AE431" s="56">
        <f t="shared" si="119"/>
        <v>1600</v>
      </c>
      <c r="AF431" s="10">
        <f t="shared" si="126"/>
        <v>2400</v>
      </c>
      <c r="AH431" s="11">
        <f t="shared" si="118"/>
        <v>35</v>
      </c>
      <c r="AI431" s="10">
        <v>35</v>
      </c>
      <c r="AJ431" s="11">
        <f t="shared" si="125"/>
        <v>100</v>
      </c>
      <c r="AK431" s="10">
        <v>100</v>
      </c>
      <c r="AL431" s="11">
        <f t="shared" si="125"/>
        <v>100</v>
      </c>
      <c r="AM431" s="10">
        <v>100</v>
      </c>
      <c r="AN431" s="56">
        <f t="shared" si="120"/>
        <v>1</v>
      </c>
      <c r="AP431" s="11">
        <f ca="1">IFERROR(OFFSET(ITEM_RES!$A$1,MATCH(AQ431,ITEM_RES!$J:$J,0)-1,0),0)</f>
        <v>212040001</v>
      </c>
      <c r="AQ431" s="10" t="s">
        <v>473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22"/>
        <v>114020008</v>
      </c>
      <c r="B432" s="13">
        <v>11</v>
      </c>
      <c r="C432" s="12">
        <f t="shared" si="123"/>
        <v>4</v>
      </c>
      <c r="D432" s="13">
        <v>2</v>
      </c>
      <c r="E432" s="13">
        <v>0</v>
      </c>
      <c r="F432" s="12">
        <f t="shared" si="124"/>
        <v>8</v>
      </c>
      <c r="H432" s="9">
        <v>4</v>
      </c>
      <c r="I432" s="9">
        <v>8</v>
      </c>
      <c r="K432" s="9" t="s">
        <v>392</v>
      </c>
      <c r="L432" s="9">
        <v>1</v>
      </c>
      <c r="M432" s="9">
        <v>15</v>
      </c>
      <c r="R432" s="9">
        <v>1111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595</v>
      </c>
      <c r="AA432" s="9">
        <v>8</v>
      </c>
      <c r="AC432" s="9">
        <v>8000</v>
      </c>
      <c r="AE432" s="56">
        <f t="shared" si="119"/>
        <v>1600</v>
      </c>
      <c r="AF432" s="10">
        <f t="shared" si="126"/>
        <v>3200</v>
      </c>
      <c r="AH432" s="11">
        <f t="shared" si="118"/>
        <v>40</v>
      </c>
      <c r="AI432" s="10">
        <v>40</v>
      </c>
      <c r="AJ432" s="11">
        <f t="shared" si="125"/>
        <v>100</v>
      </c>
      <c r="AK432" s="10">
        <v>100</v>
      </c>
      <c r="AL432" s="11">
        <f t="shared" si="125"/>
        <v>100</v>
      </c>
      <c r="AM432" s="10">
        <v>100</v>
      </c>
      <c r="AN432" s="56">
        <f t="shared" si="120"/>
        <v>1</v>
      </c>
      <c r="AP432" s="11">
        <f ca="1">IFERROR(OFFSET(ITEM_RES!$A$1,MATCH(AQ432,ITEM_RES!$J:$J,0)-1,0),0)</f>
        <v>212040001</v>
      </c>
      <c r="AQ432" s="10" t="s">
        <v>473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22"/>
        <v>114020009</v>
      </c>
      <c r="B433" s="13">
        <v>11</v>
      </c>
      <c r="C433" s="12">
        <f t="shared" si="123"/>
        <v>4</v>
      </c>
      <c r="D433" s="13">
        <v>2</v>
      </c>
      <c r="E433" s="13">
        <v>0</v>
      </c>
      <c r="F433" s="12">
        <f t="shared" si="124"/>
        <v>9</v>
      </c>
      <c r="H433" s="9">
        <v>4</v>
      </c>
      <c r="I433" s="9">
        <v>9</v>
      </c>
      <c r="K433" s="9" t="s">
        <v>392</v>
      </c>
      <c r="L433" s="9">
        <v>1</v>
      </c>
      <c r="M433" s="9">
        <v>15</v>
      </c>
      <c r="N433" s="56"/>
      <c r="R433" s="9">
        <v>1111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595</v>
      </c>
      <c r="AA433" s="9">
        <v>9</v>
      </c>
      <c r="AC433" s="9">
        <v>12000</v>
      </c>
      <c r="AE433" s="56">
        <f t="shared" si="119"/>
        <v>2400</v>
      </c>
      <c r="AF433" s="10">
        <f t="shared" si="126"/>
        <v>4000</v>
      </c>
      <c r="AH433" s="11">
        <f t="shared" si="118"/>
        <v>45</v>
      </c>
      <c r="AI433" s="10">
        <v>45</v>
      </c>
      <c r="AJ433" s="11">
        <f t="shared" si="125"/>
        <v>150</v>
      </c>
      <c r="AK433" s="10">
        <v>150</v>
      </c>
      <c r="AL433" s="11">
        <f t="shared" si="125"/>
        <v>150</v>
      </c>
      <c r="AM433" s="10">
        <v>150</v>
      </c>
      <c r="AN433" s="56">
        <f t="shared" si="120"/>
        <v>1</v>
      </c>
      <c r="AP433" s="11">
        <f ca="1">IFERROR(OFFSET(ITEM_RES!$A$1,MATCH(AQ433,ITEM_RES!$J:$J,0)-1,0),0)</f>
        <v>215050001</v>
      </c>
      <c r="AQ433" s="10" t="s">
        <v>487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22"/>
        <v>114020010</v>
      </c>
      <c r="B434" s="13">
        <v>11</v>
      </c>
      <c r="C434" s="12">
        <f t="shared" si="123"/>
        <v>4</v>
      </c>
      <c r="D434" s="13">
        <v>2</v>
      </c>
      <c r="E434" s="13">
        <v>0</v>
      </c>
      <c r="F434" s="12">
        <f t="shared" si="124"/>
        <v>10</v>
      </c>
      <c r="H434" s="9">
        <v>4</v>
      </c>
      <c r="I434" s="9">
        <v>10</v>
      </c>
      <c r="K434" s="9" t="s">
        <v>392</v>
      </c>
      <c r="L434" s="9">
        <v>1</v>
      </c>
      <c r="M434" s="9">
        <v>15</v>
      </c>
      <c r="N434" s="63"/>
      <c r="R434" s="9">
        <v>1111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595</v>
      </c>
      <c r="AA434" s="9">
        <v>10</v>
      </c>
      <c r="AC434" s="9">
        <v>16000</v>
      </c>
      <c r="AE434" s="56">
        <f t="shared" si="119"/>
        <v>3200</v>
      </c>
      <c r="AF434" s="10">
        <f t="shared" si="126"/>
        <v>5600</v>
      </c>
      <c r="AH434" s="11">
        <f t="shared" si="118"/>
        <v>50</v>
      </c>
      <c r="AI434" s="10">
        <v>50</v>
      </c>
      <c r="AJ434" s="11">
        <f t="shared" si="125"/>
        <v>200</v>
      </c>
      <c r="AK434" s="10">
        <v>200</v>
      </c>
      <c r="AL434" s="11">
        <f t="shared" si="125"/>
        <v>200</v>
      </c>
      <c r="AM434" s="10">
        <v>200</v>
      </c>
      <c r="AN434" s="56">
        <f t="shared" si="120"/>
        <v>1</v>
      </c>
      <c r="AP434" s="11">
        <f ca="1">IFERROR(OFFSET(ITEM_RES!$A$1,MATCH(AQ434,ITEM_RES!$J:$J,0)-1,0),0)</f>
        <v>215050001</v>
      </c>
      <c r="AQ434" s="10" t="s">
        <v>487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22"/>
        <v>114020011</v>
      </c>
      <c r="B435" s="13">
        <v>11</v>
      </c>
      <c r="C435" s="12">
        <f t="shared" si="123"/>
        <v>4</v>
      </c>
      <c r="D435" s="13">
        <v>2</v>
      </c>
      <c r="E435" s="13">
        <v>0</v>
      </c>
      <c r="F435" s="12">
        <f t="shared" si="124"/>
        <v>11</v>
      </c>
      <c r="H435" s="9">
        <v>4</v>
      </c>
      <c r="I435" s="9">
        <v>11</v>
      </c>
      <c r="K435" s="9" t="s">
        <v>392</v>
      </c>
      <c r="L435" s="9">
        <v>1</v>
      </c>
      <c r="M435" s="9">
        <v>15</v>
      </c>
      <c r="N435" s="63"/>
      <c r="R435" s="9">
        <v>1111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595</v>
      </c>
      <c r="AA435" s="9">
        <v>11</v>
      </c>
      <c r="AC435" s="9">
        <v>20000</v>
      </c>
      <c r="AE435" s="56">
        <f t="shared" si="119"/>
        <v>4000</v>
      </c>
      <c r="AF435" s="10">
        <f t="shared" si="126"/>
        <v>7200</v>
      </c>
      <c r="AH435" s="11">
        <f t="shared" si="118"/>
        <v>55</v>
      </c>
      <c r="AI435" s="10">
        <v>55</v>
      </c>
      <c r="AJ435" s="11">
        <f t="shared" si="125"/>
        <v>250</v>
      </c>
      <c r="AK435" s="10">
        <v>250</v>
      </c>
      <c r="AL435" s="11">
        <f t="shared" si="125"/>
        <v>250</v>
      </c>
      <c r="AM435" s="10">
        <v>250</v>
      </c>
      <c r="AN435" s="56">
        <f t="shared" si="120"/>
        <v>1</v>
      </c>
      <c r="AP435" s="11">
        <f ca="1">IFERROR(OFFSET(ITEM_RES!$A$1,MATCH(AQ435,ITEM_RES!$J:$J,0)-1,0),0)</f>
        <v>215050001</v>
      </c>
      <c r="AQ435" s="10" t="s">
        <v>487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22"/>
        <v>114020012</v>
      </c>
      <c r="B436" s="13">
        <v>11</v>
      </c>
      <c r="C436" s="12">
        <f t="shared" si="123"/>
        <v>4</v>
      </c>
      <c r="D436" s="13">
        <v>2</v>
      </c>
      <c r="E436" s="13">
        <v>0</v>
      </c>
      <c r="F436" s="12">
        <f t="shared" si="124"/>
        <v>12</v>
      </c>
      <c r="H436" s="9">
        <v>4</v>
      </c>
      <c r="I436" s="9">
        <v>12</v>
      </c>
      <c r="K436" s="9" t="s">
        <v>392</v>
      </c>
      <c r="L436" s="9">
        <v>1</v>
      </c>
      <c r="M436" s="9">
        <v>15</v>
      </c>
      <c r="R436" s="9">
        <v>1111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595</v>
      </c>
      <c r="AA436" s="9">
        <v>12</v>
      </c>
      <c r="AC436" s="9">
        <v>24000</v>
      </c>
      <c r="AE436" s="56">
        <f t="shared" si="119"/>
        <v>5300</v>
      </c>
      <c r="AF436" s="10">
        <f t="shared" si="126"/>
        <v>9300</v>
      </c>
      <c r="AH436" s="11">
        <f t="shared" si="118"/>
        <v>60</v>
      </c>
      <c r="AI436" s="10">
        <v>60</v>
      </c>
      <c r="AJ436" s="11">
        <f t="shared" si="125"/>
        <v>300</v>
      </c>
      <c r="AK436" s="10">
        <v>300</v>
      </c>
      <c r="AL436" s="11">
        <f t="shared" si="125"/>
        <v>300</v>
      </c>
      <c r="AM436" s="10">
        <v>300</v>
      </c>
      <c r="AN436" s="56">
        <f t="shared" si="120"/>
        <v>2</v>
      </c>
      <c r="AP436" s="11">
        <f ca="1">IFERROR(OFFSET(ITEM_RES!$A$1,MATCH(AQ436,ITEM_RES!$J:$J,0)-1,0),0)</f>
        <v>215050001</v>
      </c>
      <c r="AQ436" s="10" t="s">
        <v>487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515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22"/>
        <v>114020013</v>
      </c>
      <c r="B437" s="13">
        <v>11</v>
      </c>
      <c r="C437" s="12">
        <f t="shared" si="123"/>
        <v>4</v>
      </c>
      <c r="D437" s="13">
        <v>2</v>
      </c>
      <c r="E437" s="13">
        <v>0</v>
      </c>
      <c r="F437" s="12">
        <f t="shared" si="124"/>
        <v>13</v>
      </c>
      <c r="H437" s="9">
        <v>4</v>
      </c>
      <c r="I437" s="9">
        <v>13</v>
      </c>
      <c r="K437" s="9" t="s">
        <v>392</v>
      </c>
      <c r="L437" s="9">
        <v>1</v>
      </c>
      <c r="M437" s="9">
        <v>15</v>
      </c>
      <c r="R437" s="9">
        <v>1111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595</v>
      </c>
      <c r="AA437" s="9">
        <v>13</v>
      </c>
      <c r="AC437" s="9">
        <v>28000</v>
      </c>
      <c r="AE437" s="56">
        <f t="shared" si="119"/>
        <v>5600</v>
      </c>
      <c r="AF437" s="10">
        <f t="shared" si="126"/>
        <v>10900</v>
      </c>
      <c r="AH437" s="11">
        <f t="shared" si="118"/>
        <v>65</v>
      </c>
      <c r="AI437" s="10">
        <v>65</v>
      </c>
      <c r="AJ437" s="11">
        <f t="shared" si="125"/>
        <v>350</v>
      </c>
      <c r="AK437" s="10">
        <v>350</v>
      </c>
      <c r="AL437" s="11">
        <f t="shared" si="125"/>
        <v>350</v>
      </c>
      <c r="AM437" s="10">
        <v>350</v>
      </c>
      <c r="AN437" s="56">
        <f t="shared" si="120"/>
        <v>1</v>
      </c>
      <c r="AP437" s="11">
        <f ca="1">IFERROR(OFFSET(ITEM_RES!$A$1,MATCH(AQ437,ITEM_RES!$J:$J,0)-1,0),0)</f>
        <v>215050001</v>
      </c>
      <c r="AQ437" s="10" t="s">
        <v>487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22"/>
        <v>114020014</v>
      </c>
      <c r="B438" s="13">
        <v>11</v>
      </c>
      <c r="C438" s="12">
        <f t="shared" si="123"/>
        <v>4</v>
      </c>
      <c r="D438" s="13">
        <v>2</v>
      </c>
      <c r="E438" s="13">
        <v>0</v>
      </c>
      <c r="F438" s="12">
        <f t="shared" si="124"/>
        <v>14</v>
      </c>
      <c r="H438" s="9">
        <v>4</v>
      </c>
      <c r="I438" s="9">
        <v>14</v>
      </c>
      <c r="K438" s="9" t="s">
        <v>392</v>
      </c>
      <c r="L438" s="9">
        <v>1</v>
      </c>
      <c r="M438" s="9">
        <v>15</v>
      </c>
      <c r="R438" s="9">
        <v>1111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595</v>
      </c>
      <c r="AA438" s="9">
        <v>14</v>
      </c>
      <c r="AC438" s="9">
        <v>36000</v>
      </c>
      <c r="AE438" s="56">
        <f t="shared" si="119"/>
        <v>7200</v>
      </c>
      <c r="AF438" s="10">
        <f t="shared" si="126"/>
        <v>12800</v>
      </c>
      <c r="AH438" s="11">
        <f t="shared" si="118"/>
        <v>70</v>
      </c>
      <c r="AI438" s="10">
        <v>70</v>
      </c>
      <c r="AJ438" s="11">
        <f t="shared" si="125"/>
        <v>450</v>
      </c>
      <c r="AK438" s="10">
        <v>450</v>
      </c>
      <c r="AL438" s="11">
        <f t="shared" si="125"/>
        <v>450</v>
      </c>
      <c r="AM438" s="10">
        <v>450</v>
      </c>
      <c r="AN438" s="56">
        <f t="shared" si="120"/>
        <v>1</v>
      </c>
      <c r="AP438" s="11">
        <f ca="1">IFERROR(OFFSET(ITEM_RES!$A$1,MATCH(AQ438,ITEM_RES!$J:$J,0)-1,0),0)</f>
        <v>215050001</v>
      </c>
      <c r="AQ438" s="10" t="s">
        <v>487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22"/>
        <v>114020015</v>
      </c>
      <c r="B439" s="13">
        <v>11</v>
      </c>
      <c r="C439" s="12">
        <f t="shared" si="123"/>
        <v>4</v>
      </c>
      <c r="D439" s="13">
        <v>2</v>
      </c>
      <c r="E439" s="13">
        <v>0</v>
      </c>
      <c r="F439" s="12">
        <f t="shared" si="124"/>
        <v>15</v>
      </c>
      <c r="H439" s="9">
        <v>4</v>
      </c>
      <c r="I439" s="9">
        <v>15</v>
      </c>
      <c r="K439" s="9" t="s">
        <v>392</v>
      </c>
      <c r="L439" s="9">
        <v>1</v>
      </c>
      <c r="M439" s="9">
        <v>15</v>
      </c>
      <c r="R439" s="9">
        <v>1111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595</v>
      </c>
      <c r="AA439" s="9">
        <v>15</v>
      </c>
      <c r="AC439" s="9">
        <v>44000</v>
      </c>
      <c r="AE439" s="56">
        <f t="shared" si="119"/>
        <v>8800</v>
      </c>
      <c r="AF439" s="10">
        <f t="shared" si="126"/>
        <v>16000</v>
      </c>
      <c r="AH439" s="11">
        <f t="shared" si="118"/>
        <v>75</v>
      </c>
      <c r="AI439" s="10">
        <v>75</v>
      </c>
      <c r="AJ439" s="11">
        <f t="shared" si="125"/>
        <v>550</v>
      </c>
      <c r="AK439" s="10">
        <v>550</v>
      </c>
      <c r="AL439" s="11">
        <f t="shared" si="125"/>
        <v>550</v>
      </c>
      <c r="AM439" s="10">
        <v>550</v>
      </c>
      <c r="AN439" s="56">
        <f t="shared" si="120"/>
        <v>1</v>
      </c>
      <c r="AP439" s="11">
        <f ca="1">IFERROR(OFFSET(ITEM_RES!$A$1,MATCH(AQ439,ITEM_RES!$J:$J,0)-1,0),0)</f>
        <v>215050001</v>
      </c>
      <c r="AQ439" s="10" t="s">
        <v>487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22"/>
        <v>114020016</v>
      </c>
      <c r="B440" s="13">
        <v>11</v>
      </c>
      <c r="C440" s="12">
        <f t="shared" si="123"/>
        <v>4</v>
      </c>
      <c r="D440" s="13">
        <v>2</v>
      </c>
      <c r="E440" s="13">
        <v>0</v>
      </c>
      <c r="F440" s="12">
        <f t="shared" si="124"/>
        <v>16</v>
      </c>
      <c r="H440" s="9">
        <v>4</v>
      </c>
      <c r="I440" s="9">
        <v>16</v>
      </c>
      <c r="K440" s="9" t="s">
        <v>392</v>
      </c>
      <c r="L440" s="9">
        <v>0</v>
      </c>
      <c r="M440" s="9">
        <v>15</v>
      </c>
      <c r="R440" s="9">
        <v>1111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595</v>
      </c>
      <c r="AA440" s="9">
        <v>16</v>
      </c>
      <c r="AC440" s="9">
        <v>56000</v>
      </c>
      <c r="AE440" s="56">
        <f t="shared" si="119"/>
        <v>11200</v>
      </c>
      <c r="AF440" s="10">
        <f t="shared" si="126"/>
        <v>20000</v>
      </c>
      <c r="AH440" s="11">
        <f t="shared" si="118"/>
        <v>80</v>
      </c>
      <c r="AI440" s="10">
        <v>80</v>
      </c>
      <c r="AJ440" s="11">
        <f t="shared" si="125"/>
        <v>700</v>
      </c>
      <c r="AK440" s="10">
        <v>700</v>
      </c>
      <c r="AL440" s="11">
        <f t="shared" si="125"/>
        <v>700</v>
      </c>
      <c r="AM440" s="10">
        <v>700</v>
      </c>
      <c r="AN440" s="56">
        <f t="shared" si="120"/>
        <v>1</v>
      </c>
      <c r="AP440" s="11">
        <f ca="1">IFERROR(OFFSET(ITEM_RES!$A$1,MATCH(AQ440,ITEM_RES!$J:$J,0)-1,0),0)</f>
        <v>215050001</v>
      </c>
      <c r="AQ440" s="10" t="s">
        <v>487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22"/>
        <v>114020017</v>
      </c>
      <c r="B441" s="13">
        <v>11</v>
      </c>
      <c r="C441" s="12">
        <f t="shared" si="123"/>
        <v>4</v>
      </c>
      <c r="D441" s="13">
        <v>2</v>
      </c>
      <c r="E441" s="13">
        <v>0</v>
      </c>
      <c r="F441" s="12">
        <f t="shared" si="124"/>
        <v>17</v>
      </c>
      <c r="H441" s="9">
        <v>4</v>
      </c>
      <c r="I441" s="9">
        <v>17</v>
      </c>
      <c r="K441" s="9" t="s">
        <v>392</v>
      </c>
      <c r="L441" s="9">
        <v>0</v>
      </c>
      <c r="M441" s="9">
        <v>15</v>
      </c>
      <c r="R441" s="9">
        <v>1111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595</v>
      </c>
      <c r="AA441" s="9">
        <v>17</v>
      </c>
      <c r="AC441" s="9">
        <v>68000</v>
      </c>
      <c r="AE441" s="56">
        <f t="shared" si="119"/>
        <v>13600</v>
      </c>
      <c r="AF441" s="10">
        <f t="shared" si="126"/>
        <v>24800</v>
      </c>
      <c r="AH441" s="11">
        <f t="shared" si="118"/>
        <v>85</v>
      </c>
      <c r="AI441" s="10">
        <v>85</v>
      </c>
      <c r="AJ441" s="11">
        <f t="shared" si="125"/>
        <v>850</v>
      </c>
      <c r="AK441" s="10">
        <v>850</v>
      </c>
      <c r="AL441" s="11">
        <f t="shared" si="125"/>
        <v>850</v>
      </c>
      <c r="AM441" s="10">
        <v>850</v>
      </c>
      <c r="AN441" s="56">
        <f t="shared" si="120"/>
        <v>1</v>
      </c>
      <c r="AP441" s="11">
        <f ca="1">IFERROR(OFFSET(ITEM_RES!$A$1,MATCH(AQ441,ITEM_RES!$J:$J,0)-1,0),0)</f>
        <v>215050001</v>
      </c>
      <c r="AQ441" s="10" t="s">
        <v>487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22"/>
        <v>114020018</v>
      </c>
      <c r="B442" s="13">
        <v>11</v>
      </c>
      <c r="C442" s="12">
        <f t="shared" si="123"/>
        <v>4</v>
      </c>
      <c r="D442" s="13">
        <v>2</v>
      </c>
      <c r="E442" s="13">
        <v>0</v>
      </c>
      <c r="F442" s="12">
        <f t="shared" si="124"/>
        <v>18</v>
      </c>
      <c r="H442" s="9">
        <v>4</v>
      </c>
      <c r="I442" s="9">
        <v>18</v>
      </c>
      <c r="K442" s="9" t="s">
        <v>392</v>
      </c>
      <c r="L442" s="9">
        <v>0</v>
      </c>
      <c r="M442" s="9">
        <v>15</v>
      </c>
      <c r="R442" s="9">
        <v>1111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595</v>
      </c>
      <c r="AA442" s="9">
        <v>18</v>
      </c>
      <c r="AC442" s="9">
        <v>84000</v>
      </c>
      <c r="AE442" s="56">
        <f t="shared" si="119"/>
        <v>16800</v>
      </c>
      <c r="AF442" s="10">
        <f t="shared" si="126"/>
        <v>30400</v>
      </c>
      <c r="AH442" s="11">
        <f t="shared" si="118"/>
        <v>90</v>
      </c>
      <c r="AI442" s="10">
        <v>90</v>
      </c>
      <c r="AJ442" s="11">
        <f t="shared" si="125"/>
        <v>1050</v>
      </c>
      <c r="AK442" s="10">
        <v>1050</v>
      </c>
      <c r="AL442" s="11">
        <f t="shared" si="125"/>
        <v>1050</v>
      </c>
      <c r="AM442" s="10">
        <v>1050</v>
      </c>
      <c r="AN442" s="56">
        <f t="shared" si="120"/>
        <v>1</v>
      </c>
      <c r="AP442" s="11">
        <f ca="1">IFERROR(OFFSET(ITEM_RES!$A$1,MATCH(AQ442,ITEM_RES!$J:$J,0)-1,0),0)</f>
        <v>215050001</v>
      </c>
      <c r="AQ442" s="10" t="s">
        <v>487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22"/>
        <v>114020019</v>
      </c>
      <c r="B443" s="13">
        <v>11</v>
      </c>
      <c r="C443" s="12">
        <f t="shared" si="123"/>
        <v>4</v>
      </c>
      <c r="D443" s="13">
        <v>2</v>
      </c>
      <c r="E443" s="13">
        <v>0</v>
      </c>
      <c r="F443" s="12">
        <f t="shared" si="124"/>
        <v>19</v>
      </c>
      <c r="H443" s="9">
        <v>4</v>
      </c>
      <c r="I443" s="9">
        <v>19</v>
      </c>
      <c r="K443" s="9" t="s">
        <v>392</v>
      </c>
      <c r="L443" s="9">
        <v>0</v>
      </c>
      <c r="M443" s="9">
        <v>15</v>
      </c>
      <c r="R443" s="9">
        <v>1111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595</v>
      </c>
      <c r="AA443" s="9">
        <v>19</v>
      </c>
      <c r="AC443" s="9">
        <v>100000</v>
      </c>
      <c r="AE443" s="56">
        <f t="shared" si="119"/>
        <v>20000</v>
      </c>
      <c r="AF443" s="10">
        <f t="shared" si="126"/>
        <v>36800</v>
      </c>
      <c r="AH443" s="11">
        <f t="shared" si="118"/>
        <v>95</v>
      </c>
      <c r="AI443" s="10">
        <v>95</v>
      </c>
      <c r="AJ443" s="11">
        <f t="shared" si="125"/>
        <v>1250</v>
      </c>
      <c r="AK443" s="10">
        <v>1250</v>
      </c>
      <c r="AL443" s="11">
        <f t="shared" si="125"/>
        <v>1250</v>
      </c>
      <c r="AM443" s="10">
        <v>1250</v>
      </c>
      <c r="AN443" s="56">
        <f t="shared" si="120"/>
        <v>1</v>
      </c>
      <c r="AP443" s="11">
        <f ca="1">IFERROR(OFFSET(ITEM_RES!$A$1,MATCH(AQ443,ITEM_RES!$J:$J,0)-1,0),0)</f>
        <v>215050001</v>
      </c>
      <c r="AQ443" s="10" t="s">
        <v>487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22"/>
        <v>114020020</v>
      </c>
      <c r="B444" s="13">
        <v>11</v>
      </c>
      <c r="C444" s="12">
        <f t="shared" si="123"/>
        <v>4</v>
      </c>
      <c r="D444" s="13">
        <v>2</v>
      </c>
      <c r="E444" s="13">
        <v>0</v>
      </c>
      <c r="F444" s="12">
        <f t="shared" si="124"/>
        <v>20</v>
      </c>
      <c r="H444" s="9">
        <v>4</v>
      </c>
      <c r="I444" s="9">
        <v>20</v>
      </c>
      <c r="K444" s="9" t="s">
        <v>392</v>
      </c>
      <c r="L444" s="9">
        <v>0</v>
      </c>
      <c r="M444" s="9">
        <v>15</v>
      </c>
      <c r="R444" s="9">
        <v>1111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595</v>
      </c>
      <c r="AA444" s="9">
        <v>20</v>
      </c>
      <c r="AC444" s="9">
        <v>120000</v>
      </c>
      <c r="AE444" s="56">
        <f t="shared" si="119"/>
        <v>24000</v>
      </c>
      <c r="AF444" s="10">
        <f t="shared" si="126"/>
        <v>44000</v>
      </c>
      <c r="AH444" s="11">
        <f t="shared" si="118"/>
        <v>100</v>
      </c>
      <c r="AI444" s="10">
        <v>100</v>
      </c>
      <c r="AJ444" s="11">
        <f t="shared" si="125"/>
        <v>1500</v>
      </c>
      <c r="AK444" s="10">
        <v>1500</v>
      </c>
      <c r="AL444" s="11">
        <f t="shared" si="125"/>
        <v>1500</v>
      </c>
      <c r="AM444" s="10">
        <v>1500</v>
      </c>
      <c r="AN444" s="56">
        <f t="shared" si="120"/>
        <v>1</v>
      </c>
      <c r="AP444" s="11">
        <f ca="1">IFERROR(OFFSET(ITEM_RES!$A$1,MATCH(AQ444,ITEM_RES!$J:$J,0)-1,0),0)</f>
        <v>215050001</v>
      </c>
      <c r="AQ444" s="10" t="s">
        <v>487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22"/>
        <v>115010001</v>
      </c>
      <c r="B445" s="20">
        <v>11</v>
      </c>
      <c r="C445" s="19">
        <f t="shared" si="123"/>
        <v>5</v>
      </c>
      <c r="D445" s="20">
        <v>1</v>
      </c>
      <c r="E445" s="20">
        <v>0</v>
      </c>
      <c r="F445" s="19">
        <f t="shared" si="124"/>
        <v>1</v>
      </c>
      <c r="G445" s="80"/>
      <c r="H445" s="16">
        <v>5</v>
      </c>
      <c r="I445" s="16">
        <v>1</v>
      </c>
      <c r="J445" s="80"/>
      <c r="K445" s="16" t="s">
        <v>368</v>
      </c>
      <c r="L445" s="16">
        <v>1</v>
      </c>
      <c r="M445" s="16">
        <v>15</v>
      </c>
      <c r="N445" s="16"/>
      <c r="O445" s="17"/>
      <c r="P445" s="17"/>
      <c r="Q445" s="18"/>
      <c r="R445" s="16">
        <v>2222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596</v>
      </c>
      <c r="AA445" s="16">
        <v>1</v>
      </c>
      <c r="AB445" s="80"/>
      <c r="AC445" s="16">
        <v>0</v>
      </c>
      <c r="AD445" s="80"/>
      <c r="AE445" s="57">
        <f t="shared" si="119"/>
        <v>1080</v>
      </c>
      <c r="AF445" s="17">
        <f>AE445</f>
        <v>1080</v>
      </c>
      <c r="AG445" s="80"/>
      <c r="AH445" s="18">
        <f t="shared" si="118"/>
        <v>5</v>
      </c>
      <c r="AI445" s="17">
        <v>5</v>
      </c>
      <c r="AJ445" s="18">
        <f t="shared" si="125"/>
        <v>5</v>
      </c>
      <c r="AK445" s="17">
        <v>5</v>
      </c>
      <c r="AL445" s="18">
        <f t="shared" si="125"/>
        <v>5</v>
      </c>
      <c r="AM445" s="17">
        <v>5</v>
      </c>
      <c r="AN445" s="57">
        <f t="shared" si="120"/>
        <v>3</v>
      </c>
      <c r="AO445" s="18"/>
      <c r="AP445" s="18">
        <f ca="1">IFERROR(OFFSET(ITEM_RES!$A$1,MATCH(AQ445,ITEM_RES!$J:$J,0)-1,0),0)</f>
        <v>212040001</v>
      </c>
      <c r="AQ445" s="17" t="s">
        <v>473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496</v>
      </c>
      <c r="BB445" s="18">
        <v>1</v>
      </c>
      <c r="BC445" s="17"/>
      <c r="BD445" s="18"/>
      <c r="BE445" s="18">
        <f ca="1">IFERROR(OFFSET(ITEM_RES!$A$1,MATCH(BF445,ITEM_RES!$J:$J,0)-1,0),0)</f>
        <v>213020001</v>
      </c>
      <c r="BF445" s="17" t="s">
        <v>518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22"/>
        <v>115010002</v>
      </c>
      <c r="B446" s="13">
        <v>11</v>
      </c>
      <c r="C446" s="12">
        <f t="shared" si="123"/>
        <v>5</v>
      </c>
      <c r="D446" s="13">
        <v>1</v>
      </c>
      <c r="E446" s="13">
        <v>0</v>
      </c>
      <c r="F446" s="12">
        <f t="shared" si="124"/>
        <v>2</v>
      </c>
      <c r="H446" s="9">
        <v>5</v>
      </c>
      <c r="I446" s="9">
        <v>2</v>
      </c>
      <c r="K446" s="9" t="s">
        <v>368</v>
      </c>
      <c r="L446" s="9">
        <v>1</v>
      </c>
      <c r="M446" s="9">
        <v>15</v>
      </c>
      <c r="R446" s="9">
        <v>2222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596</v>
      </c>
      <c r="AA446" s="9">
        <v>2</v>
      </c>
      <c r="AC446" s="9">
        <v>200</v>
      </c>
      <c r="AE446" s="56">
        <f t="shared" si="119"/>
        <v>160</v>
      </c>
      <c r="AF446" s="10">
        <f>AE445+AE446</f>
        <v>1240</v>
      </c>
      <c r="AH446" s="11">
        <f t="shared" si="118"/>
        <v>10</v>
      </c>
      <c r="AI446" s="10">
        <v>10</v>
      </c>
      <c r="AJ446" s="11">
        <f t="shared" si="125"/>
        <v>10</v>
      </c>
      <c r="AK446" s="10">
        <v>10</v>
      </c>
      <c r="AL446" s="11">
        <f t="shared" si="125"/>
        <v>10</v>
      </c>
      <c r="AM446" s="10">
        <v>10</v>
      </c>
      <c r="AN446" s="56">
        <f t="shared" si="120"/>
        <v>1</v>
      </c>
      <c r="AP446" s="11">
        <f ca="1">IFERROR(OFFSET(ITEM_RES!$A$1,MATCH(AQ446,ITEM_RES!$J:$J,0)-1,0),0)</f>
        <v>212040001</v>
      </c>
      <c r="AQ446" s="10" t="s">
        <v>473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22"/>
        <v>115010003</v>
      </c>
      <c r="B447" s="13">
        <v>11</v>
      </c>
      <c r="C447" s="12">
        <f t="shared" si="123"/>
        <v>5</v>
      </c>
      <c r="D447" s="13">
        <v>1</v>
      </c>
      <c r="E447" s="13">
        <v>0</v>
      </c>
      <c r="F447" s="12">
        <f t="shared" si="124"/>
        <v>3</v>
      </c>
      <c r="H447" s="9">
        <v>5</v>
      </c>
      <c r="I447" s="9">
        <v>3</v>
      </c>
      <c r="K447" s="9" t="s">
        <v>367</v>
      </c>
      <c r="L447" s="9">
        <v>1</v>
      </c>
      <c r="M447" s="9">
        <v>15</v>
      </c>
      <c r="R447" s="9">
        <v>2222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596</v>
      </c>
      <c r="AA447" s="9">
        <v>3</v>
      </c>
      <c r="AC447" s="9">
        <v>600</v>
      </c>
      <c r="AE447" s="56">
        <f t="shared" si="119"/>
        <v>240</v>
      </c>
      <c r="AF447" s="10">
        <f t="shared" ref="AF447:AF464" si="127">AE446+AE447</f>
        <v>400</v>
      </c>
      <c r="AH447" s="11">
        <f t="shared" si="118"/>
        <v>15</v>
      </c>
      <c r="AI447" s="10">
        <v>15</v>
      </c>
      <c r="AJ447" s="11">
        <f t="shared" si="125"/>
        <v>15</v>
      </c>
      <c r="AK447" s="10">
        <v>15</v>
      </c>
      <c r="AL447" s="11">
        <f t="shared" si="125"/>
        <v>15</v>
      </c>
      <c r="AM447" s="10">
        <v>15</v>
      </c>
      <c r="AN447" s="56">
        <f t="shared" si="120"/>
        <v>1</v>
      </c>
      <c r="AP447" s="11">
        <f ca="1">IFERROR(OFFSET(ITEM_RES!$A$1,MATCH(AQ447,ITEM_RES!$J:$J,0)-1,0),0)</f>
        <v>212040001</v>
      </c>
      <c r="AQ447" s="10" t="s">
        <v>473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22"/>
        <v>115010004</v>
      </c>
      <c r="B448" s="13">
        <v>11</v>
      </c>
      <c r="C448" s="12">
        <f t="shared" si="123"/>
        <v>5</v>
      </c>
      <c r="D448" s="13">
        <v>1</v>
      </c>
      <c r="E448" s="13">
        <v>0</v>
      </c>
      <c r="F448" s="12">
        <f t="shared" si="124"/>
        <v>4</v>
      </c>
      <c r="H448" s="9">
        <v>5</v>
      </c>
      <c r="I448" s="9">
        <v>4</v>
      </c>
      <c r="K448" s="9" t="s">
        <v>367</v>
      </c>
      <c r="L448" s="9">
        <v>1</v>
      </c>
      <c r="M448" s="9">
        <v>15</v>
      </c>
      <c r="R448" s="9">
        <v>2222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596</v>
      </c>
      <c r="AA448" s="9">
        <v>4</v>
      </c>
      <c r="AC448" s="9">
        <v>1000</v>
      </c>
      <c r="AE448" s="56">
        <f t="shared" si="119"/>
        <v>400</v>
      </c>
      <c r="AF448" s="10">
        <f t="shared" si="127"/>
        <v>640</v>
      </c>
      <c r="AH448" s="11">
        <f t="shared" si="118"/>
        <v>20</v>
      </c>
      <c r="AI448" s="10">
        <v>20</v>
      </c>
      <c r="AJ448" s="11">
        <f t="shared" si="125"/>
        <v>25</v>
      </c>
      <c r="AK448" s="10">
        <v>25</v>
      </c>
      <c r="AL448" s="11">
        <f t="shared" si="125"/>
        <v>25</v>
      </c>
      <c r="AM448" s="10">
        <v>25</v>
      </c>
      <c r="AN448" s="56">
        <f t="shared" si="120"/>
        <v>1</v>
      </c>
      <c r="AP448" s="11">
        <f ca="1">IFERROR(OFFSET(ITEM_RES!$A$1,MATCH(AQ448,ITEM_RES!$J:$J,0)-1,0),0)</f>
        <v>212040001</v>
      </c>
      <c r="AQ448" s="10" t="s">
        <v>473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22"/>
        <v>115010005</v>
      </c>
      <c r="B449" s="13">
        <v>11</v>
      </c>
      <c r="C449" s="12">
        <f t="shared" si="123"/>
        <v>5</v>
      </c>
      <c r="D449" s="13">
        <v>1</v>
      </c>
      <c r="E449" s="13">
        <v>0</v>
      </c>
      <c r="F449" s="12">
        <f t="shared" si="124"/>
        <v>5</v>
      </c>
      <c r="H449" s="9">
        <v>5</v>
      </c>
      <c r="I449" s="9">
        <v>5</v>
      </c>
      <c r="K449" s="9" t="s">
        <v>367</v>
      </c>
      <c r="L449" s="9">
        <v>1</v>
      </c>
      <c r="M449" s="9">
        <v>15</v>
      </c>
      <c r="R449" s="9">
        <v>2222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596</v>
      </c>
      <c r="AA449" s="9">
        <v>5</v>
      </c>
      <c r="AC449" s="9">
        <v>1600</v>
      </c>
      <c r="AE449" s="56">
        <f t="shared" si="119"/>
        <v>640</v>
      </c>
      <c r="AF449" s="10">
        <f t="shared" si="127"/>
        <v>1040</v>
      </c>
      <c r="AH449" s="11">
        <f t="shared" si="118"/>
        <v>25</v>
      </c>
      <c r="AI449" s="10">
        <v>25</v>
      </c>
      <c r="AJ449" s="11">
        <f t="shared" si="125"/>
        <v>40</v>
      </c>
      <c r="AK449" s="10">
        <v>40</v>
      </c>
      <c r="AL449" s="11">
        <f t="shared" si="125"/>
        <v>40</v>
      </c>
      <c r="AM449" s="10">
        <v>40</v>
      </c>
      <c r="AN449" s="56">
        <f t="shared" si="120"/>
        <v>1</v>
      </c>
      <c r="AP449" s="11">
        <f ca="1">IFERROR(OFFSET(ITEM_RES!$A$1,MATCH(AQ449,ITEM_RES!$J:$J,0)-1,0),0)</f>
        <v>212040001</v>
      </c>
      <c r="AQ449" s="10" t="s">
        <v>473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22"/>
        <v>115010006</v>
      </c>
      <c r="B450" s="13">
        <v>11</v>
      </c>
      <c r="C450" s="12">
        <f t="shared" si="123"/>
        <v>5</v>
      </c>
      <c r="D450" s="13">
        <v>1</v>
      </c>
      <c r="E450" s="13">
        <v>0</v>
      </c>
      <c r="F450" s="12">
        <f t="shared" si="124"/>
        <v>6</v>
      </c>
      <c r="H450" s="9">
        <v>5</v>
      </c>
      <c r="I450" s="9">
        <v>6</v>
      </c>
      <c r="K450" s="9" t="s">
        <v>367</v>
      </c>
      <c r="L450" s="9">
        <v>1</v>
      </c>
      <c r="M450" s="9">
        <v>15</v>
      </c>
      <c r="R450" s="9">
        <v>2222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596</v>
      </c>
      <c r="AA450" s="9">
        <v>6</v>
      </c>
      <c r="AC450" s="9">
        <v>2000</v>
      </c>
      <c r="AE450" s="56">
        <f t="shared" si="119"/>
        <v>800</v>
      </c>
      <c r="AF450" s="10">
        <f t="shared" si="127"/>
        <v>1440</v>
      </c>
      <c r="AH450" s="11">
        <f t="shared" si="118"/>
        <v>30</v>
      </c>
      <c r="AI450" s="10">
        <v>30</v>
      </c>
      <c r="AJ450" s="11">
        <f t="shared" si="125"/>
        <v>50</v>
      </c>
      <c r="AK450" s="10">
        <v>50</v>
      </c>
      <c r="AL450" s="11">
        <f t="shared" si="125"/>
        <v>50</v>
      </c>
      <c r="AM450" s="10">
        <v>50</v>
      </c>
      <c r="AN450" s="56">
        <f t="shared" si="120"/>
        <v>1</v>
      </c>
      <c r="AP450" s="11">
        <f ca="1">IFERROR(OFFSET(ITEM_RES!$A$1,MATCH(AQ450,ITEM_RES!$J:$J,0)-1,0),0)</f>
        <v>212040001</v>
      </c>
      <c r="AQ450" s="10" t="s">
        <v>473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22"/>
        <v>115010007</v>
      </c>
      <c r="B451" s="13">
        <v>11</v>
      </c>
      <c r="C451" s="12">
        <f t="shared" si="123"/>
        <v>5</v>
      </c>
      <c r="D451" s="13">
        <v>1</v>
      </c>
      <c r="E451" s="13">
        <v>0</v>
      </c>
      <c r="F451" s="12">
        <f t="shared" si="124"/>
        <v>7</v>
      </c>
      <c r="H451" s="9">
        <v>5</v>
      </c>
      <c r="I451" s="9">
        <v>7</v>
      </c>
      <c r="K451" s="9" t="s">
        <v>367</v>
      </c>
      <c r="L451" s="9">
        <v>1</v>
      </c>
      <c r="M451" s="9">
        <v>15</v>
      </c>
      <c r="R451" s="9">
        <v>2222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596</v>
      </c>
      <c r="AA451" s="9">
        <v>7</v>
      </c>
      <c r="AC451" s="9">
        <v>4000</v>
      </c>
      <c r="AE451" s="56">
        <f t="shared" si="119"/>
        <v>1600</v>
      </c>
      <c r="AF451" s="10">
        <f t="shared" si="127"/>
        <v>2400</v>
      </c>
      <c r="AH451" s="11">
        <f t="shared" si="118"/>
        <v>35</v>
      </c>
      <c r="AI451" s="10">
        <v>35</v>
      </c>
      <c r="AJ451" s="11">
        <f t="shared" si="125"/>
        <v>100</v>
      </c>
      <c r="AK451" s="10">
        <v>100</v>
      </c>
      <c r="AL451" s="11">
        <f t="shared" si="125"/>
        <v>100</v>
      </c>
      <c r="AM451" s="10">
        <v>100</v>
      </c>
      <c r="AN451" s="56">
        <f t="shared" si="120"/>
        <v>1</v>
      </c>
      <c r="AP451" s="11">
        <f ca="1">IFERROR(OFFSET(ITEM_RES!$A$1,MATCH(AQ451,ITEM_RES!$J:$J,0)-1,0),0)</f>
        <v>212040001</v>
      </c>
      <c r="AQ451" s="10" t="s">
        <v>473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22"/>
        <v>115010008</v>
      </c>
      <c r="B452" s="13">
        <v>11</v>
      </c>
      <c r="C452" s="12">
        <f t="shared" si="123"/>
        <v>5</v>
      </c>
      <c r="D452" s="13">
        <v>1</v>
      </c>
      <c r="E452" s="13">
        <v>0</v>
      </c>
      <c r="F452" s="12">
        <f t="shared" si="124"/>
        <v>8</v>
      </c>
      <c r="H452" s="9">
        <v>5</v>
      </c>
      <c r="I452" s="9">
        <v>8</v>
      </c>
      <c r="K452" s="9" t="s">
        <v>367</v>
      </c>
      <c r="L452" s="9">
        <v>1</v>
      </c>
      <c r="M452" s="9">
        <v>15</v>
      </c>
      <c r="R452" s="9">
        <v>2222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596</v>
      </c>
      <c r="AA452" s="9">
        <v>8</v>
      </c>
      <c r="AC452" s="9">
        <v>4000</v>
      </c>
      <c r="AE452" s="56">
        <f t="shared" si="119"/>
        <v>1600</v>
      </c>
      <c r="AF452" s="10">
        <f t="shared" si="127"/>
        <v>3200</v>
      </c>
      <c r="AH452" s="11">
        <f t="shared" si="118"/>
        <v>40</v>
      </c>
      <c r="AI452" s="10">
        <v>40</v>
      </c>
      <c r="AJ452" s="11">
        <f t="shared" si="125"/>
        <v>100</v>
      </c>
      <c r="AK452" s="10">
        <v>100</v>
      </c>
      <c r="AL452" s="11">
        <f t="shared" si="125"/>
        <v>100</v>
      </c>
      <c r="AM452" s="10">
        <v>100</v>
      </c>
      <c r="AN452" s="56">
        <f t="shared" si="120"/>
        <v>1</v>
      </c>
      <c r="AP452" s="11">
        <f ca="1">IFERROR(OFFSET(ITEM_RES!$A$1,MATCH(AQ452,ITEM_RES!$J:$J,0)-1,0),0)</f>
        <v>212040001</v>
      </c>
      <c r="AQ452" s="10" t="s">
        <v>473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22"/>
        <v>115010009</v>
      </c>
      <c r="B453" s="13">
        <v>11</v>
      </c>
      <c r="C453" s="12">
        <f t="shared" si="123"/>
        <v>5</v>
      </c>
      <c r="D453" s="13">
        <v>1</v>
      </c>
      <c r="E453" s="13">
        <v>0</v>
      </c>
      <c r="F453" s="12">
        <f t="shared" si="124"/>
        <v>9</v>
      </c>
      <c r="H453" s="9">
        <v>5</v>
      </c>
      <c r="I453" s="9">
        <v>9</v>
      </c>
      <c r="K453" s="9" t="s">
        <v>367</v>
      </c>
      <c r="L453" s="9">
        <v>1</v>
      </c>
      <c r="M453" s="9">
        <v>15</v>
      </c>
      <c r="R453" s="9">
        <v>2222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596</v>
      </c>
      <c r="AA453" s="9">
        <v>9</v>
      </c>
      <c r="AC453" s="9">
        <v>6000</v>
      </c>
      <c r="AE453" s="56">
        <f t="shared" si="119"/>
        <v>2400</v>
      </c>
      <c r="AF453" s="10">
        <f t="shared" si="127"/>
        <v>4000</v>
      </c>
      <c r="AH453" s="11">
        <f t="shared" ref="AH453:AH516" si="128">ROUND(AI453,0)</f>
        <v>45</v>
      </c>
      <c r="AI453" s="10">
        <v>45</v>
      </c>
      <c r="AJ453" s="11">
        <f t="shared" si="125"/>
        <v>150</v>
      </c>
      <c r="AK453" s="10">
        <v>150</v>
      </c>
      <c r="AL453" s="11">
        <f t="shared" si="125"/>
        <v>150</v>
      </c>
      <c r="AM453" s="10">
        <v>150</v>
      </c>
      <c r="AN453" s="56">
        <f t="shared" si="120"/>
        <v>1</v>
      </c>
      <c r="AP453" s="11">
        <f ca="1">IFERROR(OFFSET(ITEM_RES!$A$1,MATCH(AQ453,ITEM_RES!$J:$J,0)-1,0),0)</f>
        <v>212040001</v>
      </c>
      <c r="AQ453" s="10" t="s">
        <v>473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22"/>
        <v>115010010</v>
      </c>
      <c r="B454" s="13">
        <v>11</v>
      </c>
      <c r="C454" s="12">
        <f t="shared" si="123"/>
        <v>5</v>
      </c>
      <c r="D454" s="13">
        <v>1</v>
      </c>
      <c r="E454" s="13">
        <v>0</v>
      </c>
      <c r="F454" s="12">
        <f t="shared" si="124"/>
        <v>10</v>
      </c>
      <c r="H454" s="9">
        <v>5</v>
      </c>
      <c r="I454" s="9">
        <v>10</v>
      </c>
      <c r="K454" s="9" t="s">
        <v>367</v>
      </c>
      <c r="L454" s="9">
        <v>1</v>
      </c>
      <c r="M454" s="9">
        <v>15</v>
      </c>
      <c r="R454" s="9">
        <v>2222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596</v>
      </c>
      <c r="AA454" s="9">
        <v>10</v>
      </c>
      <c r="AC454" s="9">
        <v>8000</v>
      </c>
      <c r="AE454" s="56">
        <f t="shared" ref="AE454:AE517" si="129">AK454*10+AM454+AR454+AW454+500*BB454+500*BG454+500*BL454</f>
        <v>3700</v>
      </c>
      <c r="AF454" s="10">
        <f t="shared" si="127"/>
        <v>6100</v>
      </c>
      <c r="AH454" s="11">
        <f t="shared" si="128"/>
        <v>50</v>
      </c>
      <c r="AI454" s="10">
        <v>50</v>
      </c>
      <c r="AJ454" s="11">
        <f t="shared" si="125"/>
        <v>200</v>
      </c>
      <c r="AK454" s="10">
        <v>200</v>
      </c>
      <c r="AL454" s="11">
        <f t="shared" si="125"/>
        <v>200</v>
      </c>
      <c r="AM454" s="10">
        <v>200</v>
      </c>
      <c r="AN454" s="56">
        <f t="shared" ref="AN454:AN517" si="130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473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521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22"/>
        <v>115010011</v>
      </c>
      <c r="B455" s="13">
        <v>11</v>
      </c>
      <c r="C455" s="12">
        <f t="shared" si="123"/>
        <v>5</v>
      </c>
      <c r="D455" s="13">
        <v>1</v>
      </c>
      <c r="E455" s="13">
        <v>0</v>
      </c>
      <c r="F455" s="12">
        <f t="shared" si="124"/>
        <v>11</v>
      </c>
      <c r="H455" s="9">
        <v>5</v>
      </c>
      <c r="I455" s="9">
        <v>11</v>
      </c>
      <c r="K455" s="9" t="s">
        <v>367</v>
      </c>
      <c r="L455" s="9">
        <v>1</v>
      </c>
      <c r="M455" s="9">
        <v>15</v>
      </c>
      <c r="R455" s="9">
        <v>2222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596</v>
      </c>
      <c r="AA455" s="9">
        <v>11</v>
      </c>
      <c r="AC455" s="9">
        <v>10000</v>
      </c>
      <c r="AE455" s="56">
        <f t="shared" si="129"/>
        <v>4000</v>
      </c>
      <c r="AF455" s="10">
        <f t="shared" si="127"/>
        <v>7700</v>
      </c>
      <c r="AH455" s="11">
        <f t="shared" si="128"/>
        <v>55</v>
      </c>
      <c r="AI455" s="10">
        <v>55</v>
      </c>
      <c r="AJ455" s="11">
        <f t="shared" si="125"/>
        <v>250</v>
      </c>
      <c r="AK455" s="10">
        <v>250</v>
      </c>
      <c r="AL455" s="11">
        <f t="shared" si="12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212040001</v>
      </c>
      <c r="AQ455" s="10" t="s">
        <v>473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22"/>
        <v>115010012</v>
      </c>
      <c r="B456" s="13">
        <v>11</v>
      </c>
      <c r="C456" s="12">
        <f t="shared" si="123"/>
        <v>5</v>
      </c>
      <c r="D456" s="13">
        <v>1</v>
      </c>
      <c r="E456" s="13">
        <v>0</v>
      </c>
      <c r="F456" s="12">
        <f t="shared" si="124"/>
        <v>12</v>
      </c>
      <c r="H456" s="9">
        <v>5</v>
      </c>
      <c r="I456" s="9">
        <v>12</v>
      </c>
      <c r="K456" s="9" t="s">
        <v>367</v>
      </c>
      <c r="L456" s="9">
        <v>1</v>
      </c>
      <c r="M456" s="9">
        <v>15</v>
      </c>
      <c r="R456" s="9">
        <v>2222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596</v>
      </c>
      <c r="AA456" s="9">
        <v>12</v>
      </c>
      <c r="AC456" s="9">
        <v>12000</v>
      </c>
      <c r="AE456" s="56">
        <f t="shared" si="129"/>
        <v>4800</v>
      </c>
      <c r="AF456" s="10">
        <f t="shared" si="127"/>
        <v>8800</v>
      </c>
      <c r="AH456" s="11">
        <f t="shared" si="128"/>
        <v>60</v>
      </c>
      <c r="AI456" s="10">
        <v>60</v>
      </c>
      <c r="AJ456" s="11">
        <f t="shared" si="125"/>
        <v>300</v>
      </c>
      <c r="AK456" s="10">
        <v>300</v>
      </c>
      <c r="AL456" s="11">
        <f t="shared" si="125"/>
        <v>300</v>
      </c>
      <c r="AM456" s="10">
        <v>300</v>
      </c>
      <c r="AN456" s="56">
        <f t="shared" si="130"/>
        <v>1</v>
      </c>
      <c r="AP456" s="11">
        <f ca="1">IFERROR(OFFSET(ITEM_RES!$A$1,MATCH(AQ456,ITEM_RES!$J:$J,0)-1,0),0)</f>
        <v>212040001</v>
      </c>
      <c r="AQ456" s="10" t="s">
        <v>473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22"/>
        <v>115010013</v>
      </c>
      <c r="B457" s="13">
        <v>11</v>
      </c>
      <c r="C457" s="12">
        <f t="shared" si="123"/>
        <v>5</v>
      </c>
      <c r="D457" s="13">
        <v>1</v>
      </c>
      <c r="E457" s="13">
        <v>0</v>
      </c>
      <c r="F457" s="12">
        <f t="shared" si="124"/>
        <v>13</v>
      </c>
      <c r="H457" s="9">
        <v>5</v>
      </c>
      <c r="I457" s="9">
        <v>13</v>
      </c>
      <c r="K457" s="9" t="s">
        <v>367</v>
      </c>
      <c r="L457" s="9">
        <v>1</v>
      </c>
      <c r="M457" s="9">
        <v>15</v>
      </c>
      <c r="R457" s="9">
        <v>2222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596</v>
      </c>
      <c r="AA457" s="9">
        <v>13</v>
      </c>
      <c r="AC457" s="9">
        <v>14000</v>
      </c>
      <c r="AE457" s="56">
        <f t="shared" si="129"/>
        <v>5600</v>
      </c>
      <c r="AF457" s="10">
        <f t="shared" si="127"/>
        <v>10400</v>
      </c>
      <c r="AH457" s="11">
        <f t="shared" si="128"/>
        <v>65</v>
      </c>
      <c r="AI457" s="10">
        <v>65</v>
      </c>
      <c r="AJ457" s="11">
        <f t="shared" si="125"/>
        <v>350</v>
      </c>
      <c r="AK457" s="10">
        <v>350</v>
      </c>
      <c r="AL457" s="11">
        <f t="shared" si="12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212040001</v>
      </c>
      <c r="AQ457" s="10" t="s">
        <v>473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22"/>
        <v>115010014</v>
      </c>
      <c r="B458" s="13">
        <v>11</v>
      </c>
      <c r="C458" s="12">
        <f t="shared" si="123"/>
        <v>5</v>
      </c>
      <c r="D458" s="13">
        <v>1</v>
      </c>
      <c r="E458" s="13">
        <v>0</v>
      </c>
      <c r="F458" s="12">
        <f t="shared" si="124"/>
        <v>14</v>
      </c>
      <c r="H458" s="9">
        <v>5</v>
      </c>
      <c r="I458" s="9">
        <v>14</v>
      </c>
      <c r="K458" s="9" t="s">
        <v>367</v>
      </c>
      <c r="L458" s="9">
        <v>1</v>
      </c>
      <c r="M458" s="9">
        <v>15</v>
      </c>
      <c r="R458" s="9">
        <v>2222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596</v>
      </c>
      <c r="AA458" s="9">
        <v>14</v>
      </c>
      <c r="AC458" s="9">
        <v>18000</v>
      </c>
      <c r="AE458" s="56">
        <f t="shared" si="129"/>
        <v>7200</v>
      </c>
      <c r="AF458" s="10">
        <f t="shared" si="127"/>
        <v>12800</v>
      </c>
      <c r="AH458" s="11">
        <f t="shared" si="128"/>
        <v>70</v>
      </c>
      <c r="AI458" s="10">
        <v>70</v>
      </c>
      <c r="AJ458" s="11">
        <f t="shared" si="125"/>
        <v>450</v>
      </c>
      <c r="AK458" s="10">
        <v>450</v>
      </c>
      <c r="AL458" s="11">
        <f t="shared" si="12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212040001</v>
      </c>
      <c r="AQ458" s="10" t="s">
        <v>473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22"/>
        <v>115010015</v>
      </c>
      <c r="B459" s="13">
        <v>11</v>
      </c>
      <c r="C459" s="12">
        <f t="shared" si="123"/>
        <v>5</v>
      </c>
      <c r="D459" s="13">
        <v>1</v>
      </c>
      <c r="E459" s="13">
        <v>0</v>
      </c>
      <c r="F459" s="12">
        <f t="shared" si="124"/>
        <v>15</v>
      </c>
      <c r="H459" s="9">
        <v>5</v>
      </c>
      <c r="I459" s="9">
        <v>15</v>
      </c>
      <c r="K459" s="9" t="s">
        <v>367</v>
      </c>
      <c r="L459" s="9">
        <v>1</v>
      </c>
      <c r="M459" s="9">
        <v>15</v>
      </c>
      <c r="R459" s="9">
        <v>2222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596</v>
      </c>
      <c r="AA459" s="9">
        <v>15</v>
      </c>
      <c r="AC459" s="9">
        <v>22000</v>
      </c>
      <c r="AE459" s="56">
        <f t="shared" si="129"/>
        <v>8800</v>
      </c>
      <c r="AF459" s="10">
        <f t="shared" si="127"/>
        <v>16000</v>
      </c>
      <c r="AH459" s="11">
        <f t="shared" si="128"/>
        <v>75</v>
      </c>
      <c r="AI459" s="10">
        <v>75</v>
      </c>
      <c r="AJ459" s="11">
        <f t="shared" si="125"/>
        <v>550</v>
      </c>
      <c r="AK459" s="10">
        <v>550</v>
      </c>
      <c r="AL459" s="11">
        <f t="shared" si="12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212040001</v>
      </c>
      <c r="AQ459" s="10" t="s">
        <v>473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22"/>
        <v>115010016</v>
      </c>
      <c r="B460" s="13">
        <v>11</v>
      </c>
      <c r="C460" s="12">
        <f t="shared" si="123"/>
        <v>5</v>
      </c>
      <c r="D460" s="13">
        <v>1</v>
      </c>
      <c r="E460" s="13">
        <v>0</v>
      </c>
      <c r="F460" s="12">
        <f t="shared" si="124"/>
        <v>16</v>
      </c>
      <c r="H460" s="9">
        <v>5</v>
      </c>
      <c r="I460" s="9">
        <v>16</v>
      </c>
      <c r="K460" s="9" t="s">
        <v>367</v>
      </c>
      <c r="L460" s="9">
        <v>0</v>
      </c>
      <c r="M460" s="9">
        <v>15</v>
      </c>
      <c r="R460" s="9">
        <v>2222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596</v>
      </c>
      <c r="AA460" s="9">
        <v>16</v>
      </c>
      <c r="AC460" s="9">
        <v>28000</v>
      </c>
      <c r="AE460" s="56">
        <f t="shared" si="129"/>
        <v>11200</v>
      </c>
      <c r="AF460" s="10">
        <f t="shared" si="127"/>
        <v>20000</v>
      </c>
      <c r="AH460" s="11">
        <f t="shared" si="128"/>
        <v>80</v>
      </c>
      <c r="AI460" s="10">
        <v>80</v>
      </c>
      <c r="AJ460" s="11">
        <f t="shared" si="125"/>
        <v>700</v>
      </c>
      <c r="AK460" s="10">
        <v>700</v>
      </c>
      <c r="AL460" s="11">
        <f t="shared" si="12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484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22"/>
        <v>115010017</v>
      </c>
      <c r="B461" s="13">
        <v>11</v>
      </c>
      <c r="C461" s="12">
        <f t="shared" si="123"/>
        <v>5</v>
      </c>
      <c r="D461" s="13">
        <v>1</v>
      </c>
      <c r="E461" s="13">
        <v>0</v>
      </c>
      <c r="F461" s="12">
        <f t="shared" si="124"/>
        <v>17</v>
      </c>
      <c r="H461" s="9">
        <v>5</v>
      </c>
      <c r="I461" s="9">
        <v>17</v>
      </c>
      <c r="K461" s="9" t="s">
        <v>367</v>
      </c>
      <c r="L461" s="9">
        <v>0</v>
      </c>
      <c r="M461" s="9">
        <v>15</v>
      </c>
      <c r="R461" s="9">
        <v>2222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596</v>
      </c>
      <c r="AA461" s="9">
        <v>17</v>
      </c>
      <c r="AC461" s="9">
        <v>34000</v>
      </c>
      <c r="AE461" s="56">
        <f t="shared" si="129"/>
        <v>13600</v>
      </c>
      <c r="AF461" s="10">
        <f t="shared" si="127"/>
        <v>24800</v>
      </c>
      <c r="AH461" s="11">
        <f t="shared" si="128"/>
        <v>85</v>
      </c>
      <c r="AI461" s="10">
        <v>85</v>
      </c>
      <c r="AJ461" s="11">
        <f t="shared" si="125"/>
        <v>850</v>
      </c>
      <c r="AK461" s="10">
        <v>850</v>
      </c>
      <c r="AL461" s="11">
        <f t="shared" si="12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484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22"/>
        <v>115010018</v>
      </c>
      <c r="B462" s="13">
        <v>11</v>
      </c>
      <c r="C462" s="12">
        <f t="shared" si="123"/>
        <v>5</v>
      </c>
      <c r="D462" s="13">
        <v>1</v>
      </c>
      <c r="E462" s="13">
        <v>0</v>
      </c>
      <c r="F462" s="12">
        <f t="shared" si="124"/>
        <v>18</v>
      </c>
      <c r="H462" s="9">
        <v>5</v>
      </c>
      <c r="I462" s="9">
        <v>18</v>
      </c>
      <c r="K462" s="9" t="s">
        <v>367</v>
      </c>
      <c r="L462" s="9">
        <v>0</v>
      </c>
      <c r="M462" s="9">
        <v>15</v>
      </c>
      <c r="R462" s="9">
        <v>2222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596</v>
      </c>
      <c r="AA462" s="9">
        <v>18</v>
      </c>
      <c r="AC462" s="9">
        <v>42000</v>
      </c>
      <c r="AE462" s="56">
        <f t="shared" si="129"/>
        <v>16800</v>
      </c>
      <c r="AF462" s="10">
        <f t="shared" si="127"/>
        <v>30400</v>
      </c>
      <c r="AH462" s="11">
        <f t="shared" si="128"/>
        <v>90</v>
      </c>
      <c r="AI462" s="10">
        <v>90</v>
      </c>
      <c r="AJ462" s="11">
        <f t="shared" si="125"/>
        <v>1050</v>
      </c>
      <c r="AK462" s="10">
        <v>1050</v>
      </c>
      <c r="AL462" s="11">
        <f t="shared" si="12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484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22"/>
        <v>115010019</v>
      </c>
      <c r="B463" s="13">
        <v>11</v>
      </c>
      <c r="C463" s="12">
        <f t="shared" si="123"/>
        <v>5</v>
      </c>
      <c r="D463" s="13">
        <v>1</v>
      </c>
      <c r="E463" s="13">
        <v>0</v>
      </c>
      <c r="F463" s="12">
        <f t="shared" si="124"/>
        <v>19</v>
      </c>
      <c r="H463" s="9">
        <v>5</v>
      </c>
      <c r="I463" s="9">
        <v>19</v>
      </c>
      <c r="K463" s="9" t="s">
        <v>367</v>
      </c>
      <c r="L463" s="9">
        <v>0</v>
      </c>
      <c r="M463" s="9">
        <v>15</v>
      </c>
      <c r="R463" s="9">
        <v>2222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596</v>
      </c>
      <c r="AA463" s="9">
        <v>19</v>
      </c>
      <c r="AC463" s="9">
        <v>50000</v>
      </c>
      <c r="AE463" s="56">
        <f t="shared" si="129"/>
        <v>20000</v>
      </c>
      <c r="AF463" s="10">
        <f t="shared" si="127"/>
        <v>36800</v>
      </c>
      <c r="AH463" s="11">
        <f t="shared" si="128"/>
        <v>95</v>
      </c>
      <c r="AI463" s="10">
        <v>95</v>
      </c>
      <c r="AJ463" s="11">
        <f t="shared" si="125"/>
        <v>1250</v>
      </c>
      <c r="AK463" s="10">
        <v>1250</v>
      </c>
      <c r="AL463" s="11">
        <f t="shared" si="12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484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22"/>
        <v>115010020</v>
      </c>
      <c r="B464" s="13">
        <v>11</v>
      </c>
      <c r="C464" s="12">
        <f t="shared" si="123"/>
        <v>5</v>
      </c>
      <c r="D464" s="13">
        <v>1</v>
      </c>
      <c r="E464" s="13">
        <v>0</v>
      </c>
      <c r="F464" s="12">
        <f t="shared" si="124"/>
        <v>20</v>
      </c>
      <c r="H464" s="9">
        <v>5</v>
      </c>
      <c r="I464" s="9">
        <v>20</v>
      </c>
      <c r="K464" s="9" t="s">
        <v>367</v>
      </c>
      <c r="L464" s="9">
        <v>0</v>
      </c>
      <c r="M464" s="9">
        <v>15</v>
      </c>
      <c r="R464" s="9">
        <v>2222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596</v>
      </c>
      <c r="AA464" s="9">
        <v>20</v>
      </c>
      <c r="AC464" s="9">
        <v>60000</v>
      </c>
      <c r="AE464" s="56">
        <f t="shared" si="129"/>
        <v>24000</v>
      </c>
      <c r="AF464" s="10">
        <f t="shared" si="127"/>
        <v>44000</v>
      </c>
      <c r="AH464" s="11">
        <f t="shared" si="128"/>
        <v>100</v>
      </c>
      <c r="AI464" s="10">
        <v>100</v>
      </c>
      <c r="AJ464" s="11">
        <f t="shared" si="125"/>
        <v>1500</v>
      </c>
      <c r="AK464" s="10">
        <v>1500</v>
      </c>
      <c r="AL464" s="11">
        <f t="shared" si="12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484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22"/>
        <v>115020001</v>
      </c>
      <c r="B465" s="20">
        <v>11</v>
      </c>
      <c r="C465" s="19">
        <f t="shared" si="123"/>
        <v>5</v>
      </c>
      <c r="D465" s="20">
        <v>2</v>
      </c>
      <c r="E465" s="20">
        <v>0</v>
      </c>
      <c r="F465" s="19">
        <f t="shared" si="124"/>
        <v>1</v>
      </c>
      <c r="G465" s="80"/>
      <c r="H465" s="16">
        <v>5</v>
      </c>
      <c r="I465" s="16">
        <v>1</v>
      </c>
      <c r="J465" s="80"/>
      <c r="K465" s="16" t="s">
        <v>379</v>
      </c>
      <c r="L465" s="16">
        <v>1</v>
      </c>
      <c r="M465" s="16">
        <v>15</v>
      </c>
      <c r="N465" s="16"/>
      <c r="O465" s="17"/>
      <c r="P465" s="17"/>
      <c r="Q465" s="18"/>
      <c r="R465" s="16">
        <v>3333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400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25"/>
        <v>5</v>
      </c>
      <c r="AK465" s="17">
        <v>5</v>
      </c>
      <c r="AL465" s="18">
        <f t="shared" si="12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496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518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22"/>
        <v>115020002</v>
      </c>
      <c r="B466" s="13">
        <v>11</v>
      </c>
      <c r="C466" s="12">
        <f t="shared" si="123"/>
        <v>5</v>
      </c>
      <c r="D466" s="13">
        <v>2</v>
      </c>
      <c r="E466" s="13">
        <v>0</v>
      </c>
      <c r="F466" s="12">
        <f t="shared" si="12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3333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396</v>
      </c>
      <c r="AA466" s="9">
        <v>2</v>
      </c>
      <c r="AC466" s="9">
        <v>400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25"/>
        <v>10</v>
      </c>
      <c r="AK466" s="10">
        <v>10</v>
      </c>
      <c r="AL466" s="11">
        <f t="shared" si="12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22"/>
        <v>115020003</v>
      </c>
      <c r="B467" s="13">
        <v>11</v>
      </c>
      <c r="C467" s="12">
        <f t="shared" si="123"/>
        <v>5</v>
      </c>
      <c r="D467" s="13">
        <v>2</v>
      </c>
      <c r="E467" s="13">
        <v>0</v>
      </c>
      <c r="F467" s="12">
        <f t="shared" si="124"/>
        <v>3</v>
      </c>
      <c r="H467" s="9">
        <v>5</v>
      </c>
      <c r="I467" s="9">
        <v>3</v>
      </c>
      <c r="K467" s="9" t="s">
        <v>365</v>
      </c>
      <c r="L467" s="9">
        <v>1</v>
      </c>
      <c r="M467" s="9">
        <v>15</v>
      </c>
      <c r="R467" s="9">
        <v>3333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395</v>
      </c>
      <c r="AA467" s="9">
        <v>3</v>
      </c>
      <c r="AC467" s="9">
        <v>1200</v>
      </c>
      <c r="AE467" s="56">
        <f t="shared" si="129"/>
        <v>240</v>
      </c>
      <c r="AF467" s="10">
        <f t="shared" ref="AF467:AF484" si="131">AE466+AE467</f>
        <v>400</v>
      </c>
      <c r="AH467" s="11">
        <f t="shared" si="128"/>
        <v>15</v>
      </c>
      <c r="AI467" s="10">
        <v>15</v>
      </c>
      <c r="AJ467" s="11">
        <f t="shared" si="125"/>
        <v>15</v>
      </c>
      <c r="AK467" s="10">
        <v>15</v>
      </c>
      <c r="AL467" s="11">
        <f t="shared" si="12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22"/>
        <v>115020004</v>
      </c>
      <c r="B468" s="13">
        <v>11</v>
      </c>
      <c r="C468" s="12">
        <f t="shared" si="123"/>
        <v>5</v>
      </c>
      <c r="D468" s="13">
        <v>2</v>
      </c>
      <c r="E468" s="13">
        <v>0</v>
      </c>
      <c r="F468" s="12">
        <f t="shared" si="124"/>
        <v>4</v>
      </c>
      <c r="H468" s="9">
        <v>5</v>
      </c>
      <c r="I468" s="9">
        <v>4</v>
      </c>
      <c r="K468" s="9" t="s">
        <v>365</v>
      </c>
      <c r="L468" s="9">
        <v>1</v>
      </c>
      <c r="M468" s="9">
        <v>15</v>
      </c>
      <c r="R468" s="9">
        <v>3333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395</v>
      </c>
      <c r="AA468" s="9">
        <v>4</v>
      </c>
      <c r="AC468" s="9">
        <v>2000</v>
      </c>
      <c r="AE468" s="56">
        <f t="shared" si="129"/>
        <v>400</v>
      </c>
      <c r="AF468" s="10">
        <f t="shared" si="131"/>
        <v>640</v>
      </c>
      <c r="AH468" s="11">
        <f t="shared" si="128"/>
        <v>20</v>
      </c>
      <c r="AI468" s="10">
        <v>20</v>
      </c>
      <c r="AJ468" s="11">
        <f t="shared" si="125"/>
        <v>25</v>
      </c>
      <c r="AK468" s="10">
        <v>25</v>
      </c>
      <c r="AL468" s="11">
        <f t="shared" si="12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22"/>
        <v>115020005</v>
      </c>
      <c r="B469" s="13">
        <v>11</v>
      </c>
      <c r="C469" s="12">
        <f t="shared" si="123"/>
        <v>5</v>
      </c>
      <c r="D469" s="13">
        <v>2</v>
      </c>
      <c r="E469" s="13">
        <v>0</v>
      </c>
      <c r="F469" s="12">
        <f t="shared" si="124"/>
        <v>5</v>
      </c>
      <c r="H469" s="9">
        <v>5</v>
      </c>
      <c r="I469" s="9">
        <v>5</v>
      </c>
      <c r="K469" s="9" t="s">
        <v>365</v>
      </c>
      <c r="L469" s="9">
        <v>1</v>
      </c>
      <c r="M469" s="9">
        <v>15</v>
      </c>
      <c r="R469" s="9">
        <v>3333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395</v>
      </c>
      <c r="AA469" s="9">
        <v>5</v>
      </c>
      <c r="AC469" s="9">
        <v>3200</v>
      </c>
      <c r="AE469" s="56">
        <f t="shared" si="129"/>
        <v>640</v>
      </c>
      <c r="AF469" s="10">
        <f t="shared" si="131"/>
        <v>1040</v>
      </c>
      <c r="AH469" s="11">
        <f t="shared" si="128"/>
        <v>25</v>
      </c>
      <c r="AI469" s="10">
        <v>25</v>
      </c>
      <c r="AJ469" s="11">
        <f t="shared" si="125"/>
        <v>40</v>
      </c>
      <c r="AK469" s="10">
        <v>40</v>
      </c>
      <c r="AL469" s="11">
        <f t="shared" si="12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22"/>
        <v>115020006</v>
      </c>
      <c r="B470" s="13">
        <v>11</v>
      </c>
      <c r="C470" s="12">
        <f t="shared" si="123"/>
        <v>5</v>
      </c>
      <c r="D470" s="13">
        <v>2</v>
      </c>
      <c r="E470" s="13">
        <v>0</v>
      </c>
      <c r="F470" s="12">
        <f t="shared" si="124"/>
        <v>6</v>
      </c>
      <c r="H470" s="9">
        <v>5</v>
      </c>
      <c r="I470" s="9">
        <v>6</v>
      </c>
      <c r="K470" s="9" t="s">
        <v>365</v>
      </c>
      <c r="L470" s="9">
        <v>1</v>
      </c>
      <c r="M470" s="9">
        <v>15</v>
      </c>
      <c r="R470" s="9">
        <v>3333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395</v>
      </c>
      <c r="AA470" s="9">
        <v>6</v>
      </c>
      <c r="AC470" s="9">
        <v>4000</v>
      </c>
      <c r="AE470" s="56">
        <f t="shared" si="129"/>
        <v>800</v>
      </c>
      <c r="AF470" s="10">
        <f t="shared" si="131"/>
        <v>1440</v>
      </c>
      <c r="AH470" s="11">
        <f t="shared" si="128"/>
        <v>30</v>
      </c>
      <c r="AI470" s="10">
        <v>30</v>
      </c>
      <c r="AJ470" s="11">
        <f t="shared" si="125"/>
        <v>50</v>
      </c>
      <c r="AK470" s="10">
        <v>50</v>
      </c>
      <c r="AL470" s="11">
        <f t="shared" si="12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22"/>
        <v>115020007</v>
      </c>
      <c r="B471" s="13">
        <v>11</v>
      </c>
      <c r="C471" s="12">
        <f t="shared" si="123"/>
        <v>5</v>
      </c>
      <c r="D471" s="13">
        <v>2</v>
      </c>
      <c r="E471" s="13">
        <v>0</v>
      </c>
      <c r="F471" s="12">
        <f t="shared" si="124"/>
        <v>7</v>
      </c>
      <c r="H471" s="9">
        <v>5</v>
      </c>
      <c r="I471" s="9">
        <v>7</v>
      </c>
      <c r="K471" s="9" t="s">
        <v>365</v>
      </c>
      <c r="L471" s="9">
        <v>1</v>
      </c>
      <c r="M471" s="9">
        <v>15</v>
      </c>
      <c r="R471" s="9">
        <v>3333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395</v>
      </c>
      <c r="AA471" s="9">
        <v>7</v>
      </c>
      <c r="AC471" s="9">
        <v>8000</v>
      </c>
      <c r="AE471" s="56">
        <f t="shared" si="129"/>
        <v>1600</v>
      </c>
      <c r="AF471" s="10">
        <f t="shared" si="131"/>
        <v>2400</v>
      </c>
      <c r="AH471" s="11">
        <f t="shared" si="128"/>
        <v>35</v>
      </c>
      <c r="AI471" s="10">
        <v>35</v>
      </c>
      <c r="AJ471" s="11">
        <f t="shared" si="125"/>
        <v>100</v>
      </c>
      <c r="AK471" s="10">
        <v>100</v>
      </c>
      <c r="AL471" s="11">
        <f t="shared" si="12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22"/>
        <v>115020008</v>
      </c>
      <c r="B472" s="13">
        <v>11</v>
      </c>
      <c r="C472" s="12">
        <f t="shared" si="123"/>
        <v>5</v>
      </c>
      <c r="D472" s="13">
        <v>2</v>
      </c>
      <c r="E472" s="13">
        <v>0</v>
      </c>
      <c r="F472" s="12">
        <f t="shared" si="124"/>
        <v>8</v>
      </c>
      <c r="H472" s="9">
        <v>5</v>
      </c>
      <c r="I472" s="9">
        <v>8</v>
      </c>
      <c r="K472" s="9" t="s">
        <v>365</v>
      </c>
      <c r="L472" s="9">
        <v>1</v>
      </c>
      <c r="M472" s="9">
        <v>15</v>
      </c>
      <c r="R472" s="9">
        <v>3333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395</v>
      </c>
      <c r="AA472" s="9">
        <v>8</v>
      </c>
      <c r="AC472" s="9">
        <v>8000</v>
      </c>
      <c r="AE472" s="56">
        <f t="shared" si="129"/>
        <v>1600</v>
      </c>
      <c r="AF472" s="10">
        <f t="shared" si="131"/>
        <v>3200</v>
      </c>
      <c r="AH472" s="11">
        <f t="shared" si="128"/>
        <v>40</v>
      </c>
      <c r="AI472" s="10">
        <v>40</v>
      </c>
      <c r="AJ472" s="11">
        <f t="shared" si="125"/>
        <v>100</v>
      </c>
      <c r="AK472" s="10">
        <v>100</v>
      </c>
      <c r="AL472" s="11">
        <f t="shared" si="12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32">B473*10000000+C473*1000000+D473*10000+E473*100+F473</f>
        <v>115020009</v>
      </c>
      <c r="B473" s="13">
        <v>11</v>
      </c>
      <c r="C473" s="12">
        <f t="shared" ref="C473:C536" si="133">H473</f>
        <v>5</v>
      </c>
      <c r="D473" s="13">
        <v>2</v>
      </c>
      <c r="E473" s="13">
        <v>0</v>
      </c>
      <c r="F473" s="12">
        <f t="shared" ref="F473:F536" si="134">I473</f>
        <v>9</v>
      </c>
      <c r="H473" s="9">
        <v>5</v>
      </c>
      <c r="I473" s="9">
        <v>9</v>
      </c>
      <c r="K473" s="9" t="s">
        <v>365</v>
      </c>
      <c r="L473" s="9">
        <v>1</v>
      </c>
      <c r="M473" s="9">
        <v>15</v>
      </c>
      <c r="R473" s="9">
        <v>3333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395</v>
      </c>
      <c r="AA473" s="9">
        <v>9</v>
      </c>
      <c r="AC473" s="9">
        <v>12000</v>
      </c>
      <c r="AE473" s="56">
        <f t="shared" si="129"/>
        <v>2400</v>
      </c>
      <c r="AF473" s="10">
        <f t="shared" si="131"/>
        <v>4000</v>
      </c>
      <c r="AH473" s="11">
        <f t="shared" si="128"/>
        <v>45</v>
      </c>
      <c r="AI473" s="10">
        <v>45</v>
      </c>
      <c r="AJ473" s="11">
        <f t="shared" si="125"/>
        <v>150</v>
      </c>
      <c r="AK473" s="10">
        <v>150</v>
      </c>
      <c r="AL473" s="11">
        <f t="shared" si="12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115020010</v>
      </c>
      <c r="B474" s="13">
        <v>11</v>
      </c>
      <c r="C474" s="12">
        <f t="shared" si="133"/>
        <v>5</v>
      </c>
      <c r="D474" s="13">
        <v>2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365</v>
      </c>
      <c r="L474" s="9">
        <v>1</v>
      </c>
      <c r="M474" s="9">
        <v>15</v>
      </c>
      <c r="R474" s="9">
        <v>3333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395</v>
      </c>
      <c r="AA474" s="9">
        <v>10</v>
      </c>
      <c r="AC474" s="9">
        <v>16000</v>
      </c>
      <c r="AE474" s="56">
        <f t="shared" si="129"/>
        <v>3700</v>
      </c>
      <c r="AF474" s="10">
        <f t="shared" si="131"/>
        <v>6100</v>
      </c>
      <c r="AH474" s="11">
        <f t="shared" si="128"/>
        <v>50</v>
      </c>
      <c r="AI474" s="10">
        <v>50</v>
      </c>
      <c r="AJ474" s="11">
        <f t="shared" ref="AJ474:AL537" si="135">ROUND(AK474,0)</f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si="130"/>
        <v>2</v>
      </c>
      <c r="AP474" s="11">
        <f ca="1">IFERROR(OFFSET(ITEM_RES!$A$1,MATCH(AQ474,ITEM_RES!$J:$J,0)-1,0),0)</f>
        <v>212040001</v>
      </c>
      <c r="AQ474" s="10" t="s">
        <v>473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213160001</v>
      </c>
      <c r="BF474" s="10" t="s">
        <v>529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115020011</v>
      </c>
      <c r="B475" s="13">
        <v>11</v>
      </c>
      <c r="C475" s="12">
        <f t="shared" si="133"/>
        <v>5</v>
      </c>
      <c r="D475" s="13">
        <v>2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365</v>
      </c>
      <c r="L475" s="9">
        <v>1</v>
      </c>
      <c r="M475" s="9">
        <v>15</v>
      </c>
      <c r="R475" s="9">
        <v>3333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395</v>
      </c>
      <c r="AA475" s="9">
        <v>11</v>
      </c>
      <c r="AC475" s="9">
        <v>20000</v>
      </c>
      <c r="AE475" s="56">
        <f t="shared" si="129"/>
        <v>4000</v>
      </c>
      <c r="AF475" s="10">
        <f t="shared" si="131"/>
        <v>7700</v>
      </c>
      <c r="AH475" s="11">
        <f t="shared" si="12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30"/>
        <v>1</v>
      </c>
      <c r="AP475" s="11">
        <f ca="1">IFERROR(OFFSET(ITEM_RES!$A$1,MATCH(AQ475,ITEM_RES!$J:$J,0)-1,0),0)</f>
        <v>212040001</v>
      </c>
      <c r="AQ475" s="10" t="s">
        <v>473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115020012</v>
      </c>
      <c r="B476" s="13">
        <v>11</v>
      </c>
      <c r="C476" s="12">
        <f t="shared" si="133"/>
        <v>5</v>
      </c>
      <c r="D476" s="13">
        <v>2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365</v>
      </c>
      <c r="L476" s="9">
        <v>1</v>
      </c>
      <c r="M476" s="9">
        <v>15</v>
      </c>
      <c r="R476" s="9">
        <v>3333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395</v>
      </c>
      <c r="AA476" s="9">
        <v>12</v>
      </c>
      <c r="AC476" s="9">
        <v>24000</v>
      </c>
      <c r="AE476" s="56">
        <f t="shared" si="129"/>
        <v>4800</v>
      </c>
      <c r="AF476" s="10">
        <f t="shared" si="131"/>
        <v>8800</v>
      </c>
      <c r="AH476" s="11">
        <f t="shared" si="12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30"/>
        <v>1</v>
      </c>
      <c r="AP476" s="11">
        <f ca="1">IFERROR(OFFSET(ITEM_RES!$A$1,MATCH(AQ476,ITEM_RES!$J:$J,0)-1,0),0)</f>
        <v>212040001</v>
      </c>
      <c r="AQ476" s="10" t="s">
        <v>473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115020013</v>
      </c>
      <c r="B477" s="13">
        <v>11</v>
      </c>
      <c r="C477" s="12">
        <f t="shared" si="133"/>
        <v>5</v>
      </c>
      <c r="D477" s="13">
        <v>2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365</v>
      </c>
      <c r="L477" s="9">
        <v>1</v>
      </c>
      <c r="M477" s="9">
        <v>15</v>
      </c>
      <c r="R477" s="9">
        <v>3333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395</v>
      </c>
      <c r="AA477" s="9">
        <v>13</v>
      </c>
      <c r="AC477" s="9">
        <v>28000</v>
      </c>
      <c r="AE477" s="56">
        <f t="shared" si="129"/>
        <v>5600</v>
      </c>
      <c r="AF477" s="10">
        <f t="shared" si="131"/>
        <v>10400</v>
      </c>
      <c r="AH477" s="11">
        <f t="shared" si="12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30"/>
        <v>1</v>
      </c>
      <c r="AP477" s="11">
        <f ca="1">IFERROR(OFFSET(ITEM_RES!$A$1,MATCH(AQ477,ITEM_RES!$J:$J,0)-1,0),0)</f>
        <v>212040001</v>
      </c>
      <c r="AQ477" s="10" t="s">
        <v>473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115020014</v>
      </c>
      <c r="B478" s="13">
        <v>11</v>
      </c>
      <c r="C478" s="12">
        <f t="shared" si="133"/>
        <v>5</v>
      </c>
      <c r="D478" s="13">
        <v>2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365</v>
      </c>
      <c r="L478" s="9">
        <v>1</v>
      </c>
      <c r="M478" s="9">
        <v>15</v>
      </c>
      <c r="R478" s="9">
        <v>3333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395</v>
      </c>
      <c r="AA478" s="9">
        <v>14</v>
      </c>
      <c r="AC478" s="9">
        <v>36000</v>
      </c>
      <c r="AE478" s="56">
        <f t="shared" si="129"/>
        <v>7200</v>
      </c>
      <c r="AF478" s="10">
        <f t="shared" si="131"/>
        <v>12800</v>
      </c>
      <c r="AH478" s="11">
        <f t="shared" si="12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30"/>
        <v>1</v>
      </c>
      <c r="AP478" s="11">
        <f ca="1">IFERROR(OFFSET(ITEM_RES!$A$1,MATCH(AQ478,ITEM_RES!$J:$J,0)-1,0),0)</f>
        <v>212040001</v>
      </c>
      <c r="AQ478" s="10" t="s">
        <v>473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115020015</v>
      </c>
      <c r="B479" s="13">
        <v>11</v>
      </c>
      <c r="C479" s="12">
        <f t="shared" si="133"/>
        <v>5</v>
      </c>
      <c r="D479" s="13">
        <v>2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365</v>
      </c>
      <c r="L479" s="9">
        <v>1</v>
      </c>
      <c r="M479" s="9">
        <v>15</v>
      </c>
      <c r="R479" s="9">
        <v>3333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395</v>
      </c>
      <c r="AA479" s="9">
        <v>15</v>
      </c>
      <c r="AC479" s="9">
        <v>44000</v>
      </c>
      <c r="AE479" s="56">
        <f t="shared" si="129"/>
        <v>8800</v>
      </c>
      <c r="AF479" s="10">
        <f t="shared" si="131"/>
        <v>16000</v>
      </c>
      <c r="AH479" s="11">
        <f t="shared" si="12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30"/>
        <v>1</v>
      </c>
      <c r="AP479" s="11">
        <f ca="1">IFERROR(OFFSET(ITEM_RES!$A$1,MATCH(AQ479,ITEM_RES!$J:$J,0)-1,0),0)</f>
        <v>215050001</v>
      </c>
      <c r="AQ479" s="10" t="s">
        <v>484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115020016</v>
      </c>
      <c r="B480" s="13">
        <v>11</v>
      </c>
      <c r="C480" s="12">
        <f t="shared" si="133"/>
        <v>5</v>
      </c>
      <c r="D480" s="13">
        <v>2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365</v>
      </c>
      <c r="L480" s="9">
        <v>0</v>
      </c>
      <c r="M480" s="9">
        <v>15</v>
      </c>
      <c r="R480" s="9">
        <v>3333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395</v>
      </c>
      <c r="AA480" s="9">
        <v>16</v>
      </c>
      <c r="AC480" s="9">
        <v>56000</v>
      </c>
      <c r="AE480" s="56">
        <f t="shared" si="129"/>
        <v>11200</v>
      </c>
      <c r="AF480" s="10">
        <f t="shared" si="131"/>
        <v>20000</v>
      </c>
      <c r="AH480" s="11">
        <f t="shared" si="12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30"/>
        <v>1</v>
      </c>
      <c r="AP480" s="11">
        <f ca="1">IFERROR(OFFSET(ITEM_RES!$A$1,MATCH(AQ480,ITEM_RES!$J:$J,0)-1,0),0)</f>
        <v>215050001</v>
      </c>
      <c r="AQ480" s="10" t="s">
        <v>484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115020017</v>
      </c>
      <c r="B481" s="13">
        <v>11</v>
      </c>
      <c r="C481" s="12">
        <f t="shared" si="133"/>
        <v>5</v>
      </c>
      <c r="D481" s="13">
        <v>2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365</v>
      </c>
      <c r="L481" s="9">
        <v>0</v>
      </c>
      <c r="M481" s="9">
        <v>15</v>
      </c>
      <c r="R481" s="9">
        <v>3333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395</v>
      </c>
      <c r="AA481" s="9">
        <v>17</v>
      </c>
      <c r="AC481" s="9">
        <v>68000</v>
      </c>
      <c r="AE481" s="56">
        <f t="shared" si="129"/>
        <v>13600</v>
      </c>
      <c r="AF481" s="10">
        <f t="shared" si="131"/>
        <v>24800</v>
      </c>
      <c r="AH481" s="11">
        <f t="shared" si="12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30"/>
        <v>1</v>
      </c>
      <c r="AP481" s="11">
        <f ca="1">IFERROR(OFFSET(ITEM_RES!$A$1,MATCH(AQ481,ITEM_RES!$J:$J,0)-1,0),0)</f>
        <v>215050001</v>
      </c>
      <c r="AQ481" s="10" t="s">
        <v>484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115020018</v>
      </c>
      <c r="B482" s="13">
        <v>11</v>
      </c>
      <c r="C482" s="12">
        <f t="shared" si="133"/>
        <v>5</v>
      </c>
      <c r="D482" s="13">
        <v>2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365</v>
      </c>
      <c r="L482" s="9">
        <v>0</v>
      </c>
      <c r="M482" s="9">
        <v>15</v>
      </c>
      <c r="R482" s="9">
        <v>3333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395</v>
      </c>
      <c r="AA482" s="9">
        <v>18</v>
      </c>
      <c r="AC482" s="9">
        <v>84000</v>
      </c>
      <c r="AE482" s="56">
        <f t="shared" si="129"/>
        <v>16800</v>
      </c>
      <c r="AF482" s="10">
        <f t="shared" si="131"/>
        <v>30400</v>
      </c>
      <c r="AH482" s="11">
        <f t="shared" si="12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30"/>
        <v>1</v>
      </c>
      <c r="AP482" s="11">
        <f ca="1">IFERROR(OFFSET(ITEM_RES!$A$1,MATCH(AQ482,ITEM_RES!$J:$J,0)-1,0),0)</f>
        <v>215050001</v>
      </c>
      <c r="AQ482" s="10" t="s">
        <v>484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115020019</v>
      </c>
      <c r="B483" s="13">
        <v>11</v>
      </c>
      <c r="C483" s="12">
        <f t="shared" si="133"/>
        <v>5</v>
      </c>
      <c r="D483" s="13">
        <v>2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365</v>
      </c>
      <c r="L483" s="9">
        <v>0</v>
      </c>
      <c r="M483" s="9">
        <v>15</v>
      </c>
      <c r="R483" s="9">
        <v>3333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395</v>
      </c>
      <c r="AA483" s="9">
        <v>19</v>
      </c>
      <c r="AC483" s="9">
        <v>100000</v>
      </c>
      <c r="AE483" s="56">
        <f t="shared" si="129"/>
        <v>20000</v>
      </c>
      <c r="AF483" s="10">
        <f t="shared" si="131"/>
        <v>36800</v>
      </c>
      <c r="AH483" s="11">
        <f t="shared" si="12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30"/>
        <v>1</v>
      </c>
      <c r="AP483" s="11">
        <f ca="1">IFERROR(OFFSET(ITEM_RES!$A$1,MATCH(AQ483,ITEM_RES!$J:$J,0)-1,0),0)</f>
        <v>215050001</v>
      </c>
      <c r="AQ483" s="10" t="s">
        <v>484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115020020</v>
      </c>
      <c r="B484" s="13">
        <v>11</v>
      </c>
      <c r="C484" s="12">
        <f t="shared" si="133"/>
        <v>5</v>
      </c>
      <c r="D484" s="13">
        <v>2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365</v>
      </c>
      <c r="L484" s="9">
        <v>0</v>
      </c>
      <c r="M484" s="9">
        <v>15</v>
      </c>
      <c r="R484" s="9">
        <v>3333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395</v>
      </c>
      <c r="AA484" s="9">
        <v>20</v>
      </c>
      <c r="AC484" s="9">
        <v>120000</v>
      </c>
      <c r="AE484" s="56">
        <f t="shared" si="129"/>
        <v>24000</v>
      </c>
      <c r="AF484" s="10">
        <f t="shared" si="131"/>
        <v>44000</v>
      </c>
      <c r="AH484" s="11">
        <f t="shared" si="12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30"/>
        <v>1</v>
      </c>
      <c r="AP484" s="11">
        <f ca="1">IFERROR(OFFSET(ITEM_RES!$A$1,MATCH(AQ484,ITEM_RES!$J:$J,0)-1,0),0)</f>
        <v>215050001</v>
      </c>
      <c r="AQ484" s="10" t="s">
        <v>484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115030001</v>
      </c>
      <c r="B485" s="20">
        <v>11</v>
      </c>
      <c r="C485" s="19">
        <f t="shared" si="133"/>
        <v>5</v>
      </c>
      <c r="D485" s="20">
        <v>3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380</v>
      </c>
      <c r="L485" s="16">
        <v>1</v>
      </c>
      <c r="M485" s="16">
        <v>15</v>
      </c>
      <c r="N485" s="16"/>
      <c r="O485" s="17"/>
      <c r="P485" s="17"/>
      <c r="Q485" s="18"/>
      <c r="R485" s="16">
        <v>4444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398</v>
      </c>
      <c r="AA485" s="16">
        <v>1</v>
      </c>
      <c r="AB485" s="80"/>
      <c r="AC485" s="16">
        <v>0</v>
      </c>
      <c r="AD485" s="80"/>
      <c r="AE485" s="57">
        <f t="shared" si="129"/>
        <v>1080</v>
      </c>
      <c r="AF485" s="17">
        <f>AE485</f>
        <v>1080</v>
      </c>
      <c r="AG485" s="80"/>
      <c r="AH485" s="18">
        <f t="shared" si="12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30"/>
        <v>3</v>
      </c>
      <c r="AO485" s="18"/>
      <c r="AP485" s="18">
        <f ca="1">IFERROR(OFFSET(ITEM_RES!$A$1,MATCH(AQ485,ITEM_RES!$J:$J,0)-1,0),0)</f>
        <v>212040001</v>
      </c>
      <c r="AQ485" s="17" t="s">
        <v>470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496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518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115030002</v>
      </c>
      <c r="B486" s="13">
        <v>11</v>
      </c>
      <c r="C486" s="12">
        <f t="shared" si="133"/>
        <v>5</v>
      </c>
      <c r="D486" s="13">
        <v>3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366</v>
      </c>
      <c r="L486" s="9">
        <v>1</v>
      </c>
      <c r="M486" s="9">
        <v>15</v>
      </c>
      <c r="R486" s="9">
        <v>4444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397</v>
      </c>
      <c r="AA486" s="9">
        <v>2</v>
      </c>
      <c r="AC486" s="9">
        <v>200</v>
      </c>
      <c r="AE486" s="56">
        <f t="shared" si="129"/>
        <v>160</v>
      </c>
      <c r="AF486" s="10">
        <f>AE485+AE486</f>
        <v>1240</v>
      </c>
      <c r="AH486" s="11">
        <f t="shared" si="12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30"/>
        <v>1</v>
      </c>
      <c r="AP486" s="11">
        <f ca="1">IFERROR(OFFSET(ITEM_RES!$A$1,MATCH(AQ486,ITEM_RES!$J:$J,0)-1,0),0)</f>
        <v>212040001</v>
      </c>
      <c r="AQ486" s="10" t="s">
        <v>470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115030003</v>
      </c>
      <c r="B487" s="13">
        <v>11</v>
      </c>
      <c r="C487" s="12">
        <f t="shared" si="133"/>
        <v>5</v>
      </c>
      <c r="D487" s="13">
        <v>3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366</v>
      </c>
      <c r="L487" s="9">
        <v>1</v>
      </c>
      <c r="M487" s="9">
        <v>15</v>
      </c>
      <c r="R487" s="9">
        <v>4444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397</v>
      </c>
      <c r="AA487" s="9">
        <v>3</v>
      </c>
      <c r="AC487" s="9">
        <v>600</v>
      </c>
      <c r="AE487" s="56">
        <f t="shared" si="129"/>
        <v>240</v>
      </c>
      <c r="AF487" s="10">
        <f t="shared" ref="AF487:AF504" si="136">AE486+AE487</f>
        <v>400</v>
      </c>
      <c r="AH487" s="11">
        <f t="shared" si="12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30"/>
        <v>1</v>
      </c>
      <c r="AP487" s="11">
        <f ca="1">IFERROR(OFFSET(ITEM_RES!$A$1,MATCH(AQ487,ITEM_RES!$J:$J,0)-1,0),0)</f>
        <v>212040001</v>
      </c>
      <c r="AQ487" s="10" t="s">
        <v>470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115030004</v>
      </c>
      <c r="B488" s="13">
        <v>11</v>
      </c>
      <c r="C488" s="12">
        <f t="shared" si="133"/>
        <v>5</v>
      </c>
      <c r="D488" s="13">
        <v>3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366</v>
      </c>
      <c r="L488" s="9">
        <v>1</v>
      </c>
      <c r="M488" s="9">
        <v>15</v>
      </c>
      <c r="R488" s="9">
        <v>4444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397</v>
      </c>
      <c r="AA488" s="9">
        <v>4</v>
      </c>
      <c r="AC488" s="9">
        <v>1000</v>
      </c>
      <c r="AE488" s="56">
        <f t="shared" si="129"/>
        <v>400</v>
      </c>
      <c r="AF488" s="10">
        <f t="shared" si="136"/>
        <v>640</v>
      </c>
      <c r="AH488" s="11">
        <f t="shared" si="12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30"/>
        <v>1</v>
      </c>
      <c r="AP488" s="11">
        <f ca="1">IFERROR(OFFSET(ITEM_RES!$A$1,MATCH(AQ488,ITEM_RES!$J:$J,0)-1,0),0)</f>
        <v>212040001</v>
      </c>
      <c r="AQ488" s="10" t="s">
        <v>470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115030005</v>
      </c>
      <c r="B489" s="13">
        <v>11</v>
      </c>
      <c r="C489" s="12">
        <f t="shared" si="133"/>
        <v>5</v>
      </c>
      <c r="D489" s="13">
        <v>3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366</v>
      </c>
      <c r="L489" s="9">
        <v>1</v>
      </c>
      <c r="M489" s="9">
        <v>15</v>
      </c>
      <c r="R489" s="9">
        <v>4444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397</v>
      </c>
      <c r="AA489" s="9">
        <v>5</v>
      </c>
      <c r="AC489" s="9">
        <v>1600</v>
      </c>
      <c r="AE489" s="56">
        <f t="shared" si="129"/>
        <v>640</v>
      </c>
      <c r="AF489" s="10">
        <f t="shared" si="136"/>
        <v>1040</v>
      </c>
      <c r="AH489" s="11">
        <f t="shared" si="12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30"/>
        <v>1</v>
      </c>
      <c r="AP489" s="11">
        <f ca="1">IFERROR(OFFSET(ITEM_RES!$A$1,MATCH(AQ489,ITEM_RES!$J:$J,0)-1,0),0)</f>
        <v>212040001</v>
      </c>
      <c r="AQ489" s="10" t="s">
        <v>470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115030006</v>
      </c>
      <c r="B490" s="13">
        <v>11</v>
      </c>
      <c r="C490" s="12">
        <f t="shared" si="133"/>
        <v>5</v>
      </c>
      <c r="D490" s="13">
        <v>3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366</v>
      </c>
      <c r="L490" s="9">
        <v>1</v>
      </c>
      <c r="M490" s="9">
        <v>15</v>
      </c>
      <c r="R490" s="9">
        <v>4444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397</v>
      </c>
      <c r="AA490" s="9">
        <v>6</v>
      </c>
      <c r="AC490" s="9">
        <v>2000</v>
      </c>
      <c r="AE490" s="56">
        <f t="shared" si="129"/>
        <v>800</v>
      </c>
      <c r="AF490" s="10">
        <f t="shared" si="136"/>
        <v>1440</v>
      </c>
      <c r="AH490" s="11">
        <f t="shared" si="12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30"/>
        <v>1</v>
      </c>
      <c r="AP490" s="11">
        <f ca="1">IFERROR(OFFSET(ITEM_RES!$A$1,MATCH(AQ490,ITEM_RES!$J:$J,0)-1,0),0)</f>
        <v>212040001</v>
      </c>
      <c r="AQ490" s="10" t="s">
        <v>470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115030007</v>
      </c>
      <c r="B491" s="13">
        <v>11</v>
      </c>
      <c r="C491" s="12">
        <f t="shared" si="133"/>
        <v>5</v>
      </c>
      <c r="D491" s="13">
        <v>3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366</v>
      </c>
      <c r="L491" s="9">
        <v>1</v>
      </c>
      <c r="M491" s="9">
        <v>15</v>
      </c>
      <c r="R491" s="9">
        <v>4444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397</v>
      </c>
      <c r="AA491" s="9">
        <v>7</v>
      </c>
      <c r="AC491" s="9">
        <v>4000</v>
      </c>
      <c r="AE491" s="56">
        <f t="shared" si="129"/>
        <v>1600</v>
      </c>
      <c r="AF491" s="10">
        <f t="shared" si="136"/>
        <v>2400</v>
      </c>
      <c r="AH491" s="11">
        <f t="shared" si="12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30"/>
        <v>1</v>
      </c>
      <c r="AP491" s="11">
        <f ca="1">IFERROR(OFFSET(ITEM_RES!$A$1,MATCH(AQ491,ITEM_RES!$J:$J,0)-1,0),0)</f>
        <v>212040001</v>
      </c>
      <c r="AQ491" s="10" t="s">
        <v>470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115030008</v>
      </c>
      <c r="B492" s="13">
        <v>11</v>
      </c>
      <c r="C492" s="12">
        <f t="shared" si="133"/>
        <v>5</v>
      </c>
      <c r="D492" s="13">
        <v>3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366</v>
      </c>
      <c r="L492" s="9">
        <v>1</v>
      </c>
      <c r="M492" s="9">
        <v>15</v>
      </c>
      <c r="R492" s="9">
        <v>4444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397</v>
      </c>
      <c r="AA492" s="9">
        <v>8</v>
      </c>
      <c r="AC492" s="9">
        <v>4000</v>
      </c>
      <c r="AE492" s="56">
        <f t="shared" si="129"/>
        <v>2100</v>
      </c>
      <c r="AF492" s="10">
        <f t="shared" si="136"/>
        <v>3700</v>
      </c>
      <c r="AH492" s="11">
        <f t="shared" si="12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30"/>
        <v>2</v>
      </c>
      <c r="AP492" s="11">
        <f ca="1">IFERROR(OFFSET(ITEM_RES!$A$1,MATCH(AQ492,ITEM_RES!$J:$J,0)-1,0),0)</f>
        <v>212040001</v>
      </c>
      <c r="AQ492" s="10" t="s">
        <v>470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523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32"/>
        <v>115030009</v>
      </c>
      <c r="B493" s="13">
        <v>11</v>
      </c>
      <c r="C493" s="12">
        <f t="shared" si="133"/>
        <v>5</v>
      </c>
      <c r="D493" s="13">
        <v>3</v>
      </c>
      <c r="E493" s="13">
        <v>0</v>
      </c>
      <c r="F493" s="12">
        <f t="shared" si="134"/>
        <v>9</v>
      </c>
      <c r="H493" s="9">
        <v>5</v>
      </c>
      <c r="I493" s="9">
        <v>9</v>
      </c>
      <c r="K493" s="9" t="s">
        <v>366</v>
      </c>
      <c r="L493" s="9">
        <v>1</v>
      </c>
      <c r="M493" s="9">
        <v>15</v>
      </c>
      <c r="R493" s="9">
        <v>4444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397</v>
      </c>
      <c r="AA493" s="9">
        <v>9</v>
      </c>
      <c r="AC493" s="9">
        <v>6000</v>
      </c>
      <c r="AE493" s="56">
        <f t="shared" si="129"/>
        <v>2400</v>
      </c>
      <c r="AF493" s="10">
        <f t="shared" si="136"/>
        <v>4500</v>
      </c>
      <c r="AH493" s="11">
        <f t="shared" si="12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30"/>
        <v>1</v>
      </c>
      <c r="AP493" s="11">
        <f ca="1">IFERROR(OFFSET(ITEM_RES!$A$1,MATCH(AQ493,ITEM_RES!$J:$J,0)-1,0),0)</f>
        <v>212040001</v>
      </c>
      <c r="AQ493" s="10" t="s">
        <v>470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32"/>
        <v>115030010</v>
      </c>
      <c r="B494" s="13">
        <v>11</v>
      </c>
      <c r="C494" s="12">
        <f t="shared" si="133"/>
        <v>5</v>
      </c>
      <c r="D494" s="13">
        <v>3</v>
      </c>
      <c r="E494" s="13">
        <v>0</v>
      </c>
      <c r="F494" s="12">
        <f t="shared" si="134"/>
        <v>10</v>
      </c>
      <c r="H494" s="9">
        <v>5</v>
      </c>
      <c r="I494" s="9">
        <v>10</v>
      </c>
      <c r="K494" s="9" t="s">
        <v>366</v>
      </c>
      <c r="L494" s="9">
        <v>1</v>
      </c>
      <c r="M494" s="9">
        <v>15</v>
      </c>
      <c r="R494" s="9">
        <v>4444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397</v>
      </c>
      <c r="AA494" s="9">
        <v>10</v>
      </c>
      <c r="AC494" s="9">
        <v>8000</v>
      </c>
      <c r="AE494" s="56">
        <f t="shared" si="129"/>
        <v>3200</v>
      </c>
      <c r="AF494" s="10">
        <f t="shared" si="136"/>
        <v>5600</v>
      </c>
      <c r="AH494" s="11">
        <f t="shared" si="128"/>
        <v>50</v>
      </c>
      <c r="AI494" s="10">
        <v>50</v>
      </c>
      <c r="AJ494" s="11">
        <f t="shared" si="135"/>
        <v>200</v>
      </c>
      <c r="AK494" s="10">
        <v>200</v>
      </c>
      <c r="AL494" s="11">
        <f t="shared" si="135"/>
        <v>200</v>
      </c>
      <c r="AM494" s="10">
        <v>200</v>
      </c>
      <c r="AN494" s="56">
        <f t="shared" si="130"/>
        <v>1</v>
      </c>
      <c r="AP494" s="11">
        <f ca="1">IFERROR(OFFSET(ITEM_RES!$A$1,MATCH(AQ494,ITEM_RES!$J:$J,0)-1,0),0)</f>
        <v>212040001</v>
      </c>
      <c r="AQ494" s="10" t="s">
        <v>470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32"/>
        <v>115030011</v>
      </c>
      <c r="B495" s="13">
        <v>11</v>
      </c>
      <c r="C495" s="12">
        <f t="shared" si="133"/>
        <v>5</v>
      </c>
      <c r="D495" s="13">
        <v>3</v>
      </c>
      <c r="E495" s="13">
        <v>0</v>
      </c>
      <c r="F495" s="12">
        <f t="shared" si="134"/>
        <v>11</v>
      </c>
      <c r="H495" s="9">
        <v>5</v>
      </c>
      <c r="I495" s="9">
        <v>11</v>
      </c>
      <c r="K495" s="9" t="s">
        <v>366</v>
      </c>
      <c r="L495" s="9">
        <v>1</v>
      </c>
      <c r="M495" s="9">
        <v>15</v>
      </c>
      <c r="R495" s="9">
        <v>4444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397</v>
      </c>
      <c r="AA495" s="9">
        <v>11</v>
      </c>
      <c r="AC495" s="9">
        <v>10000</v>
      </c>
      <c r="AE495" s="56">
        <f t="shared" si="129"/>
        <v>4000</v>
      </c>
      <c r="AF495" s="10">
        <f t="shared" si="136"/>
        <v>7200</v>
      </c>
      <c r="AH495" s="11">
        <f t="shared" si="128"/>
        <v>55</v>
      </c>
      <c r="AI495" s="10">
        <v>55</v>
      </c>
      <c r="AJ495" s="11">
        <f t="shared" si="135"/>
        <v>250</v>
      </c>
      <c r="AK495" s="10">
        <v>250</v>
      </c>
      <c r="AL495" s="11">
        <f t="shared" si="135"/>
        <v>250</v>
      </c>
      <c r="AM495" s="10">
        <v>250</v>
      </c>
      <c r="AN495" s="56">
        <f t="shared" si="130"/>
        <v>1</v>
      </c>
      <c r="AP495" s="11">
        <f ca="1">IFERROR(OFFSET(ITEM_RES!$A$1,MATCH(AQ495,ITEM_RES!$J:$J,0)-1,0),0)</f>
        <v>212040001</v>
      </c>
      <c r="AQ495" s="10" t="s">
        <v>470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32"/>
        <v>115030012</v>
      </c>
      <c r="B496" s="13">
        <v>11</v>
      </c>
      <c r="C496" s="12">
        <f t="shared" si="133"/>
        <v>5</v>
      </c>
      <c r="D496" s="13">
        <v>3</v>
      </c>
      <c r="E496" s="13">
        <v>0</v>
      </c>
      <c r="F496" s="12">
        <f t="shared" si="134"/>
        <v>12</v>
      </c>
      <c r="H496" s="9">
        <v>5</v>
      </c>
      <c r="I496" s="9">
        <v>12</v>
      </c>
      <c r="K496" s="9" t="s">
        <v>366</v>
      </c>
      <c r="L496" s="9">
        <v>1</v>
      </c>
      <c r="M496" s="9">
        <v>15</v>
      </c>
      <c r="R496" s="9">
        <v>4444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397</v>
      </c>
      <c r="AA496" s="9">
        <v>12</v>
      </c>
      <c r="AC496" s="9">
        <v>12000</v>
      </c>
      <c r="AE496" s="56">
        <f t="shared" si="129"/>
        <v>4800</v>
      </c>
      <c r="AF496" s="10">
        <f t="shared" si="136"/>
        <v>8800</v>
      </c>
      <c r="AH496" s="11">
        <f t="shared" si="128"/>
        <v>60</v>
      </c>
      <c r="AI496" s="10">
        <v>60</v>
      </c>
      <c r="AJ496" s="11">
        <f t="shared" si="135"/>
        <v>300</v>
      </c>
      <c r="AK496" s="10">
        <v>300</v>
      </c>
      <c r="AL496" s="11">
        <f t="shared" si="135"/>
        <v>300</v>
      </c>
      <c r="AM496" s="10">
        <v>300</v>
      </c>
      <c r="AN496" s="56">
        <f t="shared" si="130"/>
        <v>1</v>
      </c>
      <c r="AP496" s="11">
        <f ca="1">IFERROR(OFFSET(ITEM_RES!$A$1,MATCH(AQ496,ITEM_RES!$J:$J,0)-1,0),0)</f>
        <v>212040001</v>
      </c>
      <c r="AQ496" s="10" t="s">
        <v>470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32"/>
        <v>115030013</v>
      </c>
      <c r="B497" s="13">
        <v>11</v>
      </c>
      <c r="C497" s="12">
        <f t="shared" si="133"/>
        <v>5</v>
      </c>
      <c r="D497" s="13">
        <v>3</v>
      </c>
      <c r="E497" s="13">
        <v>0</v>
      </c>
      <c r="F497" s="12">
        <f t="shared" si="134"/>
        <v>13</v>
      </c>
      <c r="H497" s="9">
        <v>5</v>
      </c>
      <c r="I497" s="9">
        <v>13</v>
      </c>
      <c r="K497" s="9" t="s">
        <v>366</v>
      </c>
      <c r="L497" s="9">
        <v>1</v>
      </c>
      <c r="M497" s="9">
        <v>15</v>
      </c>
      <c r="R497" s="9">
        <v>4444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397</v>
      </c>
      <c r="AA497" s="9">
        <v>13</v>
      </c>
      <c r="AC497" s="9">
        <v>14000</v>
      </c>
      <c r="AE497" s="56">
        <f t="shared" si="129"/>
        <v>5600</v>
      </c>
      <c r="AF497" s="10">
        <f t="shared" si="136"/>
        <v>10400</v>
      </c>
      <c r="AH497" s="11">
        <f t="shared" si="128"/>
        <v>65</v>
      </c>
      <c r="AI497" s="10">
        <v>65</v>
      </c>
      <c r="AJ497" s="11">
        <f t="shared" si="135"/>
        <v>350</v>
      </c>
      <c r="AK497" s="10">
        <v>350</v>
      </c>
      <c r="AL497" s="11">
        <f t="shared" si="135"/>
        <v>350</v>
      </c>
      <c r="AM497" s="10">
        <v>350</v>
      </c>
      <c r="AN497" s="56">
        <f t="shared" si="130"/>
        <v>1</v>
      </c>
      <c r="AP497" s="11">
        <f ca="1">IFERROR(OFFSET(ITEM_RES!$A$1,MATCH(AQ497,ITEM_RES!$J:$J,0)-1,0),0)</f>
        <v>212040001</v>
      </c>
      <c r="AQ497" s="10" t="s">
        <v>470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32"/>
        <v>115030014</v>
      </c>
      <c r="B498" s="13">
        <v>11</v>
      </c>
      <c r="C498" s="12">
        <f t="shared" si="133"/>
        <v>5</v>
      </c>
      <c r="D498" s="13">
        <v>3</v>
      </c>
      <c r="E498" s="13">
        <v>0</v>
      </c>
      <c r="F498" s="12">
        <f t="shared" si="134"/>
        <v>14</v>
      </c>
      <c r="H498" s="9">
        <v>5</v>
      </c>
      <c r="I498" s="9">
        <v>14</v>
      </c>
      <c r="K498" s="9" t="s">
        <v>366</v>
      </c>
      <c r="L498" s="9">
        <v>1</v>
      </c>
      <c r="M498" s="9">
        <v>15</v>
      </c>
      <c r="R498" s="9">
        <v>4444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397</v>
      </c>
      <c r="AA498" s="9">
        <v>14</v>
      </c>
      <c r="AC498" s="9">
        <v>18000</v>
      </c>
      <c r="AE498" s="56">
        <f t="shared" si="129"/>
        <v>7200</v>
      </c>
      <c r="AF498" s="10">
        <f t="shared" si="136"/>
        <v>12800</v>
      </c>
      <c r="AH498" s="11">
        <f t="shared" si="128"/>
        <v>70</v>
      </c>
      <c r="AI498" s="10">
        <v>70</v>
      </c>
      <c r="AJ498" s="11">
        <f t="shared" si="135"/>
        <v>450</v>
      </c>
      <c r="AK498" s="10">
        <v>450</v>
      </c>
      <c r="AL498" s="11">
        <f t="shared" si="135"/>
        <v>450</v>
      </c>
      <c r="AM498" s="10">
        <v>450</v>
      </c>
      <c r="AN498" s="56">
        <f t="shared" si="130"/>
        <v>1</v>
      </c>
      <c r="AP498" s="11">
        <f ca="1">IFERROR(OFFSET(ITEM_RES!$A$1,MATCH(AQ498,ITEM_RES!$J:$J,0)-1,0),0)</f>
        <v>215050001</v>
      </c>
      <c r="AQ498" s="10" t="s">
        <v>484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32"/>
        <v>115030015</v>
      </c>
      <c r="B499" s="13">
        <v>11</v>
      </c>
      <c r="C499" s="12">
        <f t="shared" si="133"/>
        <v>5</v>
      </c>
      <c r="D499" s="13">
        <v>3</v>
      </c>
      <c r="E499" s="13">
        <v>0</v>
      </c>
      <c r="F499" s="12">
        <f t="shared" si="134"/>
        <v>15</v>
      </c>
      <c r="H499" s="9">
        <v>5</v>
      </c>
      <c r="I499" s="9">
        <v>15</v>
      </c>
      <c r="K499" s="9" t="s">
        <v>366</v>
      </c>
      <c r="L499" s="9">
        <v>1</v>
      </c>
      <c r="M499" s="9">
        <v>15</v>
      </c>
      <c r="R499" s="9">
        <v>4444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397</v>
      </c>
      <c r="AA499" s="9">
        <v>15</v>
      </c>
      <c r="AC499" s="9">
        <v>22000</v>
      </c>
      <c r="AE499" s="56">
        <f t="shared" si="129"/>
        <v>8800</v>
      </c>
      <c r="AF499" s="10">
        <f t="shared" si="136"/>
        <v>16000</v>
      </c>
      <c r="AH499" s="11">
        <f t="shared" si="128"/>
        <v>75</v>
      </c>
      <c r="AI499" s="10">
        <v>75</v>
      </c>
      <c r="AJ499" s="11">
        <f t="shared" si="135"/>
        <v>550</v>
      </c>
      <c r="AK499" s="10">
        <v>550</v>
      </c>
      <c r="AL499" s="11">
        <f t="shared" si="135"/>
        <v>550</v>
      </c>
      <c r="AM499" s="10">
        <v>550</v>
      </c>
      <c r="AN499" s="56">
        <f t="shared" si="130"/>
        <v>1</v>
      </c>
      <c r="AP499" s="11">
        <f ca="1">IFERROR(OFFSET(ITEM_RES!$A$1,MATCH(AQ499,ITEM_RES!$J:$J,0)-1,0),0)</f>
        <v>215050001</v>
      </c>
      <c r="AQ499" s="10" t="s">
        <v>484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32"/>
        <v>115030016</v>
      </c>
      <c r="B500" s="13">
        <v>11</v>
      </c>
      <c r="C500" s="12">
        <f t="shared" si="133"/>
        <v>5</v>
      </c>
      <c r="D500" s="13">
        <v>3</v>
      </c>
      <c r="E500" s="13">
        <v>0</v>
      </c>
      <c r="F500" s="12">
        <f t="shared" si="134"/>
        <v>16</v>
      </c>
      <c r="H500" s="9">
        <v>5</v>
      </c>
      <c r="I500" s="9">
        <v>16</v>
      </c>
      <c r="K500" s="9" t="s">
        <v>366</v>
      </c>
      <c r="L500" s="9">
        <v>0</v>
      </c>
      <c r="M500" s="9">
        <v>15</v>
      </c>
      <c r="R500" s="9">
        <v>4444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397</v>
      </c>
      <c r="AA500" s="9">
        <v>16</v>
      </c>
      <c r="AC500" s="9">
        <v>28000</v>
      </c>
      <c r="AE500" s="56">
        <f t="shared" si="129"/>
        <v>11200</v>
      </c>
      <c r="AF500" s="10">
        <f t="shared" si="136"/>
        <v>20000</v>
      </c>
      <c r="AH500" s="11">
        <f t="shared" si="128"/>
        <v>80</v>
      </c>
      <c r="AI500" s="10">
        <v>80</v>
      </c>
      <c r="AJ500" s="11">
        <f t="shared" si="135"/>
        <v>700</v>
      </c>
      <c r="AK500" s="10">
        <v>700</v>
      </c>
      <c r="AL500" s="11">
        <f t="shared" si="135"/>
        <v>700</v>
      </c>
      <c r="AM500" s="10">
        <v>700</v>
      </c>
      <c r="AN500" s="56">
        <f t="shared" si="130"/>
        <v>1</v>
      </c>
      <c r="AP500" s="11">
        <f ca="1">IFERROR(OFFSET(ITEM_RES!$A$1,MATCH(AQ500,ITEM_RES!$J:$J,0)-1,0),0)</f>
        <v>215050001</v>
      </c>
      <c r="AQ500" s="10" t="s">
        <v>484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32"/>
        <v>115030017</v>
      </c>
      <c r="B501" s="13">
        <v>11</v>
      </c>
      <c r="C501" s="12">
        <f t="shared" si="133"/>
        <v>5</v>
      </c>
      <c r="D501" s="13">
        <v>3</v>
      </c>
      <c r="E501" s="13">
        <v>0</v>
      </c>
      <c r="F501" s="12">
        <f t="shared" si="134"/>
        <v>17</v>
      </c>
      <c r="H501" s="9">
        <v>5</v>
      </c>
      <c r="I501" s="9">
        <v>17</v>
      </c>
      <c r="K501" s="9" t="s">
        <v>366</v>
      </c>
      <c r="L501" s="9">
        <v>0</v>
      </c>
      <c r="M501" s="9">
        <v>15</v>
      </c>
      <c r="R501" s="9">
        <v>4444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397</v>
      </c>
      <c r="AA501" s="9">
        <v>17</v>
      </c>
      <c r="AC501" s="9">
        <v>34000</v>
      </c>
      <c r="AE501" s="56">
        <f t="shared" si="129"/>
        <v>13600</v>
      </c>
      <c r="AF501" s="10">
        <f t="shared" si="136"/>
        <v>24800</v>
      </c>
      <c r="AH501" s="11">
        <f t="shared" si="128"/>
        <v>85</v>
      </c>
      <c r="AI501" s="10">
        <v>85</v>
      </c>
      <c r="AJ501" s="11">
        <f t="shared" si="135"/>
        <v>850</v>
      </c>
      <c r="AK501" s="10">
        <v>850</v>
      </c>
      <c r="AL501" s="11">
        <f t="shared" si="135"/>
        <v>850</v>
      </c>
      <c r="AM501" s="10">
        <v>850</v>
      </c>
      <c r="AN501" s="56">
        <f t="shared" si="130"/>
        <v>1</v>
      </c>
      <c r="AP501" s="11">
        <f ca="1">IFERROR(OFFSET(ITEM_RES!$A$1,MATCH(AQ501,ITEM_RES!$J:$J,0)-1,0),0)</f>
        <v>215050001</v>
      </c>
      <c r="AQ501" s="10" t="s">
        <v>484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32"/>
        <v>115030018</v>
      </c>
      <c r="B502" s="13">
        <v>11</v>
      </c>
      <c r="C502" s="12">
        <f t="shared" si="133"/>
        <v>5</v>
      </c>
      <c r="D502" s="13">
        <v>3</v>
      </c>
      <c r="E502" s="13">
        <v>0</v>
      </c>
      <c r="F502" s="12">
        <f t="shared" si="134"/>
        <v>18</v>
      </c>
      <c r="H502" s="9">
        <v>5</v>
      </c>
      <c r="I502" s="9">
        <v>18</v>
      </c>
      <c r="K502" s="9" t="s">
        <v>366</v>
      </c>
      <c r="L502" s="9">
        <v>0</v>
      </c>
      <c r="M502" s="9">
        <v>15</v>
      </c>
      <c r="R502" s="9">
        <v>4444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397</v>
      </c>
      <c r="AA502" s="9">
        <v>18</v>
      </c>
      <c r="AC502" s="9">
        <v>42000</v>
      </c>
      <c r="AE502" s="56">
        <f t="shared" si="129"/>
        <v>16800</v>
      </c>
      <c r="AF502" s="10">
        <f t="shared" si="136"/>
        <v>30400</v>
      </c>
      <c r="AH502" s="11">
        <f t="shared" si="128"/>
        <v>90</v>
      </c>
      <c r="AI502" s="10">
        <v>90</v>
      </c>
      <c r="AJ502" s="11">
        <f t="shared" si="135"/>
        <v>1050</v>
      </c>
      <c r="AK502" s="10">
        <v>1050</v>
      </c>
      <c r="AL502" s="11">
        <f t="shared" si="135"/>
        <v>1050</v>
      </c>
      <c r="AM502" s="10">
        <v>1050</v>
      </c>
      <c r="AN502" s="56">
        <f t="shared" si="130"/>
        <v>1</v>
      </c>
      <c r="AP502" s="11">
        <f ca="1">IFERROR(OFFSET(ITEM_RES!$A$1,MATCH(AQ502,ITEM_RES!$J:$J,0)-1,0),0)</f>
        <v>215050001</v>
      </c>
      <c r="AQ502" s="10" t="s">
        <v>484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32"/>
        <v>115030019</v>
      </c>
      <c r="B503" s="13">
        <v>11</v>
      </c>
      <c r="C503" s="12">
        <f t="shared" si="133"/>
        <v>5</v>
      </c>
      <c r="D503" s="13">
        <v>3</v>
      </c>
      <c r="E503" s="13">
        <v>0</v>
      </c>
      <c r="F503" s="12">
        <f t="shared" si="134"/>
        <v>19</v>
      </c>
      <c r="H503" s="9">
        <v>5</v>
      </c>
      <c r="I503" s="9">
        <v>19</v>
      </c>
      <c r="K503" s="9" t="s">
        <v>366</v>
      </c>
      <c r="L503" s="9">
        <v>0</v>
      </c>
      <c r="M503" s="9">
        <v>15</v>
      </c>
      <c r="R503" s="9">
        <v>4444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397</v>
      </c>
      <c r="AA503" s="9">
        <v>19</v>
      </c>
      <c r="AC503" s="9">
        <v>50000</v>
      </c>
      <c r="AE503" s="56">
        <f t="shared" si="129"/>
        <v>20000</v>
      </c>
      <c r="AF503" s="10">
        <f t="shared" si="136"/>
        <v>36800</v>
      </c>
      <c r="AH503" s="11">
        <f t="shared" si="128"/>
        <v>95</v>
      </c>
      <c r="AI503" s="10">
        <v>95</v>
      </c>
      <c r="AJ503" s="11">
        <f t="shared" si="135"/>
        <v>1250</v>
      </c>
      <c r="AK503" s="10">
        <v>1250</v>
      </c>
      <c r="AL503" s="11">
        <f t="shared" si="135"/>
        <v>1250</v>
      </c>
      <c r="AM503" s="10">
        <v>1250</v>
      </c>
      <c r="AN503" s="56">
        <f t="shared" si="130"/>
        <v>1</v>
      </c>
      <c r="AP503" s="11">
        <f ca="1">IFERROR(OFFSET(ITEM_RES!$A$1,MATCH(AQ503,ITEM_RES!$J:$J,0)-1,0),0)</f>
        <v>215050001</v>
      </c>
      <c r="AQ503" s="10" t="s">
        <v>484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32"/>
        <v>115030020</v>
      </c>
      <c r="B504" s="13">
        <v>11</v>
      </c>
      <c r="C504" s="12">
        <f t="shared" si="133"/>
        <v>5</v>
      </c>
      <c r="D504" s="13">
        <v>3</v>
      </c>
      <c r="E504" s="13">
        <v>0</v>
      </c>
      <c r="F504" s="12">
        <f t="shared" si="134"/>
        <v>20</v>
      </c>
      <c r="H504" s="9">
        <v>5</v>
      </c>
      <c r="I504" s="9">
        <v>20</v>
      </c>
      <c r="K504" s="9" t="s">
        <v>366</v>
      </c>
      <c r="L504" s="9">
        <v>0</v>
      </c>
      <c r="M504" s="9">
        <v>15</v>
      </c>
      <c r="R504" s="9">
        <v>4444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397</v>
      </c>
      <c r="AA504" s="9">
        <v>20</v>
      </c>
      <c r="AC504" s="9">
        <v>60000</v>
      </c>
      <c r="AE504" s="56">
        <f t="shared" si="129"/>
        <v>24000</v>
      </c>
      <c r="AF504" s="10">
        <f t="shared" si="136"/>
        <v>44000</v>
      </c>
      <c r="AH504" s="11">
        <f t="shared" si="128"/>
        <v>100</v>
      </c>
      <c r="AI504" s="10">
        <v>100</v>
      </c>
      <c r="AJ504" s="11">
        <f t="shared" si="135"/>
        <v>1500</v>
      </c>
      <c r="AK504" s="10">
        <v>1500</v>
      </c>
      <c r="AL504" s="11">
        <f t="shared" si="135"/>
        <v>1500</v>
      </c>
      <c r="AM504" s="10">
        <v>1500</v>
      </c>
      <c r="AN504" s="56">
        <f t="shared" si="130"/>
        <v>1</v>
      </c>
      <c r="AP504" s="11">
        <f ca="1">IFERROR(OFFSET(ITEM_RES!$A$1,MATCH(AQ504,ITEM_RES!$J:$J,0)-1,0),0)</f>
        <v>215050001</v>
      </c>
      <c r="AQ504" s="10" t="s">
        <v>484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32"/>
        <v>115040001</v>
      </c>
      <c r="B505" s="20">
        <v>11</v>
      </c>
      <c r="C505" s="19">
        <f t="shared" si="133"/>
        <v>5</v>
      </c>
      <c r="D505" s="20">
        <v>4</v>
      </c>
      <c r="E505" s="20">
        <v>0</v>
      </c>
      <c r="F505" s="19">
        <f t="shared" si="134"/>
        <v>1</v>
      </c>
      <c r="G505" s="80"/>
      <c r="H505" s="16">
        <v>5</v>
      </c>
      <c r="I505" s="16">
        <v>1</v>
      </c>
      <c r="J505" s="80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5555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399</v>
      </c>
      <c r="AA505" s="16">
        <v>1</v>
      </c>
      <c r="AB505" s="80"/>
      <c r="AC505" s="16">
        <v>0</v>
      </c>
      <c r="AD505" s="80"/>
      <c r="AE505" s="57">
        <f t="shared" si="129"/>
        <v>1080</v>
      </c>
      <c r="AF505" s="17">
        <f>AE505</f>
        <v>1080</v>
      </c>
      <c r="AG505" s="80"/>
      <c r="AH505" s="18">
        <f t="shared" si="128"/>
        <v>5</v>
      </c>
      <c r="AI505" s="17">
        <v>5</v>
      </c>
      <c r="AJ505" s="18">
        <f t="shared" si="135"/>
        <v>5</v>
      </c>
      <c r="AK505" s="17">
        <v>5</v>
      </c>
      <c r="AL505" s="18">
        <f t="shared" si="135"/>
        <v>5</v>
      </c>
      <c r="AM505" s="17">
        <v>5</v>
      </c>
      <c r="AN505" s="57">
        <f t="shared" si="130"/>
        <v>3</v>
      </c>
      <c r="AO505" s="18"/>
      <c r="AP505" s="18">
        <f ca="1">IFERROR(OFFSET(ITEM_RES!$A$1,MATCH(AQ505,ITEM_RES!$J:$J,0)-1,0),0)</f>
        <v>212040001</v>
      </c>
      <c r="AQ505" s="17" t="s">
        <v>475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496</v>
      </c>
      <c r="BB505" s="18">
        <v>1</v>
      </c>
      <c r="BC505" s="17"/>
      <c r="BD505" s="18"/>
      <c r="BE505" s="18">
        <f ca="1">IFERROR(OFFSET(ITEM_RES!$A$1,MATCH(BF505,ITEM_RES!$J:$J,0)-1,0),0)</f>
        <v>213040001</v>
      </c>
      <c r="BF505" s="17" t="s">
        <v>519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32"/>
        <v>115040002</v>
      </c>
      <c r="B506" s="13">
        <v>11</v>
      </c>
      <c r="C506" s="12">
        <f t="shared" si="133"/>
        <v>5</v>
      </c>
      <c r="D506" s="13">
        <v>4</v>
      </c>
      <c r="E506" s="13">
        <v>0</v>
      </c>
      <c r="F506" s="12">
        <f t="shared" si="134"/>
        <v>2</v>
      </c>
      <c r="H506" s="9">
        <v>5</v>
      </c>
      <c r="I506" s="9">
        <v>2</v>
      </c>
      <c r="K506" s="9" t="s">
        <v>375</v>
      </c>
      <c r="L506" s="9">
        <v>1</v>
      </c>
      <c r="M506" s="9">
        <v>15</v>
      </c>
      <c r="R506" s="9">
        <v>5555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399</v>
      </c>
      <c r="AA506" s="9">
        <v>2</v>
      </c>
      <c r="AC506" s="9">
        <v>400</v>
      </c>
      <c r="AE506" s="56">
        <f t="shared" si="129"/>
        <v>160</v>
      </c>
      <c r="AF506" s="10">
        <f>AE505+AE506</f>
        <v>1240</v>
      </c>
      <c r="AH506" s="11">
        <f t="shared" si="128"/>
        <v>10</v>
      </c>
      <c r="AI506" s="10">
        <v>10</v>
      </c>
      <c r="AJ506" s="11">
        <f t="shared" si="135"/>
        <v>10</v>
      </c>
      <c r="AK506" s="10">
        <v>10</v>
      </c>
      <c r="AL506" s="11">
        <f t="shared" si="135"/>
        <v>10</v>
      </c>
      <c r="AM506" s="10">
        <v>10</v>
      </c>
      <c r="AN506" s="56">
        <f t="shared" si="130"/>
        <v>1</v>
      </c>
      <c r="AP506" s="11">
        <f ca="1">IFERROR(OFFSET(ITEM_RES!$A$1,MATCH(AQ506,ITEM_RES!$J:$J,0)-1,0),0)</f>
        <v>212040001</v>
      </c>
      <c r="AQ506" s="10" t="s">
        <v>475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32"/>
        <v>115040003</v>
      </c>
      <c r="B507" s="13">
        <v>11</v>
      </c>
      <c r="C507" s="12">
        <f t="shared" si="133"/>
        <v>5</v>
      </c>
      <c r="D507" s="13">
        <v>4</v>
      </c>
      <c r="E507" s="13">
        <v>0</v>
      </c>
      <c r="F507" s="12">
        <f t="shared" si="134"/>
        <v>3</v>
      </c>
      <c r="H507" s="9">
        <v>5</v>
      </c>
      <c r="I507" s="9">
        <v>3</v>
      </c>
      <c r="K507" s="9" t="s">
        <v>375</v>
      </c>
      <c r="L507" s="9">
        <v>1</v>
      </c>
      <c r="M507" s="9">
        <v>15</v>
      </c>
      <c r="R507" s="9">
        <v>5555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374</v>
      </c>
      <c r="AA507" s="9">
        <v>3</v>
      </c>
      <c r="AC507" s="9">
        <v>1200</v>
      </c>
      <c r="AE507" s="56">
        <f t="shared" si="129"/>
        <v>240</v>
      </c>
      <c r="AF507" s="10">
        <f t="shared" ref="AF507:AF524" si="137">AE506+AE507</f>
        <v>400</v>
      </c>
      <c r="AH507" s="11">
        <f t="shared" si="128"/>
        <v>15</v>
      </c>
      <c r="AI507" s="10">
        <v>15</v>
      </c>
      <c r="AJ507" s="11">
        <f t="shared" si="135"/>
        <v>15</v>
      </c>
      <c r="AK507" s="10">
        <v>15</v>
      </c>
      <c r="AL507" s="11">
        <f t="shared" si="135"/>
        <v>15</v>
      </c>
      <c r="AM507" s="10">
        <v>15</v>
      </c>
      <c r="AN507" s="56">
        <f t="shared" si="130"/>
        <v>1</v>
      </c>
      <c r="AP507" s="11">
        <f ca="1">IFERROR(OFFSET(ITEM_RES!$A$1,MATCH(AQ507,ITEM_RES!$J:$J,0)-1,0),0)</f>
        <v>212040001</v>
      </c>
      <c r="AQ507" s="10" t="s">
        <v>475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32"/>
        <v>115040004</v>
      </c>
      <c r="B508" s="13">
        <v>11</v>
      </c>
      <c r="C508" s="12">
        <f t="shared" si="133"/>
        <v>5</v>
      </c>
      <c r="D508" s="13">
        <v>4</v>
      </c>
      <c r="E508" s="13">
        <v>0</v>
      </c>
      <c r="F508" s="12">
        <f t="shared" si="134"/>
        <v>4</v>
      </c>
      <c r="H508" s="9">
        <v>5</v>
      </c>
      <c r="I508" s="9">
        <v>4</v>
      </c>
      <c r="K508" s="9" t="s">
        <v>374</v>
      </c>
      <c r="L508" s="9">
        <v>1</v>
      </c>
      <c r="M508" s="9">
        <v>15</v>
      </c>
      <c r="R508" s="9">
        <v>5555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374</v>
      </c>
      <c r="AA508" s="9">
        <v>4</v>
      </c>
      <c r="AC508" s="9">
        <v>2000</v>
      </c>
      <c r="AE508" s="56">
        <f t="shared" si="129"/>
        <v>400</v>
      </c>
      <c r="AF508" s="10">
        <f t="shared" si="137"/>
        <v>640</v>
      </c>
      <c r="AH508" s="11">
        <f t="shared" si="128"/>
        <v>20</v>
      </c>
      <c r="AI508" s="10">
        <v>20</v>
      </c>
      <c r="AJ508" s="11">
        <f t="shared" si="135"/>
        <v>25</v>
      </c>
      <c r="AK508" s="10">
        <v>25</v>
      </c>
      <c r="AL508" s="11">
        <f t="shared" si="135"/>
        <v>25</v>
      </c>
      <c r="AM508" s="10">
        <v>25</v>
      </c>
      <c r="AN508" s="56">
        <f t="shared" si="130"/>
        <v>1</v>
      </c>
      <c r="AP508" s="11">
        <f ca="1">IFERROR(OFFSET(ITEM_RES!$A$1,MATCH(AQ508,ITEM_RES!$J:$J,0)-1,0),0)</f>
        <v>212040001</v>
      </c>
      <c r="AQ508" s="10" t="s">
        <v>475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32"/>
        <v>115040005</v>
      </c>
      <c r="B509" s="13">
        <v>11</v>
      </c>
      <c r="C509" s="12">
        <f t="shared" si="133"/>
        <v>5</v>
      </c>
      <c r="D509" s="13">
        <v>4</v>
      </c>
      <c r="E509" s="13">
        <v>0</v>
      </c>
      <c r="F509" s="12">
        <f t="shared" si="134"/>
        <v>5</v>
      </c>
      <c r="H509" s="9">
        <v>5</v>
      </c>
      <c r="I509" s="9">
        <v>5</v>
      </c>
      <c r="K509" s="9" t="s">
        <v>374</v>
      </c>
      <c r="L509" s="9">
        <v>1</v>
      </c>
      <c r="M509" s="9">
        <v>15</v>
      </c>
      <c r="R509" s="9">
        <v>5555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374</v>
      </c>
      <c r="AA509" s="9">
        <v>5</v>
      </c>
      <c r="AC509" s="9">
        <v>3200</v>
      </c>
      <c r="AE509" s="56">
        <f t="shared" si="129"/>
        <v>640</v>
      </c>
      <c r="AF509" s="10">
        <f t="shared" si="137"/>
        <v>1040</v>
      </c>
      <c r="AH509" s="11">
        <f t="shared" si="128"/>
        <v>25</v>
      </c>
      <c r="AI509" s="10">
        <v>25</v>
      </c>
      <c r="AJ509" s="11">
        <f t="shared" si="135"/>
        <v>40</v>
      </c>
      <c r="AK509" s="10">
        <v>40</v>
      </c>
      <c r="AL509" s="11">
        <f t="shared" si="135"/>
        <v>40</v>
      </c>
      <c r="AM509" s="10">
        <v>40</v>
      </c>
      <c r="AN509" s="56">
        <f t="shared" si="130"/>
        <v>1</v>
      </c>
      <c r="AP509" s="11">
        <f ca="1">IFERROR(OFFSET(ITEM_RES!$A$1,MATCH(AQ509,ITEM_RES!$J:$J,0)-1,0),0)</f>
        <v>212040001</v>
      </c>
      <c r="AQ509" s="10" t="s">
        <v>475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32"/>
        <v>115040006</v>
      </c>
      <c r="B510" s="13">
        <v>11</v>
      </c>
      <c r="C510" s="12">
        <f t="shared" si="133"/>
        <v>5</v>
      </c>
      <c r="D510" s="13">
        <v>4</v>
      </c>
      <c r="E510" s="13">
        <v>0</v>
      </c>
      <c r="F510" s="12">
        <f t="shared" si="134"/>
        <v>6</v>
      </c>
      <c r="H510" s="9">
        <v>5</v>
      </c>
      <c r="I510" s="9">
        <v>6</v>
      </c>
      <c r="K510" s="9" t="s">
        <v>374</v>
      </c>
      <c r="L510" s="9">
        <v>1</v>
      </c>
      <c r="M510" s="9">
        <v>15</v>
      </c>
      <c r="R510" s="9">
        <v>5555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374</v>
      </c>
      <c r="AA510" s="9">
        <v>6</v>
      </c>
      <c r="AC510" s="9">
        <v>4000</v>
      </c>
      <c r="AE510" s="56">
        <f t="shared" si="129"/>
        <v>800</v>
      </c>
      <c r="AF510" s="10">
        <f t="shared" si="137"/>
        <v>1440</v>
      </c>
      <c r="AH510" s="11">
        <f t="shared" si="128"/>
        <v>30</v>
      </c>
      <c r="AI510" s="10">
        <v>30</v>
      </c>
      <c r="AJ510" s="11">
        <f t="shared" si="135"/>
        <v>50</v>
      </c>
      <c r="AK510" s="10">
        <v>50</v>
      </c>
      <c r="AL510" s="11">
        <f t="shared" si="135"/>
        <v>50</v>
      </c>
      <c r="AM510" s="10">
        <v>50</v>
      </c>
      <c r="AN510" s="56">
        <f t="shared" si="130"/>
        <v>1</v>
      </c>
      <c r="AP510" s="11">
        <f ca="1">IFERROR(OFFSET(ITEM_RES!$A$1,MATCH(AQ510,ITEM_RES!$J:$J,0)-1,0),0)</f>
        <v>212040001</v>
      </c>
      <c r="AQ510" s="10" t="s">
        <v>475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32"/>
        <v>115040007</v>
      </c>
      <c r="B511" s="13">
        <v>11</v>
      </c>
      <c r="C511" s="12">
        <f t="shared" si="133"/>
        <v>5</v>
      </c>
      <c r="D511" s="13">
        <v>4</v>
      </c>
      <c r="E511" s="13">
        <v>0</v>
      </c>
      <c r="F511" s="12">
        <f t="shared" si="134"/>
        <v>7</v>
      </c>
      <c r="H511" s="9">
        <v>5</v>
      </c>
      <c r="I511" s="9">
        <v>7</v>
      </c>
      <c r="K511" s="9" t="s">
        <v>374</v>
      </c>
      <c r="L511" s="9">
        <v>1</v>
      </c>
      <c r="M511" s="9">
        <v>15</v>
      </c>
      <c r="R511" s="9">
        <v>5555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374</v>
      </c>
      <c r="AA511" s="9">
        <v>7</v>
      </c>
      <c r="AC511" s="9">
        <v>8000</v>
      </c>
      <c r="AE511" s="56">
        <f t="shared" si="129"/>
        <v>1600</v>
      </c>
      <c r="AF511" s="10">
        <f t="shared" si="137"/>
        <v>2400</v>
      </c>
      <c r="AH511" s="11">
        <f t="shared" si="128"/>
        <v>35</v>
      </c>
      <c r="AI511" s="10">
        <v>35</v>
      </c>
      <c r="AJ511" s="11">
        <f t="shared" si="135"/>
        <v>100</v>
      </c>
      <c r="AK511" s="10">
        <v>100</v>
      </c>
      <c r="AL511" s="11">
        <f t="shared" si="135"/>
        <v>100</v>
      </c>
      <c r="AM511" s="10">
        <v>100</v>
      </c>
      <c r="AN511" s="56">
        <f t="shared" si="130"/>
        <v>1</v>
      </c>
      <c r="AP511" s="11">
        <f ca="1">IFERROR(OFFSET(ITEM_RES!$A$1,MATCH(AQ511,ITEM_RES!$J:$J,0)-1,0),0)</f>
        <v>212040001</v>
      </c>
      <c r="AQ511" s="10" t="s">
        <v>475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32"/>
        <v>115040008</v>
      </c>
      <c r="B512" s="13">
        <v>11</v>
      </c>
      <c r="C512" s="12">
        <f t="shared" si="133"/>
        <v>5</v>
      </c>
      <c r="D512" s="13">
        <v>4</v>
      </c>
      <c r="E512" s="13">
        <v>0</v>
      </c>
      <c r="F512" s="12">
        <f t="shared" si="134"/>
        <v>8</v>
      </c>
      <c r="H512" s="9">
        <v>5</v>
      </c>
      <c r="I512" s="9">
        <v>8</v>
      </c>
      <c r="K512" s="9" t="s">
        <v>374</v>
      </c>
      <c r="L512" s="9">
        <v>1</v>
      </c>
      <c r="M512" s="9">
        <v>15</v>
      </c>
      <c r="R512" s="9">
        <v>5555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374</v>
      </c>
      <c r="AA512" s="9">
        <v>8</v>
      </c>
      <c r="AC512" s="9">
        <v>8000</v>
      </c>
      <c r="AE512" s="56">
        <f t="shared" si="129"/>
        <v>1600</v>
      </c>
      <c r="AF512" s="10">
        <f t="shared" si="137"/>
        <v>3200</v>
      </c>
      <c r="AH512" s="11">
        <f t="shared" si="128"/>
        <v>40</v>
      </c>
      <c r="AI512" s="10">
        <v>40</v>
      </c>
      <c r="AJ512" s="11">
        <f t="shared" si="135"/>
        <v>100</v>
      </c>
      <c r="AK512" s="10">
        <v>100</v>
      </c>
      <c r="AL512" s="11">
        <f t="shared" si="135"/>
        <v>100</v>
      </c>
      <c r="AM512" s="10">
        <v>100</v>
      </c>
      <c r="AN512" s="56">
        <f t="shared" si="130"/>
        <v>1</v>
      </c>
      <c r="AP512" s="11">
        <f ca="1">IFERROR(OFFSET(ITEM_RES!$A$1,MATCH(AQ512,ITEM_RES!$J:$J,0)-1,0),0)</f>
        <v>212040001</v>
      </c>
      <c r="AQ512" s="10" t="s">
        <v>475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32"/>
        <v>115040009</v>
      </c>
      <c r="B513" s="13">
        <v>11</v>
      </c>
      <c r="C513" s="12">
        <f t="shared" si="133"/>
        <v>5</v>
      </c>
      <c r="D513" s="13">
        <v>4</v>
      </c>
      <c r="E513" s="13">
        <v>0</v>
      </c>
      <c r="F513" s="12">
        <f t="shared" si="134"/>
        <v>9</v>
      </c>
      <c r="H513" s="9">
        <v>5</v>
      </c>
      <c r="I513" s="9">
        <v>9</v>
      </c>
      <c r="K513" s="9" t="s">
        <v>374</v>
      </c>
      <c r="L513" s="9">
        <v>1</v>
      </c>
      <c r="M513" s="9">
        <v>15</v>
      </c>
      <c r="R513" s="9">
        <v>5555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374</v>
      </c>
      <c r="AA513" s="9">
        <v>9</v>
      </c>
      <c r="AC513" s="9">
        <v>12000</v>
      </c>
      <c r="AE513" s="56">
        <f t="shared" si="129"/>
        <v>2400</v>
      </c>
      <c r="AF513" s="10">
        <f t="shared" si="137"/>
        <v>4000</v>
      </c>
      <c r="AH513" s="11">
        <f t="shared" si="128"/>
        <v>45</v>
      </c>
      <c r="AI513" s="10">
        <v>45</v>
      </c>
      <c r="AJ513" s="11">
        <f t="shared" si="135"/>
        <v>150</v>
      </c>
      <c r="AK513" s="10">
        <v>150</v>
      </c>
      <c r="AL513" s="11">
        <f t="shared" si="135"/>
        <v>150</v>
      </c>
      <c r="AM513" s="10">
        <v>150</v>
      </c>
      <c r="AN513" s="56">
        <f t="shared" si="130"/>
        <v>1</v>
      </c>
      <c r="AP513" s="11">
        <f ca="1">IFERROR(OFFSET(ITEM_RES!$A$1,MATCH(AQ513,ITEM_RES!$J:$J,0)-1,0),0)</f>
        <v>212040001</v>
      </c>
      <c r="AQ513" s="10" t="s">
        <v>475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32"/>
        <v>115040010</v>
      </c>
      <c r="B514" s="13">
        <v>11</v>
      </c>
      <c r="C514" s="12">
        <f t="shared" si="133"/>
        <v>5</v>
      </c>
      <c r="D514" s="13">
        <v>4</v>
      </c>
      <c r="E514" s="13">
        <v>0</v>
      </c>
      <c r="F514" s="12">
        <f t="shared" si="134"/>
        <v>10</v>
      </c>
      <c r="H514" s="9">
        <v>5</v>
      </c>
      <c r="I514" s="9">
        <v>10</v>
      </c>
      <c r="K514" s="9" t="s">
        <v>374</v>
      </c>
      <c r="L514" s="9">
        <v>1</v>
      </c>
      <c r="M514" s="9">
        <v>15</v>
      </c>
      <c r="R514" s="9">
        <v>5555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374</v>
      </c>
      <c r="AA514" s="9">
        <v>10</v>
      </c>
      <c r="AC514" s="9">
        <v>16000</v>
      </c>
      <c r="AE514" s="56">
        <f t="shared" si="129"/>
        <v>3200</v>
      </c>
      <c r="AF514" s="10">
        <f t="shared" si="137"/>
        <v>5600</v>
      </c>
      <c r="AH514" s="11">
        <f t="shared" si="128"/>
        <v>50</v>
      </c>
      <c r="AI514" s="10">
        <v>50</v>
      </c>
      <c r="AJ514" s="11">
        <f t="shared" si="135"/>
        <v>200</v>
      </c>
      <c r="AK514" s="10">
        <v>200</v>
      </c>
      <c r="AL514" s="11">
        <f t="shared" si="135"/>
        <v>200</v>
      </c>
      <c r="AM514" s="10">
        <v>200</v>
      </c>
      <c r="AN514" s="56">
        <f t="shared" si="130"/>
        <v>1</v>
      </c>
      <c r="AP514" s="11">
        <f ca="1">IFERROR(OFFSET(ITEM_RES!$A$1,MATCH(AQ514,ITEM_RES!$J:$J,0)-1,0),0)</f>
        <v>212040001</v>
      </c>
      <c r="AQ514" s="10" t="s">
        <v>475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32"/>
        <v>115040011</v>
      </c>
      <c r="B515" s="13">
        <v>11</v>
      </c>
      <c r="C515" s="12">
        <f t="shared" si="133"/>
        <v>5</v>
      </c>
      <c r="D515" s="13">
        <v>4</v>
      </c>
      <c r="E515" s="13">
        <v>0</v>
      </c>
      <c r="F515" s="12">
        <f t="shared" si="134"/>
        <v>11</v>
      </c>
      <c r="H515" s="9">
        <v>5</v>
      </c>
      <c r="I515" s="9">
        <v>11</v>
      </c>
      <c r="K515" s="9" t="s">
        <v>374</v>
      </c>
      <c r="L515" s="9">
        <v>1</v>
      </c>
      <c r="M515" s="9">
        <v>15</v>
      </c>
      <c r="R515" s="9">
        <v>5555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374</v>
      </c>
      <c r="AA515" s="9">
        <v>11</v>
      </c>
      <c r="AC515" s="9">
        <v>20000</v>
      </c>
      <c r="AE515" s="56">
        <f t="shared" si="129"/>
        <v>4000</v>
      </c>
      <c r="AF515" s="10">
        <f t="shared" si="137"/>
        <v>7200</v>
      </c>
      <c r="AH515" s="11">
        <f t="shared" si="128"/>
        <v>55</v>
      </c>
      <c r="AI515" s="10">
        <v>55</v>
      </c>
      <c r="AJ515" s="11">
        <f t="shared" si="135"/>
        <v>250</v>
      </c>
      <c r="AK515" s="10">
        <v>250</v>
      </c>
      <c r="AL515" s="11">
        <f t="shared" si="135"/>
        <v>250</v>
      </c>
      <c r="AM515" s="10">
        <v>250</v>
      </c>
      <c r="AN515" s="56">
        <f t="shared" si="130"/>
        <v>1</v>
      </c>
      <c r="AP515" s="11">
        <f ca="1">IFERROR(OFFSET(ITEM_RES!$A$1,MATCH(AQ515,ITEM_RES!$J:$J,0)-1,0),0)</f>
        <v>212040001</v>
      </c>
      <c r="AQ515" s="10" t="s">
        <v>475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32"/>
        <v>115040012</v>
      </c>
      <c r="B516" s="13">
        <v>11</v>
      </c>
      <c r="C516" s="12">
        <f t="shared" si="133"/>
        <v>5</v>
      </c>
      <c r="D516" s="13">
        <v>4</v>
      </c>
      <c r="E516" s="13">
        <v>0</v>
      </c>
      <c r="F516" s="12">
        <f t="shared" si="134"/>
        <v>12</v>
      </c>
      <c r="H516" s="9">
        <v>5</v>
      </c>
      <c r="I516" s="9">
        <v>12</v>
      </c>
      <c r="K516" s="9" t="s">
        <v>374</v>
      </c>
      <c r="L516" s="9">
        <v>1</v>
      </c>
      <c r="M516" s="9">
        <v>15</v>
      </c>
      <c r="R516" s="9">
        <v>5555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374</v>
      </c>
      <c r="AA516" s="9">
        <v>12</v>
      </c>
      <c r="AC516" s="9">
        <v>24000</v>
      </c>
      <c r="AE516" s="56">
        <f t="shared" si="129"/>
        <v>5300</v>
      </c>
      <c r="AF516" s="10">
        <f t="shared" si="137"/>
        <v>9300</v>
      </c>
      <c r="AH516" s="11">
        <f t="shared" si="128"/>
        <v>60</v>
      </c>
      <c r="AI516" s="10">
        <v>60</v>
      </c>
      <c r="AJ516" s="11">
        <f t="shared" si="135"/>
        <v>300</v>
      </c>
      <c r="AK516" s="10">
        <v>300</v>
      </c>
      <c r="AL516" s="11">
        <f t="shared" si="135"/>
        <v>300</v>
      </c>
      <c r="AM516" s="10">
        <v>300</v>
      </c>
      <c r="AN516" s="56">
        <f t="shared" si="130"/>
        <v>2</v>
      </c>
      <c r="AP516" s="11">
        <f ca="1">IFERROR(OFFSET(ITEM_RES!$A$1,MATCH(AQ516,ITEM_RES!$J:$J,0)-1,0),0)</f>
        <v>212040001</v>
      </c>
      <c r="AQ516" s="10" t="s">
        <v>475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523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32"/>
        <v>115040013</v>
      </c>
      <c r="B517" s="13">
        <v>11</v>
      </c>
      <c r="C517" s="12">
        <f t="shared" si="133"/>
        <v>5</v>
      </c>
      <c r="D517" s="13">
        <v>4</v>
      </c>
      <c r="E517" s="13">
        <v>0</v>
      </c>
      <c r="F517" s="12">
        <f t="shared" si="134"/>
        <v>13</v>
      </c>
      <c r="H517" s="9">
        <v>5</v>
      </c>
      <c r="I517" s="9">
        <v>13</v>
      </c>
      <c r="K517" s="9" t="s">
        <v>374</v>
      </c>
      <c r="L517" s="9">
        <v>1</v>
      </c>
      <c r="M517" s="9">
        <v>15</v>
      </c>
      <c r="R517" s="9">
        <v>5555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374</v>
      </c>
      <c r="AA517" s="9">
        <v>13</v>
      </c>
      <c r="AC517" s="9">
        <v>28000</v>
      </c>
      <c r="AE517" s="56">
        <f t="shared" si="129"/>
        <v>5600</v>
      </c>
      <c r="AF517" s="10">
        <f t="shared" si="137"/>
        <v>10900</v>
      </c>
      <c r="AH517" s="11">
        <f t="shared" ref="AH517:AH580" si="138">ROUND(AI517,0)</f>
        <v>65</v>
      </c>
      <c r="AI517" s="10">
        <v>65</v>
      </c>
      <c r="AJ517" s="11">
        <f t="shared" si="135"/>
        <v>350</v>
      </c>
      <c r="AK517" s="10">
        <v>350</v>
      </c>
      <c r="AL517" s="11">
        <f t="shared" si="135"/>
        <v>350</v>
      </c>
      <c r="AM517" s="10">
        <v>350</v>
      </c>
      <c r="AN517" s="56">
        <f t="shared" si="130"/>
        <v>1</v>
      </c>
      <c r="AP517" s="11">
        <f ca="1">IFERROR(OFFSET(ITEM_RES!$A$1,MATCH(AQ517,ITEM_RES!$J:$J,0)-1,0),0)</f>
        <v>215050001</v>
      </c>
      <c r="AQ517" s="10" t="s">
        <v>485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32"/>
        <v>115040014</v>
      </c>
      <c r="B518" s="13">
        <v>11</v>
      </c>
      <c r="C518" s="12">
        <f t="shared" si="133"/>
        <v>5</v>
      </c>
      <c r="D518" s="13">
        <v>4</v>
      </c>
      <c r="E518" s="13">
        <v>0</v>
      </c>
      <c r="F518" s="12">
        <f t="shared" si="134"/>
        <v>14</v>
      </c>
      <c r="H518" s="9">
        <v>5</v>
      </c>
      <c r="I518" s="9">
        <v>14</v>
      </c>
      <c r="K518" s="9" t="s">
        <v>374</v>
      </c>
      <c r="L518" s="9">
        <v>1</v>
      </c>
      <c r="M518" s="9">
        <v>15</v>
      </c>
      <c r="R518" s="9">
        <v>5555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374</v>
      </c>
      <c r="AA518" s="9">
        <v>14</v>
      </c>
      <c r="AC518" s="9">
        <v>36000</v>
      </c>
      <c r="AE518" s="56">
        <f t="shared" ref="AE518:AE581" si="139">AK518*10+AM518+AR518+AW518+500*BB518+500*BG518+500*BL518</f>
        <v>7200</v>
      </c>
      <c r="AF518" s="10">
        <f t="shared" si="137"/>
        <v>12800</v>
      </c>
      <c r="AH518" s="11">
        <f t="shared" si="138"/>
        <v>70</v>
      </c>
      <c r="AI518" s="10">
        <v>70</v>
      </c>
      <c r="AJ518" s="11">
        <f t="shared" si="135"/>
        <v>450</v>
      </c>
      <c r="AK518" s="10">
        <v>450</v>
      </c>
      <c r="AL518" s="11">
        <f t="shared" si="135"/>
        <v>450</v>
      </c>
      <c r="AM518" s="10">
        <v>450</v>
      </c>
      <c r="AN518" s="56">
        <f t="shared" ref="AN518:AN581" si="140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485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32"/>
        <v>115040015</v>
      </c>
      <c r="B519" s="13">
        <v>11</v>
      </c>
      <c r="C519" s="12">
        <f t="shared" si="133"/>
        <v>5</v>
      </c>
      <c r="D519" s="13">
        <v>4</v>
      </c>
      <c r="E519" s="13">
        <v>0</v>
      </c>
      <c r="F519" s="12">
        <f t="shared" si="134"/>
        <v>15</v>
      </c>
      <c r="H519" s="9">
        <v>5</v>
      </c>
      <c r="I519" s="9">
        <v>15</v>
      </c>
      <c r="K519" s="9" t="s">
        <v>374</v>
      </c>
      <c r="L519" s="9">
        <v>1</v>
      </c>
      <c r="M519" s="9">
        <v>15</v>
      </c>
      <c r="R519" s="9">
        <v>5555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374</v>
      </c>
      <c r="AA519" s="9">
        <v>15</v>
      </c>
      <c r="AC519" s="9">
        <v>44000</v>
      </c>
      <c r="AE519" s="56">
        <f t="shared" si="139"/>
        <v>8800</v>
      </c>
      <c r="AF519" s="10">
        <f t="shared" si="137"/>
        <v>16000</v>
      </c>
      <c r="AH519" s="11">
        <f t="shared" si="138"/>
        <v>75</v>
      </c>
      <c r="AI519" s="10">
        <v>75</v>
      </c>
      <c r="AJ519" s="11">
        <f t="shared" si="135"/>
        <v>550</v>
      </c>
      <c r="AK519" s="10">
        <v>550</v>
      </c>
      <c r="AL519" s="11">
        <f t="shared" si="13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485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32"/>
        <v>115040016</v>
      </c>
      <c r="B520" s="13">
        <v>11</v>
      </c>
      <c r="C520" s="12">
        <f t="shared" si="133"/>
        <v>5</v>
      </c>
      <c r="D520" s="13">
        <v>4</v>
      </c>
      <c r="E520" s="13">
        <v>0</v>
      </c>
      <c r="F520" s="12">
        <f t="shared" si="134"/>
        <v>16</v>
      </c>
      <c r="H520" s="9">
        <v>5</v>
      </c>
      <c r="I520" s="9">
        <v>16</v>
      </c>
      <c r="K520" s="9" t="s">
        <v>374</v>
      </c>
      <c r="L520" s="9">
        <v>0</v>
      </c>
      <c r="M520" s="9">
        <v>15</v>
      </c>
      <c r="R520" s="9">
        <v>5555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374</v>
      </c>
      <c r="AA520" s="9">
        <v>16</v>
      </c>
      <c r="AC520" s="9">
        <v>56000</v>
      </c>
      <c r="AE520" s="56">
        <f t="shared" si="139"/>
        <v>11200</v>
      </c>
      <c r="AF520" s="10">
        <f t="shared" si="137"/>
        <v>20000</v>
      </c>
      <c r="AH520" s="11">
        <f t="shared" si="138"/>
        <v>80</v>
      </c>
      <c r="AI520" s="10">
        <v>80</v>
      </c>
      <c r="AJ520" s="11">
        <f t="shared" si="135"/>
        <v>700</v>
      </c>
      <c r="AK520" s="10">
        <v>700</v>
      </c>
      <c r="AL520" s="11">
        <f t="shared" si="13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485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32"/>
        <v>115040017</v>
      </c>
      <c r="B521" s="13">
        <v>11</v>
      </c>
      <c r="C521" s="12">
        <f t="shared" si="133"/>
        <v>5</v>
      </c>
      <c r="D521" s="13">
        <v>4</v>
      </c>
      <c r="E521" s="13">
        <v>0</v>
      </c>
      <c r="F521" s="12">
        <f t="shared" si="134"/>
        <v>17</v>
      </c>
      <c r="H521" s="9">
        <v>5</v>
      </c>
      <c r="I521" s="9">
        <v>17</v>
      </c>
      <c r="K521" s="9" t="s">
        <v>374</v>
      </c>
      <c r="L521" s="9">
        <v>0</v>
      </c>
      <c r="M521" s="9">
        <v>15</v>
      </c>
      <c r="R521" s="9">
        <v>5555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374</v>
      </c>
      <c r="AA521" s="9">
        <v>17</v>
      </c>
      <c r="AC521" s="9">
        <v>68000</v>
      </c>
      <c r="AE521" s="56">
        <f t="shared" si="139"/>
        <v>13600</v>
      </c>
      <c r="AF521" s="10">
        <f t="shared" si="137"/>
        <v>24800</v>
      </c>
      <c r="AH521" s="11">
        <f t="shared" si="138"/>
        <v>85</v>
      </c>
      <c r="AI521" s="10">
        <v>85</v>
      </c>
      <c r="AJ521" s="11">
        <f t="shared" si="135"/>
        <v>850</v>
      </c>
      <c r="AK521" s="10">
        <v>850</v>
      </c>
      <c r="AL521" s="11">
        <f t="shared" si="13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485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32"/>
        <v>115040018</v>
      </c>
      <c r="B522" s="13">
        <v>11</v>
      </c>
      <c r="C522" s="12">
        <f t="shared" si="133"/>
        <v>5</v>
      </c>
      <c r="D522" s="13">
        <v>4</v>
      </c>
      <c r="E522" s="13">
        <v>0</v>
      </c>
      <c r="F522" s="12">
        <f t="shared" si="134"/>
        <v>18</v>
      </c>
      <c r="H522" s="9">
        <v>5</v>
      </c>
      <c r="I522" s="9">
        <v>18</v>
      </c>
      <c r="K522" s="9" t="s">
        <v>374</v>
      </c>
      <c r="L522" s="9">
        <v>0</v>
      </c>
      <c r="M522" s="9">
        <v>15</v>
      </c>
      <c r="R522" s="9">
        <v>5555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374</v>
      </c>
      <c r="AA522" s="9">
        <v>18</v>
      </c>
      <c r="AC522" s="9">
        <v>84000</v>
      </c>
      <c r="AE522" s="56">
        <f t="shared" si="139"/>
        <v>16800</v>
      </c>
      <c r="AF522" s="10">
        <f t="shared" si="137"/>
        <v>30400</v>
      </c>
      <c r="AH522" s="11">
        <f t="shared" si="138"/>
        <v>90</v>
      </c>
      <c r="AI522" s="10">
        <v>90</v>
      </c>
      <c r="AJ522" s="11">
        <f t="shared" si="135"/>
        <v>1050</v>
      </c>
      <c r="AK522" s="10">
        <v>1050</v>
      </c>
      <c r="AL522" s="11">
        <f t="shared" si="13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485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32"/>
        <v>115040019</v>
      </c>
      <c r="B523" s="13">
        <v>11</v>
      </c>
      <c r="C523" s="12">
        <f t="shared" si="133"/>
        <v>5</v>
      </c>
      <c r="D523" s="13">
        <v>4</v>
      </c>
      <c r="E523" s="13">
        <v>0</v>
      </c>
      <c r="F523" s="12">
        <f t="shared" si="134"/>
        <v>19</v>
      </c>
      <c r="H523" s="9">
        <v>5</v>
      </c>
      <c r="I523" s="9">
        <v>19</v>
      </c>
      <c r="K523" s="9" t="s">
        <v>374</v>
      </c>
      <c r="L523" s="9">
        <v>0</v>
      </c>
      <c r="M523" s="9">
        <v>15</v>
      </c>
      <c r="R523" s="9">
        <v>5555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374</v>
      </c>
      <c r="AA523" s="9">
        <v>19</v>
      </c>
      <c r="AC523" s="9">
        <v>100000</v>
      </c>
      <c r="AE523" s="56">
        <f t="shared" si="139"/>
        <v>20000</v>
      </c>
      <c r="AF523" s="10">
        <f t="shared" si="137"/>
        <v>36800</v>
      </c>
      <c r="AH523" s="11">
        <f t="shared" si="138"/>
        <v>95</v>
      </c>
      <c r="AI523" s="10">
        <v>95</v>
      </c>
      <c r="AJ523" s="11">
        <f t="shared" si="135"/>
        <v>1250</v>
      </c>
      <c r="AK523" s="10">
        <v>1250</v>
      </c>
      <c r="AL523" s="11">
        <f t="shared" si="13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485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32"/>
        <v>115040020</v>
      </c>
      <c r="B524" s="13">
        <v>11</v>
      </c>
      <c r="C524" s="12">
        <f t="shared" si="133"/>
        <v>5</v>
      </c>
      <c r="D524" s="13">
        <v>4</v>
      </c>
      <c r="E524" s="13">
        <v>0</v>
      </c>
      <c r="F524" s="12">
        <f t="shared" si="134"/>
        <v>20</v>
      </c>
      <c r="H524" s="9">
        <v>5</v>
      </c>
      <c r="I524" s="9">
        <v>20</v>
      </c>
      <c r="K524" s="9" t="s">
        <v>374</v>
      </c>
      <c r="L524" s="9">
        <v>0</v>
      </c>
      <c r="M524" s="9">
        <v>15</v>
      </c>
      <c r="R524" s="9">
        <v>5555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374</v>
      </c>
      <c r="AA524" s="9">
        <v>20</v>
      </c>
      <c r="AC524" s="9">
        <v>120000</v>
      </c>
      <c r="AE524" s="56">
        <f t="shared" si="139"/>
        <v>24000</v>
      </c>
      <c r="AF524" s="10">
        <f t="shared" si="137"/>
        <v>44000</v>
      </c>
      <c r="AH524" s="11">
        <f t="shared" si="138"/>
        <v>100</v>
      </c>
      <c r="AI524" s="10">
        <v>100</v>
      </c>
      <c r="AJ524" s="11">
        <f t="shared" si="135"/>
        <v>1500</v>
      </c>
      <c r="AK524" s="10">
        <v>1500</v>
      </c>
      <c r="AL524" s="11">
        <f t="shared" si="13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485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32"/>
        <v>115050001</v>
      </c>
      <c r="B525" s="20">
        <v>11</v>
      </c>
      <c r="C525" s="19">
        <f t="shared" si="133"/>
        <v>5</v>
      </c>
      <c r="D525" s="20">
        <v>5</v>
      </c>
      <c r="E525" s="20">
        <v>0</v>
      </c>
      <c r="F525" s="19">
        <f t="shared" si="134"/>
        <v>1</v>
      </c>
      <c r="G525" s="80"/>
      <c r="H525" s="16">
        <v>5</v>
      </c>
      <c r="I525" s="16">
        <v>1</v>
      </c>
      <c r="J525" s="80"/>
      <c r="K525" s="16" t="s">
        <v>402</v>
      </c>
      <c r="L525" s="16">
        <v>1</v>
      </c>
      <c r="M525" s="16">
        <v>15</v>
      </c>
      <c r="N525" s="16"/>
      <c r="O525" s="17"/>
      <c r="P525" s="17"/>
      <c r="Q525" s="18"/>
      <c r="R525" s="16">
        <v>6666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402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35"/>
        <v>5</v>
      </c>
      <c r="AK525" s="17">
        <v>5</v>
      </c>
      <c r="AL525" s="18">
        <f t="shared" si="13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469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496</v>
      </c>
      <c r="BB525" s="18">
        <v>1</v>
      </c>
      <c r="BC525" s="17"/>
      <c r="BD525" s="18"/>
      <c r="BE525" s="18">
        <f ca="1">IFERROR(OFFSET(ITEM_RES!$A$1,MATCH(BF525,ITEM_RES!$J:$J,0)-1,0),0)</f>
        <v>213030001</v>
      </c>
      <c r="BF525" s="17" t="s">
        <v>520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32"/>
        <v>115050002</v>
      </c>
      <c r="B526" s="13">
        <v>11</v>
      </c>
      <c r="C526" s="12">
        <f t="shared" si="133"/>
        <v>5</v>
      </c>
      <c r="D526" s="13">
        <v>5</v>
      </c>
      <c r="E526" s="13">
        <v>0</v>
      </c>
      <c r="F526" s="12">
        <f t="shared" si="134"/>
        <v>2</v>
      </c>
      <c r="H526" s="9">
        <v>5</v>
      </c>
      <c r="I526" s="9">
        <v>2</v>
      </c>
      <c r="K526" s="9" t="s">
        <v>402</v>
      </c>
      <c r="L526" s="9">
        <v>1</v>
      </c>
      <c r="M526" s="9">
        <v>15</v>
      </c>
      <c r="R526" s="9">
        <v>6666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402</v>
      </c>
      <c r="AA526" s="9">
        <v>2</v>
      </c>
      <c r="AC526" s="9">
        <v>200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35"/>
        <v>10</v>
      </c>
      <c r="AK526" s="10">
        <v>10</v>
      </c>
      <c r="AL526" s="11">
        <f t="shared" si="13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469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32"/>
        <v>115050003</v>
      </c>
      <c r="B527" s="13">
        <v>11</v>
      </c>
      <c r="C527" s="12">
        <f t="shared" si="133"/>
        <v>5</v>
      </c>
      <c r="D527" s="13">
        <v>5</v>
      </c>
      <c r="E527" s="13">
        <v>0</v>
      </c>
      <c r="F527" s="12">
        <f t="shared" si="134"/>
        <v>3</v>
      </c>
      <c r="H527" s="9">
        <v>5</v>
      </c>
      <c r="I527" s="9">
        <v>3</v>
      </c>
      <c r="K527" s="9" t="s">
        <v>401</v>
      </c>
      <c r="L527" s="9">
        <v>1</v>
      </c>
      <c r="M527" s="9">
        <v>15</v>
      </c>
      <c r="R527" s="9">
        <v>6666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401</v>
      </c>
      <c r="AA527" s="9">
        <v>3</v>
      </c>
      <c r="AC527" s="9">
        <v>600</v>
      </c>
      <c r="AE527" s="56">
        <f t="shared" si="139"/>
        <v>240</v>
      </c>
      <c r="AF527" s="10">
        <f t="shared" ref="AF527:AF544" si="141">AE526+AE527</f>
        <v>400</v>
      </c>
      <c r="AH527" s="11">
        <f t="shared" si="138"/>
        <v>15</v>
      </c>
      <c r="AI527" s="10">
        <v>15</v>
      </c>
      <c r="AJ527" s="11">
        <f t="shared" si="135"/>
        <v>15</v>
      </c>
      <c r="AK527" s="10">
        <v>15</v>
      </c>
      <c r="AL527" s="11">
        <f t="shared" si="13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469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32"/>
        <v>115050004</v>
      </c>
      <c r="B528" s="13">
        <v>11</v>
      </c>
      <c r="C528" s="12">
        <f t="shared" si="133"/>
        <v>5</v>
      </c>
      <c r="D528" s="13">
        <v>5</v>
      </c>
      <c r="E528" s="13">
        <v>0</v>
      </c>
      <c r="F528" s="12">
        <f t="shared" si="134"/>
        <v>4</v>
      </c>
      <c r="H528" s="9">
        <v>5</v>
      </c>
      <c r="I528" s="9">
        <v>4</v>
      </c>
      <c r="K528" s="9" t="s">
        <v>401</v>
      </c>
      <c r="L528" s="9">
        <v>1</v>
      </c>
      <c r="M528" s="9">
        <v>15</v>
      </c>
      <c r="R528" s="9">
        <v>6666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401</v>
      </c>
      <c r="AA528" s="9">
        <v>4</v>
      </c>
      <c r="AC528" s="9">
        <v>1000</v>
      </c>
      <c r="AE528" s="56">
        <f t="shared" si="139"/>
        <v>400</v>
      </c>
      <c r="AF528" s="10">
        <f t="shared" si="141"/>
        <v>640</v>
      </c>
      <c r="AH528" s="11">
        <f t="shared" si="138"/>
        <v>20</v>
      </c>
      <c r="AI528" s="10">
        <v>20</v>
      </c>
      <c r="AJ528" s="11">
        <f t="shared" si="135"/>
        <v>25</v>
      </c>
      <c r="AK528" s="10">
        <v>25</v>
      </c>
      <c r="AL528" s="11">
        <f t="shared" si="13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469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32"/>
        <v>115050005</v>
      </c>
      <c r="B529" s="13">
        <v>11</v>
      </c>
      <c r="C529" s="12">
        <f t="shared" si="133"/>
        <v>5</v>
      </c>
      <c r="D529" s="13">
        <v>5</v>
      </c>
      <c r="E529" s="13">
        <v>0</v>
      </c>
      <c r="F529" s="12">
        <f t="shared" si="134"/>
        <v>5</v>
      </c>
      <c r="H529" s="9">
        <v>5</v>
      </c>
      <c r="I529" s="9">
        <v>5</v>
      </c>
      <c r="K529" s="9" t="s">
        <v>401</v>
      </c>
      <c r="L529" s="9">
        <v>1</v>
      </c>
      <c r="M529" s="9">
        <v>15</v>
      </c>
      <c r="R529" s="9">
        <v>6666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401</v>
      </c>
      <c r="AA529" s="9">
        <v>5</v>
      </c>
      <c r="AC529" s="9">
        <v>1600</v>
      </c>
      <c r="AE529" s="56">
        <f t="shared" si="139"/>
        <v>640</v>
      </c>
      <c r="AF529" s="10">
        <f t="shared" si="141"/>
        <v>1040</v>
      </c>
      <c r="AH529" s="11">
        <f t="shared" si="138"/>
        <v>25</v>
      </c>
      <c r="AI529" s="10">
        <v>25</v>
      </c>
      <c r="AJ529" s="11">
        <f t="shared" si="135"/>
        <v>40</v>
      </c>
      <c r="AK529" s="10">
        <v>40</v>
      </c>
      <c r="AL529" s="11">
        <f t="shared" si="13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469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32"/>
        <v>115050006</v>
      </c>
      <c r="B530" s="13">
        <v>11</v>
      </c>
      <c r="C530" s="12">
        <f t="shared" si="133"/>
        <v>5</v>
      </c>
      <c r="D530" s="13">
        <v>5</v>
      </c>
      <c r="E530" s="13">
        <v>0</v>
      </c>
      <c r="F530" s="12">
        <f t="shared" si="134"/>
        <v>6</v>
      </c>
      <c r="H530" s="9">
        <v>5</v>
      </c>
      <c r="I530" s="9">
        <v>6</v>
      </c>
      <c r="K530" s="9" t="s">
        <v>401</v>
      </c>
      <c r="L530" s="9">
        <v>1</v>
      </c>
      <c r="M530" s="9">
        <v>15</v>
      </c>
      <c r="R530" s="9">
        <v>6666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401</v>
      </c>
      <c r="AA530" s="9">
        <v>6</v>
      </c>
      <c r="AC530" s="9">
        <v>2000</v>
      </c>
      <c r="AE530" s="56">
        <f t="shared" si="139"/>
        <v>1300</v>
      </c>
      <c r="AF530" s="10">
        <f t="shared" si="141"/>
        <v>1940</v>
      </c>
      <c r="AH530" s="11">
        <f t="shared" si="138"/>
        <v>30</v>
      </c>
      <c r="AI530" s="10">
        <v>30</v>
      </c>
      <c r="AJ530" s="11">
        <f t="shared" si="135"/>
        <v>50</v>
      </c>
      <c r="AK530" s="10">
        <v>50</v>
      </c>
      <c r="AL530" s="11">
        <f t="shared" si="135"/>
        <v>50</v>
      </c>
      <c r="AM530" s="10">
        <v>50</v>
      </c>
      <c r="AN530" s="56">
        <f t="shared" si="140"/>
        <v>2</v>
      </c>
      <c r="AP530" s="11">
        <f ca="1">IFERROR(OFFSET(ITEM_RES!$A$1,MATCH(AQ530,ITEM_RES!$J:$J,0)-1,0),0)</f>
        <v>212040001</v>
      </c>
      <c r="AQ530" s="10" t="s">
        <v>469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526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32"/>
        <v>115050007</v>
      </c>
      <c r="B531" s="13">
        <v>11</v>
      </c>
      <c r="C531" s="12">
        <f t="shared" si="133"/>
        <v>5</v>
      </c>
      <c r="D531" s="13">
        <v>5</v>
      </c>
      <c r="E531" s="13">
        <v>0</v>
      </c>
      <c r="F531" s="12">
        <f t="shared" si="134"/>
        <v>7</v>
      </c>
      <c r="H531" s="9">
        <v>5</v>
      </c>
      <c r="I531" s="9">
        <v>7</v>
      </c>
      <c r="K531" s="9" t="s">
        <v>401</v>
      </c>
      <c r="L531" s="9">
        <v>1</v>
      </c>
      <c r="M531" s="9">
        <v>15</v>
      </c>
      <c r="R531" s="9">
        <v>6666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401</v>
      </c>
      <c r="AA531" s="9">
        <v>7</v>
      </c>
      <c r="AC531" s="9">
        <v>4000</v>
      </c>
      <c r="AE531" s="56">
        <f t="shared" si="139"/>
        <v>1600</v>
      </c>
      <c r="AF531" s="10">
        <f t="shared" si="141"/>
        <v>2900</v>
      </c>
      <c r="AH531" s="11">
        <f t="shared" si="138"/>
        <v>35</v>
      </c>
      <c r="AI531" s="10">
        <v>35</v>
      </c>
      <c r="AJ531" s="11">
        <f t="shared" si="135"/>
        <v>100</v>
      </c>
      <c r="AK531" s="10">
        <v>100</v>
      </c>
      <c r="AL531" s="11">
        <f t="shared" si="13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469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32"/>
        <v>115050008</v>
      </c>
      <c r="B532" s="13">
        <v>11</v>
      </c>
      <c r="C532" s="12">
        <f t="shared" si="133"/>
        <v>5</v>
      </c>
      <c r="D532" s="13">
        <v>5</v>
      </c>
      <c r="E532" s="13">
        <v>0</v>
      </c>
      <c r="F532" s="12">
        <f t="shared" si="134"/>
        <v>8</v>
      </c>
      <c r="H532" s="9">
        <v>5</v>
      </c>
      <c r="I532" s="9">
        <v>8</v>
      </c>
      <c r="K532" s="9" t="s">
        <v>401</v>
      </c>
      <c r="L532" s="9">
        <v>1</v>
      </c>
      <c r="M532" s="9">
        <v>15</v>
      </c>
      <c r="R532" s="9">
        <v>6666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401</v>
      </c>
      <c r="AA532" s="9">
        <v>8</v>
      </c>
      <c r="AC532" s="9">
        <v>4000</v>
      </c>
      <c r="AE532" s="56">
        <f t="shared" si="139"/>
        <v>1600</v>
      </c>
      <c r="AF532" s="10">
        <f t="shared" si="141"/>
        <v>3200</v>
      </c>
      <c r="AH532" s="11">
        <f t="shared" si="138"/>
        <v>40</v>
      </c>
      <c r="AI532" s="10">
        <v>40</v>
      </c>
      <c r="AJ532" s="11">
        <f t="shared" si="135"/>
        <v>100</v>
      </c>
      <c r="AK532" s="10">
        <v>100</v>
      </c>
      <c r="AL532" s="11">
        <f t="shared" si="13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469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32"/>
        <v>115050009</v>
      </c>
      <c r="B533" s="13">
        <v>11</v>
      </c>
      <c r="C533" s="12">
        <f t="shared" si="133"/>
        <v>5</v>
      </c>
      <c r="D533" s="13">
        <v>5</v>
      </c>
      <c r="E533" s="13">
        <v>0</v>
      </c>
      <c r="F533" s="12">
        <f t="shared" si="134"/>
        <v>9</v>
      </c>
      <c r="H533" s="9">
        <v>5</v>
      </c>
      <c r="I533" s="9">
        <v>9</v>
      </c>
      <c r="K533" s="9" t="s">
        <v>401</v>
      </c>
      <c r="L533" s="9">
        <v>1</v>
      </c>
      <c r="M533" s="9">
        <v>15</v>
      </c>
      <c r="R533" s="9">
        <v>6666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401</v>
      </c>
      <c r="AA533" s="9">
        <v>9</v>
      </c>
      <c r="AC533" s="9">
        <v>6000</v>
      </c>
      <c r="AE533" s="56">
        <f t="shared" si="139"/>
        <v>2400</v>
      </c>
      <c r="AF533" s="10">
        <f t="shared" si="141"/>
        <v>4000</v>
      </c>
      <c r="AH533" s="11">
        <f t="shared" si="138"/>
        <v>45</v>
      </c>
      <c r="AI533" s="10">
        <v>45</v>
      </c>
      <c r="AJ533" s="11">
        <f t="shared" si="135"/>
        <v>150</v>
      </c>
      <c r="AK533" s="10">
        <v>150</v>
      </c>
      <c r="AL533" s="11">
        <f t="shared" si="13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469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32"/>
        <v>115050010</v>
      </c>
      <c r="B534" s="13">
        <v>11</v>
      </c>
      <c r="C534" s="12">
        <f t="shared" si="133"/>
        <v>5</v>
      </c>
      <c r="D534" s="13">
        <v>5</v>
      </c>
      <c r="E534" s="13">
        <v>0</v>
      </c>
      <c r="F534" s="12">
        <f t="shared" si="134"/>
        <v>10</v>
      </c>
      <c r="H534" s="9">
        <v>5</v>
      </c>
      <c r="I534" s="9">
        <v>10</v>
      </c>
      <c r="K534" s="9" t="s">
        <v>401</v>
      </c>
      <c r="L534" s="9">
        <v>1</v>
      </c>
      <c r="M534" s="9">
        <v>15</v>
      </c>
      <c r="R534" s="9">
        <v>6666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401</v>
      </c>
      <c r="AA534" s="9">
        <v>10</v>
      </c>
      <c r="AC534" s="9">
        <v>8000</v>
      </c>
      <c r="AE534" s="56">
        <f t="shared" si="139"/>
        <v>3200</v>
      </c>
      <c r="AF534" s="10">
        <f t="shared" si="141"/>
        <v>5600</v>
      </c>
      <c r="AH534" s="11">
        <f t="shared" si="138"/>
        <v>50</v>
      </c>
      <c r="AI534" s="10">
        <v>50</v>
      </c>
      <c r="AJ534" s="11">
        <f t="shared" si="135"/>
        <v>200</v>
      </c>
      <c r="AK534" s="10">
        <v>200</v>
      </c>
      <c r="AL534" s="11">
        <f t="shared" si="13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469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32"/>
        <v>115050011</v>
      </c>
      <c r="B535" s="13">
        <v>11</v>
      </c>
      <c r="C535" s="12">
        <f t="shared" si="133"/>
        <v>5</v>
      </c>
      <c r="D535" s="13">
        <v>5</v>
      </c>
      <c r="E535" s="13">
        <v>0</v>
      </c>
      <c r="F535" s="12">
        <f t="shared" si="134"/>
        <v>11</v>
      </c>
      <c r="H535" s="9">
        <v>5</v>
      </c>
      <c r="I535" s="9">
        <v>11</v>
      </c>
      <c r="K535" s="9" t="s">
        <v>401</v>
      </c>
      <c r="L535" s="9">
        <v>1</v>
      </c>
      <c r="M535" s="9">
        <v>15</v>
      </c>
      <c r="R535" s="9">
        <v>6666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401</v>
      </c>
      <c r="AA535" s="9">
        <v>11</v>
      </c>
      <c r="AC535" s="9">
        <v>10000</v>
      </c>
      <c r="AE535" s="56">
        <f t="shared" si="139"/>
        <v>4000</v>
      </c>
      <c r="AF535" s="10">
        <f t="shared" si="141"/>
        <v>7200</v>
      </c>
      <c r="AH535" s="11">
        <f t="shared" si="138"/>
        <v>55</v>
      </c>
      <c r="AI535" s="10">
        <v>55</v>
      </c>
      <c r="AJ535" s="11">
        <f t="shared" si="135"/>
        <v>250</v>
      </c>
      <c r="AK535" s="10">
        <v>250</v>
      </c>
      <c r="AL535" s="11">
        <f t="shared" si="13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469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32"/>
        <v>115050012</v>
      </c>
      <c r="B536" s="13">
        <v>11</v>
      </c>
      <c r="C536" s="12">
        <f t="shared" si="133"/>
        <v>5</v>
      </c>
      <c r="D536" s="13">
        <v>5</v>
      </c>
      <c r="E536" s="13">
        <v>0</v>
      </c>
      <c r="F536" s="12">
        <f t="shared" si="134"/>
        <v>12</v>
      </c>
      <c r="H536" s="9">
        <v>5</v>
      </c>
      <c r="I536" s="9">
        <v>12</v>
      </c>
      <c r="K536" s="9" t="s">
        <v>401</v>
      </c>
      <c r="L536" s="9">
        <v>1</v>
      </c>
      <c r="M536" s="9">
        <v>15</v>
      </c>
      <c r="R536" s="9">
        <v>6666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401</v>
      </c>
      <c r="AA536" s="9">
        <v>12</v>
      </c>
      <c r="AC536" s="9">
        <v>12000</v>
      </c>
      <c r="AE536" s="56">
        <f t="shared" si="139"/>
        <v>4800</v>
      </c>
      <c r="AF536" s="10">
        <f t="shared" si="141"/>
        <v>8800</v>
      </c>
      <c r="AH536" s="11">
        <f t="shared" si="138"/>
        <v>60</v>
      </c>
      <c r="AI536" s="10">
        <v>60</v>
      </c>
      <c r="AJ536" s="11">
        <f t="shared" si="135"/>
        <v>300</v>
      </c>
      <c r="AK536" s="10">
        <v>300</v>
      </c>
      <c r="AL536" s="11">
        <f t="shared" si="135"/>
        <v>300</v>
      </c>
      <c r="AM536" s="10">
        <v>300</v>
      </c>
      <c r="AN536" s="56">
        <f t="shared" si="140"/>
        <v>1</v>
      </c>
      <c r="AP536" s="11">
        <f ca="1">IFERROR(OFFSET(ITEM_RES!$A$1,MATCH(AQ536,ITEM_RES!$J:$J,0)-1,0),0)</f>
        <v>212040001</v>
      </c>
      <c r="AQ536" s="10" t="s">
        <v>469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42">B537*10000000+C537*1000000+D537*10000+E537*100+F537</f>
        <v>115050013</v>
      </c>
      <c r="B537" s="13">
        <v>11</v>
      </c>
      <c r="C537" s="12">
        <f t="shared" ref="C537:C584" si="143">H537</f>
        <v>5</v>
      </c>
      <c r="D537" s="13">
        <v>5</v>
      </c>
      <c r="E537" s="13">
        <v>0</v>
      </c>
      <c r="F537" s="12">
        <f t="shared" ref="F537:F584" si="144">I537</f>
        <v>13</v>
      </c>
      <c r="H537" s="9">
        <v>5</v>
      </c>
      <c r="I537" s="9">
        <v>13</v>
      </c>
      <c r="K537" s="9" t="s">
        <v>401</v>
      </c>
      <c r="L537" s="9">
        <v>1</v>
      </c>
      <c r="M537" s="9">
        <v>15</v>
      </c>
      <c r="R537" s="9">
        <v>6666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401</v>
      </c>
      <c r="AA537" s="9">
        <v>13</v>
      </c>
      <c r="AC537" s="9">
        <v>14000</v>
      </c>
      <c r="AE537" s="56">
        <f t="shared" si="139"/>
        <v>5600</v>
      </c>
      <c r="AF537" s="10">
        <f t="shared" si="141"/>
        <v>10400</v>
      </c>
      <c r="AH537" s="11">
        <f t="shared" si="138"/>
        <v>65</v>
      </c>
      <c r="AI537" s="10">
        <v>65</v>
      </c>
      <c r="AJ537" s="11">
        <f t="shared" si="135"/>
        <v>350</v>
      </c>
      <c r="AK537" s="10">
        <v>350</v>
      </c>
      <c r="AL537" s="11">
        <f t="shared" si="13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212040001</v>
      </c>
      <c r="AQ537" s="10" t="s">
        <v>469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115050014</v>
      </c>
      <c r="B538" s="13">
        <v>11</v>
      </c>
      <c r="C538" s="12">
        <f t="shared" si="143"/>
        <v>5</v>
      </c>
      <c r="D538" s="13">
        <v>5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401</v>
      </c>
      <c r="L538" s="9">
        <v>1</v>
      </c>
      <c r="M538" s="9">
        <v>15</v>
      </c>
      <c r="R538" s="9">
        <v>6666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401</v>
      </c>
      <c r="AA538" s="9">
        <v>14</v>
      </c>
      <c r="AC538" s="9">
        <v>18000</v>
      </c>
      <c r="AE538" s="56">
        <f t="shared" si="139"/>
        <v>7200</v>
      </c>
      <c r="AF538" s="10">
        <f t="shared" si="141"/>
        <v>12800</v>
      </c>
      <c r="AH538" s="11">
        <f t="shared" si="138"/>
        <v>70</v>
      </c>
      <c r="AI538" s="10">
        <v>70</v>
      </c>
      <c r="AJ538" s="11">
        <f t="shared" ref="AJ538:AL584" si="145">ROUND(AK538,0)</f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si="140"/>
        <v>1</v>
      </c>
      <c r="AP538" s="11">
        <f ca="1">IFERROR(OFFSET(ITEM_RES!$A$1,MATCH(AQ538,ITEM_RES!$J:$J,0)-1,0),0)</f>
        <v>212040001</v>
      </c>
      <c r="AQ538" s="10" t="s">
        <v>469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115050015</v>
      </c>
      <c r="B539" s="13">
        <v>11</v>
      </c>
      <c r="C539" s="12">
        <f t="shared" si="143"/>
        <v>5</v>
      </c>
      <c r="D539" s="13">
        <v>5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401</v>
      </c>
      <c r="L539" s="9">
        <v>1</v>
      </c>
      <c r="M539" s="9">
        <v>15</v>
      </c>
      <c r="R539" s="9">
        <v>6666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401</v>
      </c>
      <c r="AA539" s="9">
        <v>15</v>
      </c>
      <c r="AC539" s="9">
        <v>22000</v>
      </c>
      <c r="AE539" s="56">
        <f t="shared" si="139"/>
        <v>8800</v>
      </c>
      <c r="AF539" s="10">
        <f t="shared" si="141"/>
        <v>16000</v>
      </c>
      <c r="AH539" s="11">
        <f t="shared" si="13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40"/>
        <v>1</v>
      </c>
      <c r="AP539" s="11">
        <f ca="1">IFERROR(OFFSET(ITEM_RES!$A$1,MATCH(AQ539,ITEM_RES!$J:$J,0)-1,0),0)</f>
        <v>215050001</v>
      </c>
      <c r="AQ539" s="10" t="s">
        <v>483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115050016</v>
      </c>
      <c r="B540" s="13">
        <v>11</v>
      </c>
      <c r="C540" s="12">
        <f t="shared" si="143"/>
        <v>5</v>
      </c>
      <c r="D540" s="13">
        <v>5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401</v>
      </c>
      <c r="L540" s="9">
        <v>0</v>
      </c>
      <c r="M540" s="9">
        <v>15</v>
      </c>
      <c r="R540" s="9">
        <v>6666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401</v>
      </c>
      <c r="AA540" s="9">
        <v>16</v>
      </c>
      <c r="AC540" s="9">
        <v>28000</v>
      </c>
      <c r="AE540" s="56">
        <f t="shared" si="139"/>
        <v>11200</v>
      </c>
      <c r="AF540" s="10">
        <f t="shared" si="141"/>
        <v>20000</v>
      </c>
      <c r="AH540" s="11">
        <f t="shared" si="13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40"/>
        <v>1</v>
      </c>
      <c r="AP540" s="11">
        <f ca="1">IFERROR(OFFSET(ITEM_RES!$A$1,MATCH(AQ540,ITEM_RES!$J:$J,0)-1,0),0)</f>
        <v>215050001</v>
      </c>
      <c r="AQ540" s="10" t="s">
        <v>483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115050017</v>
      </c>
      <c r="B541" s="13">
        <v>11</v>
      </c>
      <c r="C541" s="12">
        <f t="shared" si="143"/>
        <v>5</v>
      </c>
      <c r="D541" s="13">
        <v>5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401</v>
      </c>
      <c r="L541" s="9">
        <v>0</v>
      </c>
      <c r="M541" s="9">
        <v>15</v>
      </c>
      <c r="R541" s="9">
        <v>6666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401</v>
      </c>
      <c r="AA541" s="9">
        <v>17</v>
      </c>
      <c r="AC541" s="9">
        <v>34000</v>
      </c>
      <c r="AE541" s="56">
        <f t="shared" si="139"/>
        <v>13600</v>
      </c>
      <c r="AF541" s="10">
        <f t="shared" si="141"/>
        <v>24800</v>
      </c>
      <c r="AH541" s="11">
        <f t="shared" si="13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40"/>
        <v>1</v>
      </c>
      <c r="AP541" s="11">
        <f ca="1">IFERROR(OFFSET(ITEM_RES!$A$1,MATCH(AQ541,ITEM_RES!$J:$J,0)-1,0),0)</f>
        <v>215050001</v>
      </c>
      <c r="AQ541" s="10" t="s">
        <v>483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115050018</v>
      </c>
      <c r="B542" s="13">
        <v>11</v>
      </c>
      <c r="C542" s="12">
        <f t="shared" si="143"/>
        <v>5</v>
      </c>
      <c r="D542" s="13">
        <v>5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401</v>
      </c>
      <c r="L542" s="9">
        <v>0</v>
      </c>
      <c r="M542" s="9">
        <v>15</v>
      </c>
      <c r="R542" s="9">
        <v>6666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401</v>
      </c>
      <c r="AA542" s="9">
        <v>18</v>
      </c>
      <c r="AC542" s="9">
        <v>42000</v>
      </c>
      <c r="AE542" s="56">
        <f t="shared" si="139"/>
        <v>17300</v>
      </c>
      <c r="AF542" s="10">
        <f t="shared" si="141"/>
        <v>30900</v>
      </c>
      <c r="AH542" s="11">
        <f t="shared" si="13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40"/>
        <v>2</v>
      </c>
      <c r="AP542" s="11">
        <f ca="1">IFERROR(OFFSET(ITEM_RES!$A$1,MATCH(AQ542,ITEM_RES!$J:$J,0)-1,0),0)</f>
        <v>215050001</v>
      </c>
      <c r="AQ542" s="10" t="s">
        <v>483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526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115050019</v>
      </c>
      <c r="B543" s="13">
        <v>11</v>
      </c>
      <c r="C543" s="12">
        <f t="shared" si="143"/>
        <v>5</v>
      </c>
      <c r="D543" s="13">
        <v>5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401</v>
      </c>
      <c r="L543" s="9">
        <v>0</v>
      </c>
      <c r="M543" s="9">
        <v>15</v>
      </c>
      <c r="R543" s="9">
        <v>6666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401</v>
      </c>
      <c r="AA543" s="9">
        <v>19</v>
      </c>
      <c r="AC543" s="9">
        <v>50000</v>
      </c>
      <c r="AE543" s="56">
        <f t="shared" si="139"/>
        <v>20000</v>
      </c>
      <c r="AF543" s="10">
        <f t="shared" si="141"/>
        <v>37300</v>
      </c>
      <c r="AH543" s="11">
        <f t="shared" si="13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40"/>
        <v>1</v>
      </c>
      <c r="AP543" s="11">
        <f ca="1">IFERROR(OFFSET(ITEM_RES!$A$1,MATCH(AQ543,ITEM_RES!$J:$J,0)-1,0),0)</f>
        <v>215050001</v>
      </c>
      <c r="AQ543" s="10" t="s">
        <v>483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115050020</v>
      </c>
      <c r="B544" s="13">
        <v>11</v>
      </c>
      <c r="C544" s="12">
        <f t="shared" si="143"/>
        <v>5</v>
      </c>
      <c r="D544" s="13">
        <v>5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401</v>
      </c>
      <c r="L544" s="9">
        <v>0</v>
      </c>
      <c r="M544" s="9">
        <v>15</v>
      </c>
      <c r="R544" s="9">
        <v>6666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401</v>
      </c>
      <c r="AA544" s="9">
        <v>20</v>
      </c>
      <c r="AC544" s="9">
        <v>60000</v>
      </c>
      <c r="AE544" s="56">
        <f t="shared" si="139"/>
        <v>24000</v>
      </c>
      <c r="AF544" s="10">
        <f t="shared" si="141"/>
        <v>44000</v>
      </c>
      <c r="AH544" s="11">
        <f t="shared" si="13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40"/>
        <v>1</v>
      </c>
      <c r="AP544" s="11">
        <f ca="1">IFERROR(OFFSET(ITEM_RES!$A$1,MATCH(AQ544,ITEM_RES!$J:$J,0)-1,0),0)</f>
        <v>215050001</v>
      </c>
      <c r="AQ544" s="10" t="s">
        <v>483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115060001</v>
      </c>
      <c r="B545" s="20">
        <v>11</v>
      </c>
      <c r="C545" s="19">
        <f t="shared" si="143"/>
        <v>5</v>
      </c>
      <c r="D545" s="20">
        <v>6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389</v>
      </c>
      <c r="L545" s="16">
        <v>1</v>
      </c>
      <c r="M545" s="16">
        <v>15</v>
      </c>
      <c r="N545" s="16"/>
      <c r="O545" s="17"/>
      <c r="P545" s="17"/>
      <c r="Q545" s="18"/>
      <c r="R545" s="16">
        <v>7777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403</v>
      </c>
      <c r="AA545" s="16">
        <v>1</v>
      </c>
      <c r="AB545" s="80"/>
      <c r="AC545" s="16">
        <v>0</v>
      </c>
      <c r="AD545" s="80"/>
      <c r="AE545" s="57">
        <f t="shared" si="139"/>
        <v>1080</v>
      </c>
      <c r="AF545" s="17">
        <f>AE545</f>
        <v>1080</v>
      </c>
      <c r="AG545" s="80"/>
      <c r="AH545" s="18">
        <f t="shared" si="13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40"/>
        <v>3</v>
      </c>
      <c r="AO545" s="18"/>
      <c r="AP545" s="18">
        <f ca="1">IFERROR(OFFSET(ITEM_RES!$A$1,MATCH(AQ545,ITEM_RES!$J:$J,0)-1,0),0)</f>
        <v>212040001</v>
      </c>
      <c r="AQ545" s="17" t="s">
        <v>469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496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520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115060002</v>
      </c>
      <c r="B546" s="13">
        <v>11</v>
      </c>
      <c r="C546" s="12">
        <f t="shared" si="143"/>
        <v>5</v>
      </c>
      <c r="D546" s="13">
        <v>6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389</v>
      </c>
      <c r="L546" s="9">
        <v>1</v>
      </c>
      <c r="M546" s="9">
        <v>15</v>
      </c>
      <c r="R546" s="9">
        <v>7777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403</v>
      </c>
      <c r="AA546" s="9">
        <v>2</v>
      </c>
      <c r="AC546" s="9">
        <v>400</v>
      </c>
      <c r="AE546" s="56">
        <f t="shared" si="139"/>
        <v>160</v>
      </c>
      <c r="AF546" s="10">
        <f>AE545+AE546</f>
        <v>1240</v>
      </c>
      <c r="AH546" s="11">
        <f t="shared" si="13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40"/>
        <v>1</v>
      </c>
      <c r="AP546" s="11">
        <f ca="1">IFERROR(OFFSET(ITEM_RES!$A$1,MATCH(AQ546,ITEM_RES!$J:$J,0)-1,0),0)</f>
        <v>212040001</v>
      </c>
      <c r="AQ546" s="10" t="s">
        <v>469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115060003</v>
      </c>
      <c r="B547" s="13">
        <v>11</v>
      </c>
      <c r="C547" s="12">
        <f t="shared" si="143"/>
        <v>5</v>
      </c>
      <c r="D547" s="13">
        <v>6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389</v>
      </c>
      <c r="L547" s="9">
        <v>1</v>
      </c>
      <c r="M547" s="9">
        <v>15</v>
      </c>
      <c r="R547" s="9">
        <v>7777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403</v>
      </c>
      <c r="AA547" s="9">
        <v>3</v>
      </c>
      <c r="AC547" s="9">
        <v>1200</v>
      </c>
      <c r="AE547" s="56">
        <f t="shared" si="139"/>
        <v>240</v>
      </c>
      <c r="AF547" s="10">
        <f t="shared" ref="AF547:AF564" si="146">AE546+AE547</f>
        <v>400</v>
      </c>
      <c r="AH547" s="11">
        <f t="shared" si="13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40"/>
        <v>1</v>
      </c>
      <c r="AP547" s="11">
        <f ca="1">IFERROR(OFFSET(ITEM_RES!$A$1,MATCH(AQ547,ITEM_RES!$J:$J,0)-1,0),0)</f>
        <v>212040001</v>
      </c>
      <c r="AQ547" s="10" t="s">
        <v>469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115060004</v>
      </c>
      <c r="B548" s="13">
        <v>11</v>
      </c>
      <c r="C548" s="12">
        <f t="shared" si="143"/>
        <v>5</v>
      </c>
      <c r="D548" s="13">
        <v>6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389</v>
      </c>
      <c r="L548" s="9">
        <v>1</v>
      </c>
      <c r="M548" s="9">
        <v>15</v>
      </c>
      <c r="R548" s="9">
        <v>7777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403</v>
      </c>
      <c r="AA548" s="9">
        <v>4</v>
      </c>
      <c r="AC548" s="9">
        <v>2000</v>
      </c>
      <c r="AE548" s="56">
        <f t="shared" si="139"/>
        <v>400</v>
      </c>
      <c r="AF548" s="10">
        <f t="shared" si="146"/>
        <v>640</v>
      </c>
      <c r="AH548" s="11">
        <f t="shared" si="13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40"/>
        <v>1</v>
      </c>
      <c r="AP548" s="11">
        <f ca="1">IFERROR(OFFSET(ITEM_RES!$A$1,MATCH(AQ548,ITEM_RES!$J:$J,0)-1,0),0)</f>
        <v>212040001</v>
      </c>
      <c r="AQ548" s="10" t="s">
        <v>469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115060005</v>
      </c>
      <c r="B549" s="13">
        <v>11</v>
      </c>
      <c r="C549" s="12">
        <f t="shared" si="143"/>
        <v>5</v>
      </c>
      <c r="D549" s="13">
        <v>6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389</v>
      </c>
      <c r="L549" s="9">
        <v>1</v>
      </c>
      <c r="M549" s="9">
        <v>15</v>
      </c>
      <c r="R549" s="9">
        <v>7777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403</v>
      </c>
      <c r="AA549" s="9">
        <v>5</v>
      </c>
      <c r="AC549" s="9">
        <v>3200</v>
      </c>
      <c r="AE549" s="56">
        <f t="shared" si="139"/>
        <v>640</v>
      </c>
      <c r="AF549" s="10">
        <f t="shared" si="146"/>
        <v>1040</v>
      </c>
      <c r="AH549" s="11">
        <f t="shared" si="13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40"/>
        <v>1</v>
      </c>
      <c r="AP549" s="11">
        <f ca="1">IFERROR(OFFSET(ITEM_RES!$A$1,MATCH(AQ549,ITEM_RES!$J:$J,0)-1,0),0)</f>
        <v>212040001</v>
      </c>
      <c r="AQ549" s="10" t="s">
        <v>469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115060006</v>
      </c>
      <c r="B550" s="13">
        <v>11</v>
      </c>
      <c r="C550" s="12">
        <f t="shared" si="143"/>
        <v>5</v>
      </c>
      <c r="D550" s="13">
        <v>6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389</v>
      </c>
      <c r="L550" s="9">
        <v>1</v>
      </c>
      <c r="M550" s="9">
        <v>15</v>
      </c>
      <c r="R550" s="9">
        <v>7777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403</v>
      </c>
      <c r="AA550" s="9">
        <v>6</v>
      </c>
      <c r="AC550" s="9">
        <v>4000</v>
      </c>
      <c r="AE550" s="56">
        <f t="shared" si="139"/>
        <v>800</v>
      </c>
      <c r="AF550" s="10">
        <f t="shared" si="146"/>
        <v>1440</v>
      </c>
      <c r="AH550" s="11">
        <f t="shared" si="13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40"/>
        <v>1</v>
      </c>
      <c r="AP550" s="11">
        <f ca="1">IFERROR(OFFSET(ITEM_RES!$A$1,MATCH(AQ550,ITEM_RES!$J:$J,0)-1,0),0)</f>
        <v>212040001</v>
      </c>
      <c r="AQ550" s="10" t="s">
        <v>469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115060007</v>
      </c>
      <c r="B551" s="13">
        <v>11</v>
      </c>
      <c r="C551" s="12">
        <f t="shared" si="143"/>
        <v>5</v>
      </c>
      <c r="D551" s="13">
        <v>6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389</v>
      </c>
      <c r="L551" s="9">
        <v>1</v>
      </c>
      <c r="M551" s="9">
        <v>15</v>
      </c>
      <c r="R551" s="9">
        <v>7777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403</v>
      </c>
      <c r="AA551" s="9">
        <v>7</v>
      </c>
      <c r="AC551" s="9">
        <v>8000</v>
      </c>
      <c r="AE551" s="56">
        <f t="shared" si="139"/>
        <v>1600</v>
      </c>
      <c r="AF551" s="10">
        <f t="shared" si="146"/>
        <v>2400</v>
      </c>
      <c r="AH551" s="11">
        <f t="shared" si="13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40"/>
        <v>1</v>
      </c>
      <c r="AP551" s="11">
        <f ca="1">IFERROR(OFFSET(ITEM_RES!$A$1,MATCH(AQ551,ITEM_RES!$J:$J,0)-1,0),0)</f>
        <v>212040001</v>
      </c>
      <c r="AQ551" s="10" t="s">
        <v>469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115060008</v>
      </c>
      <c r="B552" s="13">
        <v>11</v>
      </c>
      <c r="C552" s="12">
        <f t="shared" si="143"/>
        <v>5</v>
      </c>
      <c r="D552" s="13">
        <v>6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389</v>
      </c>
      <c r="L552" s="9">
        <v>1</v>
      </c>
      <c r="M552" s="9">
        <v>15</v>
      </c>
      <c r="R552" s="9">
        <v>7777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403</v>
      </c>
      <c r="AA552" s="9">
        <v>8</v>
      </c>
      <c r="AC552" s="9">
        <v>8000</v>
      </c>
      <c r="AE552" s="56">
        <f t="shared" si="139"/>
        <v>1600</v>
      </c>
      <c r="AF552" s="10">
        <f t="shared" si="146"/>
        <v>3200</v>
      </c>
      <c r="AH552" s="11">
        <f t="shared" si="13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40"/>
        <v>1</v>
      </c>
      <c r="AP552" s="11">
        <f ca="1">IFERROR(OFFSET(ITEM_RES!$A$1,MATCH(AQ552,ITEM_RES!$J:$J,0)-1,0),0)</f>
        <v>212040001</v>
      </c>
      <c r="AQ552" s="10" t="s">
        <v>469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115060009</v>
      </c>
      <c r="B553" s="13">
        <v>11</v>
      </c>
      <c r="C553" s="12">
        <f t="shared" si="143"/>
        <v>5</v>
      </c>
      <c r="D553" s="13">
        <v>6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389</v>
      </c>
      <c r="L553" s="9">
        <v>1</v>
      </c>
      <c r="M553" s="9">
        <v>15</v>
      </c>
      <c r="R553" s="9">
        <v>7777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403</v>
      </c>
      <c r="AA553" s="9">
        <v>9</v>
      </c>
      <c r="AC553" s="9">
        <v>12000</v>
      </c>
      <c r="AE553" s="56">
        <f t="shared" si="139"/>
        <v>2400</v>
      </c>
      <c r="AF553" s="10">
        <f t="shared" si="146"/>
        <v>4000</v>
      </c>
      <c r="AH553" s="11">
        <f t="shared" si="13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40"/>
        <v>1</v>
      </c>
      <c r="AP553" s="11">
        <f ca="1">IFERROR(OFFSET(ITEM_RES!$A$1,MATCH(AQ553,ITEM_RES!$J:$J,0)-1,0),0)</f>
        <v>212040001</v>
      </c>
      <c r="AQ553" s="10" t="s">
        <v>469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115060010</v>
      </c>
      <c r="B554" s="13">
        <v>11</v>
      </c>
      <c r="C554" s="12">
        <f t="shared" si="143"/>
        <v>5</v>
      </c>
      <c r="D554" s="13">
        <v>6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389</v>
      </c>
      <c r="L554" s="9">
        <v>1</v>
      </c>
      <c r="M554" s="9">
        <v>15</v>
      </c>
      <c r="R554" s="9">
        <v>7777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403</v>
      </c>
      <c r="AA554" s="9">
        <v>10</v>
      </c>
      <c r="AC554" s="9">
        <v>16000</v>
      </c>
      <c r="AE554" s="56">
        <f t="shared" si="139"/>
        <v>3200</v>
      </c>
      <c r="AF554" s="10">
        <f t="shared" si="146"/>
        <v>5600</v>
      </c>
      <c r="AH554" s="11">
        <f t="shared" si="13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40"/>
        <v>1</v>
      </c>
      <c r="AP554" s="11">
        <f ca="1">IFERROR(OFFSET(ITEM_RES!$A$1,MATCH(AQ554,ITEM_RES!$J:$J,0)-1,0),0)</f>
        <v>212040001</v>
      </c>
      <c r="AQ554" s="10" t="s">
        <v>469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115060011</v>
      </c>
      <c r="B555" s="13">
        <v>11</v>
      </c>
      <c r="C555" s="12">
        <f t="shared" si="143"/>
        <v>5</v>
      </c>
      <c r="D555" s="13">
        <v>6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389</v>
      </c>
      <c r="L555" s="9">
        <v>1</v>
      </c>
      <c r="M555" s="9">
        <v>15</v>
      </c>
      <c r="R555" s="9">
        <v>7777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403</v>
      </c>
      <c r="AA555" s="9">
        <v>11</v>
      </c>
      <c r="AC555" s="9">
        <v>20000</v>
      </c>
      <c r="AE555" s="56">
        <f t="shared" si="139"/>
        <v>4000</v>
      </c>
      <c r="AF555" s="10">
        <f t="shared" si="146"/>
        <v>7200</v>
      </c>
      <c r="AH555" s="11">
        <f t="shared" si="13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40"/>
        <v>1</v>
      </c>
      <c r="AP555" s="11">
        <f ca="1">IFERROR(OFFSET(ITEM_RES!$A$1,MATCH(AQ555,ITEM_RES!$J:$J,0)-1,0),0)</f>
        <v>212040001</v>
      </c>
      <c r="AQ555" s="10" t="s">
        <v>469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115060012</v>
      </c>
      <c r="B556" s="13">
        <v>11</v>
      </c>
      <c r="C556" s="12">
        <f t="shared" si="143"/>
        <v>5</v>
      </c>
      <c r="D556" s="13">
        <v>6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389</v>
      </c>
      <c r="L556" s="9">
        <v>1</v>
      </c>
      <c r="M556" s="9">
        <v>15</v>
      </c>
      <c r="R556" s="9">
        <v>7777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403</v>
      </c>
      <c r="AA556" s="9">
        <v>12</v>
      </c>
      <c r="AC556" s="9">
        <v>24000</v>
      </c>
      <c r="AE556" s="56">
        <f t="shared" si="139"/>
        <v>4800</v>
      </c>
      <c r="AF556" s="10">
        <f t="shared" si="146"/>
        <v>8800</v>
      </c>
      <c r="AH556" s="11">
        <f t="shared" si="13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40"/>
        <v>1</v>
      </c>
      <c r="AP556" s="11">
        <f ca="1">IFERROR(OFFSET(ITEM_RES!$A$1,MATCH(AQ556,ITEM_RES!$J:$J,0)-1,0),0)</f>
        <v>212040001</v>
      </c>
      <c r="AQ556" s="10" t="s">
        <v>469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42"/>
        <v>115060013</v>
      </c>
      <c r="B557" s="13">
        <v>11</v>
      </c>
      <c r="C557" s="12">
        <f t="shared" si="143"/>
        <v>5</v>
      </c>
      <c r="D557" s="13">
        <v>6</v>
      </c>
      <c r="E557" s="13">
        <v>0</v>
      </c>
      <c r="F557" s="12">
        <f t="shared" si="144"/>
        <v>13</v>
      </c>
      <c r="H557" s="9">
        <v>5</v>
      </c>
      <c r="I557" s="9">
        <v>13</v>
      </c>
      <c r="K557" s="9" t="s">
        <v>389</v>
      </c>
      <c r="L557" s="9">
        <v>1</v>
      </c>
      <c r="M557" s="9">
        <v>15</v>
      </c>
      <c r="R557" s="9">
        <v>7777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403</v>
      </c>
      <c r="AA557" s="9">
        <v>13</v>
      </c>
      <c r="AC557" s="9">
        <v>28000</v>
      </c>
      <c r="AE557" s="56">
        <f t="shared" si="139"/>
        <v>5600</v>
      </c>
      <c r="AF557" s="10">
        <f t="shared" si="146"/>
        <v>10400</v>
      </c>
      <c r="AH557" s="11">
        <f t="shared" si="13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40"/>
        <v>1</v>
      </c>
      <c r="AP557" s="11">
        <f ca="1">IFERROR(OFFSET(ITEM_RES!$A$1,MATCH(AQ557,ITEM_RES!$J:$J,0)-1,0),0)</f>
        <v>212040001</v>
      </c>
      <c r="AQ557" s="10" t="s">
        <v>469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42"/>
        <v>115060014</v>
      </c>
      <c r="B558" s="13">
        <v>11</v>
      </c>
      <c r="C558" s="12">
        <f t="shared" si="143"/>
        <v>5</v>
      </c>
      <c r="D558" s="13">
        <v>6</v>
      </c>
      <c r="E558" s="13">
        <v>0</v>
      </c>
      <c r="F558" s="12">
        <f t="shared" si="144"/>
        <v>14</v>
      </c>
      <c r="H558" s="9">
        <v>5</v>
      </c>
      <c r="I558" s="9">
        <v>14</v>
      </c>
      <c r="K558" s="9" t="s">
        <v>389</v>
      </c>
      <c r="L558" s="9">
        <v>1</v>
      </c>
      <c r="M558" s="9">
        <v>15</v>
      </c>
      <c r="R558" s="9">
        <v>7777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403</v>
      </c>
      <c r="AA558" s="9">
        <v>14</v>
      </c>
      <c r="AC558" s="9">
        <v>36000</v>
      </c>
      <c r="AE558" s="56">
        <f t="shared" si="139"/>
        <v>7200</v>
      </c>
      <c r="AF558" s="10">
        <f t="shared" si="146"/>
        <v>12800</v>
      </c>
      <c r="AH558" s="11">
        <f t="shared" si="138"/>
        <v>70</v>
      </c>
      <c r="AI558" s="10">
        <v>70</v>
      </c>
      <c r="AJ558" s="11">
        <f t="shared" si="145"/>
        <v>450</v>
      </c>
      <c r="AK558" s="10">
        <v>450</v>
      </c>
      <c r="AL558" s="11">
        <f t="shared" si="145"/>
        <v>450</v>
      </c>
      <c r="AM558" s="10">
        <v>450</v>
      </c>
      <c r="AN558" s="56">
        <f t="shared" si="140"/>
        <v>1</v>
      </c>
      <c r="AP558" s="11">
        <f ca="1">IFERROR(OFFSET(ITEM_RES!$A$1,MATCH(AQ558,ITEM_RES!$J:$J,0)-1,0),0)</f>
        <v>215050001</v>
      </c>
      <c r="AQ558" s="10" t="s">
        <v>488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42"/>
        <v>115060015</v>
      </c>
      <c r="B559" s="13">
        <v>11</v>
      </c>
      <c r="C559" s="12">
        <f t="shared" si="143"/>
        <v>5</v>
      </c>
      <c r="D559" s="13">
        <v>6</v>
      </c>
      <c r="E559" s="13">
        <v>0</v>
      </c>
      <c r="F559" s="12">
        <f t="shared" si="144"/>
        <v>15</v>
      </c>
      <c r="H559" s="9">
        <v>5</v>
      </c>
      <c r="I559" s="9">
        <v>15</v>
      </c>
      <c r="K559" s="9" t="s">
        <v>389</v>
      </c>
      <c r="L559" s="9">
        <v>1</v>
      </c>
      <c r="M559" s="9">
        <v>15</v>
      </c>
      <c r="R559" s="9">
        <v>7777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403</v>
      </c>
      <c r="AA559" s="9">
        <v>15</v>
      </c>
      <c r="AC559" s="9">
        <v>44000</v>
      </c>
      <c r="AE559" s="56">
        <f t="shared" si="139"/>
        <v>8800</v>
      </c>
      <c r="AF559" s="10">
        <f t="shared" si="146"/>
        <v>16000</v>
      </c>
      <c r="AH559" s="11">
        <f t="shared" si="138"/>
        <v>75</v>
      </c>
      <c r="AI559" s="10">
        <v>75</v>
      </c>
      <c r="AJ559" s="11">
        <f t="shared" si="145"/>
        <v>550</v>
      </c>
      <c r="AK559" s="10">
        <v>550</v>
      </c>
      <c r="AL559" s="11">
        <f t="shared" si="145"/>
        <v>550</v>
      </c>
      <c r="AM559" s="10">
        <v>550</v>
      </c>
      <c r="AN559" s="56">
        <f t="shared" si="140"/>
        <v>1</v>
      </c>
      <c r="AP559" s="11">
        <f ca="1">IFERROR(OFFSET(ITEM_RES!$A$1,MATCH(AQ559,ITEM_RES!$J:$J,0)-1,0),0)</f>
        <v>215050001</v>
      </c>
      <c r="AQ559" s="10" t="s">
        <v>483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42"/>
        <v>115060016</v>
      </c>
      <c r="B560" s="13">
        <v>11</v>
      </c>
      <c r="C560" s="12">
        <f t="shared" si="143"/>
        <v>5</v>
      </c>
      <c r="D560" s="13">
        <v>6</v>
      </c>
      <c r="E560" s="13">
        <v>0</v>
      </c>
      <c r="F560" s="12">
        <f t="shared" si="144"/>
        <v>16</v>
      </c>
      <c r="H560" s="9">
        <v>5</v>
      </c>
      <c r="I560" s="9">
        <v>16</v>
      </c>
      <c r="K560" s="9" t="s">
        <v>389</v>
      </c>
      <c r="L560" s="9">
        <v>0</v>
      </c>
      <c r="M560" s="9">
        <v>15</v>
      </c>
      <c r="R560" s="9">
        <v>7777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403</v>
      </c>
      <c r="AA560" s="9">
        <v>16</v>
      </c>
      <c r="AC560" s="9">
        <v>56000</v>
      </c>
      <c r="AE560" s="56">
        <f t="shared" si="139"/>
        <v>11200</v>
      </c>
      <c r="AF560" s="10">
        <f t="shared" si="146"/>
        <v>20000</v>
      </c>
      <c r="AH560" s="11">
        <f t="shared" si="138"/>
        <v>80</v>
      </c>
      <c r="AI560" s="10">
        <v>80</v>
      </c>
      <c r="AJ560" s="11">
        <f t="shared" si="145"/>
        <v>700</v>
      </c>
      <c r="AK560" s="10">
        <v>700</v>
      </c>
      <c r="AL560" s="11">
        <f t="shared" si="145"/>
        <v>700</v>
      </c>
      <c r="AM560" s="10">
        <v>700</v>
      </c>
      <c r="AN560" s="56">
        <f t="shared" si="140"/>
        <v>1</v>
      </c>
      <c r="AP560" s="11">
        <f ca="1">IFERROR(OFFSET(ITEM_RES!$A$1,MATCH(AQ560,ITEM_RES!$J:$J,0)-1,0),0)</f>
        <v>215050001</v>
      </c>
      <c r="AQ560" s="10" t="s">
        <v>483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42"/>
        <v>115060017</v>
      </c>
      <c r="B561" s="13">
        <v>11</v>
      </c>
      <c r="C561" s="12">
        <f t="shared" si="143"/>
        <v>5</v>
      </c>
      <c r="D561" s="13">
        <v>6</v>
      </c>
      <c r="E561" s="13">
        <v>0</v>
      </c>
      <c r="F561" s="12">
        <f t="shared" si="144"/>
        <v>17</v>
      </c>
      <c r="H561" s="9">
        <v>5</v>
      </c>
      <c r="I561" s="9">
        <v>17</v>
      </c>
      <c r="K561" s="9" t="s">
        <v>389</v>
      </c>
      <c r="L561" s="9">
        <v>0</v>
      </c>
      <c r="M561" s="9">
        <v>15</v>
      </c>
      <c r="R561" s="9">
        <v>7777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403</v>
      </c>
      <c r="AA561" s="9">
        <v>17</v>
      </c>
      <c r="AC561" s="9">
        <v>68000</v>
      </c>
      <c r="AE561" s="56">
        <f t="shared" si="139"/>
        <v>13600</v>
      </c>
      <c r="AF561" s="10">
        <f t="shared" si="146"/>
        <v>24800</v>
      </c>
      <c r="AH561" s="11">
        <f t="shared" si="138"/>
        <v>85</v>
      </c>
      <c r="AI561" s="10">
        <v>85</v>
      </c>
      <c r="AJ561" s="11">
        <f t="shared" si="145"/>
        <v>850</v>
      </c>
      <c r="AK561" s="10">
        <v>850</v>
      </c>
      <c r="AL561" s="11">
        <f t="shared" si="145"/>
        <v>850</v>
      </c>
      <c r="AM561" s="10">
        <v>850</v>
      </c>
      <c r="AN561" s="56">
        <f t="shared" si="140"/>
        <v>1</v>
      </c>
      <c r="AP561" s="11">
        <f ca="1">IFERROR(OFFSET(ITEM_RES!$A$1,MATCH(AQ561,ITEM_RES!$J:$J,0)-1,0),0)</f>
        <v>215050001</v>
      </c>
      <c r="AQ561" s="10" t="s">
        <v>483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42"/>
        <v>115060018</v>
      </c>
      <c r="B562" s="13">
        <v>11</v>
      </c>
      <c r="C562" s="12">
        <f t="shared" si="143"/>
        <v>5</v>
      </c>
      <c r="D562" s="13">
        <v>6</v>
      </c>
      <c r="E562" s="13">
        <v>0</v>
      </c>
      <c r="F562" s="12">
        <f t="shared" si="144"/>
        <v>18</v>
      </c>
      <c r="H562" s="9">
        <v>5</v>
      </c>
      <c r="I562" s="9">
        <v>18</v>
      </c>
      <c r="K562" s="9" t="s">
        <v>389</v>
      </c>
      <c r="L562" s="9">
        <v>0</v>
      </c>
      <c r="M562" s="9">
        <v>15</v>
      </c>
      <c r="R562" s="9">
        <v>7777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403</v>
      </c>
      <c r="AA562" s="9">
        <v>18</v>
      </c>
      <c r="AC562" s="9">
        <v>84000</v>
      </c>
      <c r="AE562" s="56">
        <f t="shared" si="139"/>
        <v>16800</v>
      </c>
      <c r="AF562" s="10">
        <f t="shared" si="146"/>
        <v>30400</v>
      </c>
      <c r="AH562" s="11">
        <f t="shared" si="138"/>
        <v>90</v>
      </c>
      <c r="AI562" s="10">
        <v>90</v>
      </c>
      <c r="AJ562" s="11">
        <f t="shared" si="145"/>
        <v>1050</v>
      </c>
      <c r="AK562" s="10">
        <v>1050</v>
      </c>
      <c r="AL562" s="11">
        <f t="shared" si="145"/>
        <v>1050</v>
      </c>
      <c r="AM562" s="10">
        <v>1050</v>
      </c>
      <c r="AN562" s="56">
        <f t="shared" si="140"/>
        <v>1</v>
      </c>
      <c r="AP562" s="11">
        <f ca="1">IFERROR(OFFSET(ITEM_RES!$A$1,MATCH(AQ562,ITEM_RES!$J:$J,0)-1,0),0)</f>
        <v>215050001</v>
      </c>
      <c r="AQ562" s="10" t="s">
        <v>483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42"/>
        <v>115060019</v>
      </c>
      <c r="B563" s="13">
        <v>11</v>
      </c>
      <c r="C563" s="12">
        <f t="shared" si="143"/>
        <v>5</v>
      </c>
      <c r="D563" s="13">
        <v>6</v>
      </c>
      <c r="E563" s="13">
        <v>0</v>
      </c>
      <c r="F563" s="12">
        <f t="shared" si="144"/>
        <v>19</v>
      </c>
      <c r="H563" s="9">
        <v>5</v>
      </c>
      <c r="I563" s="9">
        <v>19</v>
      </c>
      <c r="K563" s="9" t="s">
        <v>389</v>
      </c>
      <c r="L563" s="9">
        <v>0</v>
      </c>
      <c r="M563" s="9">
        <v>15</v>
      </c>
      <c r="R563" s="9">
        <v>7777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403</v>
      </c>
      <c r="AA563" s="9">
        <v>19</v>
      </c>
      <c r="AC563" s="9">
        <v>100000</v>
      </c>
      <c r="AE563" s="56">
        <f t="shared" si="139"/>
        <v>20000</v>
      </c>
      <c r="AF563" s="10">
        <f t="shared" si="146"/>
        <v>36800</v>
      </c>
      <c r="AH563" s="11">
        <f t="shared" si="138"/>
        <v>95</v>
      </c>
      <c r="AI563" s="10">
        <v>95</v>
      </c>
      <c r="AJ563" s="11">
        <f t="shared" si="145"/>
        <v>1250</v>
      </c>
      <c r="AK563" s="10">
        <v>1250</v>
      </c>
      <c r="AL563" s="11">
        <f t="shared" si="145"/>
        <v>1250</v>
      </c>
      <c r="AM563" s="10">
        <v>1250</v>
      </c>
      <c r="AN563" s="56">
        <f t="shared" si="140"/>
        <v>1</v>
      </c>
      <c r="AP563" s="11">
        <f ca="1">IFERROR(OFFSET(ITEM_RES!$A$1,MATCH(AQ563,ITEM_RES!$J:$J,0)-1,0),0)</f>
        <v>215050001</v>
      </c>
      <c r="AQ563" s="10" t="s">
        <v>483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42"/>
        <v>115060020</v>
      </c>
      <c r="B564" s="13">
        <v>11</v>
      </c>
      <c r="C564" s="12">
        <f t="shared" si="143"/>
        <v>5</v>
      </c>
      <c r="D564" s="13">
        <v>6</v>
      </c>
      <c r="E564" s="13">
        <v>0</v>
      </c>
      <c r="F564" s="12">
        <f t="shared" si="144"/>
        <v>20</v>
      </c>
      <c r="H564" s="9">
        <v>5</v>
      </c>
      <c r="I564" s="9">
        <v>20</v>
      </c>
      <c r="K564" s="9" t="s">
        <v>389</v>
      </c>
      <c r="L564" s="9">
        <v>0</v>
      </c>
      <c r="M564" s="9">
        <v>15</v>
      </c>
      <c r="R564" s="9">
        <v>7777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403</v>
      </c>
      <c r="AA564" s="9">
        <v>20</v>
      </c>
      <c r="AC564" s="9">
        <v>120000</v>
      </c>
      <c r="AE564" s="56">
        <f t="shared" si="139"/>
        <v>24000</v>
      </c>
      <c r="AF564" s="10">
        <f t="shared" si="146"/>
        <v>44000</v>
      </c>
      <c r="AH564" s="11">
        <f t="shared" si="138"/>
        <v>100</v>
      </c>
      <c r="AI564" s="10">
        <v>100</v>
      </c>
      <c r="AJ564" s="11">
        <f t="shared" si="145"/>
        <v>1500</v>
      </c>
      <c r="AK564" s="10">
        <v>1500</v>
      </c>
      <c r="AL564" s="11">
        <f t="shared" si="145"/>
        <v>1500</v>
      </c>
      <c r="AM564" s="10">
        <v>1500</v>
      </c>
      <c r="AN564" s="56">
        <f t="shared" si="140"/>
        <v>1</v>
      </c>
      <c r="AP564" s="11">
        <f ca="1">IFERROR(OFFSET(ITEM_RES!$A$1,MATCH(AQ564,ITEM_RES!$J:$J,0)-1,0),0)</f>
        <v>215050001</v>
      </c>
      <c r="AQ564" s="10" t="s">
        <v>483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42"/>
        <v>115070001</v>
      </c>
      <c r="B565" s="20">
        <v>11</v>
      </c>
      <c r="C565" s="19">
        <f t="shared" si="143"/>
        <v>5</v>
      </c>
      <c r="D565" s="20">
        <v>7</v>
      </c>
      <c r="E565" s="20">
        <v>0</v>
      </c>
      <c r="F565" s="19">
        <f t="shared" si="144"/>
        <v>1</v>
      </c>
      <c r="G565" s="80"/>
      <c r="H565" s="16">
        <v>5</v>
      </c>
      <c r="I565" s="16">
        <v>1</v>
      </c>
      <c r="J565" s="80"/>
      <c r="K565" s="16" t="s">
        <v>390</v>
      </c>
      <c r="L565" s="16">
        <v>1</v>
      </c>
      <c r="M565" s="16">
        <v>15</v>
      </c>
      <c r="N565" s="16"/>
      <c r="O565" s="17"/>
      <c r="P565" s="17"/>
      <c r="Q565" s="18"/>
      <c r="R565" s="16">
        <v>8888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405</v>
      </c>
      <c r="AA565" s="16">
        <v>1</v>
      </c>
      <c r="AB565" s="80"/>
      <c r="AC565" s="16">
        <v>0</v>
      </c>
      <c r="AD565" s="80"/>
      <c r="AE565" s="57">
        <f t="shared" si="139"/>
        <v>1080</v>
      </c>
      <c r="AF565" s="17">
        <f>AE565</f>
        <v>1080</v>
      </c>
      <c r="AG565" s="80"/>
      <c r="AH565" s="18">
        <f t="shared" si="138"/>
        <v>5</v>
      </c>
      <c r="AI565" s="17">
        <v>5</v>
      </c>
      <c r="AJ565" s="18">
        <f t="shared" si="145"/>
        <v>5</v>
      </c>
      <c r="AK565" s="17">
        <v>5</v>
      </c>
      <c r="AL565" s="18">
        <f t="shared" si="145"/>
        <v>5</v>
      </c>
      <c r="AM565" s="17">
        <v>5</v>
      </c>
      <c r="AN565" s="57">
        <f t="shared" si="140"/>
        <v>3</v>
      </c>
      <c r="AO565" s="18"/>
      <c r="AP565" s="18">
        <f ca="1">IFERROR(OFFSET(ITEM_RES!$A$1,MATCH(AQ565,ITEM_RES!$J:$J,0)-1,0),0)</f>
        <v>212040001</v>
      </c>
      <c r="AQ565" s="17" t="s">
        <v>469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496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520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42"/>
        <v>115070002</v>
      </c>
      <c r="B566" s="13">
        <v>11</v>
      </c>
      <c r="C566" s="12">
        <f t="shared" si="143"/>
        <v>5</v>
      </c>
      <c r="D566" s="13">
        <v>7</v>
      </c>
      <c r="E566" s="13">
        <v>0</v>
      </c>
      <c r="F566" s="12">
        <f t="shared" si="144"/>
        <v>2</v>
      </c>
      <c r="H566" s="9">
        <v>5</v>
      </c>
      <c r="I566" s="9">
        <v>2</v>
      </c>
      <c r="K566" s="9" t="s">
        <v>390</v>
      </c>
      <c r="L566" s="9">
        <v>1</v>
      </c>
      <c r="M566" s="9">
        <v>15</v>
      </c>
      <c r="R566" s="9">
        <v>8888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405</v>
      </c>
      <c r="AA566" s="9">
        <v>2</v>
      </c>
      <c r="AC566" s="9">
        <v>400</v>
      </c>
      <c r="AE566" s="56">
        <f t="shared" si="139"/>
        <v>160</v>
      </c>
      <c r="AF566" s="10">
        <f>AE565+AE566</f>
        <v>1240</v>
      </c>
      <c r="AH566" s="11">
        <f t="shared" si="138"/>
        <v>10</v>
      </c>
      <c r="AI566" s="10">
        <v>10</v>
      </c>
      <c r="AJ566" s="11">
        <f t="shared" si="145"/>
        <v>10</v>
      </c>
      <c r="AK566" s="10">
        <v>10</v>
      </c>
      <c r="AL566" s="11">
        <f t="shared" si="145"/>
        <v>10</v>
      </c>
      <c r="AM566" s="10">
        <v>10</v>
      </c>
      <c r="AN566" s="56">
        <f t="shared" si="140"/>
        <v>1</v>
      </c>
      <c r="AP566" s="11">
        <f ca="1">IFERROR(OFFSET(ITEM_RES!$A$1,MATCH(AQ566,ITEM_RES!$J:$J,0)-1,0),0)</f>
        <v>212040001</v>
      </c>
      <c r="AQ566" s="10" t="s">
        <v>469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42"/>
        <v>115070003</v>
      </c>
      <c r="B567" s="13">
        <v>11</v>
      </c>
      <c r="C567" s="12">
        <f t="shared" si="143"/>
        <v>5</v>
      </c>
      <c r="D567" s="13">
        <v>7</v>
      </c>
      <c r="E567" s="13">
        <v>0</v>
      </c>
      <c r="F567" s="12">
        <f t="shared" si="144"/>
        <v>3</v>
      </c>
      <c r="H567" s="9">
        <v>5</v>
      </c>
      <c r="I567" s="9">
        <v>3</v>
      </c>
      <c r="K567" s="9" t="s">
        <v>391</v>
      </c>
      <c r="L567" s="9">
        <v>1</v>
      </c>
      <c r="M567" s="9">
        <v>15</v>
      </c>
      <c r="R567" s="9">
        <v>8888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404</v>
      </c>
      <c r="AA567" s="9">
        <v>3</v>
      </c>
      <c r="AC567" s="9">
        <v>1200</v>
      </c>
      <c r="AE567" s="56">
        <f t="shared" si="139"/>
        <v>240</v>
      </c>
      <c r="AF567" s="10">
        <f t="shared" ref="AF567:AF584" si="147">AE566+AE567</f>
        <v>400</v>
      </c>
      <c r="AH567" s="11">
        <f t="shared" si="138"/>
        <v>15</v>
      </c>
      <c r="AI567" s="10">
        <v>15</v>
      </c>
      <c r="AJ567" s="11">
        <f t="shared" si="145"/>
        <v>15</v>
      </c>
      <c r="AK567" s="10">
        <v>15</v>
      </c>
      <c r="AL567" s="11">
        <f t="shared" si="145"/>
        <v>15</v>
      </c>
      <c r="AM567" s="10">
        <v>15</v>
      </c>
      <c r="AN567" s="56">
        <f t="shared" si="140"/>
        <v>1</v>
      </c>
      <c r="AP567" s="11">
        <f ca="1">IFERROR(OFFSET(ITEM_RES!$A$1,MATCH(AQ567,ITEM_RES!$J:$J,0)-1,0),0)</f>
        <v>212040001</v>
      </c>
      <c r="AQ567" s="10" t="s">
        <v>469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42"/>
        <v>115070004</v>
      </c>
      <c r="B568" s="13">
        <v>11</v>
      </c>
      <c r="C568" s="12">
        <f t="shared" si="143"/>
        <v>5</v>
      </c>
      <c r="D568" s="13">
        <v>7</v>
      </c>
      <c r="E568" s="13">
        <v>0</v>
      </c>
      <c r="F568" s="12">
        <f t="shared" si="144"/>
        <v>4</v>
      </c>
      <c r="H568" s="9">
        <v>5</v>
      </c>
      <c r="I568" s="9">
        <v>4</v>
      </c>
      <c r="K568" s="9" t="s">
        <v>391</v>
      </c>
      <c r="L568" s="9">
        <v>1</v>
      </c>
      <c r="M568" s="9">
        <v>15</v>
      </c>
      <c r="R568" s="9">
        <v>8888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404</v>
      </c>
      <c r="AA568" s="9">
        <v>4</v>
      </c>
      <c r="AC568" s="9">
        <v>2000</v>
      </c>
      <c r="AE568" s="56">
        <f t="shared" si="139"/>
        <v>400</v>
      </c>
      <c r="AF568" s="10">
        <f t="shared" si="147"/>
        <v>640</v>
      </c>
      <c r="AH568" s="11">
        <f t="shared" si="138"/>
        <v>20</v>
      </c>
      <c r="AI568" s="10">
        <v>20</v>
      </c>
      <c r="AJ568" s="11">
        <f t="shared" si="145"/>
        <v>25</v>
      </c>
      <c r="AK568" s="10">
        <v>25</v>
      </c>
      <c r="AL568" s="11">
        <f t="shared" si="145"/>
        <v>25</v>
      </c>
      <c r="AM568" s="10">
        <v>25</v>
      </c>
      <c r="AN568" s="56">
        <f t="shared" si="140"/>
        <v>1</v>
      </c>
      <c r="AP568" s="11">
        <f ca="1">IFERROR(OFFSET(ITEM_RES!$A$1,MATCH(AQ568,ITEM_RES!$J:$J,0)-1,0),0)</f>
        <v>212040001</v>
      </c>
      <c r="AQ568" s="10" t="s">
        <v>469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42"/>
        <v>115070005</v>
      </c>
      <c r="B569" s="13">
        <v>11</v>
      </c>
      <c r="C569" s="12">
        <f t="shared" si="143"/>
        <v>5</v>
      </c>
      <c r="D569" s="13">
        <v>7</v>
      </c>
      <c r="E569" s="13">
        <v>0</v>
      </c>
      <c r="F569" s="12">
        <f t="shared" si="144"/>
        <v>5</v>
      </c>
      <c r="H569" s="9">
        <v>5</v>
      </c>
      <c r="I569" s="9">
        <v>5</v>
      </c>
      <c r="K569" s="9" t="s">
        <v>391</v>
      </c>
      <c r="L569" s="9">
        <v>1</v>
      </c>
      <c r="M569" s="9">
        <v>15</v>
      </c>
      <c r="R569" s="9">
        <v>8888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404</v>
      </c>
      <c r="AA569" s="9">
        <v>5</v>
      </c>
      <c r="AC569" s="9">
        <v>3200</v>
      </c>
      <c r="AE569" s="56">
        <f t="shared" si="139"/>
        <v>1140</v>
      </c>
      <c r="AF569" s="10">
        <f t="shared" si="147"/>
        <v>1540</v>
      </c>
      <c r="AH569" s="11">
        <f t="shared" si="138"/>
        <v>25</v>
      </c>
      <c r="AI569" s="10">
        <v>25</v>
      </c>
      <c r="AJ569" s="11">
        <f t="shared" si="145"/>
        <v>40</v>
      </c>
      <c r="AK569" s="10">
        <v>40</v>
      </c>
      <c r="AL569" s="11">
        <f t="shared" si="145"/>
        <v>40</v>
      </c>
      <c r="AM569" s="10">
        <v>40</v>
      </c>
      <c r="AN569" s="56">
        <f t="shared" si="140"/>
        <v>2</v>
      </c>
      <c r="AP569" s="11">
        <f ca="1">IFERROR(OFFSET(ITEM_RES!$A$1,MATCH(AQ569,ITEM_RES!$J:$J,0)-1,0),0)</f>
        <v>212040001</v>
      </c>
      <c r="AQ569" s="10" t="s">
        <v>469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528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42"/>
        <v>115070006</v>
      </c>
      <c r="B570" s="13">
        <v>11</v>
      </c>
      <c r="C570" s="12">
        <f t="shared" si="143"/>
        <v>5</v>
      </c>
      <c r="D570" s="13">
        <v>7</v>
      </c>
      <c r="E570" s="13">
        <v>0</v>
      </c>
      <c r="F570" s="12">
        <f t="shared" si="144"/>
        <v>6</v>
      </c>
      <c r="H570" s="9">
        <v>5</v>
      </c>
      <c r="I570" s="9">
        <v>6</v>
      </c>
      <c r="K570" s="9" t="s">
        <v>391</v>
      </c>
      <c r="L570" s="9">
        <v>1</v>
      </c>
      <c r="M570" s="9">
        <v>15</v>
      </c>
      <c r="R570" s="9">
        <v>8888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404</v>
      </c>
      <c r="AA570" s="9">
        <v>6</v>
      </c>
      <c r="AC570" s="9">
        <v>4000</v>
      </c>
      <c r="AE570" s="56">
        <f t="shared" si="139"/>
        <v>800</v>
      </c>
      <c r="AF570" s="10">
        <f t="shared" si="147"/>
        <v>1940</v>
      </c>
      <c r="AH570" s="11">
        <f t="shared" si="138"/>
        <v>30</v>
      </c>
      <c r="AI570" s="10">
        <v>30</v>
      </c>
      <c r="AJ570" s="11">
        <f t="shared" si="145"/>
        <v>50</v>
      </c>
      <c r="AK570" s="10">
        <v>50</v>
      </c>
      <c r="AL570" s="11">
        <f t="shared" si="145"/>
        <v>50</v>
      </c>
      <c r="AM570" s="10">
        <v>50</v>
      </c>
      <c r="AN570" s="56">
        <f t="shared" si="140"/>
        <v>1</v>
      </c>
      <c r="AP570" s="11">
        <f ca="1">IFERROR(OFFSET(ITEM_RES!$A$1,MATCH(AQ570,ITEM_RES!$J:$J,0)-1,0),0)</f>
        <v>212040001</v>
      </c>
      <c r="AQ570" s="10" t="s">
        <v>469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42"/>
        <v>115070007</v>
      </c>
      <c r="B571" s="13">
        <v>11</v>
      </c>
      <c r="C571" s="12">
        <f t="shared" si="143"/>
        <v>5</v>
      </c>
      <c r="D571" s="13">
        <v>7</v>
      </c>
      <c r="E571" s="13">
        <v>0</v>
      </c>
      <c r="F571" s="12">
        <f t="shared" si="144"/>
        <v>7</v>
      </c>
      <c r="H571" s="9">
        <v>5</v>
      </c>
      <c r="I571" s="9">
        <v>7</v>
      </c>
      <c r="K571" s="9" t="s">
        <v>391</v>
      </c>
      <c r="L571" s="9">
        <v>1</v>
      </c>
      <c r="M571" s="9">
        <v>15</v>
      </c>
      <c r="R571" s="9">
        <v>8888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404</v>
      </c>
      <c r="AA571" s="9">
        <v>7</v>
      </c>
      <c r="AC571" s="9">
        <v>8000</v>
      </c>
      <c r="AE571" s="56">
        <f t="shared" si="139"/>
        <v>1600</v>
      </c>
      <c r="AF571" s="10">
        <f t="shared" si="147"/>
        <v>2400</v>
      </c>
      <c r="AH571" s="11">
        <f t="shared" si="138"/>
        <v>35</v>
      </c>
      <c r="AI571" s="10">
        <v>35</v>
      </c>
      <c r="AJ571" s="11">
        <f t="shared" si="145"/>
        <v>100</v>
      </c>
      <c r="AK571" s="10">
        <v>100</v>
      </c>
      <c r="AL571" s="11">
        <f t="shared" si="145"/>
        <v>100</v>
      </c>
      <c r="AM571" s="10">
        <v>100</v>
      </c>
      <c r="AN571" s="56">
        <f t="shared" si="140"/>
        <v>1</v>
      </c>
      <c r="AP571" s="11">
        <f ca="1">IFERROR(OFFSET(ITEM_RES!$A$1,MATCH(AQ571,ITEM_RES!$J:$J,0)-1,0),0)</f>
        <v>212040001</v>
      </c>
      <c r="AQ571" s="10" t="s">
        <v>469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42"/>
        <v>115070008</v>
      </c>
      <c r="B572" s="13">
        <v>11</v>
      </c>
      <c r="C572" s="12">
        <f t="shared" si="143"/>
        <v>5</v>
      </c>
      <c r="D572" s="13">
        <v>7</v>
      </c>
      <c r="E572" s="13">
        <v>0</v>
      </c>
      <c r="F572" s="12">
        <f t="shared" si="144"/>
        <v>8</v>
      </c>
      <c r="H572" s="9">
        <v>5</v>
      </c>
      <c r="I572" s="9">
        <v>8</v>
      </c>
      <c r="K572" s="9" t="s">
        <v>391</v>
      </c>
      <c r="L572" s="9">
        <v>1</v>
      </c>
      <c r="M572" s="9">
        <v>15</v>
      </c>
      <c r="R572" s="9">
        <v>8888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404</v>
      </c>
      <c r="AA572" s="9">
        <v>8</v>
      </c>
      <c r="AC572" s="9">
        <v>8000</v>
      </c>
      <c r="AE572" s="56">
        <f t="shared" si="139"/>
        <v>1600</v>
      </c>
      <c r="AF572" s="10">
        <f t="shared" si="147"/>
        <v>3200</v>
      </c>
      <c r="AH572" s="11">
        <f t="shared" si="138"/>
        <v>40</v>
      </c>
      <c r="AI572" s="10">
        <v>40</v>
      </c>
      <c r="AJ572" s="11">
        <f t="shared" si="145"/>
        <v>100</v>
      </c>
      <c r="AK572" s="10">
        <v>100</v>
      </c>
      <c r="AL572" s="11">
        <f t="shared" si="145"/>
        <v>100</v>
      </c>
      <c r="AM572" s="10">
        <v>100</v>
      </c>
      <c r="AN572" s="56">
        <f t="shared" si="140"/>
        <v>1</v>
      </c>
      <c r="AP572" s="11">
        <f ca="1">IFERROR(OFFSET(ITEM_RES!$A$1,MATCH(AQ572,ITEM_RES!$J:$J,0)-1,0),0)</f>
        <v>212040001</v>
      </c>
      <c r="AQ572" s="10" t="s">
        <v>469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42"/>
        <v>115070009</v>
      </c>
      <c r="B573" s="13">
        <v>11</v>
      </c>
      <c r="C573" s="12">
        <f t="shared" si="143"/>
        <v>5</v>
      </c>
      <c r="D573" s="13">
        <v>7</v>
      </c>
      <c r="E573" s="13">
        <v>0</v>
      </c>
      <c r="F573" s="12">
        <f t="shared" si="144"/>
        <v>9</v>
      </c>
      <c r="H573" s="9">
        <v>5</v>
      </c>
      <c r="I573" s="9">
        <v>9</v>
      </c>
      <c r="K573" s="9" t="s">
        <v>391</v>
      </c>
      <c r="L573" s="9">
        <v>1</v>
      </c>
      <c r="M573" s="9">
        <v>15</v>
      </c>
      <c r="R573" s="9">
        <v>8888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404</v>
      </c>
      <c r="AA573" s="9">
        <v>9</v>
      </c>
      <c r="AC573" s="9">
        <v>12000</v>
      </c>
      <c r="AE573" s="56">
        <f t="shared" si="139"/>
        <v>2400</v>
      </c>
      <c r="AF573" s="10">
        <f t="shared" si="147"/>
        <v>4000</v>
      </c>
      <c r="AH573" s="11">
        <f t="shared" si="138"/>
        <v>45</v>
      </c>
      <c r="AI573" s="10">
        <v>45</v>
      </c>
      <c r="AJ573" s="11">
        <f t="shared" si="145"/>
        <v>150</v>
      </c>
      <c r="AK573" s="10">
        <v>150</v>
      </c>
      <c r="AL573" s="11">
        <f t="shared" si="145"/>
        <v>150</v>
      </c>
      <c r="AM573" s="10">
        <v>150</v>
      </c>
      <c r="AN573" s="56">
        <f t="shared" si="140"/>
        <v>1</v>
      </c>
      <c r="AP573" s="11">
        <f ca="1">IFERROR(OFFSET(ITEM_RES!$A$1,MATCH(AQ573,ITEM_RES!$J:$J,0)-1,0),0)</f>
        <v>212040001</v>
      </c>
      <c r="AQ573" s="10" t="s">
        <v>469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42"/>
        <v>115070010</v>
      </c>
      <c r="B574" s="13">
        <v>11</v>
      </c>
      <c r="C574" s="12">
        <f t="shared" si="143"/>
        <v>5</v>
      </c>
      <c r="D574" s="13">
        <v>7</v>
      </c>
      <c r="E574" s="13">
        <v>0</v>
      </c>
      <c r="F574" s="12">
        <f t="shared" si="144"/>
        <v>10</v>
      </c>
      <c r="H574" s="9">
        <v>5</v>
      </c>
      <c r="I574" s="9">
        <v>10</v>
      </c>
      <c r="K574" s="9" t="s">
        <v>391</v>
      </c>
      <c r="L574" s="9">
        <v>1</v>
      </c>
      <c r="M574" s="9">
        <v>15</v>
      </c>
      <c r="R574" s="9">
        <v>8888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404</v>
      </c>
      <c r="AA574" s="9">
        <v>10</v>
      </c>
      <c r="AC574" s="9">
        <v>16000</v>
      </c>
      <c r="AE574" s="56">
        <f t="shared" si="139"/>
        <v>3200</v>
      </c>
      <c r="AF574" s="10">
        <f t="shared" si="147"/>
        <v>5600</v>
      </c>
      <c r="AH574" s="11">
        <f t="shared" si="138"/>
        <v>50</v>
      </c>
      <c r="AI574" s="10">
        <v>50</v>
      </c>
      <c r="AJ574" s="11">
        <f t="shared" si="145"/>
        <v>200</v>
      </c>
      <c r="AK574" s="10">
        <v>200</v>
      </c>
      <c r="AL574" s="11">
        <f t="shared" si="145"/>
        <v>200</v>
      </c>
      <c r="AM574" s="10">
        <v>200</v>
      </c>
      <c r="AN574" s="56">
        <f t="shared" si="140"/>
        <v>1</v>
      </c>
      <c r="AP574" s="11">
        <f ca="1">IFERROR(OFFSET(ITEM_RES!$A$1,MATCH(AQ574,ITEM_RES!$J:$J,0)-1,0),0)</f>
        <v>212040001</v>
      </c>
      <c r="AQ574" s="10" t="s">
        <v>469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42"/>
        <v>115070011</v>
      </c>
      <c r="B575" s="13">
        <v>11</v>
      </c>
      <c r="C575" s="12">
        <f t="shared" si="143"/>
        <v>5</v>
      </c>
      <c r="D575" s="13">
        <v>7</v>
      </c>
      <c r="E575" s="13">
        <v>0</v>
      </c>
      <c r="F575" s="12">
        <f t="shared" si="144"/>
        <v>11</v>
      </c>
      <c r="H575" s="9">
        <v>5</v>
      </c>
      <c r="I575" s="9">
        <v>11</v>
      </c>
      <c r="K575" s="9" t="s">
        <v>391</v>
      </c>
      <c r="L575" s="9">
        <v>1</v>
      </c>
      <c r="M575" s="9">
        <v>15</v>
      </c>
      <c r="R575" s="9">
        <v>8888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404</v>
      </c>
      <c r="AA575" s="9">
        <v>11</v>
      </c>
      <c r="AC575" s="9">
        <v>20000</v>
      </c>
      <c r="AE575" s="56">
        <f t="shared" si="139"/>
        <v>4000</v>
      </c>
      <c r="AF575" s="10">
        <f t="shared" si="147"/>
        <v>7200</v>
      </c>
      <c r="AH575" s="11">
        <f t="shared" si="138"/>
        <v>55</v>
      </c>
      <c r="AI575" s="10">
        <v>55</v>
      </c>
      <c r="AJ575" s="11">
        <f t="shared" si="145"/>
        <v>250</v>
      </c>
      <c r="AK575" s="10">
        <v>250</v>
      </c>
      <c r="AL575" s="11">
        <f t="shared" si="145"/>
        <v>250</v>
      </c>
      <c r="AM575" s="10">
        <v>250</v>
      </c>
      <c r="AN575" s="56">
        <f t="shared" si="140"/>
        <v>1</v>
      </c>
      <c r="AP575" s="11">
        <f ca="1">IFERROR(OFFSET(ITEM_RES!$A$1,MATCH(AQ575,ITEM_RES!$J:$J,0)-1,0),0)</f>
        <v>212040001</v>
      </c>
      <c r="AQ575" s="10" t="s">
        <v>469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42"/>
        <v>115070012</v>
      </c>
      <c r="B576" s="13">
        <v>11</v>
      </c>
      <c r="C576" s="12">
        <f t="shared" si="143"/>
        <v>5</v>
      </c>
      <c r="D576" s="13">
        <v>7</v>
      </c>
      <c r="E576" s="13">
        <v>0</v>
      </c>
      <c r="F576" s="12">
        <f t="shared" si="144"/>
        <v>12</v>
      </c>
      <c r="H576" s="9">
        <v>5</v>
      </c>
      <c r="I576" s="9">
        <v>12</v>
      </c>
      <c r="K576" s="9" t="s">
        <v>391</v>
      </c>
      <c r="L576" s="9">
        <v>1</v>
      </c>
      <c r="M576" s="9">
        <v>15</v>
      </c>
      <c r="R576" s="9">
        <v>8888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404</v>
      </c>
      <c r="AA576" s="9">
        <v>12</v>
      </c>
      <c r="AC576" s="9">
        <v>24000</v>
      </c>
      <c r="AE576" s="56">
        <f t="shared" si="139"/>
        <v>4800</v>
      </c>
      <c r="AF576" s="10">
        <f t="shared" si="147"/>
        <v>8800</v>
      </c>
      <c r="AH576" s="11">
        <f t="shared" si="138"/>
        <v>60</v>
      </c>
      <c r="AI576" s="10">
        <v>60</v>
      </c>
      <c r="AJ576" s="11">
        <f t="shared" si="145"/>
        <v>300</v>
      </c>
      <c r="AK576" s="10">
        <v>300</v>
      </c>
      <c r="AL576" s="11">
        <f t="shared" si="145"/>
        <v>300</v>
      </c>
      <c r="AM576" s="10">
        <v>300</v>
      </c>
      <c r="AN576" s="56">
        <f t="shared" si="140"/>
        <v>1</v>
      </c>
      <c r="AP576" s="11">
        <f ca="1">IFERROR(OFFSET(ITEM_RES!$A$1,MATCH(AQ576,ITEM_RES!$J:$J,0)-1,0),0)</f>
        <v>212040001</v>
      </c>
      <c r="AQ576" s="10" t="s">
        <v>469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42"/>
        <v>115070013</v>
      </c>
      <c r="B577" s="13">
        <v>11</v>
      </c>
      <c r="C577" s="12">
        <f t="shared" si="143"/>
        <v>5</v>
      </c>
      <c r="D577" s="13">
        <v>7</v>
      </c>
      <c r="E577" s="13">
        <v>0</v>
      </c>
      <c r="F577" s="12">
        <f t="shared" si="144"/>
        <v>13</v>
      </c>
      <c r="H577" s="9">
        <v>5</v>
      </c>
      <c r="I577" s="9">
        <v>13</v>
      </c>
      <c r="K577" s="9" t="s">
        <v>391</v>
      </c>
      <c r="L577" s="9">
        <v>1</v>
      </c>
      <c r="M577" s="9">
        <v>15</v>
      </c>
      <c r="R577" s="9">
        <v>8888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404</v>
      </c>
      <c r="AA577" s="9">
        <v>13</v>
      </c>
      <c r="AC577" s="9">
        <v>28000</v>
      </c>
      <c r="AE577" s="56">
        <f t="shared" si="139"/>
        <v>5600</v>
      </c>
      <c r="AF577" s="10">
        <f t="shared" si="147"/>
        <v>10400</v>
      </c>
      <c r="AH577" s="11">
        <f t="shared" si="138"/>
        <v>65</v>
      </c>
      <c r="AI577" s="10">
        <v>65</v>
      </c>
      <c r="AJ577" s="11">
        <f t="shared" si="145"/>
        <v>350</v>
      </c>
      <c r="AK577" s="10">
        <v>350</v>
      </c>
      <c r="AL577" s="11">
        <f t="shared" si="145"/>
        <v>350</v>
      </c>
      <c r="AM577" s="10">
        <v>350</v>
      </c>
      <c r="AN577" s="56">
        <f t="shared" si="140"/>
        <v>1</v>
      </c>
      <c r="AP577" s="11">
        <f ca="1">IFERROR(OFFSET(ITEM_RES!$A$1,MATCH(AQ577,ITEM_RES!$J:$J,0)-1,0),0)</f>
        <v>215050001</v>
      </c>
      <c r="AQ577" s="10" t="s">
        <v>484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42"/>
        <v>115070014</v>
      </c>
      <c r="B578" s="13">
        <v>11</v>
      </c>
      <c r="C578" s="12">
        <f t="shared" si="143"/>
        <v>5</v>
      </c>
      <c r="D578" s="13">
        <v>7</v>
      </c>
      <c r="E578" s="13">
        <v>0</v>
      </c>
      <c r="F578" s="12">
        <f t="shared" si="144"/>
        <v>14</v>
      </c>
      <c r="H578" s="9">
        <v>5</v>
      </c>
      <c r="I578" s="9">
        <v>14</v>
      </c>
      <c r="K578" s="9" t="s">
        <v>391</v>
      </c>
      <c r="L578" s="9">
        <v>1</v>
      </c>
      <c r="M578" s="9">
        <v>15</v>
      </c>
      <c r="R578" s="9">
        <v>8888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404</v>
      </c>
      <c r="AA578" s="9">
        <v>14</v>
      </c>
      <c r="AC578" s="9">
        <v>36000</v>
      </c>
      <c r="AE578" s="56">
        <f t="shared" si="139"/>
        <v>7200</v>
      </c>
      <c r="AF578" s="10">
        <f t="shared" si="147"/>
        <v>12800</v>
      </c>
      <c r="AH578" s="11">
        <f t="shared" si="138"/>
        <v>70</v>
      </c>
      <c r="AI578" s="10">
        <v>70</v>
      </c>
      <c r="AJ578" s="11">
        <f t="shared" si="145"/>
        <v>450</v>
      </c>
      <c r="AK578" s="10">
        <v>450</v>
      </c>
      <c r="AL578" s="11">
        <f t="shared" si="145"/>
        <v>450</v>
      </c>
      <c r="AM578" s="10">
        <v>450</v>
      </c>
      <c r="AN578" s="56">
        <f t="shared" si="140"/>
        <v>1</v>
      </c>
      <c r="AP578" s="11">
        <f ca="1">IFERROR(OFFSET(ITEM_RES!$A$1,MATCH(AQ578,ITEM_RES!$J:$J,0)-1,0),0)</f>
        <v>215050001</v>
      </c>
      <c r="AQ578" s="10" t="s">
        <v>483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42"/>
        <v>115070015</v>
      </c>
      <c r="B579" s="13">
        <v>11</v>
      </c>
      <c r="C579" s="12">
        <f t="shared" si="143"/>
        <v>5</v>
      </c>
      <c r="D579" s="13">
        <v>7</v>
      </c>
      <c r="E579" s="13">
        <v>0</v>
      </c>
      <c r="F579" s="12">
        <f t="shared" si="144"/>
        <v>15</v>
      </c>
      <c r="H579" s="9">
        <v>5</v>
      </c>
      <c r="I579" s="9">
        <v>15</v>
      </c>
      <c r="K579" s="9" t="s">
        <v>391</v>
      </c>
      <c r="L579" s="9">
        <v>1</v>
      </c>
      <c r="M579" s="9">
        <v>15</v>
      </c>
      <c r="R579" s="9">
        <v>8888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404</v>
      </c>
      <c r="AA579" s="9">
        <v>15</v>
      </c>
      <c r="AC579" s="9">
        <v>44000</v>
      </c>
      <c r="AE579" s="56">
        <f t="shared" si="139"/>
        <v>9300</v>
      </c>
      <c r="AF579" s="10">
        <f t="shared" si="147"/>
        <v>16500</v>
      </c>
      <c r="AH579" s="11">
        <f t="shared" si="138"/>
        <v>75</v>
      </c>
      <c r="AI579" s="10">
        <v>75</v>
      </c>
      <c r="AJ579" s="11">
        <f t="shared" si="145"/>
        <v>550</v>
      </c>
      <c r="AK579" s="10">
        <v>550</v>
      </c>
      <c r="AL579" s="11">
        <f t="shared" si="145"/>
        <v>550</v>
      </c>
      <c r="AM579" s="10">
        <v>550</v>
      </c>
      <c r="AN579" s="56">
        <f t="shared" si="140"/>
        <v>2</v>
      </c>
      <c r="AP579" s="11">
        <f ca="1">IFERROR(OFFSET(ITEM_RES!$A$1,MATCH(AQ579,ITEM_RES!$J:$J,0)-1,0),0)</f>
        <v>215050001</v>
      </c>
      <c r="AQ579" s="10" t="s">
        <v>483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528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42"/>
        <v>115070016</v>
      </c>
      <c r="B580" s="13">
        <v>11</v>
      </c>
      <c r="C580" s="12">
        <f t="shared" si="143"/>
        <v>5</v>
      </c>
      <c r="D580" s="13">
        <v>7</v>
      </c>
      <c r="E580" s="13">
        <v>0</v>
      </c>
      <c r="F580" s="12">
        <f t="shared" si="144"/>
        <v>16</v>
      </c>
      <c r="H580" s="9">
        <v>5</v>
      </c>
      <c r="I580" s="9">
        <v>16</v>
      </c>
      <c r="K580" s="9" t="s">
        <v>391</v>
      </c>
      <c r="L580" s="9">
        <v>0</v>
      </c>
      <c r="M580" s="9">
        <v>15</v>
      </c>
      <c r="R580" s="9">
        <v>8888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404</v>
      </c>
      <c r="AA580" s="9">
        <v>16</v>
      </c>
      <c r="AC580" s="9">
        <v>56000</v>
      </c>
      <c r="AE580" s="56">
        <f t="shared" si="139"/>
        <v>11200</v>
      </c>
      <c r="AF580" s="10">
        <f t="shared" si="147"/>
        <v>20500</v>
      </c>
      <c r="AH580" s="11">
        <f t="shared" si="138"/>
        <v>80</v>
      </c>
      <c r="AI580" s="10">
        <v>80</v>
      </c>
      <c r="AJ580" s="11">
        <f t="shared" si="145"/>
        <v>700</v>
      </c>
      <c r="AK580" s="10">
        <v>700</v>
      </c>
      <c r="AL580" s="11">
        <f t="shared" si="145"/>
        <v>700</v>
      </c>
      <c r="AM580" s="10">
        <v>700</v>
      </c>
      <c r="AN580" s="56">
        <f t="shared" si="140"/>
        <v>1</v>
      </c>
      <c r="AP580" s="11">
        <f ca="1">IFERROR(OFFSET(ITEM_RES!$A$1,MATCH(AQ580,ITEM_RES!$J:$J,0)-1,0),0)</f>
        <v>215050001</v>
      </c>
      <c r="AQ580" s="10" t="s">
        <v>483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42"/>
        <v>115070017</v>
      </c>
      <c r="B581" s="13">
        <v>11</v>
      </c>
      <c r="C581" s="12">
        <f t="shared" si="143"/>
        <v>5</v>
      </c>
      <c r="D581" s="13">
        <v>7</v>
      </c>
      <c r="E581" s="13">
        <v>0</v>
      </c>
      <c r="F581" s="12">
        <f t="shared" si="144"/>
        <v>17</v>
      </c>
      <c r="H581" s="9">
        <v>5</v>
      </c>
      <c r="I581" s="9">
        <v>17</v>
      </c>
      <c r="K581" s="9" t="s">
        <v>391</v>
      </c>
      <c r="L581" s="9">
        <v>0</v>
      </c>
      <c r="M581" s="9">
        <v>15</v>
      </c>
      <c r="R581" s="9">
        <v>8888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404</v>
      </c>
      <c r="AA581" s="9">
        <v>17</v>
      </c>
      <c r="AC581" s="9">
        <v>68000</v>
      </c>
      <c r="AE581" s="56">
        <f t="shared" si="139"/>
        <v>13600</v>
      </c>
      <c r="AF581" s="10">
        <f t="shared" si="147"/>
        <v>24800</v>
      </c>
      <c r="AH581" s="11">
        <f t="shared" ref="AH581:AH584" si="148">ROUND(AI581,0)</f>
        <v>85</v>
      </c>
      <c r="AI581" s="10">
        <v>85</v>
      </c>
      <c r="AJ581" s="11">
        <f t="shared" si="145"/>
        <v>850</v>
      </c>
      <c r="AK581" s="10">
        <v>850</v>
      </c>
      <c r="AL581" s="11">
        <f t="shared" si="145"/>
        <v>850</v>
      </c>
      <c r="AM581" s="10">
        <v>850</v>
      </c>
      <c r="AN581" s="56">
        <f t="shared" si="140"/>
        <v>1</v>
      </c>
      <c r="AP581" s="11">
        <f ca="1">IFERROR(OFFSET(ITEM_RES!$A$1,MATCH(AQ581,ITEM_RES!$J:$J,0)-1,0),0)</f>
        <v>215050001</v>
      </c>
      <c r="AQ581" s="10" t="s">
        <v>483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42"/>
        <v>115070018</v>
      </c>
      <c r="B582" s="13">
        <v>11</v>
      </c>
      <c r="C582" s="12">
        <f t="shared" si="143"/>
        <v>5</v>
      </c>
      <c r="D582" s="13">
        <v>7</v>
      </c>
      <c r="E582" s="13">
        <v>0</v>
      </c>
      <c r="F582" s="12">
        <f t="shared" si="144"/>
        <v>18</v>
      </c>
      <c r="H582" s="9">
        <v>5</v>
      </c>
      <c r="I582" s="9">
        <v>18</v>
      </c>
      <c r="K582" s="9" t="s">
        <v>391</v>
      </c>
      <c r="L582" s="9">
        <v>0</v>
      </c>
      <c r="M582" s="9">
        <v>15</v>
      </c>
      <c r="R582" s="9">
        <v>8888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404</v>
      </c>
      <c r="AA582" s="9">
        <v>18</v>
      </c>
      <c r="AC582" s="9">
        <v>84000</v>
      </c>
      <c r="AE582" s="56">
        <f t="shared" ref="AE582:AE584" si="149">AK582*10+AM582+AR582+AW582+500*BB582+500*BG582+500*BL582</f>
        <v>16800</v>
      </c>
      <c r="AF582" s="10">
        <f t="shared" si="147"/>
        <v>30400</v>
      </c>
      <c r="AH582" s="11">
        <f t="shared" si="148"/>
        <v>90</v>
      </c>
      <c r="AI582" s="10">
        <v>90</v>
      </c>
      <c r="AJ582" s="11">
        <f t="shared" si="145"/>
        <v>1050</v>
      </c>
      <c r="AK582" s="10">
        <v>1050</v>
      </c>
      <c r="AL582" s="11">
        <f t="shared" si="145"/>
        <v>1050</v>
      </c>
      <c r="AM582" s="10">
        <v>1050</v>
      </c>
      <c r="AN582" s="56">
        <f t="shared" ref="AN582:AN584" si="150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483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42"/>
        <v>115070019</v>
      </c>
      <c r="B583" s="13">
        <v>11</v>
      </c>
      <c r="C583" s="12">
        <f t="shared" si="143"/>
        <v>5</v>
      </c>
      <c r="D583" s="13">
        <v>7</v>
      </c>
      <c r="E583" s="13">
        <v>0</v>
      </c>
      <c r="F583" s="12">
        <f t="shared" si="144"/>
        <v>19</v>
      </c>
      <c r="H583" s="9">
        <v>5</v>
      </c>
      <c r="I583" s="9">
        <v>19</v>
      </c>
      <c r="K583" s="9" t="s">
        <v>391</v>
      </c>
      <c r="L583" s="9">
        <v>0</v>
      </c>
      <c r="M583" s="9">
        <v>15</v>
      </c>
      <c r="R583" s="9">
        <v>8888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404</v>
      </c>
      <c r="AA583" s="9">
        <v>19</v>
      </c>
      <c r="AC583" s="9">
        <v>100000</v>
      </c>
      <c r="AE583" s="56">
        <f t="shared" si="149"/>
        <v>20000</v>
      </c>
      <c r="AF583" s="10">
        <f t="shared" si="147"/>
        <v>36800</v>
      </c>
      <c r="AH583" s="11">
        <f t="shared" si="148"/>
        <v>95</v>
      </c>
      <c r="AI583" s="10">
        <v>95</v>
      </c>
      <c r="AJ583" s="11">
        <f t="shared" si="145"/>
        <v>1250</v>
      </c>
      <c r="AK583" s="10">
        <v>1250</v>
      </c>
      <c r="AL583" s="11">
        <f t="shared" si="14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483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42"/>
        <v>115070020</v>
      </c>
      <c r="B584" s="13">
        <v>11</v>
      </c>
      <c r="C584" s="12">
        <f t="shared" si="143"/>
        <v>5</v>
      </c>
      <c r="D584" s="13">
        <v>7</v>
      </c>
      <c r="E584" s="13">
        <v>0</v>
      </c>
      <c r="F584" s="12">
        <f t="shared" si="144"/>
        <v>20</v>
      </c>
      <c r="H584" s="9">
        <v>5</v>
      </c>
      <c r="I584" s="9">
        <v>20</v>
      </c>
      <c r="K584" s="9" t="s">
        <v>391</v>
      </c>
      <c r="L584" s="9">
        <v>0</v>
      </c>
      <c r="M584" s="9">
        <v>15</v>
      </c>
      <c r="R584" s="9">
        <v>8888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404</v>
      </c>
      <c r="AA584" s="9">
        <v>20</v>
      </c>
      <c r="AC584" s="9">
        <v>120000</v>
      </c>
      <c r="AE584" s="56">
        <f t="shared" si="149"/>
        <v>24500</v>
      </c>
      <c r="AF584" s="10">
        <f t="shared" si="147"/>
        <v>44500</v>
      </c>
      <c r="AH584" s="11">
        <f t="shared" si="148"/>
        <v>100</v>
      </c>
      <c r="AI584" s="10">
        <v>100</v>
      </c>
      <c r="AJ584" s="11">
        <f t="shared" si="145"/>
        <v>1500</v>
      </c>
      <c r="AK584" s="10">
        <v>1500</v>
      </c>
      <c r="AL584" s="11">
        <f t="shared" si="145"/>
        <v>1500</v>
      </c>
      <c r="AM584" s="10">
        <v>1500</v>
      </c>
      <c r="AN584" s="56">
        <f t="shared" si="150"/>
        <v>2</v>
      </c>
      <c r="AP584" s="11">
        <f ca="1">IFERROR(OFFSET(ITEM_RES!$A$1,MATCH(AQ584,ITEM_RES!$J:$J,0)-1,0),0)</f>
        <v>215050001</v>
      </c>
      <c r="AQ584" s="10" t="s">
        <v>483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528</v>
      </c>
      <c r="BG584" s="11">
        <v>1</v>
      </c>
      <c r="BJ584" s="11">
        <f ca="1">IFERROR(OFFSET(ITEM_RES!$A$1,MATCH(BK584,ITEM_RES!$J:$J,0)-1,0),0)</f>
        <v>0</v>
      </c>
    </row>
    <row r="585" spans="1:65" s="15" customFormat="1" x14ac:dyDescent="0.3">
      <c r="A585" s="21"/>
      <c r="B585" s="20"/>
      <c r="C585" s="19"/>
      <c r="D585" s="20"/>
      <c r="E585" s="20"/>
      <c r="F585" s="19"/>
      <c r="G585" s="80"/>
      <c r="H585" s="16"/>
      <c r="I585" s="16"/>
      <c r="J585" s="80"/>
      <c r="K585" s="16"/>
      <c r="L585" s="16"/>
      <c r="M585" s="16"/>
      <c r="N585" s="16"/>
      <c r="O585" s="17"/>
      <c r="P585" s="17"/>
      <c r="Q585" s="18"/>
      <c r="R585" s="16"/>
      <c r="S585" s="80"/>
      <c r="T585" s="88"/>
      <c r="U585" s="16"/>
      <c r="V585" s="18"/>
      <c r="W585" s="88"/>
      <c r="X585" s="16"/>
      <c r="Y585" s="80"/>
      <c r="Z585" s="16"/>
      <c r="AA585" s="16"/>
      <c r="AB585" s="80"/>
      <c r="AC585" s="16"/>
      <c r="AD585" s="80"/>
      <c r="AE585" s="57"/>
      <c r="AF585" s="17"/>
      <c r="AG585" s="80"/>
      <c r="AH585" s="18"/>
      <c r="AI585" s="17"/>
      <c r="AJ585" s="18"/>
      <c r="AK585" s="17"/>
      <c r="AL585" s="18"/>
      <c r="AM585" s="17"/>
      <c r="AN585" s="57"/>
      <c r="AO585" s="18"/>
      <c r="AP585" s="18"/>
      <c r="AQ585" s="17"/>
      <c r="AR585" s="18"/>
      <c r="AS585" s="17"/>
      <c r="AT585" s="18"/>
      <c r="AU585" s="18"/>
      <c r="AV585" s="17"/>
      <c r="AW585" s="18"/>
      <c r="AX585" s="17"/>
      <c r="AY585" s="18"/>
      <c r="AZ585" s="18"/>
      <c r="BA585" s="17"/>
      <c r="BB585" s="18"/>
      <c r="BC585" s="17"/>
      <c r="BD585" s="18"/>
      <c r="BE585" s="18"/>
      <c r="BF585" s="17"/>
      <c r="BG585" s="18"/>
      <c r="BH585" s="17"/>
      <c r="BI585" s="18"/>
      <c r="BJ585" s="18"/>
      <c r="BK585" s="17"/>
      <c r="BL585" s="18"/>
      <c r="BM58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topLeftCell="J1" zoomScale="90" zoomScaleNormal="90" workbookViewId="0">
      <selection activeCell="S5" sqref="S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454</v>
      </c>
      <c r="T3" s="71"/>
      <c r="U3" s="89" t="s">
        <v>358</v>
      </c>
      <c r="V3" s="71"/>
      <c r="W3" s="56" t="s">
        <v>537</v>
      </c>
      <c r="X3" s="56" t="s">
        <v>538</v>
      </c>
      <c r="Y3" s="56" t="s">
        <v>539</v>
      </c>
      <c r="Z3" s="60" t="s">
        <v>540</v>
      </c>
      <c r="AA3" s="71"/>
      <c r="AB3" s="56" t="s">
        <v>541</v>
      </c>
      <c r="AC3" s="56" t="s">
        <v>542</v>
      </c>
      <c r="AD3" s="56" t="s">
        <v>543</v>
      </c>
      <c r="AE3" s="60" t="s">
        <v>544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440</v>
      </c>
      <c r="C4" s="82" t="s">
        <v>441</v>
      </c>
      <c r="D4" s="82" t="s">
        <v>442</v>
      </c>
      <c r="E4" s="82" t="s">
        <v>443</v>
      </c>
      <c r="F4" s="82" t="s">
        <v>444</v>
      </c>
      <c r="G4" s="72" t="s">
        <v>355</v>
      </c>
      <c r="H4" s="83" t="s">
        <v>344</v>
      </c>
      <c r="I4" s="72" t="s">
        <v>354</v>
      </c>
      <c r="J4" s="83" t="s">
        <v>438</v>
      </c>
      <c r="K4" s="84" t="s">
        <v>435</v>
      </c>
      <c r="L4" s="84" t="s">
        <v>436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453</v>
      </c>
      <c r="S4" s="81" t="s">
        <v>628</v>
      </c>
      <c r="T4" s="72" t="s">
        <v>87</v>
      </c>
      <c r="U4" s="90" t="s">
        <v>357</v>
      </c>
      <c r="V4" s="72" t="s">
        <v>445</v>
      </c>
      <c r="W4" s="58" t="s">
        <v>545</v>
      </c>
      <c r="X4" s="58" t="s">
        <v>546</v>
      </c>
      <c r="Y4" s="58" t="s">
        <v>547</v>
      </c>
      <c r="Z4" s="83" t="s">
        <v>548</v>
      </c>
      <c r="AA4" s="72" t="s">
        <v>455</v>
      </c>
      <c r="AB4" s="58" t="s">
        <v>549</v>
      </c>
      <c r="AC4" s="58" t="s">
        <v>550</v>
      </c>
      <c r="AD4" s="58" t="s">
        <v>551</v>
      </c>
      <c r="AE4" s="83" t="s">
        <v>446</v>
      </c>
      <c r="AF4" s="72" t="s">
        <v>346</v>
      </c>
      <c r="AG4" s="2" t="s">
        <v>439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406</v>
      </c>
      <c r="K5" s="39" t="s">
        <v>434</v>
      </c>
      <c r="L5" s="39" t="s">
        <v>431</v>
      </c>
      <c r="M5" s="39"/>
      <c r="N5" s="39"/>
      <c r="O5" s="37" t="str">
        <f>CONCATENATE(M5,N5,".png")</f>
        <v>.png</v>
      </c>
      <c r="P5" s="38"/>
      <c r="Q5" s="38" t="s">
        <v>437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407</v>
      </c>
      <c r="K6" s="39" t="s">
        <v>434</v>
      </c>
      <c r="L6" s="39" t="s">
        <v>431</v>
      </c>
      <c r="M6" s="69"/>
      <c r="N6" s="69"/>
      <c r="O6" s="70" t="str">
        <f>CONCATENATE(M6,N6,".png")</f>
        <v>.png</v>
      </c>
      <c r="P6" s="62"/>
      <c r="Q6" s="38" t="s">
        <v>437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408</v>
      </c>
      <c r="K7" s="39" t="s">
        <v>434</v>
      </c>
      <c r="L7" s="39" t="s">
        <v>431</v>
      </c>
      <c r="M7" s="69"/>
      <c r="N7" s="69"/>
      <c r="O7" s="70" t="str">
        <f>CONCATENATE(M7,N7,".png")</f>
        <v>.png</v>
      </c>
      <c r="P7" s="62"/>
      <c r="Q7" s="38" t="s">
        <v>437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491</v>
      </c>
      <c r="K8" s="39" t="s">
        <v>477</v>
      </c>
      <c r="L8" s="39" t="s">
        <v>492</v>
      </c>
      <c r="M8" s="69"/>
      <c r="N8" s="69"/>
      <c r="O8" s="70"/>
      <c r="P8" s="62"/>
      <c r="Q8" s="38" t="s">
        <v>437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409</v>
      </c>
      <c r="K9" s="39" t="s">
        <v>434</v>
      </c>
      <c r="L9" s="39" t="s">
        <v>431</v>
      </c>
      <c r="M9" s="69"/>
      <c r="N9" s="69"/>
      <c r="O9" s="70" t="str">
        <f>CONCATENATE(M9,N9,".png")</f>
        <v>.png</v>
      </c>
      <c r="P9" s="62"/>
      <c r="Q9" s="38" t="s">
        <v>437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597</v>
      </c>
      <c r="K10" s="39" t="s">
        <v>434</v>
      </c>
      <c r="L10" s="39" t="s">
        <v>431</v>
      </c>
      <c r="Q10" s="38" t="s">
        <v>437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482</v>
      </c>
      <c r="K11" s="39" t="s">
        <v>434</v>
      </c>
      <c r="L11" s="39" t="s">
        <v>431</v>
      </c>
      <c r="Q11" s="38" t="s">
        <v>437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490</v>
      </c>
      <c r="K12" s="39" t="s">
        <v>431</v>
      </c>
      <c r="L12" s="39"/>
      <c r="Q12" s="38" t="s">
        <v>437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430</v>
      </c>
      <c r="K13" s="39" t="s">
        <v>431</v>
      </c>
      <c r="Q13" s="38" t="s">
        <v>437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413</v>
      </c>
      <c r="K14" s="36" t="s">
        <v>431</v>
      </c>
      <c r="Q14" s="38" t="s">
        <v>437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431</v>
      </c>
      <c r="Q15" s="38" t="s">
        <v>437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419</v>
      </c>
      <c r="K16" s="36" t="s">
        <v>431</v>
      </c>
      <c r="Q16" s="38" t="s">
        <v>437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565</v>
      </c>
      <c r="K17" s="36" t="s">
        <v>566</v>
      </c>
      <c r="L17" s="36" t="s">
        <v>567</v>
      </c>
      <c r="Q17" s="38" t="s">
        <v>437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420</v>
      </c>
      <c r="K18" s="36" t="s">
        <v>431</v>
      </c>
      <c r="Q18" s="38" t="s">
        <v>437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421</v>
      </c>
      <c r="K19" s="36" t="s">
        <v>431</v>
      </c>
      <c r="Q19" s="38" t="s">
        <v>437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422</v>
      </c>
      <c r="K20" s="36" t="s">
        <v>431</v>
      </c>
      <c r="Q20" s="38" t="s">
        <v>437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423</v>
      </c>
      <c r="K21" s="36" t="s">
        <v>431</v>
      </c>
      <c r="Q21" s="38" t="s">
        <v>437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497</v>
      </c>
      <c r="K22" s="36" t="s">
        <v>492</v>
      </c>
      <c r="Q22" s="38" t="s">
        <v>531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498</v>
      </c>
      <c r="K23" s="36" t="s">
        <v>492</v>
      </c>
      <c r="Q23" s="38" t="s">
        <v>531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499</v>
      </c>
      <c r="K24" s="36" t="s">
        <v>492</v>
      </c>
      <c r="Q24" s="38" t="s">
        <v>531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506</v>
      </c>
      <c r="K25" s="36" t="s">
        <v>492</v>
      </c>
      <c r="Q25" s="38" t="s">
        <v>531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500</v>
      </c>
      <c r="K26" s="36" t="s">
        <v>492</v>
      </c>
      <c r="Q26" s="38" t="s">
        <v>531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501</v>
      </c>
      <c r="K27" s="36" t="s">
        <v>492</v>
      </c>
      <c r="Q27" s="38" t="s">
        <v>531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502</v>
      </c>
      <c r="K28" s="36" t="s">
        <v>492</v>
      </c>
      <c r="Q28" s="38" t="s">
        <v>531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512</v>
      </c>
      <c r="K29" s="36" t="s">
        <v>492</v>
      </c>
      <c r="Q29" s="38" t="s">
        <v>531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516</v>
      </c>
      <c r="K30" s="36" t="s">
        <v>492</v>
      </c>
      <c r="Q30" s="38" t="s">
        <v>531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517</v>
      </c>
      <c r="K31" s="36" t="s">
        <v>492</v>
      </c>
      <c r="Q31" s="38" t="s">
        <v>531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522</v>
      </c>
      <c r="K32" s="36" t="s">
        <v>492</v>
      </c>
      <c r="Q32" s="38" t="s">
        <v>531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530</v>
      </c>
      <c r="K33" s="36" t="s">
        <v>492</v>
      </c>
      <c r="Q33" s="38" t="s">
        <v>531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524</v>
      </c>
      <c r="K34" s="36" t="s">
        <v>492</v>
      </c>
      <c r="Q34" s="38" t="s">
        <v>531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525</v>
      </c>
      <c r="K35" s="36" t="s">
        <v>492</v>
      </c>
      <c r="Q35" s="38" t="s">
        <v>531</v>
      </c>
      <c r="R35" s="93" t="s">
        <v>568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527</v>
      </c>
      <c r="K36" s="36" t="s">
        <v>492</v>
      </c>
      <c r="Q36" s="38" t="s">
        <v>531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554</v>
      </c>
      <c r="K37" s="36" t="s">
        <v>563</v>
      </c>
      <c r="Q37" s="38" t="s">
        <v>564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555</v>
      </c>
      <c r="K38" s="36" t="s">
        <v>563</v>
      </c>
      <c r="Q38" s="38" t="s">
        <v>564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556</v>
      </c>
      <c r="K39" s="36" t="s">
        <v>563</v>
      </c>
      <c r="Q39" s="38" t="s">
        <v>564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424</v>
      </c>
      <c r="K40" s="36" t="s">
        <v>431</v>
      </c>
      <c r="Q40" s="38" t="s">
        <v>437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425</v>
      </c>
      <c r="K41" s="36" t="s">
        <v>431</v>
      </c>
      <c r="Q41" s="38" t="s">
        <v>437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426</v>
      </c>
      <c r="K42" s="36" t="s">
        <v>431</v>
      </c>
      <c r="Q42" s="38" t="s">
        <v>437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427</v>
      </c>
      <c r="K43" s="36" t="s">
        <v>431</v>
      </c>
      <c r="Q43" s="38" t="s">
        <v>437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428</v>
      </c>
      <c r="K44" s="36" t="s">
        <v>431</v>
      </c>
      <c r="Q44" s="38" t="s">
        <v>437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429</v>
      </c>
      <c r="K45" s="36" t="s">
        <v>431</v>
      </c>
      <c r="Q45" s="38" t="s">
        <v>437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557</v>
      </c>
      <c r="K46" s="36" t="s">
        <v>431</v>
      </c>
      <c r="Q46" s="38" t="s">
        <v>437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558</v>
      </c>
      <c r="K47" s="36" t="s">
        <v>431</v>
      </c>
      <c r="Q47" s="38" t="s">
        <v>437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559</v>
      </c>
      <c r="K48" s="36" t="s">
        <v>431</v>
      </c>
      <c r="Q48" s="38" t="s">
        <v>437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560</v>
      </c>
      <c r="K49" s="36" t="s">
        <v>431</v>
      </c>
      <c r="Q49" s="38" t="s">
        <v>437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561</v>
      </c>
      <c r="K50" s="36" t="s">
        <v>431</v>
      </c>
      <c r="Q50" s="38" t="s">
        <v>437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562</v>
      </c>
      <c r="K51" s="36" t="s">
        <v>431</v>
      </c>
      <c r="Q51" s="38" t="s">
        <v>437</v>
      </c>
      <c r="S51" s="38">
        <v>1000</v>
      </c>
      <c r="AG51" s="35">
        <v>1</v>
      </c>
    </row>
    <row r="52" spans="1:33" x14ac:dyDescent="0.15">
      <c r="A52" s="34">
        <f t="shared" si="2"/>
        <v>215070001</v>
      </c>
      <c r="B52" s="36">
        <v>21</v>
      </c>
      <c r="C52" s="36">
        <v>5</v>
      </c>
      <c r="D52" s="36">
        <v>7</v>
      </c>
      <c r="E52" s="36">
        <v>0</v>
      </c>
      <c r="F52" s="39">
        <f t="shared" si="5"/>
        <v>1</v>
      </c>
      <c r="G52" s="74"/>
      <c r="H52" s="62">
        <v>1</v>
      </c>
      <c r="J52" s="35" t="s">
        <v>410</v>
      </c>
      <c r="K52" s="36" t="s">
        <v>433</v>
      </c>
      <c r="Q52" s="38" t="s">
        <v>437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412</v>
      </c>
      <c r="K53" s="36" t="s">
        <v>433</v>
      </c>
      <c r="Q53" s="38" t="s">
        <v>437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411</v>
      </c>
      <c r="K54" s="36" t="s">
        <v>432</v>
      </c>
      <c r="Q54" s="38" t="s">
        <v>437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414</v>
      </c>
      <c r="K55" s="36" t="s">
        <v>432</v>
      </c>
      <c r="Q55" s="38" t="s">
        <v>437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416</v>
      </c>
      <c r="K56" s="36" t="s">
        <v>432</v>
      </c>
      <c r="Q56" s="38" t="s">
        <v>437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418</v>
      </c>
      <c r="K57" s="36" t="s">
        <v>432</v>
      </c>
      <c r="Q57" s="38" t="s">
        <v>437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459</v>
      </c>
      <c r="K58" s="36" t="s">
        <v>432</v>
      </c>
      <c r="Q58" s="38" t="s">
        <v>437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495</v>
      </c>
      <c r="K59" s="36" t="s">
        <v>432</v>
      </c>
      <c r="Q59" s="38" t="s">
        <v>437</v>
      </c>
      <c r="S59" s="62">
        <v>10</v>
      </c>
      <c r="AG59" s="35">
        <v>1</v>
      </c>
    </row>
    <row r="60" spans="1:33" x14ac:dyDescent="0.15">
      <c r="G60" s="74"/>
      <c r="Q60" s="38" t="s">
        <v>437</v>
      </c>
      <c r="S60" s="62">
        <v>10</v>
      </c>
      <c r="AG60" s="35">
        <v>1</v>
      </c>
    </row>
    <row r="61" spans="1:33" x14ac:dyDescent="0.15">
      <c r="G61" s="74"/>
      <c r="Q61" s="38" t="s">
        <v>437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A42" sqref="A4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454</v>
      </c>
      <c r="T3" s="71"/>
      <c r="U3" s="89" t="s">
        <v>358</v>
      </c>
      <c r="V3" s="71"/>
      <c r="W3" s="56" t="s">
        <v>537</v>
      </c>
      <c r="X3" s="56" t="s">
        <v>538</v>
      </c>
      <c r="Y3" s="56" t="s">
        <v>539</v>
      </c>
      <c r="Z3" s="60" t="s">
        <v>540</v>
      </c>
      <c r="AA3" s="71"/>
      <c r="AB3" s="56" t="s">
        <v>541</v>
      </c>
      <c r="AC3" s="56" t="s">
        <v>542</v>
      </c>
      <c r="AD3" s="56" t="s">
        <v>543</v>
      </c>
      <c r="AE3" s="60" t="s">
        <v>544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440</v>
      </c>
      <c r="C4" s="82" t="s">
        <v>441</v>
      </c>
      <c r="D4" s="82" t="s">
        <v>442</v>
      </c>
      <c r="E4" s="82" t="s">
        <v>443</v>
      </c>
      <c r="F4" s="82" t="s">
        <v>444</v>
      </c>
      <c r="G4" s="72" t="s">
        <v>355</v>
      </c>
      <c r="H4" s="83" t="s">
        <v>344</v>
      </c>
      <c r="I4" s="72" t="s">
        <v>354</v>
      </c>
      <c r="J4" s="83" t="s">
        <v>438</v>
      </c>
      <c r="K4" s="84" t="s">
        <v>435</v>
      </c>
      <c r="L4" s="84" t="s">
        <v>436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453</v>
      </c>
      <c r="S4" s="81" t="s">
        <v>536</v>
      </c>
      <c r="T4" s="72" t="s">
        <v>87</v>
      </c>
      <c r="U4" s="90" t="s">
        <v>357</v>
      </c>
      <c r="V4" s="72" t="s">
        <v>445</v>
      </c>
      <c r="W4" s="58" t="s">
        <v>545</v>
      </c>
      <c r="X4" s="58" t="s">
        <v>546</v>
      </c>
      <c r="Y4" s="58" t="s">
        <v>547</v>
      </c>
      <c r="Z4" s="83" t="s">
        <v>548</v>
      </c>
      <c r="AA4" s="72" t="s">
        <v>455</v>
      </c>
      <c r="AB4" s="58" t="s">
        <v>549</v>
      </c>
      <c r="AC4" s="58" t="s">
        <v>550</v>
      </c>
      <c r="AD4" s="58" t="s">
        <v>551</v>
      </c>
      <c r="AE4" s="83" t="s">
        <v>446</v>
      </c>
      <c r="AF4" s="72" t="s">
        <v>346</v>
      </c>
      <c r="AG4" s="2" t="s">
        <v>439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406</v>
      </c>
      <c r="K5" s="39" t="s">
        <v>434</v>
      </c>
      <c r="L5" s="39" t="s">
        <v>431</v>
      </c>
      <c r="M5" s="39"/>
      <c r="N5" s="39"/>
      <c r="O5" s="37" t="str">
        <f>CONCATENATE(M5,N5,".png")</f>
        <v>.png</v>
      </c>
      <c r="P5" s="38"/>
      <c r="Q5" s="38" t="s">
        <v>437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407</v>
      </c>
      <c r="K6" s="39" t="s">
        <v>434</v>
      </c>
      <c r="L6" s="39" t="s">
        <v>431</v>
      </c>
      <c r="M6" s="69"/>
      <c r="N6" s="69"/>
      <c r="O6" s="70" t="str">
        <f>CONCATENATE(M6,N6,".png")</f>
        <v>.png</v>
      </c>
      <c r="P6" s="62"/>
      <c r="Q6" s="38" t="s">
        <v>437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408</v>
      </c>
      <c r="K7" s="39" t="s">
        <v>434</v>
      </c>
      <c r="L7" s="39" t="s">
        <v>431</v>
      </c>
      <c r="M7" s="69"/>
      <c r="N7" s="69"/>
      <c r="O7" s="70" t="str">
        <f>CONCATENATE(M7,N7,".png")</f>
        <v>.png</v>
      </c>
      <c r="P7" s="62"/>
      <c r="Q7" s="38" t="s">
        <v>437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489</v>
      </c>
      <c r="K8" s="39" t="s">
        <v>434</v>
      </c>
      <c r="L8" s="39" t="s">
        <v>431</v>
      </c>
      <c r="M8" s="69"/>
      <c r="N8" s="69"/>
      <c r="O8" s="70"/>
      <c r="P8" s="62"/>
      <c r="Q8" s="38" t="s">
        <v>437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409</v>
      </c>
      <c r="K9" s="39" t="s">
        <v>434</v>
      </c>
      <c r="L9" s="39" t="s">
        <v>431</v>
      </c>
      <c r="M9" s="69"/>
      <c r="N9" s="69"/>
      <c r="O9" s="70" t="str">
        <f>CONCATENATE(M9,N9,".png")</f>
        <v>.png</v>
      </c>
      <c r="P9" s="62"/>
      <c r="Q9" s="38" t="s">
        <v>437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417</v>
      </c>
      <c r="K10" s="39" t="s">
        <v>434</v>
      </c>
      <c r="L10" s="39" t="s">
        <v>431</v>
      </c>
      <c r="Q10" s="38" t="s">
        <v>437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481</v>
      </c>
      <c r="K11" s="39" t="s">
        <v>434</v>
      </c>
      <c r="L11" s="39" t="s">
        <v>431</v>
      </c>
      <c r="Q11" s="38" t="s">
        <v>437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472</v>
      </c>
      <c r="K12" s="39" t="s">
        <v>431</v>
      </c>
      <c r="L12" s="39"/>
      <c r="Q12" s="38" t="s">
        <v>437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430</v>
      </c>
      <c r="K13" s="39" t="s">
        <v>431</v>
      </c>
      <c r="Q13" s="38" t="s">
        <v>437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413</v>
      </c>
      <c r="K14" s="36" t="s">
        <v>431</v>
      </c>
      <c r="Q14" s="38" t="s">
        <v>437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431</v>
      </c>
      <c r="Q15" s="38" t="s">
        <v>437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419</v>
      </c>
      <c r="K16" s="36" t="s">
        <v>431</v>
      </c>
      <c r="Q16" s="38" t="s">
        <v>437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420</v>
      </c>
      <c r="K17" s="36" t="s">
        <v>431</v>
      </c>
      <c r="Q17" s="38" t="s">
        <v>437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421</v>
      </c>
      <c r="K18" s="36" t="s">
        <v>431</v>
      </c>
      <c r="Q18" s="38" t="s">
        <v>437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422</v>
      </c>
      <c r="K19" s="36" t="s">
        <v>431</v>
      </c>
      <c r="Q19" s="38" t="s">
        <v>437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423</v>
      </c>
      <c r="K20" s="36" t="s">
        <v>431</v>
      </c>
      <c r="Q20" s="38" t="s">
        <v>437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497</v>
      </c>
      <c r="K21" s="36" t="s">
        <v>431</v>
      </c>
      <c r="Q21" s="38" t="s">
        <v>531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498</v>
      </c>
      <c r="K22" s="36" t="s">
        <v>431</v>
      </c>
      <c r="Q22" s="38" t="s">
        <v>531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499</v>
      </c>
      <c r="K23" s="36" t="s">
        <v>431</v>
      </c>
      <c r="Q23" s="38" t="s">
        <v>531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506</v>
      </c>
      <c r="K24" s="36" t="s">
        <v>431</v>
      </c>
      <c r="Q24" s="38" t="s">
        <v>531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500</v>
      </c>
      <c r="K25" s="36" t="s">
        <v>431</v>
      </c>
      <c r="Q25" s="38" t="s">
        <v>531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501</v>
      </c>
      <c r="K26" s="36" t="s">
        <v>431</v>
      </c>
      <c r="Q26" s="38" t="s">
        <v>531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502</v>
      </c>
      <c r="K27" s="36" t="s">
        <v>431</v>
      </c>
      <c r="Q27" s="38" t="s">
        <v>531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511</v>
      </c>
      <c r="K28" s="36" t="s">
        <v>431</v>
      </c>
      <c r="Q28" s="38" t="s">
        <v>531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514</v>
      </c>
      <c r="K29" s="36" t="s">
        <v>431</v>
      </c>
      <c r="Q29" s="38" t="s">
        <v>531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515</v>
      </c>
      <c r="K30" s="36" t="s">
        <v>431</v>
      </c>
      <c r="Q30" s="38" t="s">
        <v>531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522</v>
      </c>
      <c r="K31" s="36" t="s">
        <v>431</v>
      </c>
      <c r="Q31" s="38" t="s">
        <v>531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529</v>
      </c>
      <c r="K32" s="36" t="s">
        <v>431</v>
      </c>
      <c r="Q32" s="38" t="s">
        <v>531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524</v>
      </c>
      <c r="K33" s="36" t="s">
        <v>431</v>
      </c>
      <c r="Q33" s="38" t="s">
        <v>531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525</v>
      </c>
      <c r="K34" s="36" t="s">
        <v>431</v>
      </c>
      <c r="Q34" s="38" t="s">
        <v>531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527</v>
      </c>
      <c r="K35" s="36" t="s">
        <v>431</v>
      </c>
      <c r="Q35" s="38" t="s">
        <v>531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424</v>
      </c>
      <c r="K36" s="36" t="s">
        <v>431</v>
      </c>
      <c r="Q36" s="38" t="s">
        <v>437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425</v>
      </c>
      <c r="K37" s="36" t="s">
        <v>431</v>
      </c>
      <c r="Q37" s="38" t="s">
        <v>437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426</v>
      </c>
      <c r="K38" s="36" t="s">
        <v>431</v>
      </c>
      <c r="Q38" s="38" t="s">
        <v>437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427</v>
      </c>
      <c r="K39" s="36" t="s">
        <v>431</v>
      </c>
      <c r="Q39" s="38" t="s">
        <v>437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428</v>
      </c>
      <c r="K40" s="36" t="s">
        <v>431</v>
      </c>
      <c r="Q40" s="38" t="s">
        <v>437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429</v>
      </c>
      <c r="K41" s="36" t="s">
        <v>431</v>
      </c>
      <c r="Q41" s="38" t="s">
        <v>437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410</v>
      </c>
      <c r="K42" s="36" t="s">
        <v>433</v>
      </c>
      <c r="Q42" s="38" t="s">
        <v>437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412</v>
      </c>
      <c r="K43" s="36" t="s">
        <v>433</v>
      </c>
      <c r="Q43" s="38" t="s">
        <v>437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411</v>
      </c>
      <c r="K44" s="36" t="s">
        <v>432</v>
      </c>
      <c r="Q44" s="38" t="s">
        <v>437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414</v>
      </c>
      <c r="K45" s="36" t="s">
        <v>432</v>
      </c>
      <c r="Q45" s="38" t="s">
        <v>437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416</v>
      </c>
      <c r="K46" s="36" t="s">
        <v>432</v>
      </c>
      <c r="Q46" s="38" t="s">
        <v>437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418</v>
      </c>
      <c r="K47" s="36" t="s">
        <v>432</v>
      </c>
      <c r="Q47" s="38" t="s">
        <v>437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459</v>
      </c>
      <c r="K48" s="36" t="s">
        <v>432</v>
      </c>
      <c r="Q48" s="38" t="s">
        <v>437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494</v>
      </c>
      <c r="K49" s="36" t="s">
        <v>432</v>
      </c>
      <c r="Q49" s="38" t="s">
        <v>437</v>
      </c>
      <c r="S49" s="62">
        <v>10</v>
      </c>
      <c r="AG49" s="35">
        <v>1</v>
      </c>
    </row>
    <row r="50" spans="1:33" x14ac:dyDescent="0.15">
      <c r="G50" s="74"/>
      <c r="Q50" s="38" t="s">
        <v>437</v>
      </c>
      <c r="S50" s="62">
        <v>10</v>
      </c>
      <c r="AG50" s="35">
        <v>1</v>
      </c>
    </row>
    <row r="51" spans="1:33" x14ac:dyDescent="0.15">
      <c r="G51" s="74"/>
      <c r="Q51" s="38" t="s">
        <v>437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2018-08-15T11:02:55Z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