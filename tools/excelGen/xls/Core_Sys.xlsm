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S520" i="9" l="1"/>
  <c r="J6" i="44" l="1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H198" i="9"/>
  <c r="AG198" i="9" s="1"/>
  <c r="AH215" i="9"/>
  <c r="AG215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332" i="9" l="1"/>
  <c r="AI210" i="9"/>
  <c r="AI43" i="9"/>
  <c r="AI82" i="9"/>
  <c r="AI216" i="9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<sst xmlns="http://schemas.openxmlformats.org/spreadsheetml/2006/main" count="5199" uniqueCount="1352">
  <si>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</si>
  <si>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</si>
  <si>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</si>
  <si>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</si>
  <si>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</si>
  <si>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</si>
  <si>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</si>
  <si>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</si>
  <si>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</si>
  <si>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</si>
  <si>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</si>
  <si>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</si>
  <si>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</si>
  <si>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</si>
  <si>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</si>
  <si>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</si>
  <si>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</si>
  <si>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</si>
  <si>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</si>
  <si>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</si>
  <si>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</si>
  <si>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</si>
  <si>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</si>
  <si>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</si>
  <si>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</si>
  <si>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</si>
  <si>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</si>
  <si>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</si>
  <si>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</si>
  <si>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</si>
  <si>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</si>
  <si>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</si>
  <si>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</si>
  <si>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</si>
  <si>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</si>
  <si>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</si>
  <si>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</si>
  <si>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</si>
  <si>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</si>
  <si>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</si>
  <si>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</si>
  <si>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</si>
  <si>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</si>
  <si>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</si>
  <si>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</si>
  <si>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</si>
  <si>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</si>
  <si>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</si>
  <si>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</si>
  <si>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</si>
  <si>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</si>
  <si>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</si>
  <si>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</si>
  <si>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</si>
  <si>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</si>
  <si>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</si>
  <si>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</si>
  <si>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</si>
  <si>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</si>
  <si>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</si>
  <si>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</si>
  <si>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</si>
  <si>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</si>
  <si>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</si>
  <si>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</si>
  <si>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</si>
  <si>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</si>
  <si>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</si>
  <si>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</si>
  <si>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</si>
  <si>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</si>
  <si>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</si>
  <si>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</si>
  <si>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</si>
  <si>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</si>
  <si>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</si>
  <si>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</si>
  <si>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</si>
  <si>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</si>
  <si>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</si>
  <si>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</si>
  <si>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</si>
  <si>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</si>
  <si>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</si>
  <si>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</si>
  <si>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</si>
  <si>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</si>
  <si>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</si>
  <si>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</si>
  <si>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</si>
  <si>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</si>
  <si>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</si>
  <si>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</si>
  <si>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</si>
  <si>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</si>
  <si>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</si>
  <si>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</si>
  <si>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</si>
  <si>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</si>
  <si>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</si>
  <si>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</si>
  <si>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</si>
  <si>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</si>
  <si>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</si>
  <si>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</si>
  <si>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</si>
  <si>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</si>
  <si>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</si>
  <si>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</si>
  <si>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</si>
  <si>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</si>
  <si>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</si>
  <si>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</si>
  <si>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</si>
  <si>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</si>
  <si>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</si>
  <si>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</si>
  <si>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</si>
  <si>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</si>
  <si>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</si>
  <si>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</si>
  <si>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</si>
  <si>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</si>
  <si>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</si>
  <si>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</si>
  <si>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</si>
  <si>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</si>
  <si>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</si>
  <si>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</si>
  <si>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</si>
  <si>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</si>
  <si>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</si>
  <si>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</si>
  <si>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</si>
  <si>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</si>
  <si>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</si>
  <si>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</si>
  <si>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</si>
  <si>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</si>
  <si>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</si>
  <si>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</si>
  <si>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</si>
  <si>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</si>
  <si>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</si>
  <si>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</si>
  <si>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</si>
  <si>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</si>
  <si>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</si>
  <si>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</si>
  <si>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</si>
  <si>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</si>
  <si>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</si>
  <si>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</si>
  <si>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</si>
  <si>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</si>
  <si>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</si>
  <si>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</si>
  <si>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</si>
  <si>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</si>
  <si>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</si>
  <si>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</si>
  <si>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</si>
  <si>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</si>
  <si>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</si>
  <si>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</si>
  <si>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</si>
  <si>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</si>
  <si>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</si>
  <si>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</si>
  <si>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</si>
  <si>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</si>
  <si>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</si>
  <si>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</si>
  <si>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</si>
  <si>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</si>
  <si>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</si>
  <si>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</si>
  <si>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</si>
  <si>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</si>
  <si>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</si>
  <si>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</si>
  <si>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</si>
  <si>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</si>
  <si>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</si>
  <si>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</si>
  <si>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</si>
  <si>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</si>
  <si>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</si>
  <si>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</si>
  <si>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</si>
  <si>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</si>
  <si>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</si>
  <si>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</si>
  <si>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</si>
  <si>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</si>
  <si>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</si>
  <si>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</si>
  <si>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</si>
  <si>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</si>
  <si>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</si>
  <si>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</si>
  <si>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</si>
  <si>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</si>
  <si>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</si>
  <si>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</si>
  <si>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</si>
  <si>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</si>
  <si>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</si>
  <si>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</si>
  <si>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</si>
  <si>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</si>
  <si>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</si>
  <si>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</si>
  <si>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</si>
  <si>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</si>
  <si>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</si>
  <si>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</si>
  <si>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</si>
  <si>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</si>
  <si>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</si>
  <si>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</si>
  <si>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</si>
  <si>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</si>
  <si>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</si>
  <si>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</si>
  <si>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</si>
  <si>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</si>
  <si>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</si>
  <si>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</si>
  <si>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</si>
  <si>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</si>
  <si>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</si>
  <si>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</si>
  <si>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</si>
  <si>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</si>
  <si>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</si>
  <si>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</si>
  <si>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</si>
  <si>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</si>
  <si>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</si>
  <si>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</si>
  <si>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</si>
  <si>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</si>
  <si>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</si>
  <si>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</si>
  <si>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</si>
  <si>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</si>
  <si>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</si>
  <si>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</si>
  <si>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</si>
  <si>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</si>
  <si>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</si>
  <si>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</si>
  <si>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</si>
  <si>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</si>
  <si>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</si>
  <si>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</si>
  <si>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</si>
  <si>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</si>
  <si>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</si>
  <si>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</si>
  <si>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</si>
  <si>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</si>
  <si>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</si>
  <si>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</si>
  <si>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</si>
  <si>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</si>
  <si>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</si>
  <si>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</si>
  <si>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</si>
  <si>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</si>
  <si>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</si>
  <si>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</si>
  <si>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</si>
  <si>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</si>
  <si>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</si>
  <si>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</si>
  <si>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</si>
  <si>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</si>
  <si>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</si>
  <si>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</si>
  <si>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</si>
  <si>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</si>
  <si>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</si>
  <si>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</si>
  <si>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</si>
  <si>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</si>
  <si>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</si>
  <si>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</si>
  <si>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</si>
  <si>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</si>
  <si>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</si>
  <si>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</si>
  <si>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</si>
  <si>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</si>
  <si>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</si>
  <si>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</si>
  <si>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</si>
  <si>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</si>
  <si>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</si>
  <si>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</si>
  <si>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</si>
  <si>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</si>
  <si>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</si>
  <si>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</si>
  <si>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</si>
  <si>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</si>
  <si>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</si>
  <si>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</si>
  <si>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</si>
  <si>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</si>
  <si>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</si>
  <si>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</si>
  <si>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</si>
  <si>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</si>
  <si>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</si>
  <si>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</si>
  <si>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</si>
  <si>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</si>
  <si>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</si>
  <si>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</si>
  <si>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</si>
  <si>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</si>
  <si>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</si>
  <si>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</si>
  <si>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</si>
  <si>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</si>
  <si>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</si>
  <si>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</si>
  <si>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</si>
  <si>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</si>
  <si>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</si>
  <si>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</si>
  <si>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</si>
  <si>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</si>
  <si>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</si>
  <si>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</si>
  <si>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</si>
  <si>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</si>
  <si>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</si>
  <si>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</si>
  <si>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</si>
  <si>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</si>
  <si>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</si>
  <si>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</si>
  <si>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</si>
  <si>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</si>
  <si>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</si>
  <si>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</si>
  <si>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</si>
  <si>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</si>
  <si>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</si>
  <si>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</si>
  <si>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</si>
  <si>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</si>
  <si>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</si>
  <si>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</si>
  <si>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</si>
  <si>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</si>
  <si>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</si>
  <si>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</si>
  <si>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</si>
  <si>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</si>
  <si>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</si>
  <si>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</si>
  <si>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</si>
  <si>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</si>
  <si>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</si>
  <si>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</si>
  <si>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</si>
  <si>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</si>
  <si>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</si>
  <si>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</si>
  <si>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</si>
  <si>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</si>
  <si>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</si>
  <si>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</si>
  <si>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</si>
  <si>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</si>
  <si>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</si>
  <si>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</si>
  <si>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</si>
  <si>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</si>
  <si>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</si>
  <si>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</si>
  <si>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</si>
  <si>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</si>
  <si>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</si>
  <si>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</si>
  <si>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</si>
  <si>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</si>
  <si>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</si>
  <si>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</si>
  <si>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</si>
  <si>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</si>
  <si>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</si>
  <si>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</si>
  <si>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</si>
  <si>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</si>
  <si>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</si>
  <si>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</si>
  <si>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</si>
  <si>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</si>
  <si>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</si>
  <si>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</si>
  <si>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</si>
  <si>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</si>
  <si>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</si>
  <si>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</si>
  <si>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</si>
  <si>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</si>
  <si>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</si>
  <si>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</si>
  <si>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</si>
  <si>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</si>
  <si>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</si>
  <si>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</si>
  <si>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</si>
  <si>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</si>
  <si>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</si>
  <si>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</si>
  <si>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</si>
  <si>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</si>
  <si>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</si>
  <si>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</si>
  <si>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</si>
  <si>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</si>
  <si>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</si>
  <si>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</si>
  <si>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</si>
  <si>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</si>
  <si>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</si>
  <si>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</si>
  <si>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</si>
  <si>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</si>
  <si>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</si>
  <si>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</si>
  <si>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</si>
  <si>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</si>
  <si>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</si>
  <si>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</si>
  <si>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</si>
  <si>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</si>
  <si>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</si>
  <si>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</si>
  <si>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</si>
  <si>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</si>
  <si>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</si>
  <si>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</si>
  <si>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</si>
  <si>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</si>
  <si>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</si>
  <si>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</si>
  <si>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</si>
  <si>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</si>
  <si>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</si>
  <si>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</si>
  <si>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</si>
  <si>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</si>
  <si>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</si>
  <si>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</si>
  <si>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</si>
  <si>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</si>
  <si>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</si>
  <si>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</si>
  <si>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</si>
  <si>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</si>
  <si>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</si>
  <si>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</si>
  <si>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</si>
  <si>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</si>
  <si>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</si>
  <si>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</si>
  <si>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</si>
  <si>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</si>
  <si>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</si>
  <si>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</si>
  <si>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</si>
  <si>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</si>
  <si>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</si>
  <si>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</si>
  <si>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</si>
  <si>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</si>
  <si>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</si>
  <si>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</si>
  <si>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</si>
  <si>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</si>
  <si>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</si>
  <si>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</si>
  <si>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</si>
  <si>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</si>
  <si>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</si>
  <si>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</si>
  <si>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</si>
  <si>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</si>
  <si>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</si>
  <si>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</si>
  <si>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</si>
  <si>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</si>
  <si>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</si>
  <si>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</si>
  <si>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</si>
  <si>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</si>
  <si>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</si>
  <si>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</si>
  <si>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</si>
  <si>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</si>
  <si>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</si>
  <si>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</si>
  <si>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</si>
  <si>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</si>
  <si>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</si>
  <si>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</si>
  <si>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</si>
  <si>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</si>
  <si>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</si>
  <si>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</si>
  <si>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</si>
  <si>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</si>
  <si>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</si>
  <si>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</si>
  <si>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</si>
  <si>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</si>
  <si>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</si>
  <si>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</si>
  <si>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</si>
  <si>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</si>
  <si>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</si>
  <si>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</si>
  <si>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</si>
  <si>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</si>
  <si>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</si>
  <si>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</si>
  <si>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</si>
  <si>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</si>
  <si>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</si>
  <si>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</si>
  <si>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</si>
  <si>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</si>
  <si>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</si>
  <si>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</si>
  <si>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</si>
  <si>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</si>
  <si>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</si>
  <si>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</si>
  <si>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</si>
  <si>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</si>
  <si>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</si>
  <si>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</si>
  <si>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</si>
  <si>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</si>
  <si>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</si>
  <si>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</si>
  <si>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</si>
  <si>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</si>
  <si>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</si>
  <si>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</si>
  <si>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</si>
  <si>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</si>
  <si>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</si>
  <si>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</si>
  <si>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</si>
  <si>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</si>
  <si>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</si>
  <si>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</si>
  <si>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</si>
  <si>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</si>
  <si>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</si>
  <si>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</si>
  <si>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</si>
  <si>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</si>
  <si>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</si>
  <si>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</si>
  <si>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</si>
  <si>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</si>
  <si>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</si>
  <si>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</si>
  <si>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</si>
  <si>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</si>
  <si>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</si>
  <si>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</si>
  <si>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</si>
  <si>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</si>
  <si>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</si>
  <si>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</si>
  <si>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</si>
  <si>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</si>
  <si>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</si>
  <si>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</si>
  <si>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</si>
  <si>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</si>
  <si>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</si>
  <si>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</si>
  <si>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</si>
  <si>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</si>
  <si>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</si>
  <si>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</si>
  <si>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</si>
  <si>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</si>
  <si>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</si>
  <si>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</si>
  <si>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</si>
  <si>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</si>
  <si>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</si>
  <si>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</si>
  <si>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</si>
  <si>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</si>
  <si>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</si>
  <si>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</si>
  <si>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</si>
  <si>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</si>
  <si>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</si>
  <si>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</si>
  <si>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</si>
  <si>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</si>
  <si>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</si>
  <si>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</si>
  <si>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</si>
  <si>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</si>
  <si>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</si>
  <si>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</si>
  <si>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</si>
  <si>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</si>
  <si>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</si>
  <si>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</si>
  <si>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</si>
  <si>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</si>
  <si>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</si>
  <si>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</si>
  <si>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</si>
  <si>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</si>
  <si>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</si>
  <si>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</si>
  <si>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</si>
  <si>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</si>
  <si>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</si>
  <si>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</si>
  <si>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</si>
  <si>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</si>
  <si>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</si>
  <si>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</si>
  <si>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</si>
  <si>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</si>
  <si>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</si>
  <si>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</si>
  <si>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</si>
  <si>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</si>
  <si>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</si>
  <si>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</si>
  <si>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</si>
  <si>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</si>
  <si>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</si>
  <si>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</si>
  <si>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</si>
  <si>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</si>
  <si>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</si>
  <si>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</si>
  <si>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</si>
  <si>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</si>
  <si>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</si>
  <si>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</si>
  <si>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</si>
  <si>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</si>
  <si>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</si>
  <si>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</si>
  <si>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</si>
  <si>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</si>
  <si>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</si>
  <si>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</si>
  <si>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</si>
  <si>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</si>
  <si>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</si>
  <si>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</si>
  <si>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</si>
  <si>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</si>
  <si>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</si>
  <si>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</si>
  <si>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</si>
  <si>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</si>
  <si>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</si>
  <si>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</si>
  <si>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</si>
  <si>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</si>
  <si>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</si>
  <si>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</si>
  <si>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</si>
  <si>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</si>
  <si>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</si>
  <si>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</si>
  <si>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</si>
  <si>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</si>
  <si>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</si>
  <si>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</si>
  <si>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</si>
  <si>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</si>
  <si>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</si>
  <si>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</si>
  <si>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</si>
  <si>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</si>
  <si>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</si>
  <si>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</si>
  <si>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</si>
  <si>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</si>
  <si>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</si>
  <si>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</si>
  <si>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</si>
  <si>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</si>
  <si>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</si>
  <si>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</si>
  <si>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</si>
  <si>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</si>
  <si>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</si>
  <si>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</si>
  <si>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</si>
  <si>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</si>
  <si>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</si>
  <si>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</si>
  <si>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</si>
  <si>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</si>
  <si>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</si>
  <si>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</si>
  <si>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</si>
  <si>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</si>
  <si>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</si>
  <si>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</si>
  <si>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</si>
  <si>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</si>
  <si>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</si>
  <si>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</si>
  <si>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</si>
  <si>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</si>
  <si>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</si>
  <si>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</si>
  <si>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</si>
  <si>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</si>
  <si>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</si>
  <si>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</si>
  <si>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</si>
  <si>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</si>
  <si>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</si>
  <si>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</si>
  <si>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</si>
  <si>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</si>
  <si>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</si>
  <si>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</si>
  <si>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</si>
  <si>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</si>
  <si>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</si>
  <si>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</si>
  <si>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</si>
  <si>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</si>
  <si>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</si>
  <si>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</si>
  <si>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</si>
  <si>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</si>
  <si>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</si>
  <si>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</si>
  <si>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</si>
  <si>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</si>
  <si>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</si>
  <si>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</si>
  <si>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</si>
  <si>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</si>
  <si>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</si>
  <si>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</si>
  <si>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</si>
  <si>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</si>
  <si>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</si>
  <si>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</si>
  <si>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</si>
  <si>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</si>
  <si>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</si>
  <si>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</si>
  <si>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</si>
  <si>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</si>
  <si>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</si>
  <si>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</si>
  <si>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</si>
  <si>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</si>
  <si>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</si>
  <si>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</si>
  <si>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</si>
  <si>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</si>
  <si>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</si>
  <si>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</si>
  <si>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</si>
  <si>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</si>
  <si>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</si>
  <si>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</si>
  <si>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</si>
  <si>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</si>
  <si>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</si>
  <si>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</si>
  <si>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</si>
  <si>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</si>
  <si>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</si>
  <si>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</si>
  <si>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</si>
  <si>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</si>
  <si>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</si>
  <si>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</si>
  <si>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</si>
  <si>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</si>
  <si>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</si>
  <si>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</si>
  <si>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</si>
  <si>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</si>
  <si>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</si>
  <si>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</si>
  <si>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</si>
  <si>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</si>
  <si>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</si>
  <si>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</si>
  <si>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</si>
  <si>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</si>
  <si>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</si>
  <si>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</si>
  <si>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</si>
  <si>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</si>
  <si>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</si>
  <si>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</si>
  <si>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</si>
  <si>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</si>
  <si>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</si>
  <si>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</si>
  <si>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</si>
  <si>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</si>
  <si>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</si>
  <si>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</si>
  <si>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</si>
  <si>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</si>
  <si>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</si>
  <si>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</si>
  <si>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</si>
  <si>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</si>
  <si>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</si>
  <si>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</si>
  <si>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</si>
  <si>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</si>
  <si>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</si>
  <si>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</si>
  <si>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</si>
  <si>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</si>
  <si>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</si>
  <si>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</si>
  <si>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</si>
  <si>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</si>
  <si>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</si>
  <si>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</si>
  <si>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</si>
  <si>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</si>
  <si>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</si>
  <si>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</si>
  <si>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</si>
  <si>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</si>
  <si>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</si>
  <si>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</si>
  <si>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</si>
  <si>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</si>
  <si>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</si>
  <si>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</si>
  <si>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</si>
  <si>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</si>
  <si>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</si>
  <si>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</si>
  <si>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</si>
  <si>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</si>
  <si>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</si>
  <si>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</si>
  <si>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</si>
  <si>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</si>
  <si>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</si>
  <si>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</si>
  <si>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</si>
  <si>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</si>
  <si>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</si>
  <si>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</si>
  <si>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</si>
  <si>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</si>
  <si>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</si>
  <si>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</si>
  <si>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</si>
  <si>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</si>
  <si>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</si>
  <si>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</si>
  <si>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</si>
  <si>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</si>
  <si>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</si>
  <si>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</si>
  <si>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</si>
  <si>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</si>
  <si>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</si>
  <si>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</si>
  <si>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</si>
  <si>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</si>
  <si>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</si>
  <si>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</si>
  <si>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</si>
  <si>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</si>
  <si>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</si>
  <si>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</si>
  <si>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</si>
  <si>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</si>
  <si>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</si>
  <si>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</si>
  <si>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</si>
  <si>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</si>
  <si>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</si>
  <si>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</si>
  <si>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</si>
  <si>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</si>
  <si>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</si>
  <si>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</si>
  <si>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</si>
  <si>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</si>
  <si>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</si>
  <si>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</si>
  <si>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</si>
  <si>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</si>
  <si>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</si>
  <si>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</si>
  <si>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</si>
  <si>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</si>
  <si>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</si>
  <si>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</si>
  <si>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</si>
  <si>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</si>
  <si>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</si>
  <si>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</si>
  <si>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</si>
  <si>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</si>
  <si>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</si>
  <si>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</si>
  <si>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</si>
  <si>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</si>
  <si>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</si>
  <si>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</si>
  <si>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</si>
  <si>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</si>
  <si>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</si>
  <si>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</si>
  <si>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</si>
  <si>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</si>
  <si>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</si>
  <si>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</si>
  <si>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</si>
  <si>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</si>
  <si>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</si>
  <si>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</si>
  <si>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</si>
  <si>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</si>
  <si>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</si>
  <si>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</si>
  <si>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</si>
  <si>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</si>
  <si>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</si>
  <si>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</si>
  <si>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</si>
  <si>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</si>
  <si>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</si>
  <si>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</si>
  <si>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</si>
  <si>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</si>
  <si>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</si>
  <si>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</si>
  <si>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</si>
  <si>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</si>
  <si>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</si>
  <si>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</si>
  <si>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</si>
  <si>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</si>
  <si>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</si>
  <si>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</si>
  <si>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</si>
  <si>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</si>
  <si>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</si>
  <si>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</si>
  <si>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</si>
  <si>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</si>
  <si>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</si>
  <si>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</si>
  <si>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</si>
  <si>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</si>
  <si>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</si>
  <si>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</si>
  <si>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</si>
  <si>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</si>
  <si>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</si>
  <si>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</si>
  <si>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</si>
  <si>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</si>
  <si>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</si>
  <si>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</si>
  <si>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</si>
  <si>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</si>
  <si>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</si>
  <si>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</si>
  <si>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</si>
  <si>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</si>
  <si>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</si>
  <si>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</si>
  <si>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</si>
  <si>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</si>
  <si>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</si>
  <si>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</si>
  <si>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</si>
  <si>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</si>
  <si>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</si>
  <si>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</si>
  <si>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</si>
  <si>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</si>
  <si>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</si>
  <si>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</si>
  <si>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</si>
  <si>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</si>
  <si>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</si>
  <si>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</si>
  <si>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</si>
  <si>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</si>
  <si>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</si>
  <si>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</si>
  <si>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</si>
  <si>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</si>
  <si>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</si>
  <si>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</si>
  <si>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</si>
  <si>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</si>
  <si>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</si>
  <si>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</si>
  <si>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</si>
  <si>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</si>
  <si>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</si>
  <si>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</si>
  <si>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</si>
  <si>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</si>
  <si>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</si>
  <si>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</si>
  <si>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</si>
  <si>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</si>
  <si>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</si>
  <si>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</si>
  <si>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</si>
  <si>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</si>
  <si>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</si>
  <si>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</si>
  <si>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</si>
  <si>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</si>
  <si>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</si>
  <si>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</si>
  <si>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</si>
  <si>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</si>
  <si>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</si>
  <si>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</si>
  <si>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</si>
  <si>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</si>
  <si>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</si>
  <si>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</si>
  <si>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</si>
  <si>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</si>
  <si>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</si>
  <si>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</si>
  <si>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</si>
  <si>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</si>
  <si>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</si>
  <si>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</si>
  <si>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</si>
  <si>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</si>
  <si>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</si>
  <si>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</si>
  <si>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</si>
  <si>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</si>
  <si>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</si>
  <si>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</si>
  <si>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</si>
  <si>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</si>
  <si>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</si>
  <si>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</si>
  <si>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</si>
  <si>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</si>
  <si>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</si>
  <si>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</si>
  <si>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</si>
  <si>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</si>
  <si>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</si>
  <si>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</si>
  <si>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</si>
  <si>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</si>
  <si>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</si>
  <si>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</si>
  <si>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</si>
  <si>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</si>
  <si>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</si>
  <si>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</si>
  <si>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</si>
  <si>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</si>
  <si>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</si>
  <si>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</si>
  <si>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</si>
  <si>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</si>
  <si>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</si>
  <si>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</si>
  <si>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</si>
  <si>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</si>
  <si>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</si>
  <si>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</si>
  <si>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</si>
  <si>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</si>
  <si>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</si>
  <si>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</si>
  <si>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</si>
  <si>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</si>
  <si>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</si>
  <si>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</si>
  <si>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</si>
  <si>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</si>
  <si>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</si>
  <si>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</si>
  <si>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</si>
  <si>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</si>
  <si>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</si>
  <si>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</si>
  <si>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</si>
  <si>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</si>
  <si>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</si>
  <si>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</si>
  <si>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</si>
  <si>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</si>
  <si>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</si>
  <si>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</si>
  <si>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</si>
  <si>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</si>
  <si>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</si>
  <si>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</si>
  <si>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</si>
  <si>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</si>
  <si>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</si>
  <si>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</si>
  <si>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</si>
  <si>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</si>
  <si>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</si>
  <si>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</si>
  <si>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</si>
  <si>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</si>
  <si>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</si>
  <si>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</si>
  <si>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</si>
  <si>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</si>
  <si>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</si>
  <si>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</si>
  <si>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</si>
  <si>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</si>
  <si>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</si>
  <si>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</si>
  <si>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</si>
  <si>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</si>
  <si>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</si>
  <si>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</si>
  <si>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</si>
  <si>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</si>
  <si>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</si>
  <si>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</si>
  <si>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</si>
  <si>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</si>
  <si>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</si>
  <si>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</si>
  <si>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</si>
  <si>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</si>
  <si>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</si>
  <si>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</si>
  <si>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</si>
  <si>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</si>
  <si>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</si>
  <si>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</si>
  <si>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</si>
  <si>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</si>
  <si>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</si>
  <si>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</si>
  <si>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</si>
  <si>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</si>
  <si>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</si>
  <si>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</si>
  <si>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</si>
  <si>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</si>
  <si>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</si>
  <si>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</si>
  <si>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</si>
  <si>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</si>
  <si>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</si>
  <si>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</si>
  <si>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</si>
  <si>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</si>
  <si>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</si>
  <si>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</si>
  <si>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</si>
  <si>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</si>
  <si>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</si>
  <si>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</si>
  <si>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</si>
  <si>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</si>
  <si>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</si>
  <si>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</si>
  <si>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</si>
  <si>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</si>
  <si>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</si>
  <si>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</si>
  <si>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</si>
  <si>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</si>
  <si>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</si>
  <si>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</si>
  <si>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</si>
  <si>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</si>
  <si>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</si>
  <si>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</si>
  <si>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</si>
  <si>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</si>
  <si>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</si>
  <si>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</si>
  <si>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</si>
  <si>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</si>
  <si>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</si>
  <si>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</si>
  <si>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</si>
  <si>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</si>
  <si>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</si>
  <si>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</si>
  <si>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</si>
  <si>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</si>
  <si>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</si>
  <si>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</si>
  <si>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</si>
  <si>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</si>
  <si>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</si>
  <si>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</si>
  <si>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</si>
  <si>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</si>
  <si>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</si>
  <si>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</si>
  <si>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</si>
  <si>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</si>
  <si>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</si>
  <si>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</si>
  <si>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</si>
  <si>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</si>
  <si>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</si>
  <si>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</si>
  <si>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</si>
  <si>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</si>
  <si>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</si>
  <si>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</si>
  <si>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</si>
  <si>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</si>
  <si>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</si>
  <si>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</si>
  <si>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</si>
  <si>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</si>
  <si>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</si>
  <si>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</si>
  <si>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</si>
  <si>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</si>
  <si>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</si>
  <si>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</si>
  <si>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</si>
  <si>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</si>
  <si>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</si>
  <si>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</si>
  <si>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</si>
  <si>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</si>
  <si>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</si>
  <si>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</si>
  <si>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</si>
  <si>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</si>
  <si>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</si>
  <si>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</si>
  <si>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</si>
  <si>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</si>
  <si>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</si>
  <si>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</si>
  <si>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</si>
  <si>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</si>
  <si>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</si>
  <si>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</si>
  <si>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</si>
  <si>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</si>
  <si>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</si>
  <si>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</si>
  <si>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</si>
  <si>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</si>
  <si>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</si>
  <si>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</si>
  <si>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</si>
  <si>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</si>
  <si>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</si>
  <si>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</si>
  <si>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</si>
  <si>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</si>
  <si>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</si>
  <si>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</si>
  <si>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</si>
  <si>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</si>
  <si>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</si>
  <si>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备注：整点刷新，k4（刷新间隔）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</si>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</sst>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563</v>
      </c>
    </row>
    <row r="16" spans="1:7" x14ac:dyDescent="0.15">
      <c r="B16" s="44">
        <v>2</v>
      </c>
      <c r="D16" s="44" t="s">
        <v>258</v>
      </c>
      <c r="F16" s="44" t="s">
        <v>564</v>
      </c>
    </row>
    <row r="17" spans="2:6" x14ac:dyDescent="0.15">
      <c r="B17" s="44">
        <v>3</v>
      </c>
      <c r="D17" s="44" t="s">
        <v>257</v>
      </c>
      <c r="F17" s="44" t="s">
        <v>659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abSelected="1" zoomScaleNormal="100" workbookViewId="0">
      <pane xSplit="12" topLeftCell="M1" activePane="topRight" state="frozen"/>
      <selection pane="topRight" activeCell="P19" sqref="P1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994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1016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995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475</v>
      </c>
      <c r="V2" s="9" t="s">
        <v>497</v>
      </c>
      <c r="W2" s="11" t="s">
        <v>61</v>
      </c>
      <c r="Y2" s="9" t="s">
        <v>497</v>
      </c>
      <c r="AA2" s="9" t="s">
        <v>62</v>
      </c>
      <c r="AB2" s="9" t="s">
        <v>61</v>
      </c>
      <c r="AD2" s="11" t="s">
        <v>61</v>
      </c>
      <c r="AE2" s="56" t="s">
        <v>1015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996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477</v>
      </c>
      <c r="V3" s="9" t="s">
        <v>524</v>
      </c>
      <c r="W3" s="11" t="s">
        <v>548</v>
      </c>
      <c r="Y3" s="9" t="s">
        <v>498</v>
      </c>
      <c r="AA3" s="9" t="s">
        <v>335</v>
      </c>
      <c r="AB3" s="9" t="s">
        <v>340</v>
      </c>
      <c r="AD3" s="11" t="s">
        <v>413</v>
      </c>
      <c r="AE3" s="56" t="s">
        <v>1014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478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549</v>
      </c>
      <c r="I4" s="27" t="s">
        <v>239</v>
      </c>
      <c r="J4" s="77" t="s">
        <v>354</v>
      </c>
      <c r="K4" s="27" t="s">
        <v>240</v>
      </c>
      <c r="L4" s="27" t="s">
        <v>997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476</v>
      </c>
      <c r="T4" s="77" t="s">
        <v>546</v>
      </c>
      <c r="U4" s="85" t="s">
        <v>528</v>
      </c>
      <c r="V4" s="27" t="s">
        <v>526</v>
      </c>
      <c r="W4" s="88" t="s">
        <v>556</v>
      </c>
      <c r="X4" s="85" t="s">
        <v>527</v>
      </c>
      <c r="Y4" s="27" t="s">
        <v>525</v>
      </c>
      <c r="Z4" s="77" t="s">
        <v>545</v>
      </c>
      <c r="AA4" s="27" t="s">
        <v>334</v>
      </c>
      <c r="AB4" s="27" t="s">
        <v>339</v>
      </c>
      <c r="AC4" s="77" t="s">
        <v>412</v>
      </c>
      <c r="AD4" s="88" t="s">
        <v>578</v>
      </c>
      <c r="AE4" s="89" t="s">
        <v>1012</v>
      </c>
      <c r="AF4" s="77" t="s">
        <v>547</v>
      </c>
      <c r="AG4" s="89" t="s">
        <v>664</v>
      </c>
      <c r="AH4" s="90" t="s">
        <v>1011</v>
      </c>
      <c r="AI4" s="183" t="s">
        <v>577</v>
      </c>
      <c r="AJ4" s="77" t="s">
        <v>171</v>
      </c>
      <c r="AK4" s="65" t="s">
        <v>318</v>
      </c>
      <c r="AL4" s="64" t="s">
        <v>1009</v>
      </c>
      <c r="AM4" s="65" t="s">
        <v>414</v>
      </c>
      <c r="AN4" s="64" t="s">
        <v>1008</v>
      </c>
      <c r="AO4" s="65" t="s">
        <v>421</v>
      </c>
      <c r="AP4" s="64" t="s">
        <v>1010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1349</v>
      </c>
      <c r="L5" s="16">
        <v>1</v>
      </c>
      <c r="M5" s="16">
        <v>1</v>
      </c>
      <c r="N5" s="16">
        <v>15</v>
      </c>
      <c r="O5" s="16" t="s">
        <v>1091</v>
      </c>
      <c r="P5" s="17"/>
      <c r="Q5" s="17"/>
      <c r="R5" s="18"/>
      <c r="S5" s="16" t="s">
        <v>676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529</v>
      </c>
      <c r="Y5" s="16">
        <f ca="1">IFERROR(OFFSET(ITEM_RES!$A$5,MATCH(BUILDING!X5,ITEM_RES!$J$5:$J$229,0)-1,0),0)</f>
        <v>211010101</v>
      </c>
      <c r="Z5" s="78"/>
      <c r="AA5" s="16" t="s">
        <v>499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4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441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445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1349</v>
      </c>
      <c r="M6" s="9">
        <v>1</v>
      </c>
      <c r="N6" s="9">
        <v>15</v>
      </c>
      <c r="O6" s="9" t="s">
        <v>1091</v>
      </c>
      <c r="S6" s="9" t="s">
        <v>671</v>
      </c>
      <c r="V6" s="9">
        <f ca="1">IFERROR(OFFSET(ITEM_RES!$A$5,MATCH(BUILDING!U6,ITEM_RES!$J$5:$J$229,0)-1,0),0)</f>
        <v>0</v>
      </c>
      <c r="X6" s="84" t="s">
        <v>529</v>
      </c>
      <c r="Y6" s="9">
        <f ca="1">IFERROR(OFFSET(ITEM_RES!$A$5,MATCH(BUILDING!X6,ITEM_RES!$J$5:$J$229,0)-1,0),0)</f>
        <v>211010101</v>
      </c>
      <c r="AA6" s="9" t="s">
        <v>499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82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441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1349</v>
      </c>
      <c r="M7" s="9">
        <v>1</v>
      </c>
      <c r="N7" s="9">
        <v>15</v>
      </c>
      <c r="O7" s="9" t="s">
        <v>1092</v>
      </c>
      <c r="S7" s="9" t="s">
        <v>671</v>
      </c>
      <c r="V7" s="9">
        <f ca="1">IFERROR(OFFSET(ITEM_RES!$A$5,MATCH(BUILDING!U7,ITEM_RES!$J$5:$J$229,0)-1,0),0)</f>
        <v>0</v>
      </c>
      <c r="X7" s="84" t="s">
        <v>529</v>
      </c>
      <c r="Y7" s="9">
        <f ca="1">IFERROR(OFFSET(ITEM_RES!$A$5,MATCH(BUILDING!X7,ITEM_RES!$J$5:$J$229,0)-1,0),0)</f>
        <v>211010101</v>
      </c>
      <c r="AA7" s="9" t="s">
        <v>499</v>
      </c>
      <c r="AB7" s="9">
        <v>3</v>
      </c>
      <c r="AD7" s="11">
        <f ca="1">IFERROR(OFFSET(MANOR_LEVEL!$B$1,MATCH(AE7-1,MANOR_LEVEL!$A:$A,0)-1,0),0)</f>
        <v>310</v>
      </c>
      <c r="AE7" s="56">
        <v>3</v>
      </c>
      <c r="AG7" s="56">
        <f t="shared" ca="1" si="3"/>
        <v>465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82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441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1349</v>
      </c>
      <c r="M8" s="9">
        <v>1</v>
      </c>
      <c r="N8" s="9">
        <v>15</v>
      </c>
      <c r="O8" s="9" t="s">
        <v>1093</v>
      </c>
      <c r="S8" s="9" t="s">
        <v>672</v>
      </c>
      <c r="V8" s="9">
        <f ca="1">IFERROR(OFFSET(ITEM_RES!$A$5,MATCH(BUILDING!U8,ITEM_RES!$J$5:$J$229,0)-1,0),0)</f>
        <v>0</v>
      </c>
      <c r="X8" s="84" t="s">
        <v>529</v>
      </c>
      <c r="Y8" s="9">
        <f ca="1">IFERROR(OFFSET(ITEM_RES!$A$5,MATCH(BUILDING!X8,ITEM_RES!$J$5:$J$229,0)-1,0),0)</f>
        <v>211010101</v>
      </c>
      <c r="AA8" s="9" t="s">
        <v>499</v>
      </c>
      <c r="AB8" s="9">
        <v>4</v>
      </c>
      <c r="AD8" s="11">
        <f ca="1">IFERROR(OFFSET(MANOR_LEVEL!$B$1,MATCH(AE8-1,MANOR_LEVEL!$A:$A,0)-1,0),0)</f>
        <v>310</v>
      </c>
      <c r="AE8" s="56">
        <v>3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82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441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1349</v>
      </c>
      <c r="M9" s="9">
        <v>1</v>
      </c>
      <c r="N9" s="9">
        <v>15</v>
      </c>
      <c r="O9" s="9" t="s">
        <v>1094</v>
      </c>
      <c r="S9" s="9" t="s">
        <v>672</v>
      </c>
      <c r="V9" s="9">
        <f ca="1">IFERROR(OFFSET(ITEM_RES!$A$5,MATCH(BUILDING!U9,ITEM_RES!$J$5:$J$229,0)-1,0),0)</f>
        <v>0</v>
      </c>
      <c r="X9" s="84" t="s">
        <v>529</v>
      </c>
      <c r="Y9" s="9">
        <f ca="1">IFERROR(OFFSET(ITEM_RES!$A$5,MATCH(BUILDING!X9,ITEM_RES!$J$5:$J$229,0)-1,0),0)</f>
        <v>211010101</v>
      </c>
      <c r="AA9" s="9" t="s">
        <v>499</v>
      </c>
      <c r="AB9" s="9">
        <v>5</v>
      </c>
      <c r="AD9" s="11">
        <f ca="1">IFERROR(OFFSET(MANOR_LEVEL!$B$1,MATCH(AE9-1,MANOR_LEVEL!$A:$A,0)-1,0),0)</f>
        <v>930</v>
      </c>
      <c r="AE9" s="56">
        <v>4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82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441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1349</v>
      </c>
      <c r="M10" s="9">
        <v>1</v>
      </c>
      <c r="N10" s="9">
        <v>15</v>
      </c>
      <c r="O10" s="9" t="s">
        <v>1096</v>
      </c>
      <c r="S10" s="9" t="s">
        <v>672</v>
      </c>
      <c r="V10" s="9">
        <f ca="1">IFERROR(OFFSET(ITEM_RES!$A$5,MATCH(BUILDING!U10,ITEM_RES!$J$5:$J$229,0)-1,0),0)</f>
        <v>0</v>
      </c>
      <c r="X10" s="84" t="s">
        <v>529</v>
      </c>
      <c r="Y10" s="9">
        <f ca="1">IFERROR(OFFSET(ITEM_RES!$A$5,MATCH(BUILDING!X10,ITEM_RES!$J$5:$J$229,0)-1,0),0)</f>
        <v>211010101</v>
      </c>
      <c r="AA10" s="9" t="s">
        <v>499</v>
      </c>
      <c r="AB10" s="9">
        <v>6</v>
      </c>
      <c r="AD10" s="11">
        <f ca="1">IFERROR(OFFSET(MANOR_LEVEL!$B$1,MATCH(AE10-1,MANOR_LEVEL!$A:$A,0)-1,0),0)</f>
        <v>930</v>
      </c>
      <c r="AE10" s="56">
        <v>4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82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441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1349</v>
      </c>
      <c r="M11" s="9">
        <v>1</v>
      </c>
      <c r="N11" s="9">
        <v>15</v>
      </c>
      <c r="O11" s="9" t="s">
        <v>1095</v>
      </c>
      <c r="S11" s="9" t="s">
        <v>672</v>
      </c>
      <c r="V11" s="9">
        <f ca="1">IFERROR(OFFSET(ITEM_RES!$A$5,MATCH(BUILDING!U11,ITEM_RES!$J$5:$J$229,0)-1,0),0)</f>
        <v>0</v>
      </c>
      <c r="X11" s="84" t="s">
        <v>529</v>
      </c>
      <c r="Y11" s="9">
        <f ca="1">IFERROR(OFFSET(ITEM_RES!$A$5,MATCH(BUILDING!X11,ITEM_RES!$J$5:$J$229,0)-1,0),0)</f>
        <v>211010101</v>
      </c>
      <c r="AA11" s="9" t="s">
        <v>499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82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441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1349</v>
      </c>
      <c r="M12" s="9">
        <v>1</v>
      </c>
      <c r="N12" s="9">
        <v>15</v>
      </c>
      <c r="O12" s="9" t="s">
        <v>1095</v>
      </c>
      <c r="S12" s="9" t="s">
        <v>672</v>
      </c>
      <c r="V12" s="9">
        <f ca="1">IFERROR(OFFSET(ITEM_RES!$A$5,MATCH(BUILDING!U12,ITEM_RES!$J$5:$J$229,0)-1,0),0)</f>
        <v>0</v>
      </c>
      <c r="X12" s="84" t="s">
        <v>529</v>
      </c>
      <c r="Y12" s="9">
        <f ca="1">IFERROR(OFFSET(ITEM_RES!$A$5,MATCH(BUILDING!X12,ITEM_RES!$J$5:$J$229,0)-1,0),0)</f>
        <v>211010101</v>
      </c>
      <c r="AA12" s="9" t="s">
        <v>499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82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441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1349</v>
      </c>
      <c r="M13" s="9">
        <v>1</v>
      </c>
      <c r="N13" s="9">
        <v>15</v>
      </c>
      <c r="O13" s="9" t="s">
        <v>1095</v>
      </c>
      <c r="S13" s="9" t="s">
        <v>673</v>
      </c>
      <c r="V13" s="9">
        <f ca="1">IFERROR(OFFSET(ITEM_RES!$A$5,MATCH(BUILDING!U13,ITEM_RES!$J$5:$J$229,0)-1,0),0)</f>
        <v>0</v>
      </c>
      <c r="X13" s="84" t="s">
        <v>529</v>
      </c>
      <c r="Y13" s="9">
        <f ca="1">IFERROR(OFFSET(ITEM_RES!$A$5,MATCH(BUILDING!X13,ITEM_RES!$J$5:$J$229,0)-1,0),0)</f>
        <v>211010101</v>
      </c>
      <c r="AA13" s="9" t="s">
        <v>499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82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441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1349</v>
      </c>
      <c r="M14" s="9">
        <v>1</v>
      </c>
      <c r="N14" s="9">
        <v>15</v>
      </c>
      <c r="O14" s="9" t="s">
        <v>1095</v>
      </c>
      <c r="S14" s="9" t="s">
        <v>673</v>
      </c>
      <c r="V14" s="9">
        <f ca="1">IFERROR(OFFSET(ITEM_RES!$A$5,MATCH(BUILDING!U14,ITEM_RES!$J$5:$J$229,0)-1,0),0)</f>
        <v>0</v>
      </c>
      <c r="X14" s="84" t="s">
        <v>529</v>
      </c>
      <c r="Y14" s="9">
        <f ca="1">IFERROR(OFFSET(ITEM_RES!$A$5,MATCH(BUILDING!X14,ITEM_RES!$J$5:$J$229,0)-1,0),0)</f>
        <v>211010101</v>
      </c>
      <c r="AA14" s="9" t="s">
        <v>499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82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441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452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1349</v>
      </c>
      <c r="M15" s="9">
        <v>1</v>
      </c>
      <c r="N15" s="9">
        <v>15</v>
      </c>
      <c r="O15" s="9" t="s">
        <v>1095</v>
      </c>
      <c r="S15" s="9" t="s">
        <v>673</v>
      </c>
      <c r="V15" s="9">
        <f ca="1">IFERROR(OFFSET(ITEM_RES!$A$5,MATCH(BUILDING!U15,ITEM_RES!$J$5:$J$229,0)-1,0),0)</f>
        <v>0</v>
      </c>
      <c r="X15" s="84" t="s">
        <v>529</v>
      </c>
      <c r="Y15" s="9">
        <f ca="1">IFERROR(OFFSET(ITEM_RES!$A$5,MATCH(BUILDING!X15,ITEM_RES!$J$5:$J$229,0)-1,0),0)</f>
        <v>211010101</v>
      </c>
      <c r="AA15" s="9" t="s">
        <v>499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82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441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1349</v>
      </c>
      <c r="M16" s="9">
        <v>1</v>
      </c>
      <c r="N16" s="9">
        <v>15</v>
      </c>
      <c r="O16" s="9" t="s">
        <v>1095</v>
      </c>
      <c r="S16" s="9" t="s">
        <v>673</v>
      </c>
      <c r="V16" s="9">
        <f ca="1">IFERROR(OFFSET(ITEM_RES!$A$5,MATCH(BUILDING!U16,ITEM_RES!$J$5:$J$229,0)-1,0),0)</f>
        <v>0</v>
      </c>
      <c r="X16" s="84" t="s">
        <v>529</v>
      </c>
      <c r="Y16" s="9">
        <f ca="1">IFERROR(OFFSET(ITEM_RES!$A$5,MATCH(BUILDING!X16,ITEM_RES!$J$5:$J$229,0)-1,0),0)</f>
        <v>211010101</v>
      </c>
      <c r="AA16" s="9" t="s">
        <v>499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82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441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1349</v>
      </c>
      <c r="M17" s="9">
        <v>1</v>
      </c>
      <c r="N17" s="9">
        <v>15</v>
      </c>
      <c r="O17" s="9" t="s">
        <v>1095</v>
      </c>
      <c r="S17" s="9" t="s">
        <v>673</v>
      </c>
      <c r="V17" s="9">
        <f ca="1">IFERROR(OFFSET(ITEM_RES!$A$5,MATCH(BUILDING!U17,ITEM_RES!$J$5:$J$229,0)-1,0),0)</f>
        <v>0</v>
      </c>
      <c r="X17" s="84" t="s">
        <v>529</v>
      </c>
      <c r="Y17" s="9">
        <f ca="1">IFERROR(OFFSET(ITEM_RES!$A$5,MATCH(BUILDING!X17,ITEM_RES!$J$5:$J$229,0)-1,0),0)</f>
        <v>211010101</v>
      </c>
      <c r="AA17" s="9" t="s">
        <v>499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82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441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1349</v>
      </c>
      <c r="M18" s="9">
        <v>1</v>
      </c>
      <c r="N18" s="9">
        <v>15</v>
      </c>
      <c r="O18" s="9" t="s">
        <v>1095</v>
      </c>
      <c r="S18" s="9" t="s">
        <v>673</v>
      </c>
      <c r="V18" s="9">
        <f ca="1">IFERROR(OFFSET(ITEM_RES!$A$5,MATCH(BUILDING!U18,ITEM_RES!$J$5:$J$229,0)-1,0),0)</f>
        <v>0</v>
      </c>
      <c r="X18" s="84" t="s">
        <v>529</v>
      </c>
      <c r="Y18" s="9">
        <f ca="1">IFERROR(OFFSET(ITEM_RES!$A$5,MATCH(BUILDING!X18,ITEM_RES!$J$5:$J$229,0)-1,0),0)</f>
        <v>211010101</v>
      </c>
      <c r="AA18" s="9" t="s">
        <v>499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82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441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1349</v>
      </c>
      <c r="M19" s="9">
        <v>1</v>
      </c>
      <c r="N19" s="9">
        <v>15</v>
      </c>
      <c r="O19" s="9" t="s">
        <v>1095</v>
      </c>
      <c r="S19" s="9" t="s">
        <v>673</v>
      </c>
      <c r="V19" s="9">
        <f ca="1">IFERROR(OFFSET(ITEM_RES!$A$5,MATCH(BUILDING!U19,ITEM_RES!$J$5:$J$229,0)-1,0),0)</f>
        <v>0</v>
      </c>
      <c r="X19" s="84" t="s">
        <v>529</v>
      </c>
      <c r="Y19" s="9">
        <f ca="1">IFERROR(OFFSET(ITEM_RES!$A$5,MATCH(BUILDING!X19,ITEM_RES!$J$5:$J$229,0)-1,0),0)</f>
        <v>211010101</v>
      </c>
      <c r="AA19" s="9" t="s">
        <v>499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82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441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1349</v>
      </c>
      <c r="M20" s="9">
        <v>0</v>
      </c>
      <c r="N20" s="9">
        <v>15</v>
      </c>
      <c r="O20" s="9" t="s">
        <v>1095</v>
      </c>
      <c r="S20" s="9" t="s">
        <v>674</v>
      </c>
      <c r="V20" s="9">
        <f ca="1">IFERROR(OFFSET(ITEM_RES!$A$5,MATCH(BUILDING!U20,ITEM_RES!$J$5:$J$229,0)-1,0),0)</f>
        <v>0</v>
      </c>
      <c r="X20" s="84" t="s">
        <v>529</v>
      </c>
      <c r="Y20" s="9">
        <f ca="1">IFERROR(OFFSET(ITEM_RES!$A$5,MATCH(BUILDING!X20,ITEM_RES!$J$5:$J$229,0)-1,0),0)</f>
        <v>211010101</v>
      </c>
      <c r="AA20" s="9" t="s">
        <v>499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82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441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1349</v>
      </c>
      <c r="M21" s="9">
        <v>0</v>
      </c>
      <c r="N21" s="9">
        <v>15</v>
      </c>
      <c r="O21" s="9" t="s">
        <v>1095</v>
      </c>
      <c r="S21" s="9" t="s">
        <v>674</v>
      </c>
      <c r="V21" s="9">
        <f ca="1">IFERROR(OFFSET(ITEM_RES!$A$5,MATCH(BUILDING!U21,ITEM_RES!$J$5:$J$229,0)-1,0),0)</f>
        <v>0</v>
      </c>
      <c r="X21" s="84" t="s">
        <v>529</v>
      </c>
      <c r="Y21" s="9">
        <f ca="1">IFERROR(OFFSET(ITEM_RES!$A$5,MATCH(BUILDING!X21,ITEM_RES!$J$5:$J$229,0)-1,0),0)</f>
        <v>211010101</v>
      </c>
      <c r="AA21" s="9" t="s">
        <v>499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82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441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1349</v>
      </c>
      <c r="M22" s="9">
        <v>0</v>
      </c>
      <c r="N22" s="9">
        <v>15</v>
      </c>
      <c r="O22" s="9" t="s">
        <v>1095</v>
      </c>
      <c r="S22" s="9" t="s">
        <v>674</v>
      </c>
      <c r="V22" s="9">
        <f ca="1">IFERROR(OFFSET(ITEM_RES!$A$5,MATCH(BUILDING!U22,ITEM_RES!$J$5:$J$229,0)-1,0),0)</f>
        <v>0</v>
      </c>
      <c r="X22" s="84" t="s">
        <v>529</v>
      </c>
      <c r="Y22" s="9">
        <f ca="1">IFERROR(OFFSET(ITEM_RES!$A$5,MATCH(BUILDING!X22,ITEM_RES!$J$5:$J$229,0)-1,0),0)</f>
        <v>211010101</v>
      </c>
      <c r="AA22" s="9" t="s">
        <v>499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82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441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1349</v>
      </c>
      <c r="M23" s="9">
        <v>0</v>
      </c>
      <c r="N23" s="9">
        <v>15</v>
      </c>
      <c r="O23" s="9" t="s">
        <v>1095</v>
      </c>
      <c r="S23" s="9" t="s">
        <v>674</v>
      </c>
      <c r="V23" s="9">
        <f ca="1">IFERROR(OFFSET(ITEM_RES!$A$5,MATCH(BUILDING!U23,ITEM_RES!$J$5:$J$229,0)-1,0),0)</f>
        <v>0</v>
      </c>
      <c r="X23" s="84" t="s">
        <v>529</v>
      </c>
      <c r="Y23" s="9">
        <f ca="1">IFERROR(OFFSET(ITEM_RES!$A$5,MATCH(BUILDING!X23,ITEM_RES!$J$5:$J$229,0)-1,0),0)</f>
        <v>211010101</v>
      </c>
      <c r="AA23" s="9" t="s">
        <v>499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82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441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1349</v>
      </c>
      <c r="M24" s="9">
        <v>0</v>
      </c>
      <c r="N24" s="9">
        <v>15</v>
      </c>
      <c r="O24" s="9" t="s">
        <v>1095</v>
      </c>
      <c r="S24" s="9" t="s">
        <v>675</v>
      </c>
      <c r="V24" s="9">
        <f ca="1">IFERROR(OFFSET(ITEM_RES!$A$5,MATCH(BUILDING!U24,ITEM_RES!$J$5:$J$229,0)-1,0),0)</f>
        <v>0</v>
      </c>
      <c r="X24" s="84" t="s">
        <v>529</v>
      </c>
      <c r="Y24" s="9">
        <f ca="1">IFERROR(OFFSET(ITEM_RES!$A$5,MATCH(BUILDING!X24,ITEM_RES!$J$5:$J$229,0)-1,0),0)</f>
        <v>211010101</v>
      </c>
      <c r="AA24" s="9" t="s">
        <v>499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82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441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557</v>
      </c>
      <c r="L25" s="16">
        <v>2</v>
      </c>
      <c r="M25" s="16">
        <v>1</v>
      </c>
      <c r="N25" s="16">
        <v>15</v>
      </c>
      <c r="O25" s="16" t="s">
        <v>1097</v>
      </c>
      <c r="P25" s="17"/>
      <c r="Q25" s="17"/>
      <c r="R25" s="18"/>
      <c r="S25" s="16" t="s">
        <v>677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530</v>
      </c>
      <c r="Y25" s="16">
        <f ca="1">IFERROR(OFFSET(ITEM_RES!$A$5,MATCH(BUILDING!X25,ITEM_RES!$J$5:$J$229,0)-1,0),0)</f>
        <v>211010201</v>
      </c>
      <c r="Z25" s="78"/>
      <c r="AA25" s="16" t="s">
        <v>500</v>
      </c>
      <c r="AB25" s="16">
        <v>1</v>
      </c>
      <c r="AC25" s="78"/>
      <c r="AD25" s="18">
        <f ca="1">IFERROR(OFFSET(MANOR_LEVEL!$B$1,MATCH(AE25-1,MANOR_LEVEL!$A:$A,0)-1,0),0)</f>
        <v>32560</v>
      </c>
      <c r="AE25" s="57">
        <v>6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4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441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445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1098</v>
      </c>
      <c r="S26" s="9" t="s">
        <v>677</v>
      </c>
      <c r="V26" s="9">
        <f ca="1">IFERROR(OFFSET(ITEM_RES!$A$5,MATCH(BUILDING!U26,ITEM_RES!$J$5:$J$229,0)-1,0),0)</f>
        <v>0</v>
      </c>
      <c r="X26" s="84" t="s">
        <v>530</v>
      </c>
      <c r="Y26" s="9">
        <f ca="1">IFERROR(OFFSET(ITEM_RES!$A$5,MATCH(BUILDING!X26,ITEM_RES!$J$5:$J$229,0)-1,0),0)</f>
        <v>211010201</v>
      </c>
      <c r="AA26" s="9" t="s">
        <v>500</v>
      </c>
      <c r="AB26" s="9">
        <v>2</v>
      </c>
      <c r="AD26" s="11">
        <f ca="1">IFERROR(OFFSET(MANOR_LEVEL!$B$1,MATCH(AE26-1,MANOR_LEVEL!$A:$A,0)-1,0),0)</f>
        <v>32560</v>
      </c>
      <c r="AE26" s="56">
        <v>6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82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441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1099</v>
      </c>
      <c r="S27" s="9" t="s">
        <v>677</v>
      </c>
      <c r="V27" s="9">
        <f ca="1">IFERROR(OFFSET(ITEM_RES!$A$5,MATCH(BUILDING!U27,ITEM_RES!$J$5:$J$229,0)-1,0),0)</f>
        <v>0</v>
      </c>
      <c r="X27" s="84" t="s">
        <v>530</v>
      </c>
      <c r="Y27" s="9">
        <f ca="1">IFERROR(OFFSET(ITEM_RES!$A$5,MATCH(BUILDING!X27,ITEM_RES!$J$5:$J$229,0)-1,0),0)</f>
        <v>211010201</v>
      </c>
      <c r="AA27" s="9" t="s">
        <v>500</v>
      </c>
      <c r="AB27" s="9">
        <v>3</v>
      </c>
      <c r="AD27" s="11">
        <f ca="1">IFERROR(OFFSET(MANOR_LEVEL!$B$1,MATCH(AE27-1,MANOR_LEVEL!$A:$A,0)-1,0),0)</f>
        <v>108200</v>
      </c>
      <c r="AE27" s="56">
        <v>7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82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441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1099</v>
      </c>
      <c r="S28" s="9" t="s">
        <v>677</v>
      </c>
      <c r="V28" s="9">
        <f ca="1">IFERROR(OFFSET(ITEM_RES!$A$5,MATCH(BUILDING!U28,ITEM_RES!$J$5:$J$229,0)-1,0),0)</f>
        <v>0</v>
      </c>
      <c r="X28" s="84" t="s">
        <v>530</v>
      </c>
      <c r="Y28" s="9">
        <f ca="1">IFERROR(OFFSET(ITEM_RES!$A$5,MATCH(BUILDING!X28,ITEM_RES!$J$5:$J$229,0)-1,0),0)</f>
        <v>211010201</v>
      </c>
      <c r="AA28" s="9" t="s">
        <v>500</v>
      </c>
      <c r="AB28" s="9">
        <v>4</v>
      </c>
      <c r="AD28" s="11">
        <f ca="1">IFERROR(OFFSET(MANOR_LEVEL!$B$1,MATCH(AE28-1,MANOR_LEVEL!$A:$A,0)-1,0),0)</f>
        <v>108200</v>
      </c>
      <c r="AE28" s="56">
        <v>7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82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441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1100</v>
      </c>
      <c r="S29" s="9" t="s">
        <v>677</v>
      </c>
      <c r="V29" s="9">
        <f ca="1">IFERROR(OFFSET(ITEM_RES!$A$5,MATCH(BUILDING!U29,ITEM_RES!$J$5:$J$229,0)-1,0),0)</f>
        <v>0</v>
      </c>
      <c r="X29" s="84" t="s">
        <v>530</v>
      </c>
      <c r="Y29" s="9">
        <f ca="1">IFERROR(OFFSET(ITEM_RES!$A$5,MATCH(BUILDING!X29,ITEM_RES!$J$5:$J$229,0)-1,0),0)</f>
        <v>211010201</v>
      </c>
      <c r="AA29" s="9" t="s">
        <v>500</v>
      </c>
      <c r="AB29" s="9">
        <v>5</v>
      </c>
      <c r="AD29" s="11">
        <f ca="1">IFERROR(OFFSET(MANOR_LEVEL!$B$1,MATCH(AE29-1,MANOR_LEVEL!$A:$A,0)-1,0),0)</f>
        <v>108200</v>
      </c>
      <c r="AE29" s="56">
        <v>7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82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441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1101</v>
      </c>
      <c r="S30" s="9" t="s">
        <v>677</v>
      </c>
      <c r="V30" s="9">
        <f ca="1">IFERROR(OFFSET(ITEM_RES!$A$5,MATCH(BUILDING!U30,ITEM_RES!$J$5:$J$229,0)-1,0),0)</f>
        <v>0</v>
      </c>
      <c r="X30" s="84" t="s">
        <v>530</v>
      </c>
      <c r="Y30" s="9">
        <f ca="1">IFERROR(OFFSET(ITEM_RES!$A$5,MATCH(BUILDING!X30,ITEM_RES!$J$5:$J$229,0)-1,0),0)</f>
        <v>211010201</v>
      </c>
      <c r="AA30" s="9" t="s">
        <v>500</v>
      </c>
      <c r="AB30" s="9">
        <v>6</v>
      </c>
      <c r="AD30" s="11">
        <f ca="1">IFERROR(OFFSET(MANOR_LEVEL!$B$1,MATCH(AE30-1,MANOR_LEVEL!$A:$A,0)-1,0),0)</f>
        <v>108200</v>
      </c>
      <c r="AE30" s="56">
        <v>7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82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441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1102</v>
      </c>
      <c r="S31" s="9" t="s">
        <v>677</v>
      </c>
      <c r="V31" s="9">
        <f ca="1">IFERROR(OFFSET(ITEM_RES!$A$5,MATCH(BUILDING!U31,ITEM_RES!$J$5:$J$229,0)-1,0),0)</f>
        <v>0</v>
      </c>
      <c r="X31" s="84" t="s">
        <v>530</v>
      </c>
      <c r="Y31" s="9">
        <f ca="1">IFERROR(OFFSET(ITEM_RES!$A$5,MATCH(BUILDING!X31,ITEM_RES!$J$5:$J$229,0)-1,0),0)</f>
        <v>211010201</v>
      </c>
      <c r="AA31" s="9" t="s">
        <v>500</v>
      </c>
      <c r="AB31" s="9">
        <v>7</v>
      </c>
      <c r="AD31" s="11">
        <f ca="1">IFERROR(OFFSET(MANOR_LEVEL!$B$1,MATCH(AE31-1,MANOR_LEVEL!$A:$A,0)-1,0),0)</f>
        <v>108200</v>
      </c>
      <c r="AE31" s="56">
        <v>7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82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441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1102</v>
      </c>
      <c r="S32" s="9" t="s">
        <v>677</v>
      </c>
      <c r="V32" s="9">
        <f ca="1">IFERROR(OFFSET(ITEM_RES!$A$5,MATCH(BUILDING!U32,ITEM_RES!$J$5:$J$229,0)-1,0),0)</f>
        <v>0</v>
      </c>
      <c r="X32" s="84" t="s">
        <v>530</v>
      </c>
      <c r="Y32" s="9">
        <f ca="1">IFERROR(OFFSET(ITEM_RES!$A$5,MATCH(BUILDING!X32,ITEM_RES!$J$5:$J$229,0)-1,0),0)</f>
        <v>211010201</v>
      </c>
      <c r="AA32" s="9" t="s">
        <v>500</v>
      </c>
      <c r="AB32" s="9">
        <v>8</v>
      </c>
      <c r="AD32" s="11">
        <f ca="1">IFERROR(OFFSET(MANOR_LEVEL!$B$1,MATCH(AE32-1,MANOR_LEVEL!$A:$A,0)-1,0),0)</f>
        <v>240400</v>
      </c>
      <c r="AE32" s="56">
        <v>8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82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441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1102</v>
      </c>
      <c r="S33" s="9" t="s">
        <v>677</v>
      </c>
      <c r="V33" s="9">
        <f ca="1">IFERROR(OFFSET(ITEM_RES!$A$5,MATCH(BUILDING!U33,ITEM_RES!$J$5:$J$229,0)-1,0),0)</f>
        <v>0</v>
      </c>
      <c r="X33" s="84" t="s">
        <v>530</v>
      </c>
      <c r="Y33" s="9">
        <f ca="1">IFERROR(OFFSET(ITEM_RES!$A$5,MATCH(BUILDING!X33,ITEM_RES!$J$5:$J$229,0)-1,0),0)</f>
        <v>211010201</v>
      </c>
      <c r="AA33" s="9" t="s">
        <v>500</v>
      </c>
      <c r="AB33" s="9">
        <v>9</v>
      </c>
      <c r="AD33" s="11">
        <f ca="1">IFERROR(OFFSET(MANOR_LEVEL!$B$1,MATCH(AE33-1,MANOR_LEVEL!$A:$A,0)-1,0),0)</f>
        <v>240400</v>
      </c>
      <c r="AE33" s="56">
        <v>8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82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441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1102</v>
      </c>
      <c r="S34" s="9" t="s">
        <v>677</v>
      </c>
      <c r="V34" s="9">
        <f ca="1">IFERROR(OFFSET(ITEM_RES!$A$5,MATCH(BUILDING!U34,ITEM_RES!$J$5:$J$229,0)-1,0),0)</f>
        <v>0</v>
      </c>
      <c r="X34" s="84" t="s">
        <v>530</v>
      </c>
      <c r="Y34" s="9">
        <f ca="1">IFERROR(OFFSET(ITEM_RES!$A$5,MATCH(BUILDING!X34,ITEM_RES!$J$5:$J$229,0)-1,0),0)</f>
        <v>211010201</v>
      </c>
      <c r="AA34" s="9" t="s">
        <v>500</v>
      </c>
      <c r="AB34" s="9">
        <v>10</v>
      </c>
      <c r="AD34" s="11">
        <f ca="1">IFERROR(OFFSET(MANOR_LEVEL!$B$1,MATCH(AE34-1,MANOR_LEVEL!$A:$A,0)-1,0),0)</f>
        <v>240400</v>
      </c>
      <c r="AE34" s="56">
        <v>8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82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441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1102</v>
      </c>
      <c r="S35" s="9" t="s">
        <v>677</v>
      </c>
      <c r="V35" s="9">
        <f ca="1">IFERROR(OFFSET(ITEM_RES!$A$5,MATCH(BUILDING!U35,ITEM_RES!$J$5:$J$229,0)-1,0),0)</f>
        <v>0</v>
      </c>
      <c r="X35" s="84" t="s">
        <v>530</v>
      </c>
      <c r="Y35" s="9">
        <f ca="1">IFERROR(OFFSET(ITEM_RES!$A$5,MATCH(BUILDING!X35,ITEM_RES!$J$5:$J$229,0)-1,0),0)</f>
        <v>211010201</v>
      </c>
      <c r="AA35" s="9" t="s">
        <v>500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82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441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1102</v>
      </c>
      <c r="S36" s="9" t="s">
        <v>677</v>
      </c>
      <c r="V36" s="9">
        <f ca="1">IFERROR(OFFSET(ITEM_RES!$A$5,MATCH(BUILDING!U36,ITEM_RES!$J$5:$J$229,0)-1,0),0)</f>
        <v>0</v>
      </c>
      <c r="X36" s="84" t="s">
        <v>530</v>
      </c>
      <c r="Y36" s="9">
        <f ca="1">IFERROR(OFFSET(ITEM_RES!$A$5,MATCH(BUILDING!X36,ITEM_RES!$J$5:$J$229,0)-1,0),0)</f>
        <v>211010201</v>
      </c>
      <c r="AA36" s="9" t="s">
        <v>500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82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441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1102</v>
      </c>
      <c r="S37" s="9" t="s">
        <v>677</v>
      </c>
      <c r="V37" s="9">
        <f ca="1">IFERROR(OFFSET(ITEM_RES!$A$5,MATCH(BUILDING!U37,ITEM_RES!$J$5:$J$229,0)-1,0),0)</f>
        <v>0</v>
      </c>
      <c r="X37" s="84" t="s">
        <v>530</v>
      </c>
      <c r="Y37" s="9">
        <f ca="1">IFERROR(OFFSET(ITEM_RES!$A$5,MATCH(BUILDING!X37,ITEM_RES!$J$5:$J$229,0)-1,0),0)</f>
        <v>211010201</v>
      </c>
      <c r="AA37" s="9" t="s">
        <v>500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82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441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1102</v>
      </c>
      <c r="S38" s="9" t="s">
        <v>677</v>
      </c>
      <c r="V38" s="9">
        <f ca="1">IFERROR(OFFSET(ITEM_RES!$A$5,MATCH(BUILDING!U38,ITEM_RES!$J$5:$J$229,0)-1,0),0)</f>
        <v>0</v>
      </c>
      <c r="X38" s="84" t="s">
        <v>530</v>
      </c>
      <c r="Y38" s="9">
        <f ca="1">IFERROR(OFFSET(ITEM_RES!$A$5,MATCH(BUILDING!X38,ITEM_RES!$J$5:$J$229,0)-1,0),0)</f>
        <v>211010201</v>
      </c>
      <c r="AA38" s="9" t="s">
        <v>500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82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441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1102</v>
      </c>
      <c r="S39" s="9" t="s">
        <v>677</v>
      </c>
      <c r="V39" s="9">
        <f ca="1">IFERROR(OFFSET(ITEM_RES!$A$5,MATCH(BUILDING!U39,ITEM_RES!$J$5:$J$229,0)-1,0),0)</f>
        <v>0</v>
      </c>
      <c r="X39" s="84" t="s">
        <v>530</v>
      </c>
      <c r="Y39" s="9">
        <f ca="1">IFERROR(OFFSET(ITEM_RES!$A$5,MATCH(BUILDING!X39,ITEM_RES!$J$5:$J$229,0)-1,0),0)</f>
        <v>211010201</v>
      </c>
      <c r="AA39" s="9" t="s">
        <v>500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82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441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1102</v>
      </c>
      <c r="S40" s="9" t="s">
        <v>677</v>
      </c>
      <c r="V40" s="9">
        <f ca="1">IFERROR(OFFSET(ITEM_RES!$A$5,MATCH(BUILDING!U40,ITEM_RES!$J$5:$J$229,0)-1,0),0)</f>
        <v>0</v>
      </c>
      <c r="X40" s="84" t="s">
        <v>530</v>
      </c>
      <c r="Y40" s="9">
        <f ca="1">IFERROR(OFFSET(ITEM_RES!$A$5,MATCH(BUILDING!X40,ITEM_RES!$J$5:$J$229,0)-1,0),0)</f>
        <v>211010201</v>
      </c>
      <c r="AA40" s="9" t="s">
        <v>500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82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441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1102</v>
      </c>
      <c r="S41" s="9" t="s">
        <v>677</v>
      </c>
      <c r="V41" s="9">
        <f ca="1">IFERROR(OFFSET(ITEM_RES!$A$5,MATCH(BUILDING!U41,ITEM_RES!$J$5:$J$229,0)-1,0),0)</f>
        <v>0</v>
      </c>
      <c r="X41" s="84" t="s">
        <v>530</v>
      </c>
      <c r="Y41" s="9">
        <f ca="1">IFERROR(OFFSET(ITEM_RES!$A$5,MATCH(BUILDING!X41,ITEM_RES!$J$5:$J$229,0)-1,0),0)</f>
        <v>211010201</v>
      </c>
      <c r="AA41" s="9" t="s">
        <v>500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82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441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1102</v>
      </c>
      <c r="S42" s="9" t="s">
        <v>677</v>
      </c>
      <c r="V42" s="9">
        <f ca="1">IFERROR(OFFSET(ITEM_RES!$A$5,MATCH(BUILDING!U42,ITEM_RES!$J$5:$J$229,0)-1,0),0)</f>
        <v>0</v>
      </c>
      <c r="X42" s="84" t="s">
        <v>530</v>
      </c>
      <c r="Y42" s="9">
        <f ca="1">IFERROR(OFFSET(ITEM_RES!$A$5,MATCH(BUILDING!X42,ITEM_RES!$J$5:$J$229,0)-1,0),0)</f>
        <v>211010201</v>
      </c>
      <c r="AA42" s="9" t="s">
        <v>500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82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441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1102</v>
      </c>
      <c r="S43" s="9" t="s">
        <v>677</v>
      </c>
      <c r="V43" s="9">
        <f ca="1">IFERROR(OFFSET(ITEM_RES!$A$5,MATCH(BUILDING!U43,ITEM_RES!$J$5:$J$229,0)-1,0),0)</f>
        <v>0</v>
      </c>
      <c r="X43" s="84" t="s">
        <v>530</v>
      </c>
      <c r="Y43" s="9">
        <f ca="1">IFERROR(OFFSET(ITEM_RES!$A$5,MATCH(BUILDING!X43,ITEM_RES!$J$5:$J$229,0)-1,0),0)</f>
        <v>211010201</v>
      </c>
      <c r="AA43" s="9" t="s">
        <v>500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82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441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1102</v>
      </c>
      <c r="S44" s="9" t="s">
        <v>677</v>
      </c>
      <c r="V44" s="9">
        <f ca="1">IFERROR(OFFSET(ITEM_RES!$A$5,MATCH(BUILDING!U44,ITEM_RES!$J$5:$J$229,0)-1,0),0)</f>
        <v>0</v>
      </c>
      <c r="X44" s="84" t="s">
        <v>530</v>
      </c>
      <c r="Y44" s="9">
        <f ca="1">IFERROR(OFFSET(ITEM_RES!$A$5,MATCH(BUILDING!X44,ITEM_RES!$J$5:$J$229,0)-1,0),0)</f>
        <v>211010201</v>
      </c>
      <c r="AA44" s="9" t="s">
        <v>500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82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441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1350</v>
      </c>
      <c r="L45" s="16">
        <v>4</v>
      </c>
      <c r="M45" s="16">
        <v>1</v>
      </c>
      <c r="N45" s="16">
        <v>15</v>
      </c>
      <c r="O45" s="16" t="s">
        <v>1085</v>
      </c>
      <c r="P45" s="17"/>
      <c r="Q45" s="17"/>
      <c r="R45" s="18"/>
      <c r="S45" s="16" t="s">
        <v>678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531</v>
      </c>
      <c r="Y45" s="16">
        <f ca="1">IFERROR(OFFSET(ITEM_RES!$A$5,MATCH(BUILDING!X45,ITEM_RES!$J$5:$J$229,0)-1,0),0)</f>
        <v>211010301</v>
      </c>
      <c r="Z45" s="78"/>
      <c r="AA45" s="16" t="s">
        <v>501</v>
      </c>
      <c r="AB45" s="16">
        <v>1</v>
      </c>
      <c r="AC45" s="78"/>
      <c r="AD45" s="18">
        <f ca="1">IFERROR(OFFSET(MANOR_LEVEL!$B$1,MATCH(AE45-1,MANOR_LEVEL!$A:$A,0)-1,0),0)</f>
        <v>5475</v>
      </c>
      <c r="AE45" s="57">
        <v>5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4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441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445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1350</v>
      </c>
      <c r="M46" s="9">
        <v>1</v>
      </c>
      <c r="N46" s="9">
        <v>15</v>
      </c>
      <c r="O46" s="9" t="s">
        <v>1086</v>
      </c>
      <c r="S46" s="9" t="s">
        <v>678</v>
      </c>
      <c r="V46" s="9">
        <f ca="1">IFERROR(OFFSET(ITEM_RES!$A$5,MATCH(BUILDING!U46,ITEM_RES!$J$5:$J$229,0)-1,0),0)</f>
        <v>0</v>
      </c>
      <c r="X46" s="84" t="s">
        <v>531</v>
      </c>
      <c r="Y46" s="9">
        <f ca="1">IFERROR(OFFSET(ITEM_RES!$A$5,MATCH(BUILDING!X46,ITEM_RES!$J$5:$J$229,0)-1,0),0)</f>
        <v>211010301</v>
      </c>
      <c r="AA46" s="9" t="s">
        <v>501</v>
      </c>
      <c r="AB46" s="9">
        <v>2</v>
      </c>
      <c r="AD46" s="11">
        <f ca="1">IFERROR(OFFSET(MANOR_LEVEL!$B$1,MATCH(AE46-1,MANOR_LEVEL!$A:$A,0)-1,0),0)</f>
        <v>5475</v>
      </c>
      <c r="AE46" s="56">
        <v>5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82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441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1350</v>
      </c>
      <c r="M47" s="9">
        <v>1</v>
      </c>
      <c r="N47" s="9">
        <v>15</v>
      </c>
      <c r="O47" s="9" t="s">
        <v>1087</v>
      </c>
      <c r="S47" s="9" t="s">
        <v>678</v>
      </c>
      <c r="V47" s="9">
        <f ca="1">IFERROR(OFFSET(ITEM_RES!$A$5,MATCH(BUILDING!U47,ITEM_RES!$J$5:$J$229,0)-1,0),0)</f>
        <v>0</v>
      </c>
      <c r="X47" s="84" t="s">
        <v>531</v>
      </c>
      <c r="Y47" s="9">
        <f ca="1">IFERROR(OFFSET(ITEM_RES!$A$5,MATCH(BUILDING!X47,ITEM_RES!$J$5:$J$229,0)-1,0),0)</f>
        <v>211010301</v>
      </c>
      <c r="AA47" s="9" t="s">
        <v>501</v>
      </c>
      <c r="AB47" s="9">
        <v>3</v>
      </c>
      <c r="AD47" s="11">
        <f ca="1">IFERROR(OFFSET(MANOR_LEVEL!$B$1,MATCH(AE47-1,MANOR_LEVEL!$A:$A,0)-1,0),0)</f>
        <v>5475</v>
      </c>
      <c r="AE47" s="56">
        <v>5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82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441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1350</v>
      </c>
      <c r="M48" s="9">
        <v>1</v>
      </c>
      <c r="N48" s="9">
        <v>15</v>
      </c>
      <c r="O48" s="9" t="s">
        <v>1087</v>
      </c>
      <c r="S48" s="9" t="s">
        <v>678</v>
      </c>
      <c r="V48" s="9">
        <f ca="1">IFERROR(OFFSET(ITEM_RES!$A$5,MATCH(BUILDING!U48,ITEM_RES!$J$5:$J$229,0)-1,0),0)</f>
        <v>0</v>
      </c>
      <c r="X48" s="84" t="s">
        <v>531</v>
      </c>
      <c r="Y48" s="9">
        <f ca="1">IFERROR(OFFSET(ITEM_RES!$A$5,MATCH(BUILDING!X48,ITEM_RES!$J$5:$J$229,0)-1,0),0)</f>
        <v>211010301</v>
      </c>
      <c r="AA48" s="9" t="s">
        <v>501</v>
      </c>
      <c r="AB48" s="9">
        <v>4</v>
      </c>
      <c r="AD48" s="11">
        <f ca="1">IFERROR(OFFSET(MANOR_LEVEL!$B$1,MATCH(AE48-1,MANOR_LEVEL!$A:$A,0)-1,0),0)</f>
        <v>32560</v>
      </c>
      <c r="AE48" s="56">
        <v>6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82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441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1350</v>
      </c>
      <c r="M49" s="9">
        <v>1</v>
      </c>
      <c r="N49" s="9">
        <v>15</v>
      </c>
      <c r="O49" s="9" t="s">
        <v>1088</v>
      </c>
      <c r="S49" s="9" t="s">
        <v>678</v>
      </c>
      <c r="V49" s="9">
        <f ca="1">IFERROR(OFFSET(ITEM_RES!$A$5,MATCH(BUILDING!U49,ITEM_RES!$J$5:$J$229,0)-1,0),0)</f>
        <v>0</v>
      </c>
      <c r="X49" s="84" t="s">
        <v>531</v>
      </c>
      <c r="Y49" s="9">
        <f ca="1">IFERROR(OFFSET(ITEM_RES!$A$5,MATCH(BUILDING!X49,ITEM_RES!$J$5:$J$229,0)-1,0),0)</f>
        <v>211010301</v>
      </c>
      <c r="AA49" s="9" t="s">
        <v>501</v>
      </c>
      <c r="AB49" s="9">
        <v>5</v>
      </c>
      <c r="AD49" s="11">
        <f ca="1">IFERROR(OFFSET(MANOR_LEVEL!$B$1,MATCH(AE49-1,MANOR_LEVEL!$A:$A,0)-1,0),0)</f>
        <v>32560</v>
      </c>
      <c r="AE49" s="56">
        <v>6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82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441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1350</v>
      </c>
      <c r="M50" s="9">
        <v>1</v>
      </c>
      <c r="N50" s="9">
        <v>15</v>
      </c>
      <c r="O50" s="9" t="s">
        <v>1089</v>
      </c>
      <c r="S50" s="9" t="s">
        <v>678</v>
      </c>
      <c r="V50" s="9">
        <f ca="1">IFERROR(OFFSET(ITEM_RES!$A$5,MATCH(BUILDING!U50,ITEM_RES!$J$5:$J$229,0)-1,0),0)</f>
        <v>0</v>
      </c>
      <c r="X50" s="84" t="s">
        <v>531</v>
      </c>
      <c r="Y50" s="9">
        <f ca="1">IFERROR(OFFSET(ITEM_RES!$A$5,MATCH(BUILDING!X50,ITEM_RES!$J$5:$J$229,0)-1,0),0)</f>
        <v>211010301</v>
      </c>
      <c r="AA50" s="9" t="s">
        <v>501</v>
      </c>
      <c r="AB50" s="9">
        <v>6</v>
      </c>
      <c r="AD50" s="11">
        <f ca="1">IFERROR(OFFSET(MANOR_LEVEL!$B$1,MATCH(AE50-1,MANOR_LEVEL!$A:$A,0)-1,0),0)</f>
        <v>32560</v>
      </c>
      <c r="AE50" s="56">
        <v>6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82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441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1350</v>
      </c>
      <c r="M51" s="9">
        <v>1</v>
      </c>
      <c r="N51" s="9">
        <v>15</v>
      </c>
      <c r="O51" s="9" t="s">
        <v>1090</v>
      </c>
      <c r="S51" s="9" t="s">
        <v>678</v>
      </c>
      <c r="V51" s="9">
        <f ca="1">IFERROR(OFFSET(ITEM_RES!$A$5,MATCH(BUILDING!U51,ITEM_RES!$J$5:$J$229,0)-1,0),0)</f>
        <v>0</v>
      </c>
      <c r="X51" s="84" t="s">
        <v>531</v>
      </c>
      <c r="Y51" s="9">
        <f ca="1">IFERROR(OFFSET(ITEM_RES!$A$5,MATCH(BUILDING!X51,ITEM_RES!$J$5:$J$229,0)-1,0),0)</f>
        <v>211010301</v>
      </c>
      <c r="AA51" s="9" t="s">
        <v>501</v>
      </c>
      <c r="AB51" s="9">
        <v>7</v>
      </c>
      <c r="AD51" s="11">
        <f ca="1">IFERROR(OFFSET(MANOR_LEVEL!$B$1,MATCH(AE51-1,MANOR_LEVEL!$A:$A,0)-1,0),0)</f>
        <v>32560</v>
      </c>
      <c r="AE51" s="56">
        <v>6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82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441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1350</v>
      </c>
      <c r="M52" s="9">
        <v>1</v>
      </c>
      <c r="N52" s="9">
        <v>15</v>
      </c>
      <c r="O52" s="9" t="s">
        <v>1090</v>
      </c>
      <c r="S52" s="9" t="s">
        <v>678</v>
      </c>
      <c r="V52" s="9">
        <f ca="1">IFERROR(OFFSET(ITEM_RES!$A$5,MATCH(BUILDING!U52,ITEM_RES!$J$5:$J$229,0)-1,0),0)</f>
        <v>0</v>
      </c>
      <c r="X52" s="84" t="s">
        <v>531</v>
      </c>
      <c r="Y52" s="9">
        <f ca="1">IFERROR(OFFSET(ITEM_RES!$A$5,MATCH(BUILDING!X52,ITEM_RES!$J$5:$J$229,0)-1,0),0)</f>
        <v>211010301</v>
      </c>
      <c r="AA52" s="9" t="s">
        <v>501</v>
      </c>
      <c r="AB52" s="9">
        <v>8</v>
      </c>
      <c r="AD52" s="11">
        <f ca="1">IFERROR(OFFSET(MANOR_LEVEL!$B$1,MATCH(AE52-1,MANOR_LEVEL!$A:$A,0)-1,0),0)</f>
        <v>108200</v>
      </c>
      <c r="AE52" s="56">
        <v>7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82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441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1350</v>
      </c>
      <c r="M53" s="9">
        <v>1</v>
      </c>
      <c r="N53" s="9">
        <v>15</v>
      </c>
      <c r="O53" s="9" t="s">
        <v>1090</v>
      </c>
      <c r="S53" s="9" t="s">
        <v>678</v>
      </c>
      <c r="V53" s="9">
        <f ca="1">IFERROR(OFFSET(ITEM_RES!$A$5,MATCH(BUILDING!U53,ITEM_RES!$J$5:$J$229,0)-1,0),0)</f>
        <v>0</v>
      </c>
      <c r="X53" s="84" t="s">
        <v>531</v>
      </c>
      <c r="Y53" s="9">
        <f ca="1">IFERROR(OFFSET(ITEM_RES!$A$5,MATCH(BUILDING!X53,ITEM_RES!$J$5:$J$229,0)-1,0),0)</f>
        <v>211010301</v>
      </c>
      <c r="AA53" s="9" t="s">
        <v>501</v>
      </c>
      <c r="AB53" s="9">
        <v>9</v>
      </c>
      <c r="AD53" s="11">
        <f ca="1">IFERROR(OFFSET(MANOR_LEVEL!$B$1,MATCH(AE53-1,MANOR_LEVEL!$A:$A,0)-1,0),0)</f>
        <v>108200</v>
      </c>
      <c r="AE53" s="56">
        <v>7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82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441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1350</v>
      </c>
      <c r="M54" s="9">
        <v>1</v>
      </c>
      <c r="N54" s="9">
        <v>15</v>
      </c>
      <c r="O54" s="9" t="s">
        <v>1090</v>
      </c>
      <c r="S54" s="9" t="s">
        <v>678</v>
      </c>
      <c r="V54" s="9">
        <f ca="1">IFERROR(OFFSET(ITEM_RES!$A$5,MATCH(BUILDING!U54,ITEM_RES!$J$5:$J$229,0)-1,0),0)</f>
        <v>0</v>
      </c>
      <c r="X54" s="84" t="s">
        <v>531</v>
      </c>
      <c r="Y54" s="9">
        <f ca="1">IFERROR(OFFSET(ITEM_RES!$A$5,MATCH(BUILDING!X54,ITEM_RES!$J$5:$J$229,0)-1,0),0)</f>
        <v>211010301</v>
      </c>
      <c r="AA54" s="9" t="s">
        <v>501</v>
      </c>
      <c r="AB54" s="9">
        <v>10</v>
      </c>
      <c r="AD54" s="11">
        <f ca="1">IFERROR(OFFSET(MANOR_LEVEL!$B$1,MATCH(AE54-1,MANOR_LEVEL!$A:$A,0)-1,0),0)</f>
        <v>108200</v>
      </c>
      <c r="AE54" s="56">
        <v>7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82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441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1350</v>
      </c>
      <c r="M55" s="9">
        <v>1</v>
      </c>
      <c r="N55" s="9">
        <v>15</v>
      </c>
      <c r="O55" s="9" t="s">
        <v>1090</v>
      </c>
      <c r="S55" s="9" t="s">
        <v>678</v>
      </c>
      <c r="V55" s="9">
        <f ca="1">IFERROR(OFFSET(ITEM_RES!$A$5,MATCH(BUILDING!U55,ITEM_RES!$J$5:$J$229,0)-1,0),0)</f>
        <v>0</v>
      </c>
      <c r="X55" s="84" t="s">
        <v>531</v>
      </c>
      <c r="Y55" s="9">
        <f ca="1">IFERROR(OFFSET(ITEM_RES!$A$5,MATCH(BUILDING!X55,ITEM_RES!$J$5:$J$229,0)-1,0),0)</f>
        <v>211010301</v>
      </c>
      <c r="AA55" s="9" t="s">
        <v>501</v>
      </c>
      <c r="AB55" s="9">
        <v>11</v>
      </c>
      <c r="AD55" s="11">
        <f ca="1">IFERROR(OFFSET(MANOR_LEVEL!$B$1,MATCH(AE55-1,MANOR_LEVEL!$A:$A,0)-1,0),0)</f>
        <v>108200</v>
      </c>
      <c r="AE55" s="56">
        <v>7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82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441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1350</v>
      </c>
      <c r="M56" s="9">
        <v>1</v>
      </c>
      <c r="N56" s="9">
        <v>15</v>
      </c>
      <c r="O56" s="9" t="s">
        <v>1090</v>
      </c>
      <c r="S56" s="9" t="s">
        <v>678</v>
      </c>
      <c r="V56" s="9">
        <f ca="1">IFERROR(OFFSET(ITEM_RES!$A$5,MATCH(BUILDING!U56,ITEM_RES!$J$5:$J$229,0)-1,0),0)</f>
        <v>0</v>
      </c>
      <c r="X56" s="84" t="s">
        <v>531</v>
      </c>
      <c r="Y56" s="9">
        <f ca="1">IFERROR(OFFSET(ITEM_RES!$A$5,MATCH(BUILDING!X56,ITEM_RES!$J$5:$J$229,0)-1,0),0)</f>
        <v>211010301</v>
      </c>
      <c r="AA56" s="9" t="s">
        <v>501</v>
      </c>
      <c r="AB56" s="9">
        <v>12</v>
      </c>
      <c r="AD56" s="11">
        <f ca="1">IFERROR(OFFSET(MANOR_LEVEL!$B$1,MATCH(AE56-1,MANOR_LEVEL!$A:$A,0)-1,0),0)</f>
        <v>240400</v>
      </c>
      <c r="AE56" s="56">
        <v>8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82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441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1350</v>
      </c>
      <c r="M57" s="9">
        <v>1</v>
      </c>
      <c r="N57" s="9">
        <v>15</v>
      </c>
      <c r="O57" s="9" t="s">
        <v>1090</v>
      </c>
      <c r="S57" s="9" t="s">
        <v>678</v>
      </c>
      <c r="V57" s="9">
        <f ca="1">IFERROR(OFFSET(ITEM_RES!$A$5,MATCH(BUILDING!U57,ITEM_RES!$J$5:$J$229,0)-1,0),0)</f>
        <v>0</v>
      </c>
      <c r="X57" s="84" t="s">
        <v>531</v>
      </c>
      <c r="Y57" s="9">
        <f ca="1">IFERROR(OFFSET(ITEM_RES!$A$5,MATCH(BUILDING!X57,ITEM_RES!$J$5:$J$229,0)-1,0),0)</f>
        <v>211010301</v>
      </c>
      <c r="AA57" s="9" t="s">
        <v>501</v>
      </c>
      <c r="AB57" s="9">
        <v>13</v>
      </c>
      <c r="AD57" s="11">
        <f ca="1">IFERROR(OFFSET(MANOR_LEVEL!$B$1,MATCH(AE57-1,MANOR_LEVEL!$A:$A,0)-1,0),0)</f>
        <v>630500</v>
      </c>
      <c r="AE57" s="56">
        <v>9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82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441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1350</v>
      </c>
      <c r="M58" s="9">
        <v>1</v>
      </c>
      <c r="N58" s="9">
        <v>15</v>
      </c>
      <c r="O58" s="9" t="s">
        <v>1090</v>
      </c>
      <c r="S58" s="9" t="s">
        <v>678</v>
      </c>
      <c r="V58" s="9">
        <f ca="1">IFERROR(OFFSET(ITEM_RES!$A$5,MATCH(BUILDING!U58,ITEM_RES!$J$5:$J$229,0)-1,0),0)</f>
        <v>0</v>
      </c>
      <c r="X58" s="84" t="s">
        <v>531</v>
      </c>
      <c r="Y58" s="9">
        <f ca="1">IFERROR(OFFSET(ITEM_RES!$A$5,MATCH(BUILDING!X58,ITEM_RES!$J$5:$J$229,0)-1,0),0)</f>
        <v>211010301</v>
      </c>
      <c r="AA58" s="9" t="s">
        <v>501</v>
      </c>
      <c r="AB58" s="9">
        <v>14</v>
      </c>
      <c r="AD58" s="11">
        <f ca="1">IFERROR(OFFSET(MANOR_LEVEL!$B$1,MATCH(AE58-1,MANOR_LEVEL!$A:$A,0)-1,0),0)</f>
        <v>1170750</v>
      </c>
      <c r="AE58" s="56">
        <v>10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82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441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1350</v>
      </c>
      <c r="M59" s="9">
        <v>1</v>
      </c>
      <c r="N59" s="9">
        <v>15</v>
      </c>
      <c r="O59" s="9" t="s">
        <v>1090</v>
      </c>
      <c r="S59" s="9" t="s">
        <v>678</v>
      </c>
      <c r="V59" s="9">
        <f ca="1">IFERROR(OFFSET(ITEM_RES!$A$5,MATCH(BUILDING!U59,ITEM_RES!$J$5:$J$229,0)-1,0),0)</f>
        <v>0</v>
      </c>
      <c r="X59" s="84" t="s">
        <v>531</v>
      </c>
      <c r="Y59" s="9">
        <f ca="1">IFERROR(OFFSET(ITEM_RES!$A$5,MATCH(BUILDING!X59,ITEM_RES!$J$5:$J$229,0)-1,0),0)</f>
        <v>211010301</v>
      </c>
      <c r="AA59" s="9" t="s">
        <v>501</v>
      </c>
      <c r="AB59" s="9">
        <v>15</v>
      </c>
      <c r="AD59" s="11">
        <f ca="1">IFERROR(OFFSET(MANOR_LEVEL!$B$1,MATCH(AE59-1,MANOR_LEVEL!$A:$A,0)-1,0),0)</f>
        <v>1956000</v>
      </c>
      <c r="AE59" s="56">
        <v>11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82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441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1350</v>
      </c>
      <c r="M60" s="9">
        <v>0</v>
      </c>
      <c r="N60" s="9">
        <v>15</v>
      </c>
      <c r="O60" s="9" t="s">
        <v>1090</v>
      </c>
      <c r="S60" s="9" t="s">
        <v>678</v>
      </c>
      <c r="V60" s="9">
        <f ca="1">IFERROR(OFFSET(ITEM_RES!$A$5,MATCH(BUILDING!U60,ITEM_RES!$J$5:$J$229,0)-1,0),0)</f>
        <v>0</v>
      </c>
      <c r="X60" s="84" t="s">
        <v>531</v>
      </c>
      <c r="Y60" s="9">
        <f ca="1">IFERROR(OFFSET(ITEM_RES!$A$5,MATCH(BUILDING!X60,ITEM_RES!$J$5:$J$229,0)-1,0),0)</f>
        <v>211010301</v>
      </c>
      <c r="AA60" s="9" t="s">
        <v>501</v>
      </c>
      <c r="AB60" s="9">
        <v>16</v>
      </c>
      <c r="AD60" s="11">
        <f ca="1">IFERROR(OFFSET(MANOR_LEVEL!$B$1,MATCH(AE60-1,MANOR_LEVEL!$A:$A,0)-1,0),0)</f>
        <v>3961500</v>
      </c>
      <c r="AE60" s="56">
        <v>12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82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441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1350</v>
      </c>
      <c r="M61" s="9">
        <v>0</v>
      </c>
      <c r="N61" s="9">
        <v>15</v>
      </c>
      <c r="O61" s="9" t="s">
        <v>1090</v>
      </c>
      <c r="S61" s="9" t="s">
        <v>678</v>
      </c>
      <c r="V61" s="9">
        <f ca="1">IFERROR(OFFSET(ITEM_RES!$A$5,MATCH(BUILDING!U61,ITEM_RES!$J$5:$J$229,0)-1,0),0)</f>
        <v>0</v>
      </c>
      <c r="X61" s="84" t="s">
        <v>531</v>
      </c>
      <c r="Y61" s="9">
        <f ca="1">IFERROR(OFFSET(ITEM_RES!$A$5,MATCH(BUILDING!X61,ITEM_RES!$J$5:$J$229,0)-1,0),0)</f>
        <v>211010301</v>
      </c>
      <c r="AA61" s="9" t="s">
        <v>501</v>
      </c>
      <c r="AB61" s="9">
        <v>17</v>
      </c>
      <c r="AD61" s="11">
        <f ca="1">IFERROR(OFFSET(MANOR_LEVEL!$B$1,MATCH(AE61-1,MANOR_LEVEL!$A:$A,0)-1,0),0)</f>
        <v>7772100</v>
      </c>
      <c r="AE61" s="56">
        <v>13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82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441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1350</v>
      </c>
      <c r="M62" s="9">
        <v>0</v>
      </c>
      <c r="N62" s="9">
        <v>15</v>
      </c>
      <c r="O62" s="9" t="s">
        <v>1090</v>
      </c>
      <c r="S62" s="9" t="s">
        <v>678</v>
      </c>
      <c r="V62" s="9">
        <f ca="1">IFERROR(OFFSET(ITEM_RES!$A$5,MATCH(BUILDING!U62,ITEM_RES!$J$5:$J$229,0)-1,0),0)</f>
        <v>0</v>
      </c>
      <c r="X62" s="84" t="s">
        <v>531</v>
      </c>
      <c r="Y62" s="9">
        <f ca="1">IFERROR(OFFSET(ITEM_RES!$A$5,MATCH(BUILDING!X62,ITEM_RES!$J$5:$J$229,0)-1,0),0)</f>
        <v>211010301</v>
      </c>
      <c r="AA62" s="9" t="s">
        <v>501</v>
      </c>
      <c r="AB62" s="9">
        <v>18</v>
      </c>
      <c r="AD62" s="11">
        <f ca="1">IFERROR(OFFSET(MANOR_LEVEL!$B$1,MATCH(AE62-1,MANOR_LEVEL!$A:$A,0)-1,0),0)</f>
        <v>13022450</v>
      </c>
      <c r="AE62" s="56">
        <v>14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82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441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1350</v>
      </c>
      <c r="M63" s="9">
        <v>0</v>
      </c>
      <c r="N63" s="9">
        <v>15</v>
      </c>
      <c r="O63" s="9" t="s">
        <v>1090</v>
      </c>
      <c r="S63" s="9" t="s">
        <v>678</v>
      </c>
      <c r="V63" s="9">
        <f ca="1">IFERROR(OFFSET(ITEM_RES!$A$5,MATCH(BUILDING!U63,ITEM_RES!$J$5:$J$229,0)-1,0),0)</f>
        <v>0</v>
      </c>
      <c r="X63" s="84" t="s">
        <v>531</v>
      </c>
      <c r="Y63" s="9">
        <f ca="1">IFERROR(OFFSET(ITEM_RES!$A$5,MATCH(BUILDING!X63,ITEM_RES!$J$5:$J$229,0)-1,0),0)</f>
        <v>211010301</v>
      </c>
      <c r="AA63" s="9" t="s">
        <v>501</v>
      </c>
      <c r="AB63" s="9">
        <v>19</v>
      </c>
      <c r="AD63" s="11">
        <f ca="1">IFERROR(OFFSET(MANOR_LEVEL!$B$1,MATCH(AE63-1,MANOR_LEVEL!$A:$A,0)-1,0),0)</f>
        <v>23283600</v>
      </c>
      <c r="AE63" s="56">
        <v>15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82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441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1350</v>
      </c>
      <c r="M64" s="9">
        <v>0</v>
      </c>
      <c r="N64" s="9">
        <v>15</v>
      </c>
      <c r="O64" s="9" t="s">
        <v>1090</v>
      </c>
      <c r="S64" s="9" t="s">
        <v>678</v>
      </c>
      <c r="V64" s="9">
        <f ca="1">IFERROR(OFFSET(ITEM_RES!$A$5,MATCH(BUILDING!U64,ITEM_RES!$J$5:$J$229,0)-1,0),0)</f>
        <v>0</v>
      </c>
      <c r="X64" s="84" t="s">
        <v>531</v>
      </c>
      <c r="Y64" s="9">
        <f ca="1">IFERROR(OFFSET(ITEM_RES!$A$5,MATCH(BUILDING!X64,ITEM_RES!$J$5:$J$229,0)-1,0),0)</f>
        <v>211010301</v>
      </c>
      <c r="AA64" s="9" t="s">
        <v>501</v>
      </c>
      <c r="AB64" s="9">
        <v>20</v>
      </c>
      <c r="AD64" s="11">
        <f ca="1">IFERROR(OFFSET(MANOR_LEVEL!$B$1,MATCH(AE64-1,MANOR_LEVEL!$A:$A,0)-1,0),0)</f>
        <v>50404400</v>
      </c>
      <c r="AE64" s="56">
        <v>16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82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441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1103</v>
      </c>
      <c r="P65" s="17"/>
      <c r="Q65" s="17"/>
      <c r="R65" s="18"/>
      <c r="S65" s="16" t="s">
        <v>679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532</v>
      </c>
      <c r="Y65" s="16">
        <f ca="1">IFERROR(OFFSET(ITEM_RES!$A$5,MATCH(BUILDING!X65,ITEM_RES!$J$5:$J$229,0)-1,0),0)</f>
        <v>211020101</v>
      </c>
      <c r="Z65" s="78"/>
      <c r="AA65" s="16" t="s">
        <v>502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4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445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1103</v>
      </c>
      <c r="S66" s="9" t="s">
        <v>679</v>
      </c>
      <c r="V66" s="9">
        <f ca="1">IFERROR(OFFSET(ITEM_RES!$A$5,MATCH(BUILDING!U66,ITEM_RES!$J$5:$J$229,0)-1,0),0)</f>
        <v>0</v>
      </c>
      <c r="X66" s="84" t="s">
        <v>532</v>
      </c>
      <c r="Y66" s="9">
        <f ca="1">IFERROR(OFFSET(ITEM_RES!$A$5,MATCH(BUILDING!X66,ITEM_RES!$J$5:$J$229,0)-1,0),0)</f>
        <v>211020101</v>
      </c>
      <c r="AA66" s="9" t="s">
        <v>502</v>
      </c>
      <c r="AB66" s="9">
        <v>2</v>
      </c>
      <c r="AD66" s="11">
        <f ca="1">IFERROR(OFFSET(MANOR_LEVEL!$B$1,MATCH(AE66-1,MANOR_LEVEL!$A:$A,0)-1,0),0)</f>
        <v>100</v>
      </c>
      <c r="AE66" s="56">
        <v>2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82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1104</v>
      </c>
      <c r="S67" s="9" t="s">
        <v>679</v>
      </c>
      <c r="V67" s="9">
        <f ca="1">IFERROR(OFFSET(ITEM_RES!$A$5,MATCH(BUILDING!U67,ITEM_RES!$J$5:$J$229,0)-1,0),0)</f>
        <v>0</v>
      </c>
      <c r="X67" s="84" t="s">
        <v>532</v>
      </c>
      <c r="Y67" s="9">
        <f ca="1">IFERROR(OFFSET(ITEM_RES!$A$5,MATCH(BUILDING!X67,ITEM_RES!$J$5:$J$229,0)-1,0),0)</f>
        <v>211020101</v>
      </c>
      <c r="AA67" s="9" t="s">
        <v>502</v>
      </c>
      <c r="AB67" s="9">
        <v>3</v>
      </c>
      <c r="AD67" s="11">
        <f ca="1">IFERROR(OFFSET(MANOR_LEVEL!$B$1,MATCH(AE67-1,MANOR_LEVEL!$A:$A,0)-1,0),0)</f>
        <v>310</v>
      </c>
      <c r="AE67" s="56">
        <v>3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82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1105</v>
      </c>
      <c r="S68" s="9" t="s">
        <v>679</v>
      </c>
      <c r="V68" s="9">
        <f ca="1">IFERROR(OFFSET(ITEM_RES!$A$5,MATCH(BUILDING!U68,ITEM_RES!$J$5:$J$229,0)-1,0),0)</f>
        <v>0</v>
      </c>
      <c r="X68" s="84" t="s">
        <v>532</v>
      </c>
      <c r="Y68" s="9">
        <f ca="1">IFERROR(OFFSET(ITEM_RES!$A$5,MATCH(BUILDING!X68,ITEM_RES!$J$5:$J$229,0)-1,0),0)</f>
        <v>211020101</v>
      </c>
      <c r="AA68" s="9" t="s">
        <v>502</v>
      </c>
      <c r="AB68" s="9">
        <v>4</v>
      </c>
      <c r="AD68" s="11">
        <f ca="1">IFERROR(OFFSET(MANOR_LEVEL!$B$1,MATCH(AE68-1,MANOR_LEVEL!$A:$A,0)-1,0),0)</f>
        <v>310</v>
      </c>
      <c r="AE68" s="56">
        <v>3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82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1106</v>
      </c>
      <c r="S69" s="9" t="s">
        <v>679</v>
      </c>
      <c r="V69" s="9">
        <f ca="1">IFERROR(OFFSET(ITEM_RES!$A$5,MATCH(BUILDING!U69,ITEM_RES!$J$5:$J$229,0)-1,0),0)</f>
        <v>0</v>
      </c>
      <c r="X69" s="84" t="s">
        <v>532</v>
      </c>
      <c r="Y69" s="9">
        <f ca="1">IFERROR(OFFSET(ITEM_RES!$A$5,MATCH(BUILDING!X69,ITEM_RES!$J$5:$J$229,0)-1,0),0)</f>
        <v>211020101</v>
      </c>
      <c r="AA69" s="9" t="s">
        <v>502</v>
      </c>
      <c r="AB69" s="9">
        <v>5</v>
      </c>
      <c r="AD69" s="11">
        <f ca="1">IFERROR(OFFSET(MANOR_LEVEL!$B$1,MATCH(AE69-1,MANOR_LEVEL!$A:$A,0)-1,0),0)</f>
        <v>930</v>
      </c>
      <c r="AE69" s="56">
        <v>4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82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1107</v>
      </c>
      <c r="S70" s="9" t="s">
        <v>679</v>
      </c>
      <c r="V70" s="9">
        <f ca="1">IFERROR(OFFSET(ITEM_RES!$A$5,MATCH(BUILDING!U70,ITEM_RES!$J$5:$J$229,0)-1,0),0)</f>
        <v>0</v>
      </c>
      <c r="X70" s="84" t="s">
        <v>532</v>
      </c>
      <c r="Y70" s="9">
        <f ca="1">IFERROR(OFFSET(ITEM_RES!$A$5,MATCH(BUILDING!X70,ITEM_RES!$J$5:$J$229,0)-1,0),0)</f>
        <v>211020101</v>
      </c>
      <c r="AA70" s="9" t="s">
        <v>502</v>
      </c>
      <c r="AB70" s="9">
        <v>6</v>
      </c>
      <c r="AD70" s="11">
        <f ca="1">IFERROR(OFFSET(MANOR_LEVEL!$B$1,MATCH(AE70-1,MANOR_LEVEL!$A:$A,0)-1,0),0)</f>
        <v>930</v>
      </c>
      <c r="AE70" s="56">
        <v>4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82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1108</v>
      </c>
      <c r="S71" s="9" t="s">
        <v>679</v>
      </c>
      <c r="V71" s="9">
        <f ca="1">IFERROR(OFFSET(ITEM_RES!$A$5,MATCH(BUILDING!U71,ITEM_RES!$J$5:$J$229,0)-1,0),0)</f>
        <v>0</v>
      </c>
      <c r="X71" s="84" t="s">
        <v>532</v>
      </c>
      <c r="Y71" s="9">
        <f ca="1">IFERROR(OFFSET(ITEM_RES!$A$5,MATCH(BUILDING!X71,ITEM_RES!$J$5:$J$229,0)-1,0),0)</f>
        <v>211020101</v>
      </c>
      <c r="AA71" s="9" t="s">
        <v>502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82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1108</v>
      </c>
      <c r="S72" s="9" t="s">
        <v>679</v>
      </c>
      <c r="V72" s="9">
        <f ca="1">IFERROR(OFFSET(ITEM_RES!$A$5,MATCH(BUILDING!U72,ITEM_RES!$J$5:$J$229,0)-1,0),0)</f>
        <v>0</v>
      </c>
      <c r="X72" s="84" t="s">
        <v>532</v>
      </c>
      <c r="Y72" s="9">
        <f ca="1">IFERROR(OFFSET(ITEM_RES!$A$5,MATCH(BUILDING!X72,ITEM_RES!$J$5:$J$229,0)-1,0),0)</f>
        <v>211020101</v>
      </c>
      <c r="AA72" s="9" t="s">
        <v>502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82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1108</v>
      </c>
      <c r="S73" s="9" t="s">
        <v>679</v>
      </c>
      <c r="V73" s="9">
        <f ca="1">IFERROR(OFFSET(ITEM_RES!$A$5,MATCH(BUILDING!U73,ITEM_RES!$J$5:$J$229,0)-1,0),0)</f>
        <v>0</v>
      </c>
      <c r="X73" s="84" t="s">
        <v>532</v>
      </c>
      <c r="Y73" s="9">
        <f ca="1">IFERROR(OFFSET(ITEM_RES!$A$5,MATCH(BUILDING!X73,ITEM_RES!$J$5:$J$229,0)-1,0),0)</f>
        <v>211020101</v>
      </c>
      <c r="AA73" s="9" t="s">
        <v>502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82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1108</v>
      </c>
      <c r="S74" s="9" t="s">
        <v>679</v>
      </c>
      <c r="V74" s="9">
        <f ca="1">IFERROR(OFFSET(ITEM_RES!$A$5,MATCH(BUILDING!U74,ITEM_RES!$J$5:$J$229,0)-1,0),0)</f>
        <v>0</v>
      </c>
      <c r="X74" s="84" t="s">
        <v>532</v>
      </c>
      <c r="Y74" s="9">
        <f ca="1">IFERROR(OFFSET(ITEM_RES!$A$5,MATCH(BUILDING!X74,ITEM_RES!$J$5:$J$229,0)-1,0),0)</f>
        <v>211020101</v>
      </c>
      <c r="AA74" s="9" t="s">
        <v>502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82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1108</v>
      </c>
      <c r="S75" s="9" t="s">
        <v>679</v>
      </c>
      <c r="V75" s="9">
        <f ca="1">IFERROR(OFFSET(ITEM_RES!$A$5,MATCH(BUILDING!U75,ITEM_RES!$J$5:$J$229,0)-1,0),0)</f>
        <v>0</v>
      </c>
      <c r="X75" s="84" t="s">
        <v>532</v>
      </c>
      <c r="Y75" s="9">
        <f ca="1">IFERROR(OFFSET(ITEM_RES!$A$5,MATCH(BUILDING!X75,ITEM_RES!$J$5:$J$229,0)-1,0),0)</f>
        <v>211020101</v>
      </c>
      <c r="AA75" s="9" t="s">
        <v>502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82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453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1108</v>
      </c>
      <c r="S76" s="9" t="s">
        <v>679</v>
      </c>
      <c r="V76" s="9">
        <f ca="1">IFERROR(OFFSET(ITEM_RES!$A$5,MATCH(BUILDING!U76,ITEM_RES!$J$5:$J$229,0)-1,0),0)</f>
        <v>0</v>
      </c>
      <c r="X76" s="84" t="s">
        <v>532</v>
      </c>
      <c r="Y76" s="9">
        <f ca="1">IFERROR(OFFSET(ITEM_RES!$A$5,MATCH(BUILDING!X76,ITEM_RES!$J$5:$J$229,0)-1,0),0)</f>
        <v>211020101</v>
      </c>
      <c r="AA76" s="9" t="s">
        <v>502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82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1108</v>
      </c>
      <c r="S77" s="9" t="s">
        <v>679</v>
      </c>
      <c r="V77" s="9">
        <f ca="1">IFERROR(OFFSET(ITEM_RES!$A$5,MATCH(BUILDING!U77,ITEM_RES!$J$5:$J$229,0)-1,0),0)</f>
        <v>0</v>
      </c>
      <c r="X77" s="84" t="s">
        <v>532</v>
      </c>
      <c r="Y77" s="9">
        <f ca="1">IFERROR(OFFSET(ITEM_RES!$A$5,MATCH(BUILDING!X77,ITEM_RES!$J$5:$J$229,0)-1,0),0)</f>
        <v>211020101</v>
      </c>
      <c r="AA77" s="9" t="s">
        <v>502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82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1108</v>
      </c>
      <c r="S78" s="9" t="s">
        <v>679</v>
      </c>
      <c r="V78" s="9">
        <f ca="1">IFERROR(OFFSET(ITEM_RES!$A$5,MATCH(BUILDING!U78,ITEM_RES!$J$5:$J$229,0)-1,0),0)</f>
        <v>0</v>
      </c>
      <c r="X78" s="84" t="s">
        <v>532</v>
      </c>
      <c r="Y78" s="9">
        <f ca="1">IFERROR(OFFSET(ITEM_RES!$A$5,MATCH(BUILDING!X78,ITEM_RES!$J$5:$J$229,0)-1,0),0)</f>
        <v>211020101</v>
      </c>
      <c r="AA78" s="9" t="s">
        <v>502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82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1078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1108</v>
      </c>
      <c r="S79" s="9" t="s">
        <v>679</v>
      </c>
      <c r="V79" s="9">
        <f ca="1">IFERROR(OFFSET(ITEM_RES!$A$5,MATCH(BUILDING!U79,ITEM_RES!$J$5:$J$229,0)-1,0),0)</f>
        <v>0</v>
      </c>
      <c r="X79" s="84" t="s">
        <v>532</v>
      </c>
      <c r="Y79" s="9">
        <f ca="1">IFERROR(OFFSET(ITEM_RES!$A$5,MATCH(BUILDING!X79,ITEM_RES!$J$5:$J$229,0)-1,0),0)</f>
        <v>211020101</v>
      </c>
      <c r="AA79" s="9" t="s">
        <v>502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82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1078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1108</v>
      </c>
      <c r="S80" s="9" t="s">
        <v>679</v>
      </c>
      <c r="V80" s="9">
        <f ca="1">IFERROR(OFFSET(ITEM_RES!$A$5,MATCH(BUILDING!U80,ITEM_RES!$J$5:$J$229,0)-1,0),0)</f>
        <v>0</v>
      </c>
      <c r="X80" s="84" t="s">
        <v>532</v>
      </c>
      <c r="Y80" s="9">
        <f ca="1">IFERROR(OFFSET(ITEM_RES!$A$5,MATCH(BUILDING!X80,ITEM_RES!$J$5:$J$229,0)-1,0),0)</f>
        <v>211020101</v>
      </c>
      <c r="AA80" s="9" t="s">
        <v>502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82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1078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1108</v>
      </c>
      <c r="S81" s="9" t="s">
        <v>679</v>
      </c>
      <c r="V81" s="9">
        <f ca="1">IFERROR(OFFSET(ITEM_RES!$A$5,MATCH(BUILDING!U81,ITEM_RES!$J$5:$J$229,0)-1,0),0)</f>
        <v>0</v>
      </c>
      <c r="X81" s="84" t="s">
        <v>532</v>
      </c>
      <c r="Y81" s="9">
        <f ca="1">IFERROR(OFFSET(ITEM_RES!$A$5,MATCH(BUILDING!X81,ITEM_RES!$J$5:$J$229,0)-1,0),0)</f>
        <v>211020101</v>
      </c>
      <c r="AA81" s="9" t="s">
        <v>502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82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1078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1108</v>
      </c>
      <c r="S82" s="9" t="s">
        <v>679</v>
      </c>
      <c r="V82" s="9">
        <f ca="1">IFERROR(OFFSET(ITEM_RES!$A$5,MATCH(BUILDING!U82,ITEM_RES!$J$5:$J$229,0)-1,0),0)</f>
        <v>0</v>
      </c>
      <c r="X82" s="84" t="s">
        <v>532</v>
      </c>
      <c r="Y82" s="9">
        <f ca="1">IFERROR(OFFSET(ITEM_RES!$A$5,MATCH(BUILDING!X82,ITEM_RES!$J$5:$J$229,0)-1,0),0)</f>
        <v>211020101</v>
      </c>
      <c r="AA82" s="9" t="s">
        <v>502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82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1078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1108</v>
      </c>
      <c r="S83" s="9" t="s">
        <v>679</v>
      </c>
      <c r="V83" s="9">
        <f ca="1">IFERROR(OFFSET(ITEM_RES!$A$5,MATCH(BUILDING!U83,ITEM_RES!$J$5:$J$229,0)-1,0),0)</f>
        <v>0</v>
      </c>
      <c r="X83" s="84" t="s">
        <v>532</v>
      </c>
      <c r="Y83" s="9">
        <f ca="1">IFERROR(OFFSET(ITEM_RES!$A$5,MATCH(BUILDING!X83,ITEM_RES!$J$5:$J$229,0)-1,0),0)</f>
        <v>211020101</v>
      </c>
      <c r="AA83" s="9" t="s">
        <v>502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82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1078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1108</v>
      </c>
      <c r="S84" s="9" t="s">
        <v>679</v>
      </c>
      <c r="V84" s="9">
        <f ca="1">IFERROR(OFFSET(ITEM_RES!$A$5,MATCH(BUILDING!U84,ITEM_RES!$J$5:$J$229,0)-1,0),0)</f>
        <v>0</v>
      </c>
      <c r="X84" s="84" t="s">
        <v>532</v>
      </c>
      <c r="Y84" s="9">
        <f ca="1">IFERROR(OFFSET(ITEM_RES!$A$5,MATCH(BUILDING!X84,ITEM_RES!$J$5:$J$229,0)-1,0),0)</f>
        <v>211020101</v>
      </c>
      <c r="AA84" s="9" t="s">
        <v>502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82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1078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756</v>
      </c>
      <c r="P85" s="17"/>
      <c r="Q85" s="17"/>
      <c r="R85" s="18"/>
      <c r="S85" s="16" t="s">
        <v>701</v>
      </c>
      <c r="T85" s="78"/>
      <c r="U85" s="86" t="s">
        <v>534</v>
      </c>
      <c r="V85" s="16">
        <f ca="1">IFERROR(OFFSET(ITEM_RES!$A$5,MATCH(BUILDING!U85,ITEM_RES!$J$5:$J$229,0)-1,0),0)</f>
        <v>211021101</v>
      </c>
      <c r="W85" s="18">
        <v>10</v>
      </c>
      <c r="X85" s="86" t="s">
        <v>533</v>
      </c>
      <c r="Y85" s="16">
        <f ca="1">IFERROR(OFFSET(ITEM_RES!$A$5,MATCH(BUILDING!X85,ITEM_RES!$J$5:$J$229,0)-1,0),0)</f>
        <v>211010401</v>
      </c>
      <c r="Z85" s="78"/>
      <c r="AA85" s="16" t="s">
        <v>503</v>
      </c>
      <c r="AB85" s="16">
        <v>1</v>
      </c>
      <c r="AC85" s="78"/>
      <c r="AD85" s="18">
        <f ca="1">IFERROR(OFFSET(MANOR_LEVEL!$B$1,MATCH(AE85-1,MANOR_LEVEL!$A:$A,0)-1,0),0)</f>
        <v>1956000</v>
      </c>
      <c r="AE85" s="57">
        <v>11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4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445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756</v>
      </c>
      <c r="S86" s="9" t="s">
        <v>701</v>
      </c>
      <c r="U86" s="84" t="s">
        <v>534</v>
      </c>
      <c r="V86" s="9">
        <f ca="1">IFERROR(OFFSET(ITEM_RES!$A$5,MATCH(BUILDING!U86,ITEM_RES!$J$5:$J$229,0)-1,0),0)</f>
        <v>211021101</v>
      </c>
      <c r="W86" s="11">
        <v>10</v>
      </c>
      <c r="X86" s="84" t="s">
        <v>533</v>
      </c>
      <c r="Y86" s="9">
        <f ca="1">IFERROR(OFFSET(ITEM_RES!$A$5,MATCH(BUILDING!X86,ITEM_RES!$J$5:$J$229,0)-1,0),0)</f>
        <v>211010401</v>
      </c>
      <c r="AA86" s="9" t="s">
        <v>503</v>
      </c>
      <c r="AB86" s="9">
        <v>2</v>
      </c>
      <c r="AD86" s="11">
        <f ca="1">IFERROR(OFFSET(MANOR_LEVEL!$B$1,MATCH(AE86-1,MANOR_LEVEL!$A:$A,0)-1,0),0)</f>
        <v>1956000</v>
      </c>
      <c r="AE86" s="56">
        <v>11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82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756</v>
      </c>
      <c r="S87" s="9" t="s">
        <v>701</v>
      </c>
      <c r="U87" s="84" t="s">
        <v>534</v>
      </c>
      <c r="V87" s="9">
        <f ca="1">IFERROR(OFFSET(ITEM_RES!$A$5,MATCH(BUILDING!U87,ITEM_RES!$J$5:$J$229,0)-1,0),0)</f>
        <v>211021101</v>
      </c>
      <c r="W87" s="11">
        <v>10</v>
      </c>
      <c r="X87" s="84" t="s">
        <v>533</v>
      </c>
      <c r="Y87" s="9">
        <f ca="1">IFERROR(OFFSET(ITEM_RES!$A$5,MATCH(BUILDING!X87,ITEM_RES!$J$5:$J$229,0)-1,0),0)</f>
        <v>211010401</v>
      </c>
      <c r="AA87" s="9" t="s">
        <v>503</v>
      </c>
      <c r="AB87" s="9">
        <v>3</v>
      </c>
      <c r="AD87" s="11">
        <f ca="1">IFERROR(OFFSET(MANOR_LEVEL!$B$1,MATCH(AE87-1,MANOR_LEVEL!$A:$A,0)-1,0),0)</f>
        <v>1956000</v>
      </c>
      <c r="AE87" s="56">
        <v>11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82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756</v>
      </c>
      <c r="S88" s="9" t="s">
        <v>701</v>
      </c>
      <c r="U88" s="84" t="s">
        <v>534</v>
      </c>
      <c r="V88" s="9">
        <f ca="1">IFERROR(OFFSET(ITEM_RES!$A$5,MATCH(BUILDING!U88,ITEM_RES!$J$5:$J$229,0)-1,0),0)</f>
        <v>211021101</v>
      </c>
      <c r="W88" s="11">
        <v>10</v>
      </c>
      <c r="X88" s="84" t="s">
        <v>533</v>
      </c>
      <c r="Y88" s="9">
        <f ca="1">IFERROR(OFFSET(ITEM_RES!$A$5,MATCH(BUILDING!X88,ITEM_RES!$J$5:$J$229,0)-1,0),0)</f>
        <v>211010401</v>
      </c>
      <c r="AA88" s="9" t="s">
        <v>503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82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756</v>
      </c>
      <c r="S89" s="9" t="s">
        <v>701</v>
      </c>
      <c r="U89" s="84" t="s">
        <v>534</v>
      </c>
      <c r="V89" s="9">
        <f ca="1">IFERROR(OFFSET(ITEM_RES!$A$5,MATCH(BUILDING!U89,ITEM_RES!$J$5:$J$229,0)-1,0),0)</f>
        <v>211021101</v>
      </c>
      <c r="W89" s="11">
        <v>10</v>
      </c>
      <c r="X89" s="84" t="s">
        <v>533</v>
      </c>
      <c r="Y89" s="9">
        <f ca="1">IFERROR(OFFSET(ITEM_RES!$A$5,MATCH(BUILDING!X89,ITEM_RES!$J$5:$J$229,0)-1,0),0)</f>
        <v>211010401</v>
      </c>
      <c r="AA89" s="9" t="s">
        <v>503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82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756</v>
      </c>
      <c r="S90" s="9" t="s">
        <v>701</v>
      </c>
      <c r="U90" s="84" t="s">
        <v>534</v>
      </c>
      <c r="V90" s="9">
        <f ca="1">IFERROR(OFFSET(ITEM_RES!$A$5,MATCH(BUILDING!U90,ITEM_RES!$J$5:$J$229,0)-1,0),0)</f>
        <v>211021101</v>
      </c>
      <c r="W90" s="11">
        <v>10</v>
      </c>
      <c r="X90" s="84" t="s">
        <v>533</v>
      </c>
      <c r="Y90" s="9">
        <f ca="1">IFERROR(OFFSET(ITEM_RES!$A$5,MATCH(BUILDING!X90,ITEM_RES!$J$5:$J$229,0)-1,0),0)</f>
        <v>211010401</v>
      </c>
      <c r="AA90" s="9" t="s">
        <v>503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82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756</v>
      </c>
      <c r="S91" s="9" t="s">
        <v>701</v>
      </c>
      <c r="U91" s="84" t="s">
        <v>534</v>
      </c>
      <c r="V91" s="9">
        <f ca="1">IFERROR(OFFSET(ITEM_RES!$A$5,MATCH(BUILDING!U91,ITEM_RES!$J$5:$J$229,0)-1,0),0)</f>
        <v>211021101</v>
      </c>
      <c r="W91" s="11">
        <v>10</v>
      </c>
      <c r="X91" s="84" t="s">
        <v>533</v>
      </c>
      <c r="Y91" s="9">
        <f ca="1">IFERROR(OFFSET(ITEM_RES!$A$5,MATCH(BUILDING!X91,ITEM_RES!$J$5:$J$229,0)-1,0),0)</f>
        <v>211010401</v>
      </c>
      <c r="AA91" s="9" t="s">
        <v>503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82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756</v>
      </c>
      <c r="S92" s="9" t="s">
        <v>701</v>
      </c>
      <c r="U92" s="84" t="s">
        <v>534</v>
      </c>
      <c r="V92" s="9">
        <f ca="1">IFERROR(OFFSET(ITEM_RES!$A$5,MATCH(BUILDING!U92,ITEM_RES!$J$5:$J$229,0)-1,0),0)</f>
        <v>211021101</v>
      </c>
      <c r="W92" s="11">
        <v>10</v>
      </c>
      <c r="X92" s="84" t="s">
        <v>533</v>
      </c>
      <c r="Y92" s="9">
        <f ca="1">IFERROR(OFFSET(ITEM_RES!$A$5,MATCH(BUILDING!X92,ITEM_RES!$J$5:$J$229,0)-1,0),0)</f>
        <v>211010401</v>
      </c>
      <c r="AA92" s="9" t="s">
        <v>503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82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756</v>
      </c>
      <c r="S93" s="9" t="s">
        <v>701</v>
      </c>
      <c r="U93" s="84" t="s">
        <v>534</v>
      </c>
      <c r="V93" s="9">
        <f ca="1">IFERROR(OFFSET(ITEM_RES!$A$5,MATCH(BUILDING!U93,ITEM_RES!$J$5:$J$229,0)-1,0),0)</f>
        <v>211021101</v>
      </c>
      <c r="W93" s="11">
        <v>10</v>
      </c>
      <c r="X93" s="84" t="s">
        <v>533</v>
      </c>
      <c r="Y93" s="9">
        <f ca="1">IFERROR(OFFSET(ITEM_RES!$A$5,MATCH(BUILDING!X93,ITEM_RES!$J$5:$J$229,0)-1,0),0)</f>
        <v>211010401</v>
      </c>
      <c r="AA93" s="9" t="s">
        <v>503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82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756</v>
      </c>
      <c r="S94" s="9" t="s">
        <v>701</v>
      </c>
      <c r="U94" s="84" t="s">
        <v>534</v>
      </c>
      <c r="V94" s="9">
        <f ca="1">IFERROR(OFFSET(ITEM_RES!$A$5,MATCH(BUILDING!U94,ITEM_RES!$J$5:$J$229,0)-1,0),0)</f>
        <v>211021101</v>
      </c>
      <c r="W94" s="11">
        <v>10</v>
      </c>
      <c r="X94" s="84" t="s">
        <v>533</v>
      </c>
      <c r="Y94" s="9">
        <f ca="1">IFERROR(OFFSET(ITEM_RES!$A$5,MATCH(BUILDING!X94,ITEM_RES!$J$5:$J$229,0)-1,0),0)</f>
        <v>211010401</v>
      </c>
      <c r="AA94" s="9" t="s">
        <v>503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82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756</v>
      </c>
      <c r="S95" s="9" t="s">
        <v>701</v>
      </c>
      <c r="U95" s="84" t="s">
        <v>534</v>
      </c>
      <c r="V95" s="9">
        <f ca="1">IFERROR(OFFSET(ITEM_RES!$A$5,MATCH(BUILDING!U95,ITEM_RES!$J$5:$J$229,0)-1,0),0)</f>
        <v>211021101</v>
      </c>
      <c r="W95" s="11">
        <v>10</v>
      </c>
      <c r="X95" s="84" t="s">
        <v>533</v>
      </c>
      <c r="Y95" s="9">
        <f ca="1">IFERROR(OFFSET(ITEM_RES!$A$5,MATCH(BUILDING!X95,ITEM_RES!$J$5:$J$229,0)-1,0),0)</f>
        <v>211010401</v>
      </c>
      <c r="AA95" s="9" t="s">
        <v>503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82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756</v>
      </c>
      <c r="S96" s="9" t="s">
        <v>701</v>
      </c>
      <c r="U96" s="84" t="s">
        <v>534</v>
      </c>
      <c r="V96" s="9">
        <f ca="1">IFERROR(OFFSET(ITEM_RES!$A$5,MATCH(BUILDING!U96,ITEM_RES!$J$5:$J$229,0)-1,0),0)</f>
        <v>211021101</v>
      </c>
      <c r="W96" s="11">
        <v>10</v>
      </c>
      <c r="X96" s="84" t="s">
        <v>533</v>
      </c>
      <c r="Y96" s="9">
        <f ca="1">IFERROR(OFFSET(ITEM_RES!$A$5,MATCH(BUILDING!X96,ITEM_RES!$J$5:$J$229,0)-1,0),0)</f>
        <v>211010401</v>
      </c>
      <c r="AA96" s="9" t="s">
        <v>503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82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454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756</v>
      </c>
      <c r="S97" s="9" t="s">
        <v>701</v>
      </c>
      <c r="U97" s="84" t="s">
        <v>534</v>
      </c>
      <c r="V97" s="9">
        <f ca="1">IFERROR(OFFSET(ITEM_RES!$A$5,MATCH(BUILDING!U97,ITEM_RES!$J$5:$J$229,0)-1,0),0)</f>
        <v>211021101</v>
      </c>
      <c r="W97" s="11">
        <v>10</v>
      </c>
      <c r="X97" s="84" t="s">
        <v>533</v>
      </c>
      <c r="Y97" s="9">
        <f ca="1">IFERROR(OFFSET(ITEM_RES!$A$5,MATCH(BUILDING!X97,ITEM_RES!$J$5:$J$229,0)-1,0),0)</f>
        <v>211010401</v>
      </c>
      <c r="AA97" s="9" t="s">
        <v>503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82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756</v>
      </c>
      <c r="S98" s="9" t="s">
        <v>701</v>
      </c>
      <c r="U98" s="84" t="s">
        <v>534</v>
      </c>
      <c r="V98" s="9">
        <f ca="1">IFERROR(OFFSET(ITEM_RES!$A$5,MATCH(BUILDING!U98,ITEM_RES!$J$5:$J$229,0)-1,0),0)</f>
        <v>211021101</v>
      </c>
      <c r="W98" s="11">
        <v>10</v>
      </c>
      <c r="X98" s="84" t="s">
        <v>533</v>
      </c>
      <c r="Y98" s="9">
        <f ca="1">IFERROR(OFFSET(ITEM_RES!$A$5,MATCH(BUILDING!X98,ITEM_RES!$J$5:$J$229,0)-1,0),0)</f>
        <v>211010401</v>
      </c>
      <c r="AA98" s="9" t="s">
        <v>503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82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756</v>
      </c>
      <c r="S99" s="9" t="s">
        <v>701</v>
      </c>
      <c r="U99" s="84" t="s">
        <v>534</v>
      </c>
      <c r="V99" s="9">
        <f ca="1">IFERROR(OFFSET(ITEM_RES!$A$5,MATCH(BUILDING!U99,ITEM_RES!$J$5:$J$229,0)-1,0),0)</f>
        <v>211021101</v>
      </c>
      <c r="W99" s="11">
        <v>10</v>
      </c>
      <c r="X99" s="84" t="s">
        <v>533</v>
      </c>
      <c r="Y99" s="9">
        <f ca="1">IFERROR(OFFSET(ITEM_RES!$A$5,MATCH(BUILDING!X99,ITEM_RES!$J$5:$J$229,0)-1,0),0)</f>
        <v>211010401</v>
      </c>
      <c r="AA99" s="9" t="s">
        <v>503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82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756</v>
      </c>
      <c r="S100" s="9" t="s">
        <v>701</v>
      </c>
      <c r="U100" s="84" t="s">
        <v>534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533</v>
      </c>
      <c r="Y100" s="9">
        <f ca="1">IFERROR(OFFSET(ITEM_RES!$A$5,MATCH(BUILDING!X100,ITEM_RES!$J$5:$J$229,0)-1,0),0)</f>
        <v>211010401</v>
      </c>
      <c r="AA100" s="9" t="s">
        <v>503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82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756</v>
      </c>
      <c r="S101" s="9" t="s">
        <v>701</v>
      </c>
      <c r="U101" s="84" t="s">
        <v>534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533</v>
      </c>
      <c r="Y101" s="9">
        <f ca="1">IFERROR(OFFSET(ITEM_RES!$A$5,MATCH(BUILDING!X101,ITEM_RES!$J$5:$J$229,0)-1,0),0)</f>
        <v>211010401</v>
      </c>
      <c r="AA101" s="9" t="s">
        <v>503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82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1013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756</v>
      </c>
      <c r="S102" s="9" t="s">
        <v>701</v>
      </c>
      <c r="U102" s="84" t="s">
        <v>534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533</v>
      </c>
      <c r="Y102" s="9">
        <f ca="1">IFERROR(OFFSET(ITEM_RES!$A$5,MATCH(BUILDING!X102,ITEM_RES!$J$5:$J$229,0)-1,0),0)</f>
        <v>211010401</v>
      </c>
      <c r="AA102" s="9" t="s">
        <v>503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82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1013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756</v>
      </c>
      <c r="S103" s="9" t="s">
        <v>701</v>
      </c>
      <c r="U103" s="84" t="s">
        <v>534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533</v>
      </c>
      <c r="Y103" s="9">
        <f ca="1">IFERROR(OFFSET(ITEM_RES!$A$5,MATCH(BUILDING!X103,ITEM_RES!$J$5:$J$229,0)-1,0),0)</f>
        <v>211010401</v>
      </c>
      <c r="AA103" s="9" t="s">
        <v>503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82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1013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756</v>
      </c>
      <c r="S104" s="9" t="s">
        <v>701</v>
      </c>
      <c r="U104" s="84" t="s">
        <v>534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533</v>
      </c>
      <c r="Y104" s="9">
        <f ca="1">IFERROR(OFFSET(ITEM_RES!$A$5,MATCH(BUILDING!X104,ITEM_RES!$J$5:$J$229,0)-1,0),0)</f>
        <v>211010401</v>
      </c>
      <c r="AA104" s="9" t="s">
        <v>503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82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1013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753</v>
      </c>
      <c r="L105" s="66">
        <v>5</v>
      </c>
      <c r="M105" s="16">
        <v>1</v>
      </c>
      <c r="N105" s="16">
        <v>15</v>
      </c>
      <c r="O105" s="16" t="s">
        <v>755</v>
      </c>
      <c r="P105" s="17"/>
      <c r="Q105" s="17"/>
      <c r="R105" s="18"/>
      <c r="S105" s="16" t="s">
        <v>754</v>
      </c>
      <c r="T105" s="78"/>
      <c r="U105" s="86" t="s">
        <v>541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534</v>
      </c>
      <c r="Y105" s="16">
        <f ca="1">IFERROR(OFFSET(ITEM_RES!$A$5,MATCH(BUILDING!X105,ITEM_RES!$J$5:$J$229,0)-1,0),0)</f>
        <v>211021101</v>
      </c>
      <c r="Z105" s="78"/>
      <c r="AA105" s="16" t="s">
        <v>504</v>
      </c>
      <c r="AB105" s="16">
        <v>1</v>
      </c>
      <c r="AC105" s="78"/>
      <c r="AD105" s="18">
        <f ca="1">IFERROR(OFFSET(MANOR_LEVEL!$B$1,MATCH(AE105-1,MANOR_LEVEL!$A:$A,0)-1,0),0)</f>
        <v>1956000</v>
      </c>
      <c r="AE105" s="57">
        <v>11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4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445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753</v>
      </c>
      <c r="M106" s="9">
        <v>1</v>
      </c>
      <c r="N106" s="9">
        <v>15</v>
      </c>
      <c r="O106" s="9" t="s">
        <v>755</v>
      </c>
      <c r="S106" s="9" t="s">
        <v>754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534</v>
      </c>
      <c r="Y106" s="9">
        <f ca="1">IFERROR(OFFSET(ITEM_RES!$A$5,MATCH(BUILDING!X106,ITEM_RES!$J$5:$J$229,0)-1,0),0)</f>
        <v>211021101</v>
      </c>
      <c r="AA106" s="9" t="s">
        <v>504</v>
      </c>
      <c r="AB106" s="9">
        <v>2</v>
      </c>
      <c r="AD106" s="11">
        <f ca="1">IFERROR(OFFSET(MANOR_LEVEL!$B$1,MATCH(AE106-1,MANOR_LEVEL!$A:$A,0)-1,0),0)</f>
        <v>1956000</v>
      </c>
      <c r="AE106" s="56">
        <v>11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82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753</v>
      </c>
      <c r="M107" s="9">
        <v>1</v>
      </c>
      <c r="N107" s="9">
        <v>15</v>
      </c>
      <c r="O107" s="9" t="s">
        <v>755</v>
      </c>
      <c r="S107" s="9" t="s">
        <v>754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534</v>
      </c>
      <c r="Y107" s="9">
        <f ca="1">IFERROR(OFFSET(ITEM_RES!$A$5,MATCH(BUILDING!X107,ITEM_RES!$J$5:$J$229,0)-1,0),0)</f>
        <v>211021101</v>
      </c>
      <c r="AA107" s="9" t="s">
        <v>504</v>
      </c>
      <c r="AB107" s="9">
        <v>3</v>
      </c>
      <c r="AD107" s="11">
        <f ca="1">IFERROR(OFFSET(MANOR_LEVEL!$B$1,MATCH(AE107-1,MANOR_LEVEL!$A:$A,0)-1,0),0)</f>
        <v>1956000</v>
      </c>
      <c r="AE107" s="56">
        <v>11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82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753</v>
      </c>
      <c r="M108" s="9">
        <v>1</v>
      </c>
      <c r="N108" s="9">
        <v>15</v>
      </c>
      <c r="O108" s="9" t="s">
        <v>755</v>
      </c>
      <c r="S108" s="9" t="s">
        <v>754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534</v>
      </c>
      <c r="Y108" s="9">
        <f ca="1">IFERROR(OFFSET(ITEM_RES!$A$5,MATCH(BUILDING!X108,ITEM_RES!$J$5:$J$229,0)-1,0),0)</f>
        <v>211021101</v>
      </c>
      <c r="AA108" s="9" t="s">
        <v>504</v>
      </c>
      <c r="AB108" s="9">
        <v>4</v>
      </c>
      <c r="AD108" s="11">
        <f ca="1">IFERROR(OFFSET(MANOR_LEVEL!$B$1,MATCH(AE108-1,MANOR_LEVEL!$A:$A,0)-1,0),0)</f>
        <v>3961500</v>
      </c>
      <c r="AE108" s="56">
        <v>12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82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753</v>
      </c>
      <c r="M109" s="9">
        <v>1</v>
      </c>
      <c r="N109" s="9">
        <v>15</v>
      </c>
      <c r="O109" s="9" t="s">
        <v>755</v>
      </c>
      <c r="S109" s="9" t="s">
        <v>754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534</v>
      </c>
      <c r="Y109" s="9">
        <f ca="1">IFERROR(OFFSET(ITEM_RES!$A$5,MATCH(BUILDING!X109,ITEM_RES!$J$5:$J$229,0)-1,0),0)</f>
        <v>211021101</v>
      </c>
      <c r="AA109" s="9" t="s">
        <v>504</v>
      </c>
      <c r="AB109" s="9">
        <v>5</v>
      </c>
      <c r="AD109" s="11">
        <f ca="1">IFERROR(OFFSET(MANOR_LEVEL!$B$1,MATCH(AE109-1,MANOR_LEVEL!$A:$A,0)-1,0),0)</f>
        <v>3961500</v>
      </c>
      <c r="AE109" s="56">
        <v>12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82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753</v>
      </c>
      <c r="M110" s="9">
        <v>1</v>
      </c>
      <c r="N110" s="9">
        <v>15</v>
      </c>
      <c r="O110" s="9" t="s">
        <v>755</v>
      </c>
      <c r="S110" s="9" t="s">
        <v>754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534</v>
      </c>
      <c r="Y110" s="9">
        <f ca="1">IFERROR(OFFSET(ITEM_RES!$A$5,MATCH(BUILDING!X110,ITEM_RES!$J$5:$J$229,0)-1,0),0)</f>
        <v>211021101</v>
      </c>
      <c r="AA110" s="9" t="s">
        <v>504</v>
      </c>
      <c r="AB110" s="9">
        <v>6</v>
      </c>
      <c r="AD110" s="11">
        <f ca="1">IFERROR(OFFSET(MANOR_LEVEL!$B$1,MATCH(AE110-1,MANOR_LEVEL!$A:$A,0)-1,0),0)</f>
        <v>3961500</v>
      </c>
      <c r="AE110" s="56">
        <v>12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82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753</v>
      </c>
      <c r="M111" s="9">
        <v>1</v>
      </c>
      <c r="N111" s="9">
        <v>15</v>
      </c>
      <c r="O111" s="9" t="s">
        <v>755</v>
      </c>
      <c r="S111" s="9" t="s">
        <v>754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534</v>
      </c>
      <c r="Y111" s="9">
        <f ca="1">IFERROR(OFFSET(ITEM_RES!$A$5,MATCH(BUILDING!X111,ITEM_RES!$J$5:$J$229,0)-1,0),0)</f>
        <v>211021101</v>
      </c>
      <c r="AA111" s="9" t="s">
        <v>504</v>
      </c>
      <c r="AB111" s="9">
        <v>7</v>
      </c>
      <c r="AD111" s="11">
        <f ca="1">IFERROR(OFFSET(MANOR_LEVEL!$B$1,MATCH(AE111-1,MANOR_LEVEL!$A:$A,0)-1,0),0)</f>
        <v>3961500</v>
      </c>
      <c r="AE111" s="56">
        <v>12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82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753</v>
      </c>
      <c r="M112" s="9">
        <v>1</v>
      </c>
      <c r="N112" s="9">
        <v>15</v>
      </c>
      <c r="O112" s="9" t="s">
        <v>755</v>
      </c>
      <c r="S112" s="9" t="s">
        <v>754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534</v>
      </c>
      <c r="Y112" s="9">
        <f ca="1">IFERROR(OFFSET(ITEM_RES!$A$5,MATCH(BUILDING!X112,ITEM_RES!$J$5:$J$229,0)-1,0),0)</f>
        <v>211021101</v>
      </c>
      <c r="AA112" s="9" t="s">
        <v>504</v>
      </c>
      <c r="AB112" s="9">
        <v>8</v>
      </c>
      <c r="AD112" s="11">
        <f ca="1">IFERROR(OFFSET(MANOR_LEVEL!$B$1,MATCH(AE112-1,MANOR_LEVEL!$A:$A,0)-1,0),0)</f>
        <v>3961500</v>
      </c>
      <c r="AE112" s="56">
        <v>12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82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753</v>
      </c>
      <c r="M113" s="9">
        <v>1</v>
      </c>
      <c r="N113" s="9">
        <v>15</v>
      </c>
      <c r="O113" s="9" t="s">
        <v>755</v>
      </c>
      <c r="S113" s="9" t="s">
        <v>754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534</v>
      </c>
      <c r="Y113" s="9">
        <f ca="1">IFERROR(OFFSET(ITEM_RES!$A$5,MATCH(BUILDING!X113,ITEM_RES!$J$5:$J$229,0)-1,0),0)</f>
        <v>211021101</v>
      </c>
      <c r="AA113" s="9" t="s">
        <v>504</v>
      </c>
      <c r="AB113" s="9">
        <v>9</v>
      </c>
      <c r="AD113" s="11">
        <f ca="1">IFERROR(OFFSET(MANOR_LEVEL!$B$1,MATCH(AE113-1,MANOR_LEVEL!$A:$A,0)-1,0),0)</f>
        <v>3961500</v>
      </c>
      <c r="AE113" s="56">
        <v>12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82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753</v>
      </c>
      <c r="M114" s="9">
        <v>1</v>
      </c>
      <c r="N114" s="9">
        <v>15</v>
      </c>
      <c r="O114" s="9" t="s">
        <v>755</v>
      </c>
      <c r="S114" s="9" t="s">
        <v>754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534</v>
      </c>
      <c r="Y114" s="9">
        <f ca="1">IFERROR(OFFSET(ITEM_RES!$A$5,MATCH(BUILDING!X114,ITEM_RES!$J$5:$J$229,0)-1,0),0)</f>
        <v>211021101</v>
      </c>
      <c r="AA114" s="9" t="s">
        <v>504</v>
      </c>
      <c r="AB114" s="9">
        <v>10</v>
      </c>
      <c r="AD114" s="11">
        <f ca="1">IFERROR(OFFSET(MANOR_LEVEL!$B$1,MATCH(AE114-1,MANOR_LEVEL!$A:$A,0)-1,0),0)</f>
        <v>3961500</v>
      </c>
      <c r="AE114" s="56">
        <v>12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82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753</v>
      </c>
      <c r="M115" s="9">
        <v>1</v>
      </c>
      <c r="N115" s="9">
        <v>15</v>
      </c>
      <c r="O115" s="9" t="s">
        <v>755</v>
      </c>
      <c r="S115" s="9" t="s">
        <v>754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534</v>
      </c>
      <c r="Y115" s="9">
        <f ca="1">IFERROR(OFFSET(ITEM_RES!$A$5,MATCH(BUILDING!X115,ITEM_RES!$J$5:$J$229,0)-1,0),0)</f>
        <v>211021101</v>
      </c>
      <c r="AA115" s="9" t="s">
        <v>504</v>
      </c>
      <c r="AB115" s="9">
        <v>11</v>
      </c>
      <c r="AD115" s="11">
        <f ca="1">IFERROR(OFFSET(MANOR_LEVEL!$B$1,MATCH(AE115-1,MANOR_LEVEL!$A:$A,0)-1,0),0)</f>
        <v>3961500</v>
      </c>
      <c r="AE115" s="56">
        <v>12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82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753</v>
      </c>
      <c r="M116" s="9">
        <v>1</v>
      </c>
      <c r="N116" s="9">
        <v>15</v>
      </c>
      <c r="O116" s="9" t="s">
        <v>755</v>
      </c>
      <c r="S116" s="9" t="s">
        <v>754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534</v>
      </c>
      <c r="Y116" s="9">
        <f ca="1">IFERROR(OFFSET(ITEM_RES!$A$5,MATCH(BUILDING!X116,ITEM_RES!$J$5:$J$229,0)-1,0),0)</f>
        <v>211021101</v>
      </c>
      <c r="AA116" s="9" t="s">
        <v>504</v>
      </c>
      <c r="AB116" s="9">
        <v>12</v>
      </c>
      <c r="AD116" s="11">
        <f ca="1">IFERROR(OFFSET(MANOR_LEVEL!$B$1,MATCH(AE116-1,MANOR_LEVEL!$A:$A,0)-1,0),0)</f>
        <v>3961500</v>
      </c>
      <c r="AE116" s="56">
        <v>12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82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753</v>
      </c>
      <c r="M117" s="9">
        <v>1</v>
      </c>
      <c r="N117" s="9">
        <v>15</v>
      </c>
      <c r="O117" s="9" t="s">
        <v>755</v>
      </c>
      <c r="S117" s="9" t="s">
        <v>754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534</v>
      </c>
      <c r="Y117" s="9">
        <f ca="1">IFERROR(OFFSET(ITEM_RES!$A$5,MATCH(BUILDING!X117,ITEM_RES!$J$5:$J$229,0)-1,0),0)</f>
        <v>211021101</v>
      </c>
      <c r="AA117" s="9" t="s">
        <v>504</v>
      </c>
      <c r="AB117" s="9">
        <v>13</v>
      </c>
      <c r="AD117" s="11">
        <f ca="1">IFERROR(OFFSET(MANOR_LEVEL!$B$1,MATCH(AE117-1,MANOR_LEVEL!$A:$A,0)-1,0),0)</f>
        <v>3961500</v>
      </c>
      <c r="AE117" s="56">
        <v>12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82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753</v>
      </c>
      <c r="M118" s="9">
        <v>1</v>
      </c>
      <c r="N118" s="9">
        <v>15</v>
      </c>
      <c r="O118" s="9" t="s">
        <v>755</v>
      </c>
      <c r="S118" s="9" t="s">
        <v>754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534</v>
      </c>
      <c r="Y118" s="9">
        <f ca="1">IFERROR(OFFSET(ITEM_RES!$A$5,MATCH(BUILDING!X118,ITEM_RES!$J$5:$J$229,0)-1,0),0)</f>
        <v>211021101</v>
      </c>
      <c r="AA118" s="9" t="s">
        <v>504</v>
      </c>
      <c r="AB118" s="9">
        <v>14</v>
      </c>
      <c r="AD118" s="11">
        <f ca="1">IFERROR(OFFSET(MANOR_LEVEL!$B$1,MATCH(AE118-1,MANOR_LEVEL!$A:$A,0)-1,0),0)</f>
        <v>3961500</v>
      </c>
      <c r="AE118" s="56">
        <v>12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82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753</v>
      </c>
      <c r="M119" s="9">
        <v>1</v>
      </c>
      <c r="N119" s="9">
        <v>15</v>
      </c>
      <c r="O119" s="9" t="s">
        <v>755</v>
      </c>
      <c r="S119" s="9" t="s">
        <v>754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534</v>
      </c>
      <c r="Y119" s="9">
        <f ca="1">IFERROR(OFFSET(ITEM_RES!$A$5,MATCH(BUILDING!X119,ITEM_RES!$J$5:$J$229,0)-1,0),0)</f>
        <v>211021101</v>
      </c>
      <c r="AA119" s="9" t="s">
        <v>504</v>
      </c>
      <c r="AB119" s="9">
        <v>15</v>
      </c>
      <c r="AD119" s="11">
        <f ca="1">IFERROR(OFFSET(MANOR_LEVEL!$B$1,MATCH(AE119-1,MANOR_LEVEL!$A:$A,0)-1,0),0)</f>
        <v>3961500</v>
      </c>
      <c r="AE119" s="56">
        <v>12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82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753</v>
      </c>
      <c r="M120" s="9">
        <v>0</v>
      </c>
      <c r="N120" s="9">
        <v>15</v>
      </c>
      <c r="O120" s="9" t="s">
        <v>755</v>
      </c>
      <c r="S120" s="9" t="s">
        <v>754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534</v>
      </c>
      <c r="Y120" s="9">
        <f ca="1">IFERROR(OFFSET(ITEM_RES!$A$5,MATCH(BUILDING!X120,ITEM_RES!$J$5:$J$229,0)-1,0),0)</f>
        <v>211021101</v>
      </c>
      <c r="AA120" s="9" t="s">
        <v>504</v>
      </c>
      <c r="AB120" s="9">
        <v>16</v>
      </c>
      <c r="AD120" s="11">
        <f ca="1">IFERROR(OFFSET(MANOR_LEVEL!$B$1,MATCH(AE120-1,MANOR_LEVEL!$A:$A,0)-1,0),0)</f>
        <v>3961500</v>
      </c>
      <c r="AE120" s="56">
        <v>12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82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753</v>
      </c>
      <c r="M121" s="9">
        <v>0</v>
      </c>
      <c r="N121" s="9">
        <v>15</v>
      </c>
      <c r="O121" s="9" t="s">
        <v>755</v>
      </c>
      <c r="S121" s="9" t="s">
        <v>754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534</v>
      </c>
      <c r="Y121" s="9">
        <f ca="1">IFERROR(OFFSET(ITEM_RES!$A$5,MATCH(BUILDING!X121,ITEM_RES!$J$5:$J$229,0)-1,0),0)</f>
        <v>211021101</v>
      </c>
      <c r="AA121" s="9" t="s">
        <v>504</v>
      </c>
      <c r="AB121" s="9">
        <v>17</v>
      </c>
      <c r="AD121" s="11">
        <f ca="1">IFERROR(OFFSET(MANOR_LEVEL!$B$1,MATCH(AE121-1,MANOR_LEVEL!$A:$A,0)-1,0),0)</f>
        <v>3961500</v>
      </c>
      <c r="AE121" s="56">
        <v>12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82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1013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753</v>
      </c>
      <c r="M122" s="9">
        <v>0</v>
      </c>
      <c r="N122" s="9">
        <v>15</v>
      </c>
      <c r="O122" s="9" t="s">
        <v>755</v>
      </c>
      <c r="S122" s="9" t="s">
        <v>754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534</v>
      </c>
      <c r="Y122" s="9">
        <f ca="1">IFERROR(OFFSET(ITEM_RES!$A$5,MATCH(BUILDING!X122,ITEM_RES!$J$5:$J$229,0)-1,0),0)</f>
        <v>211021101</v>
      </c>
      <c r="AA122" s="9" t="s">
        <v>504</v>
      </c>
      <c r="AB122" s="9">
        <v>18</v>
      </c>
      <c r="AD122" s="11">
        <f ca="1">IFERROR(OFFSET(MANOR_LEVEL!$B$1,MATCH(AE122-1,MANOR_LEVEL!$A:$A,0)-1,0),0)</f>
        <v>3961500</v>
      </c>
      <c r="AE122" s="56">
        <v>12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82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1013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753</v>
      </c>
      <c r="M123" s="9">
        <v>0</v>
      </c>
      <c r="N123" s="9">
        <v>15</v>
      </c>
      <c r="O123" s="9" t="s">
        <v>755</v>
      </c>
      <c r="S123" s="9" t="s">
        <v>754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534</v>
      </c>
      <c r="Y123" s="9">
        <f ca="1">IFERROR(OFFSET(ITEM_RES!$A$5,MATCH(BUILDING!X123,ITEM_RES!$J$5:$J$229,0)-1,0),0)</f>
        <v>211021101</v>
      </c>
      <c r="AA123" s="9" t="s">
        <v>504</v>
      </c>
      <c r="AB123" s="9">
        <v>19</v>
      </c>
      <c r="AD123" s="11">
        <f ca="1">IFERROR(OFFSET(MANOR_LEVEL!$B$1,MATCH(AE123-1,MANOR_LEVEL!$A:$A,0)-1,0),0)</f>
        <v>3961500</v>
      </c>
      <c r="AE123" s="56">
        <v>12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82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1013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753</v>
      </c>
      <c r="M124" s="9">
        <v>0</v>
      </c>
      <c r="N124" s="9">
        <v>15</v>
      </c>
      <c r="O124" s="9" t="s">
        <v>755</v>
      </c>
      <c r="S124" s="9" t="s">
        <v>754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534</v>
      </c>
      <c r="Y124" s="9">
        <f ca="1">IFERROR(OFFSET(ITEM_RES!$A$5,MATCH(BUILDING!X124,ITEM_RES!$J$5:$J$229,0)-1,0),0)</f>
        <v>211021101</v>
      </c>
      <c r="AA124" s="9" t="s">
        <v>504</v>
      </c>
      <c r="AB124" s="9">
        <v>20</v>
      </c>
      <c r="AD124" s="11">
        <f ca="1">IFERROR(OFFSET(MANOR_LEVEL!$B$1,MATCH(AE124-1,MANOR_LEVEL!$A:$A,0)-1,0),0)</f>
        <v>3961500</v>
      </c>
      <c r="AE124" s="56">
        <v>12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82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1013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1109</v>
      </c>
      <c r="P125" s="17"/>
      <c r="Q125" s="17"/>
      <c r="R125" s="18"/>
      <c r="S125" s="16" t="s">
        <v>680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535</v>
      </c>
      <c r="Y125" s="16">
        <f ca="1">IFERROR(OFFSET(ITEM_RES!$A$5,MATCH(BUILDING!X125,ITEM_RES!$J$5:$J$229,0)-1,0),0)</f>
        <v>211010501</v>
      </c>
      <c r="Z125" s="78"/>
      <c r="AA125" s="16" t="s">
        <v>505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4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445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1110</v>
      </c>
      <c r="S126" s="9" t="s">
        <v>680</v>
      </c>
      <c r="V126" s="9">
        <f ca="1">IFERROR(OFFSET(ITEM_RES!$A$5,MATCH(BUILDING!U126,ITEM_RES!$J$5:$J$229,0)-1,0),0)</f>
        <v>0</v>
      </c>
      <c r="X126" s="84" t="s">
        <v>535</v>
      </c>
      <c r="Y126" s="9">
        <f ca="1">IFERROR(OFFSET(ITEM_RES!$A$5,MATCH(BUILDING!X126,ITEM_RES!$J$5:$J$229,0)-1,0),0)</f>
        <v>211010501</v>
      </c>
      <c r="AA126" s="9" t="s">
        <v>505</v>
      </c>
      <c r="AB126" s="9">
        <v>2</v>
      </c>
      <c r="AD126" s="11">
        <f ca="1">IFERROR(OFFSET(MANOR_LEVEL!$B$1,MATCH(AE126-1,MANOR_LEVEL!$A:$A,0)-1,0),0)</f>
        <v>100</v>
      </c>
      <c r="AE126" s="56">
        <v>2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82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1111</v>
      </c>
      <c r="S127" s="9" t="s">
        <v>680</v>
      </c>
      <c r="V127" s="9">
        <f ca="1">IFERROR(OFFSET(ITEM_RES!$A$5,MATCH(BUILDING!U127,ITEM_RES!$J$5:$J$229,0)-1,0),0)</f>
        <v>0</v>
      </c>
      <c r="X127" s="84" t="s">
        <v>535</v>
      </c>
      <c r="Y127" s="9">
        <f ca="1">IFERROR(OFFSET(ITEM_RES!$A$5,MATCH(BUILDING!X127,ITEM_RES!$J$5:$J$229,0)-1,0),0)</f>
        <v>211010501</v>
      </c>
      <c r="AA127" s="9" t="s">
        <v>505</v>
      </c>
      <c r="AB127" s="9">
        <v>3</v>
      </c>
      <c r="AD127" s="11">
        <f ca="1">IFERROR(OFFSET(MANOR_LEVEL!$B$1,MATCH(AE127-1,MANOR_LEVEL!$A:$A,0)-1,0),0)</f>
        <v>310</v>
      </c>
      <c r="AE127" s="56">
        <v>3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82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1112</v>
      </c>
      <c r="S128" s="9" t="s">
        <v>680</v>
      </c>
      <c r="V128" s="9">
        <f ca="1">IFERROR(OFFSET(ITEM_RES!$A$5,MATCH(BUILDING!U128,ITEM_RES!$J$5:$J$229,0)-1,0),0)</f>
        <v>0</v>
      </c>
      <c r="X128" s="84" t="s">
        <v>535</v>
      </c>
      <c r="Y128" s="9">
        <f ca="1">IFERROR(OFFSET(ITEM_RES!$A$5,MATCH(BUILDING!X128,ITEM_RES!$J$5:$J$229,0)-1,0),0)</f>
        <v>211010501</v>
      </c>
      <c r="AA128" s="9" t="s">
        <v>505</v>
      </c>
      <c r="AB128" s="9">
        <v>4</v>
      </c>
      <c r="AD128" s="11">
        <f ca="1">IFERROR(OFFSET(MANOR_LEVEL!$B$1,MATCH(AE128-1,MANOR_LEVEL!$A:$A,0)-1,0),0)</f>
        <v>310</v>
      </c>
      <c r="AE128" s="56">
        <v>3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82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1113</v>
      </c>
      <c r="S129" s="9" t="s">
        <v>680</v>
      </c>
      <c r="V129" s="9">
        <f ca="1">IFERROR(OFFSET(ITEM_RES!$A$5,MATCH(BUILDING!U129,ITEM_RES!$J$5:$J$229,0)-1,0),0)</f>
        <v>0</v>
      </c>
      <c r="X129" s="84" t="s">
        <v>535</v>
      </c>
      <c r="Y129" s="9">
        <f ca="1">IFERROR(OFFSET(ITEM_RES!$A$5,MATCH(BUILDING!X129,ITEM_RES!$J$5:$J$229,0)-1,0),0)</f>
        <v>211010501</v>
      </c>
      <c r="AA129" s="9" t="s">
        <v>505</v>
      </c>
      <c r="AB129" s="9">
        <v>5</v>
      </c>
      <c r="AD129" s="11">
        <f ca="1">IFERROR(OFFSET(MANOR_LEVEL!$B$1,MATCH(AE129-1,MANOR_LEVEL!$A:$A,0)-1,0),0)</f>
        <v>930</v>
      </c>
      <c r="AE129" s="56">
        <v>4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82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1114</v>
      </c>
      <c r="S130" s="9" t="s">
        <v>680</v>
      </c>
      <c r="V130" s="9">
        <f ca="1">IFERROR(OFFSET(ITEM_RES!$A$5,MATCH(BUILDING!U130,ITEM_RES!$J$5:$J$229,0)-1,0),0)</f>
        <v>0</v>
      </c>
      <c r="X130" s="84" t="s">
        <v>535</v>
      </c>
      <c r="Y130" s="9">
        <f ca="1">IFERROR(OFFSET(ITEM_RES!$A$5,MATCH(BUILDING!X130,ITEM_RES!$J$5:$J$229,0)-1,0),0)</f>
        <v>211010501</v>
      </c>
      <c r="AA130" s="9" t="s">
        <v>505</v>
      </c>
      <c r="AB130" s="9">
        <v>6</v>
      </c>
      <c r="AD130" s="11">
        <f ca="1">IFERROR(OFFSET(MANOR_LEVEL!$B$1,MATCH(AE130-1,MANOR_LEVEL!$A:$A,0)-1,0),0)</f>
        <v>930</v>
      </c>
      <c r="AE130" s="56">
        <v>4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82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1115</v>
      </c>
      <c r="S131" s="9" t="s">
        <v>680</v>
      </c>
      <c r="V131" s="9">
        <f ca="1">IFERROR(OFFSET(ITEM_RES!$A$5,MATCH(BUILDING!U131,ITEM_RES!$J$5:$J$229,0)-1,0),0)</f>
        <v>0</v>
      </c>
      <c r="X131" s="84" t="s">
        <v>535</v>
      </c>
      <c r="Y131" s="9">
        <f ca="1">IFERROR(OFFSET(ITEM_RES!$A$5,MATCH(BUILDING!X131,ITEM_RES!$J$5:$J$229,0)-1,0),0)</f>
        <v>211010501</v>
      </c>
      <c r="AA131" s="9" t="s">
        <v>505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82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1115</v>
      </c>
      <c r="S132" s="9" t="s">
        <v>680</v>
      </c>
      <c r="V132" s="9">
        <f ca="1">IFERROR(OFFSET(ITEM_RES!$A$5,MATCH(BUILDING!U132,ITEM_RES!$J$5:$J$229,0)-1,0),0)</f>
        <v>0</v>
      </c>
      <c r="X132" s="84" t="s">
        <v>535</v>
      </c>
      <c r="Y132" s="9">
        <f ca="1">IFERROR(OFFSET(ITEM_RES!$A$5,MATCH(BUILDING!X132,ITEM_RES!$J$5:$J$229,0)-1,0),0)</f>
        <v>211010501</v>
      </c>
      <c r="AA132" s="9" t="s">
        <v>505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82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1115</v>
      </c>
      <c r="S133" s="9" t="s">
        <v>680</v>
      </c>
      <c r="V133" s="9">
        <f ca="1">IFERROR(OFFSET(ITEM_RES!$A$5,MATCH(BUILDING!U133,ITEM_RES!$J$5:$J$229,0)-1,0),0)</f>
        <v>0</v>
      </c>
      <c r="X133" s="84" t="s">
        <v>535</v>
      </c>
      <c r="Y133" s="9">
        <f ca="1">IFERROR(OFFSET(ITEM_RES!$A$5,MATCH(BUILDING!X133,ITEM_RES!$J$5:$J$229,0)-1,0),0)</f>
        <v>211010501</v>
      </c>
      <c r="AA133" s="9" t="s">
        <v>505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82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1351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1115</v>
      </c>
      <c r="S134" s="9" t="s">
        <v>680</v>
      </c>
      <c r="V134" s="9">
        <f ca="1">IFERROR(OFFSET(ITEM_RES!$A$5,MATCH(BUILDING!U134,ITEM_RES!$J$5:$J$229,0)-1,0),0)</f>
        <v>0</v>
      </c>
      <c r="X134" s="84" t="s">
        <v>535</v>
      </c>
      <c r="Y134" s="9">
        <f ca="1">IFERROR(OFFSET(ITEM_RES!$A$5,MATCH(BUILDING!X134,ITEM_RES!$J$5:$J$229,0)-1,0),0)</f>
        <v>211010501</v>
      </c>
      <c r="AA134" s="9" t="s">
        <v>505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82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1351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1115</v>
      </c>
      <c r="S135" s="9" t="s">
        <v>680</v>
      </c>
      <c r="V135" s="9">
        <f ca="1">IFERROR(OFFSET(ITEM_RES!$A$5,MATCH(BUILDING!U135,ITEM_RES!$J$5:$J$229,0)-1,0),0)</f>
        <v>0</v>
      </c>
      <c r="X135" s="84" t="s">
        <v>535</v>
      </c>
      <c r="Y135" s="9">
        <f ca="1">IFERROR(OFFSET(ITEM_RES!$A$5,MATCH(BUILDING!X135,ITEM_RES!$J$5:$J$229,0)-1,0),0)</f>
        <v>211010501</v>
      </c>
      <c r="AA135" s="9" t="s">
        <v>505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82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1351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1115</v>
      </c>
      <c r="S136" s="9" t="s">
        <v>680</v>
      </c>
      <c r="V136" s="9">
        <f ca="1">IFERROR(OFFSET(ITEM_RES!$A$5,MATCH(BUILDING!U136,ITEM_RES!$J$5:$J$229,0)-1,0),0)</f>
        <v>0</v>
      </c>
      <c r="X136" s="84" t="s">
        <v>535</v>
      </c>
      <c r="Y136" s="9">
        <f ca="1">IFERROR(OFFSET(ITEM_RES!$A$5,MATCH(BUILDING!X136,ITEM_RES!$J$5:$J$229,0)-1,0),0)</f>
        <v>211010501</v>
      </c>
      <c r="AA136" s="9" t="s">
        <v>505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82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1351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1115</v>
      </c>
      <c r="S137" s="9" t="s">
        <v>680</v>
      </c>
      <c r="V137" s="9">
        <f ca="1">IFERROR(OFFSET(ITEM_RES!$A$5,MATCH(BUILDING!U137,ITEM_RES!$J$5:$J$229,0)-1,0),0)</f>
        <v>0</v>
      </c>
      <c r="X137" s="84" t="s">
        <v>535</v>
      </c>
      <c r="Y137" s="9">
        <f ca="1">IFERROR(OFFSET(ITEM_RES!$A$5,MATCH(BUILDING!X137,ITEM_RES!$J$5:$J$229,0)-1,0),0)</f>
        <v>211010501</v>
      </c>
      <c r="AA137" s="9" t="s">
        <v>505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82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1351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1115</v>
      </c>
      <c r="S138" s="9" t="s">
        <v>680</v>
      </c>
      <c r="V138" s="9">
        <f ca="1">IFERROR(OFFSET(ITEM_RES!$A$5,MATCH(BUILDING!U138,ITEM_RES!$J$5:$J$229,0)-1,0),0)</f>
        <v>0</v>
      </c>
      <c r="X138" s="84" t="s">
        <v>535</v>
      </c>
      <c r="Y138" s="9">
        <f ca="1">IFERROR(OFFSET(ITEM_RES!$A$5,MATCH(BUILDING!X138,ITEM_RES!$J$5:$J$229,0)-1,0),0)</f>
        <v>211010501</v>
      </c>
      <c r="AA138" s="9" t="s">
        <v>505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82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1351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1115</v>
      </c>
      <c r="S139" s="9" t="s">
        <v>680</v>
      </c>
      <c r="V139" s="9">
        <f ca="1">IFERROR(OFFSET(ITEM_RES!$A$5,MATCH(BUILDING!U139,ITEM_RES!$J$5:$J$229,0)-1,0),0)</f>
        <v>0</v>
      </c>
      <c r="X139" s="84" t="s">
        <v>535</v>
      </c>
      <c r="Y139" s="9">
        <f ca="1">IFERROR(OFFSET(ITEM_RES!$A$5,MATCH(BUILDING!X139,ITEM_RES!$J$5:$J$229,0)-1,0),0)</f>
        <v>211010501</v>
      </c>
      <c r="AA139" s="9" t="s">
        <v>505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82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1351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1115</v>
      </c>
      <c r="S140" s="9" t="s">
        <v>680</v>
      </c>
      <c r="V140" s="9">
        <f ca="1">IFERROR(OFFSET(ITEM_RES!$A$5,MATCH(BUILDING!U140,ITEM_RES!$J$5:$J$229,0)-1,0),0)</f>
        <v>0</v>
      </c>
      <c r="X140" s="84" t="s">
        <v>535</v>
      </c>
      <c r="Y140" s="9">
        <f ca="1">IFERROR(OFFSET(ITEM_RES!$A$5,MATCH(BUILDING!X140,ITEM_RES!$J$5:$J$229,0)-1,0),0)</f>
        <v>211010501</v>
      </c>
      <c r="AA140" s="9" t="s">
        <v>505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82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1351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1115</v>
      </c>
      <c r="S141" s="9" t="s">
        <v>680</v>
      </c>
      <c r="V141" s="9">
        <f ca="1">IFERROR(OFFSET(ITEM_RES!$A$5,MATCH(BUILDING!U141,ITEM_RES!$J$5:$J$229,0)-1,0),0)</f>
        <v>0</v>
      </c>
      <c r="X141" s="84" t="s">
        <v>535</v>
      </c>
      <c r="Y141" s="9">
        <f ca="1">IFERROR(OFFSET(ITEM_RES!$A$5,MATCH(BUILDING!X141,ITEM_RES!$J$5:$J$229,0)-1,0),0)</f>
        <v>211010501</v>
      </c>
      <c r="AA141" s="9" t="s">
        <v>505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82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1115</v>
      </c>
      <c r="S142" s="9" t="s">
        <v>680</v>
      </c>
      <c r="V142" s="9">
        <f ca="1">IFERROR(OFFSET(ITEM_RES!$A$5,MATCH(BUILDING!U142,ITEM_RES!$J$5:$J$229,0)-1,0),0)</f>
        <v>0</v>
      </c>
      <c r="X142" s="84" t="s">
        <v>535</v>
      </c>
      <c r="Y142" s="9">
        <f ca="1">IFERROR(OFFSET(ITEM_RES!$A$5,MATCH(BUILDING!X142,ITEM_RES!$J$5:$J$229,0)-1,0),0)</f>
        <v>211010501</v>
      </c>
      <c r="AA142" s="9" t="s">
        <v>505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82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1115</v>
      </c>
      <c r="S143" s="9" t="s">
        <v>680</v>
      </c>
      <c r="V143" s="9">
        <f ca="1">IFERROR(OFFSET(ITEM_RES!$A$5,MATCH(BUILDING!U143,ITEM_RES!$J$5:$J$229,0)-1,0),0)</f>
        <v>0</v>
      </c>
      <c r="X143" s="84" t="s">
        <v>535</v>
      </c>
      <c r="Y143" s="9">
        <f ca="1">IFERROR(OFFSET(ITEM_RES!$A$5,MATCH(BUILDING!X143,ITEM_RES!$J$5:$J$229,0)-1,0),0)</f>
        <v>211010501</v>
      </c>
      <c r="AA143" s="9" t="s">
        <v>505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82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1115</v>
      </c>
      <c r="S144" s="9" t="s">
        <v>680</v>
      </c>
      <c r="V144" s="9">
        <f ca="1">IFERROR(OFFSET(ITEM_RES!$A$5,MATCH(BUILDING!U144,ITEM_RES!$J$5:$J$229,0)-1,0),0)</f>
        <v>0</v>
      </c>
      <c r="X144" s="84" t="s">
        <v>535</v>
      </c>
      <c r="Y144" s="9">
        <f ca="1">IFERROR(OFFSET(ITEM_RES!$A$5,MATCH(BUILDING!X144,ITEM_RES!$J$5:$J$229,0)-1,0),0)</f>
        <v>211010501</v>
      </c>
      <c r="AA144" s="9" t="s">
        <v>505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82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1116</v>
      </c>
      <c r="P145" s="17"/>
      <c r="Q145" s="17"/>
      <c r="R145" s="18"/>
      <c r="S145" s="16" t="s">
        <v>700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535</v>
      </c>
      <c r="Y145" s="16">
        <f ca="1">IFERROR(OFFSET(ITEM_RES!$A$5,MATCH(BUILDING!X145,ITEM_RES!$J$5:$J$229,0)-1,0),0)</f>
        <v>211010501</v>
      </c>
      <c r="Z145" s="78"/>
      <c r="AA145" s="16" t="s">
        <v>506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4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1082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445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1116</v>
      </c>
      <c r="S146" s="9" t="s">
        <v>700</v>
      </c>
      <c r="V146" s="9">
        <f ca="1">IFERROR(OFFSET(ITEM_RES!$A$5,MATCH(BUILDING!U146,ITEM_RES!$J$5:$J$229,0)-1,0),0)</f>
        <v>0</v>
      </c>
      <c r="X146" s="84" t="s">
        <v>535</v>
      </c>
      <c r="Y146" s="9">
        <f ca="1">IFERROR(OFFSET(ITEM_RES!$A$5,MATCH(BUILDING!X146,ITEM_RES!$J$5:$J$229,0)-1,0),0)</f>
        <v>211010501</v>
      </c>
      <c r="AA146" s="9" t="s">
        <v>506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82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1082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1117</v>
      </c>
      <c r="S147" s="9" t="s">
        <v>700</v>
      </c>
      <c r="V147" s="9">
        <f ca="1">IFERROR(OFFSET(ITEM_RES!$A$5,MATCH(BUILDING!U147,ITEM_RES!$J$5:$J$229,0)-1,0),0)</f>
        <v>0</v>
      </c>
      <c r="X147" s="84" t="s">
        <v>535</v>
      </c>
      <c r="Y147" s="9">
        <f ca="1">IFERROR(OFFSET(ITEM_RES!$A$5,MATCH(BUILDING!X147,ITEM_RES!$J$5:$J$229,0)-1,0),0)</f>
        <v>211010501</v>
      </c>
      <c r="AA147" s="9" t="s">
        <v>506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82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1082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1118</v>
      </c>
      <c r="S148" s="9" t="s">
        <v>700</v>
      </c>
      <c r="V148" s="9">
        <f ca="1">IFERROR(OFFSET(ITEM_RES!$A$5,MATCH(BUILDING!U148,ITEM_RES!$J$5:$J$229,0)-1,0),0)</f>
        <v>0</v>
      </c>
      <c r="X148" s="84" t="s">
        <v>535</v>
      </c>
      <c r="Y148" s="9">
        <f ca="1">IFERROR(OFFSET(ITEM_RES!$A$5,MATCH(BUILDING!X148,ITEM_RES!$J$5:$J$229,0)-1,0),0)</f>
        <v>211010501</v>
      </c>
      <c r="AA148" s="9" t="s">
        <v>506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82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1082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1119</v>
      </c>
      <c r="S149" s="9" t="s">
        <v>700</v>
      </c>
      <c r="V149" s="9">
        <f ca="1">IFERROR(OFFSET(ITEM_RES!$A$5,MATCH(BUILDING!U149,ITEM_RES!$J$5:$J$229,0)-1,0),0)</f>
        <v>0</v>
      </c>
      <c r="X149" s="84" t="s">
        <v>535</v>
      </c>
      <c r="Y149" s="9">
        <f ca="1">IFERROR(OFFSET(ITEM_RES!$A$5,MATCH(BUILDING!X149,ITEM_RES!$J$5:$J$229,0)-1,0),0)</f>
        <v>211010501</v>
      </c>
      <c r="AA149" s="9" t="s">
        <v>506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82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1082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1120</v>
      </c>
      <c r="S150" s="9" t="s">
        <v>700</v>
      </c>
      <c r="V150" s="9">
        <f ca="1">IFERROR(OFFSET(ITEM_RES!$A$5,MATCH(BUILDING!U150,ITEM_RES!$J$5:$J$229,0)-1,0),0)</f>
        <v>0</v>
      </c>
      <c r="X150" s="84" t="s">
        <v>535</v>
      </c>
      <c r="Y150" s="9">
        <f ca="1">IFERROR(OFFSET(ITEM_RES!$A$5,MATCH(BUILDING!X150,ITEM_RES!$J$5:$J$229,0)-1,0),0)</f>
        <v>211010501</v>
      </c>
      <c r="AA150" s="9" t="s">
        <v>506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82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1082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1121</v>
      </c>
      <c r="S151" s="9" t="s">
        <v>700</v>
      </c>
      <c r="V151" s="9">
        <f ca="1">IFERROR(OFFSET(ITEM_RES!$A$5,MATCH(BUILDING!U151,ITEM_RES!$J$5:$J$229,0)-1,0),0)</f>
        <v>0</v>
      </c>
      <c r="X151" s="84" t="s">
        <v>535</v>
      </c>
      <c r="Y151" s="9">
        <f ca="1">IFERROR(OFFSET(ITEM_RES!$A$5,MATCH(BUILDING!X151,ITEM_RES!$J$5:$J$229,0)-1,0),0)</f>
        <v>211010501</v>
      </c>
      <c r="AA151" s="9" t="s">
        <v>506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82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1082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1121</v>
      </c>
      <c r="S152" s="9" t="s">
        <v>700</v>
      </c>
      <c r="V152" s="9">
        <f ca="1">IFERROR(OFFSET(ITEM_RES!$A$5,MATCH(BUILDING!U152,ITEM_RES!$J$5:$J$229,0)-1,0),0)</f>
        <v>0</v>
      </c>
      <c r="X152" s="84" t="s">
        <v>535</v>
      </c>
      <c r="Y152" s="9">
        <f ca="1">IFERROR(OFFSET(ITEM_RES!$A$5,MATCH(BUILDING!X152,ITEM_RES!$J$5:$J$229,0)-1,0),0)</f>
        <v>211010501</v>
      </c>
      <c r="AA152" s="9" t="s">
        <v>506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82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1082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1121</v>
      </c>
      <c r="S153" s="9" t="s">
        <v>700</v>
      </c>
      <c r="V153" s="9">
        <f ca="1">IFERROR(OFFSET(ITEM_RES!$A$5,MATCH(BUILDING!U153,ITEM_RES!$J$5:$J$229,0)-1,0),0)</f>
        <v>0</v>
      </c>
      <c r="X153" s="84" t="s">
        <v>535</v>
      </c>
      <c r="Y153" s="9">
        <f ca="1">IFERROR(OFFSET(ITEM_RES!$A$5,MATCH(BUILDING!X153,ITEM_RES!$J$5:$J$229,0)-1,0),0)</f>
        <v>211010501</v>
      </c>
      <c r="AA153" s="9" t="s">
        <v>506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82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1082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1121</v>
      </c>
      <c r="S154" s="9" t="s">
        <v>700</v>
      </c>
      <c r="V154" s="9">
        <f ca="1">IFERROR(OFFSET(ITEM_RES!$A$5,MATCH(BUILDING!U154,ITEM_RES!$J$5:$J$229,0)-1,0),0)</f>
        <v>0</v>
      </c>
      <c r="X154" s="84" t="s">
        <v>535</v>
      </c>
      <c r="Y154" s="9">
        <f ca="1">IFERROR(OFFSET(ITEM_RES!$A$5,MATCH(BUILDING!X154,ITEM_RES!$J$5:$J$229,0)-1,0),0)</f>
        <v>211010501</v>
      </c>
      <c r="AA154" s="9" t="s">
        <v>506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82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1082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1121</v>
      </c>
      <c r="S155" s="9" t="s">
        <v>700</v>
      </c>
      <c r="V155" s="9">
        <f ca="1">IFERROR(OFFSET(ITEM_RES!$A$5,MATCH(BUILDING!U155,ITEM_RES!$J$5:$J$229,0)-1,0),0)</f>
        <v>0</v>
      </c>
      <c r="X155" s="84" t="s">
        <v>535</v>
      </c>
      <c r="Y155" s="9">
        <f ca="1">IFERROR(OFFSET(ITEM_RES!$A$5,MATCH(BUILDING!X155,ITEM_RES!$J$5:$J$229,0)-1,0),0)</f>
        <v>211010501</v>
      </c>
      <c r="AA155" s="9" t="s">
        <v>506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82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1082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1121</v>
      </c>
      <c r="S156" s="9" t="s">
        <v>700</v>
      </c>
      <c r="V156" s="9">
        <f ca="1">IFERROR(OFFSET(ITEM_RES!$A$5,MATCH(BUILDING!U156,ITEM_RES!$J$5:$J$229,0)-1,0),0)</f>
        <v>0</v>
      </c>
      <c r="X156" s="84" t="s">
        <v>535</v>
      </c>
      <c r="Y156" s="9">
        <f ca="1">IFERROR(OFFSET(ITEM_RES!$A$5,MATCH(BUILDING!X156,ITEM_RES!$J$5:$J$229,0)-1,0),0)</f>
        <v>211010501</v>
      </c>
      <c r="AA156" s="9" t="s">
        <v>506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82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1082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1121</v>
      </c>
      <c r="S157" s="9" t="s">
        <v>700</v>
      </c>
      <c r="V157" s="9">
        <f ca="1">IFERROR(OFFSET(ITEM_RES!$A$5,MATCH(BUILDING!U157,ITEM_RES!$J$5:$J$229,0)-1,0),0)</f>
        <v>0</v>
      </c>
      <c r="X157" s="84" t="s">
        <v>535</v>
      </c>
      <c r="Y157" s="9">
        <f ca="1">IFERROR(OFFSET(ITEM_RES!$A$5,MATCH(BUILDING!X157,ITEM_RES!$J$5:$J$229,0)-1,0),0)</f>
        <v>211010501</v>
      </c>
      <c r="AA157" s="9" t="s">
        <v>506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82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1083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1121</v>
      </c>
      <c r="S158" s="9" t="s">
        <v>700</v>
      </c>
      <c r="V158" s="9">
        <f ca="1">IFERROR(OFFSET(ITEM_RES!$A$5,MATCH(BUILDING!U158,ITEM_RES!$J$5:$J$229,0)-1,0),0)</f>
        <v>0</v>
      </c>
      <c r="X158" s="84" t="s">
        <v>535</v>
      </c>
      <c r="Y158" s="9">
        <f ca="1">IFERROR(OFFSET(ITEM_RES!$A$5,MATCH(BUILDING!X158,ITEM_RES!$J$5:$J$229,0)-1,0),0)</f>
        <v>211010501</v>
      </c>
      <c r="AA158" s="9" t="s">
        <v>506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82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1083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1121</v>
      </c>
      <c r="S159" s="9" t="s">
        <v>700</v>
      </c>
      <c r="V159" s="9">
        <f ca="1">IFERROR(OFFSET(ITEM_RES!$A$5,MATCH(BUILDING!U159,ITEM_RES!$J$5:$J$229,0)-1,0),0)</f>
        <v>0</v>
      </c>
      <c r="X159" s="84" t="s">
        <v>535</v>
      </c>
      <c r="Y159" s="9">
        <f ca="1">IFERROR(OFFSET(ITEM_RES!$A$5,MATCH(BUILDING!X159,ITEM_RES!$J$5:$J$229,0)-1,0),0)</f>
        <v>211010501</v>
      </c>
      <c r="AA159" s="9" t="s">
        <v>506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82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1083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1121</v>
      </c>
      <c r="S160" s="9" t="s">
        <v>700</v>
      </c>
      <c r="V160" s="9">
        <f ca="1">IFERROR(OFFSET(ITEM_RES!$A$5,MATCH(BUILDING!U160,ITEM_RES!$J$5:$J$229,0)-1,0),0)</f>
        <v>0</v>
      </c>
      <c r="X160" s="84" t="s">
        <v>535</v>
      </c>
      <c r="Y160" s="9">
        <f ca="1">IFERROR(OFFSET(ITEM_RES!$A$5,MATCH(BUILDING!X160,ITEM_RES!$J$5:$J$229,0)-1,0),0)</f>
        <v>211010501</v>
      </c>
      <c r="AA160" s="9" t="s">
        <v>506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82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1083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1121</v>
      </c>
      <c r="S161" s="9" t="s">
        <v>700</v>
      </c>
      <c r="V161" s="9">
        <f ca="1">IFERROR(OFFSET(ITEM_RES!$A$5,MATCH(BUILDING!U161,ITEM_RES!$J$5:$J$229,0)-1,0),0)</f>
        <v>0</v>
      </c>
      <c r="X161" s="84" t="s">
        <v>535</v>
      </c>
      <c r="Y161" s="9">
        <f ca="1">IFERROR(OFFSET(ITEM_RES!$A$5,MATCH(BUILDING!X161,ITEM_RES!$J$5:$J$229,0)-1,0),0)</f>
        <v>211010501</v>
      </c>
      <c r="AA161" s="9" t="s">
        <v>506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82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1083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1121</v>
      </c>
      <c r="S162" s="9" t="s">
        <v>700</v>
      </c>
      <c r="V162" s="9">
        <f ca="1">IFERROR(OFFSET(ITEM_RES!$A$5,MATCH(BUILDING!U162,ITEM_RES!$J$5:$J$229,0)-1,0),0)</f>
        <v>0</v>
      </c>
      <c r="X162" s="84" t="s">
        <v>535</v>
      </c>
      <c r="Y162" s="9">
        <f ca="1">IFERROR(OFFSET(ITEM_RES!$A$5,MATCH(BUILDING!X162,ITEM_RES!$J$5:$J$229,0)-1,0),0)</f>
        <v>211010501</v>
      </c>
      <c r="AA162" s="9" t="s">
        <v>506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82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1083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1121</v>
      </c>
      <c r="S163" s="9" t="s">
        <v>700</v>
      </c>
      <c r="V163" s="9">
        <f ca="1">IFERROR(OFFSET(ITEM_RES!$A$5,MATCH(BUILDING!U163,ITEM_RES!$J$5:$J$229,0)-1,0),0)</f>
        <v>0</v>
      </c>
      <c r="X163" s="84" t="s">
        <v>535</v>
      </c>
      <c r="Y163" s="9">
        <f ca="1">IFERROR(OFFSET(ITEM_RES!$A$5,MATCH(BUILDING!X163,ITEM_RES!$J$5:$J$229,0)-1,0),0)</f>
        <v>211010501</v>
      </c>
      <c r="AA163" s="9" t="s">
        <v>506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82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1083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1121</v>
      </c>
      <c r="S164" s="9" t="s">
        <v>700</v>
      </c>
      <c r="V164" s="9">
        <f ca="1">IFERROR(OFFSET(ITEM_RES!$A$5,MATCH(BUILDING!U164,ITEM_RES!$J$5:$J$229,0)-1,0),0)</f>
        <v>0</v>
      </c>
      <c r="X164" s="84" t="s">
        <v>535</v>
      </c>
      <c r="Y164" s="9">
        <f ca="1">IFERROR(OFFSET(ITEM_RES!$A$5,MATCH(BUILDING!X164,ITEM_RES!$J$5:$J$229,0)-1,0),0)</f>
        <v>211010501</v>
      </c>
      <c r="AA164" s="9" t="s">
        <v>506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82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1083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752</v>
      </c>
      <c r="P165" s="17"/>
      <c r="Q165" s="17"/>
      <c r="R165" s="18"/>
      <c r="S165" s="16" t="s">
        <v>681</v>
      </c>
      <c r="T165" s="78"/>
      <c r="U165" s="86" t="s">
        <v>535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536</v>
      </c>
      <c r="Y165" s="16">
        <f ca="1">IFERROR(OFFSET(ITEM_RES!$A$5,MATCH(BUILDING!X165,ITEM_RES!$J$5:$J$229,0)-1,0),0)</f>
        <v>211010601</v>
      </c>
      <c r="Z165" s="78"/>
      <c r="AA165" s="16" t="s">
        <v>507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4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1080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1082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445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752</v>
      </c>
      <c r="S166" s="9" t="s">
        <v>681</v>
      </c>
      <c r="U166" s="84" t="s">
        <v>535</v>
      </c>
      <c r="V166" s="9">
        <f ca="1">IFERROR(OFFSET(ITEM_RES!$A$5,MATCH(BUILDING!U166,ITEM_RES!$J$5:$J$229,0)-1,0),0)</f>
        <v>211010501</v>
      </c>
      <c r="W166" s="11">
        <v>1</v>
      </c>
      <c r="X166" s="84" t="s">
        <v>536</v>
      </c>
      <c r="Y166" s="9">
        <f ca="1">IFERROR(OFFSET(ITEM_RES!$A$5,MATCH(BUILDING!X166,ITEM_RES!$J$5:$J$229,0)-1,0),0)</f>
        <v>211010601</v>
      </c>
      <c r="AA166" s="9" t="s">
        <v>507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82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1080</v>
      </c>
      <c r="AU166" s="11">
        <v>100</v>
      </c>
      <c r="AX166" s="11">
        <f ca="1">IFERROR(OFFSET(ITEM_RES!$A$1,MATCH(AY166,ITEM_RES!$J:$J,0)-1,0),0)</f>
        <v>211020801</v>
      </c>
      <c r="AY166" s="10" t="s">
        <v>1082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752</v>
      </c>
      <c r="S167" s="9" t="s">
        <v>681</v>
      </c>
      <c r="U167" s="84" t="s">
        <v>535</v>
      </c>
      <c r="V167" s="9">
        <f ca="1">IFERROR(OFFSET(ITEM_RES!$A$5,MATCH(BUILDING!U167,ITEM_RES!$J$5:$J$229,0)-1,0),0)</f>
        <v>211010501</v>
      </c>
      <c r="W167" s="11">
        <v>1</v>
      </c>
      <c r="X167" s="84" t="s">
        <v>536</v>
      </c>
      <c r="Y167" s="9">
        <f ca="1">IFERROR(OFFSET(ITEM_RES!$A$5,MATCH(BUILDING!X167,ITEM_RES!$J$5:$J$229,0)-1,0),0)</f>
        <v>211010601</v>
      </c>
      <c r="AA167" s="9" t="s">
        <v>507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82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1080</v>
      </c>
      <c r="AU167" s="11">
        <v>150</v>
      </c>
      <c r="AX167" s="11">
        <f ca="1">IFERROR(OFFSET(ITEM_RES!$A$1,MATCH(AY167,ITEM_RES!$J:$J,0)-1,0),0)</f>
        <v>211020801</v>
      </c>
      <c r="AY167" s="10" t="s">
        <v>1082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752</v>
      </c>
      <c r="S168" s="9" t="s">
        <v>681</v>
      </c>
      <c r="U168" s="84" t="s">
        <v>535</v>
      </c>
      <c r="V168" s="9">
        <f ca="1">IFERROR(OFFSET(ITEM_RES!$A$5,MATCH(BUILDING!U168,ITEM_RES!$J$5:$J$229,0)-1,0),0)</f>
        <v>211010501</v>
      </c>
      <c r="W168" s="11">
        <v>1</v>
      </c>
      <c r="X168" s="84" t="s">
        <v>536</v>
      </c>
      <c r="Y168" s="9">
        <f ca="1">IFERROR(OFFSET(ITEM_RES!$A$5,MATCH(BUILDING!X168,ITEM_RES!$J$5:$J$229,0)-1,0),0)</f>
        <v>211010601</v>
      </c>
      <c r="AA168" s="9" t="s">
        <v>507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82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1080</v>
      </c>
      <c r="AU168" s="11">
        <v>600</v>
      </c>
      <c r="AX168" s="11">
        <f ca="1">IFERROR(OFFSET(ITEM_RES!$A$1,MATCH(AY168,ITEM_RES!$J:$J,0)-1,0),0)</f>
        <v>211020801</v>
      </c>
      <c r="AY168" s="10" t="s">
        <v>1082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752</v>
      </c>
      <c r="S169" s="9" t="s">
        <v>681</v>
      </c>
      <c r="U169" s="84" t="s">
        <v>535</v>
      </c>
      <c r="V169" s="9">
        <f ca="1">IFERROR(OFFSET(ITEM_RES!$A$5,MATCH(BUILDING!U169,ITEM_RES!$J$5:$J$229,0)-1,0),0)</f>
        <v>211010501</v>
      </c>
      <c r="W169" s="11">
        <v>1</v>
      </c>
      <c r="X169" s="84" t="s">
        <v>536</v>
      </c>
      <c r="Y169" s="9">
        <f ca="1">IFERROR(OFFSET(ITEM_RES!$A$5,MATCH(BUILDING!X169,ITEM_RES!$J$5:$J$229,0)-1,0),0)</f>
        <v>211010601</v>
      </c>
      <c r="AA169" s="9" t="s">
        <v>507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82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1080</v>
      </c>
      <c r="AU169" s="11">
        <v>2700</v>
      </c>
      <c r="AX169" s="11">
        <f ca="1">IFERROR(OFFSET(ITEM_RES!$A$1,MATCH(AY169,ITEM_RES!$J:$J,0)-1,0),0)</f>
        <v>211020801</v>
      </c>
      <c r="AY169" s="10" t="s">
        <v>1082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752</v>
      </c>
      <c r="S170" s="9" t="s">
        <v>681</v>
      </c>
      <c r="U170" s="84" t="s">
        <v>535</v>
      </c>
      <c r="V170" s="9">
        <f ca="1">IFERROR(OFFSET(ITEM_RES!$A$5,MATCH(BUILDING!U170,ITEM_RES!$J$5:$J$229,0)-1,0),0)</f>
        <v>211010501</v>
      </c>
      <c r="W170" s="11">
        <v>1</v>
      </c>
      <c r="X170" s="84" t="s">
        <v>536</v>
      </c>
      <c r="Y170" s="9">
        <f ca="1">IFERROR(OFFSET(ITEM_RES!$A$5,MATCH(BUILDING!X170,ITEM_RES!$J$5:$J$229,0)-1,0),0)</f>
        <v>211010601</v>
      </c>
      <c r="AA170" s="9" t="s">
        <v>507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82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1080</v>
      </c>
      <c r="AU170" s="11">
        <v>9000</v>
      </c>
      <c r="AX170" s="11">
        <f ca="1">IFERROR(OFFSET(ITEM_RES!$A$1,MATCH(AY170,ITEM_RES!$J:$J,0)-1,0),0)</f>
        <v>211020801</v>
      </c>
      <c r="AY170" s="10" t="s">
        <v>1082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752</v>
      </c>
      <c r="S171" s="9" t="s">
        <v>681</v>
      </c>
      <c r="U171" s="84" t="s">
        <v>535</v>
      </c>
      <c r="V171" s="9">
        <f ca="1">IFERROR(OFFSET(ITEM_RES!$A$5,MATCH(BUILDING!U171,ITEM_RES!$J$5:$J$229,0)-1,0),0)</f>
        <v>211010501</v>
      </c>
      <c r="W171" s="11">
        <v>1</v>
      </c>
      <c r="X171" s="84" t="s">
        <v>536</v>
      </c>
      <c r="Y171" s="9">
        <f ca="1">IFERROR(OFFSET(ITEM_RES!$A$5,MATCH(BUILDING!X171,ITEM_RES!$J$5:$J$229,0)-1,0),0)</f>
        <v>211010601</v>
      </c>
      <c r="AA171" s="9" t="s">
        <v>507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82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1080</v>
      </c>
      <c r="AU171" s="11">
        <v>20000</v>
      </c>
      <c r="AX171" s="11">
        <f ca="1">IFERROR(OFFSET(ITEM_RES!$A$1,MATCH(AY171,ITEM_RES!$J:$J,0)-1,0),0)</f>
        <v>211020801</v>
      </c>
      <c r="AY171" s="10" t="s">
        <v>1082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752</v>
      </c>
      <c r="S172" s="9" t="s">
        <v>681</v>
      </c>
      <c r="U172" s="84" t="s">
        <v>535</v>
      </c>
      <c r="V172" s="9">
        <f ca="1">IFERROR(OFFSET(ITEM_RES!$A$5,MATCH(BUILDING!U172,ITEM_RES!$J$5:$J$229,0)-1,0),0)</f>
        <v>211010501</v>
      </c>
      <c r="W172" s="11">
        <v>1</v>
      </c>
      <c r="X172" s="84" t="s">
        <v>536</v>
      </c>
      <c r="Y172" s="9">
        <f ca="1">IFERROR(OFFSET(ITEM_RES!$A$5,MATCH(BUILDING!X172,ITEM_RES!$J$5:$J$229,0)-1,0),0)</f>
        <v>211010601</v>
      </c>
      <c r="AA172" s="9" t="s">
        <v>507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82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1080</v>
      </c>
      <c r="AU172" s="11">
        <v>42000</v>
      </c>
      <c r="AX172" s="11">
        <f ca="1">IFERROR(OFFSET(ITEM_RES!$A$1,MATCH(AY172,ITEM_RES!$J:$J,0)-1,0),0)</f>
        <v>211020801</v>
      </c>
      <c r="AY172" s="10" t="s">
        <v>1082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752</v>
      </c>
      <c r="S173" s="9" t="s">
        <v>681</v>
      </c>
      <c r="U173" s="84" t="s">
        <v>535</v>
      </c>
      <c r="V173" s="9">
        <f ca="1">IFERROR(OFFSET(ITEM_RES!$A$5,MATCH(BUILDING!U173,ITEM_RES!$J$5:$J$229,0)-1,0),0)</f>
        <v>211010501</v>
      </c>
      <c r="W173" s="11">
        <v>1</v>
      </c>
      <c r="X173" s="84" t="s">
        <v>536</v>
      </c>
      <c r="Y173" s="9">
        <f ca="1">IFERROR(OFFSET(ITEM_RES!$A$5,MATCH(BUILDING!X173,ITEM_RES!$J$5:$J$229,0)-1,0),0)</f>
        <v>211010601</v>
      </c>
      <c r="AA173" s="9" t="s">
        <v>507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82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1080</v>
      </c>
      <c r="AU173" s="11">
        <v>78000</v>
      </c>
      <c r="AX173" s="11">
        <f ca="1">IFERROR(OFFSET(ITEM_RES!$A$1,MATCH(AY173,ITEM_RES!$J:$J,0)-1,0),0)</f>
        <v>211020801</v>
      </c>
      <c r="AY173" s="10" t="s">
        <v>1082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752</v>
      </c>
      <c r="S174" s="9" t="s">
        <v>681</v>
      </c>
      <c r="U174" s="84" t="s">
        <v>535</v>
      </c>
      <c r="V174" s="9">
        <f ca="1">IFERROR(OFFSET(ITEM_RES!$A$5,MATCH(BUILDING!U174,ITEM_RES!$J$5:$J$229,0)-1,0),0)</f>
        <v>211010501</v>
      </c>
      <c r="W174" s="11">
        <v>1</v>
      </c>
      <c r="X174" s="84" t="s">
        <v>536</v>
      </c>
      <c r="Y174" s="9">
        <f ca="1">IFERROR(OFFSET(ITEM_RES!$A$5,MATCH(BUILDING!X174,ITEM_RES!$J$5:$J$229,0)-1,0),0)</f>
        <v>211010601</v>
      </c>
      <c r="AA174" s="9" t="s">
        <v>507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82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1080</v>
      </c>
      <c r="AU174" s="11">
        <v>130000</v>
      </c>
      <c r="AX174" s="11">
        <f ca="1">IFERROR(OFFSET(ITEM_RES!$A$1,MATCH(AY174,ITEM_RES!$J:$J,0)-1,0),0)</f>
        <v>211020801</v>
      </c>
      <c r="AY174" s="10" t="s">
        <v>1082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752</v>
      </c>
      <c r="S175" s="9" t="s">
        <v>681</v>
      </c>
      <c r="U175" s="84" t="s">
        <v>535</v>
      </c>
      <c r="V175" s="9">
        <f ca="1">IFERROR(OFFSET(ITEM_RES!$A$5,MATCH(BUILDING!U175,ITEM_RES!$J$5:$J$229,0)-1,0),0)</f>
        <v>211010501</v>
      </c>
      <c r="W175" s="11">
        <v>1</v>
      </c>
      <c r="X175" s="84" t="s">
        <v>536</v>
      </c>
      <c r="Y175" s="9">
        <f ca="1">IFERROR(OFFSET(ITEM_RES!$A$5,MATCH(BUILDING!X175,ITEM_RES!$J$5:$J$229,0)-1,0),0)</f>
        <v>211010601</v>
      </c>
      <c r="AA175" s="9" t="s">
        <v>507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82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1078</v>
      </c>
      <c r="AU175" s="11">
        <v>220000</v>
      </c>
      <c r="AX175" s="11">
        <f ca="1">IFERROR(OFFSET(ITEM_RES!$A$1,MATCH(AY175,ITEM_RES!$J:$J,0)-1,0),0)</f>
        <v>211020801</v>
      </c>
      <c r="AY175" s="10" t="s">
        <v>1082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752</v>
      </c>
      <c r="S176" s="9" t="s">
        <v>681</v>
      </c>
      <c r="U176" s="84" t="s">
        <v>535</v>
      </c>
      <c r="V176" s="9">
        <f ca="1">IFERROR(OFFSET(ITEM_RES!$A$5,MATCH(BUILDING!U176,ITEM_RES!$J$5:$J$229,0)-1,0),0)</f>
        <v>211010501</v>
      </c>
      <c r="W176" s="11">
        <v>1</v>
      </c>
      <c r="X176" s="84" t="s">
        <v>536</v>
      </c>
      <c r="Y176" s="9">
        <f ca="1">IFERROR(OFFSET(ITEM_RES!$A$5,MATCH(BUILDING!X176,ITEM_RES!$J$5:$J$229,0)-1,0),0)</f>
        <v>211010601</v>
      </c>
      <c r="AA176" s="9" t="s">
        <v>507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82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1078</v>
      </c>
      <c r="AU176" s="11">
        <v>370000</v>
      </c>
      <c r="AX176" s="11">
        <f ca="1">IFERROR(OFFSET(ITEM_RES!$A$1,MATCH(AY176,ITEM_RES!$J:$J,0)-1,0),0)</f>
        <v>211020801</v>
      </c>
      <c r="AY176" s="10" t="s">
        <v>1082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752</v>
      </c>
      <c r="S177" s="9" t="s">
        <v>681</v>
      </c>
      <c r="U177" s="84" t="s">
        <v>535</v>
      </c>
      <c r="V177" s="9">
        <f ca="1">IFERROR(OFFSET(ITEM_RES!$A$5,MATCH(BUILDING!U177,ITEM_RES!$J$5:$J$229,0)-1,0),0)</f>
        <v>211010501</v>
      </c>
      <c r="W177" s="11">
        <v>1</v>
      </c>
      <c r="X177" s="84" t="s">
        <v>536</v>
      </c>
      <c r="Y177" s="9">
        <f ca="1">IFERROR(OFFSET(ITEM_RES!$A$5,MATCH(BUILDING!X177,ITEM_RES!$J$5:$J$229,0)-1,0),0)</f>
        <v>211010601</v>
      </c>
      <c r="AA177" s="9" t="s">
        <v>507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82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1078</v>
      </c>
      <c r="AU177" s="11">
        <v>620000</v>
      </c>
      <c r="AX177" s="11">
        <f ca="1">IFERROR(OFFSET(ITEM_RES!$A$1,MATCH(AY177,ITEM_RES!$J:$J,0)-1,0),0)</f>
        <v>211020801</v>
      </c>
      <c r="AY177" s="10" t="s">
        <v>1082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752</v>
      </c>
      <c r="S178" s="9" t="s">
        <v>681</v>
      </c>
      <c r="U178" s="84" t="s">
        <v>535</v>
      </c>
      <c r="V178" s="9">
        <f ca="1">IFERROR(OFFSET(ITEM_RES!$A$5,MATCH(BUILDING!U178,ITEM_RES!$J$5:$J$229,0)-1,0),0)</f>
        <v>211010501</v>
      </c>
      <c r="W178" s="11">
        <v>1</v>
      </c>
      <c r="X178" s="84" t="s">
        <v>536</v>
      </c>
      <c r="Y178" s="9">
        <f ca="1">IFERROR(OFFSET(ITEM_RES!$A$5,MATCH(BUILDING!X178,ITEM_RES!$J$5:$J$229,0)-1,0),0)</f>
        <v>211010601</v>
      </c>
      <c r="AA178" s="9" t="s">
        <v>507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82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1078</v>
      </c>
      <c r="AU178" s="11">
        <v>970000</v>
      </c>
      <c r="AX178" s="11">
        <f ca="1">IFERROR(OFFSET(ITEM_RES!$A$1,MATCH(AY178,ITEM_RES!$J:$J,0)-1,0),0)</f>
        <v>211020801</v>
      </c>
      <c r="AY178" s="10" t="s">
        <v>1082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752</v>
      </c>
      <c r="S179" s="9" t="s">
        <v>681</v>
      </c>
      <c r="U179" s="84" t="s">
        <v>535</v>
      </c>
      <c r="V179" s="9">
        <f ca="1">IFERROR(OFFSET(ITEM_RES!$A$5,MATCH(BUILDING!U179,ITEM_RES!$J$5:$J$229,0)-1,0),0)</f>
        <v>211010501</v>
      </c>
      <c r="W179" s="11">
        <v>1</v>
      </c>
      <c r="X179" s="84" t="s">
        <v>536</v>
      </c>
      <c r="Y179" s="9">
        <f ca="1">IFERROR(OFFSET(ITEM_RES!$A$5,MATCH(BUILDING!X179,ITEM_RES!$J$5:$J$229,0)-1,0),0)</f>
        <v>211010601</v>
      </c>
      <c r="AA179" s="9" t="s">
        <v>507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82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1078</v>
      </c>
      <c r="AU179" s="11">
        <v>2100000</v>
      </c>
      <c r="AX179" s="11">
        <f ca="1">IFERROR(OFFSET(ITEM_RES!$A$1,MATCH(AY179,ITEM_RES!$J:$J,0)-1,0),0)</f>
        <v>211020801</v>
      </c>
      <c r="AY179" s="10" t="s">
        <v>1082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752</v>
      </c>
      <c r="S180" s="9" t="s">
        <v>681</v>
      </c>
      <c r="U180" s="84" t="s">
        <v>535</v>
      </c>
      <c r="V180" s="9">
        <f ca="1">IFERROR(OFFSET(ITEM_RES!$A$5,MATCH(BUILDING!U180,ITEM_RES!$J$5:$J$229,0)-1,0),0)</f>
        <v>211010501</v>
      </c>
      <c r="W180" s="11">
        <v>1</v>
      </c>
      <c r="X180" s="84" t="s">
        <v>536</v>
      </c>
      <c r="Y180" s="9">
        <f ca="1">IFERROR(OFFSET(ITEM_RES!$A$5,MATCH(BUILDING!X180,ITEM_RES!$J$5:$J$229,0)-1,0),0)</f>
        <v>211010601</v>
      </c>
      <c r="AA180" s="9" t="s">
        <v>507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82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1078</v>
      </c>
      <c r="AU180" s="11">
        <v>4300000</v>
      </c>
      <c r="AX180" s="11">
        <f ca="1">IFERROR(OFFSET(ITEM_RES!$A$1,MATCH(AY180,ITEM_RES!$J:$J,0)-1,0),0)</f>
        <v>211020801</v>
      </c>
      <c r="AY180" s="10" t="s">
        <v>1082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752</v>
      </c>
      <c r="S181" s="9" t="s">
        <v>681</v>
      </c>
      <c r="U181" s="84" t="s">
        <v>535</v>
      </c>
      <c r="V181" s="9">
        <f ca="1">IFERROR(OFFSET(ITEM_RES!$A$5,MATCH(BUILDING!U181,ITEM_RES!$J$5:$J$229,0)-1,0),0)</f>
        <v>211010501</v>
      </c>
      <c r="W181" s="11">
        <v>1</v>
      </c>
      <c r="X181" s="84" t="s">
        <v>536</v>
      </c>
      <c r="Y181" s="9">
        <f ca="1">IFERROR(OFFSET(ITEM_RES!$A$5,MATCH(BUILDING!X181,ITEM_RES!$J$5:$J$229,0)-1,0),0)</f>
        <v>211010601</v>
      </c>
      <c r="AA181" s="9" t="s">
        <v>507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82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1078</v>
      </c>
      <c r="AU181" s="11">
        <v>8000000</v>
      </c>
      <c r="AX181" s="11">
        <f ca="1">IFERROR(OFFSET(ITEM_RES!$A$1,MATCH(AY181,ITEM_RES!$J:$J,0)-1,0),0)</f>
        <v>211020901</v>
      </c>
      <c r="AY181" s="10" t="s">
        <v>1083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752</v>
      </c>
      <c r="S182" s="9" t="s">
        <v>681</v>
      </c>
      <c r="U182" s="84" t="s">
        <v>535</v>
      </c>
      <c r="V182" s="9">
        <f ca="1">IFERROR(OFFSET(ITEM_RES!$A$5,MATCH(BUILDING!U182,ITEM_RES!$J$5:$J$229,0)-1,0),0)</f>
        <v>211010501</v>
      </c>
      <c r="W182" s="11">
        <v>1</v>
      </c>
      <c r="X182" s="84" t="s">
        <v>536</v>
      </c>
      <c r="Y182" s="9">
        <f ca="1">IFERROR(OFFSET(ITEM_RES!$A$5,MATCH(BUILDING!X182,ITEM_RES!$J$5:$J$229,0)-1,0),0)</f>
        <v>211010601</v>
      </c>
      <c r="AA182" s="9" t="s">
        <v>507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82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1078</v>
      </c>
      <c r="AU182" s="11">
        <v>13000000</v>
      </c>
      <c r="AX182" s="11">
        <f ca="1">IFERROR(OFFSET(ITEM_RES!$A$1,MATCH(AY182,ITEM_RES!$J:$J,0)-1,0),0)</f>
        <v>211020901</v>
      </c>
      <c r="AY182" s="10" t="s">
        <v>1083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752</v>
      </c>
      <c r="S183" s="9" t="s">
        <v>681</v>
      </c>
      <c r="U183" s="84" t="s">
        <v>535</v>
      </c>
      <c r="V183" s="9">
        <f ca="1">IFERROR(OFFSET(ITEM_RES!$A$5,MATCH(BUILDING!U183,ITEM_RES!$J$5:$J$229,0)-1,0),0)</f>
        <v>211010501</v>
      </c>
      <c r="W183" s="11">
        <v>1</v>
      </c>
      <c r="X183" s="84" t="s">
        <v>536</v>
      </c>
      <c r="Y183" s="9">
        <f ca="1">IFERROR(OFFSET(ITEM_RES!$A$5,MATCH(BUILDING!X183,ITEM_RES!$J$5:$J$229,0)-1,0),0)</f>
        <v>211010601</v>
      </c>
      <c r="AA183" s="9" t="s">
        <v>507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82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1078</v>
      </c>
      <c r="AU183" s="11">
        <v>20000000</v>
      </c>
      <c r="AX183" s="11">
        <f ca="1">IFERROR(OFFSET(ITEM_RES!$A$1,MATCH(AY183,ITEM_RES!$J:$J,0)-1,0),0)</f>
        <v>211020901</v>
      </c>
      <c r="AY183" s="10" t="s">
        <v>1083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752</v>
      </c>
      <c r="S184" s="9" t="s">
        <v>681</v>
      </c>
      <c r="U184" s="84" t="s">
        <v>535</v>
      </c>
      <c r="V184" s="9">
        <f ca="1">IFERROR(OFFSET(ITEM_RES!$A$5,MATCH(BUILDING!U184,ITEM_RES!$J$5:$J$229,0)-1,0),0)</f>
        <v>211010501</v>
      </c>
      <c r="W184" s="11">
        <v>1</v>
      </c>
      <c r="X184" s="84" t="s">
        <v>536</v>
      </c>
      <c r="Y184" s="9">
        <f ca="1">IFERROR(OFFSET(ITEM_RES!$A$5,MATCH(BUILDING!X184,ITEM_RES!$J$5:$J$229,0)-1,0),0)</f>
        <v>211010601</v>
      </c>
      <c r="AA184" s="9" t="s">
        <v>507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82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1078</v>
      </c>
      <c r="AU184" s="11">
        <v>32000000</v>
      </c>
      <c r="AX184" s="11">
        <f ca="1">IFERROR(OFFSET(ITEM_RES!$A$1,MATCH(AY184,ITEM_RES!$J:$J,0)-1,0),0)</f>
        <v>211020901</v>
      </c>
      <c r="AY184" s="10" t="s">
        <v>1083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494</v>
      </c>
      <c r="L185" s="63">
        <v>6</v>
      </c>
      <c r="M185" s="16">
        <v>1</v>
      </c>
      <c r="N185" s="16">
        <v>15</v>
      </c>
      <c r="O185" s="16" t="s">
        <v>1123</v>
      </c>
      <c r="P185" s="17"/>
      <c r="Q185" s="17"/>
      <c r="R185" s="18"/>
      <c r="S185" s="16" t="s">
        <v>699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508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4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494</v>
      </c>
      <c r="L186" s="56"/>
      <c r="M186" s="9">
        <v>1</v>
      </c>
      <c r="N186" s="9">
        <v>15</v>
      </c>
      <c r="O186" s="83" t="s">
        <v>1122</v>
      </c>
      <c r="S186" s="9" t="s">
        <v>682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508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82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494</v>
      </c>
      <c r="L187" s="56"/>
      <c r="M187" s="9">
        <v>1</v>
      </c>
      <c r="N187" s="9">
        <v>15</v>
      </c>
      <c r="O187" s="9" t="s">
        <v>1034</v>
      </c>
      <c r="S187" s="9" t="s">
        <v>682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508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82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494</v>
      </c>
      <c r="L188" s="56"/>
      <c r="M188" s="9">
        <v>1</v>
      </c>
      <c r="N188" s="9">
        <v>15</v>
      </c>
      <c r="O188" s="9" t="s">
        <v>1034</v>
      </c>
      <c r="S188" s="9" t="s">
        <v>682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508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82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494</v>
      </c>
      <c r="L189" s="56"/>
      <c r="M189" s="9">
        <v>1</v>
      </c>
      <c r="N189" s="9">
        <v>15</v>
      </c>
      <c r="O189" s="9" t="s">
        <v>1034</v>
      </c>
      <c r="S189" s="9" t="s">
        <v>682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508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82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494</v>
      </c>
      <c r="L190" s="56"/>
      <c r="M190" s="9">
        <v>1</v>
      </c>
      <c r="N190" s="9">
        <v>15</v>
      </c>
      <c r="O190" s="9" t="s">
        <v>1034</v>
      </c>
      <c r="S190" s="9" t="s">
        <v>682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508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82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494</v>
      </c>
      <c r="L191" s="56"/>
      <c r="M191" s="9">
        <v>1</v>
      </c>
      <c r="N191" s="9">
        <v>15</v>
      </c>
      <c r="O191" s="9" t="s">
        <v>1034</v>
      </c>
      <c r="S191" s="9" t="s">
        <v>682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508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82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494</v>
      </c>
      <c r="L192" s="56"/>
      <c r="M192" s="9">
        <v>1</v>
      </c>
      <c r="N192" s="9">
        <v>15</v>
      </c>
      <c r="O192" s="9" t="s">
        <v>1034</v>
      </c>
      <c r="S192" s="9" t="s">
        <v>682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508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82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494</v>
      </c>
      <c r="L193" s="56"/>
      <c r="M193" s="9">
        <v>1</v>
      </c>
      <c r="N193" s="9">
        <v>15</v>
      </c>
      <c r="O193" s="9" t="s">
        <v>1034</v>
      </c>
      <c r="S193" s="9" t="s">
        <v>682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508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82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494</v>
      </c>
      <c r="L194" s="56"/>
      <c r="M194" s="9">
        <v>1</v>
      </c>
      <c r="N194" s="9">
        <v>15</v>
      </c>
      <c r="O194" s="9" t="s">
        <v>1034</v>
      </c>
      <c r="S194" s="9" t="s">
        <v>682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508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82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456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494</v>
      </c>
      <c r="L195" s="56"/>
      <c r="M195" s="9">
        <v>1</v>
      </c>
      <c r="N195" s="9">
        <v>15</v>
      </c>
      <c r="O195" s="9" t="s">
        <v>1034</v>
      </c>
      <c r="S195" s="9" t="s">
        <v>682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508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82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494</v>
      </c>
      <c r="L196" s="56"/>
      <c r="M196" s="9">
        <v>1</v>
      </c>
      <c r="N196" s="9">
        <v>15</v>
      </c>
      <c r="O196" s="9" t="s">
        <v>1034</v>
      </c>
      <c r="S196" s="9" t="s">
        <v>682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508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82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494</v>
      </c>
      <c r="L197" s="56"/>
      <c r="M197" s="9">
        <v>1</v>
      </c>
      <c r="N197" s="9">
        <v>15</v>
      </c>
      <c r="O197" s="9" t="s">
        <v>1034</v>
      </c>
      <c r="S197" s="9" t="s">
        <v>682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508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82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494</v>
      </c>
      <c r="L198" s="56"/>
      <c r="M198" s="9">
        <v>1</v>
      </c>
      <c r="N198" s="9">
        <v>15</v>
      </c>
      <c r="O198" s="9" t="s">
        <v>1034</v>
      </c>
      <c r="S198" s="9" t="s">
        <v>682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508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82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494</v>
      </c>
      <c r="L199" s="56"/>
      <c r="M199" s="9">
        <v>1</v>
      </c>
      <c r="N199" s="9">
        <v>15</v>
      </c>
      <c r="O199" s="9" t="s">
        <v>1034</v>
      </c>
      <c r="S199" s="9" t="s">
        <v>682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508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82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494</v>
      </c>
      <c r="L200" s="56"/>
      <c r="M200" s="9">
        <v>0</v>
      </c>
      <c r="N200" s="9">
        <v>15</v>
      </c>
      <c r="O200" s="9" t="s">
        <v>1034</v>
      </c>
      <c r="S200" s="9" t="s">
        <v>682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508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82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494</v>
      </c>
      <c r="L201" s="56"/>
      <c r="M201" s="9">
        <v>0</v>
      </c>
      <c r="N201" s="9">
        <v>15</v>
      </c>
      <c r="O201" s="9" t="s">
        <v>1034</v>
      </c>
      <c r="S201" s="9" t="s">
        <v>682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508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82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494</v>
      </c>
      <c r="L202" s="56"/>
      <c r="M202" s="9">
        <v>0</v>
      </c>
      <c r="N202" s="9">
        <v>15</v>
      </c>
      <c r="O202" s="9" t="s">
        <v>1034</v>
      </c>
      <c r="S202" s="9" t="s">
        <v>682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508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82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494</v>
      </c>
      <c r="L203" s="56"/>
      <c r="M203" s="9">
        <v>0</v>
      </c>
      <c r="N203" s="9">
        <v>15</v>
      </c>
      <c r="O203" s="9" t="s">
        <v>1034</v>
      </c>
      <c r="S203" s="9" t="s">
        <v>682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508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82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494</v>
      </c>
      <c r="L204" s="56"/>
      <c r="M204" s="9">
        <v>0</v>
      </c>
      <c r="N204" s="9">
        <v>15</v>
      </c>
      <c r="O204" s="9" t="s">
        <v>1034</v>
      </c>
      <c r="S204" s="9" t="s">
        <v>682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508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82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495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560</v>
      </c>
      <c r="L205" s="63">
        <v>6</v>
      </c>
      <c r="M205" s="16">
        <v>1</v>
      </c>
      <c r="N205" s="16">
        <v>15</v>
      </c>
      <c r="O205" s="16" t="s">
        <v>1124</v>
      </c>
      <c r="P205" s="17"/>
      <c r="Q205" s="17"/>
      <c r="R205" s="18"/>
      <c r="S205" s="16" t="s">
        <v>683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561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4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5"/>
      <c r="H206" s="9">
        <v>3</v>
      </c>
      <c r="I206" s="9">
        <v>2</v>
      </c>
      <c r="J206" s="185"/>
      <c r="K206" s="56" t="s">
        <v>560</v>
      </c>
      <c r="L206" s="56"/>
      <c r="M206" s="9">
        <v>1</v>
      </c>
      <c r="N206" s="9">
        <v>15</v>
      </c>
      <c r="O206" s="9" t="s">
        <v>1124</v>
      </c>
      <c r="P206" s="10"/>
      <c r="Q206" s="10"/>
      <c r="R206" s="11"/>
      <c r="S206" s="9" t="s">
        <v>683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561</v>
      </c>
      <c r="AB206" s="9">
        <v>2</v>
      </c>
      <c r="AC206" s="185"/>
      <c r="AD206" s="11">
        <f ca="1">IFERROR(OFFSET(MANOR_LEVEL!$B$1,MATCH(AE206-1,MANOR_LEVEL!$A:$A,0)-1,0),0)</f>
        <v>5475</v>
      </c>
      <c r="AE206" s="56">
        <v>5</v>
      </c>
      <c r="AF206" s="185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82">
        <f ca="1">AG205+AG206</f>
        <v>2590</v>
      </c>
      <c r="AJ206" s="185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560</v>
      </c>
      <c r="L207" s="56"/>
      <c r="M207" s="9">
        <v>1</v>
      </c>
      <c r="N207" s="9">
        <v>15</v>
      </c>
      <c r="O207" s="9" t="s">
        <v>1124</v>
      </c>
      <c r="S207" s="9" t="s">
        <v>683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561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82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560</v>
      </c>
      <c r="L208" s="56"/>
      <c r="M208" s="9">
        <v>1</v>
      </c>
      <c r="N208" s="9">
        <v>15</v>
      </c>
      <c r="O208" s="9" t="s">
        <v>1124</v>
      </c>
      <c r="S208" s="9" t="s">
        <v>683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561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82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560</v>
      </c>
      <c r="L209" s="56"/>
      <c r="M209" s="9">
        <v>1</v>
      </c>
      <c r="N209" s="9">
        <v>15</v>
      </c>
      <c r="O209" s="9" t="s">
        <v>1124</v>
      </c>
      <c r="S209" s="9" t="s">
        <v>683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561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82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560</v>
      </c>
      <c r="L210" s="56"/>
      <c r="M210" s="9">
        <v>1</v>
      </c>
      <c r="N210" s="9">
        <v>15</v>
      </c>
      <c r="O210" s="9" t="s">
        <v>1124</v>
      </c>
      <c r="S210" s="9" t="s">
        <v>683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561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82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560</v>
      </c>
      <c r="L211" s="56"/>
      <c r="M211" s="9">
        <v>1</v>
      </c>
      <c r="N211" s="9">
        <v>15</v>
      </c>
      <c r="O211" s="9" t="s">
        <v>1124</v>
      </c>
      <c r="S211" s="9" t="s">
        <v>683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561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82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560</v>
      </c>
      <c r="L212" s="56"/>
      <c r="M212" s="9">
        <v>1</v>
      </c>
      <c r="N212" s="9">
        <v>15</v>
      </c>
      <c r="O212" s="9" t="s">
        <v>1125</v>
      </c>
      <c r="S212" s="9" t="s">
        <v>683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561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82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560</v>
      </c>
      <c r="L213" s="56"/>
      <c r="M213" s="9">
        <v>1</v>
      </c>
      <c r="N213" s="9">
        <v>15</v>
      </c>
      <c r="O213" s="9" t="s">
        <v>1125</v>
      </c>
      <c r="S213" s="9" t="s">
        <v>683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561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82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560</v>
      </c>
      <c r="L214" s="56"/>
      <c r="M214" s="9">
        <v>1</v>
      </c>
      <c r="N214" s="9">
        <v>15</v>
      </c>
      <c r="O214" s="9" t="s">
        <v>1126</v>
      </c>
      <c r="S214" s="9" t="s">
        <v>683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561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82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455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560</v>
      </c>
      <c r="L215" s="56"/>
      <c r="M215" s="9">
        <v>1</v>
      </c>
      <c r="N215" s="9">
        <v>15</v>
      </c>
      <c r="O215" s="9" t="s">
        <v>1126</v>
      </c>
      <c r="S215" s="9" t="s">
        <v>683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561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82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560</v>
      </c>
      <c r="L216" s="56"/>
      <c r="M216" s="9">
        <v>1</v>
      </c>
      <c r="N216" s="9">
        <v>15</v>
      </c>
      <c r="O216" s="9" t="s">
        <v>1126</v>
      </c>
      <c r="S216" s="9" t="s">
        <v>683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561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82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560</v>
      </c>
      <c r="L217" s="56"/>
      <c r="M217" s="9">
        <v>1</v>
      </c>
      <c r="N217" s="9">
        <v>15</v>
      </c>
      <c r="O217" s="9" t="s">
        <v>1126</v>
      </c>
      <c r="S217" s="9" t="s">
        <v>683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561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82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560</v>
      </c>
      <c r="L218" s="56"/>
      <c r="M218" s="9">
        <v>1</v>
      </c>
      <c r="N218" s="9">
        <v>15</v>
      </c>
      <c r="O218" s="9" t="s">
        <v>1126</v>
      </c>
      <c r="S218" s="9" t="s">
        <v>683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561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82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560</v>
      </c>
      <c r="L219" s="56"/>
      <c r="M219" s="9">
        <v>1</v>
      </c>
      <c r="N219" s="9">
        <v>15</v>
      </c>
      <c r="O219" s="9" t="s">
        <v>1126</v>
      </c>
      <c r="S219" s="9" t="s">
        <v>683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561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82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560</v>
      </c>
      <c r="L220" s="56"/>
      <c r="M220" s="9">
        <v>0</v>
      </c>
      <c r="N220" s="9">
        <v>15</v>
      </c>
      <c r="O220" s="9" t="s">
        <v>1126</v>
      </c>
      <c r="S220" s="9" t="s">
        <v>683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561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82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560</v>
      </c>
      <c r="L221" s="56"/>
      <c r="M221" s="9">
        <v>0</v>
      </c>
      <c r="N221" s="9">
        <v>15</v>
      </c>
      <c r="O221" s="9" t="s">
        <v>1126</v>
      </c>
      <c r="S221" s="9" t="s">
        <v>683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561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82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560</v>
      </c>
      <c r="L222" s="56"/>
      <c r="M222" s="9">
        <v>0</v>
      </c>
      <c r="N222" s="9">
        <v>15</v>
      </c>
      <c r="O222" s="9" t="s">
        <v>1126</v>
      </c>
      <c r="S222" s="9" t="s">
        <v>683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561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82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560</v>
      </c>
      <c r="L223" s="56"/>
      <c r="M223" s="9">
        <v>0</v>
      </c>
      <c r="N223" s="9">
        <v>15</v>
      </c>
      <c r="O223" s="9" t="s">
        <v>1126</v>
      </c>
      <c r="S223" s="9" t="s">
        <v>683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561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82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560</v>
      </c>
      <c r="L224" s="56"/>
      <c r="M224" s="9">
        <v>0</v>
      </c>
      <c r="N224" s="9">
        <v>15</v>
      </c>
      <c r="O224" s="9" t="s">
        <v>1126</v>
      </c>
      <c r="S224" s="9" t="s">
        <v>683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561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82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1293</v>
      </c>
      <c r="P225" s="17"/>
      <c r="Q225" s="17"/>
      <c r="R225" s="18"/>
      <c r="S225" s="16" t="s">
        <v>684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509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1280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1280</v>
      </c>
      <c r="AI225" s="184">
        <f ca="1">AG225</f>
        <v>1280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25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25</v>
      </c>
      <c r="BA225" s="17"/>
      <c r="BB225" s="18"/>
      <c r="BC225" s="18">
        <f ca="1">IFERROR(OFFSET(ITEM_RES!$A$1,MATCH(BD225,ITEM_RES!$J:$J,0)-1,0),0)</f>
        <v>213010101</v>
      </c>
      <c r="BD225" s="17" t="s">
        <v>445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1293</v>
      </c>
      <c r="S226" s="9" t="s">
        <v>684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509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560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560</v>
      </c>
      <c r="AI226" s="182">
        <f ca="1">AG225+AG226</f>
        <v>1840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50</v>
      </c>
      <c r="AX226" s="11">
        <f ca="1">IFERROR(OFFSET(ITEM_RES!$A$1,MATCH(AY226,ITEM_RES!$J:$J,0)-1,0),0)</f>
        <v>211020401</v>
      </c>
      <c r="AY226" s="10" t="s">
        <v>418</v>
      </c>
      <c r="AZ226" s="11">
        <v>50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1294</v>
      </c>
      <c r="S227" s="9" t="s">
        <v>684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509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840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840</v>
      </c>
      <c r="AI227" s="182">
        <f t="shared" ref="AI227:AI244" ca="1" si="74">AG226+AG227</f>
        <v>1400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75</v>
      </c>
      <c r="AX227" s="11">
        <f ca="1">IFERROR(OFFSET(ITEM_RES!$A$1,MATCH(AY227,ITEM_RES!$J:$J,0)-1,0),0)</f>
        <v>211020401</v>
      </c>
      <c r="AY227" s="10" t="s">
        <v>418</v>
      </c>
      <c r="AZ227" s="11">
        <v>75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1294</v>
      </c>
      <c r="S228" s="9" t="s">
        <v>684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509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3325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3325</v>
      </c>
      <c r="AI228" s="182">
        <f t="shared" ca="1" si="74"/>
        <v>4165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300</v>
      </c>
      <c r="AX228" s="11">
        <f ca="1">IFERROR(OFFSET(ITEM_RES!$A$1,MATCH(AY228,ITEM_RES!$J:$J,0)-1,0),0)</f>
        <v>211020401</v>
      </c>
      <c r="AY228" s="10" t="s">
        <v>418</v>
      </c>
      <c r="AZ228" s="11">
        <v>300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1295</v>
      </c>
      <c r="S229" s="9" t="s">
        <v>684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509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14890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14890</v>
      </c>
      <c r="AI229" s="182">
        <f t="shared" ca="1" si="74"/>
        <v>18215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1350</v>
      </c>
      <c r="AX229" s="11">
        <f ca="1">IFERROR(OFFSET(ITEM_RES!$A$1,MATCH(AY229,ITEM_RES!$J:$J,0)-1,0),0)</f>
        <v>211020401</v>
      </c>
      <c r="AY229" s="10" t="s">
        <v>418</v>
      </c>
      <c r="AZ229" s="11">
        <v>1350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1295</v>
      </c>
      <c r="S230" s="9" t="s">
        <v>684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509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49550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49550</v>
      </c>
      <c r="AI230" s="182">
        <f t="shared" ca="1" si="74"/>
        <v>64440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4500</v>
      </c>
      <c r="AX230" s="11">
        <f ca="1">IFERROR(OFFSET(ITEM_RES!$A$1,MATCH(AY230,ITEM_RES!$J:$J,0)-1,0),0)</f>
        <v>211020401</v>
      </c>
      <c r="AY230" s="10" t="s">
        <v>418</v>
      </c>
      <c r="AZ230" s="11">
        <v>4500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1296</v>
      </c>
      <c r="S231" s="9" t="s">
        <v>684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509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110100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110100</v>
      </c>
      <c r="AI231" s="182">
        <f t="shared" ca="1" si="74"/>
        <v>159650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10000</v>
      </c>
      <c r="AX231" s="11">
        <f ca="1">IFERROR(OFFSET(ITEM_RES!$A$1,MATCH(AY231,ITEM_RES!$J:$J,0)-1,0),0)</f>
        <v>211020401</v>
      </c>
      <c r="AY231" s="10" t="s">
        <v>418</v>
      </c>
      <c r="AZ231" s="11">
        <v>10000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1296</v>
      </c>
      <c r="S232" s="9" t="s">
        <v>684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509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231100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231100</v>
      </c>
      <c r="AI232" s="182">
        <f t="shared" ca="1" si="74"/>
        <v>341200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21000</v>
      </c>
      <c r="AX232" s="11">
        <f ca="1">IFERROR(OFFSET(ITEM_RES!$A$1,MATCH(AY232,ITEM_RES!$J:$J,0)-1,0),0)</f>
        <v>211020401</v>
      </c>
      <c r="AY232" s="10" t="s">
        <v>418</v>
      </c>
      <c r="AZ232" s="11">
        <v>21000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1298</v>
      </c>
      <c r="S233" s="9" t="s">
        <v>684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509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429150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429150</v>
      </c>
      <c r="AI233" s="182">
        <f t="shared" ca="1" si="74"/>
        <v>660250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39000</v>
      </c>
      <c r="AX233" s="11">
        <f ca="1">IFERROR(OFFSET(ITEM_RES!$A$1,MATCH(AY233,ITEM_RES!$J:$J,0)-1,0),0)</f>
        <v>211020401</v>
      </c>
      <c r="AY233" s="10" t="s">
        <v>418</v>
      </c>
      <c r="AZ233" s="11">
        <v>39000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1299</v>
      </c>
      <c r="S234" s="9" t="s">
        <v>684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509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716200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716200</v>
      </c>
      <c r="AI234" s="182">
        <f t="shared" ca="1" si="74"/>
        <v>1145350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65000</v>
      </c>
      <c r="AX234" s="11">
        <f ca="1">IFERROR(OFFSET(ITEM_RES!$A$1,MATCH(AY234,ITEM_RES!$J:$J,0)-1,0),0)</f>
        <v>211020401</v>
      </c>
      <c r="AY234" s="10" t="s">
        <v>418</v>
      </c>
      <c r="AZ234" s="11">
        <v>65000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496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1297</v>
      </c>
      <c r="S235" s="9" t="s">
        <v>684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509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1430250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1430250</v>
      </c>
      <c r="AI235" s="182">
        <f t="shared" ca="1" si="74"/>
        <v>2146450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110000</v>
      </c>
      <c r="AX235" s="11">
        <f ca="1">IFERROR(OFFSET(ITEM_RES!$A$1,MATCH(AY235,ITEM_RES!$J:$J,0)-1,0),0)</f>
        <v>211020401</v>
      </c>
      <c r="AY235" s="10" t="s">
        <v>418</v>
      </c>
      <c r="AZ235" s="11">
        <v>110000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1297</v>
      </c>
      <c r="S236" s="9" t="s">
        <v>685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509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2405300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2405300</v>
      </c>
      <c r="AI236" s="182">
        <f t="shared" ca="1" si="74"/>
        <v>3835550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185000</v>
      </c>
      <c r="AX236" s="11">
        <f ca="1">IFERROR(OFFSET(ITEM_RES!$A$1,MATCH(AY236,ITEM_RES!$J:$J,0)-1,0),0)</f>
        <v>211020401</v>
      </c>
      <c r="AY236" s="10" t="s">
        <v>418</v>
      </c>
      <c r="AZ236" s="11">
        <v>185000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1297</v>
      </c>
      <c r="S237" s="9" t="s">
        <v>685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509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4030350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4030350</v>
      </c>
      <c r="AI237" s="182">
        <f t="shared" ca="1" si="74"/>
        <v>6435650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310000</v>
      </c>
      <c r="AX237" s="11">
        <f ca="1">IFERROR(OFFSET(ITEM_RES!$A$1,MATCH(AY237,ITEM_RES!$J:$J,0)-1,0),0)</f>
        <v>211020401</v>
      </c>
      <c r="AY237" s="10" t="s">
        <v>418</v>
      </c>
      <c r="AZ237" s="11">
        <v>310000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1297</v>
      </c>
      <c r="S238" s="9" t="s">
        <v>685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509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6305450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6305450</v>
      </c>
      <c r="AI238" s="182">
        <f t="shared" ca="1" si="74"/>
        <v>10335800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485000</v>
      </c>
      <c r="AX238" s="11">
        <f ca="1">IFERROR(OFFSET(ITEM_RES!$A$1,MATCH(AY238,ITEM_RES!$J:$J,0)-1,0),0)</f>
        <v>211020401</v>
      </c>
      <c r="AY238" s="10" t="s">
        <v>418</v>
      </c>
      <c r="AZ238" s="11">
        <v>485000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1297</v>
      </c>
      <c r="S239" s="9" t="s">
        <v>685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509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13650550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13650550</v>
      </c>
      <c r="AI239" s="182">
        <f t="shared" ca="1" si="74"/>
        <v>19956000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1050000</v>
      </c>
      <c r="AX239" s="11">
        <f ca="1">IFERROR(OFFSET(ITEM_RES!$A$1,MATCH(AY239,ITEM_RES!$J:$J,0)-1,0),0)</f>
        <v>211020401</v>
      </c>
      <c r="AY239" s="10" t="s">
        <v>430</v>
      </c>
      <c r="AZ239" s="11">
        <v>1050000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1297</v>
      </c>
      <c r="S240" s="9" t="s">
        <v>685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509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28380700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28380700</v>
      </c>
      <c r="AI240" s="182">
        <f t="shared" ca="1" si="74"/>
        <v>42031250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2150000</v>
      </c>
      <c r="AX240" s="11">
        <f ca="1">IFERROR(OFFSET(ITEM_RES!$A$1,MATCH(AY240,ITEM_RES!$J:$J,0)-1,0),0)</f>
        <v>211020501</v>
      </c>
      <c r="AY240" s="10" t="s">
        <v>428</v>
      </c>
      <c r="AZ240" s="11">
        <v>2150000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1297</v>
      </c>
      <c r="S241" s="9" t="s">
        <v>685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509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52800850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52800850</v>
      </c>
      <c r="AI241" s="182">
        <f t="shared" ca="1" si="74"/>
        <v>81181550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4000000</v>
      </c>
      <c r="AX241" s="11">
        <f ca="1">IFERROR(OFFSET(ITEM_RES!$A$1,MATCH(AY241,ITEM_RES!$J:$J,0)-1,0),0)</f>
        <v>211020501</v>
      </c>
      <c r="AY241" s="10" t="s">
        <v>419</v>
      </c>
      <c r="AZ241" s="11">
        <v>4000000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1297</v>
      </c>
      <c r="S242" s="9" t="s">
        <v>685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509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85801050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85801050</v>
      </c>
      <c r="AI242" s="182">
        <f t="shared" ca="1" si="74"/>
        <v>138601900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6500000</v>
      </c>
      <c r="AX242" s="11">
        <f ca="1">IFERROR(OFFSET(ITEM_RES!$A$1,MATCH(AY242,ITEM_RES!$J:$J,0)-1,0),0)</f>
        <v>211020501</v>
      </c>
      <c r="AY242" s="10" t="s">
        <v>419</v>
      </c>
      <c r="AZ242" s="11">
        <v>6500000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1297</v>
      </c>
      <c r="S243" s="9" t="s">
        <v>685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509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132001250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132001250</v>
      </c>
      <c r="AI243" s="182">
        <f t="shared" ca="1" si="74"/>
        <v>217802300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10000000</v>
      </c>
      <c r="AX243" s="11">
        <f ca="1">IFERROR(OFFSET(ITEM_RES!$A$1,MATCH(AY243,ITEM_RES!$J:$J,0)-1,0),0)</f>
        <v>211020501</v>
      </c>
      <c r="AY243" s="10" t="s">
        <v>419</v>
      </c>
      <c r="AZ243" s="11">
        <v>10000000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1297</v>
      </c>
      <c r="S244" s="9" t="s">
        <v>685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509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211201500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211201500</v>
      </c>
      <c r="AI244" s="182">
        <f t="shared" ca="1" si="74"/>
        <v>343202750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16000000</v>
      </c>
      <c r="AX244" s="11">
        <f ca="1">IFERROR(OFFSET(ITEM_RES!$A$1,MATCH(AY244,ITEM_RES!$J:$J,0)-1,0),0)</f>
        <v>211020501</v>
      </c>
      <c r="AY244" s="10" t="s">
        <v>419</v>
      </c>
      <c r="AZ244" s="11">
        <v>16000000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1127</v>
      </c>
      <c r="P245" s="17"/>
      <c r="Q245" s="17"/>
      <c r="R245" s="18"/>
      <c r="S245" s="16" t="s">
        <v>686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510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4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445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1128</v>
      </c>
      <c r="S246" s="9" t="s">
        <v>686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510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82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1129</v>
      </c>
      <c r="S247" s="9" t="s">
        <v>686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510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82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1129</v>
      </c>
      <c r="S248" s="9" t="s">
        <v>686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510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82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1130</v>
      </c>
      <c r="S249" s="9" t="s">
        <v>686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510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82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1131</v>
      </c>
      <c r="S250" s="9" t="s">
        <v>686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510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82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1132</v>
      </c>
      <c r="S251" s="9" t="s">
        <v>686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510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82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1132</v>
      </c>
      <c r="S252" s="9" t="s">
        <v>686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510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82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1132</v>
      </c>
      <c r="S253" s="9" t="s">
        <v>686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510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82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1132</v>
      </c>
      <c r="S254" s="9" t="s">
        <v>686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510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82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457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1132</v>
      </c>
      <c r="S255" s="9" t="s">
        <v>686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510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82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1132</v>
      </c>
      <c r="S256" s="9" t="s">
        <v>686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510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82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1132</v>
      </c>
      <c r="S257" s="9" t="s">
        <v>686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510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82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1132</v>
      </c>
      <c r="S258" s="9" t="s">
        <v>686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510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82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1132</v>
      </c>
      <c r="S259" s="9" t="s">
        <v>686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510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82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1132</v>
      </c>
      <c r="S260" s="9" t="s">
        <v>686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510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82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1132</v>
      </c>
      <c r="S261" s="9" t="s">
        <v>686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510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82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1132</v>
      </c>
      <c r="S262" s="9" t="s">
        <v>686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510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82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1132</v>
      </c>
      <c r="S263" s="9" t="s">
        <v>686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510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82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1132</v>
      </c>
      <c r="S264" s="9" t="s">
        <v>686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510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82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511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4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445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511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82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511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82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511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82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511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82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511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82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511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82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511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82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457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511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82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511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82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511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82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511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82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511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82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511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82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511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82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511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82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511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82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511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82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511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82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511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82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1037</v>
      </c>
      <c r="L285" s="16">
        <v>10</v>
      </c>
      <c r="M285" s="16">
        <v>1</v>
      </c>
      <c r="N285" s="16">
        <v>15</v>
      </c>
      <c r="O285" s="140" t="s">
        <v>1043</v>
      </c>
      <c r="P285" s="17"/>
      <c r="Q285" s="17"/>
      <c r="R285" s="18"/>
      <c r="S285" s="16" t="s">
        <v>1038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1042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4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1037</v>
      </c>
      <c r="M286" s="9">
        <v>1</v>
      </c>
      <c r="N286" s="9">
        <v>15</v>
      </c>
      <c r="O286" s="141" t="s">
        <v>1043</v>
      </c>
      <c r="S286" s="9" t="s">
        <v>1038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1041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82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1037</v>
      </c>
      <c r="M287" s="9">
        <v>1</v>
      </c>
      <c r="N287" s="9">
        <v>15</v>
      </c>
      <c r="O287" s="141" t="s">
        <v>1043</v>
      </c>
      <c r="S287" s="9" t="s">
        <v>1038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1041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82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1037</v>
      </c>
      <c r="M288" s="9">
        <v>1</v>
      </c>
      <c r="N288" s="9">
        <v>15</v>
      </c>
      <c r="O288" s="141" t="s">
        <v>1043</v>
      </c>
      <c r="S288" s="9" t="s">
        <v>1038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1041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82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1037</v>
      </c>
      <c r="M289" s="9">
        <v>1</v>
      </c>
      <c r="N289" s="9">
        <v>15</v>
      </c>
      <c r="O289" s="141" t="s">
        <v>1043</v>
      </c>
      <c r="S289" s="9" t="s">
        <v>1038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1041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82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1037</v>
      </c>
      <c r="M290" s="9">
        <v>1</v>
      </c>
      <c r="N290" s="9">
        <v>15</v>
      </c>
      <c r="O290" s="141" t="s">
        <v>1043</v>
      </c>
      <c r="S290" s="9" t="s">
        <v>1038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1041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82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1037</v>
      </c>
      <c r="M291" s="9">
        <v>1</v>
      </c>
      <c r="N291" s="9">
        <v>15</v>
      </c>
      <c r="O291" s="141" t="s">
        <v>1043</v>
      </c>
      <c r="S291" s="9" t="s">
        <v>1038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1041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82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1037</v>
      </c>
      <c r="M292" s="9">
        <v>1</v>
      </c>
      <c r="N292" s="9">
        <v>15</v>
      </c>
      <c r="O292" s="141" t="s">
        <v>1043</v>
      </c>
      <c r="S292" s="9" t="s">
        <v>1038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1041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82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449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1037</v>
      </c>
      <c r="M293" s="9">
        <v>1</v>
      </c>
      <c r="N293" s="9">
        <v>15</v>
      </c>
      <c r="O293" s="141" t="s">
        <v>1043</v>
      </c>
      <c r="S293" s="9" t="s">
        <v>1038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1041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82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1037</v>
      </c>
      <c r="M294" s="9">
        <v>1</v>
      </c>
      <c r="N294" s="9">
        <v>15</v>
      </c>
      <c r="O294" s="141" t="s">
        <v>1043</v>
      </c>
      <c r="S294" s="9" t="s">
        <v>1038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1041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82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1037</v>
      </c>
      <c r="M295" s="9">
        <v>1</v>
      </c>
      <c r="N295" s="9">
        <v>15</v>
      </c>
      <c r="O295" s="141" t="s">
        <v>1043</v>
      </c>
      <c r="S295" s="9" t="s">
        <v>1038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1041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82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1037</v>
      </c>
      <c r="M296" s="9">
        <v>1</v>
      </c>
      <c r="N296" s="9">
        <v>15</v>
      </c>
      <c r="O296" s="141" t="s">
        <v>1043</v>
      </c>
      <c r="S296" s="9" t="s">
        <v>1038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1041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82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1037</v>
      </c>
      <c r="M297" s="9">
        <v>1</v>
      </c>
      <c r="N297" s="9">
        <v>15</v>
      </c>
      <c r="O297" s="141" t="s">
        <v>1043</v>
      </c>
      <c r="S297" s="9" t="s">
        <v>1038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1041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82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1037</v>
      </c>
      <c r="M298" s="9">
        <v>1</v>
      </c>
      <c r="N298" s="9">
        <v>15</v>
      </c>
      <c r="O298" s="141" t="s">
        <v>1043</v>
      </c>
      <c r="S298" s="9" t="s">
        <v>1038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1041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82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1037</v>
      </c>
      <c r="M299" s="9">
        <v>1</v>
      </c>
      <c r="N299" s="9">
        <v>15</v>
      </c>
      <c r="O299" s="141" t="s">
        <v>1043</v>
      </c>
      <c r="S299" s="9" t="s">
        <v>1038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1041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82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1037</v>
      </c>
      <c r="M300" s="9">
        <v>0</v>
      </c>
      <c r="N300" s="9">
        <v>15</v>
      </c>
      <c r="O300" s="141" t="s">
        <v>1043</v>
      </c>
      <c r="S300" s="9" t="s">
        <v>1038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1041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82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1037</v>
      </c>
      <c r="M301" s="9">
        <v>0</v>
      </c>
      <c r="N301" s="9">
        <v>15</v>
      </c>
      <c r="O301" s="141" t="s">
        <v>1043</v>
      </c>
      <c r="S301" s="9" t="s">
        <v>1038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1041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82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1037</v>
      </c>
      <c r="M302" s="9">
        <v>0</v>
      </c>
      <c r="N302" s="9">
        <v>15</v>
      </c>
      <c r="O302" s="141" t="s">
        <v>1043</v>
      </c>
      <c r="S302" s="9" t="s">
        <v>1038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1041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82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1037</v>
      </c>
      <c r="M303" s="9">
        <v>0</v>
      </c>
      <c r="N303" s="9">
        <v>15</v>
      </c>
      <c r="O303" s="141" t="s">
        <v>1043</v>
      </c>
      <c r="S303" s="9" t="s">
        <v>1038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1041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82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1037</v>
      </c>
      <c r="M304" s="9">
        <v>0</v>
      </c>
      <c r="N304" s="9">
        <v>15</v>
      </c>
      <c r="O304" s="141" t="s">
        <v>1043</v>
      </c>
      <c r="S304" s="9" t="s">
        <v>1038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1041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82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512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4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445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689</v>
      </c>
      <c r="M306" s="9">
        <v>1</v>
      </c>
      <c r="N306" s="9">
        <v>15</v>
      </c>
      <c r="O306" s="141"/>
      <c r="S306" s="9" t="s">
        <v>688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512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82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689</v>
      </c>
      <c r="M307" s="9">
        <v>1</v>
      </c>
      <c r="N307" s="9">
        <v>15</v>
      </c>
      <c r="O307" s="141"/>
      <c r="S307" s="9" t="s">
        <v>688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512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82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689</v>
      </c>
      <c r="M308" s="9">
        <v>1</v>
      </c>
      <c r="N308" s="9">
        <v>15</v>
      </c>
      <c r="O308" s="141"/>
      <c r="S308" s="9" t="s">
        <v>688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512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82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689</v>
      </c>
      <c r="M309" s="9">
        <v>1</v>
      </c>
      <c r="N309" s="9">
        <v>15</v>
      </c>
      <c r="O309" s="141"/>
      <c r="S309" s="9" t="s">
        <v>688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512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82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689</v>
      </c>
      <c r="M310" s="9">
        <v>1</v>
      </c>
      <c r="N310" s="9">
        <v>15</v>
      </c>
      <c r="O310" s="141"/>
      <c r="S310" s="9" t="s">
        <v>688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512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82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689</v>
      </c>
      <c r="M311" s="9">
        <v>1</v>
      </c>
      <c r="N311" s="9">
        <v>15</v>
      </c>
      <c r="O311" s="141"/>
      <c r="S311" s="9" t="s">
        <v>688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512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82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689</v>
      </c>
      <c r="M312" s="9">
        <v>1</v>
      </c>
      <c r="N312" s="9">
        <v>15</v>
      </c>
      <c r="O312" s="141"/>
      <c r="S312" s="9" t="s">
        <v>688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512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82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689</v>
      </c>
      <c r="M313" s="9">
        <v>1</v>
      </c>
      <c r="N313" s="9">
        <v>15</v>
      </c>
      <c r="O313" s="141"/>
      <c r="S313" s="9" t="s">
        <v>688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512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82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689</v>
      </c>
      <c r="M314" s="9">
        <v>1</v>
      </c>
      <c r="N314" s="9">
        <v>15</v>
      </c>
      <c r="O314" s="141"/>
      <c r="S314" s="9" t="s">
        <v>688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512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82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689</v>
      </c>
      <c r="M315" s="9">
        <v>1</v>
      </c>
      <c r="N315" s="9">
        <v>15</v>
      </c>
      <c r="O315" s="141"/>
      <c r="S315" s="9" t="s">
        <v>688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512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82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689</v>
      </c>
      <c r="M316" s="9">
        <v>1</v>
      </c>
      <c r="N316" s="9">
        <v>15</v>
      </c>
      <c r="O316" s="141"/>
      <c r="S316" s="9" t="s">
        <v>688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512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82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689</v>
      </c>
      <c r="M317" s="9">
        <v>1</v>
      </c>
      <c r="N317" s="9">
        <v>15</v>
      </c>
      <c r="O317" s="141"/>
      <c r="S317" s="9" t="s">
        <v>688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512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82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689</v>
      </c>
      <c r="M318" s="9">
        <v>1</v>
      </c>
      <c r="N318" s="9">
        <v>15</v>
      </c>
      <c r="O318" s="141"/>
      <c r="S318" s="9" t="s">
        <v>688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512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82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457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689</v>
      </c>
      <c r="M319" s="9">
        <v>1</v>
      </c>
      <c r="N319" s="9">
        <v>15</v>
      </c>
      <c r="O319" s="141"/>
      <c r="S319" s="9" t="s">
        <v>688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512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82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689</v>
      </c>
      <c r="M320" s="9">
        <v>0</v>
      </c>
      <c r="N320" s="9">
        <v>15</v>
      </c>
      <c r="O320" s="141"/>
      <c r="S320" s="9" t="s">
        <v>688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512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82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689</v>
      </c>
      <c r="M321" s="9">
        <v>0</v>
      </c>
      <c r="N321" s="9">
        <v>15</v>
      </c>
      <c r="O321" s="141"/>
      <c r="S321" s="9" t="s">
        <v>688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512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82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689</v>
      </c>
      <c r="M322" s="9">
        <v>0</v>
      </c>
      <c r="N322" s="9">
        <v>15</v>
      </c>
      <c r="O322" s="141"/>
      <c r="S322" s="9" t="s">
        <v>688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512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82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689</v>
      </c>
      <c r="M323" s="9">
        <v>0</v>
      </c>
      <c r="N323" s="9">
        <v>15</v>
      </c>
      <c r="O323" s="141"/>
      <c r="S323" s="9" t="s">
        <v>688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512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82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689</v>
      </c>
      <c r="M324" s="9">
        <v>0</v>
      </c>
      <c r="N324" s="9">
        <v>15</v>
      </c>
      <c r="O324" s="141"/>
      <c r="S324" s="9" t="s">
        <v>688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512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82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902</v>
      </c>
      <c r="L325" s="16">
        <v>4</v>
      </c>
      <c r="M325" s="16">
        <v>1</v>
      </c>
      <c r="N325" s="16">
        <v>15</v>
      </c>
      <c r="O325" s="16" t="s">
        <v>1133</v>
      </c>
      <c r="P325" s="17"/>
      <c r="Q325" s="17"/>
      <c r="R325" s="18"/>
      <c r="S325" s="16" t="s">
        <v>690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513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4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445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902</v>
      </c>
      <c r="M326" s="9">
        <v>1</v>
      </c>
      <c r="N326" s="9">
        <v>15</v>
      </c>
      <c r="O326" s="9" t="s">
        <v>1134</v>
      </c>
      <c r="S326" s="9" t="s">
        <v>690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513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82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902</v>
      </c>
      <c r="M327" s="9">
        <v>1</v>
      </c>
      <c r="N327" s="9">
        <v>15</v>
      </c>
      <c r="O327" s="9" t="s">
        <v>1135</v>
      </c>
      <c r="S327" s="9" t="s">
        <v>690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513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82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902</v>
      </c>
      <c r="M328" s="9">
        <v>1</v>
      </c>
      <c r="N328" s="9">
        <v>15</v>
      </c>
      <c r="O328" s="9" t="s">
        <v>1136</v>
      </c>
      <c r="S328" s="9" t="s">
        <v>690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513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82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902</v>
      </c>
      <c r="M329" s="9">
        <v>1</v>
      </c>
      <c r="N329" s="9">
        <v>15</v>
      </c>
      <c r="O329" s="9" t="s">
        <v>1137</v>
      </c>
      <c r="S329" s="9" t="s">
        <v>690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513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82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902</v>
      </c>
      <c r="M330" s="9">
        <v>1</v>
      </c>
      <c r="N330" s="9">
        <v>15</v>
      </c>
      <c r="O330" s="9" t="s">
        <v>1138</v>
      </c>
      <c r="S330" s="9" t="s">
        <v>690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513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82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902</v>
      </c>
      <c r="M331" s="9">
        <v>1</v>
      </c>
      <c r="N331" s="9">
        <v>15</v>
      </c>
      <c r="O331" s="9" t="s">
        <v>1139</v>
      </c>
      <c r="S331" s="9" t="s">
        <v>690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513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82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902</v>
      </c>
      <c r="M332" s="9">
        <v>1</v>
      </c>
      <c r="N332" s="9">
        <v>15</v>
      </c>
      <c r="O332" s="9" t="s">
        <v>1139</v>
      </c>
      <c r="S332" s="9" t="s">
        <v>690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513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82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902</v>
      </c>
      <c r="M333" s="9">
        <v>1</v>
      </c>
      <c r="N333" s="9">
        <v>15</v>
      </c>
      <c r="O333" s="9" t="s">
        <v>1139</v>
      </c>
      <c r="S333" s="9" t="s">
        <v>690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513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82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902</v>
      </c>
      <c r="M334" s="9">
        <v>1</v>
      </c>
      <c r="N334" s="9">
        <v>15</v>
      </c>
      <c r="O334" s="9" t="s">
        <v>1139</v>
      </c>
      <c r="S334" s="9" t="s">
        <v>690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513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82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902</v>
      </c>
      <c r="M335" s="9">
        <v>1</v>
      </c>
      <c r="N335" s="9">
        <v>15</v>
      </c>
      <c r="O335" s="9" t="s">
        <v>1139</v>
      </c>
      <c r="S335" s="9" t="s">
        <v>690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513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82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902</v>
      </c>
      <c r="M336" s="9">
        <v>1</v>
      </c>
      <c r="N336" s="9">
        <v>15</v>
      </c>
      <c r="O336" s="9" t="s">
        <v>1139</v>
      </c>
      <c r="S336" s="9" t="s">
        <v>690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513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82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902</v>
      </c>
      <c r="M337" s="9">
        <v>1</v>
      </c>
      <c r="N337" s="9">
        <v>15</v>
      </c>
      <c r="O337" s="9" t="s">
        <v>1139</v>
      </c>
      <c r="S337" s="9" t="s">
        <v>690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513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82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902</v>
      </c>
      <c r="M338" s="9">
        <v>1</v>
      </c>
      <c r="N338" s="9">
        <v>15</v>
      </c>
      <c r="O338" s="9" t="s">
        <v>1139</v>
      </c>
      <c r="S338" s="9" t="s">
        <v>690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513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82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457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902</v>
      </c>
      <c r="M339" s="9">
        <v>1</v>
      </c>
      <c r="N339" s="9">
        <v>15</v>
      </c>
      <c r="O339" s="9" t="s">
        <v>1139</v>
      </c>
      <c r="S339" s="9" t="s">
        <v>690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513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82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902</v>
      </c>
      <c r="M340" s="9">
        <v>0</v>
      </c>
      <c r="N340" s="9">
        <v>15</v>
      </c>
      <c r="O340" s="9" t="s">
        <v>1139</v>
      </c>
      <c r="S340" s="9" t="s">
        <v>690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513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82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902</v>
      </c>
      <c r="M341" s="9">
        <v>0</v>
      </c>
      <c r="N341" s="9">
        <v>15</v>
      </c>
      <c r="O341" s="9" t="s">
        <v>1139</v>
      </c>
      <c r="S341" s="9" t="s">
        <v>690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513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82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902</v>
      </c>
      <c r="M342" s="9">
        <v>0</v>
      </c>
      <c r="N342" s="9">
        <v>15</v>
      </c>
      <c r="O342" s="9" t="s">
        <v>1139</v>
      </c>
      <c r="S342" s="9" t="s">
        <v>690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513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82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902</v>
      </c>
      <c r="M343" s="9">
        <v>0</v>
      </c>
      <c r="N343" s="9">
        <v>15</v>
      </c>
      <c r="O343" s="9" t="s">
        <v>1139</v>
      </c>
      <c r="S343" s="9" t="s">
        <v>690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513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82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902</v>
      </c>
      <c r="M344" s="9">
        <v>0</v>
      </c>
      <c r="N344" s="9">
        <v>15</v>
      </c>
      <c r="O344" s="9" t="s">
        <v>1139</v>
      </c>
      <c r="S344" s="9" t="s">
        <v>690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513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82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750</v>
      </c>
      <c r="P345" s="17"/>
      <c r="Q345" s="17"/>
      <c r="R345" s="18"/>
      <c r="S345" s="16" t="s">
        <v>691</v>
      </c>
      <c r="T345" s="78"/>
      <c r="U345" s="86" t="s">
        <v>542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537</v>
      </c>
      <c r="Y345" s="16">
        <f ca="1">IFERROR(OFFSET(ITEM_RES!$A$5,MATCH(BUILDING!X345,ITEM_RES!$J$5:$J$229,0)-1,0),0)</f>
        <v>211020701</v>
      </c>
      <c r="Z345" s="78"/>
      <c r="AA345" s="16" t="s">
        <v>514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4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445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750</v>
      </c>
      <c r="S346" s="9" t="s">
        <v>691</v>
      </c>
      <c r="U346" s="84" t="s">
        <v>542</v>
      </c>
      <c r="V346" s="9">
        <f ca="1">IFERROR(OFFSET(ITEM_RES!$A$5,MATCH(BUILDING!U346,ITEM_RES!$J$5:$J$229,0)-1,0),0)</f>
        <v>211020601</v>
      </c>
      <c r="W346" s="11">
        <v>2</v>
      </c>
      <c r="X346" s="84" t="s">
        <v>537</v>
      </c>
      <c r="Y346" s="9">
        <f ca="1">IFERROR(OFFSET(ITEM_RES!$A$5,MATCH(BUILDING!X346,ITEM_RES!$J$5:$J$229,0)-1,0),0)</f>
        <v>211020701</v>
      </c>
      <c r="AA346" s="9" t="s">
        <v>514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82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750</v>
      </c>
      <c r="S347" s="9" t="s">
        <v>691</v>
      </c>
      <c r="U347" s="84" t="s">
        <v>542</v>
      </c>
      <c r="V347" s="9">
        <f ca="1">IFERROR(OFFSET(ITEM_RES!$A$5,MATCH(BUILDING!U347,ITEM_RES!$J$5:$J$229,0)-1,0),0)</f>
        <v>211020601</v>
      </c>
      <c r="W347" s="11">
        <v>2</v>
      </c>
      <c r="X347" s="84" t="s">
        <v>537</v>
      </c>
      <c r="Y347" s="9">
        <f ca="1">IFERROR(OFFSET(ITEM_RES!$A$5,MATCH(BUILDING!X347,ITEM_RES!$J$5:$J$229,0)-1,0),0)</f>
        <v>211020701</v>
      </c>
      <c r="AA347" s="9" t="s">
        <v>514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82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750</v>
      </c>
      <c r="S348" s="9" t="s">
        <v>691</v>
      </c>
      <c r="U348" s="84" t="s">
        <v>542</v>
      </c>
      <c r="V348" s="9">
        <f ca="1">IFERROR(OFFSET(ITEM_RES!$A$5,MATCH(BUILDING!U348,ITEM_RES!$J$5:$J$229,0)-1,0),0)</f>
        <v>211020601</v>
      </c>
      <c r="W348" s="11">
        <v>2</v>
      </c>
      <c r="X348" s="84" t="s">
        <v>537</v>
      </c>
      <c r="Y348" s="9">
        <f ca="1">IFERROR(OFFSET(ITEM_RES!$A$5,MATCH(BUILDING!X348,ITEM_RES!$J$5:$J$229,0)-1,0),0)</f>
        <v>211020701</v>
      </c>
      <c r="AA348" s="9" t="s">
        <v>514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82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750</v>
      </c>
      <c r="S349" s="9" t="s">
        <v>691</v>
      </c>
      <c r="U349" s="84" t="s">
        <v>542</v>
      </c>
      <c r="V349" s="9">
        <f ca="1">IFERROR(OFFSET(ITEM_RES!$A$5,MATCH(BUILDING!U349,ITEM_RES!$J$5:$J$229,0)-1,0),0)</f>
        <v>211020601</v>
      </c>
      <c r="W349" s="11">
        <v>2</v>
      </c>
      <c r="X349" s="84" t="s">
        <v>537</v>
      </c>
      <c r="Y349" s="9">
        <f ca="1">IFERROR(OFFSET(ITEM_RES!$A$5,MATCH(BUILDING!X349,ITEM_RES!$J$5:$J$229,0)-1,0),0)</f>
        <v>211020701</v>
      </c>
      <c r="AA349" s="9" t="s">
        <v>514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82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750</v>
      </c>
      <c r="S350" s="9" t="s">
        <v>691</v>
      </c>
      <c r="U350" s="84" t="s">
        <v>542</v>
      </c>
      <c r="V350" s="9">
        <f ca="1">IFERROR(OFFSET(ITEM_RES!$A$5,MATCH(BUILDING!U350,ITEM_RES!$J$5:$J$229,0)-1,0),0)</f>
        <v>211020601</v>
      </c>
      <c r="W350" s="11">
        <v>2</v>
      </c>
      <c r="X350" s="84" t="s">
        <v>537</v>
      </c>
      <c r="Y350" s="9">
        <f ca="1">IFERROR(OFFSET(ITEM_RES!$A$5,MATCH(BUILDING!X350,ITEM_RES!$J$5:$J$229,0)-1,0),0)</f>
        <v>211020701</v>
      </c>
      <c r="AA350" s="9" t="s">
        <v>514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82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750</v>
      </c>
      <c r="S351" s="9" t="s">
        <v>691</v>
      </c>
      <c r="U351" s="84" t="s">
        <v>542</v>
      </c>
      <c r="V351" s="9">
        <f ca="1">IFERROR(OFFSET(ITEM_RES!$A$5,MATCH(BUILDING!U351,ITEM_RES!$J$5:$J$229,0)-1,0),0)</f>
        <v>211020601</v>
      </c>
      <c r="W351" s="11">
        <v>2</v>
      </c>
      <c r="X351" s="84" t="s">
        <v>537</v>
      </c>
      <c r="Y351" s="9">
        <f ca="1">IFERROR(OFFSET(ITEM_RES!$A$5,MATCH(BUILDING!X351,ITEM_RES!$J$5:$J$229,0)-1,0),0)</f>
        <v>211020701</v>
      </c>
      <c r="AA351" s="9" t="s">
        <v>514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82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750</v>
      </c>
      <c r="S352" s="9" t="s">
        <v>691</v>
      </c>
      <c r="U352" s="84" t="s">
        <v>542</v>
      </c>
      <c r="V352" s="9">
        <f ca="1">IFERROR(OFFSET(ITEM_RES!$A$5,MATCH(BUILDING!U352,ITEM_RES!$J$5:$J$229,0)-1,0),0)</f>
        <v>211020601</v>
      </c>
      <c r="W352" s="11">
        <v>2</v>
      </c>
      <c r="X352" s="84" t="s">
        <v>537</v>
      </c>
      <c r="Y352" s="9">
        <f ca="1">IFERROR(OFFSET(ITEM_RES!$A$5,MATCH(BUILDING!X352,ITEM_RES!$J$5:$J$229,0)-1,0),0)</f>
        <v>211020701</v>
      </c>
      <c r="AA352" s="9" t="s">
        <v>514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82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458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750</v>
      </c>
      <c r="S353" s="9" t="s">
        <v>691</v>
      </c>
      <c r="U353" s="84" t="s">
        <v>542</v>
      </c>
      <c r="V353" s="9">
        <f ca="1">IFERROR(OFFSET(ITEM_RES!$A$5,MATCH(BUILDING!U353,ITEM_RES!$J$5:$J$229,0)-1,0),0)</f>
        <v>211020601</v>
      </c>
      <c r="W353" s="11">
        <v>2</v>
      </c>
      <c r="X353" s="84" t="s">
        <v>537</v>
      </c>
      <c r="Y353" s="9">
        <f ca="1">IFERROR(OFFSET(ITEM_RES!$A$5,MATCH(BUILDING!X353,ITEM_RES!$J$5:$J$229,0)-1,0),0)</f>
        <v>211020701</v>
      </c>
      <c r="AA353" s="9" t="s">
        <v>514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82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750</v>
      </c>
      <c r="S354" s="9" t="s">
        <v>691</v>
      </c>
      <c r="U354" s="84" t="s">
        <v>542</v>
      </c>
      <c r="V354" s="9">
        <f ca="1">IFERROR(OFFSET(ITEM_RES!$A$5,MATCH(BUILDING!U354,ITEM_RES!$J$5:$J$229,0)-1,0),0)</f>
        <v>211020601</v>
      </c>
      <c r="W354" s="11">
        <v>2</v>
      </c>
      <c r="X354" s="84" t="s">
        <v>537</v>
      </c>
      <c r="Y354" s="9">
        <f ca="1">IFERROR(OFFSET(ITEM_RES!$A$5,MATCH(BUILDING!X354,ITEM_RES!$J$5:$J$229,0)-1,0),0)</f>
        <v>211020701</v>
      </c>
      <c r="AA354" s="9" t="s">
        <v>514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82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750</v>
      </c>
      <c r="S355" s="9" t="s">
        <v>691</v>
      </c>
      <c r="U355" s="84" t="s">
        <v>542</v>
      </c>
      <c r="V355" s="9">
        <f ca="1">IFERROR(OFFSET(ITEM_RES!$A$5,MATCH(BUILDING!U355,ITEM_RES!$J$5:$J$229,0)-1,0),0)</f>
        <v>211020601</v>
      </c>
      <c r="W355" s="11">
        <v>2</v>
      </c>
      <c r="X355" s="84" t="s">
        <v>537</v>
      </c>
      <c r="Y355" s="9">
        <f ca="1">IFERROR(OFFSET(ITEM_RES!$A$5,MATCH(BUILDING!X355,ITEM_RES!$J$5:$J$229,0)-1,0),0)</f>
        <v>211020701</v>
      </c>
      <c r="AA355" s="9" t="s">
        <v>514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82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750</v>
      </c>
      <c r="S356" s="9" t="s">
        <v>691</v>
      </c>
      <c r="U356" s="84" t="s">
        <v>542</v>
      </c>
      <c r="V356" s="9">
        <f ca="1">IFERROR(OFFSET(ITEM_RES!$A$5,MATCH(BUILDING!U356,ITEM_RES!$J$5:$J$229,0)-1,0),0)</f>
        <v>211020601</v>
      </c>
      <c r="W356" s="11">
        <v>2</v>
      </c>
      <c r="X356" s="84" t="s">
        <v>537</v>
      </c>
      <c r="Y356" s="9">
        <f ca="1">IFERROR(OFFSET(ITEM_RES!$A$5,MATCH(BUILDING!X356,ITEM_RES!$J$5:$J$229,0)-1,0),0)</f>
        <v>211020701</v>
      </c>
      <c r="AA356" s="9" t="s">
        <v>514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82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750</v>
      </c>
      <c r="S357" s="9" t="s">
        <v>691</v>
      </c>
      <c r="U357" s="84" t="s">
        <v>542</v>
      </c>
      <c r="V357" s="9">
        <f ca="1">IFERROR(OFFSET(ITEM_RES!$A$5,MATCH(BUILDING!U357,ITEM_RES!$J$5:$J$229,0)-1,0),0)</f>
        <v>211020601</v>
      </c>
      <c r="W357" s="11">
        <v>2</v>
      </c>
      <c r="X357" s="84" t="s">
        <v>537</v>
      </c>
      <c r="Y357" s="9">
        <f ca="1">IFERROR(OFFSET(ITEM_RES!$A$5,MATCH(BUILDING!X357,ITEM_RES!$J$5:$J$229,0)-1,0),0)</f>
        <v>211020701</v>
      </c>
      <c r="AA357" s="9" t="s">
        <v>514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82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750</v>
      </c>
      <c r="S358" s="9" t="s">
        <v>691</v>
      </c>
      <c r="U358" s="84" t="s">
        <v>542</v>
      </c>
      <c r="V358" s="9">
        <f ca="1">IFERROR(OFFSET(ITEM_RES!$A$5,MATCH(BUILDING!U358,ITEM_RES!$J$5:$J$229,0)-1,0),0)</f>
        <v>211020601</v>
      </c>
      <c r="W358" s="11">
        <v>2</v>
      </c>
      <c r="X358" s="84" t="s">
        <v>537</v>
      </c>
      <c r="Y358" s="9">
        <f ca="1">IFERROR(OFFSET(ITEM_RES!$A$5,MATCH(BUILDING!X358,ITEM_RES!$J$5:$J$229,0)-1,0),0)</f>
        <v>211020701</v>
      </c>
      <c r="AA358" s="9" t="s">
        <v>514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82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750</v>
      </c>
      <c r="S359" s="9" t="s">
        <v>691</v>
      </c>
      <c r="U359" s="84" t="s">
        <v>542</v>
      </c>
      <c r="V359" s="9">
        <f ca="1">IFERROR(OFFSET(ITEM_RES!$A$5,MATCH(BUILDING!U359,ITEM_RES!$J$5:$J$229,0)-1,0),0)</f>
        <v>211020601</v>
      </c>
      <c r="W359" s="11">
        <v>2</v>
      </c>
      <c r="X359" s="84" t="s">
        <v>537</v>
      </c>
      <c r="Y359" s="9">
        <f ca="1">IFERROR(OFFSET(ITEM_RES!$A$5,MATCH(BUILDING!X359,ITEM_RES!$J$5:$J$229,0)-1,0),0)</f>
        <v>211020701</v>
      </c>
      <c r="AA359" s="9" t="s">
        <v>514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82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750</v>
      </c>
      <c r="S360" s="9" t="s">
        <v>691</v>
      </c>
      <c r="U360" s="84" t="s">
        <v>542</v>
      </c>
      <c r="V360" s="9">
        <f ca="1">IFERROR(OFFSET(ITEM_RES!$A$5,MATCH(BUILDING!U360,ITEM_RES!$J$5:$J$229,0)-1,0),0)</f>
        <v>211020601</v>
      </c>
      <c r="W360" s="11">
        <v>2</v>
      </c>
      <c r="X360" s="84" t="s">
        <v>537</v>
      </c>
      <c r="Y360" s="9">
        <f ca="1">IFERROR(OFFSET(ITEM_RES!$A$5,MATCH(BUILDING!X360,ITEM_RES!$J$5:$J$229,0)-1,0),0)</f>
        <v>211020701</v>
      </c>
      <c r="AA360" s="9" t="s">
        <v>514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82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750</v>
      </c>
      <c r="S361" s="9" t="s">
        <v>691</v>
      </c>
      <c r="U361" s="84" t="s">
        <v>542</v>
      </c>
      <c r="V361" s="9">
        <f ca="1">IFERROR(OFFSET(ITEM_RES!$A$5,MATCH(BUILDING!U361,ITEM_RES!$J$5:$J$229,0)-1,0),0)</f>
        <v>211020601</v>
      </c>
      <c r="W361" s="11">
        <v>2</v>
      </c>
      <c r="X361" s="84" t="s">
        <v>537</v>
      </c>
      <c r="Y361" s="9">
        <f ca="1">IFERROR(OFFSET(ITEM_RES!$A$5,MATCH(BUILDING!X361,ITEM_RES!$J$5:$J$229,0)-1,0),0)</f>
        <v>211020701</v>
      </c>
      <c r="AA361" s="9" t="s">
        <v>514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82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750</v>
      </c>
      <c r="S362" s="9" t="s">
        <v>691</v>
      </c>
      <c r="U362" s="84" t="s">
        <v>542</v>
      </c>
      <c r="V362" s="9">
        <f ca="1">IFERROR(OFFSET(ITEM_RES!$A$5,MATCH(BUILDING!U362,ITEM_RES!$J$5:$J$229,0)-1,0),0)</f>
        <v>211020601</v>
      </c>
      <c r="W362" s="11">
        <v>2</v>
      </c>
      <c r="X362" s="84" t="s">
        <v>537</v>
      </c>
      <c r="Y362" s="9">
        <f ca="1">IFERROR(OFFSET(ITEM_RES!$A$5,MATCH(BUILDING!X362,ITEM_RES!$J$5:$J$229,0)-1,0),0)</f>
        <v>211020701</v>
      </c>
      <c r="AA362" s="9" t="s">
        <v>514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82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750</v>
      </c>
      <c r="S363" s="9" t="s">
        <v>691</v>
      </c>
      <c r="U363" s="84" t="s">
        <v>542</v>
      </c>
      <c r="V363" s="9">
        <f ca="1">IFERROR(OFFSET(ITEM_RES!$A$5,MATCH(BUILDING!U363,ITEM_RES!$J$5:$J$229,0)-1,0),0)</f>
        <v>211020601</v>
      </c>
      <c r="W363" s="11">
        <v>2</v>
      </c>
      <c r="X363" s="84" t="s">
        <v>537</v>
      </c>
      <c r="Y363" s="9">
        <f ca="1">IFERROR(OFFSET(ITEM_RES!$A$5,MATCH(BUILDING!X363,ITEM_RES!$J$5:$J$229,0)-1,0),0)</f>
        <v>211020701</v>
      </c>
      <c r="AA363" s="9" t="s">
        <v>514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82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750</v>
      </c>
      <c r="S364" s="9" t="s">
        <v>691</v>
      </c>
      <c r="U364" s="84" t="s">
        <v>542</v>
      </c>
      <c r="V364" s="9">
        <f ca="1">IFERROR(OFFSET(ITEM_RES!$A$5,MATCH(BUILDING!U364,ITEM_RES!$J$5:$J$229,0)-1,0),0)</f>
        <v>211020601</v>
      </c>
      <c r="W364" s="11">
        <v>2</v>
      </c>
      <c r="X364" s="84" t="s">
        <v>537</v>
      </c>
      <c r="Y364" s="9">
        <f ca="1">IFERROR(OFFSET(ITEM_RES!$A$5,MATCH(BUILDING!X364,ITEM_RES!$J$5:$J$229,0)-1,0),0)</f>
        <v>211020701</v>
      </c>
      <c r="AA364" s="9" t="s">
        <v>514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82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751</v>
      </c>
      <c r="P365" s="17"/>
      <c r="Q365" s="17"/>
      <c r="R365" s="18"/>
      <c r="S365" s="16" t="s">
        <v>692</v>
      </c>
      <c r="T365" s="78"/>
      <c r="U365" s="86" t="s">
        <v>543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515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4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445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751</v>
      </c>
      <c r="S366" s="9" t="s">
        <v>692</v>
      </c>
      <c r="U366" s="84" t="s">
        <v>543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515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82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751</v>
      </c>
      <c r="S367" s="9" t="s">
        <v>692</v>
      </c>
      <c r="U367" s="84" t="s">
        <v>543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515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82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751</v>
      </c>
      <c r="S368" s="9" t="s">
        <v>692</v>
      </c>
      <c r="U368" s="84" t="s">
        <v>543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515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82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751</v>
      </c>
      <c r="S369" s="9" t="s">
        <v>692</v>
      </c>
      <c r="U369" s="84" t="s">
        <v>543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515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82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751</v>
      </c>
      <c r="S370" s="9" t="s">
        <v>692</v>
      </c>
      <c r="U370" s="84" t="s">
        <v>543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515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82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751</v>
      </c>
      <c r="S371" s="9" t="s">
        <v>692</v>
      </c>
      <c r="U371" s="84" t="s">
        <v>543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515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82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459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751</v>
      </c>
      <c r="S372" s="9" t="s">
        <v>692</v>
      </c>
      <c r="U372" s="84" t="s">
        <v>543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515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82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751</v>
      </c>
      <c r="S373" s="9" t="s">
        <v>692</v>
      </c>
      <c r="U373" s="84" t="s">
        <v>543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515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82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751</v>
      </c>
      <c r="S374" s="9" t="s">
        <v>692</v>
      </c>
      <c r="U374" s="84" t="s">
        <v>543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515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82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751</v>
      </c>
      <c r="S375" s="9" t="s">
        <v>692</v>
      </c>
      <c r="U375" s="84" t="s">
        <v>543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515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82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751</v>
      </c>
      <c r="S376" s="9" t="s">
        <v>692</v>
      </c>
      <c r="U376" s="84" t="s">
        <v>543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515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82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751</v>
      </c>
      <c r="S377" s="9" t="s">
        <v>692</v>
      </c>
      <c r="U377" s="84" t="s">
        <v>543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515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82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751</v>
      </c>
      <c r="S378" s="9" t="s">
        <v>692</v>
      </c>
      <c r="U378" s="84" t="s">
        <v>543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515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82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751</v>
      </c>
      <c r="S379" s="9" t="s">
        <v>692</v>
      </c>
      <c r="U379" s="84" t="s">
        <v>543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515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82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751</v>
      </c>
      <c r="S380" s="9" t="s">
        <v>692</v>
      </c>
      <c r="U380" s="84" t="s">
        <v>543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515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82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751</v>
      </c>
      <c r="S381" s="9" t="s">
        <v>692</v>
      </c>
      <c r="U381" s="84" t="s">
        <v>543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515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82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751</v>
      </c>
      <c r="S382" s="9" t="s">
        <v>692</v>
      </c>
      <c r="U382" s="84" t="s">
        <v>543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515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82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751</v>
      </c>
      <c r="S383" s="9" t="s">
        <v>692</v>
      </c>
      <c r="U383" s="84" t="s">
        <v>543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515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82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751</v>
      </c>
      <c r="S384" s="9" t="s">
        <v>692</v>
      </c>
      <c r="U384" s="84" t="s">
        <v>543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515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82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1140</v>
      </c>
      <c r="P385" s="17"/>
      <c r="Q385" s="17"/>
      <c r="R385" s="18"/>
      <c r="S385" s="16" t="s">
        <v>698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538</v>
      </c>
      <c r="Y385" s="16">
        <f ca="1">IFERROR(OFFSET(ITEM_RES!$A$5,MATCH(BUILDING!X385,ITEM_RES!$J$5:$J$229,0)-1,0),0)</f>
        <v>211020201</v>
      </c>
      <c r="Z385" s="78"/>
      <c r="AA385" s="16" t="s">
        <v>516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4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441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445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1141</v>
      </c>
      <c r="S386" s="9" t="s">
        <v>698</v>
      </c>
      <c r="V386" s="9">
        <f ca="1">IFERROR(OFFSET(ITEM_RES!$A$5,MATCH(BUILDING!U386,ITEM_RES!$J$5:$J$229,0)-1,0),0)</f>
        <v>0</v>
      </c>
      <c r="X386" s="84" t="s">
        <v>538</v>
      </c>
      <c r="Y386" s="9">
        <f ca="1">IFERROR(OFFSET(ITEM_RES!$A$5,MATCH(BUILDING!X386,ITEM_RES!$J$5:$J$229,0)-1,0),0)</f>
        <v>211020201</v>
      </c>
      <c r="AA386" s="9" t="s">
        <v>516</v>
      </c>
      <c r="AB386" s="9">
        <v>2</v>
      </c>
      <c r="AD386" s="11">
        <f ca="1">IFERROR(OFFSET(MANOR_LEVEL!$B$1,MATCH(AE386-1,MANOR_LEVEL!$A:$A,0)-1,0),0)</f>
        <v>100</v>
      </c>
      <c r="AE386" s="56">
        <v>2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82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441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1142</v>
      </c>
      <c r="S387" s="9" t="s">
        <v>698</v>
      </c>
      <c r="V387" s="9">
        <f ca="1">IFERROR(OFFSET(ITEM_RES!$A$5,MATCH(BUILDING!U387,ITEM_RES!$J$5:$J$229,0)-1,0),0)</f>
        <v>0</v>
      </c>
      <c r="X387" s="84" t="s">
        <v>538</v>
      </c>
      <c r="Y387" s="9">
        <f ca="1">IFERROR(OFFSET(ITEM_RES!$A$5,MATCH(BUILDING!X387,ITEM_RES!$J$5:$J$229,0)-1,0),0)</f>
        <v>211020201</v>
      </c>
      <c r="AA387" s="9" t="s">
        <v>516</v>
      </c>
      <c r="AB387" s="9">
        <v>3</v>
      </c>
      <c r="AD387" s="11">
        <f ca="1">IFERROR(OFFSET(MANOR_LEVEL!$B$1,MATCH(AE387-1,MANOR_LEVEL!$A:$A,0)-1,0),0)</f>
        <v>310</v>
      </c>
      <c r="AE387" s="56">
        <v>3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82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441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1143</v>
      </c>
      <c r="S388" s="9" t="s">
        <v>698</v>
      </c>
      <c r="V388" s="9">
        <f ca="1">IFERROR(OFFSET(ITEM_RES!$A$5,MATCH(BUILDING!U388,ITEM_RES!$J$5:$J$229,0)-1,0),0)</f>
        <v>0</v>
      </c>
      <c r="X388" s="84" t="s">
        <v>538</v>
      </c>
      <c r="Y388" s="9">
        <f ca="1">IFERROR(OFFSET(ITEM_RES!$A$5,MATCH(BUILDING!X388,ITEM_RES!$J$5:$J$229,0)-1,0),0)</f>
        <v>211020201</v>
      </c>
      <c r="AA388" s="9" t="s">
        <v>516</v>
      </c>
      <c r="AB388" s="9">
        <v>4</v>
      </c>
      <c r="AD388" s="11">
        <f ca="1">IFERROR(OFFSET(MANOR_LEVEL!$B$1,MATCH(AE388-1,MANOR_LEVEL!$A:$A,0)-1,0),0)</f>
        <v>310</v>
      </c>
      <c r="AE388" s="56">
        <v>3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82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441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1144</v>
      </c>
      <c r="S389" s="9" t="s">
        <v>698</v>
      </c>
      <c r="V389" s="9">
        <f ca="1">IFERROR(OFFSET(ITEM_RES!$A$5,MATCH(BUILDING!U389,ITEM_RES!$J$5:$J$229,0)-1,0),0)</f>
        <v>0</v>
      </c>
      <c r="X389" s="84" t="s">
        <v>538</v>
      </c>
      <c r="Y389" s="9">
        <f ca="1">IFERROR(OFFSET(ITEM_RES!$A$5,MATCH(BUILDING!X389,ITEM_RES!$J$5:$J$229,0)-1,0),0)</f>
        <v>211020201</v>
      </c>
      <c r="AA389" s="9" t="s">
        <v>516</v>
      </c>
      <c r="AB389" s="9">
        <v>5</v>
      </c>
      <c r="AD389" s="11">
        <f ca="1">IFERROR(OFFSET(MANOR_LEVEL!$B$1,MATCH(AE389-1,MANOR_LEVEL!$A:$A,0)-1,0),0)</f>
        <v>930</v>
      </c>
      <c r="AE389" s="56">
        <v>4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82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441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1145</v>
      </c>
      <c r="S390" s="9" t="s">
        <v>698</v>
      </c>
      <c r="V390" s="9">
        <f ca="1">IFERROR(OFFSET(ITEM_RES!$A$5,MATCH(BUILDING!U390,ITEM_RES!$J$5:$J$229,0)-1,0),0)</f>
        <v>0</v>
      </c>
      <c r="X390" s="84" t="s">
        <v>538</v>
      </c>
      <c r="Y390" s="9">
        <f ca="1">IFERROR(OFFSET(ITEM_RES!$A$5,MATCH(BUILDING!X390,ITEM_RES!$J$5:$J$229,0)-1,0),0)</f>
        <v>211020201</v>
      </c>
      <c r="AA390" s="9" t="s">
        <v>516</v>
      </c>
      <c r="AB390" s="9">
        <v>6</v>
      </c>
      <c r="AD390" s="11">
        <f ca="1">IFERROR(OFFSET(MANOR_LEVEL!$B$1,MATCH(AE390-1,MANOR_LEVEL!$A:$A,0)-1,0),0)</f>
        <v>930</v>
      </c>
      <c r="AE390" s="56">
        <v>4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82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441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1146</v>
      </c>
      <c r="S391" s="9" t="s">
        <v>698</v>
      </c>
      <c r="V391" s="9">
        <f ca="1">IFERROR(OFFSET(ITEM_RES!$A$5,MATCH(BUILDING!U391,ITEM_RES!$J$5:$J$229,0)-1,0),0)</f>
        <v>0</v>
      </c>
      <c r="X391" s="84" t="s">
        <v>538</v>
      </c>
      <c r="Y391" s="9">
        <f ca="1">IFERROR(OFFSET(ITEM_RES!$A$5,MATCH(BUILDING!X391,ITEM_RES!$J$5:$J$229,0)-1,0),0)</f>
        <v>211020201</v>
      </c>
      <c r="AA391" s="9" t="s">
        <v>516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82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441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1146</v>
      </c>
      <c r="S392" s="9" t="s">
        <v>698</v>
      </c>
      <c r="V392" s="9">
        <f ca="1">IFERROR(OFFSET(ITEM_RES!$A$5,MATCH(BUILDING!U392,ITEM_RES!$J$5:$J$229,0)-1,0),0)</f>
        <v>0</v>
      </c>
      <c r="X392" s="84" t="s">
        <v>538</v>
      </c>
      <c r="Y392" s="9">
        <f ca="1">IFERROR(OFFSET(ITEM_RES!$A$5,MATCH(BUILDING!X392,ITEM_RES!$J$5:$J$229,0)-1,0),0)</f>
        <v>211020201</v>
      </c>
      <c r="AA392" s="9" t="s">
        <v>516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82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441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1146</v>
      </c>
      <c r="S393" s="9" t="s">
        <v>698</v>
      </c>
      <c r="V393" s="9">
        <f ca="1">IFERROR(OFFSET(ITEM_RES!$A$5,MATCH(BUILDING!U393,ITEM_RES!$J$5:$J$229,0)-1,0),0)</f>
        <v>0</v>
      </c>
      <c r="X393" s="84" t="s">
        <v>538</v>
      </c>
      <c r="Y393" s="9">
        <f ca="1">IFERROR(OFFSET(ITEM_RES!$A$5,MATCH(BUILDING!X393,ITEM_RES!$J$5:$J$229,0)-1,0),0)</f>
        <v>211020201</v>
      </c>
      <c r="AA393" s="9" t="s">
        <v>516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82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441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1146</v>
      </c>
      <c r="S394" s="9" t="s">
        <v>698</v>
      </c>
      <c r="V394" s="9">
        <f ca="1">IFERROR(OFFSET(ITEM_RES!$A$5,MATCH(BUILDING!U394,ITEM_RES!$J$5:$J$229,0)-1,0),0)</f>
        <v>0</v>
      </c>
      <c r="X394" s="84" t="s">
        <v>538</v>
      </c>
      <c r="Y394" s="9">
        <f ca="1">IFERROR(OFFSET(ITEM_RES!$A$5,MATCH(BUILDING!X394,ITEM_RES!$J$5:$J$229,0)-1,0),0)</f>
        <v>211020201</v>
      </c>
      <c r="AA394" s="9" t="s">
        <v>516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82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441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1146</v>
      </c>
      <c r="S395" s="9" t="s">
        <v>698</v>
      </c>
      <c r="V395" s="9">
        <f ca="1">IFERROR(OFFSET(ITEM_RES!$A$5,MATCH(BUILDING!U395,ITEM_RES!$J$5:$J$229,0)-1,0),0)</f>
        <v>0</v>
      </c>
      <c r="X395" s="84" t="s">
        <v>538</v>
      </c>
      <c r="Y395" s="9">
        <f ca="1">IFERROR(OFFSET(ITEM_RES!$A$5,MATCH(BUILDING!X395,ITEM_RES!$J$5:$J$229,0)-1,0),0)</f>
        <v>211020201</v>
      </c>
      <c r="AA395" s="9" t="s">
        <v>516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82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441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1146</v>
      </c>
      <c r="S396" s="9" t="s">
        <v>698</v>
      </c>
      <c r="V396" s="9">
        <f ca="1">IFERROR(OFFSET(ITEM_RES!$A$5,MATCH(BUILDING!U396,ITEM_RES!$J$5:$J$229,0)-1,0),0)</f>
        <v>0</v>
      </c>
      <c r="X396" s="84" t="s">
        <v>538</v>
      </c>
      <c r="Y396" s="9">
        <f ca="1">IFERROR(OFFSET(ITEM_RES!$A$5,MATCH(BUILDING!X396,ITEM_RES!$J$5:$J$229,0)-1,0),0)</f>
        <v>211020201</v>
      </c>
      <c r="AA396" s="9" t="s">
        <v>516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82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441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1146</v>
      </c>
      <c r="S397" s="9" t="s">
        <v>698</v>
      </c>
      <c r="V397" s="9">
        <f ca="1">IFERROR(OFFSET(ITEM_RES!$A$5,MATCH(BUILDING!U397,ITEM_RES!$J$5:$J$229,0)-1,0),0)</f>
        <v>0</v>
      </c>
      <c r="X397" s="84" t="s">
        <v>538</v>
      </c>
      <c r="Y397" s="9">
        <f ca="1">IFERROR(OFFSET(ITEM_RES!$A$5,MATCH(BUILDING!X397,ITEM_RES!$J$5:$J$229,0)-1,0),0)</f>
        <v>211020201</v>
      </c>
      <c r="AA397" s="9" t="s">
        <v>516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82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441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1146</v>
      </c>
      <c r="S398" s="9" t="s">
        <v>698</v>
      </c>
      <c r="V398" s="9">
        <f ca="1">IFERROR(OFFSET(ITEM_RES!$A$5,MATCH(BUILDING!U398,ITEM_RES!$J$5:$J$229,0)-1,0),0)</f>
        <v>0</v>
      </c>
      <c r="X398" s="84" t="s">
        <v>538</v>
      </c>
      <c r="Y398" s="9">
        <f ca="1">IFERROR(OFFSET(ITEM_RES!$A$5,MATCH(BUILDING!X398,ITEM_RES!$J$5:$J$229,0)-1,0),0)</f>
        <v>211020201</v>
      </c>
      <c r="AA398" s="9" t="s">
        <v>516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82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441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1146</v>
      </c>
      <c r="S399" s="9" t="s">
        <v>698</v>
      </c>
      <c r="V399" s="9">
        <f ca="1">IFERROR(OFFSET(ITEM_RES!$A$5,MATCH(BUILDING!U399,ITEM_RES!$J$5:$J$229,0)-1,0),0)</f>
        <v>0</v>
      </c>
      <c r="X399" s="84" t="s">
        <v>538</v>
      </c>
      <c r="Y399" s="9">
        <f ca="1">IFERROR(OFFSET(ITEM_RES!$A$5,MATCH(BUILDING!X399,ITEM_RES!$J$5:$J$229,0)-1,0),0)</f>
        <v>211020201</v>
      </c>
      <c r="AA399" s="9" t="s">
        <v>516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82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441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1146</v>
      </c>
      <c r="S400" s="9" t="s">
        <v>698</v>
      </c>
      <c r="V400" s="9">
        <f ca="1">IFERROR(OFFSET(ITEM_RES!$A$5,MATCH(BUILDING!U400,ITEM_RES!$J$5:$J$229,0)-1,0),0)</f>
        <v>0</v>
      </c>
      <c r="X400" s="84" t="s">
        <v>538</v>
      </c>
      <c r="Y400" s="9">
        <f ca="1">IFERROR(OFFSET(ITEM_RES!$A$5,MATCH(BUILDING!X400,ITEM_RES!$J$5:$J$229,0)-1,0),0)</f>
        <v>211020201</v>
      </c>
      <c r="AA400" s="9" t="s">
        <v>516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82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441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1146</v>
      </c>
      <c r="S401" s="9" t="s">
        <v>698</v>
      </c>
      <c r="V401" s="9">
        <f ca="1">IFERROR(OFFSET(ITEM_RES!$A$5,MATCH(BUILDING!U401,ITEM_RES!$J$5:$J$229,0)-1,0),0)</f>
        <v>0</v>
      </c>
      <c r="X401" s="84" t="s">
        <v>538</v>
      </c>
      <c r="Y401" s="9">
        <f ca="1">IFERROR(OFFSET(ITEM_RES!$A$5,MATCH(BUILDING!X401,ITEM_RES!$J$5:$J$229,0)-1,0),0)</f>
        <v>211020201</v>
      </c>
      <c r="AA401" s="9" t="s">
        <v>516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82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441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1146</v>
      </c>
      <c r="S402" s="9" t="s">
        <v>698</v>
      </c>
      <c r="V402" s="9">
        <f ca="1">IFERROR(OFFSET(ITEM_RES!$A$5,MATCH(BUILDING!U402,ITEM_RES!$J$5:$J$229,0)-1,0),0)</f>
        <v>0</v>
      </c>
      <c r="X402" s="84" t="s">
        <v>538</v>
      </c>
      <c r="Y402" s="9">
        <f ca="1">IFERROR(OFFSET(ITEM_RES!$A$5,MATCH(BUILDING!X402,ITEM_RES!$J$5:$J$229,0)-1,0),0)</f>
        <v>211020201</v>
      </c>
      <c r="AA402" s="9" t="s">
        <v>516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82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441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1146</v>
      </c>
      <c r="S403" s="9" t="s">
        <v>698</v>
      </c>
      <c r="V403" s="9">
        <f ca="1">IFERROR(OFFSET(ITEM_RES!$A$5,MATCH(BUILDING!U403,ITEM_RES!$J$5:$J$229,0)-1,0),0)</f>
        <v>0</v>
      </c>
      <c r="X403" s="84" t="s">
        <v>538</v>
      </c>
      <c r="Y403" s="9">
        <f ca="1">IFERROR(OFFSET(ITEM_RES!$A$5,MATCH(BUILDING!X403,ITEM_RES!$J$5:$J$229,0)-1,0),0)</f>
        <v>211020201</v>
      </c>
      <c r="AA403" s="9" t="s">
        <v>516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82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441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1146</v>
      </c>
      <c r="S404" s="9" t="s">
        <v>698</v>
      </c>
      <c r="V404" s="9">
        <f ca="1">IFERROR(OFFSET(ITEM_RES!$A$5,MATCH(BUILDING!U404,ITEM_RES!$J$5:$J$229,0)-1,0),0)</f>
        <v>0</v>
      </c>
      <c r="X404" s="84" t="s">
        <v>538</v>
      </c>
      <c r="Y404" s="9">
        <f ca="1">IFERROR(OFFSET(ITEM_RES!$A$5,MATCH(BUILDING!X404,ITEM_RES!$J$5:$J$229,0)-1,0),0)</f>
        <v>211020201</v>
      </c>
      <c r="AA404" s="9" t="s">
        <v>516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82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441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1035</v>
      </c>
      <c r="P405" s="17"/>
      <c r="Q405" s="17"/>
      <c r="R405" s="18"/>
      <c r="S405" s="16" t="s">
        <v>697</v>
      </c>
      <c r="T405" s="78"/>
      <c r="U405" s="86" t="s">
        <v>544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539</v>
      </c>
      <c r="Y405" s="16">
        <f ca="1">IFERROR(OFFSET(ITEM_RES!$A$5,MATCH(BUILDING!X405,ITEM_RES!$J$5:$J$229,0)-1,0),0)</f>
        <v>211020501</v>
      </c>
      <c r="Z405" s="78"/>
      <c r="AA405" s="16" t="s">
        <v>517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4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445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1035</v>
      </c>
      <c r="S406" s="9" t="s">
        <v>697</v>
      </c>
      <c r="U406" s="84" t="s">
        <v>544</v>
      </c>
      <c r="V406" s="9">
        <f ca="1">IFERROR(OFFSET(ITEM_RES!$A$5,MATCH(BUILDING!U406,ITEM_RES!$J$5:$J$229,0)-1,0),0)</f>
        <v>211020401</v>
      </c>
      <c r="W406" s="11">
        <v>1</v>
      </c>
      <c r="X406" s="84" t="s">
        <v>539</v>
      </c>
      <c r="Y406" s="9">
        <f ca="1">IFERROR(OFFSET(ITEM_RES!$A$5,MATCH(BUILDING!X406,ITEM_RES!$J$5:$J$229,0)-1,0),0)</f>
        <v>211020501</v>
      </c>
      <c r="AA406" s="9" t="s">
        <v>517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82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1035</v>
      </c>
      <c r="S407" s="9" t="s">
        <v>697</v>
      </c>
      <c r="U407" s="84" t="s">
        <v>544</v>
      </c>
      <c r="V407" s="9">
        <f ca="1">IFERROR(OFFSET(ITEM_RES!$A$5,MATCH(BUILDING!U407,ITEM_RES!$J$5:$J$229,0)-1,0),0)</f>
        <v>211020401</v>
      </c>
      <c r="W407" s="11">
        <v>1</v>
      </c>
      <c r="X407" s="84" t="s">
        <v>539</v>
      </c>
      <c r="Y407" s="9">
        <f ca="1">IFERROR(OFFSET(ITEM_RES!$A$5,MATCH(BUILDING!X407,ITEM_RES!$J$5:$J$229,0)-1,0),0)</f>
        <v>211020501</v>
      </c>
      <c r="AA407" s="9" t="s">
        <v>517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82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1035</v>
      </c>
      <c r="S408" s="9" t="s">
        <v>697</v>
      </c>
      <c r="U408" s="84" t="s">
        <v>544</v>
      </c>
      <c r="V408" s="9">
        <f ca="1">IFERROR(OFFSET(ITEM_RES!$A$5,MATCH(BUILDING!U408,ITEM_RES!$J$5:$J$229,0)-1,0),0)</f>
        <v>211020401</v>
      </c>
      <c r="W408" s="11">
        <v>1</v>
      </c>
      <c r="X408" s="84" t="s">
        <v>539</v>
      </c>
      <c r="Y408" s="9">
        <f ca="1">IFERROR(OFFSET(ITEM_RES!$A$5,MATCH(BUILDING!X408,ITEM_RES!$J$5:$J$229,0)-1,0),0)</f>
        <v>211020501</v>
      </c>
      <c r="AA408" s="9" t="s">
        <v>517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82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1035</v>
      </c>
      <c r="S409" s="9" t="s">
        <v>697</v>
      </c>
      <c r="U409" s="84" t="s">
        <v>544</v>
      </c>
      <c r="V409" s="9">
        <f ca="1">IFERROR(OFFSET(ITEM_RES!$A$5,MATCH(BUILDING!U409,ITEM_RES!$J$5:$J$229,0)-1,0),0)</f>
        <v>211020401</v>
      </c>
      <c r="W409" s="11">
        <v>1</v>
      </c>
      <c r="X409" s="84" t="s">
        <v>539</v>
      </c>
      <c r="Y409" s="9">
        <f ca="1">IFERROR(OFFSET(ITEM_RES!$A$5,MATCH(BUILDING!X409,ITEM_RES!$J$5:$J$229,0)-1,0),0)</f>
        <v>211020501</v>
      </c>
      <c r="AA409" s="9" t="s">
        <v>517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82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1035</v>
      </c>
      <c r="S410" s="9" t="s">
        <v>697</v>
      </c>
      <c r="U410" s="84" t="s">
        <v>544</v>
      </c>
      <c r="V410" s="9">
        <f ca="1">IFERROR(OFFSET(ITEM_RES!$A$5,MATCH(BUILDING!U410,ITEM_RES!$J$5:$J$229,0)-1,0),0)</f>
        <v>211020401</v>
      </c>
      <c r="W410" s="11">
        <v>1</v>
      </c>
      <c r="X410" s="84" t="s">
        <v>539</v>
      </c>
      <c r="Y410" s="9">
        <f ca="1">IFERROR(OFFSET(ITEM_RES!$A$5,MATCH(BUILDING!X410,ITEM_RES!$J$5:$J$229,0)-1,0),0)</f>
        <v>211020501</v>
      </c>
      <c r="AA410" s="9" t="s">
        <v>517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82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462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1035</v>
      </c>
      <c r="S411" s="9" t="s">
        <v>697</v>
      </c>
      <c r="U411" s="84" t="s">
        <v>544</v>
      </c>
      <c r="V411" s="9">
        <f ca="1">IFERROR(OFFSET(ITEM_RES!$A$5,MATCH(BUILDING!U411,ITEM_RES!$J$5:$J$229,0)-1,0),0)</f>
        <v>211020401</v>
      </c>
      <c r="W411" s="11">
        <v>1</v>
      </c>
      <c r="X411" s="84" t="s">
        <v>539</v>
      </c>
      <c r="Y411" s="9">
        <f ca="1">IFERROR(OFFSET(ITEM_RES!$A$5,MATCH(BUILDING!X411,ITEM_RES!$J$5:$J$229,0)-1,0),0)</f>
        <v>211020501</v>
      </c>
      <c r="AA411" s="9" t="s">
        <v>517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82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1035</v>
      </c>
      <c r="S412" s="9" t="s">
        <v>697</v>
      </c>
      <c r="U412" s="84" t="s">
        <v>544</v>
      </c>
      <c r="V412" s="9">
        <f ca="1">IFERROR(OFFSET(ITEM_RES!$A$5,MATCH(BUILDING!U412,ITEM_RES!$J$5:$J$229,0)-1,0),0)</f>
        <v>211020401</v>
      </c>
      <c r="W412" s="11">
        <v>1</v>
      </c>
      <c r="X412" s="84" t="s">
        <v>539</v>
      </c>
      <c r="Y412" s="9">
        <f ca="1">IFERROR(OFFSET(ITEM_RES!$A$5,MATCH(BUILDING!X412,ITEM_RES!$J$5:$J$229,0)-1,0),0)</f>
        <v>211020501</v>
      </c>
      <c r="AA412" s="9" t="s">
        <v>517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82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1035</v>
      </c>
      <c r="S413" s="9" t="s">
        <v>697</v>
      </c>
      <c r="U413" s="84" t="s">
        <v>544</v>
      </c>
      <c r="V413" s="9">
        <f ca="1">IFERROR(OFFSET(ITEM_RES!$A$5,MATCH(BUILDING!U413,ITEM_RES!$J$5:$J$229,0)-1,0),0)</f>
        <v>211020401</v>
      </c>
      <c r="W413" s="11">
        <v>1</v>
      </c>
      <c r="X413" s="84" t="s">
        <v>539</v>
      </c>
      <c r="Y413" s="9">
        <f ca="1">IFERROR(OFFSET(ITEM_RES!$A$5,MATCH(BUILDING!X413,ITEM_RES!$J$5:$J$229,0)-1,0),0)</f>
        <v>211020501</v>
      </c>
      <c r="AA413" s="9" t="s">
        <v>517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82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1035</v>
      </c>
      <c r="S414" s="9" t="s">
        <v>697</v>
      </c>
      <c r="U414" s="84" t="s">
        <v>544</v>
      </c>
      <c r="V414" s="9">
        <f ca="1">IFERROR(OFFSET(ITEM_RES!$A$5,MATCH(BUILDING!U414,ITEM_RES!$J$5:$J$229,0)-1,0),0)</f>
        <v>211020401</v>
      </c>
      <c r="W414" s="11">
        <v>1</v>
      </c>
      <c r="X414" s="84" t="s">
        <v>539</v>
      </c>
      <c r="Y414" s="9">
        <f ca="1">IFERROR(OFFSET(ITEM_RES!$A$5,MATCH(BUILDING!X414,ITEM_RES!$J$5:$J$229,0)-1,0),0)</f>
        <v>211020501</v>
      </c>
      <c r="AA414" s="9" t="s">
        <v>517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82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1035</v>
      </c>
      <c r="S415" s="9" t="s">
        <v>697</v>
      </c>
      <c r="U415" s="84" t="s">
        <v>544</v>
      </c>
      <c r="V415" s="9">
        <f ca="1">IFERROR(OFFSET(ITEM_RES!$A$5,MATCH(BUILDING!U415,ITEM_RES!$J$5:$J$229,0)-1,0),0)</f>
        <v>211020401</v>
      </c>
      <c r="W415" s="11">
        <v>1</v>
      </c>
      <c r="X415" s="84" t="s">
        <v>539</v>
      </c>
      <c r="Y415" s="9">
        <f ca="1">IFERROR(OFFSET(ITEM_RES!$A$5,MATCH(BUILDING!X415,ITEM_RES!$J$5:$J$229,0)-1,0),0)</f>
        <v>211020501</v>
      </c>
      <c r="AA415" s="9" t="s">
        <v>517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82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1035</v>
      </c>
      <c r="S416" s="9" t="s">
        <v>697</v>
      </c>
      <c r="U416" s="84" t="s">
        <v>544</v>
      </c>
      <c r="V416" s="9">
        <f ca="1">IFERROR(OFFSET(ITEM_RES!$A$5,MATCH(BUILDING!U416,ITEM_RES!$J$5:$J$229,0)-1,0),0)</f>
        <v>211020401</v>
      </c>
      <c r="W416" s="11">
        <v>1</v>
      </c>
      <c r="X416" s="84" t="s">
        <v>539</v>
      </c>
      <c r="Y416" s="9">
        <f ca="1">IFERROR(OFFSET(ITEM_RES!$A$5,MATCH(BUILDING!X416,ITEM_RES!$J$5:$J$229,0)-1,0),0)</f>
        <v>211020501</v>
      </c>
      <c r="AA416" s="9" t="s">
        <v>517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82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1035</v>
      </c>
      <c r="S417" s="9" t="s">
        <v>697</v>
      </c>
      <c r="U417" s="84" t="s">
        <v>544</v>
      </c>
      <c r="V417" s="9">
        <f ca="1">IFERROR(OFFSET(ITEM_RES!$A$5,MATCH(BUILDING!U417,ITEM_RES!$J$5:$J$229,0)-1,0),0)</f>
        <v>211020401</v>
      </c>
      <c r="W417" s="11">
        <v>1</v>
      </c>
      <c r="X417" s="84" t="s">
        <v>539</v>
      </c>
      <c r="Y417" s="9">
        <f ca="1">IFERROR(OFFSET(ITEM_RES!$A$5,MATCH(BUILDING!X417,ITEM_RES!$J$5:$J$229,0)-1,0),0)</f>
        <v>211020501</v>
      </c>
      <c r="AA417" s="9" t="s">
        <v>517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82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1035</v>
      </c>
      <c r="S418" s="9" t="s">
        <v>697</v>
      </c>
      <c r="U418" s="84" t="s">
        <v>544</v>
      </c>
      <c r="V418" s="9">
        <f ca="1">IFERROR(OFFSET(ITEM_RES!$A$5,MATCH(BUILDING!U418,ITEM_RES!$J$5:$J$229,0)-1,0),0)</f>
        <v>211020401</v>
      </c>
      <c r="W418" s="11">
        <v>1</v>
      </c>
      <c r="X418" s="84" t="s">
        <v>539</v>
      </c>
      <c r="Y418" s="9">
        <f ca="1">IFERROR(OFFSET(ITEM_RES!$A$5,MATCH(BUILDING!X418,ITEM_RES!$J$5:$J$229,0)-1,0),0)</f>
        <v>211020501</v>
      </c>
      <c r="AA418" s="9" t="s">
        <v>517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82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1035</v>
      </c>
      <c r="S419" s="9" t="s">
        <v>697</v>
      </c>
      <c r="U419" s="84" t="s">
        <v>544</v>
      </c>
      <c r="V419" s="9">
        <f ca="1">IFERROR(OFFSET(ITEM_RES!$A$5,MATCH(BUILDING!U419,ITEM_RES!$J$5:$J$229,0)-1,0),0)</f>
        <v>211020401</v>
      </c>
      <c r="W419" s="11">
        <v>1</v>
      </c>
      <c r="X419" s="84" t="s">
        <v>539</v>
      </c>
      <c r="Y419" s="9">
        <f ca="1">IFERROR(OFFSET(ITEM_RES!$A$5,MATCH(BUILDING!X419,ITEM_RES!$J$5:$J$229,0)-1,0),0)</f>
        <v>211020501</v>
      </c>
      <c r="AA419" s="9" t="s">
        <v>517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82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1035</v>
      </c>
      <c r="S420" s="9" t="s">
        <v>697</v>
      </c>
      <c r="U420" s="84" t="s">
        <v>544</v>
      </c>
      <c r="V420" s="9">
        <f ca="1">IFERROR(OFFSET(ITEM_RES!$A$5,MATCH(BUILDING!U420,ITEM_RES!$J$5:$J$229,0)-1,0),0)</f>
        <v>211020401</v>
      </c>
      <c r="W420" s="11">
        <v>1</v>
      </c>
      <c r="X420" s="84" t="s">
        <v>539</v>
      </c>
      <c r="Y420" s="9">
        <f ca="1">IFERROR(OFFSET(ITEM_RES!$A$5,MATCH(BUILDING!X420,ITEM_RES!$J$5:$J$229,0)-1,0),0)</f>
        <v>211020501</v>
      </c>
      <c r="AA420" s="9" t="s">
        <v>517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82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1035</v>
      </c>
      <c r="S421" s="9" t="s">
        <v>697</v>
      </c>
      <c r="U421" s="84" t="s">
        <v>544</v>
      </c>
      <c r="V421" s="9">
        <f ca="1">IFERROR(OFFSET(ITEM_RES!$A$5,MATCH(BUILDING!U421,ITEM_RES!$J$5:$J$229,0)-1,0),0)</f>
        <v>211020401</v>
      </c>
      <c r="W421" s="11">
        <v>1</v>
      </c>
      <c r="X421" s="84" t="s">
        <v>539</v>
      </c>
      <c r="Y421" s="9">
        <f ca="1">IFERROR(OFFSET(ITEM_RES!$A$5,MATCH(BUILDING!X421,ITEM_RES!$J$5:$J$229,0)-1,0),0)</f>
        <v>211020501</v>
      </c>
      <c r="AA421" s="9" t="s">
        <v>517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82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1035</v>
      </c>
      <c r="S422" s="9" t="s">
        <v>697</v>
      </c>
      <c r="U422" s="84" t="s">
        <v>544</v>
      </c>
      <c r="V422" s="9">
        <f ca="1">IFERROR(OFFSET(ITEM_RES!$A$5,MATCH(BUILDING!U422,ITEM_RES!$J$5:$J$229,0)-1,0),0)</f>
        <v>211020401</v>
      </c>
      <c r="W422" s="11">
        <v>1</v>
      </c>
      <c r="X422" s="84" t="s">
        <v>539</v>
      </c>
      <c r="Y422" s="9">
        <f ca="1">IFERROR(OFFSET(ITEM_RES!$A$5,MATCH(BUILDING!X422,ITEM_RES!$J$5:$J$229,0)-1,0),0)</f>
        <v>211020501</v>
      </c>
      <c r="AA422" s="9" t="s">
        <v>517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82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1035</v>
      </c>
      <c r="S423" s="9" t="s">
        <v>697</v>
      </c>
      <c r="U423" s="84" t="s">
        <v>544</v>
      </c>
      <c r="V423" s="9">
        <f ca="1">IFERROR(OFFSET(ITEM_RES!$A$5,MATCH(BUILDING!U423,ITEM_RES!$J$5:$J$229,0)-1,0),0)</f>
        <v>211020401</v>
      </c>
      <c r="W423" s="11">
        <v>1</v>
      </c>
      <c r="X423" s="84" t="s">
        <v>539</v>
      </c>
      <c r="Y423" s="9">
        <f ca="1">IFERROR(OFFSET(ITEM_RES!$A$5,MATCH(BUILDING!X423,ITEM_RES!$J$5:$J$229,0)-1,0),0)</f>
        <v>211020501</v>
      </c>
      <c r="AA423" s="9" t="s">
        <v>517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82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1035</v>
      </c>
      <c r="S424" s="9" t="s">
        <v>697</v>
      </c>
      <c r="U424" s="84" t="s">
        <v>544</v>
      </c>
      <c r="V424" s="9">
        <f ca="1">IFERROR(OFFSET(ITEM_RES!$A$5,MATCH(BUILDING!U424,ITEM_RES!$J$5:$J$229,0)-1,0),0)</f>
        <v>211020401</v>
      </c>
      <c r="W424" s="11">
        <v>1</v>
      </c>
      <c r="X424" s="84" t="s">
        <v>539</v>
      </c>
      <c r="Y424" s="9">
        <f ca="1">IFERROR(OFFSET(ITEM_RES!$A$5,MATCH(BUILDING!X424,ITEM_RES!$J$5:$J$229,0)-1,0),0)</f>
        <v>211020501</v>
      </c>
      <c r="AA424" s="9" t="s">
        <v>517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82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523</v>
      </c>
      <c r="L425" s="16">
        <v>3</v>
      </c>
      <c r="M425" s="16">
        <v>1</v>
      </c>
      <c r="N425" s="16">
        <v>15</v>
      </c>
      <c r="O425" s="16" t="s">
        <v>1147</v>
      </c>
      <c r="P425" s="17"/>
      <c r="Q425" s="17"/>
      <c r="R425" s="18"/>
      <c r="S425" s="16" t="s">
        <v>693</v>
      </c>
      <c r="T425" s="78"/>
      <c r="U425" s="86" t="s">
        <v>538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540</v>
      </c>
      <c r="Y425" s="16">
        <f ca="1">IFERROR(OFFSET(ITEM_RES!$A$5,MATCH(BUILDING!X425,ITEM_RES!$J$5:$J$229,0)-1,0),0)</f>
        <v>211020301</v>
      </c>
      <c r="Z425" s="78"/>
      <c r="AA425" s="16" t="s">
        <v>518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4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31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445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1147</v>
      </c>
      <c r="S426" s="9" t="s">
        <v>693</v>
      </c>
      <c r="U426" s="84" t="s">
        <v>538</v>
      </c>
      <c r="V426" s="9">
        <f ca="1">IFERROR(OFFSET(ITEM_RES!$A$5,MATCH(BUILDING!U426,ITEM_RES!$J$5:$J$229,0)-1,0),0)</f>
        <v>211020201</v>
      </c>
      <c r="W426" s="11">
        <v>1</v>
      </c>
      <c r="X426" s="84" t="s">
        <v>540</v>
      </c>
      <c r="Y426" s="9">
        <f ca="1">IFERROR(OFFSET(ITEM_RES!$A$5,MATCH(BUILDING!X426,ITEM_RES!$J$5:$J$229,0)-1,0),0)</f>
        <v>211020301</v>
      </c>
      <c r="AA426" s="9" t="s">
        <v>518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82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1148</v>
      </c>
      <c r="S427" s="9" t="s">
        <v>693</v>
      </c>
      <c r="U427" s="84" t="s">
        <v>538</v>
      </c>
      <c r="V427" s="9">
        <f ca="1">IFERROR(OFFSET(ITEM_RES!$A$5,MATCH(BUILDING!U427,ITEM_RES!$J$5:$J$229,0)-1,0),0)</f>
        <v>211020201</v>
      </c>
      <c r="W427" s="11">
        <v>1</v>
      </c>
      <c r="X427" s="84" t="s">
        <v>540</v>
      </c>
      <c r="Y427" s="9">
        <f ca="1">IFERROR(OFFSET(ITEM_RES!$A$5,MATCH(BUILDING!X427,ITEM_RES!$J$5:$J$229,0)-1,0),0)</f>
        <v>211020301</v>
      </c>
      <c r="AA427" s="9" t="s">
        <v>518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82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1149</v>
      </c>
      <c r="S428" s="9" t="s">
        <v>693</v>
      </c>
      <c r="U428" s="84" t="s">
        <v>538</v>
      </c>
      <c r="V428" s="9">
        <f ca="1">IFERROR(OFFSET(ITEM_RES!$A$5,MATCH(BUILDING!U428,ITEM_RES!$J$5:$J$229,0)-1,0),0)</f>
        <v>211020201</v>
      </c>
      <c r="W428" s="11">
        <v>1</v>
      </c>
      <c r="X428" s="84" t="s">
        <v>540</v>
      </c>
      <c r="Y428" s="9">
        <f ca="1">IFERROR(OFFSET(ITEM_RES!$A$5,MATCH(BUILDING!X428,ITEM_RES!$J$5:$J$229,0)-1,0),0)</f>
        <v>211020301</v>
      </c>
      <c r="AA428" s="9" t="s">
        <v>518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82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1150</v>
      </c>
      <c r="S429" s="9" t="s">
        <v>693</v>
      </c>
      <c r="U429" s="84" t="s">
        <v>538</v>
      </c>
      <c r="V429" s="9">
        <f ca="1">IFERROR(OFFSET(ITEM_RES!$A$5,MATCH(BUILDING!U429,ITEM_RES!$J$5:$J$229,0)-1,0),0)</f>
        <v>211020201</v>
      </c>
      <c r="W429" s="11">
        <v>1</v>
      </c>
      <c r="X429" s="84" t="s">
        <v>540</v>
      </c>
      <c r="Y429" s="9">
        <f ca="1">IFERROR(OFFSET(ITEM_RES!$A$5,MATCH(BUILDING!X429,ITEM_RES!$J$5:$J$229,0)-1,0),0)</f>
        <v>211020301</v>
      </c>
      <c r="AA429" s="9" t="s">
        <v>518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82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1151</v>
      </c>
      <c r="S430" s="9" t="s">
        <v>693</v>
      </c>
      <c r="U430" s="84" t="s">
        <v>538</v>
      </c>
      <c r="V430" s="9">
        <f ca="1">IFERROR(OFFSET(ITEM_RES!$A$5,MATCH(BUILDING!U430,ITEM_RES!$J$5:$J$229,0)-1,0),0)</f>
        <v>211020201</v>
      </c>
      <c r="W430" s="11">
        <v>1</v>
      </c>
      <c r="X430" s="84" t="s">
        <v>540</v>
      </c>
      <c r="Y430" s="9">
        <f ca="1">IFERROR(OFFSET(ITEM_RES!$A$5,MATCH(BUILDING!X430,ITEM_RES!$J$5:$J$229,0)-1,0),0)</f>
        <v>211020301</v>
      </c>
      <c r="AA430" s="9" t="s">
        <v>518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82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1152</v>
      </c>
      <c r="S431" s="9" t="s">
        <v>693</v>
      </c>
      <c r="U431" s="84" t="s">
        <v>538</v>
      </c>
      <c r="V431" s="9">
        <f ca="1">IFERROR(OFFSET(ITEM_RES!$A$5,MATCH(BUILDING!U431,ITEM_RES!$J$5:$J$229,0)-1,0),0)</f>
        <v>211020201</v>
      </c>
      <c r="W431" s="11">
        <v>1</v>
      </c>
      <c r="X431" s="84" t="s">
        <v>540</v>
      </c>
      <c r="Y431" s="9">
        <f ca="1">IFERROR(OFFSET(ITEM_RES!$A$5,MATCH(BUILDING!X431,ITEM_RES!$J$5:$J$229,0)-1,0),0)</f>
        <v>211020301</v>
      </c>
      <c r="AA431" s="9" t="s">
        <v>518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82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1152</v>
      </c>
      <c r="S432" s="9" t="s">
        <v>693</v>
      </c>
      <c r="U432" s="84" t="s">
        <v>538</v>
      </c>
      <c r="V432" s="9">
        <f ca="1">IFERROR(OFFSET(ITEM_RES!$A$5,MATCH(BUILDING!U432,ITEM_RES!$J$5:$J$229,0)-1,0),0)</f>
        <v>211020201</v>
      </c>
      <c r="W432" s="11">
        <v>1</v>
      </c>
      <c r="X432" s="84" t="s">
        <v>540</v>
      </c>
      <c r="Y432" s="9">
        <f ca="1">IFERROR(OFFSET(ITEM_RES!$A$5,MATCH(BUILDING!X432,ITEM_RES!$J$5:$J$229,0)-1,0),0)</f>
        <v>211020301</v>
      </c>
      <c r="AA432" s="9" t="s">
        <v>518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82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1152</v>
      </c>
      <c r="S433" s="9" t="s">
        <v>693</v>
      </c>
      <c r="U433" s="84" t="s">
        <v>538</v>
      </c>
      <c r="V433" s="9">
        <f ca="1">IFERROR(OFFSET(ITEM_RES!$A$5,MATCH(BUILDING!U433,ITEM_RES!$J$5:$J$229,0)-1,0),0)</f>
        <v>211020201</v>
      </c>
      <c r="W433" s="11">
        <v>1</v>
      </c>
      <c r="X433" s="84" t="s">
        <v>540</v>
      </c>
      <c r="Y433" s="9">
        <f ca="1">IFERROR(OFFSET(ITEM_RES!$A$5,MATCH(BUILDING!X433,ITEM_RES!$J$5:$J$229,0)-1,0),0)</f>
        <v>211020301</v>
      </c>
      <c r="AA433" s="9" t="s">
        <v>518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82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1152</v>
      </c>
      <c r="S434" s="9" t="s">
        <v>693</v>
      </c>
      <c r="U434" s="84" t="s">
        <v>538</v>
      </c>
      <c r="V434" s="9">
        <f ca="1">IFERROR(OFFSET(ITEM_RES!$A$5,MATCH(BUILDING!U434,ITEM_RES!$J$5:$J$229,0)-1,0),0)</f>
        <v>211020201</v>
      </c>
      <c r="W434" s="11">
        <v>1</v>
      </c>
      <c r="X434" s="84" t="s">
        <v>540</v>
      </c>
      <c r="Y434" s="9">
        <f ca="1">IFERROR(OFFSET(ITEM_RES!$A$5,MATCH(BUILDING!X434,ITEM_RES!$J$5:$J$229,0)-1,0),0)</f>
        <v>211020301</v>
      </c>
      <c r="AA434" s="9" t="s">
        <v>518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82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1152</v>
      </c>
      <c r="S435" s="9" t="s">
        <v>693</v>
      </c>
      <c r="U435" s="84" t="s">
        <v>538</v>
      </c>
      <c r="V435" s="9">
        <f ca="1">IFERROR(OFFSET(ITEM_RES!$A$5,MATCH(BUILDING!U435,ITEM_RES!$J$5:$J$229,0)-1,0),0)</f>
        <v>211020201</v>
      </c>
      <c r="W435" s="11">
        <v>1</v>
      </c>
      <c r="X435" s="84" t="s">
        <v>540</v>
      </c>
      <c r="Y435" s="9">
        <f ca="1">IFERROR(OFFSET(ITEM_RES!$A$5,MATCH(BUILDING!X435,ITEM_RES!$J$5:$J$229,0)-1,0),0)</f>
        <v>211020301</v>
      </c>
      <c r="AA435" s="9" t="s">
        <v>518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82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460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1152</v>
      </c>
      <c r="S436" s="9" t="s">
        <v>693</v>
      </c>
      <c r="U436" s="84" t="s">
        <v>538</v>
      </c>
      <c r="V436" s="9">
        <f ca="1">IFERROR(OFFSET(ITEM_RES!$A$5,MATCH(BUILDING!U436,ITEM_RES!$J$5:$J$229,0)-1,0),0)</f>
        <v>211020201</v>
      </c>
      <c r="W436" s="11">
        <v>1</v>
      </c>
      <c r="X436" s="84" t="s">
        <v>540</v>
      </c>
      <c r="Y436" s="9">
        <f ca="1">IFERROR(OFFSET(ITEM_RES!$A$5,MATCH(BUILDING!X436,ITEM_RES!$J$5:$J$229,0)-1,0),0)</f>
        <v>211020301</v>
      </c>
      <c r="AA436" s="9" t="s">
        <v>518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82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1152</v>
      </c>
      <c r="S437" s="9" t="s">
        <v>693</v>
      </c>
      <c r="U437" s="84" t="s">
        <v>538</v>
      </c>
      <c r="V437" s="9">
        <f ca="1">IFERROR(OFFSET(ITEM_RES!$A$5,MATCH(BUILDING!U437,ITEM_RES!$J$5:$J$229,0)-1,0),0)</f>
        <v>211020201</v>
      </c>
      <c r="W437" s="11">
        <v>1</v>
      </c>
      <c r="X437" s="84" t="s">
        <v>540</v>
      </c>
      <c r="Y437" s="9">
        <f ca="1">IFERROR(OFFSET(ITEM_RES!$A$5,MATCH(BUILDING!X437,ITEM_RES!$J$5:$J$229,0)-1,0),0)</f>
        <v>211020301</v>
      </c>
      <c r="AA437" s="9" t="s">
        <v>518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82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1152</v>
      </c>
      <c r="S438" s="9" t="s">
        <v>693</v>
      </c>
      <c r="U438" s="84" t="s">
        <v>538</v>
      </c>
      <c r="V438" s="9">
        <f ca="1">IFERROR(OFFSET(ITEM_RES!$A$5,MATCH(BUILDING!U438,ITEM_RES!$J$5:$J$229,0)-1,0),0)</f>
        <v>211020201</v>
      </c>
      <c r="W438" s="11">
        <v>1</v>
      </c>
      <c r="X438" s="84" t="s">
        <v>540</v>
      </c>
      <c r="Y438" s="9">
        <f ca="1">IFERROR(OFFSET(ITEM_RES!$A$5,MATCH(BUILDING!X438,ITEM_RES!$J$5:$J$229,0)-1,0),0)</f>
        <v>211020301</v>
      </c>
      <c r="AA438" s="9" t="s">
        <v>518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82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1084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1152</v>
      </c>
      <c r="S439" s="9" t="s">
        <v>693</v>
      </c>
      <c r="U439" s="84" t="s">
        <v>538</v>
      </c>
      <c r="V439" s="9">
        <f ca="1">IFERROR(OFFSET(ITEM_RES!$A$5,MATCH(BUILDING!U439,ITEM_RES!$J$5:$J$229,0)-1,0),0)</f>
        <v>211020201</v>
      </c>
      <c r="W439" s="11">
        <v>1</v>
      </c>
      <c r="X439" s="84" t="s">
        <v>540</v>
      </c>
      <c r="Y439" s="9">
        <f ca="1">IFERROR(OFFSET(ITEM_RES!$A$5,MATCH(BUILDING!X439,ITEM_RES!$J$5:$J$229,0)-1,0),0)</f>
        <v>211020301</v>
      </c>
      <c r="AA439" s="9" t="s">
        <v>518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82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1084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1152</v>
      </c>
      <c r="S440" s="9" t="s">
        <v>693</v>
      </c>
      <c r="U440" s="84" t="s">
        <v>538</v>
      </c>
      <c r="V440" s="9">
        <f ca="1">IFERROR(OFFSET(ITEM_RES!$A$5,MATCH(BUILDING!U440,ITEM_RES!$J$5:$J$229,0)-1,0),0)</f>
        <v>211020201</v>
      </c>
      <c r="W440" s="11">
        <v>1</v>
      </c>
      <c r="X440" s="84" t="s">
        <v>540</v>
      </c>
      <c r="Y440" s="9">
        <f ca="1">IFERROR(OFFSET(ITEM_RES!$A$5,MATCH(BUILDING!X440,ITEM_RES!$J$5:$J$229,0)-1,0),0)</f>
        <v>211020301</v>
      </c>
      <c r="AA440" s="9" t="s">
        <v>518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82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1084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1152</v>
      </c>
      <c r="S441" s="9" t="s">
        <v>693</v>
      </c>
      <c r="U441" s="84" t="s">
        <v>538</v>
      </c>
      <c r="V441" s="9">
        <f ca="1">IFERROR(OFFSET(ITEM_RES!$A$5,MATCH(BUILDING!U441,ITEM_RES!$J$5:$J$229,0)-1,0),0)</f>
        <v>211020201</v>
      </c>
      <c r="W441" s="11">
        <v>1</v>
      </c>
      <c r="X441" s="84" t="s">
        <v>540</v>
      </c>
      <c r="Y441" s="9">
        <f ca="1">IFERROR(OFFSET(ITEM_RES!$A$5,MATCH(BUILDING!X441,ITEM_RES!$J$5:$J$229,0)-1,0),0)</f>
        <v>211020301</v>
      </c>
      <c r="AA441" s="9" t="s">
        <v>518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82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1084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1152</v>
      </c>
      <c r="S442" s="9" t="s">
        <v>693</v>
      </c>
      <c r="U442" s="84" t="s">
        <v>538</v>
      </c>
      <c r="V442" s="9">
        <f ca="1">IFERROR(OFFSET(ITEM_RES!$A$5,MATCH(BUILDING!U442,ITEM_RES!$J$5:$J$229,0)-1,0),0)</f>
        <v>211020201</v>
      </c>
      <c r="W442" s="11">
        <v>1</v>
      </c>
      <c r="X442" s="84" t="s">
        <v>540</v>
      </c>
      <c r="Y442" s="9">
        <f ca="1">IFERROR(OFFSET(ITEM_RES!$A$5,MATCH(BUILDING!X442,ITEM_RES!$J$5:$J$229,0)-1,0),0)</f>
        <v>211020301</v>
      </c>
      <c r="AA442" s="9" t="s">
        <v>518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82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1084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1152</v>
      </c>
      <c r="S443" s="9" t="s">
        <v>693</v>
      </c>
      <c r="U443" s="84" t="s">
        <v>538</v>
      </c>
      <c r="V443" s="9">
        <f ca="1">IFERROR(OFFSET(ITEM_RES!$A$5,MATCH(BUILDING!U443,ITEM_RES!$J$5:$J$229,0)-1,0),0)</f>
        <v>211020201</v>
      </c>
      <c r="W443" s="11">
        <v>1</v>
      </c>
      <c r="X443" s="84" t="s">
        <v>540</v>
      </c>
      <c r="Y443" s="9">
        <f ca="1">IFERROR(OFFSET(ITEM_RES!$A$5,MATCH(BUILDING!X443,ITEM_RES!$J$5:$J$229,0)-1,0),0)</f>
        <v>211020301</v>
      </c>
      <c r="AA443" s="9" t="s">
        <v>518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82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1084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1152</v>
      </c>
      <c r="S444" s="9" t="s">
        <v>693</v>
      </c>
      <c r="U444" s="84" t="s">
        <v>538</v>
      </c>
      <c r="V444" s="9">
        <f ca="1">IFERROR(OFFSET(ITEM_RES!$A$5,MATCH(BUILDING!U444,ITEM_RES!$J$5:$J$229,0)-1,0),0)</f>
        <v>211020201</v>
      </c>
      <c r="W444" s="11">
        <v>1</v>
      </c>
      <c r="X444" s="84" t="s">
        <v>540</v>
      </c>
      <c r="Y444" s="9">
        <f ca="1">IFERROR(OFFSET(ITEM_RES!$A$5,MATCH(BUILDING!X444,ITEM_RES!$J$5:$J$229,0)-1,0),0)</f>
        <v>211020301</v>
      </c>
      <c r="AA444" s="9" t="s">
        <v>518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82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1084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519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4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445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519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82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519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82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519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82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519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82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519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82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519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82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519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82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519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82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519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82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519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82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519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82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519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82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463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519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82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519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82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519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82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519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82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519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82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519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82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519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82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1155</v>
      </c>
      <c r="P465" s="17"/>
      <c r="Q465" s="17"/>
      <c r="R465" s="18"/>
      <c r="S465" s="16" t="s">
        <v>696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520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1280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1280</v>
      </c>
      <c r="AI465" s="184">
        <f ca="1">AG465</f>
        <v>1280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3</v>
      </c>
      <c r="AR465" s="18"/>
      <c r="AS465" s="18">
        <f ca="1">IFERROR(OFFSET(ITEM_RES!$A$1,MATCH(AT465,ITEM_RES!$J:$J,0)-1,0),0)</f>
        <v>211020801</v>
      </c>
      <c r="AT465" s="17" t="s">
        <v>431</v>
      </c>
      <c r="AU465" s="18">
        <v>25</v>
      </c>
      <c r="AV465" s="17"/>
      <c r="AW465" s="18"/>
      <c r="AX465" s="18">
        <f ca="1">IFERROR(OFFSET(ITEM_RES!$A$1,MATCH(AY465,ITEM_RES!$J:$J,0)-1,0),0)</f>
        <v>211020401</v>
      </c>
      <c r="AY465" s="17" t="s">
        <v>1079</v>
      </c>
      <c r="AZ465" s="18">
        <v>25</v>
      </c>
      <c r="BA465" s="17"/>
      <c r="BB465" s="18"/>
      <c r="BC465" s="18">
        <f ca="1">IFERROR(OFFSET(ITEM_RES!$A$1,MATCH(BD465,ITEM_RES!$J:$J,0)-1,0),0)</f>
        <v>213010101</v>
      </c>
      <c r="BD465" s="17" t="s">
        <v>445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1153</v>
      </c>
      <c r="S466" s="9" t="s">
        <v>696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520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560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560</v>
      </c>
      <c r="AI466" s="182">
        <f ca="1">AG465+AG466</f>
        <v>1840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2</v>
      </c>
      <c r="AS466" s="11">
        <f ca="1">IFERROR(OFFSET(ITEM_RES!$A$1,MATCH(AT466,ITEM_RES!$J:$J,0)-1,0),0)</f>
        <v>211020801</v>
      </c>
      <c r="AT466" s="10" t="s">
        <v>431</v>
      </c>
      <c r="AU466" s="11">
        <v>50</v>
      </c>
      <c r="AX466" s="11">
        <f ca="1">IFERROR(OFFSET(ITEM_RES!$A$1,MATCH(AY466,ITEM_RES!$J:$J,0)-1,0),0)</f>
        <v>211020401</v>
      </c>
      <c r="AY466" s="10" t="s">
        <v>1079</v>
      </c>
      <c r="AZ466" s="11">
        <v>50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1154</v>
      </c>
      <c r="S467" s="9" t="s">
        <v>696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520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840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840</v>
      </c>
      <c r="AI467" s="182">
        <f t="shared" ref="AI467:AI484" ca="1" si="123">AG466+AG467</f>
        <v>1400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2</v>
      </c>
      <c r="AS467" s="11">
        <f ca="1">IFERROR(OFFSET(ITEM_RES!$A$1,MATCH(AT467,ITEM_RES!$J:$J,0)-1,0),0)</f>
        <v>211020801</v>
      </c>
      <c r="AT467" s="10" t="s">
        <v>431</v>
      </c>
      <c r="AU467" s="11">
        <v>75</v>
      </c>
      <c r="AX467" s="11">
        <f ca="1">IFERROR(OFFSET(ITEM_RES!$A$1,MATCH(AY467,ITEM_RES!$J:$J,0)-1,0),0)</f>
        <v>211020401</v>
      </c>
      <c r="AY467" s="10" t="s">
        <v>1079</v>
      </c>
      <c r="AZ467" s="11">
        <v>75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1154</v>
      </c>
      <c r="S468" s="9" t="s">
        <v>696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520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3325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3325</v>
      </c>
      <c r="AI468" s="182">
        <f t="shared" ca="1" si="123"/>
        <v>4165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2</v>
      </c>
      <c r="AS468" s="11">
        <f ca="1">IFERROR(OFFSET(ITEM_RES!$A$1,MATCH(AT468,ITEM_RES!$J:$J,0)-1,0),0)</f>
        <v>211020801</v>
      </c>
      <c r="AT468" s="10" t="s">
        <v>431</v>
      </c>
      <c r="AU468" s="11">
        <v>300</v>
      </c>
      <c r="AX468" s="11">
        <f ca="1">IFERROR(OFFSET(ITEM_RES!$A$1,MATCH(AY468,ITEM_RES!$J:$J,0)-1,0),0)</f>
        <v>211020401</v>
      </c>
      <c r="AY468" s="10" t="s">
        <v>1079</v>
      </c>
      <c r="AZ468" s="11">
        <v>300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1156</v>
      </c>
      <c r="S469" s="9" t="s">
        <v>696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520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14890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14890</v>
      </c>
      <c r="AI469" s="182">
        <f t="shared" ca="1" si="123"/>
        <v>18215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2</v>
      </c>
      <c r="AS469" s="11">
        <f ca="1">IFERROR(OFFSET(ITEM_RES!$A$1,MATCH(AT469,ITEM_RES!$J:$J,0)-1,0),0)</f>
        <v>211020801</v>
      </c>
      <c r="AT469" s="10" t="s">
        <v>431</v>
      </c>
      <c r="AU469" s="11">
        <v>1350</v>
      </c>
      <c r="AX469" s="11">
        <f ca="1">IFERROR(OFFSET(ITEM_RES!$A$1,MATCH(AY469,ITEM_RES!$J:$J,0)-1,0),0)</f>
        <v>211020401</v>
      </c>
      <c r="AY469" s="10" t="s">
        <v>1079</v>
      </c>
      <c r="AZ469" s="11">
        <v>1350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1156</v>
      </c>
      <c r="S470" s="9" t="s">
        <v>696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520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49550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49550</v>
      </c>
      <c r="AI470" s="182">
        <f t="shared" ca="1" si="123"/>
        <v>64440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2</v>
      </c>
      <c r="AS470" s="11">
        <f ca="1">IFERROR(OFFSET(ITEM_RES!$A$1,MATCH(AT470,ITEM_RES!$J:$J,0)-1,0),0)</f>
        <v>211020801</v>
      </c>
      <c r="AT470" s="10" t="s">
        <v>439</v>
      </c>
      <c r="AU470" s="11">
        <v>4500</v>
      </c>
      <c r="AX470" s="11">
        <f ca="1">IFERROR(OFFSET(ITEM_RES!$A$1,MATCH(AY470,ITEM_RES!$J:$J,0)-1,0),0)</f>
        <v>211020401</v>
      </c>
      <c r="AY470" s="10" t="s">
        <v>1079</v>
      </c>
      <c r="AZ470" s="11">
        <v>4500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1157</v>
      </c>
      <c r="S471" s="9" t="s">
        <v>696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520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110100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110100</v>
      </c>
      <c r="AI471" s="182">
        <f t="shared" ca="1" si="123"/>
        <v>159650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2</v>
      </c>
      <c r="AS471" s="11">
        <f ca="1">IFERROR(OFFSET(ITEM_RES!$A$1,MATCH(AT471,ITEM_RES!$J:$J,0)-1,0),0)</f>
        <v>211020801</v>
      </c>
      <c r="AT471" s="10" t="s">
        <v>431</v>
      </c>
      <c r="AU471" s="11">
        <v>10000</v>
      </c>
      <c r="AX471" s="11">
        <f ca="1">IFERROR(OFFSET(ITEM_RES!$A$1,MATCH(AY471,ITEM_RES!$J:$J,0)-1,0),0)</f>
        <v>211020401</v>
      </c>
      <c r="AY471" s="10" t="s">
        <v>1079</v>
      </c>
      <c r="AZ471" s="11">
        <v>10000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1157</v>
      </c>
      <c r="S472" s="9" t="s">
        <v>696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520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231100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231100</v>
      </c>
      <c r="AI472" s="182">
        <f t="shared" ca="1" si="123"/>
        <v>341200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2</v>
      </c>
      <c r="AS472" s="11">
        <f ca="1">IFERROR(OFFSET(ITEM_RES!$A$1,MATCH(AT472,ITEM_RES!$J:$J,0)-1,0),0)</f>
        <v>211020801</v>
      </c>
      <c r="AT472" s="10" t="s">
        <v>431</v>
      </c>
      <c r="AU472" s="11">
        <v>21000</v>
      </c>
      <c r="AX472" s="11">
        <f ca="1">IFERROR(OFFSET(ITEM_RES!$A$1,MATCH(AY472,ITEM_RES!$J:$J,0)-1,0),0)</f>
        <v>211020401</v>
      </c>
      <c r="AY472" s="10" t="s">
        <v>1079</v>
      </c>
      <c r="AZ472" s="11">
        <v>21000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1157</v>
      </c>
      <c r="S473" s="9" t="s">
        <v>696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520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507150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507150</v>
      </c>
      <c r="AI473" s="182">
        <f t="shared" ca="1" si="123"/>
        <v>738250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2</v>
      </c>
      <c r="AS473" s="11">
        <f ca="1">IFERROR(OFFSET(ITEM_RES!$A$1,MATCH(AT473,ITEM_RES!$J:$J,0)-1,0),0)</f>
        <v>211020901</v>
      </c>
      <c r="AT473" s="10" t="s">
        <v>440</v>
      </c>
      <c r="AU473" s="11">
        <v>39000</v>
      </c>
      <c r="AX473" s="11">
        <f ca="1">IFERROR(OFFSET(ITEM_RES!$A$1,MATCH(AY473,ITEM_RES!$J:$J,0)-1,0),0)</f>
        <v>211020401</v>
      </c>
      <c r="AY473" s="10" t="s">
        <v>1079</v>
      </c>
      <c r="AZ473" s="11">
        <v>39000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1157</v>
      </c>
      <c r="S474" s="9" t="s">
        <v>696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520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845700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845700</v>
      </c>
      <c r="AI474" s="182">
        <f t="shared" ca="1" si="123"/>
        <v>1352850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2</v>
      </c>
      <c r="AS474" s="11">
        <f ca="1">IFERROR(OFFSET(ITEM_RES!$A$1,MATCH(AT474,ITEM_RES!$J:$J,0)-1,0),0)</f>
        <v>211020901</v>
      </c>
      <c r="AT474" s="10" t="s">
        <v>440</v>
      </c>
      <c r="AU474" s="11">
        <v>65000</v>
      </c>
      <c r="AX474" s="11">
        <f ca="1">IFERROR(OFFSET(ITEM_RES!$A$1,MATCH(AY474,ITEM_RES!$J:$J,0)-1,0),0)</f>
        <v>211020401</v>
      </c>
      <c r="AY474" s="10" t="s">
        <v>1079</v>
      </c>
      <c r="AZ474" s="11">
        <v>65000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1157</v>
      </c>
      <c r="S475" s="9" t="s">
        <v>696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520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1436250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1436250</v>
      </c>
      <c r="AI475" s="182">
        <f t="shared" ca="1" si="123"/>
        <v>2281950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2</v>
      </c>
      <c r="AS475" s="11">
        <f ca="1">IFERROR(OFFSET(ITEM_RES!$A$1,MATCH(AT475,ITEM_RES!$J:$J,0)-1,0),0)</f>
        <v>211020901</v>
      </c>
      <c r="AT475" s="10" t="s">
        <v>440</v>
      </c>
      <c r="AU475" s="11">
        <v>110000</v>
      </c>
      <c r="AX475" s="11">
        <f ca="1">IFERROR(OFFSET(ITEM_RES!$A$1,MATCH(AY475,ITEM_RES!$J:$J,0)-1,0),0)</f>
        <v>211020401</v>
      </c>
      <c r="AY475" s="10" t="s">
        <v>1079</v>
      </c>
      <c r="AZ475" s="11">
        <v>110000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1157</v>
      </c>
      <c r="S476" s="9" t="s">
        <v>696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520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2445300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2445300</v>
      </c>
      <c r="AI476" s="182">
        <f t="shared" ca="1" si="123"/>
        <v>3881550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3</v>
      </c>
      <c r="AS476" s="11">
        <f ca="1">IFERROR(OFFSET(ITEM_RES!$A$1,MATCH(AT476,ITEM_RES!$J:$J,0)-1,0),0)</f>
        <v>211020901</v>
      </c>
      <c r="AT476" s="10" t="s">
        <v>440</v>
      </c>
      <c r="AU476" s="11">
        <v>185000</v>
      </c>
      <c r="AX476" s="11">
        <f ca="1">IFERROR(OFFSET(ITEM_RES!$A$1,MATCH(AY476,ITEM_RES!$J:$J,0)-1,0),0)</f>
        <v>211020401</v>
      </c>
      <c r="AY476" s="10" t="s">
        <v>1079</v>
      </c>
      <c r="AZ476" s="11">
        <v>185000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464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1157</v>
      </c>
      <c r="S477" s="9" t="s">
        <v>696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520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4215350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4215350</v>
      </c>
      <c r="AI477" s="182">
        <f t="shared" ca="1" si="123"/>
        <v>6660650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2</v>
      </c>
      <c r="AS477" s="11">
        <f ca="1">IFERROR(OFFSET(ITEM_RES!$A$1,MATCH(AT477,ITEM_RES!$J:$J,0)-1,0),0)</f>
        <v>211020901</v>
      </c>
      <c r="AT477" s="10" t="s">
        <v>440</v>
      </c>
      <c r="AU477" s="11">
        <v>310000</v>
      </c>
      <c r="AX477" s="11">
        <f ca="1">IFERROR(OFFSET(ITEM_RES!$A$1,MATCH(AY477,ITEM_RES!$J:$J,0)-1,0),0)</f>
        <v>211020401</v>
      </c>
      <c r="AY477" s="10" t="s">
        <v>1079</v>
      </c>
      <c r="AZ477" s="11">
        <v>310000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1157</v>
      </c>
      <c r="S478" s="9" t="s">
        <v>696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520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6712450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6712450</v>
      </c>
      <c r="AI478" s="182">
        <f t="shared" ca="1" si="123"/>
        <v>10927800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2</v>
      </c>
      <c r="AS478" s="11">
        <f ca="1">IFERROR(OFFSET(ITEM_RES!$A$1,MATCH(AT478,ITEM_RES!$J:$J,0)-1,0),0)</f>
        <v>211020901</v>
      </c>
      <c r="AT478" s="10" t="s">
        <v>440</v>
      </c>
      <c r="AU478" s="11">
        <v>485000</v>
      </c>
      <c r="AX478" s="11">
        <f ca="1">IFERROR(OFFSET(ITEM_RES!$A$1,MATCH(AY478,ITEM_RES!$J:$J,0)-1,0),0)</f>
        <v>211020501</v>
      </c>
      <c r="AY478" s="10" t="s">
        <v>1081</v>
      </c>
      <c r="AZ478" s="11">
        <v>485000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1157</v>
      </c>
      <c r="S479" s="9" t="s">
        <v>696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520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14345550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14345550</v>
      </c>
      <c r="AI479" s="182">
        <f t="shared" ca="1" si="123"/>
        <v>21058000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2</v>
      </c>
      <c r="AS479" s="11">
        <f ca="1">IFERROR(OFFSET(ITEM_RES!$A$1,MATCH(AT479,ITEM_RES!$J:$J,0)-1,0),0)</f>
        <v>211020901</v>
      </c>
      <c r="AT479" s="10" t="s">
        <v>440</v>
      </c>
      <c r="AU479" s="11">
        <v>1050000</v>
      </c>
      <c r="AX479" s="11">
        <f ca="1">IFERROR(OFFSET(ITEM_RES!$A$1,MATCH(AY479,ITEM_RES!$J:$J,0)-1,0),0)</f>
        <v>211020501</v>
      </c>
      <c r="AY479" s="10" t="s">
        <v>1081</v>
      </c>
      <c r="AZ479" s="11">
        <v>1050000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1157</v>
      </c>
      <c r="S480" s="9" t="s">
        <v>696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520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29430700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29430700</v>
      </c>
      <c r="AI480" s="182">
        <f t="shared" ca="1" si="123"/>
        <v>43776250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2</v>
      </c>
      <c r="AS480" s="11">
        <f ca="1">IFERROR(OFFSET(ITEM_RES!$A$1,MATCH(AT480,ITEM_RES!$J:$J,0)-1,0),0)</f>
        <v>211020901</v>
      </c>
      <c r="AT480" s="10" t="s">
        <v>440</v>
      </c>
      <c r="AU480" s="11">
        <v>2150000</v>
      </c>
      <c r="AX480" s="11">
        <f ca="1">IFERROR(OFFSET(ITEM_RES!$A$1,MATCH(AY480,ITEM_RES!$J:$J,0)-1,0),0)</f>
        <v>211020501</v>
      </c>
      <c r="AY480" s="10" t="s">
        <v>1081</v>
      </c>
      <c r="AZ480" s="11">
        <v>2150000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1157</v>
      </c>
      <c r="S481" s="9" t="s">
        <v>696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520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54950850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54950850</v>
      </c>
      <c r="AI481" s="182">
        <f t="shared" ca="1" si="123"/>
        <v>84381550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2</v>
      </c>
      <c r="AS481" s="11">
        <f ca="1">IFERROR(OFFSET(ITEM_RES!$A$1,MATCH(AT481,ITEM_RES!$J:$J,0)-1,0),0)</f>
        <v>211020901</v>
      </c>
      <c r="AT481" s="10" t="s">
        <v>440</v>
      </c>
      <c r="AU481" s="11">
        <v>4000000</v>
      </c>
      <c r="AX481" s="11">
        <f ca="1">IFERROR(OFFSET(ITEM_RES!$A$1,MATCH(AY481,ITEM_RES!$J:$J,0)-1,0),0)</f>
        <v>211020501</v>
      </c>
      <c r="AY481" s="10" t="s">
        <v>1081</v>
      </c>
      <c r="AZ481" s="11">
        <v>4000000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1157</v>
      </c>
      <c r="S482" s="9" t="s">
        <v>696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520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89801050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89801050</v>
      </c>
      <c r="AI482" s="182">
        <f t="shared" ca="1" si="123"/>
        <v>144751900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2</v>
      </c>
      <c r="AS482" s="11">
        <f ca="1">IFERROR(OFFSET(ITEM_RES!$A$1,MATCH(AT482,ITEM_RES!$J:$J,0)-1,0),0)</f>
        <v>211020901</v>
      </c>
      <c r="AT482" s="10" t="s">
        <v>440</v>
      </c>
      <c r="AU482" s="11">
        <v>6500000</v>
      </c>
      <c r="AX482" s="11">
        <f ca="1">IFERROR(OFFSET(ITEM_RES!$A$1,MATCH(AY482,ITEM_RES!$J:$J,0)-1,0),0)</f>
        <v>211020501</v>
      </c>
      <c r="AY482" s="10" t="s">
        <v>1081</v>
      </c>
      <c r="AZ482" s="11">
        <v>6500000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1157</v>
      </c>
      <c r="S483" s="9" t="s">
        <v>696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520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138501250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138501250</v>
      </c>
      <c r="AI483" s="182">
        <f t="shared" ca="1" si="123"/>
        <v>228302300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2</v>
      </c>
      <c r="AS483" s="11">
        <f ca="1">IFERROR(OFFSET(ITEM_RES!$A$1,MATCH(AT483,ITEM_RES!$J:$J,0)-1,0),0)</f>
        <v>211020901</v>
      </c>
      <c r="AT483" s="10" t="s">
        <v>440</v>
      </c>
      <c r="AU483" s="11">
        <v>10000000</v>
      </c>
      <c r="AX483" s="11">
        <f ca="1">IFERROR(OFFSET(ITEM_RES!$A$1,MATCH(AY483,ITEM_RES!$J:$J,0)-1,0),0)</f>
        <v>211020501</v>
      </c>
      <c r="AY483" s="10" t="s">
        <v>1081</v>
      </c>
      <c r="AZ483" s="11">
        <v>10000000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1157</v>
      </c>
      <c r="S484" s="9" t="s">
        <v>696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520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221201500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221201500</v>
      </c>
      <c r="AI484" s="182">
        <f t="shared" ca="1" si="123"/>
        <v>359702750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2</v>
      </c>
      <c r="AS484" s="11">
        <f ca="1">IFERROR(OFFSET(ITEM_RES!$A$1,MATCH(AT484,ITEM_RES!$J:$J,0)-1,0),0)</f>
        <v>211020901</v>
      </c>
      <c r="AT484" s="10" t="s">
        <v>440</v>
      </c>
      <c r="AU484" s="11">
        <v>16000000</v>
      </c>
      <c r="AX484" s="11">
        <f ca="1">IFERROR(OFFSET(ITEM_RES!$A$1,MATCH(AY484,ITEM_RES!$J:$J,0)-1,0),0)</f>
        <v>211020501</v>
      </c>
      <c r="AY484" s="10" t="s">
        <v>1081</v>
      </c>
      <c r="AZ484" s="11">
        <v>16000000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1017</v>
      </c>
      <c r="L485" s="16">
        <v>5</v>
      </c>
      <c r="M485" s="16">
        <v>1</v>
      </c>
      <c r="N485" s="16">
        <v>15</v>
      </c>
      <c r="O485" s="16" t="s">
        <v>1158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521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4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445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467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1017</v>
      </c>
      <c r="M486" s="9">
        <v>1</v>
      </c>
      <c r="N486" s="9">
        <v>15</v>
      </c>
      <c r="O486" s="9" t="s">
        <v>1159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521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82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1160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521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82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1160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521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82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1160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521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82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1160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521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82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1160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521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82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1160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521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82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1161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521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82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1161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521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82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468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1161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521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82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1161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521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82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1162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521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82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1162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521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82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1163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521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82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1163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521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82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1163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521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82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1163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521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82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1163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521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82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1163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521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82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1018</v>
      </c>
      <c r="L505" s="16">
        <v>1</v>
      </c>
      <c r="M505" s="16">
        <v>1</v>
      </c>
      <c r="N505" s="16">
        <v>15</v>
      </c>
      <c r="O505" s="16" t="s">
        <v>1164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4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445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467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1018</v>
      </c>
      <c r="M506" s="9">
        <v>1</v>
      </c>
      <c r="N506" s="9">
        <v>15</v>
      </c>
      <c r="O506" s="9" t="s">
        <v>1165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82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1018</v>
      </c>
      <c r="M507" s="9">
        <v>1</v>
      </c>
      <c r="N507" s="9">
        <v>15</v>
      </c>
      <c r="O507" s="9" t="s">
        <v>1165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82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1018</v>
      </c>
      <c r="M508" s="9">
        <v>1</v>
      </c>
      <c r="N508" s="9">
        <v>15</v>
      </c>
      <c r="O508" s="9" t="s">
        <v>1166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82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1018</v>
      </c>
      <c r="M509" s="9">
        <v>1</v>
      </c>
      <c r="N509" s="9">
        <v>15</v>
      </c>
      <c r="O509" s="9" t="s">
        <v>1166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82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1018</v>
      </c>
      <c r="M510" s="9">
        <v>1</v>
      </c>
      <c r="N510" s="9">
        <v>15</v>
      </c>
      <c r="O510" s="9" t="s">
        <v>1166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82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1018</v>
      </c>
      <c r="M511" s="9">
        <v>1</v>
      </c>
      <c r="N511" s="9">
        <v>15</v>
      </c>
      <c r="O511" s="9" t="s">
        <v>1167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82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1018</v>
      </c>
      <c r="M512" s="9">
        <v>1</v>
      </c>
      <c r="N512" s="9">
        <v>15</v>
      </c>
      <c r="O512" s="9" t="s">
        <v>1167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82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1018</v>
      </c>
      <c r="M513" s="9">
        <v>1</v>
      </c>
      <c r="N513" s="9">
        <v>15</v>
      </c>
      <c r="O513" s="9" t="s">
        <v>1167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82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1018</v>
      </c>
      <c r="M514" s="9">
        <v>1</v>
      </c>
      <c r="N514" s="9">
        <v>15</v>
      </c>
      <c r="O514" s="9" t="s">
        <v>1167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82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M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473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1018</v>
      </c>
      <c r="M515" s="9">
        <v>1</v>
      </c>
      <c r="N515" s="9">
        <v>15</v>
      </c>
      <c r="O515" s="9" t="s">
        <v>1168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82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1018</v>
      </c>
      <c r="M516" s="9">
        <v>1</v>
      </c>
      <c r="N516" s="9">
        <v>15</v>
      </c>
      <c r="O516" s="9" t="s">
        <v>1168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82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1018</v>
      </c>
      <c r="M517" s="9">
        <v>1</v>
      </c>
      <c r="N517" s="9">
        <v>15</v>
      </c>
      <c r="O517" s="9" t="s">
        <v>1168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82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1018</v>
      </c>
      <c r="M518" s="9">
        <v>1</v>
      </c>
      <c r="N518" s="9">
        <v>15</v>
      </c>
      <c r="O518" s="9" t="s">
        <v>1168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82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1018</v>
      </c>
      <c r="M519" s="9">
        <v>1</v>
      </c>
      <c r="N519" s="9">
        <v>15</v>
      </c>
      <c r="O519" s="9" t="s">
        <v>1168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82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1018</v>
      </c>
      <c r="M520" s="9">
        <v>0</v>
      </c>
      <c r="N520" s="9">
        <v>15</v>
      </c>
      <c r="O520" s="9" t="s">
        <v>1168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82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388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1018</v>
      </c>
      <c r="M521" s="9">
        <v>0</v>
      </c>
      <c r="N521" s="9">
        <v>15</v>
      </c>
      <c r="O521" s="9" t="s">
        <v>1168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82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1018</v>
      </c>
      <c r="M522" s="9">
        <v>0</v>
      </c>
      <c r="N522" s="9">
        <v>15</v>
      </c>
      <c r="O522" s="9" t="s">
        <v>1168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82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1018</v>
      </c>
      <c r="M523" s="9">
        <v>0</v>
      </c>
      <c r="N523" s="9">
        <v>15</v>
      </c>
      <c r="O523" s="9" t="s">
        <v>1168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82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1018</v>
      </c>
      <c r="M524" s="9">
        <v>0</v>
      </c>
      <c r="N524" s="9">
        <v>15</v>
      </c>
      <c r="O524" s="9" t="s">
        <v>1168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82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66" sqref="T6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793</v>
      </c>
      <c r="L1" s="35" t="s">
        <v>582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792</v>
      </c>
      <c r="L2" s="35" t="s">
        <v>847</v>
      </c>
      <c r="O2" s="34" t="s">
        <v>62</v>
      </c>
      <c r="P2" s="35" t="s">
        <v>62</v>
      </c>
      <c r="Q2" s="35" t="s">
        <v>62</v>
      </c>
      <c r="R2" s="69"/>
      <c r="S2" s="34" t="s">
        <v>794</v>
      </c>
      <c r="U2" s="69"/>
      <c r="V2" s="1" t="s">
        <v>61</v>
      </c>
      <c r="W2" s="69"/>
      <c r="X2" s="101" t="s">
        <v>497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1276</v>
      </c>
      <c r="AH2" s="35" t="s">
        <v>1276</v>
      </c>
      <c r="AI2" s="35" t="s">
        <v>1276</v>
      </c>
      <c r="AJ2" s="35" t="s">
        <v>1276</v>
      </c>
      <c r="AK2" s="35" t="s">
        <v>1276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791</v>
      </c>
      <c r="L3" s="35" t="s">
        <v>843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1188</v>
      </c>
      <c r="Y3" s="1" t="s">
        <v>1189</v>
      </c>
      <c r="Z3" s="147" t="s">
        <v>1190</v>
      </c>
      <c r="AA3" s="147" t="s">
        <v>1186</v>
      </c>
      <c r="AB3" s="147" t="s">
        <v>1187</v>
      </c>
      <c r="AC3" s="1" t="s">
        <v>1191</v>
      </c>
      <c r="AD3" s="147" t="s">
        <v>1192</v>
      </c>
      <c r="AE3" s="1" t="s">
        <v>1193</v>
      </c>
      <c r="AF3" s="69"/>
      <c r="AG3" s="35" t="s">
        <v>1270</v>
      </c>
      <c r="AH3" s="35" t="s">
        <v>1271</v>
      </c>
      <c r="AI3" s="35" t="s">
        <v>1272</v>
      </c>
      <c r="AJ3" s="35" t="s">
        <v>1273</v>
      </c>
      <c r="AK3" s="35" t="s">
        <v>1275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585</v>
      </c>
      <c r="D4" s="80" t="s">
        <v>586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797</v>
      </c>
      <c r="L4" s="81" t="s">
        <v>846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848</v>
      </c>
      <c r="S4" s="79" t="s">
        <v>844</v>
      </c>
      <c r="T4" s="80" t="s">
        <v>845</v>
      </c>
      <c r="U4" s="70" t="s">
        <v>346</v>
      </c>
      <c r="V4" s="2" t="s">
        <v>408</v>
      </c>
      <c r="W4" s="70" t="s">
        <v>836</v>
      </c>
      <c r="X4" s="191" t="s">
        <v>1277</v>
      </c>
      <c r="Y4" s="2" t="s">
        <v>835</v>
      </c>
      <c r="Z4" s="148" t="s">
        <v>1194</v>
      </c>
      <c r="AA4" s="148" t="s">
        <v>839</v>
      </c>
      <c r="AB4" s="148" t="s">
        <v>841</v>
      </c>
      <c r="AC4" s="2" t="s">
        <v>842</v>
      </c>
      <c r="AD4" s="148" t="s">
        <v>840</v>
      </c>
      <c r="AE4" s="2" t="s">
        <v>1195</v>
      </c>
      <c r="AF4" s="70" t="s">
        <v>1252</v>
      </c>
      <c r="AG4" s="81" t="s">
        <v>1266</v>
      </c>
      <c r="AH4" s="81" t="s">
        <v>1267</v>
      </c>
      <c r="AI4" s="81" t="s">
        <v>1268</v>
      </c>
      <c r="AJ4" s="81" t="s">
        <v>1269</v>
      </c>
      <c r="AK4" s="81" t="s">
        <v>1274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1196</v>
      </c>
      <c r="L5" s="38">
        <v>1</v>
      </c>
      <c r="M5" s="39" t="s">
        <v>404</v>
      </c>
      <c r="N5" s="39" t="s">
        <v>401</v>
      </c>
      <c r="O5" s="37" t="s">
        <v>772</v>
      </c>
      <c r="P5" s="38"/>
      <c r="Q5" s="38" t="s">
        <v>702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1197</v>
      </c>
      <c r="L6" s="62">
        <v>2</v>
      </c>
      <c r="M6" s="39" t="s">
        <v>404</v>
      </c>
      <c r="N6" s="39" t="s">
        <v>401</v>
      </c>
      <c r="O6" s="68" t="s">
        <v>773</v>
      </c>
      <c r="P6" s="62"/>
      <c r="Q6" s="38" t="s">
        <v>703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1198</v>
      </c>
      <c r="L7" s="62">
        <v>3</v>
      </c>
      <c r="M7" s="39" t="s">
        <v>404</v>
      </c>
      <c r="N7" s="39" t="s">
        <v>401</v>
      </c>
      <c r="O7" s="68" t="s">
        <v>774</v>
      </c>
      <c r="P7" s="62"/>
      <c r="Q7" s="38" t="s">
        <v>704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443</v>
      </c>
      <c r="K8" s="62" t="s">
        <v>1199</v>
      </c>
      <c r="L8" s="62">
        <v>4</v>
      </c>
      <c r="M8" s="39" t="s">
        <v>434</v>
      </c>
      <c r="N8" s="39" t="s">
        <v>444</v>
      </c>
      <c r="O8" s="68" t="s">
        <v>775</v>
      </c>
      <c r="P8" s="62"/>
      <c r="Q8" s="38" t="s">
        <v>705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1200</v>
      </c>
      <c r="L9" s="38">
        <v>5</v>
      </c>
      <c r="M9" s="39" t="s">
        <v>404</v>
      </c>
      <c r="N9" s="39" t="s">
        <v>401</v>
      </c>
      <c r="O9" s="68" t="s">
        <v>776</v>
      </c>
      <c r="P9" s="62"/>
      <c r="Q9" s="38" t="s">
        <v>706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522</v>
      </c>
      <c r="K10" s="35" t="s">
        <v>1201</v>
      </c>
      <c r="L10" s="62">
        <v>6</v>
      </c>
      <c r="M10" s="39" t="s">
        <v>404</v>
      </c>
      <c r="N10" s="39" t="s">
        <v>401</v>
      </c>
      <c r="O10" s="34" t="s">
        <v>777</v>
      </c>
      <c r="Q10" s="38" t="s">
        <v>707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442</v>
      </c>
      <c r="K11" s="35" t="s">
        <v>1202</v>
      </c>
      <c r="L11" s="62">
        <v>7</v>
      </c>
      <c r="M11" s="39" t="s">
        <v>401</v>
      </c>
      <c r="N11" s="39"/>
      <c r="O11" s="34" t="s">
        <v>778</v>
      </c>
      <c r="Q11" s="38" t="s">
        <v>708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1203</v>
      </c>
      <c r="L12" s="62">
        <v>8</v>
      </c>
      <c r="M12" s="39" t="s">
        <v>401</v>
      </c>
      <c r="O12" s="34" t="s">
        <v>779</v>
      </c>
      <c r="Q12" s="38" t="s">
        <v>837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1204</v>
      </c>
      <c r="L13" s="38">
        <v>9</v>
      </c>
      <c r="M13" s="36" t="s">
        <v>401</v>
      </c>
      <c r="O13" s="34" t="s">
        <v>780</v>
      </c>
      <c r="Q13" s="38" t="s">
        <v>709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1205</v>
      </c>
      <c r="L14" s="62">
        <v>10</v>
      </c>
      <c r="M14" s="36" t="s">
        <v>401</v>
      </c>
      <c r="O14" s="34" t="s">
        <v>781</v>
      </c>
      <c r="Q14" s="38" t="s">
        <v>710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490</v>
      </c>
      <c r="K15" s="35" t="s">
        <v>1206</v>
      </c>
      <c r="L15" s="62">
        <v>15</v>
      </c>
      <c r="M15" s="36" t="s">
        <v>491</v>
      </c>
      <c r="N15" s="36" t="s">
        <v>492</v>
      </c>
      <c r="O15" s="34" t="s">
        <v>1036</v>
      </c>
      <c r="Q15" s="38" t="s">
        <v>711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1207</v>
      </c>
      <c r="L16" s="35">
        <v>10</v>
      </c>
      <c r="M16" s="36" t="s">
        <v>401</v>
      </c>
      <c r="O16" s="34" t="s">
        <v>782</v>
      </c>
      <c r="Q16" s="38" t="s">
        <v>712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1208</v>
      </c>
      <c r="L17" s="35">
        <v>5</v>
      </c>
      <c r="M17" s="36" t="s">
        <v>401</v>
      </c>
      <c r="O17" s="34" t="s">
        <v>783</v>
      </c>
      <c r="Q17" s="38" t="s">
        <v>713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1209</v>
      </c>
      <c r="L18" s="35">
        <v>6</v>
      </c>
      <c r="M18" s="36" t="s">
        <v>401</v>
      </c>
      <c r="O18" s="34" t="s">
        <v>783</v>
      </c>
      <c r="Q18" s="38" t="s">
        <v>714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1210</v>
      </c>
      <c r="L19" s="35">
        <v>7</v>
      </c>
      <c r="M19" s="36" t="s">
        <v>401</v>
      </c>
      <c r="O19" s="34" t="s">
        <v>783</v>
      </c>
      <c r="Q19" s="38" t="s">
        <v>715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446</v>
      </c>
      <c r="K20" s="35" t="s">
        <v>1211</v>
      </c>
      <c r="L20" s="35">
        <v>8</v>
      </c>
      <c r="M20" s="36" t="s">
        <v>444</v>
      </c>
      <c r="O20" s="34" t="s">
        <v>782</v>
      </c>
      <c r="Q20" s="38" t="s">
        <v>716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447</v>
      </c>
      <c r="K21" s="35" t="s">
        <v>1212</v>
      </c>
      <c r="L21" s="35">
        <v>9</v>
      </c>
      <c r="M21" s="36" t="s">
        <v>444</v>
      </c>
      <c r="O21" s="34" t="s">
        <v>782</v>
      </c>
      <c r="Q21" s="38" t="s">
        <v>717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448</v>
      </c>
      <c r="K22" s="35" t="s">
        <v>1213</v>
      </c>
      <c r="L22" s="35">
        <v>10</v>
      </c>
      <c r="M22" s="36" t="s">
        <v>444</v>
      </c>
      <c r="O22" s="34" t="s">
        <v>782</v>
      </c>
      <c r="Q22" s="38" t="s">
        <v>718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455</v>
      </c>
      <c r="K23" s="35" t="s">
        <v>1214</v>
      </c>
      <c r="L23" s="35">
        <v>11</v>
      </c>
      <c r="M23" s="36" t="s">
        <v>444</v>
      </c>
      <c r="O23" s="34" t="s">
        <v>782</v>
      </c>
      <c r="Q23" s="38" t="s">
        <v>719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449</v>
      </c>
      <c r="K24" s="35" t="s">
        <v>1215</v>
      </c>
      <c r="L24" s="35">
        <v>12</v>
      </c>
      <c r="M24" s="36" t="s">
        <v>444</v>
      </c>
      <c r="O24" s="34" t="s">
        <v>782</v>
      </c>
      <c r="Q24" s="38" t="s">
        <v>721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450</v>
      </c>
      <c r="K25" s="35" t="s">
        <v>1216</v>
      </c>
      <c r="L25" s="35">
        <v>13</v>
      </c>
      <c r="M25" s="36" t="s">
        <v>444</v>
      </c>
      <c r="O25" s="34" t="s">
        <v>782</v>
      </c>
      <c r="Q25" s="38" t="s">
        <v>720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451</v>
      </c>
      <c r="K26" s="35" t="s">
        <v>1217</v>
      </c>
      <c r="L26" s="35">
        <v>14</v>
      </c>
      <c r="M26" s="36" t="s">
        <v>444</v>
      </c>
      <c r="O26" s="34" t="s">
        <v>782</v>
      </c>
      <c r="Q26" s="38" t="s">
        <v>722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461</v>
      </c>
      <c r="K27" s="35" t="s">
        <v>1218</v>
      </c>
      <c r="L27" s="35">
        <v>15</v>
      </c>
      <c r="M27" s="36" t="s">
        <v>444</v>
      </c>
      <c r="O27" s="34" t="s">
        <v>782</v>
      </c>
      <c r="Q27" s="38" t="s">
        <v>723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465</v>
      </c>
      <c r="K28" s="35" t="s">
        <v>1219</v>
      </c>
      <c r="L28" s="35">
        <v>15</v>
      </c>
      <c r="M28" s="36" t="s">
        <v>444</v>
      </c>
      <c r="O28" s="34" t="s">
        <v>782</v>
      </c>
      <c r="Q28" s="38" t="s">
        <v>724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466</v>
      </c>
      <c r="K29" s="35" t="s">
        <v>1220</v>
      </c>
      <c r="L29" s="35">
        <v>15</v>
      </c>
      <c r="M29" s="36" t="s">
        <v>444</v>
      </c>
      <c r="O29" s="34" t="s">
        <v>782</v>
      </c>
      <c r="Q29" s="38" t="s">
        <v>725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469</v>
      </c>
      <c r="K30" s="35" t="s">
        <v>1221</v>
      </c>
      <c r="L30" s="35">
        <v>15</v>
      </c>
      <c r="M30" s="36" t="s">
        <v>444</v>
      </c>
      <c r="O30" s="34" t="s">
        <v>782</v>
      </c>
      <c r="Q30" s="38" t="s">
        <v>726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474</v>
      </c>
      <c r="K31" s="35" t="s">
        <v>1222</v>
      </c>
      <c r="L31" s="35">
        <v>15</v>
      </c>
      <c r="M31" s="36" t="s">
        <v>444</v>
      </c>
      <c r="O31" s="34" t="s">
        <v>782</v>
      </c>
      <c r="Q31" s="38" t="s">
        <v>727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470</v>
      </c>
      <c r="K32" s="35" t="s">
        <v>1223</v>
      </c>
      <c r="L32" s="35">
        <v>15</v>
      </c>
      <c r="M32" s="36" t="s">
        <v>444</v>
      </c>
      <c r="O32" s="34" t="s">
        <v>782</v>
      </c>
      <c r="Q32" s="38" t="s">
        <v>728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471</v>
      </c>
      <c r="K33" s="35" t="s">
        <v>1224</v>
      </c>
      <c r="L33" s="35">
        <v>15</v>
      </c>
      <c r="M33" s="36" t="s">
        <v>444</v>
      </c>
      <c r="O33" s="34" t="s">
        <v>782</v>
      </c>
      <c r="Q33" s="38" t="s">
        <v>729</v>
      </c>
      <c r="R33" s="87" t="s">
        <v>493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472</v>
      </c>
      <c r="K34" s="35" t="s">
        <v>1225</v>
      </c>
      <c r="L34" s="35">
        <v>15</v>
      </c>
      <c r="M34" s="36" t="s">
        <v>444</v>
      </c>
      <c r="O34" s="34" t="s">
        <v>782</v>
      </c>
      <c r="Q34" s="38" t="s">
        <v>730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480</v>
      </c>
      <c r="K35" s="35" t="s">
        <v>1226</v>
      </c>
      <c r="L35" s="35">
        <v>5</v>
      </c>
      <c r="M35" s="36" t="s">
        <v>489</v>
      </c>
      <c r="O35" s="34" t="s">
        <v>1019</v>
      </c>
      <c r="Q35" s="38" t="s">
        <v>731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481</v>
      </c>
      <c r="K36" s="35" t="s">
        <v>1227</v>
      </c>
      <c r="L36" s="35">
        <v>8</v>
      </c>
      <c r="M36" s="36" t="s">
        <v>489</v>
      </c>
      <c r="O36" s="34" t="s">
        <v>1020</v>
      </c>
      <c r="Q36" s="38" t="s">
        <v>731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482</v>
      </c>
      <c r="K37" s="35" t="s">
        <v>1228</v>
      </c>
      <c r="L37" s="35">
        <v>12</v>
      </c>
      <c r="M37" s="36" t="s">
        <v>489</v>
      </c>
      <c r="O37" s="34" t="s">
        <v>1021</v>
      </c>
      <c r="Q37" s="38" t="s">
        <v>731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1229</v>
      </c>
      <c r="L38" s="35">
        <v>6</v>
      </c>
      <c r="M38" s="36" t="s">
        <v>401</v>
      </c>
      <c r="O38" s="34" t="s">
        <v>1022</v>
      </c>
      <c r="Q38" s="38" t="s">
        <v>732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1230</v>
      </c>
      <c r="L39" s="35">
        <v>9</v>
      </c>
      <c r="M39" s="36" t="s">
        <v>401</v>
      </c>
      <c r="O39" s="34" t="s">
        <v>1023</v>
      </c>
      <c r="Q39" s="38" t="s">
        <v>733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1231</v>
      </c>
      <c r="L40" s="35">
        <v>13</v>
      </c>
      <c r="M40" s="36" t="s">
        <v>401</v>
      </c>
      <c r="O40" s="34" t="s">
        <v>1024</v>
      </c>
      <c r="Q40" s="38" t="s">
        <v>734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1232</v>
      </c>
      <c r="L41" s="35">
        <v>7</v>
      </c>
      <c r="M41" s="36" t="s">
        <v>401</v>
      </c>
      <c r="O41" s="34" t="s">
        <v>1025</v>
      </c>
      <c r="Q41" s="38" t="s">
        <v>735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1233</v>
      </c>
      <c r="L42" s="35">
        <v>10</v>
      </c>
      <c r="M42" s="36" t="s">
        <v>401</v>
      </c>
      <c r="O42" s="34" t="s">
        <v>1026</v>
      </c>
      <c r="Q42" s="38" t="s">
        <v>736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1234</v>
      </c>
      <c r="L43" s="35">
        <v>14</v>
      </c>
      <c r="M43" s="36" t="s">
        <v>401</v>
      </c>
      <c r="O43" s="34" t="s">
        <v>1027</v>
      </c>
      <c r="Q43" s="38" t="s">
        <v>737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483</v>
      </c>
      <c r="K44" s="35" t="s">
        <v>1235</v>
      </c>
      <c r="L44" s="35">
        <v>8</v>
      </c>
      <c r="M44" s="36" t="s">
        <v>401</v>
      </c>
      <c r="O44" s="34" t="s">
        <v>1028</v>
      </c>
      <c r="Q44" s="38" t="s">
        <v>738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484</v>
      </c>
      <c r="K45" s="35" t="s">
        <v>1236</v>
      </c>
      <c r="L45" s="35">
        <v>11</v>
      </c>
      <c r="M45" s="36" t="s">
        <v>401</v>
      </c>
      <c r="O45" s="34" t="s">
        <v>1029</v>
      </c>
      <c r="Q45" s="38" t="s">
        <v>739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485</v>
      </c>
      <c r="K46" s="35" t="s">
        <v>1237</v>
      </c>
      <c r="L46" s="35">
        <v>15</v>
      </c>
      <c r="M46" s="36" t="s">
        <v>401</v>
      </c>
      <c r="O46" s="34" t="s">
        <v>1030</v>
      </c>
      <c r="Q46" s="38" t="s">
        <v>740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486</v>
      </c>
      <c r="K47" s="35" t="s">
        <v>1238</v>
      </c>
      <c r="L47" s="35">
        <v>9</v>
      </c>
      <c r="M47" s="36" t="s">
        <v>401</v>
      </c>
      <c r="O47" s="34" t="s">
        <v>1031</v>
      </c>
      <c r="Q47" s="38" t="s">
        <v>741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487</v>
      </c>
      <c r="K48" s="35" t="s">
        <v>1239</v>
      </c>
      <c r="L48" s="35">
        <v>12</v>
      </c>
      <c r="M48" s="36" t="s">
        <v>401</v>
      </c>
      <c r="O48" s="34" t="s">
        <v>1032</v>
      </c>
      <c r="Q48" s="38" t="s">
        <v>742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488</v>
      </c>
      <c r="K49" s="35" t="s">
        <v>1240</v>
      </c>
      <c r="L49" s="35">
        <v>16</v>
      </c>
      <c r="M49" s="36" t="s">
        <v>401</v>
      </c>
      <c r="O49" s="34" t="s">
        <v>1033</v>
      </c>
      <c r="Q49" s="38" t="s">
        <v>743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1253</v>
      </c>
      <c r="K50" s="35" t="s">
        <v>1256</v>
      </c>
      <c r="L50" s="35">
        <v>10</v>
      </c>
      <c r="M50" s="36" t="s">
        <v>1259</v>
      </c>
      <c r="O50" s="34" t="s">
        <v>1260</v>
      </c>
      <c r="Q50" s="38" t="s">
        <v>1263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1254</v>
      </c>
      <c r="K51" s="35" t="s">
        <v>1257</v>
      </c>
      <c r="L51" s="35">
        <v>13</v>
      </c>
      <c r="M51" s="36" t="s">
        <v>1259</v>
      </c>
      <c r="O51" s="34" t="s">
        <v>1261</v>
      </c>
      <c r="Q51" s="38" t="s">
        <v>1264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1255</v>
      </c>
      <c r="K52" s="35" t="s">
        <v>1258</v>
      </c>
      <c r="L52" s="35">
        <v>17</v>
      </c>
      <c r="M52" s="36" t="s">
        <v>1259</v>
      </c>
      <c r="O52" s="34" t="s">
        <v>1262</v>
      </c>
      <c r="Q52" s="38" t="s">
        <v>1265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1241</v>
      </c>
      <c r="L53" s="35">
        <v>10</v>
      </c>
      <c r="M53" s="36" t="s">
        <v>403</v>
      </c>
      <c r="O53" s="34" t="s">
        <v>784</v>
      </c>
      <c r="Q53" s="38" t="s">
        <v>744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1242</v>
      </c>
      <c r="L54" s="35">
        <v>11</v>
      </c>
      <c r="M54" s="36" t="s">
        <v>403</v>
      </c>
      <c r="O54" s="34" t="s">
        <v>785</v>
      </c>
      <c r="Q54" s="38" t="s">
        <v>838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1243</v>
      </c>
      <c r="L55" s="35">
        <v>12</v>
      </c>
      <c r="M55" s="36" t="s">
        <v>402</v>
      </c>
      <c r="O55" s="34" t="s">
        <v>786</v>
      </c>
      <c r="Q55" s="38" t="s">
        <v>745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1244</v>
      </c>
      <c r="L56" s="35">
        <v>13</v>
      </c>
      <c r="M56" s="36" t="s">
        <v>402</v>
      </c>
      <c r="O56" s="34" t="s">
        <v>787</v>
      </c>
      <c r="Q56" s="38" t="s">
        <v>746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1245</v>
      </c>
      <c r="L57" s="35">
        <v>14</v>
      </c>
      <c r="M57" s="36" t="s">
        <v>402</v>
      </c>
      <c r="O57" s="34" t="s">
        <v>788</v>
      </c>
      <c r="Q57" s="38" t="s">
        <v>747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1246</v>
      </c>
      <c r="L58" s="35">
        <v>15</v>
      </c>
      <c r="M58" s="36" t="s">
        <v>402</v>
      </c>
      <c r="O58" s="34" t="s">
        <v>789</v>
      </c>
      <c r="Q58" s="38" t="s">
        <v>748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1247</v>
      </c>
      <c r="L59" s="35">
        <v>16</v>
      </c>
      <c r="M59" s="36" t="s">
        <v>402</v>
      </c>
      <c r="O59" s="34" t="s">
        <v>790</v>
      </c>
      <c r="Q59" s="38" t="s">
        <v>749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P21" sqref="P21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565</v>
      </c>
      <c r="B3" s="38" t="s">
        <v>1196</v>
      </c>
      <c r="C3" s="62" t="s">
        <v>1197</v>
      </c>
      <c r="D3" s="62" t="s">
        <v>1198</v>
      </c>
      <c r="E3" s="62" t="s">
        <v>1199</v>
      </c>
      <c r="F3" s="35" t="s">
        <v>1200</v>
      </c>
      <c r="G3" s="35" t="s">
        <v>1201</v>
      </c>
      <c r="H3" s="35" t="s">
        <v>1202</v>
      </c>
      <c r="I3" s="62" t="s">
        <v>1203</v>
      </c>
      <c r="J3" s="35" t="s">
        <v>1204</v>
      </c>
      <c r="K3" s="35" t="s">
        <v>1205</v>
      </c>
      <c r="L3" s="35" t="s">
        <v>1206</v>
      </c>
      <c r="M3" s="35" t="s">
        <v>1207</v>
      </c>
      <c r="N3" s="35" t="s">
        <v>1208</v>
      </c>
      <c r="O3" s="35" t="s">
        <v>1209</v>
      </c>
      <c r="P3" s="35" t="s">
        <v>1210</v>
      </c>
      <c r="Q3" s="35" t="s">
        <v>1211</v>
      </c>
      <c r="R3" s="35" t="s">
        <v>1212</v>
      </c>
      <c r="S3" s="35" t="s">
        <v>1213</v>
      </c>
      <c r="T3" s="35" t="s">
        <v>1214</v>
      </c>
      <c r="U3" s="35" t="s">
        <v>1215</v>
      </c>
      <c r="V3" s="35" t="s">
        <v>1216</v>
      </c>
      <c r="W3" s="35" t="s">
        <v>1217</v>
      </c>
      <c r="X3" s="35" t="s">
        <v>1218</v>
      </c>
      <c r="Y3" s="35" t="s">
        <v>1219</v>
      </c>
      <c r="Z3" s="35" t="s">
        <v>1220</v>
      </c>
      <c r="AA3" s="35" t="s">
        <v>1221</v>
      </c>
      <c r="AB3" s="35" t="s">
        <v>1222</v>
      </c>
      <c r="AC3" s="35" t="s">
        <v>1223</v>
      </c>
      <c r="AD3" s="35" t="s">
        <v>1224</v>
      </c>
      <c r="AE3" s="35" t="s">
        <v>1225</v>
      </c>
      <c r="AF3" s="35" t="s">
        <v>1226</v>
      </c>
      <c r="AG3" s="35" t="s">
        <v>1227</v>
      </c>
      <c r="AH3" s="35" t="s">
        <v>1228</v>
      </c>
      <c r="AI3" s="35" t="s">
        <v>1229</v>
      </c>
      <c r="AJ3" s="35" t="s">
        <v>1230</v>
      </c>
      <c r="AK3" s="35" t="s">
        <v>1231</v>
      </c>
      <c r="AL3" s="35" t="s">
        <v>1232</v>
      </c>
      <c r="AM3" s="35" t="s">
        <v>1233</v>
      </c>
      <c r="AN3" s="35" t="s">
        <v>1234</v>
      </c>
      <c r="AO3" s="35" t="s">
        <v>1235</v>
      </c>
      <c r="AP3" s="35" t="s">
        <v>1236</v>
      </c>
      <c r="AQ3" s="35" t="s">
        <v>1237</v>
      </c>
      <c r="AR3" s="35" t="s">
        <v>1238</v>
      </c>
      <c r="AS3" s="35" t="s">
        <v>1239</v>
      </c>
      <c r="AT3" s="35" t="s">
        <v>1240</v>
      </c>
      <c r="AU3" s="35" t="s">
        <v>1287</v>
      </c>
      <c r="AV3" s="35" t="s">
        <v>1288</v>
      </c>
      <c r="AW3" s="35" t="s">
        <v>1289</v>
      </c>
      <c r="AX3" s="35" t="s">
        <v>1241</v>
      </c>
      <c r="AY3" s="35" t="s">
        <v>1242</v>
      </c>
      <c r="AZ3" s="35" t="s">
        <v>1243</v>
      </c>
      <c r="BA3" s="35" t="s">
        <v>1244</v>
      </c>
      <c r="BB3" s="35" t="s">
        <v>1245</v>
      </c>
      <c r="BC3" s="35" t="s">
        <v>1246</v>
      </c>
      <c r="BD3" s="35" t="s">
        <v>1247</v>
      </c>
    </row>
    <row r="4" spans="1:56" ht="18" customHeight="1" thickBot="1" x14ac:dyDescent="0.2">
      <c r="A4" s="89" t="s">
        <v>551</v>
      </c>
      <c r="B4" s="38" t="s">
        <v>378</v>
      </c>
      <c r="C4" s="62" t="s">
        <v>379</v>
      </c>
      <c r="D4" s="62" t="s">
        <v>380</v>
      </c>
      <c r="E4" s="62" t="s">
        <v>441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490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446</v>
      </c>
      <c r="R4" s="35" t="s">
        <v>447</v>
      </c>
      <c r="S4" s="35" t="s">
        <v>448</v>
      </c>
      <c r="T4" s="35" t="s">
        <v>455</v>
      </c>
      <c r="U4" s="35" t="s">
        <v>449</v>
      </c>
      <c r="V4" s="35" t="s">
        <v>450</v>
      </c>
      <c r="W4" s="35" t="s">
        <v>451</v>
      </c>
      <c r="X4" s="35" t="s">
        <v>461</v>
      </c>
      <c r="Y4" s="35" t="s">
        <v>463</v>
      </c>
      <c r="Z4" s="35" t="s">
        <v>464</v>
      </c>
      <c r="AA4" s="35" t="s">
        <v>469</v>
      </c>
      <c r="AB4" s="35" t="s">
        <v>474</v>
      </c>
      <c r="AC4" s="35" t="s">
        <v>470</v>
      </c>
      <c r="AD4" s="35" t="s">
        <v>471</v>
      </c>
      <c r="AE4" s="35" t="s">
        <v>472</v>
      </c>
      <c r="AF4" s="35" t="s">
        <v>480</v>
      </c>
      <c r="AG4" s="35" t="s">
        <v>481</v>
      </c>
      <c r="AH4" s="35" t="s">
        <v>482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483</v>
      </c>
      <c r="AP4" s="35" t="s">
        <v>484</v>
      </c>
      <c r="AQ4" s="35" t="s">
        <v>485</v>
      </c>
      <c r="AR4" s="35" t="s">
        <v>486</v>
      </c>
      <c r="AS4" s="35" t="s">
        <v>487</v>
      </c>
      <c r="AT4" s="35" t="s">
        <v>488</v>
      </c>
      <c r="AU4" s="35" t="s">
        <v>1290</v>
      </c>
      <c r="AV4" s="35" t="s">
        <v>1291</v>
      </c>
      <c r="AW4" s="35" t="s">
        <v>1292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655</v>
      </c>
      <c r="B3" s="56" t="s">
        <v>555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6" sqref="E6:E24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655</v>
      </c>
      <c r="B3" s="56" t="s">
        <v>550</v>
      </c>
    </row>
    <row r="4" spans="1:10" ht="17.25" thickBot="1" x14ac:dyDescent="0.2">
      <c r="A4" s="58" t="s">
        <v>551</v>
      </c>
      <c r="B4" s="58" t="s">
        <v>552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764</v>
      </c>
      <c r="B1" s="94" t="s">
        <v>765</v>
      </c>
      <c r="C1" s="142" t="s">
        <v>765</v>
      </c>
      <c r="D1" s="94" t="s">
        <v>765</v>
      </c>
      <c r="E1" s="142" t="s">
        <v>765</v>
      </c>
      <c r="F1" s="94" t="s">
        <v>765</v>
      </c>
    </row>
    <row r="2" spans="1:6" x14ac:dyDescent="0.15">
      <c r="A2" s="101" t="s">
        <v>766</v>
      </c>
      <c r="B2" s="94" t="s">
        <v>766</v>
      </c>
      <c r="C2" s="142" t="s">
        <v>766</v>
      </c>
      <c r="D2" s="94" t="s">
        <v>766</v>
      </c>
      <c r="E2" s="142" t="s">
        <v>766</v>
      </c>
      <c r="F2" s="94" t="s">
        <v>766</v>
      </c>
    </row>
    <row r="3" spans="1:6" x14ac:dyDescent="0.15">
      <c r="A3" s="101" t="s">
        <v>767</v>
      </c>
      <c r="B3" s="94" t="s">
        <v>760</v>
      </c>
      <c r="C3" s="142" t="s">
        <v>761</v>
      </c>
      <c r="D3" s="94" t="s">
        <v>758</v>
      </c>
      <c r="E3" s="142" t="s">
        <v>759</v>
      </c>
      <c r="F3" s="94" t="s">
        <v>757</v>
      </c>
    </row>
    <row r="4" spans="1:6" ht="22.5" customHeight="1" thickBot="1" x14ac:dyDescent="0.2">
      <c r="A4" s="101" t="s">
        <v>763</v>
      </c>
      <c r="B4" s="94" t="s">
        <v>768</v>
      </c>
      <c r="C4" s="142" t="s">
        <v>769</v>
      </c>
      <c r="D4" s="94" t="s">
        <v>770</v>
      </c>
      <c r="E4" s="142" t="s">
        <v>762</v>
      </c>
      <c r="F4" s="94" t="s">
        <v>771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6" sqref="K10:K16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582</v>
      </c>
      <c r="J1" s="126" t="s">
        <v>612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792</v>
      </c>
      <c r="J2" s="126" t="s">
        <v>607</v>
      </c>
      <c r="L2" s="126" t="s">
        <v>607</v>
      </c>
      <c r="M2" s="126" t="s">
        <v>607</v>
      </c>
      <c r="O2" s="126" t="s">
        <v>607</v>
      </c>
      <c r="Q2" s="126" t="s">
        <v>607</v>
      </c>
      <c r="R2" s="126" t="s">
        <v>607</v>
      </c>
      <c r="S2" s="126" t="s">
        <v>607</v>
      </c>
      <c r="U2" s="126" t="s">
        <v>607</v>
      </c>
      <c r="V2" s="126" t="s">
        <v>607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830</v>
      </c>
      <c r="J3" s="126" t="s">
        <v>613</v>
      </c>
      <c r="L3" s="126" t="s">
        <v>614</v>
      </c>
      <c r="M3" s="126" t="s">
        <v>615</v>
      </c>
      <c r="O3" s="126" t="s">
        <v>616</v>
      </c>
      <c r="Q3" s="126" t="s">
        <v>617</v>
      </c>
      <c r="R3" s="126" t="s">
        <v>618</v>
      </c>
      <c r="S3" s="126" t="s">
        <v>619</v>
      </c>
      <c r="U3" s="126" t="s">
        <v>620</v>
      </c>
      <c r="V3" s="126" t="s">
        <v>621</v>
      </c>
    </row>
    <row r="4" spans="1:22" ht="55.5" customHeight="1" thickBot="1" x14ac:dyDescent="0.35">
      <c r="A4" s="88" t="s">
        <v>590</v>
      </c>
      <c r="B4" s="90" t="s">
        <v>588</v>
      </c>
      <c r="C4" s="106" t="s">
        <v>589</v>
      </c>
      <c r="D4" s="90"/>
      <c r="E4" s="90"/>
      <c r="F4" s="106" t="s">
        <v>611</v>
      </c>
      <c r="G4" s="132" t="s">
        <v>591</v>
      </c>
      <c r="H4" s="89"/>
      <c r="I4" s="90" t="s">
        <v>592</v>
      </c>
      <c r="J4" s="89" t="s">
        <v>593</v>
      </c>
      <c r="K4" s="132" t="s">
        <v>645</v>
      </c>
      <c r="L4" s="89" t="s">
        <v>646</v>
      </c>
      <c r="M4" s="89" t="s">
        <v>647</v>
      </c>
      <c r="N4" s="132" t="s">
        <v>635</v>
      </c>
      <c r="O4" s="89" t="s">
        <v>594</v>
      </c>
      <c r="P4" s="132" t="s">
        <v>639</v>
      </c>
      <c r="Q4" s="89" t="s">
        <v>610</v>
      </c>
      <c r="R4" s="89" t="s">
        <v>608</v>
      </c>
      <c r="S4" s="89" t="s">
        <v>609</v>
      </c>
      <c r="T4" s="132" t="s">
        <v>595</v>
      </c>
      <c r="U4" s="89" t="s">
        <v>608</v>
      </c>
      <c r="V4" s="89" t="s">
        <v>609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596</v>
      </c>
      <c r="H5" s="128"/>
      <c r="J5" s="128">
        <v>100</v>
      </c>
      <c r="K5" s="135"/>
      <c r="L5" s="128"/>
      <c r="M5" s="128"/>
      <c r="N5" s="137" t="s">
        <v>636</v>
      </c>
      <c r="O5" s="128">
        <v>50</v>
      </c>
      <c r="P5" s="137" t="s">
        <v>641</v>
      </c>
      <c r="Q5" s="128"/>
      <c r="R5" s="128">
        <v>2000</v>
      </c>
      <c r="S5" s="128">
        <v>200</v>
      </c>
      <c r="T5" s="135" t="s">
        <v>642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597</v>
      </c>
      <c r="I6" s="125" t="s">
        <v>622</v>
      </c>
      <c r="J6" s="126">
        <v>50</v>
      </c>
      <c r="N6" s="138" t="s">
        <v>637</v>
      </c>
      <c r="O6" s="126">
        <v>200</v>
      </c>
      <c r="P6" s="136" t="s">
        <v>640</v>
      </c>
      <c r="R6" s="126">
        <v>2000</v>
      </c>
      <c r="S6" s="126">
        <v>200</v>
      </c>
      <c r="T6" s="131" t="s">
        <v>644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598</v>
      </c>
      <c r="I7" s="125" t="s">
        <v>622</v>
      </c>
      <c r="J7" s="126">
        <v>30</v>
      </c>
      <c r="N7" s="138" t="s">
        <v>638</v>
      </c>
      <c r="O7" s="126">
        <v>200</v>
      </c>
      <c r="P7" s="136" t="s">
        <v>640</v>
      </c>
      <c r="R7" s="126">
        <v>2000</v>
      </c>
      <c r="S7" s="126">
        <v>200</v>
      </c>
      <c r="T7" s="131" t="s">
        <v>643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599</v>
      </c>
      <c r="H8" s="146" t="s">
        <v>831</v>
      </c>
      <c r="I8" s="125" t="s">
        <v>623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600</v>
      </c>
      <c r="H9" s="146" t="s">
        <v>832</v>
      </c>
      <c r="I9" s="125" t="s">
        <v>624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601</v>
      </c>
      <c r="J10" s="126">
        <v>50</v>
      </c>
      <c r="K10" s="136" t="s">
        <v>630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602</v>
      </c>
      <c r="J11" s="126">
        <v>50</v>
      </c>
      <c r="K11" s="136" t="s">
        <v>630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603</v>
      </c>
      <c r="I12" s="125" t="s">
        <v>625</v>
      </c>
      <c r="J12" s="126">
        <v>50</v>
      </c>
      <c r="K12" s="136" t="s">
        <v>631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604</v>
      </c>
      <c r="I13" s="125" t="s">
        <v>626</v>
      </c>
      <c r="J13" s="126">
        <v>50</v>
      </c>
      <c r="K13" s="136" t="s">
        <v>1039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605</v>
      </c>
      <c r="I14" s="125" t="s">
        <v>627</v>
      </c>
      <c r="J14" s="126">
        <v>50</v>
      </c>
      <c r="K14" s="136" t="s">
        <v>1040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606</v>
      </c>
      <c r="I15" s="125" t="s">
        <v>629</v>
      </c>
      <c r="J15" s="126">
        <v>50</v>
      </c>
      <c r="K15" s="136" t="s">
        <v>634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628</v>
      </c>
      <c r="I16" s="125" t="s">
        <v>629</v>
      </c>
      <c r="J16" s="126">
        <v>50</v>
      </c>
      <c r="K16" s="136" t="s">
        <v>633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5" sqref="M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1169</v>
      </c>
      <c r="B1" s="13"/>
      <c r="C1" s="12"/>
      <c r="D1" s="13"/>
      <c r="E1" s="13"/>
      <c r="F1" s="12"/>
      <c r="G1" s="56" t="s">
        <v>1170</v>
      </c>
      <c r="H1" s="56" t="s">
        <v>1170</v>
      </c>
      <c r="I1" s="56" t="s">
        <v>1170</v>
      </c>
      <c r="J1" s="56" t="s">
        <v>1170</v>
      </c>
      <c r="K1" s="56" t="s">
        <v>1170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1171</v>
      </c>
      <c r="B3" s="13"/>
      <c r="C3" s="12"/>
      <c r="D3" s="13"/>
      <c r="E3" s="13"/>
      <c r="F3" s="12"/>
      <c r="G3" s="56" t="s">
        <v>1172</v>
      </c>
      <c r="H3" s="56" t="s">
        <v>1173</v>
      </c>
      <c r="I3" s="56" t="s">
        <v>1174</v>
      </c>
      <c r="J3" s="56" t="s">
        <v>1175</v>
      </c>
      <c r="K3" s="56" t="s">
        <v>1176</v>
      </c>
      <c r="L3" s="10"/>
      <c r="M3" s="10"/>
    </row>
    <row r="4" spans="1:23" s="187" customFormat="1" ht="57.75" customHeight="1" thickBot="1" x14ac:dyDescent="0.2">
      <c r="A4" s="97" t="s">
        <v>1177</v>
      </c>
      <c r="B4" s="109" t="s">
        <v>1178</v>
      </c>
      <c r="C4" s="110"/>
      <c r="D4" s="109"/>
      <c r="E4" s="109"/>
      <c r="F4" s="110"/>
      <c r="G4" s="92" t="s">
        <v>1179</v>
      </c>
      <c r="H4" s="92" t="s">
        <v>1180</v>
      </c>
      <c r="I4" s="92" t="s">
        <v>1181</v>
      </c>
      <c r="J4" s="92" t="s">
        <v>1182</v>
      </c>
      <c r="K4" s="92" t="s">
        <v>1183</v>
      </c>
      <c r="L4" s="93" t="s">
        <v>1184</v>
      </c>
      <c r="M4" s="93" t="s">
        <v>1185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38" activePane="bottomRight" state="frozen"/>
      <selection pane="topRight" activeCell="H1" sqref="H1"/>
      <selection pane="bottomLeft" activeCell="A5" sqref="A5"/>
      <selection pane="bottomRight" activeCell="J1" sqref="J1:J104857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559</v>
      </c>
      <c r="B1" s="13"/>
      <c r="C1" s="12"/>
      <c r="D1" s="13"/>
      <c r="E1" s="13"/>
      <c r="F1" s="12"/>
      <c r="G1" s="56" t="s">
        <v>793</v>
      </c>
      <c r="H1" s="56" t="s">
        <v>582</v>
      </c>
      <c r="I1" s="56" t="s">
        <v>793</v>
      </c>
      <c r="J1" s="56" t="s">
        <v>582</v>
      </c>
      <c r="K1" s="56" t="s">
        <v>582</v>
      </c>
      <c r="L1" s="164" t="s">
        <v>793</v>
      </c>
      <c r="M1" s="10"/>
      <c r="N1" s="56" t="s">
        <v>793</v>
      </c>
      <c r="O1" s="56" t="s">
        <v>793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988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582</v>
      </c>
      <c r="AJ1" s="56" t="s">
        <v>582</v>
      </c>
      <c r="AK1" s="56" t="s">
        <v>582</v>
      </c>
      <c r="AL1" s="56" t="s">
        <v>582</v>
      </c>
      <c r="AM1" s="56" t="s">
        <v>582</v>
      </c>
      <c r="AN1" s="56" t="s">
        <v>582</v>
      </c>
      <c r="AO1" s="56" t="s">
        <v>1281</v>
      </c>
      <c r="AP1" s="56" t="s">
        <v>1281</v>
      </c>
      <c r="AQ1" s="171"/>
      <c r="AR1" s="56" t="s">
        <v>582</v>
      </c>
      <c r="AS1" s="56" t="s">
        <v>582</v>
      </c>
      <c r="AT1" s="56" t="s">
        <v>582</v>
      </c>
      <c r="AU1" s="56" t="s">
        <v>582</v>
      </c>
      <c r="AV1" s="56" t="s">
        <v>582</v>
      </c>
      <c r="AW1" s="56" t="s">
        <v>582</v>
      </c>
      <c r="AX1" s="56" t="s">
        <v>582</v>
      </c>
      <c r="AY1" s="56" t="s">
        <v>1281</v>
      </c>
      <c r="AZ1" s="171"/>
      <c r="BA1" s="56" t="s">
        <v>582</v>
      </c>
      <c r="BB1" s="56" t="s">
        <v>582</v>
      </c>
      <c r="BC1" s="56" t="s">
        <v>1047</v>
      </c>
      <c r="BD1" s="171"/>
      <c r="BE1" s="56" t="s">
        <v>582</v>
      </c>
      <c r="BF1" s="10"/>
      <c r="BG1" s="56" t="s">
        <v>582</v>
      </c>
      <c r="BH1" s="56" t="s">
        <v>582</v>
      </c>
      <c r="BI1" s="56" t="s">
        <v>582</v>
      </c>
      <c r="BJ1" s="56" t="s">
        <v>582</v>
      </c>
      <c r="BK1" s="56" t="s">
        <v>582</v>
      </c>
      <c r="BL1" s="56" t="s">
        <v>582</v>
      </c>
      <c r="BM1" s="56" t="s">
        <v>582</v>
      </c>
      <c r="BN1" s="56" t="s">
        <v>582</v>
      </c>
      <c r="BO1" s="56" t="s">
        <v>582</v>
      </c>
      <c r="BP1" s="56" t="s">
        <v>582</v>
      </c>
      <c r="BQ1" s="56" t="s">
        <v>582</v>
      </c>
      <c r="BR1" s="10"/>
      <c r="BS1" s="56" t="s">
        <v>582</v>
      </c>
      <c r="BT1" s="56" t="s">
        <v>582</v>
      </c>
      <c r="BU1" s="56" t="s">
        <v>582</v>
      </c>
      <c r="BV1" s="56" t="s">
        <v>582</v>
      </c>
      <c r="BW1" s="56" t="s">
        <v>582</v>
      </c>
      <c r="BX1" s="56" t="s">
        <v>582</v>
      </c>
      <c r="BY1" s="56" t="s">
        <v>582</v>
      </c>
      <c r="BZ1" s="56" t="s">
        <v>582</v>
      </c>
      <c r="CA1" s="56" t="s">
        <v>582</v>
      </c>
      <c r="CB1" s="56" t="s">
        <v>582</v>
      </c>
      <c r="CC1" s="56" t="s">
        <v>582</v>
      </c>
      <c r="CD1" s="56" t="s">
        <v>582</v>
      </c>
      <c r="CE1" s="56" t="s">
        <v>582</v>
      </c>
      <c r="CF1" s="56" t="s">
        <v>582</v>
      </c>
      <c r="CG1" s="56" t="s">
        <v>582</v>
      </c>
      <c r="CH1" s="56" t="s">
        <v>582</v>
      </c>
      <c r="CI1" s="56" t="s">
        <v>582</v>
      </c>
      <c r="CJ1" s="56" t="s">
        <v>582</v>
      </c>
      <c r="CK1" s="56" t="s">
        <v>582</v>
      </c>
      <c r="CL1" s="10"/>
      <c r="CM1" s="56" t="s">
        <v>582</v>
      </c>
      <c r="CN1" s="56" t="s">
        <v>582</v>
      </c>
      <c r="CO1" s="56" t="s">
        <v>582</v>
      </c>
      <c r="CP1" s="56" t="s">
        <v>582</v>
      </c>
      <c r="CQ1" s="56" t="s">
        <v>582</v>
      </c>
      <c r="CR1" s="56" t="s">
        <v>582</v>
      </c>
      <c r="CS1" s="56" t="s">
        <v>582</v>
      </c>
      <c r="CT1" s="56" t="s">
        <v>582</v>
      </c>
      <c r="CU1" s="56" t="s">
        <v>582</v>
      </c>
      <c r="CV1" s="56" t="s">
        <v>582</v>
      </c>
      <c r="CW1" s="56" t="s">
        <v>582</v>
      </c>
      <c r="CX1" s="56" t="s">
        <v>582</v>
      </c>
      <c r="CY1" s="56" t="s">
        <v>582</v>
      </c>
      <c r="CZ1" s="56" t="s">
        <v>582</v>
      </c>
      <c r="DA1" s="56" t="s">
        <v>582</v>
      </c>
      <c r="DB1" s="10"/>
      <c r="DC1" s="56" t="s">
        <v>582</v>
      </c>
      <c r="DD1" s="56" t="s">
        <v>582</v>
      </c>
      <c r="DE1" s="56" t="s">
        <v>582</v>
      </c>
      <c r="DF1" s="56" t="s">
        <v>582</v>
      </c>
      <c r="DG1" s="56" t="s">
        <v>582</v>
      </c>
      <c r="DH1" s="56" t="s">
        <v>582</v>
      </c>
      <c r="DI1" s="56" t="s">
        <v>582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792</v>
      </c>
      <c r="H2" s="56" t="s">
        <v>964</v>
      </c>
      <c r="I2" s="56" t="s">
        <v>792</v>
      </c>
      <c r="J2" s="56" t="s">
        <v>475</v>
      </c>
      <c r="K2" s="56" t="s">
        <v>475</v>
      </c>
      <c r="L2" s="164" t="s">
        <v>794</v>
      </c>
      <c r="M2" s="10"/>
      <c r="N2" s="56" t="s">
        <v>792</v>
      </c>
      <c r="O2" s="56" t="s">
        <v>794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987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1280</v>
      </c>
      <c r="AP2" s="56" t="s">
        <v>1280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1280</v>
      </c>
      <c r="AZ2" s="171"/>
      <c r="BA2" s="56" t="s">
        <v>61</v>
      </c>
      <c r="BB2" s="56" t="s">
        <v>61</v>
      </c>
      <c r="BC2" s="56" t="s">
        <v>1046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565</v>
      </c>
      <c r="B3" s="13"/>
      <c r="C3" s="12"/>
      <c r="D3" s="13"/>
      <c r="E3" s="13"/>
      <c r="F3" s="12"/>
      <c r="G3" s="56" t="s">
        <v>803</v>
      </c>
      <c r="H3" s="56" t="s">
        <v>963</v>
      </c>
      <c r="I3" s="56" t="s">
        <v>806</v>
      </c>
      <c r="J3" s="56" t="s">
        <v>974</v>
      </c>
      <c r="K3" s="56" t="s">
        <v>975</v>
      </c>
      <c r="L3" s="164" t="s">
        <v>823</v>
      </c>
      <c r="M3" s="10"/>
      <c r="N3" s="56" t="s">
        <v>796</v>
      </c>
      <c r="O3" s="56" t="s">
        <v>815</v>
      </c>
      <c r="P3" s="161"/>
      <c r="Q3" s="177"/>
      <c r="R3" s="167"/>
      <c r="S3" s="56" t="s">
        <v>979</v>
      </c>
      <c r="T3" s="56"/>
      <c r="U3" s="56"/>
      <c r="V3" s="161"/>
      <c r="W3" s="177"/>
      <c r="X3" s="171"/>
      <c r="Y3" s="10"/>
      <c r="Z3" s="56" t="s">
        <v>986</v>
      </c>
      <c r="AA3" s="56" t="s">
        <v>798</v>
      </c>
      <c r="AB3" s="56" t="s">
        <v>799</v>
      </c>
      <c r="AC3" s="56" t="s">
        <v>800</v>
      </c>
      <c r="AD3" s="56" t="s">
        <v>801</v>
      </c>
      <c r="AE3" s="173"/>
      <c r="AF3" s="56" t="s">
        <v>1248</v>
      </c>
      <c r="AG3" s="56" t="s">
        <v>1249</v>
      </c>
      <c r="AH3" s="171"/>
      <c r="AI3" s="38" t="s">
        <v>849</v>
      </c>
      <c r="AJ3" s="62" t="s">
        <v>850</v>
      </c>
      <c r="AK3" s="62" t="s">
        <v>851</v>
      </c>
      <c r="AL3" s="62" t="s">
        <v>852</v>
      </c>
      <c r="AM3" s="62" t="s">
        <v>853</v>
      </c>
      <c r="AN3" s="62" t="s">
        <v>854</v>
      </c>
      <c r="AO3" s="62" t="s">
        <v>1285</v>
      </c>
      <c r="AP3" s="62" t="s">
        <v>1279</v>
      </c>
      <c r="AQ3" s="171"/>
      <c r="AR3" s="38" t="s">
        <v>855</v>
      </c>
      <c r="AS3" s="62" t="s">
        <v>856</v>
      </c>
      <c r="AT3" s="62" t="s">
        <v>857</v>
      </c>
      <c r="AU3" s="62" t="s">
        <v>858</v>
      </c>
      <c r="AV3" s="62" t="s">
        <v>859</v>
      </c>
      <c r="AW3" s="62" t="s">
        <v>860</v>
      </c>
      <c r="AX3" s="62" t="s">
        <v>1286</v>
      </c>
      <c r="AY3" s="62" t="s">
        <v>1283</v>
      </c>
      <c r="AZ3" s="171"/>
      <c r="BA3" s="38" t="s">
        <v>899</v>
      </c>
      <c r="BB3" s="62" t="s">
        <v>833</v>
      </c>
      <c r="BC3" s="62" t="s">
        <v>1044</v>
      </c>
      <c r="BD3" s="171"/>
      <c r="BE3" s="38" t="s">
        <v>812</v>
      </c>
      <c r="BF3" s="10"/>
      <c r="BG3" s="38" t="s">
        <v>1196</v>
      </c>
      <c r="BH3" s="62" t="s">
        <v>1197</v>
      </c>
      <c r="BI3" s="62" t="s">
        <v>1198</v>
      </c>
      <c r="BJ3" s="62" t="s">
        <v>1199</v>
      </c>
      <c r="BK3" s="35" t="s">
        <v>1200</v>
      </c>
      <c r="BL3" s="35" t="s">
        <v>1201</v>
      </c>
      <c r="BM3" s="35" t="s">
        <v>1202</v>
      </c>
      <c r="BN3" s="62" t="s">
        <v>1203</v>
      </c>
      <c r="BO3" s="35" t="s">
        <v>1204</v>
      </c>
      <c r="BP3" s="35" t="s">
        <v>1205</v>
      </c>
      <c r="BQ3" s="35" t="s">
        <v>1206</v>
      </c>
      <c r="BR3" s="36"/>
      <c r="BS3" s="35" t="s">
        <v>1207</v>
      </c>
      <c r="BT3" s="35" t="s">
        <v>1208</v>
      </c>
      <c r="BU3" s="35" t="s">
        <v>1209</v>
      </c>
      <c r="BV3" s="35" t="s">
        <v>1210</v>
      </c>
      <c r="BW3" s="35" t="s">
        <v>1211</v>
      </c>
      <c r="BX3" s="35" t="s">
        <v>1212</v>
      </c>
      <c r="BY3" s="35" t="s">
        <v>1213</v>
      </c>
      <c r="BZ3" s="35" t="s">
        <v>1214</v>
      </c>
      <c r="CA3" s="35" t="s">
        <v>1215</v>
      </c>
      <c r="CB3" s="35" t="s">
        <v>1216</v>
      </c>
      <c r="CC3" s="35" t="s">
        <v>1217</v>
      </c>
      <c r="CD3" s="35" t="s">
        <v>1218</v>
      </c>
      <c r="CE3" s="35" t="s">
        <v>1219</v>
      </c>
      <c r="CF3" s="35" t="s">
        <v>1220</v>
      </c>
      <c r="CG3" s="35" t="s">
        <v>1221</v>
      </c>
      <c r="CH3" s="35" t="s">
        <v>1222</v>
      </c>
      <c r="CI3" s="35" t="s">
        <v>1223</v>
      </c>
      <c r="CJ3" s="35" t="s">
        <v>1224</v>
      </c>
      <c r="CK3" s="35" t="s">
        <v>1225</v>
      </c>
      <c r="CL3" s="36"/>
      <c r="CM3" s="35" t="s">
        <v>1226</v>
      </c>
      <c r="CN3" s="35" t="s">
        <v>1227</v>
      </c>
      <c r="CO3" s="35" t="s">
        <v>1228</v>
      </c>
      <c r="CP3" s="35" t="s">
        <v>1229</v>
      </c>
      <c r="CQ3" s="35" t="s">
        <v>1230</v>
      </c>
      <c r="CR3" s="35" t="s">
        <v>1231</v>
      </c>
      <c r="CS3" s="35" t="s">
        <v>1232</v>
      </c>
      <c r="CT3" s="35" t="s">
        <v>1233</v>
      </c>
      <c r="CU3" s="35" t="s">
        <v>1234</v>
      </c>
      <c r="CV3" s="35" t="s">
        <v>1235</v>
      </c>
      <c r="CW3" s="35" t="s">
        <v>1236</v>
      </c>
      <c r="CX3" s="35" t="s">
        <v>1237</v>
      </c>
      <c r="CY3" s="35" t="s">
        <v>1238</v>
      </c>
      <c r="CZ3" s="35" t="s">
        <v>1239</v>
      </c>
      <c r="DA3" s="35" t="s">
        <v>1240</v>
      </c>
      <c r="DB3" s="36"/>
      <c r="DC3" s="35" t="s">
        <v>1241</v>
      </c>
      <c r="DD3" s="35" t="s">
        <v>1242</v>
      </c>
      <c r="DE3" s="35" t="s">
        <v>1243</v>
      </c>
      <c r="DF3" s="35" t="s">
        <v>1244</v>
      </c>
      <c r="DG3" s="35" t="s">
        <v>1245</v>
      </c>
      <c r="DH3" s="35" t="s">
        <v>1246</v>
      </c>
      <c r="DI3" s="35" t="s">
        <v>1247</v>
      </c>
    </row>
    <row r="4" spans="1:113" s="95" customFormat="1" ht="118.5" customHeight="1" thickBot="1" x14ac:dyDescent="0.2">
      <c r="A4" s="97" t="s">
        <v>565</v>
      </c>
      <c r="B4" s="109" t="s">
        <v>584</v>
      </c>
      <c r="C4" s="110" t="s">
        <v>1348</v>
      </c>
      <c r="D4" s="109" t="s">
        <v>878</v>
      </c>
      <c r="E4" s="109" t="s">
        <v>879</v>
      </c>
      <c r="F4" s="110"/>
      <c r="G4" s="58" t="s">
        <v>804</v>
      </c>
      <c r="H4" s="58" t="s">
        <v>965</v>
      </c>
      <c r="I4" s="58" t="s">
        <v>1049</v>
      </c>
      <c r="J4" s="58" t="s">
        <v>1050</v>
      </c>
      <c r="K4" s="58" t="s">
        <v>1051</v>
      </c>
      <c r="L4" s="165" t="s">
        <v>822</v>
      </c>
      <c r="M4" s="145" t="s">
        <v>805</v>
      </c>
      <c r="N4" s="92" t="s">
        <v>795</v>
      </c>
      <c r="O4" s="56" t="s">
        <v>966</v>
      </c>
      <c r="P4" s="161" t="s">
        <v>1007</v>
      </c>
      <c r="Q4" s="177" t="s">
        <v>980</v>
      </c>
      <c r="R4" s="167" t="s">
        <v>983</v>
      </c>
      <c r="S4" s="56" t="s">
        <v>984</v>
      </c>
      <c r="T4" s="56" t="s">
        <v>1001</v>
      </c>
      <c r="U4" s="56" t="s">
        <v>1002</v>
      </c>
      <c r="V4" s="161" t="s">
        <v>998</v>
      </c>
      <c r="W4" s="177" t="s">
        <v>981</v>
      </c>
      <c r="X4" s="171" t="s">
        <v>811</v>
      </c>
      <c r="Y4" s="10" t="s">
        <v>802</v>
      </c>
      <c r="Z4" s="56" t="s">
        <v>985</v>
      </c>
      <c r="AA4" s="56" t="s">
        <v>880</v>
      </c>
      <c r="AB4" s="56" t="s">
        <v>881</v>
      </c>
      <c r="AC4" s="56" t="s">
        <v>882</v>
      </c>
      <c r="AD4" s="56" t="s">
        <v>883</v>
      </c>
      <c r="AE4" s="174" t="s">
        <v>982</v>
      </c>
      <c r="AF4" s="56" t="s">
        <v>884</v>
      </c>
      <c r="AG4" s="56" t="s">
        <v>885</v>
      </c>
      <c r="AH4" s="176" t="s">
        <v>967</v>
      </c>
      <c r="AI4" s="38" t="s">
        <v>886</v>
      </c>
      <c r="AJ4" s="62" t="s">
        <v>887</v>
      </c>
      <c r="AK4" s="62" t="s">
        <v>888</v>
      </c>
      <c r="AL4" s="62" t="s">
        <v>889</v>
      </c>
      <c r="AM4" s="62" t="s">
        <v>890</v>
      </c>
      <c r="AN4" s="62" t="s">
        <v>891</v>
      </c>
      <c r="AO4" s="62" t="s">
        <v>1284</v>
      </c>
      <c r="AP4" s="62" t="s">
        <v>1278</v>
      </c>
      <c r="AQ4" s="171" t="s">
        <v>892</v>
      </c>
      <c r="AR4" s="38" t="s">
        <v>893</v>
      </c>
      <c r="AS4" s="62" t="s">
        <v>894</v>
      </c>
      <c r="AT4" s="62" t="s">
        <v>895</v>
      </c>
      <c r="AU4" s="62" t="s">
        <v>896</v>
      </c>
      <c r="AV4" s="62" t="s">
        <v>897</v>
      </c>
      <c r="AW4" s="62" t="s">
        <v>898</v>
      </c>
      <c r="AX4" s="62" t="s">
        <v>903</v>
      </c>
      <c r="AY4" s="62" t="s">
        <v>1282</v>
      </c>
      <c r="AZ4" s="171" t="s">
        <v>834</v>
      </c>
      <c r="BA4" s="38" t="s">
        <v>900</v>
      </c>
      <c r="BB4" s="62" t="s">
        <v>901</v>
      </c>
      <c r="BC4" s="62" t="s">
        <v>1045</v>
      </c>
      <c r="BD4" s="171" t="s">
        <v>861</v>
      </c>
      <c r="BE4" s="38" t="s">
        <v>904</v>
      </c>
      <c r="BF4" s="10" t="s">
        <v>992</v>
      </c>
      <c r="BG4" s="38" t="s">
        <v>905</v>
      </c>
      <c r="BH4" s="62" t="s">
        <v>906</v>
      </c>
      <c r="BI4" s="62" t="s">
        <v>907</v>
      </c>
      <c r="BJ4" s="62" t="s">
        <v>908</v>
      </c>
      <c r="BK4" s="35" t="s">
        <v>909</v>
      </c>
      <c r="BL4" s="35" t="s">
        <v>910</v>
      </c>
      <c r="BM4" s="35" t="s">
        <v>911</v>
      </c>
      <c r="BN4" s="62" t="s">
        <v>912</v>
      </c>
      <c r="BO4" s="35" t="s">
        <v>913</v>
      </c>
      <c r="BP4" s="35" t="s">
        <v>914</v>
      </c>
      <c r="BQ4" s="35" t="s">
        <v>915</v>
      </c>
      <c r="BR4" s="36" t="s">
        <v>991</v>
      </c>
      <c r="BS4" s="35" t="s">
        <v>916</v>
      </c>
      <c r="BT4" s="35" t="s">
        <v>917</v>
      </c>
      <c r="BU4" s="35" t="s">
        <v>918</v>
      </c>
      <c r="BV4" s="35" t="s">
        <v>919</v>
      </c>
      <c r="BW4" s="35" t="s">
        <v>920</v>
      </c>
      <c r="BX4" s="35" t="s">
        <v>921</v>
      </c>
      <c r="BY4" s="35" t="s">
        <v>922</v>
      </c>
      <c r="BZ4" s="35" t="s">
        <v>923</v>
      </c>
      <c r="CA4" s="35" t="s">
        <v>924</v>
      </c>
      <c r="CB4" s="35" t="s">
        <v>925</v>
      </c>
      <c r="CC4" s="35" t="s">
        <v>926</v>
      </c>
      <c r="CD4" s="35" t="s">
        <v>927</v>
      </c>
      <c r="CE4" s="35" t="s">
        <v>928</v>
      </c>
      <c r="CF4" s="35" t="s">
        <v>929</v>
      </c>
      <c r="CG4" s="35" t="s">
        <v>930</v>
      </c>
      <c r="CH4" s="35" t="s">
        <v>931</v>
      </c>
      <c r="CI4" s="35" t="s">
        <v>932</v>
      </c>
      <c r="CJ4" s="35" t="s">
        <v>933</v>
      </c>
      <c r="CK4" s="35" t="s">
        <v>934</v>
      </c>
      <c r="CL4" s="36" t="s">
        <v>990</v>
      </c>
      <c r="CM4" s="35" t="s">
        <v>935</v>
      </c>
      <c r="CN4" s="35" t="s">
        <v>936</v>
      </c>
      <c r="CO4" s="35" t="s">
        <v>937</v>
      </c>
      <c r="CP4" s="35" t="s">
        <v>938</v>
      </c>
      <c r="CQ4" s="35" t="s">
        <v>939</v>
      </c>
      <c r="CR4" s="35" t="s">
        <v>940</v>
      </c>
      <c r="CS4" s="35" t="s">
        <v>941</v>
      </c>
      <c r="CT4" s="35" t="s">
        <v>942</v>
      </c>
      <c r="CU4" s="35" t="s">
        <v>956</v>
      </c>
      <c r="CV4" s="35" t="s">
        <v>955</v>
      </c>
      <c r="CW4" s="35" t="s">
        <v>954</v>
      </c>
      <c r="CX4" s="35" t="s">
        <v>953</v>
      </c>
      <c r="CY4" s="35" t="s">
        <v>952</v>
      </c>
      <c r="CZ4" s="35" t="s">
        <v>951</v>
      </c>
      <c r="DA4" s="35" t="s">
        <v>950</v>
      </c>
      <c r="DB4" s="36" t="s">
        <v>989</v>
      </c>
      <c r="DC4" s="35" t="s">
        <v>949</v>
      </c>
      <c r="DD4" s="35" t="s">
        <v>948</v>
      </c>
      <c r="DE4" s="35" t="s">
        <v>947</v>
      </c>
      <c r="DF4" s="35" t="s">
        <v>946</v>
      </c>
      <c r="DG4" s="35" t="s">
        <v>945</v>
      </c>
      <c r="DH4" s="35" t="s">
        <v>944</v>
      </c>
      <c r="DI4" s="35" t="s">
        <v>943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862</v>
      </c>
      <c r="H5" s="57">
        <v>1</v>
      </c>
      <c r="I5" s="57" t="s">
        <v>1048</v>
      </c>
      <c r="J5" s="57" t="s">
        <v>1064</v>
      </c>
      <c r="K5" s="57" t="s">
        <v>1077</v>
      </c>
      <c r="L5" s="166">
        <v>360</v>
      </c>
      <c r="M5" s="17" t="s">
        <v>960</v>
      </c>
      <c r="N5" s="57" t="s">
        <v>1301</v>
      </c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807</v>
      </c>
      <c r="H6" s="56">
        <v>3</v>
      </c>
      <c r="I6" s="56" t="s">
        <v>1048</v>
      </c>
      <c r="J6" s="56" t="s">
        <v>1064</v>
      </c>
      <c r="L6" s="164">
        <v>360</v>
      </c>
      <c r="M6" s="10" t="s">
        <v>961</v>
      </c>
      <c r="N6" s="56" t="s">
        <v>1302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808</v>
      </c>
      <c r="H7" s="56">
        <v>5</v>
      </c>
      <c r="I7" s="56" t="s">
        <v>1048</v>
      </c>
      <c r="J7" s="56" t="s">
        <v>1064</v>
      </c>
      <c r="L7" s="164">
        <v>360</v>
      </c>
      <c r="M7" s="156" t="s">
        <v>962</v>
      </c>
      <c r="N7" s="56" t="s">
        <v>1303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863</v>
      </c>
      <c r="H8" s="56">
        <v>1</v>
      </c>
      <c r="I8" s="56" t="s">
        <v>1054</v>
      </c>
      <c r="J8" s="56" t="s">
        <v>1065</v>
      </c>
      <c r="L8" s="164">
        <v>360</v>
      </c>
      <c r="N8" s="56" t="s">
        <v>1304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864</v>
      </c>
      <c r="H9" s="56">
        <v>3</v>
      </c>
      <c r="I9" s="56" t="s">
        <v>1052</v>
      </c>
      <c r="J9" s="56" t="s">
        <v>1065</v>
      </c>
      <c r="L9" s="164">
        <v>360</v>
      </c>
      <c r="N9" s="56" t="s">
        <v>1305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865</v>
      </c>
      <c r="H10" s="56">
        <v>5</v>
      </c>
      <c r="I10" s="56" t="s">
        <v>1052</v>
      </c>
      <c r="J10" s="56" t="s">
        <v>1065</v>
      </c>
      <c r="L10" s="164">
        <v>360</v>
      </c>
      <c r="N10" s="56" t="s">
        <v>1306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866</v>
      </c>
      <c r="H11" s="56">
        <v>1</v>
      </c>
      <c r="I11" s="56" t="s">
        <v>1053</v>
      </c>
      <c r="J11" s="56" t="s">
        <v>1066</v>
      </c>
      <c r="L11" s="164">
        <v>360</v>
      </c>
      <c r="N11" s="56" t="s">
        <v>1307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809</v>
      </c>
      <c r="H12" s="56">
        <v>3</v>
      </c>
      <c r="I12" s="56" t="s">
        <v>1053</v>
      </c>
      <c r="J12" s="56" t="s">
        <v>1066</v>
      </c>
      <c r="L12" s="164">
        <v>360</v>
      </c>
      <c r="N12" s="56" t="s">
        <v>1308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810</v>
      </c>
      <c r="H13" s="56">
        <v>5</v>
      </c>
      <c r="I13" s="56" t="s">
        <v>1053</v>
      </c>
      <c r="J13" s="56" t="s">
        <v>1066</v>
      </c>
      <c r="L13" s="164">
        <v>360</v>
      </c>
      <c r="N13" s="56" t="s">
        <v>1309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957</v>
      </c>
      <c r="H25" s="57">
        <v>1</v>
      </c>
      <c r="I25" s="57" t="s">
        <v>1055</v>
      </c>
      <c r="J25" s="57" t="s">
        <v>1067</v>
      </c>
      <c r="K25" s="57"/>
      <c r="L25" s="166">
        <v>360</v>
      </c>
      <c r="M25" s="17"/>
      <c r="N25" s="57" t="s">
        <v>1310</v>
      </c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958</v>
      </c>
      <c r="H26" s="56">
        <v>3</v>
      </c>
      <c r="I26" s="56" t="s">
        <v>1055</v>
      </c>
      <c r="J26" s="56" t="s">
        <v>1067</v>
      </c>
      <c r="L26" s="164">
        <v>360</v>
      </c>
      <c r="N26" s="56" t="s">
        <v>1311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959</v>
      </c>
      <c r="H27" s="56">
        <v>5</v>
      </c>
      <c r="I27" s="56" t="s">
        <v>1055</v>
      </c>
      <c r="J27" s="56" t="s">
        <v>1067</v>
      </c>
      <c r="L27" s="164">
        <v>360</v>
      </c>
      <c r="N27" s="56" t="s">
        <v>1312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971</v>
      </c>
      <c r="H28" s="56">
        <v>1</v>
      </c>
      <c r="I28" s="56" t="s">
        <v>1069</v>
      </c>
      <c r="J28" s="56" t="s">
        <v>1068</v>
      </c>
      <c r="L28" s="164">
        <v>360</v>
      </c>
      <c r="N28" s="56" t="s">
        <v>1313</v>
      </c>
      <c r="O28" s="57">
        <v>10</v>
      </c>
      <c r="P28" s="161">
        <f t="shared" si="3"/>
        <v>0.13411848672575966</v>
      </c>
      <c r="Q28" s="177">
        <f t="shared" si="4"/>
        <v>0.14400000000000002</v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972</v>
      </c>
      <c r="H29" s="56">
        <v>3</v>
      </c>
      <c r="I29" s="56" t="s">
        <v>1069</v>
      </c>
      <c r="J29" s="56" t="s">
        <v>1068</v>
      </c>
      <c r="L29" s="164">
        <v>360</v>
      </c>
      <c r="N29" s="56" t="s">
        <v>1314</v>
      </c>
      <c r="O29" s="56">
        <v>8</v>
      </c>
      <c r="P29" s="161">
        <f t="shared" si="3"/>
        <v>0.10881621829913368</v>
      </c>
      <c r="Q29" s="177">
        <f t="shared" si="4"/>
        <v>0.11520000000000001</v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973</v>
      </c>
      <c r="H30" s="56">
        <v>5</v>
      </c>
      <c r="I30" s="56" t="s">
        <v>1069</v>
      </c>
      <c r="J30" s="56" t="s">
        <v>1068</v>
      </c>
      <c r="L30" s="164">
        <v>360</v>
      </c>
      <c r="N30" s="56" t="s">
        <v>1315</v>
      </c>
      <c r="O30" s="56">
        <v>5</v>
      </c>
      <c r="P30" s="161">
        <f t="shared" si="3"/>
        <v>6.9470779198735899E-2</v>
      </c>
      <c r="Q30" s="177">
        <f t="shared" si="4"/>
        <v>7.2000000000000008E-2</v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816</v>
      </c>
      <c r="H45" s="57">
        <v>1</v>
      </c>
      <c r="I45" s="57" t="s">
        <v>1056</v>
      </c>
      <c r="J45" s="57" t="s">
        <v>1070</v>
      </c>
      <c r="K45" s="57"/>
      <c r="L45" s="166">
        <v>5</v>
      </c>
      <c r="M45" s="17"/>
      <c r="N45" s="57" t="s">
        <v>1316</v>
      </c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817</v>
      </c>
      <c r="H46" s="56">
        <v>3</v>
      </c>
      <c r="I46" s="56" t="s">
        <v>1056</v>
      </c>
      <c r="J46" s="56" t="s">
        <v>1070</v>
      </c>
      <c r="L46" s="164">
        <v>5</v>
      </c>
      <c r="N46" s="56" t="s">
        <v>1317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818</v>
      </c>
      <c r="H47" s="56">
        <v>5</v>
      </c>
      <c r="I47" s="56" t="s">
        <v>1056</v>
      </c>
      <c r="J47" s="56" t="s">
        <v>1070</v>
      </c>
      <c r="L47" s="164">
        <v>5</v>
      </c>
      <c r="N47" s="56" t="s">
        <v>1318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819</v>
      </c>
      <c r="H48" s="56">
        <v>1</v>
      </c>
      <c r="I48" s="56" t="s">
        <v>1057</v>
      </c>
      <c r="J48" s="56" t="s">
        <v>1072</v>
      </c>
      <c r="L48" s="164">
        <v>360</v>
      </c>
      <c r="N48" s="56" t="s">
        <v>1319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820</v>
      </c>
      <c r="H49" s="56">
        <v>3</v>
      </c>
      <c r="I49" s="56" t="s">
        <v>1057</v>
      </c>
      <c r="J49" s="56" t="s">
        <v>1072</v>
      </c>
      <c r="L49" s="164">
        <v>360</v>
      </c>
      <c r="N49" s="56" t="s">
        <v>1321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821</v>
      </c>
      <c r="H50" s="56">
        <v>5</v>
      </c>
      <c r="I50" s="56" t="s">
        <v>1057</v>
      </c>
      <c r="J50" s="56" t="s">
        <v>1072</v>
      </c>
      <c r="L50" s="164">
        <v>360</v>
      </c>
      <c r="N50" s="56" t="s">
        <v>1320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867</v>
      </c>
      <c r="H51" s="56">
        <v>1</v>
      </c>
      <c r="I51" s="56" t="s">
        <v>1058</v>
      </c>
      <c r="J51" s="56" t="s">
        <v>1071</v>
      </c>
      <c r="L51" s="164">
        <v>360</v>
      </c>
      <c r="N51" s="56" t="s">
        <v>1322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868</v>
      </c>
      <c r="H52" s="56">
        <v>3</v>
      </c>
      <c r="I52" s="56" t="s">
        <v>1058</v>
      </c>
      <c r="J52" s="56" t="s">
        <v>1071</v>
      </c>
      <c r="L52" s="164">
        <v>360</v>
      </c>
      <c r="N52" s="56" t="s">
        <v>1324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869</v>
      </c>
      <c r="H53" s="56">
        <v>5</v>
      </c>
      <c r="I53" s="56" t="s">
        <v>1058</v>
      </c>
      <c r="J53" s="56" t="s">
        <v>1071</v>
      </c>
      <c r="L53" s="164">
        <v>360</v>
      </c>
      <c r="N53" s="56" t="s">
        <v>1323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976</v>
      </c>
      <c r="H54" s="56">
        <v>1</v>
      </c>
      <c r="I54" s="56" t="s">
        <v>1328</v>
      </c>
      <c r="J54" s="56" t="s">
        <v>1329</v>
      </c>
      <c r="L54" s="164">
        <v>360</v>
      </c>
      <c r="N54" s="56" t="s">
        <v>1325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977</v>
      </c>
      <c r="H55" s="56">
        <v>3</v>
      </c>
      <c r="I55" s="56" t="s">
        <v>1328</v>
      </c>
      <c r="J55" s="56" t="s">
        <v>1329</v>
      </c>
      <c r="K55" s="56"/>
      <c r="L55" s="164">
        <v>360</v>
      </c>
      <c r="M55" s="10"/>
      <c r="N55" s="56" t="s">
        <v>1327</v>
      </c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978</v>
      </c>
      <c r="H56" s="56">
        <v>5</v>
      </c>
      <c r="I56" s="56" t="s">
        <v>1328</v>
      </c>
      <c r="J56" s="56" t="s">
        <v>1329</v>
      </c>
      <c r="K56" s="56"/>
      <c r="L56" s="164">
        <v>360</v>
      </c>
      <c r="M56" s="10"/>
      <c r="N56" s="56" t="s">
        <v>1326</v>
      </c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1059</v>
      </c>
      <c r="H57" s="56">
        <v>1</v>
      </c>
      <c r="I57" s="56" t="s">
        <v>1060</v>
      </c>
      <c r="J57" s="56" t="s">
        <v>1073</v>
      </c>
      <c r="K57" s="56"/>
      <c r="L57" s="164">
        <v>360</v>
      </c>
      <c r="M57" s="10"/>
      <c r="N57" s="56" t="s">
        <v>1330</v>
      </c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870</v>
      </c>
      <c r="H58" s="56">
        <v>3</v>
      </c>
      <c r="I58" s="56" t="s">
        <v>1060</v>
      </c>
      <c r="J58" s="56" t="s">
        <v>1073</v>
      </c>
      <c r="K58" s="56"/>
      <c r="L58" s="164">
        <v>360</v>
      </c>
      <c r="M58" s="10"/>
      <c r="N58" s="56" t="s">
        <v>1332</v>
      </c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871</v>
      </c>
      <c r="H59" s="56">
        <v>5</v>
      </c>
      <c r="I59" s="56" t="s">
        <v>1060</v>
      </c>
      <c r="J59" s="56" t="s">
        <v>1073</v>
      </c>
      <c r="K59" s="56"/>
      <c r="L59" s="164">
        <v>360</v>
      </c>
      <c r="M59" s="10"/>
      <c r="N59" s="56" t="s">
        <v>1331</v>
      </c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824</v>
      </c>
      <c r="H60" s="56">
        <v>1</v>
      </c>
      <c r="I60" s="56" t="s">
        <v>1061</v>
      </c>
      <c r="J60" s="56" t="s">
        <v>1074</v>
      </c>
      <c r="K60" s="56"/>
      <c r="L60" s="164">
        <v>360</v>
      </c>
      <c r="M60" s="10"/>
      <c r="N60" s="56" t="s">
        <v>1333</v>
      </c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825</v>
      </c>
      <c r="H61" s="56">
        <v>3</v>
      </c>
      <c r="I61" s="56" t="s">
        <v>1061</v>
      </c>
      <c r="J61" s="56" t="s">
        <v>1074</v>
      </c>
      <c r="K61" s="56"/>
      <c r="L61" s="164">
        <v>360</v>
      </c>
      <c r="M61" s="10"/>
      <c r="N61" s="56" t="s">
        <v>1335</v>
      </c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826</v>
      </c>
      <c r="H62" s="56">
        <v>5</v>
      </c>
      <c r="I62" s="56" t="s">
        <v>1061</v>
      </c>
      <c r="J62" s="56" t="s">
        <v>1074</v>
      </c>
      <c r="K62" s="56"/>
      <c r="L62" s="164">
        <v>360</v>
      </c>
      <c r="M62" s="10"/>
      <c r="N62" s="56" t="s">
        <v>1334</v>
      </c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872</v>
      </c>
      <c r="H63" s="56">
        <v>1</v>
      </c>
      <c r="I63" s="56" t="s">
        <v>1062</v>
      </c>
      <c r="J63" s="56" t="s">
        <v>1075</v>
      </c>
      <c r="K63" s="56"/>
      <c r="L63" s="164">
        <v>360</v>
      </c>
      <c r="M63" s="10"/>
      <c r="N63" s="56" t="s">
        <v>1336</v>
      </c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873</v>
      </c>
      <c r="H64" s="56">
        <v>3</v>
      </c>
      <c r="I64" s="56" t="s">
        <v>1062</v>
      </c>
      <c r="J64" s="56" t="s">
        <v>1075</v>
      </c>
      <c r="K64" s="56"/>
      <c r="L64" s="164">
        <v>360</v>
      </c>
      <c r="M64" s="10"/>
      <c r="N64" s="56" t="s">
        <v>1338</v>
      </c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874</v>
      </c>
      <c r="H65" s="56">
        <v>5</v>
      </c>
      <c r="I65" s="56" t="s">
        <v>1062</v>
      </c>
      <c r="J65" s="56" t="s">
        <v>1075</v>
      </c>
      <c r="K65" s="56"/>
      <c r="L65" s="164">
        <v>360</v>
      </c>
      <c r="M65" s="10"/>
      <c r="N65" s="56" t="s">
        <v>1337</v>
      </c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968</v>
      </c>
      <c r="H66" s="56">
        <v>1</v>
      </c>
      <c r="I66" s="56" t="s">
        <v>1063</v>
      </c>
      <c r="J66" s="56" t="s">
        <v>1076</v>
      </c>
      <c r="L66" s="164">
        <v>360</v>
      </c>
      <c r="N66" s="56" t="s">
        <v>1339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969</v>
      </c>
      <c r="H67" s="56">
        <v>3</v>
      </c>
      <c r="I67" s="56" t="s">
        <v>1063</v>
      </c>
      <c r="J67" s="56" t="s">
        <v>1076</v>
      </c>
      <c r="L67" s="164">
        <v>360</v>
      </c>
      <c r="N67" s="56" t="s">
        <v>1340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970</v>
      </c>
      <c r="H68" s="56">
        <v>5</v>
      </c>
      <c r="I68" s="56" t="s">
        <v>1063</v>
      </c>
      <c r="J68" s="56" t="s">
        <v>1076</v>
      </c>
      <c r="L68" s="164">
        <v>360</v>
      </c>
      <c r="N68" s="56" t="s">
        <v>1341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827</v>
      </c>
      <c r="H85" s="57">
        <v>1</v>
      </c>
      <c r="I85" s="57"/>
      <c r="J85" s="57"/>
      <c r="K85" s="57"/>
      <c r="L85" s="166">
        <v>360</v>
      </c>
      <c r="M85" s="17"/>
      <c r="N85" s="57" t="s">
        <v>1342</v>
      </c>
      <c r="O85" s="57">
        <v>0</v>
      </c>
      <c r="P85" s="162" t="str">
        <f t="shared" si="7"/>
        <v/>
      </c>
      <c r="Q85" s="178" t="str">
        <f t="shared" si="8"/>
        <v/>
      </c>
      <c r="R85" s="170" t="s">
        <v>999</v>
      </c>
      <c r="S85" s="57">
        <v>100</v>
      </c>
      <c r="T85" s="57" t="s">
        <v>1003</v>
      </c>
      <c r="U85" s="57" t="s">
        <v>1004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828</v>
      </c>
      <c r="H86" s="56">
        <v>3</v>
      </c>
      <c r="L86" s="164">
        <v>360</v>
      </c>
      <c r="N86" s="56" t="s">
        <v>1343</v>
      </c>
      <c r="O86" s="56">
        <v>0</v>
      </c>
      <c r="P86" s="161" t="str">
        <f t="shared" si="7"/>
        <v/>
      </c>
      <c r="Q86" s="177" t="str">
        <f t="shared" si="8"/>
        <v/>
      </c>
      <c r="R86" s="98" t="s">
        <v>1000</v>
      </c>
      <c r="S86" s="56">
        <v>200</v>
      </c>
      <c r="T86" s="56" t="s">
        <v>1003</v>
      </c>
      <c r="U86" s="56" t="s">
        <v>1005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829</v>
      </c>
      <c r="H87" s="56">
        <v>5</v>
      </c>
      <c r="L87" s="164">
        <v>360</v>
      </c>
      <c r="N87" s="56" t="s">
        <v>1344</v>
      </c>
      <c r="O87" s="56">
        <v>0</v>
      </c>
      <c r="P87" s="161" t="str">
        <f t="shared" si="7"/>
        <v/>
      </c>
      <c r="Q87" s="177" t="str">
        <f t="shared" si="8"/>
        <v/>
      </c>
      <c r="R87" s="98" t="s">
        <v>1000</v>
      </c>
      <c r="S87" s="56">
        <v>300</v>
      </c>
      <c r="T87" s="56" t="s">
        <v>1003</v>
      </c>
      <c r="U87" s="56" t="s">
        <v>1006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875</v>
      </c>
      <c r="H88" s="56">
        <v>1</v>
      </c>
      <c r="L88" s="164">
        <v>360</v>
      </c>
      <c r="N88" s="56" t="s">
        <v>1345</v>
      </c>
      <c r="O88" s="56">
        <v>0</v>
      </c>
      <c r="P88" s="161" t="str">
        <f t="shared" si="7"/>
        <v/>
      </c>
      <c r="Q88" s="177" t="str">
        <f t="shared" si="8"/>
        <v/>
      </c>
      <c r="R88" s="98" t="s">
        <v>1000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876</v>
      </c>
      <c r="H89" s="56">
        <v>3</v>
      </c>
      <c r="L89" s="164">
        <v>360</v>
      </c>
      <c r="N89" s="56" t="s">
        <v>1346</v>
      </c>
      <c r="O89" s="56">
        <v>0</v>
      </c>
      <c r="P89" s="161" t="str">
        <f t="shared" si="7"/>
        <v/>
      </c>
      <c r="Q89" s="177" t="str">
        <f t="shared" si="8"/>
        <v/>
      </c>
      <c r="R89" s="98" t="s">
        <v>1000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877</v>
      </c>
      <c r="H90" s="56">
        <v>5</v>
      </c>
      <c r="L90" s="164">
        <v>360</v>
      </c>
      <c r="N90" s="56" t="s">
        <v>1347</v>
      </c>
      <c r="O90" s="56">
        <v>0</v>
      </c>
      <c r="P90" s="161" t="str">
        <f t="shared" si="7"/>
        <v/>
      </c>
      <c r="Q90" s="177" t="str">
        <f t="shared" si="8"/>
        <v/>
      </c>
      <c r="R90" s="98" t="s">
        <v>1000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E1" workbookViewId="0">
      <selection activeCell="L9" sqref="L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565</v>
      </c>
      <c r="I3" s="56" t="s">
        <v>574</v>
      </c>
      <c r="J3" s="56" t="s">
        <v>575</v>
      </c>
      <c r="K3" s="56" t="s">
        <v>576</v>
      </c>
      <c r="L3" s="56" t="s">
        <v>581</v>
      </c>
      <c r="M3" s="56" t="s">
        <v>587</v>
      </c>
    </row>
    <row r="4" spans="1:24" s="102" customFormat="1" ht="64.5" customHeight="1" thickBot="1" x14ac:dyDescent="0.2">
      <c r="A4" s="97" t="s">
        <v>562</v>
      </c>
      <c r="B4" s="90" t="s">
        <v>660</v>
      </c>
      <c r="C4" s="106"/>
      <c r="D4" s="90"/>
      <c r="E4" s="90"/>
      <c r="F4" s="106"/>
      <c r="G4" s="93" t="s">
        <v>566</v>
      </c>
      <c r="H4" s="93" t="s">
        <v>570</v>
      </c>
      <c r="I4" s="92" t="s">
        <v>650</v>
      </c>
      <c r="J4" s="92" t="s">
        <v>651</v>
      </c>
      <c r="K4" s="92" t="s">
        <v>652</v>
      </c>
      <c r="L4" s="92" t="s">
        <v>579</v>
      </c>
      <c r="M4" s="92" t="s">
        <v>657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567</v>
      </c>
      <c r="H5" s="11" t="s">
        <v>568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1251</v>
      </c>
      <c r="H6" s="11" t="s">
        <v>1250</v>
      </c>
      <c r="I6" s="56">
        <v>10000000</v>
      </c>
      <c r="J6" s="56">
        <v>60</v>
      </c>
      <c r="K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571</v>
      </c>
      <c r="H7" s="11" t="s">
        <v>580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569</v>
      </c>
      <c r="H8" s="11" t="s">
        <v>573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572</v>
      </c>
      <c r="H9" s="11" t="s">
        <v>654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665</v>
      </c>
      <c r="H10" s="11" t="s">
        <v>632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648</v>
      </c>
      <c r="H11" s="10" t="s">
        <v>653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649</v>
      </c>
      <c r="H12" s="10" t="s">
        <v>653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656</v>
      </c>
      <c r="H13" s="10" t="s">
        <v>658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662</v>
      </c>
      <c r="H14" s="10" t="s">
        <v>663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667</v>
      </c>
      <c r="H15" s="10" t="s">
        <v>661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668</v>
      </c>
      <c r="H16" s="10" t="s">
        <v>666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669</v>
      </c>
      <c r="H17" s="10" t="s">
        <v>670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813</v>
      </c>
      <c r="H18" s="10" t="s">
        <v>814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993</v>
      </c>
      <c r="H19" s="158" t="s">
        <v>1300</v>
      </c>
      <c r="I19" s="158"/>
      <c r="J19" s="158"/>
      <c r="K19" s="158"/>
      <c r="L19" s="158">
        <v>3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2018-09-12T02:19:44Z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