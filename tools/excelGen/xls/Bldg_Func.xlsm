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3" activeTab="25"/>
  </bookViews>
  <sheets>
    <sheet name="全部建筑-属性" sheetId="27" r:id="rId1"/>
    <sheet name="建筑消耗" sheetId="48" r:id="rId2"/>
    <sheet name="粗算 (5)" sheetId="47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LEIDA" sheetId="43" r:id="rId16"/>
    <sheet name="DIANCHIZU" sheetId="28" r:id="rId17"/>
    <sheet name="JIANSHENFANG" sheetId="11" r:id="rId18"/>
    <sheet name="CHE1" sheetId="46" r:id="rId19"/>
    <sheet name="TAIYANGNENG" sheetId="13" r:id="rId20"/>
    <sheet name="LIANYOU" sheetId="36" r:id="rId21"/>
    <sheet name="LIANGANG" sheetId="37" r:id="rId22"/>
    <sheet name="HUNNINGTU" sheetId="38" r:id="rId23"/>
    <sheet name="SONGSHU" sheetId="16" r:id="rId24"/>
    <sheet name="MUCAIJIAGONG" sheetId="19" r:id="rId25"/>
    <sheet name="QIANG" sheetId="26" r:id="rId26"/>
    <sheet name="DAMEN" sheetId="25" r:id="rId27"/>
    <sheet name="MAKEQIN" sheetId="20" r:id="rId28"/>
    <sheet name="MG42" sheetId="21" r:id="rId29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5" l="1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C15" i="31"/>
  <c r="B15" i="31"/>
  <c r="C16" i="31"/>
  <c r="B16" i="31"/>
  <c r="C17" i="31"/>
  <c r="B17" i="31"/>
  <c r="C18" i="31"/>
  <c r="B18" i="31"/>
  <c r="C19" i="31"/>
  <c r="B19" i="31"/>
  <c r="C20" i="31"/>
  <c r="B20" i="31"/>
  <c r="C21" i="31"/>
  <c r="B21" i="31"/>
  <c r="C22" i="31"/>
  <c r="B22" i="31"/>
  <c r="C23" i="31"/>
  <c r="B23" i="31"/>
  <c r="C24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D16" i="31"/>
  <c r="D17" i="31"/>
  <c r="D18" i="31"/>
  <c r="D19" i="31"/>
  <c r="D20" i="31"/>
  <c r="D21" i="31"/>
  <c r="D22" i="31"/>
  <c r="D23" i="31"/>
  <c r="D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T20" i="47"/>
  <c r="Q20" i="47"/>
  <c r="V20" i="47"/>
  <c r="R21" i="47"/>
  <c r="U20" i="47"/>
  <c r="S20" i="47"/>
  <c r="U21" i="47"/>
  <c r="T21" i="47"/>
  <c r="S21" i="47"/>
  <c r="Q21" i="47"/>
  <c r="V21" i="47"/>
</calcChain>
</file>

<file path=xl/sharedStrings.xml><?xml version="1.0" encoding="utf-8"?>
<sst xmlns="http://schemas.openxmlformats.org/spreadsheetml/2006/main" count="658" uniqueCount="300">
  <si>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</si>
  <si>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</si>
  <si>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</si>
  <si>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</si>
  <si>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</si>
  <si>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</si>
  <si>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</si>
  <si>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</si>
  <si>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</si>
  <si>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</si>
  <si>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</si>
  <si>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</si>
  <si>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</si>
  <si>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</si>
  <si>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</si>
  <si>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</si>
  <si>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</si>
  <si>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</si>
  <si>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</si>
  <si>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</si>
  <si>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</si>
  <si>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</si>
  <si>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</si>
  <si>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</si>
  <si>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</si>
  <si>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</si>
  <si>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</si>
  <si>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</si>
  <si>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</si>
  <si>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</si>
  <si>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</si>
  <si>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</si>
  <si>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</si>
  <si>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</si>
  <si>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</si>
  <si>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</si>
  <si>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</si>
  <si>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</si>
  <si>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</si>
  <si>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</si>
  <si>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</si>
  <si>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</si>
  <si>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</si>
  <si>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</si>
  <si>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</si>
  <si>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</si>
  <si>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</si>
  <si>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</si>
  <si>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</si>
  <si>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</si>
  <si>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</si>
  <si>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</si>
  <si>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</si>
  <si>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</si>
  <si>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</si>
  <si>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</si>
  <si>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</si>
  <si>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</si>
  <si>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</si>
  <si>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</si>
  <si>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</si>
  <si>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</si>
  <si>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</si>
  <si>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</si>
  <si>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</si>
  <si>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</si>
  <si>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</si>
  <si>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</si>
  <si>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</si>
  <si>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</si>
  <si>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</si>
  <si>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</si>
  <si>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</si>
  <si>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</si>
  <si>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</si>
  <si>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</si>
  <si>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</si>
  <si>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</si>
  <si>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</si>
  <si>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</si>
  <si>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</si>
  <si>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</si>
  <si>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</si>
  <si>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</si>
  <si>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</si>
  <si>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</si>
  <si>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</si>
  <si>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</si>
  <si>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</si>
  <si>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</si>
  <si>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</si>
  <si>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</si>
  <si>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</si>
  <si>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</si>
  <si>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</si>
  <si>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</si>
  <si>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</si>
  <si>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</si>
  <si>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</si>
  <si>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</si>
  <si>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</si>
  <si>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</si>
  <si>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</si>
  <si>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</si>
  <si>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</si>
  <si>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</si>
  <si>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</si>
  <si>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</si>
  <si>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</si>
  <si>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</si>
  <si>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</si>
  <si>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</si>
  <si>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</si>
  <si>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</si>
  <si>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</si>
  <si>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</si>
  <si>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</si>
  <si>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</si>
  <si>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</si>
  <si>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</si>
  <si>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</si>
  <si>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</si>
  <si>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</si>
  <si>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</si>
  <si>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</si>
  <si>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</si>
  <si>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</si>
  <si>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</si>
  <si>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</si>
  <si>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</si>
  <si>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</si>
  <si>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</si>
  <si>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</si>
  <si>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</si>
  <si>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</si>
  <si>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</si>
  <si>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</si>
  <si>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</si>
  <si>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</si>
  <si>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</si>
  <si>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</si>
  <si>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</si>
  <si>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</si>
  <si>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</si>
  <si>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</si>
  <si>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</si>
  <si>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</si>
  <si>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</si>
  <si>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</si>
  <si>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</si>
  <si>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</si>
  <si>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</si>
  <si>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</si>
  <si>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</si>
  <si>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</si>
  <si>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</si>
  <si>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</si>
  <si>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</si>
  <si>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</si>
  <si>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</si>
  <si>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</si>
  <si>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</si>
  <si>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</si>
  <si>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</si>
  <si>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</si>
  <si>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</si>
  <si>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</si>
  <si>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</si>
  <si>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</si>
  <si>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</si>
  <si>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</si>
  <si>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</si>
  <si>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</si>
  <si>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</si>
  <si>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</si>
  <si>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</si>
  <si>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</si>
  <si>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</si>
  <si>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</si>
  <si>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</si>
  <si>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</si>
  <si>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</si>
  <si>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</si>
  <si>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</si>
  <si>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</si>
  <si>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</si>
  <si>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</si>
  <si>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</si>
  <si>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</si>
  <si>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</si>
  <si>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</si>
  <si>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</si>
  <si>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</si>
  <si>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</si>
  <si>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</si>
  <si>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</si>
  <si>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</si>
  <si>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</si>
  <si>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</si>
  <si>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</si>
  <si>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</si>
  <si>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</si>
  <si>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</si>
  <si>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</si>
  <si>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</si>
  <si>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</si>
  <si>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</si>
  <si>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</si>
  <si>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</si>
  <si>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</si>
  <si>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</si>
  <si>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</si>
  <si>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</si>
  <si>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</si>
  <si>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</si>
  <si>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</si>
  <si>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</si>
  <si>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</si>
  <si>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</si>
  <si>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</si>
  <si>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</si>
  <si>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</si>
  <si>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</si>
  <si>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</si>
  <si>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</si>
  <si>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</si>
  <si>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</si>
  <si>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</si>
  <si>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</si>
  <si>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</si>
  <si>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</si>
  <si>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</si>
  <si>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</si>
  <si>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</si>
  <si>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</si>
  <si>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</si>
  <si>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</si>
  <si>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</si>
  <si>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</si>
  <si>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</si>
  <si>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</si>
  <si>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</si>
  <si>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</si>
  <si>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</si>
  <si>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</si>
  <si>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</si>
  <si>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</si>
  <si>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</si>
  <si>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</si>
  <si>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</si>
  <si>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</si>
  <si>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</si>
  <si>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</si>
  <si>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</si>
  <si>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</si>
  <si>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</si>
  <si>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</si>
  <si>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</si>
  <si>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</si>
  <si>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</si>
  <si>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</si>
  <si>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</si>
  <si>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</si>
  <si>
    <t>西瓜园</t>
    <phoneticPr fontId="3" type="noConversion"/>
  </si>
  <si>
    <r>
      <t>一开始：所有的图纸1</t>
    </r>
    <r>
      <rPr>
        <sz val="11"/>
        <color theme="1"/>
        <rFont val="宋体"/>
        <family val="3"/>
        <charset val="134"/>
        <scheme val="minor"/>
      </rPr>
      <t>0张</t>
    </r>
    <phoneticPr fontId="3" type="noConversion"/>
  </si>
  <si>
    <r>
      <t>水1</t>
    </r>
    <r>
      <rPr>
        <sz val="11"/>
        <color theme="1"/>
        <rFont val="宋体"/>
        <family val="3"/>
        <charset val="134"/>
        <scheme val="minor"/>
      </rPr>
      <t>000;化肥1000；铁1000;水泥1000;</t>
    </r>
    <phoneticPr fontId="3" type="noConversion"/>
  </si>
  <si>
    <t>水</t>
    <phoneticPr fontId="3" type="noConversion"/>
  </si>
  <si>
    <t>化肥</t>
    <phoneticPr fontId="3" type="noConversion"/>
  </si>
  <si>
    <t>水泥</t>
    <phoneticPr fontId="3" type="noConversion"/>
  </si>
  <si>
    <t>铁</t>
    <phoneticPr fontId="3" type="noConversion"/>
  </si>
  <si>
    <t>风力发电机</t>
    <phoneticPr fontId="3" type="noConversion"/>
  </si>
  <si>
    <t>电</t>
    <phoneticPr fontId="3" type="noConversion"/>
  </si>
  <si>
    <t>产物价格</t>
    <phoneticPr fontId="3" type="noConversion"/>
  </si>
  <si>
    <t>消耗量比</t>
    <phoneticPr fontId="3" type="noConversion"/>
  </si>
  <si>
    <r>
      <t>1</t>
    </r>
    <r>
      <rPr>
        <sz val="11"/>
        <color theme="1"/>
        <rFont val="宋体"/>
        <family val="3"/>
        <charset val="134"/>
        <scheme val="minor"/>
      </rPr>
      <t>.水泥</t>
    </r>
    <phoneticPr fontId="3" type="noConversion"/>
  </si>
  <si>
    <t>2.水</t>
    <phoneticPr fontId="3" type="noConversion"/>
  </si>
  <si>
    <t>3.铁</t>
    <phoneticPr fontId="3" type="noConversion"/>
  </si>
  <si>
    <t>4.化肥</t>
    <phoneticPr fontId="3" type="noConversion"/>
  </si>
  <si>
    <t>5.木头</t>
    <phoneticPr fontId="3" type="noConversion"/>
  </si>
  <si>
    <t>要升级井</t>
    <phoneticPr fontId="3" type="noConversion"/>
  </si>
  <si>
    <t>接触到交易 卖水稻，买水泥</t>
    <phoneticPr fontId="3" type="noConversion"/>
  </si>
  <si>
    <t>能解锁的建筑</t>
    <phoneticPr fontId="3" type="noConversion"/>
  </si>
  <si>
    <t>能看到的建筑</t>
    <phoneticPr fontId="3" type="noConversion"/>
  </si>
  <si>
    <t>水稻</t>
    <phoneticPr fontId="3" type="noConversion"/>
  </si>
  <si>
    <t>铁</t>
    <phoneticPr fontId="3" type="noConversion"/>
  </si>
  <si>
    <t>门、武器</t>
    <phoneticPr fontId="3" type="noConversion"/>
  </si>
  <si>
    <t>井、门、武器</t>
    <phoneticPr fontId="3" type="noConversion"/>
  </si>
  <si>
    <t>接触道具1</t>
    <phoneticPr fontId="3" type="noConversion"/>
  </si>
  <si>
    <t xml:space="preserve">井、门、武器 </t>
    <phoneticPr fontId="3" type="noConversion"/>
  </si>
  <si>
    <t>接触道具2</t>
    <phoneticPr fontId="3" type="noConversion"/>
  </si>
  <si>
    <t>描述1</t>
    <phoneticPr fontId="3" type="noConversion"/>
  </si>
  <si>
    <t>描述2</t>
    <phoneticPr fontId="3" type="noConversion"/>
  </si>
  <si>
    <t>门、化肥、武器</t>
    <phoneticPr fontId="3" type="noConversion"/>
  </si>
  <si>
    <t>门、木材加工厂、猪圈</t>
    <phoneticPr fontId="3" type="noConversion"/>
  </si>
  <si>
    <t>进一步升级水稻</t>
    <phoneticPr fontId="3" type="noConversion"/>
  </si>
  <si>
    <t>木头 水稻很贵划得来</t>
    <phoneticPr fontId="3" type="noConversion"/>
  </si>
  <si>
    <t>化肥很便宜</t>
    <phoneticPr fontId="3" type="noConversion"/>
  </si>
  <si>
    <t>铁</t>
    <phoneticPr fontId="3" type="noConversion"/>
  </si>
  <si>
    <t>木头大量</t>
    <phoneticPr fontId="3" type="noConversion"/>
  </si>
  <si>
    <t>铁少量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</si>
</sst>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8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7" fillId="0" borderId="0" xfId="0" applyFont="1"/>
    <xf numFmtId="0" fontId="4" fillId="3" borderId="3" xfId="1" applyFont="1" applyFill="1" applyBorder="1" applyAlignment="1">
      <alignment horizontal="left"/>
    </xf>
    <xf numFmtId="0" fontId="0" fillId="17" borderId="0" xfId="0" applyFill="1"/>
    <xf numFmtId="0" fontId="4" fillId="17" borderId="0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86919824"/>
        <c:axId val="486921504"/>
      </c:scatterChart>
      <c:valAx>
        <c:axId val="48691982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6921504"/>
        <c:crosses val="autoZero"/>
        <c:crossBetween val="midCat"/>
      </c:valAx>
      <c:valAx>
        <c:axId val="48692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691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345024"/>
        <c:axId val="313344464"/>
      </c:scatterChart>
      <c:valAx>
        <c:axId val="313345024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344464"/>
        <c:crosses val="autoZero"/>
        <c:crossBetween val="midCat"/>
        <c:majorUnit val="125"/>
      </c:valAx>
      <c:valAx>
        <c:axId val="31334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34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zoomScale="115" zoomScaleNormal="115" workbookViewId="0">
      <selection activeCell="A2" sqref="A2:B25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59</v>
      </c>
      <c r="C1" s="56" t="s">
        <v>60</v>
      </c>
      <c r="D1" s="56"/>
      <c r="E1" s="56"/>
      <c r="F1" s="56"/>
      <c r="G1" s="57"/>
    </row>
    <row r="2" spans="1:22" x14ac:dyDescent="0.35">
      <c r="A2" s="26" t="s">
        <v>6</v>
      </c>
      <c r="B2" s="13" t="s">
        <v>61</v>
      </c>
      <c r="C2" s="14" t="s">
        <v>62</v>
      </c>
      <c r="D2" s="14"/>
      <c r="E2" s="14" t="s">
        <v>63</v>
      </c>
      <c r="F2" s="15"/>
      <c r="G2" s="16"/>
      <c r="J2" t="s">
        <v>204</v>
      </c>
      <c r="K2" t="s">
        <v>205</v>
      </c>
      <c r="Q2" s="45" t="s">
        <v>14</v>
      </c>
      <c r="R2" s="45" t="s">
        <v>6</v>
      </c>
      <c r="S2" s="45" t="s">
        <v>11</v>
      </c>
      <c r="T2" s="45" t="s">
        <v>65</v>
      </c>
      <c r="U2" s="45" t="s">
        <v>201</v>
      </c>
      <c r="V2" s="26" t="s">
        <v>39</v>
      </c>
    </row>
    <row r="3" spans="1:22" x14ac:dyDescent="0.35">
      <c r="A3" s="26" t="s">
        <v>7</v>
      </c>
      <c r="B3" s="13" t="s">
        <v>64</v>
      </c>
      <c r="C3" s="14" t="s">
        <v>62</v>
      </c>
      <c r="D3" s="14"/>
      <c r="E3" s="14" t="s">
        <v>63</v>
      </c>
      <c r="F3" s="15"/>
      <c r="G3" s="16"/>
      <c r="J3">
        <v>100</v>
      </c>
      <c r="K3">
        <v>100</v>
      </c>
      <c r="Q3" s="45" t="s">
        <v>38</v>
      </c>
      <c r="R3" s="45" t="s">
        <v>200</v>
      </c>
    </row>
    <row r="4" spans="1:22" x14ac:dyDescent="0.35">
      <c r="A4" s="26" t="s">
        <v>8</v>
      </c>
      <c r="B4" s="13" t="s">
        <v>64</v>
      </c>
      <c r="C4" s="14" t="s">
        <v>62</v>
      </c>
      <c r="D4" s="14"/>
      <c r="E4" s="14" t="s">
        <v>63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65</v>
      </c>
      <c r="B5" s="13" t="s">
        <v>64</v>
      </c>
      <c r="C5" s="14" t="s">
        <v>66</v>
      </c>
      <c r="D5" s="14"/>
      <c r="E5" s="14" t="s">
        <v>67</v>
      </c>
      <c r="F5" s="15"/>
      <c r="G5" s="16"/>
      <c r="J5">
        <v>800</v>
      </c>
      <c r="K5">
        <v>800</v>
      </c>
      <c r="Q5" s="26" t="s">
        <v>78</v>
      </c>
    </row>
    <row r="6" spans="1:22" x14ac:dyDescent="0.35">
      <c r="A6" s="26" t="s">
        <v>9</v>
      </c>
      <c r="B6" s="13" t="s">
        <v>64</v>
      </c>
      <c r="C6" s="14" t="s">
        <v>68</v>
      </c>
      <c r="D6" s="14"/>
      <c r="E6" s="14" t="s">
        <v>69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70</v>
      </c>
      <c r="C7" s="14" t="s">
        <v>71</v>
      </c>
      <c r="D7" s="14"/>
      <c r="E7" s="14" t="s">
        <v>72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70</v>
      </c>
      <c r="C8" s="14" t="s">
        <v>73</v>
      </c>
      <c r="D8" s="14"/>
      <c r="E8" s="14" t="s">
        <v>74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70</v>
      </c>
      <c r="C9" s="14" t="s">
        <v>75</v>
      </c>
      <c r="D9" s="14"/>
      <c r="E9" s="14" t="s">
        <v>74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70</v>
      </c>
      <c r="C10" s="14" t="s">
        <v>71</v>
      </c>
      <c r="D10" s="14"/>
      <c r="E10" s="14" t="s">
        <v>74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76</v>
      </c>
      <c r="C11" s="14" t="s">
        <v>77</v>
      </c>
      <c r="D11" s="14"/>
      <c r="E11" s="14"/>
      <c r="F11" s="15"/>
      <c r="G11" s="16"/>
      <c r="J11">
        <v>73000</v>
      </c>
      <c r="K11">
        <v>7900000</v>
      </c>
      <c r="Q11" s="45" t="s">
        <v>99</v>
      </c>
    </row>
    <row r="12" spans="1:22" x14ac:dyDescent="0.35">
      <c r="A12" s="26" t="s">
        <v>78</v>
      </c>
      <c r="B12" s="13" t="s">
        <v>70</v>
      </c>
      <c r="C12" s="14" t="s">
        <v>79</v>
      </c>
      <c r="D12" s="14"/>
      <c r="E12" s="14" t="s">
        <v>80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200</v>
      </c>
      <c r="B13" s="13" t="s">
        <v>61</v>
      </c>
      <c r="C13" s="14" t="s">
        <v>24</v>
      </c>
      <c r="D13" s="14"/>
      <c r="E13" s="14" t="s">
        <v>81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82</v>
      </c>
      <c r="B14" s="27" t="s">
        <v>83</v>
      </c>
      <c r="C14" s="14" t="s">
        <v>84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202</v>
      </c>
    </row>
    <row r="15" spans="1:22" x14ac:dyDescent="0.35">
      <c r="A15" s="26" t="s">
        <v>15</v>
      </c>
      <c r="B15" s="28" t="s">
        <v>85</v>
      </c>
      <c r="C15" s="14" t="s">
        <v>86</v>
      </c>
      <c r="D15" s="14"/>
      <c r="E15" s="14" t="s">
        <v>87</v>
      </c>
      <c r="F15" s="15"/>
      <c r="G15" s="16"/>
      <c r="J15">
        <v>130000</v>
      </c>
      <c r="K15">
        <v>43000000</v>
      </c>
      <c r="Q15" s="26" t="s">
        <v>92</v>
      </c>
    </row>
    <row r="16" spans="1:22" x14ac:dyDescent="0.35">
      <c r="A16" s="26" t="s">
        <v>16</v>
      </c>
      <c r="B16" s="28" t="s">
        <v>85</v>
      </c>
      <c r="C16" s="14" t="s">
        <v>88</v>
      </c>
      <c r="D16" s="14"/>
      <c r="E16" s="14" t="s">
        <v>89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61</v>
      </c>
      <c r="C17" s="14" t="s">
        <v>90</v>
      </c>
      <c r="D17" s="14"/>
      <c r="E17" s="14" t="s">
        <v>91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92</v>
      </c>
      <c r="B18" s="28" t="s">
        <v>85</v>
      </c>
      <c r="C18" s="14" t="s">
        <v>93</v>
      </c>
      <c r="D18" s="14"/>
      <c r="E18" s="14" t="s">
        <v>94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85</v>
      </c>
      <c r="C19" s="14" t="s">
        <v>95</v>
      </c>
      <c r="D19" s="14"/>
      <c r="E19" s="14" t="s">
        <v>96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98</v>
      </c>
      <c r="B20" s="13" t="s">
        <v>97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99</v>
      </c>
      <c r="B21" s="27" t="s">
        <v>100</v>
      </c>
      <c r="C21" s="14" t="s">
        <v>101</v>
      </c>
      <c r="D21" s="14"/>
      <c r="E21" s="14" t="s">
        <v>102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103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103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103</v>
      </c>
      <c r="C24" s="14"/>
      <c r="D24" s="14"/>
      <c r="E24" s="14"/>
      <c r="F24" s="15"/>
      <c r="G24" s="16"/>
    </row>
    <row r="25" spans="1:17" x14ac:dyDescent="0.35">
      <c r="A25" s="26" t="s">
        <v>104</v>
      </c>
      <c r="B25" s="28" t="s">
        <v>103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103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103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103</v>
      </c>
      <c r="C28" s="17"/>
      <c r="D28" s="17"/>
      <c r="E28" s="17"/>
      <c r="F28" s="18"/>
      <c r="G28" s="19"/>
    </row>
    <row r="32" spans="1:17" x14ac:dyDescent="0.35">
      <c r="A32" s="11" t="s">
        <v>207</v>
      </c>
    </row>
    <row r="33" spans="1:21" x14ac:dyDescent="0.35">
      <c r="A33" s="11" t="s">
        <v>206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65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200</v>
      </c>
      <c r="K56" t="s">
        <v>204</v>
      </c>
      <c r="L56" t="s">
        <v>205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208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209</v>
      </c>
      <c r="K61">
        <v>24000</v>
      </c>
      <c r="L61">
        <v>130000</v>
      </c>
      <c r="M61" s="11">
        <v>18</v>
      </c>
    </row>
    <row r="62" spans="2:14" x14ac:dyDescent="0.35">
      <c r="H62" s="11" t="s">
        <v>210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211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212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223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213</v>
      </c>
    </row>
    <row r="78" spans="1:13" x14ac:dyDescent="0.35">
      <c r="A78" s="11" t="s">
        <v>214</v>
      </c>
      <c r="B78" s="11" t="s">
        <v>224</v>
      </c>
      <c r="C78" s="11" t="s">
        <v>225</v>
      </c>
      <c r="E78" s="11" t="s">
        <v>226</v>
      </c>
    </row>
    <row r="79" spans="1:13" x14ac:dyDescent="0.35">
      <c r="A79" s="11" t="s">
        <v>215</v>
      </c>
      <c r="B79" s="11" t="s">
        <v>227</v>
      </c>
    </row>
    <row r="80" spans="1:13" x14ac:dyDescent="0.35">
      <c r="A80" s="11" t="s">
        <v>216</v>
      </c>
    </row>
    <row r="81" spans="1:2" x14ac:dyDescent="0.35">
      <c r="A81" s="11" t="s">
        <v>217</v>
      </c>
      <c r="B81" s="11" t="s">
        <v>228</v>
      </c>
    </row>
    <row r="82" spans="1:2" x14ac:dyDescent="0.35">
      <c r="A82" s="11" t="s">
        <v>218</v>
      </c>
      <c r="B82" s="11" t="s">
        <v>230</v>
      </c>
    </row>
    <row r="83" spans="1:2" x14ac:dyDescent="0.35">
      <c r="A83" s="11" t="s">
        <v>219</v>
      </c>
    </row>
    <row r="84" spans="1:2" x14ac:dyDescent="0.35">
      <c r="A84" s="11" t="s">
        <v>220</v>
      </c>
      <c r="B84" s="11" t="s">
        <v>229</v>
      </c>
    </row>
    <row r="85" spans="1:2" x14ac:dyDescent="0.35">
      <c r="A85" s="11" t="s">
        <v>221</v>
      </c>
    </row>
    <row r="86" spans="1:2" x14ac:dyDescent="0.35">
      <c r="A86" s="11" t="s">
        <v>222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43"/>
  <sheetViews>
    <sheetView topLeftCell="A4" zoomScale="145" zoomScaleNormal="145" workbookViewId="0">
      <selection activeCell="E9" sqref="C9:E29"/>
    </sheetView>
  </sheetViews>
  <sheetFormatPr defaultRowHeight="13.5" x14ac:dyDescent="0.15"/>
  <cols>
    <col min="3" max="3" width="13.375" customWidth="1"/>
    <col min="4" max="4" width="12.5" style="54" customWidth="1"/>
    <col min="5" max="5" width="13.625" customWidth="1"/>
  </cols>
  <sheetData>
    <row r="3" spans="3:11" x14ac:dyDescent="0.15">
      <c r="F3" s="52" t="s">
        <v>264</v>
      </c>
    </row>
    <row r="4" spans="3:11" x14ac:dyDescent="0.15">
      <c r="F4" s="52" t="s">
        <v>265</v>
      </c>
    </row>
    <row r="7" spans="3:11" x14ac:dyDescent="0.15">
      <c r="F7" s="52"/>
    </row>
    <row r="8" spans="3:11" x14ac:dyDescent="0.15">
      <c r="D8" s="52" t="s">
        <v>272</v>
      </c>
      <c r="F8" s="52"/>
      <c r="G8" s="52"/>
      <c r="H8" s="52" t="s">
        <v>273</v>
      </c>
      <c r="I8" s="52"/>
    </row>
    <row r="9" spans="3:11" ht="16.5" x14ac:dyDescent="0.35">
      <c r="D9" s="54">
        <v>1</v>
      </c>
      <c r="E9" s="53" t="s">
        <v>6</v>
      </c>
      <c r="F9" s="52" t="s">
        <v>266</v>
      </c>
      <c r="H9" s="52" t="s">
        <v>267</v>
      </c>
    </row>
    <row r="10" spans="3:11" ht="16.5" x14ac:dyDescent="0.35">
      <c r="D10" s="54">
        <v>2</v>
      </c>
      <c r="E10" s="26" t="s">
        <v>7</v>
      </c>
      <c r="F10" s="52" t="s">
        <v>266</v>
      </c>
      <c r="H10" s="52" t="s">
        <v>267</v>
      </c>
    </row>
    <row r="11" spans="3:11" ht="16.5" x14ac:dyDescent="0.35">
      <c r="D11" s="54">
        <v>2</v>
      </c>
      <c r="E11" s="26" t="s">
        <v>263</v>
      </c>
      <c r="F11" s="52" t="s">
        <v>266</v>
      </c>
      <c r="H11" s="52" t="s">
        <v>267</v>
      </c>
    </row>
    <row r="12" spans="3:11" ht="16.5" x14ac:dyDescent="0.35">
      <c r="D12" s="54">
        <v>2</v>
      </c>
      <c r="E12" s="26" t="s">
        <v>65</v>
      </c>
      <c r="F12" s="52" t="s">
        <v>211</v>
      </c>
      <c r="K12" s="52" t="s">
        <v>271</v>
      </c>
    </row>
    <row r="13" spans="3:11" ht="16.5" x14ac:dyDescent="0.35">
      <c r="C13" s="26" t="s">
        <v>9</v>
      </c>
      <c r="D13" s="55"/>
    </row>
    <row r="14" spans="3:11" ht="16.5" x14ac:dyDescent="0.35">
      <c r="C14" s="26" t="s">
        <v>10</v>
      </c>
      <c r="D14" s="55"/>
      <c r="K14" s="52" t="s">
        <v>271</v>
      </c>
    </row>
    <row r="15" spans="3:11" ht="16.5" x14ac:dyDescent="0.35">
      <c r="D15" s="54">
        <v>1</v>
      </c>
      <c r="E15" s="26" t="s">
        <v>11</v>
      </c>
      <c r="F15" s="52" t="s">
        <v>268</v>
      </c>
    </row>
    <row r="16" spans="3:11" ht="16.5" x14ac:dyDescent="0.35">
      <c r="D16" s="54">
        <v>1</v>
      </c>
      <c r="E16" s="26" t="s">
        <v>12</v>
      </c>
      <c r="F16" s="52" t="s">
        <v>269</v>
      </c>
    </row>
    <row r="17" spans="1:11" ht="16.5" x14ac:dyDescent="0.35">
      <c r="D17" s="54">
        <v>0.2</v>
      </c>
      <c r="E17" s="26" t="s">
        <v>13</v>
      </c>
      <c r="F17" s="52" t="s">
        <v>269</v>
      </c>
    </row>
    <row r="18" spans="1:11" ht="16.5" x14ac:dyDescent="0.35">
      <c r="E18" s="26" t="s">
        <v>14</v>
      </c>
      <c r="F18" s="52" t="s">
        <v>268</v>
      </c>
      <c r="H18" s="52" t="s">
        <v>297</v>
      </c>
      <c r="K18" s="52" t="s">
        <v>269</v>
      </c>
    </row>
    <row r="19" spans="1:11" ht="16.5" x14ac:dyDescent="0.35">
      <c r="D19" s="54">
        <v>10</v>
      </c>
      <c r="E19" s="26" t="s">
        <v>270</v>
      </c>
      <c r="F19" s="52" t="s">
        <v>269</v>
      </c>
    </row>
    <row r="20" spans="1:11" ht="16.5" x14ac:dyDescent="0.35">
      <c r="D20" s="54">
        <v>1</v>
      </c>
      <c r="E20" s="26" t="s">
        <v>38</v>
      </c>
      <c r="F20" s="52" t="s">
        <v>269</v>
      </c>
    </row>
    <row r="21" spans="1:11" ht="16.5" x14ac:dyDescent="0.35">
      <c r="B21" s="52" t="s">
        <v>271</v>
      </c>
      <c r="C21" s="26" t="s">
        <v>15</v>
      </c>
      <c r="D21" s="55">
        <v>2</v>
      </c>
    </row>
    <row r="22" spans="1:11" ht="16.5" x14ac:dyDescent="0.35">
      <c r="B22" s="52" t="s">
        <v>271</v>
      </c>
      <c r="C22" s="26" t="s">
        <v>16</v>
      </c>
      <c r="D22" s="55">
        <v>2</v>
      </c>
    </row>
    <row r="23" spans="1:11" ht="16.5" x14ac:dyDescent="0.35">
      <c r="D23" s="54">
        <v>1</v>
      </c>
      <c r="E23" s="26" t="s">
        <v>17</v>
      </c>
      <c r="F23" s="52" t="s">
        <v>266</v>
      </c>
      <c r="H23" s="52" t="s">
        <v>267</v>
      </c>
    </row>
    <row r="24" spans="1:11" ht="16.5" x14ac:dyDescent="0.35">
      <c r="A24" s="52" t="s">
        <v>211</v>
      </c>
      <c r="B24" s="52" t="s">
        <v>271</v>
      </c>
      <c r="C24" s="26" t="s">
        <v>92</v>
      </c>
      <c r="D24" s="55">
        <v>0.2</v>
      </c>
    </row>
    <row r="25" spans="1:11" ht="16.5" x14ac:dyDescent="0.35">
      <c r="D25" s="54">
        <v>0.2</v>
      </c>
      <c r="E25" s="26" t="s">
        <v>18</v>
      </c>
      <c r="F25" s="52" t="s">
        <v>269</v>
      </c>
      <c r="H25" s="52" t="s">
        <v>268</v>
      </c>
    </row>
    <row r="26" spans="1:11" ht="16.5" x14ac:dyDescent="0.35">
      <c r="E26" s="26" t="s">
        <v>39</v>
      </c>
      <c r="F26" s="52" t="s">
        <v>299</v>
      </c>
      <c r="H26" s="52" t="s">
        <v>298</v>
      </c>
    </row>
    <row r="27" spans="1:11" ht="16.5" x14ac:dyDescent="0.35">
      <c r="E27" s="26" t="s">
        <v>99</v>
      </c>
    </row>
    <row r="28" spans="1:11" ht="16.5" x14ac:dyDescent="0.35">
      <c r="E28" s="26" t="s">
        <v>19</v>
      </c>
      <c r="F28" s="52" t="s">
        <v>269</v>
      </c>
    </row>
    <row r="29" spans="1:11" ht="16.5" x14ac:dyDescent="0.35">
      <c r="E29" s="26" t="s">
        <v>104</v>
      </c>
      <c r="F29" s="52" t="s">
        <v>269</v>
      </c>
    </row>
    <row r="34" spans="4:17" x14ac:dyDescent="0.15">
      <c r="D34" s="52" t="s">
        <v>287</v>
      </c>
      <c r="E34" s="52" t="s">
        <v>290</v>
      </c>
      <c r="I34" s="52" t="s">
        <v>289</v>
      </c>
      <c r="J34" s="52" t="s">
        <v>291</v>
      </c>
      <c r="O34" s="52" t="s">
        <v>281</v>
      </c>
      <c r="Q34" s="52" t="s">
        <v>282</v>
      </c>
    </row>
    <row r="35" spans="4:17" x14ac:dyDescent="0.15">
      <c r="D35" s="52" t="s">
        <v>274</v>
      </c>
      <c r="E35" s="52" t="s">
        <v>279</v>
      </c>
      <c r="I35" s="52" t="s">
        <v>284</v>
      </c>
      <c r="J35" s="52" t="s">
        <v>285</v>
      </c>
      <c r="O35" s="52" t="s">
        <v>288</v>
      </c>
      <c r="Q35" s="52" t="s">
        <v>286</v>
      </c>
    </row>
    <row r="36" spans="4:17" x14ac:dyDescent="0.15">
      <c r="D36" s="52" t="s">
        <v>275</v>
      </c>
      <c r="E36" s="52" t="s">
        <v>283</v>
      </c>
      <c r="L36" s="52" t="s">
        <v>280</v>
      </c>
      <c r="O36" s="52" t="s">
        <v>283</v>
      </c>
      <c r="Q36" s="52" t="s">
        <v>283</v>
      </c>
    </row>
    <row r="37" spans="4:17" x14ac:dyDescent="0.15">
      <c r="D37" s="52" t="s">
        <v>276</v>
      </c>
      <c r="E37" s="52" t="s">
        <v>292</v>
      </c>
    </row>
    <row r="38" spans="4:17" x14ac:dyDescent="0.15">
      <c r="D38" s="52" t="s">
        <v>277</v>
      </c>
      <c r="E38" s="52" t="s">
        <v>294</v>
      </c>
    </row>
    <row r="39" spans="4:17" x14ac:dyDescent="0.15">
      <c r="D39" s="52" t="s">
        <v>278</v>
      </c>
      <c r="E39" s="52" t="s">
        <v>293</v>
      </c>
    </row>
    <row r="42" spans="4:17" x14ac:dyDescent="0.15">
      <c r="E42" s="52" t="s">
        <v>295</v>
      </c>
    </row>
    <row r="43" spans="4:17" x14ac:dyDescent="0.15">
      <c r="E43" s="52" t="s">
        <v>296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Normal="100" workbookViewId="0">
      <selection activeCell="H23" sqref="H23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154</v>
      </c>
      <c r="C1" s="50" t="s">
        <v>255</v>
      </c>
      <c r="D1" s="20" t="s">
        <v>41</v>
      </c>
      <c r="E1" s="20" t="s">
        <v>143</v>
      </c>
      <c r="F1" s="20" t="s">
        <v>46</v>
      </c>
      <c r="G1" s="46" t="s">
        <v>153</v>
      </c>
      <c r="H1" s="46" t="s">
        <v>147</v>
      </c>
      <c r="I1" s="46" t="s">
        <v>156</v>
      </c>
      <c r="J1" s="46" t="s">
        <v>158</v>
      </c>
      <c r="K1" s="50" t="s">
        <v>145</v>
      </c>
      <c r="L1" s="48" t="s">
        <v>144</v>
      </c>
      <c r="M1" s="49" t="s">
        <v>155</v>
      </c>
      <c r="N1" s="49" t="s">
        <v>157</v>
      </c>
      <c r="O1" s="20" t="s">
        <v>42</v>
      </c>
      <c r="P1" s="20" t="s">
        <v>43</v>
      </c>
      <c r="Q1" s="50" t="s">
        <v>146</v>
      </c>
      <c r="R1" s="20" t="s">
        <v>47</v>
      </c>
      <c r="S1" s="47" t="s">
        <v>254</v>
      </c>
      <c r="T1" s="47" t="s">
        <v>253</v>
      </c>
      <c r="U1" s="47" t="s">
        <v>252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137</v>
      </c>
      <c r="AA1" s="20" t="s">
        <v>142</v>
      </c>
      <c r="AB1" s="20" t="s">
        <v>138</v>
      </c>
      <c r="AC1" s="20" t="s">
        <v>140</v>
      </c>
      <c r="AD1" s="20" t="s">
        <v>139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241</v>
      </c>
      <c r="D1" s="2" t="s">
        <v>241</v>
      </c>
    </row>
    <row r="2" spans="1:5" x14ac:dyDescent="0.15">
      <c r="B2" s="2" t="s">
        <v>160</v>
      </c>
      <c r="C2" s="2" t="s">
        <v>160</v>
      </c>
      <c r="D2" s="2" t="s">
        <v>240</v>
      </c>
    </row>
    <row r="3" spans="1:5" x14ac:dyDescent="0.15">
      <c r="B3" s="2" t="s">
        <v>198</v>
      </c>
      <c r="C3" s="2" t="s">
        <v>238</v>
      </c>
      <c r="D3" s="2" t="s">
        <v>239</v>
      </c>
    </row>
    <row r="4" spans="1:5" s="3" customFormat="1" ht="17.25" thickBot="1" x14ac:dyDescent="0.2">
      <c r="A4" s="41" t="s">
        <v>161</v>
      </c>
      <c r="B4" s="6" t="s">
        <v>197</v>
      </c>
      <c r="C4" s="6" t="s">
        <v>162</v>
      </c>
      <c r="D4" s="6" t="s">
        <v>237</v>
      </c>
      <c r="E4" s="41" t="s">
        <v>184</v>
      </c>
    </row>
    <row r="5" spans="1:5" s="5" customFormat="1" x14ac:dyDescent="0.15">
      <c r="A5" s="42"/>
      <c r="B5" s="2" t="s">
        <v>159</v>
      </c>
      <c r="C5" s="2" t="s">
        <v>164</v>
      </c>
      <c r="D5" s="2" t="s">
        <v>242</v>
      </c>
      <c r="E5" s="44"/>
    </row>
    <row r="6" spans="1:5" s="5" customFormat="1" x14ac:dyDescent="0.15">
      <c r="A6" s="42"/>
      <c r="B6" s="7" t="s">
        <v>106</v>
      </c>
      <c r="C6" s="2" t="s">
        <v>165</v>
      </c>
      <c r="D6" s="2"/>
      <c r="E6" s="44"/>
    </row>
    <row r="7" spans="1:5" s="5" customFormat="1" x14ac:dyDescent="0.15">
      <c r="A7" s="42"/>
      <c r="B7" s="2" t="s">
        <v>105</v>
      </c>
      <c r="C7" s="2" t="s">
        <v>166</v>
      </c>
      <c r="D7" s="2" t="s">
        <v>242</v>
      </c>
      <c r="E7" s="44"/>
    </row>
    <row r="8" spans="1:5" s="5" customFormat="1" x14ac:dyDescent="0.15">
      <c r="A8" s="42"/>
      <c r="B8" s="2" t="s">
        <v>107</v>
      </c>
      <c r="C8" s="2" t="s">
        <v>167</v>
      </c>
      <c r="D8" s="2"/>
      <c r="E8" s="44"/>
    </row>
    <row r="9" spans="1:5" s="5" customFormat="1" x14ac:dyDescent="0.15">
      <c r="A9" s="42"/>
      <c r="B9" s="2" t="s">
        <v>108</v>
      </c>
      <c r="C9" s="2" t="s">
        <v>168</v>
      </c>
      <c r="D9" s="2" t="s">
        <v>242</v>
      </c>
      <c r="E9" s="44"/>
    </row>
    <row r="10" spans="1:5" s="5" customFormat="1" x14ac:dyDescent="0.15">
      <c r="A10" s="42"/>
      <c r="B10" s="2" t="s">
        <v>109</v>
      </c>
      <c r="C10" s="2" t="s">
        <v>167</v>
      </c>
      <c r="D10" s="2"/>
      <c r="E10" s="44"/>
    </row>
    <row r="11" spans="1:5" s="5" customFormat="1" x14ac:dyDescent="0.15">
      <c r="A11" s="42"/>
      <c r="B11" s="2" t="s">
        <v>110</v>
      </c>
      <c r="C11" s="2" t="s">
        <v>169</v>
      </c>
      <c r="D11" s="2" t="s">
        <v>242</v>
      </c>
      <c r="E11" s="44"/>
    </row>
    <row r="12" spans="1:5" s="5" customFormat="1" x14ac:dyDescent="0.15">
      <c r="A12" s="42"/>
      <c r="B12" s="2" t="s">
        <v>111</v>
      </c>
      <c r="C12" s="2" t="s">
        <v>167</v>
      </c>
      <c r="D12" s="2"/>
      <c r="E12" s="44"/>
    </row>
    <row r="13" spans="1:5" s="5" customFormat="1" x14ac:dyDescent="0.15">
      <c r="A13" s="42"/>
      <c r="B13" s="2" t="s">
        <v>112</v>
      </c>
      <c r="C13" s="2" t="s">
        <v>170</v>
      </c>
      <c r="D13" s="2" t="s">
        <v>242</v>
      </c>
      <c r="E13" s="44"/>
    </row>
    <row r="14" spans="1:5" s="5" customFormat="1" x14ac:dyDescent="0.15">
      <c r="A14" s="42"/>
      <c r="B14" s="2" t="s">
        <v>113</v>
      </c>
      <c r="C14" s="2" t="s">
        <v>171</v>
      </c>
      <c r="D14" s="2"/>
      <c r="E14" s="44"/>
    </row>
    <row r="15" spans="1:5" s="5" customFormat="1" x14ac:dyDescent="0.15">
      <c r="A15" s="42"/>
      <c r="B15" s="2" t="s">
        <v>148</v>
      </c>
      <c r="C15" s="2" t="s">
        <v>172</v>
      </c>
      <c r="D15" s="2" t="s">
        <v>242</v>
      </c>
      <c r="E15" s="44"/>
    </row>
    <row r="16" spans="1:5" s="5" customFormat="1" x14ac:dyDescent="0.15">
      <c r="A16" s="42"/>
      <c r="B16" s="2" t="s">
        <v>114</v>
      </c>
      <c r="C16" s="2" t="s">
        <v>173</v>
      </c>
      <c r="D16" s="2"/>
      <c r="E16" s="44"/>
    </row>
    <row r="17" spans="1:5" s="5" customFormat="1" x14ac:dyDescent="0.15">
      <c r="A17" s="42"/>
      <c r="B17" s="2" t="s">
        <v>115</v>
      </c>
      <c r="C17" s="2" t="s">
        <v>174</v>
      </c>
      <c r="D17" s="2" t="s">
        <v>242</v>
      </c>
      <c r="E17" s="44"/>
    </row>
    <row r="18" spans="1:5" s="5" customFormat="1" x14ac:dyDescent="0.15">
      <c r="A18" s="42"/>
      <c r="B18" s="8" t="s">
        <v>116</v>
      </c>
      <c r="C18" s="2" t="s">
        <v>175</v>
      </c>
      <c r="D18" s="2"/>
      <c r="E18" s="44"/>
    </row>
    <row r="19" spans="1:5" s="5" customFormat="1" x14ac:dyDescent="0.15">
      <c r="A19" s="42"/>
      <c r="B19" s="8" t="s">
        <v>117</v>
      </c>
      <c r="C19" s="2" t="s">
        <v>176</v>
      </c>
      <c r="D19" s="2" t="s">
        <v>242</v>
      </c>
      <c r="E19" s="44"/>
    </row>
    <row r="20" spans="1:5" s="5" customFormat="1" x14ac:dyDescent="0.15">
      <c r="A20" s="42"/>
      <c r="B20" s="8" t="s">
        <v>118</v>
      </c>
      <c r="C20" s="2" t="s">
        <v>177</v>
      </c>
      <c r="D20" s="2"/>
      <c r="E20" s="44"/>
    </row>
    <row r="21" spans="1:5" s="5" customFormat="1" x14ac:dyDescent="0.15">
      <c r="A21" s="42"/>
      <c r="B21" s="2" t="s">
        <v>119</v>
      </c>
      <c r="C21" s="2" t="s">
        <v>178</v>
      </c>
      <c r="D21" s="2" t="s">
        <v>242</v>
      </c>
      <c r="E21" s="44"/>
    </row>
    <row r="22" spans="1:5" s="5" customFormat="1" x14ac:dyDescent="0.15">
      <c r="A22" s="42"/>
      <c r="B22" s="2" t="s">
        <v>120</v>
      </c>
      <c r="C22" s="2" t="s">
        <v>173</v>
      </c>
      <c r="D22" s="2"/>
      <c r="E22" s="44"/>
    </row>
    <row r="23" spans="1:5" s="5" customFormat="1" x14ac:dyDescent="0.15">
      <c r="A23" s="42"/>
      <c r="B23" s="8" t="s">
        <v>141</v>
      </c>
      <c r="C23" s="2" t="s">
        <v>244</v>
      </c>
      <c r="D23" s="2" t="s">
        <v>245</v>
      </c>
      <c r="E23" s="44"/>
    </row>
    <row r="24" spans="1:5" x14ac:dyDescent="0.15">
      <c r="B24" s="8" t="s">
        <v>163</v>
      </c>
      <c r="C24" s="2" t="s">
        <v>179</v>
      </c>
      <c r="D24" s="2" t="s">
        <v>243</v>
      </c>
    </row>
    <row r="25" spans="1:5" x14ac:dyDescent="0.15">
      <c r="B25" s="8" t="s">
        <v>121</v>
      </c>
      <c r="C25" s="2" t="s">
        <v>180</v>
      </c>
    </row>
    <row r="26" spans="1:5" x14ac:dyDescent="0.15">
      <c r="B26" s="8" t="s">
        <v>122</v>
      </c>
      <c r="C26" s="2" t="s">
        <v>181</v>
      </c>
    </row>
    <row r="27" spans="1:5" x14ac:dyDescent="0.15">
      <c r="B27" s="8" t="s">
        <v>123</v>
      </c>
      <c r="C27" s="2" t="s">
        <v>182</v>
      </c>
    </row>
    <row r="28" spans="1:5" ht="17.25" customHeight="1" x14ac:dyDescent="0.15">
      <c r="B28" s="8" t="s">
        <v>124</v>
      </c>
      <c r="C28" s="2" t="s">
        <v>183</v>
      </c>
    </row>
    <row r="29" spans="1:5" ht="17.25" customHeight="1" x14ac:dyDescent="0.15">
      <c r="B29" s="8" t="s">
        <v>246</v>
      </c>
      <c r="C29" s="2" t="s">
        <v>249</v>
      </c>
    </row>
    <row r="30" spans="1:5" ht="17.25" customHeight="1" x14ac:dyDescent="0.15">
      <c r="B30" s="8" t="s">
        <v>247</v>
      </c>
      <c r="C30" s="2" t="s">
        <v>250</v>
      </c>
    </row>
    <row r="31" spans="1:5" ht="17.25" customHeight="1" x14ac:dyDescent="0.15">
      <c r="B31" s="8" t="s">
        <v>248</v>
      </c>
      <c r="C31" s="2" t="s">
        <v>251</v>
      </c>
    </row>
    <row r="32" spans="1:5" x14ac:dyDescent="0.15">
      <c r="B32" s="8" t="s">
        <v>149</v>
      </c>
      <c r="C32" s="2" t="s">
        <v>182</v>
      </c>
      <c r="E32" s="43" t="s">
        <v>185</v>
      </c>
    </row>
    <row r="33" spans="2:4" x14ac:dyDescent="0.15">
      <c r="B33" s="8" t="s">
        <v>150</v>
      </c>
      <c r="C33" s="2" t="s">
        <v>186</v>
      </c>
    </row>
    <row r="34" spans="2:4" x14ac:dyDescent="0.15">
      <c r="B34" s="8" t="s">
        <v>125</v>
      </c>
      <c r="C34" s="2" t="s">
        <v>187</v>
      </c>
      <c r="D34" s="2" t="s">
        <v>242</v>
      </c>
    </row>
    <row r="35" spans="2:4" ht="15.75" customHeight="1" x14ac:dyDescent="0.15">
      <c r="B35" s="8" t="s">
        <v>126</v>
      </c>
      <c r="C35" s="2" t="s">
        <v>186</v>
      </c>
    </row>
    <row r="36" spans="2:4" x14ac:dyDescent="0.15">
      <c r="B36" s="2" t="s">
        <v>127</v>
      </c>
      <c r="C36" s="2" t="s">
        <v>188</v>
      </c>
      <c r="D36" s="2" t="s">
        <v>242</v>
      </c>
    </row>
    <row r="37" spans="2:4" x14ac:dyDescent="0.15">
      <c r="B37" s="2" t="s">
        <v>128</v>
      </c>
      <c r="C37" s="2" t="s">
        <v>189</v>
      </c>
    </row>
    <row r="38" spans="2:4" x14ac:dyDescent="0.15">
      <c r="B38" s="2" t="s">
        <v>129</v>
      </c>
      <c r="C38" s="2" t="s">
        <v>190</v>
      </c>
      <c r="D38" s="2" t="s">
        <v>242</v>
      </c>
    </row>
    <row r="39" spans="2:4" x14ac:dyDescent="0.15">
      <c r="B39" s="2" t="s">
        <v>130</v>
      </c>
      <c r="C39" s="2" t="s">
        <v>191</v>
      </c>
    </row>
    <row r="40" spans="2:4" x14ac:dyDescent="0.15">
      <c r="B40" s="2" t="s">
        <v>131</v>
      </c>
      <c r="C40" s="2" t="s">
        <v>192</v>
      </c>
      <c r="D40" s="2" t="s">
        <v>242</v>
      </c>
    </row>
    <row r="41" spans="2:4" x14ac:dyDescent="0.15">
      <c r="B41" s="2" t="s">
        <v>132</v>
      </c>
      <c r="C41" s="2" t="s">
        <v>193</v>
      </c>
    </row>
    <row r="42" spans="2:4" x14ac:dyDescent="0.15">
      <c r="B42" s="8" t="s">
        <v>133</v>
      </c>
      <c r="C42" s="2" t="s">
        <v>194</v>
      </c>
      <c r="D42" s="2" t="s">
        <v>242</v>
      </c>
    </row>
    <row r="43" spans="2:4" x14ac:dyDescent="0.15">
      <c r="B43" s="8" t="s">
        <v>134</v>
      </c>
      <c r="C43" s="2" t="s">
        <v>167</v>
      </c>
    </row>
    <row r="44" spans="2:4" x14ac:dyDescent="0.15">
      <c r="B44" s="8" t="s">
        <v>151</v>
      </c>
      <c r="C44" s="2" t="s">
        <v>178</v>
      </c>
      <c r="D44" s="2" t="s">
        <v>242</v>
      </c>
    </row>
    <row r="45" spans="2:4" x14ac:dyDescent="0.15">
      <c r="B45" s="8" t="s">
        <v>152</v>
      </c>
      <c r="C45" s="2" t="s">
        <v>173</v>
      </c>
    </row>
    <row r="46" spans="2:4" x14ac:dyDescent="0.15">
      <c r="B46" s="8" t="s">
        <v>135</v>
      </c>
      <c r="C46" s="2" t="s">
        <v>195</v>
      </c>
    </row>
    <row r="47" spans="2:4" x14ac:dyDescent="0.15">
      <c r="B47" s="8" t="s">
        <v>136</v>
      </c>
      <c r="C47" s="2" t="s">
        <v>196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159</v>
      </c>
      <c r="C3" s="7" t="s">
        <v>106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105</v>
      </c>
      <c r="C3" s="2" t="s">
        <v>107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108</v>
      </c>
      <c r="C3" s="2" t="s">
        <v>109</v>
      </c>
    </row>
    <row r="4" spans="1:3" s="3" customFormat="1" ht="17.25" thickBot="1" x14ac:dyDescent="0.2">
      <c r="A4" s="6" t="s">
        <v>0</v>
      </c>
      <c r="B4" s="6" t="s">
        <v>50</v>
      </c>
      <c r="C4" s="6" t="s">
        <v>51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148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I20" sqref="I20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115</v>
      </c>
      <c r="C3" s="8" t="s">
        <v>116</v>
      </c>
    </row>
    <row r="4" spans="1:3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s="5" customFormat="1" x14ac:dyDescent="0.15">
      <c r="A10" s="2">
        <v>6</v>
      </c>
      <c r="B10" s="9">
        <v>5000</v>
      </c>
      <c r="C10" s="9">
        <v>37000</v>
      </c>
    </row>
    <row r="11" spans="1:3" s="5" customFormat="1" x14ac:dyDescent="0.15">
      <c r="A11" s="2">
        <v>7</v>
      </c>
      <c r="B11" s="9">
        <v>7000</v>
      </c>
      <c r="C11" s="9">
        <v>67000</v>
      </c>
    </row>
    <row r="12" spans="1:3" s="5" customFormat="1" x14ac:dyDescent="0.15">
      <c r="A12" s="2">
        <v>8</v>
      </c>
      <c r="B12" s="9">
        <v>9200</v>
      </c>
      <c r="C12" s="9">
        <v>110000</v>
      </c>
    </row>
    <row r="13" spans="1:3" s="5" customFormat="1" x14ac:dyDescent="0.15">
      <c r="A13" s="2">
        <v>9</v>
      </c>
      <c r="B13" s="9">
        <v>11000</v>
      </c>
      <c r="C13" s="9">
        <v>170000</v>
      </c>
    </row>
    <row r="14" spans="1:3" s="5" customFormat="1" x14ac:dyDescent="0.15">
      <c r="A14" s="2">
        <v>10</v>
      </c>
      <c r="B14" s="9">
        <v>13200</v>
      </c>
      <c r="C14" s="9">
        <v>250000</v>
      </c>
    </row>
    <row r="15" spans="1:3" s="5" customFormat="1" x14ac:dyDescent="0.15">
      <c r="A15" s="2">
        <v>11</v>
      </c>
      <c r="B15" s="9">
        <v>14400</v>
      </c>
      <c r="C15" s="9">
        <v>330000</v>
      </c>
    </row>
    <row r="16" spans="1:3" s="5" customFormat="1" x14ac:dyDescent="0.15">
      <c r="A16" s="2">
        <v>12</v>
      </c>
      <c r="B16" s="9">
        <v>17200</v>
      </c>
      <c r="C16" s="9">
        <v>460000</v>
      </c>
    </row>
    <row r="17" spans="1:3" s="5" customFormat="1" x14ac:dyDescent="0.15">
      <c r="A17" s="2">
        <v>13</v>
      </c>
      <c r="B17" s="9">
        <v>19000</v>
      </c>
      <c r="C17" s="9">
        <v>600000</v>
      </c>
    </row>
    <row r="18" spans="1:3" s="5" customFormat="1" x14ac:dyDescent="0.15">
      <c r="A18" s="2">
        <v>14</v>
      </c>
      <c r="B18" s="9">
        <v>22000</v>
      </c>
      <c r="C18" s="9">
        <v>810000</v>
      </c>
    </row>
    <row r="19" spans="1:3" s="5" customFormat="1" x14ac:dyDescent="0.15">
      <c r="A19" s="2">
        <v>15</v>
      </c>
      <c r="B19" s="9">
        <v>26000</v>
      </c>
      <c r="C19" s="9">
        <v>1000000</v>
      </c>
    </row>
    <row r="20" spans="1:3" s="5" customFormat="1" x14ac:dyDescent="0.15">
      <c r="A20" s="2">
        <v>16</v>
      </c>
      <c r="B20" s="9">
        <v>30000</v>
      </c>
      <c r="C20" s="9">
        <v>1300000</v>
      </c>
    </row>
    <row r="21" spans="1:3" s="5" customFormat="1" x14ac:dyDescent="0.15">
      <c r="A21" s="2">
        <v>17</v>
      </c>
      <c r="B21" s="9">
        <v>34000</v>
      </c>
      <c r="C21" s="9">
        <v>1600000</v>
      </c>
    </row>
    <row r="22" spans="1:3" s="5" customFormat="1" x14ac:dyDescent="0.15">
      <c r="A22" s="2">
        <v>18</v>
      </c>
      <c r="B22" s="9">
        <v>38000</v>
      </c>
      <c r="C22" s="9">
        <v>1900000</v>
      </c>
    </row>
    <row r="23" spans="1:3" s="5" customFormat="1" x14ac:dyDescent="0.15">
      <c r="A23" s="2">
        <v>19</v>
      </c>
      <c r="B23" s="9">
        <v>46000</v>
      </c>
      <c r="C23" s="9">
        <v>2400000</v>
      </c>
    </row>
    <row r="24" spans="1:3" s="5" customFormat="1" x14ac:dyDescent="0.15">
      <c r="A24" s="2">
        <v>20</v>
      </c>
      <c r="B24" s="9">
        <v>52000</v>
      </c>
      <c r="C24" s="9">
        <v>3100000</v>
      </c>
    </row>
    <row r="25" spans="1:3" s="5" customFormat="1" x14ac:dyDescent="0.15">
      <c r="A25" s="2"/>
      <c r="B25" s="2"/>
      <c r="C25" s="9"/>
    </row>
    <row r="26" spans="1:3" s="5" customFormat="1" x14ac:dyDescent="0.15">
      <c r="A26" s="2"/>
      <c r="B26" s="2"/>
      <c r="C26" s="9"/>
    </row>
    <row r="27" spans="1:3" s="5" customFormat="1" x14ac:dyDescent="0.15">
      <c r="A27" s="2"/>
      <c r="B27" s="2"/>
      <c r="C27" s="9"/>
    </row>
    <row r="28" spans="1:3" s="5" customFormat="1" x14ac:dyDescent="0.15">
      <c r="A28" s="2"/>
      <c r="B28" s="2"/>
      <c r="C28" s="9"/>
    </row>
    <row r="29" spans="1:3" s="5" customFormat="1" x14ac:dyDescent="0.15">
      <c r="A29" s="2"/>
      <c r="B29" s="2"/>
      <c r="C29" s="9"/>
    </row>
    <row r="30" spans="1:3" s="5" customFormat="1" x14ac:dyDescent="0.15">
      <c r="A30" s="2"/>
      <c r="B30" s="2"/>
      <c r="C30" s="9"/>
    </row>
    <row r="31" spans="1:3" s="5" customFormat="1" x14ac:dyDescent="0.15">
      <c r="A31" s="2"/>
      <c r="B31" s="2"/>
      <c r="C31" s="9"/>
    </row>
    <row r="32" spans="1:3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1250</v>
      </c>
      <c r="C5" s="9">
        <v>500</v>
      </c>
    </row>
    <row r="6" spans="1:3" s="5" customFormat="1" x14ac:dyDescent="0.15">
      <c r="A6" s="2">
        <v>2</v>
      </c>
      <c r="B6" s="9">
        <v>1875</v>
      </c>
      <c r="C6" s="9">
        <v>900</v>
      </c>
    </row>
    <row r="7" spans="1:3" s="5" customFormat="1" x14ac:dyDescent="0.15">
      <c r="A7" s="2">
        <v>3</v>
      </c>
      <c r="B7" s="9">
        <v>2500</v>
      </c>
      <c r="C7" s="9">
        <v>2500</v>
      </c>
    </row>
    <row r="8" spans="1:3" s="5" customFormat="1" x14ac:dyDescent="0.15">
      <c r="A8" s="2">
        <v>4</v>
      </c>
      <c r="B8" s="9">
        <v>3750</v>
      </c>
      <c r="C8" s="9">
        <v>8600</v>
      </c>
    </row>
    <row r="9" spans="1:3" s="5" customFormat="1" x14ac:dyDescent="0.15">
      <c r="A9" s="2">
        <v>5</v>
      </c>
      <c r="B9" s="9">
        <v>5000</v>
      </c>
      <c r="C9" s="9">
        <v>21000</v>
      </c>
    </row>
    <row r="10" spans="1:3" x14ac:dyDescent="0.15">
      <c r="A10" s="2">
        <v>6</v>
      </c>
      <c r="B10" s="9">
        <v>6250</v>
      </c>
      <c r="C10" s="8">
        <v>37000</v>
      </c>
    </row>
    <row r="11" spans="1:3" x14ac:dyDescent="0.15">
      <c r="A11" s="2">
        <v>7</v>
      </c>
      <c r="B11" s="9">
        <v>8750</v>
      </c>
      <c r="C11" s="8">
        <v>67000</v>
      </c>
    </row>
    <row r="12" spans="1:3" x14ac:dyDescent="0.15">
      <c r="A12" s="2">
        <v>8</v>
      </c>
      <c r="B12" s="9">
        <v>11500</v>
      </c>
      <c r="C12" s="8">
        <v>110000</v>
      </c>
    </row>
    <row r="13" spans="1:3" x14ac:dyDescent="0.15">
      <c r="A13" s="2">
        <v>9</v>
      </c>
      <c r="B13" s="9">
        <v>13750</v>
      </c>
      <c r="C13" s="8">
        <v>170000</v>
      </c>
    </row>
    <row r="14" spans="1:3" x14ac:dyDescent="0.15">
      <c r="A14" s="2">
        <v>10</v>
      </c>
      <c r="B14" s="9">
        <v>16500</v>
      </c>
      <c r="C14" s="8">
        <v>250000</v>
      </c>
    </row>
    <row r="15" spans="1:3" x14ac:dyDescent="0.15">
      <c r="A15" s="2">
        <v>11</v>
      </c>
      <c r="B15" s="9">
        <v>18000</v>
      </c>
      <c r="C15" s="8">
        <v>330000</v>
      </c>
    </row>
    <row r="16" spans="1:3" x14ac:dyDescent="0.15">
      <c r="A16" s="2">
        <v>12</v>
      </c>
      <c r="B16" s="9">
        <v>21500</v>
      </c>
      <c r="C16" s="8">
        <v>460000</v>
      </c>
    </row>
    <row r="17" spans="1:3" x14ac:dyDescent="0.15">
      <c r="A17" s="2">
        <v>13</v>
      </c>
      <c r="B17" s="9">
        <v>23750</v>
      </c>
      <c r="C17" s="8">
        <v>600000</v>
      </c>
    </row>
    <row r="18" spans="1:3" x14ac:dyDescent="0.15">
      <c r="A18" s="2">
        <v>14</v>
      </c>
      <c r="B18" s="9">
        <v>27500</v>
      </c>
      <c r="C18" s="8">
        <v>810000</v>
      </c>
    </row>
    <row r="19" spans="1:3" x14ac:dyDescent="0.15">
      <c r="A19" s="2">
        <v>15</v>
      </c>
      <c r="B19" s="9">
        <v>32500</v>
      </c>
      <c r="C19" s="8">
        <v>1000000</v>
      </c>
    </row>
    <row r="20" spans="1:3" x14ac:dyDescent="0.15">
      <c r="A20" s="2">
        <v>16</v>
      </c>
      <c r="B20" s="9">
        <v>37500</v>
      </c>
      <c r="C20" s="8">
        <v>1300000</v>
      </c>
    </row>
    <row r="21" spans="1:3" x14ac:dyDescent="0.15">
      <c r="A21" s="2">
        <v>17</v>
      </c>
      <c r="B21" s="9">
        <v>42500</v>
      </c>
      <c r="C21" s="8">
        <v>1600000</v>
      </c>
    </row>
    <row r="22" spans="1:3" x14ac:dyDescent="0.15">
      <c r="A22" s="2">
        <v>18</v>
      </c>
      <c r="B22" s="9">
        <v>47500</v>
      </c>
      <c r="C22" s="8">
        <v>1900000</v>
      </c>
    </row>
    <row r="23" spans="1:3" x14ac:dyDescent="0.15">
      <c r="A23" s="2">
        <v>19</v>
      </c>
      <c r="B23" s="9">
        <v>57500</v>
      </c>
      <c r="C23" s="8">
        <v>2400000</v>
      </c>
    </row>
    <row r="24" spans="1:3" x14ac:dyDescent="0.15">
      <c r="A24" s="2">
        <v>20</v>
      </c>
      <c r="B24" s="9">
        <v>65000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23" sqref="F2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2500</v>
      </c>
      <c r="C8" s="2">
        <v>8600</v>
      </c>
    </row>
    <row r="9" spans="1:3" s="5" customFormat="1" x14ac:dyDescent="0.15">
      <c r="A9" s="2">
        <v>5</v>
      </c>
      <c r="B9" s="2">
        <v>3500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G29" sqref="G29:G30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141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121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258</v>
      </c>
      <c r="E4" s="41" t="s">
        <v>261</v>
      </c>
      <c r="F4" s="3" t="s">
        <v>259</v>
      </c>
      <c r="G4" s="3" t="s">
        <v>260</v>
      </c>
    </row>
    <row r="5" spans="1:7" s="5" customFormat="1" x14ac:dyDescent="0.15">
      <c r="A5" s="2">
        <v>1</v>
      </c>
      <c r="B5" s="5">
        <f>ROUND(C5,2-LEN(ROUND(C5,0)))</f>
        <v>19000</v>
      </c>
      <c r="C5" s="42">
        <f>D5*E5</f>
        <v>19200</v>
      </c>
      <c r="D5" s="42">
        <f>F5*24</f>
        <v>2400</v>
      </c>
      <c r="E5" s="42">
        <v>8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32000</v>
      </c>
      <c r="C6" s="42">
        <f t="shared" ref="C6:C24" si="1">D6*E6</f>
        <v>32400</v>
      </c>
      <c r="D6" s="42">
        <f t="shared" ref="D6:D24" si="2">F6*24</f>
        <v>3600</v>
      </c>
      <c r="E6" s="42">
        <v>9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65000</v>
      </c>
      <c r="C7" s="42">
        <f t="shared" si="1"/>
        <v>64800</v>
      </c>
      <c r="D7" s="42">
        <f t="shared" si="2"/>
        <v>7200</v>
      </c>
      <c r="E7" s="42">
        <v>9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190000</v>
      </c>
      <c r="C8" s="42">
        <f t="shared" si="1"/>
        <v>194400</v>
      </c>
      <c r="D8" s="42">
        <f t="shared" si="2"/>
        <v>21600</v>
      </c>
      <c r="E8" s="42">
        <v>9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390000</v>
      </c>
      <c r="C9" s="42">
        <f t="shared" si="1"/>
        <v>388800</v>
      </c>
      <c r="D9" s="42">
        <f t="shared" si="2"/>
        <v>43200</v>
      </c>
      <c r="E9" s="42">
        <v>9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540000</v>
      </c>
      <c r="C10" s="42">
        <f t="shared" si="1"/>
        <v>540000</v>
      </c>
      <c r="D10" s="42">
        <f t="shared" si="2"/>
        <v>60000</v>
      </c>
      <c r="E10" s="40">
        <v>9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840000</v>
      </c>
      <c r="C11" s="42">
        <f t="shared" si="1"/>
        <v>840000</v>
      </c>
      <c r="D11" s="42">
        <f t="shared" si="2"/>
        <v>84000</v>
      </c>
      <c r="E11" s="40">
        <v>10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1200000</v>
      </c>
      <c r="C12" s="42">
        <f t="shared" si="1"/>
        <v>1214400</v>
      </c>
      <c r="D12" s="42">
        <f t="shared" si="2"/>
        <v>110400</v>
      </c>
      <c r="E12" s="40">
        <v>11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1500000</v>
      </c>
      <c r="C13" s="42">
        <f t="shared" si="1"/>
        <v>1452000</v>
      </c>
      <c r="D13" s="42">
        <f t="shared" si="2"/>
        <v>132000</v>
      </c>
      <c r="E13" s="40">
        <v>11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1700000</v>
      </c>
      <c r="C14" s="42">
        <f t="shared" si="1"/>
        <v>1742400</v>
      </c>
      <c r="D14" s="42">
        <f t="shared" si="2"/>
        <v>158400</v>
      </c>
      <c r="E14" s="40">
        <v>11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1900000</v>
      </c>
      <c r="C15" s="42">
        <f t="shared" si="1"/>
        <v>1900800</v>
      </c>
      <c r="D15" s="42">
        <f t="shared" si="2"/>
        <v>172800</v>
      </c>
      <c r="E15" s="40">
        <v>11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2500000</v>
      </c>
      <c r="C16" s="42">
        <f t="shared" si="1"/>
        <v>2476800</v>
      </c>
      <c r="D16" s="42">
        <f t="shared" si="2"/>
        <v>206400</v>
      </c>
      <c r="E16" s="40">
        <v>12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3200000</v>
      </c>
      <c r="C17" s="42">
        <f t="shared" si="1"/>
        <v>3192000</v>
      </c>
      <c r="D17" s="42">
        <f t="shared" si="2"/>
        <v>228000</v>
      </c>
      <c r="E17" s="40">
        <v>14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4500000</v>
      </c>
      <c r="C18" s="42">
        <f t="shared" si="1"/>
        <v>4488000</v>
      </c>
      <c r="D18" s="42">
        <f t="shared" si="2"/>
        <v>264000</v>
      </c>
      <c r="E18" s="40">
        <v>17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5900000</v>
      </c>
      <c r="C19" s="42">
        <f t="shared" si="1"/>
        <v>5928000</v>
      </c>
      <c r="D19" s="42">
        <f t="shared" si="2"/>
        <v>312000</v>
      </c>
      <c r="E19" s="40">
        <v>19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7900000</v>
      </c>
      <c r="C20" s="42">
        <f t="shared" si="1"/>
        <v>7920000</v>
      </c>
      <c r="D20" s="42">
        <f t="shared" si="2"/>
        <v>360000</v>
      </c>
      <c r="E20" s="40">
        <v>22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9800000</v>
      </c>
      <c r="C21" s="42">
        <f t="shared" si="1"/>
        <v>9792000</v>
      </c>
      <c r="D21" s="42">
        <f t="shared" si="2"/>
        <v>408000</v>
      </c>
      <c r="E21" s="40">
        <v>24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12000000</v>
      </c>
      <c r="C22" s="42">
        <f t="shared" si="1"/>
        <v>11856000</v>
      </c>
      <c r="D22" s="42">
        <f t="shared" si="2"/>
        <v>456000</v>
      </c>
      <c r="E22" s="40">
        <v>26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17000000</v>
      </c>
      <c r="C23" s="42">
        <f t="shared" si="1"/>
        <v>16560000</v>
      </c>
      <c r="D23" s="42">
        <f t="shared" si="2"/>
        <v>552000</v>
      </c>
      <c r="E23" s="40">
        <v>30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25000000</v>
      </c>
      <c r="C24" s="42">
        <f t="shared" si="1"/>
        <v>24960000</v>
      </c>
      <c r="D24" s="42">
        <f t="shared" si="2"/>
        <v>624000</v>
      </c>
      <c r="E24" s="40">
        <v>40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163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I16" sqref="I1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122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19000</v>
      </c>
    </row>
    <row r="6" spans="1:8" s="5" customFormat="1" x14ac:dyDescent="0.15">
      <c r="A6" s="2">
        <v>2</v>
      </c>
      <c r="B6" s="5">
        <v>32000</v>
      </c>
    </row>
    <row r="7" spans="1:8" s="5" customFormat="1" x14ac:dyDescent="0.15">
      <c r="A7" s="2">
        <v>3</v>
      </c>
      <c r="B7" s="5">
        <v>65000</v>
      </c>
    </row>
    <row r="8" spans="1:8" s="5" customFormat="1" x14ac:dyDescent="0.15">
      <c r="A8" s="2">
        <v>4</v>
      </c>
      <c r="B8" s="5">
        <v>190000</v>
      </c>
    </row>
    <row r="9" spans="1:8" s="5" customFormat="1" x14ac:dyDescent="0.15">
      <c r="A9" s="2">
        <v>5</v>
      </c>
      <c r="B9" s="5">
        <v>390000</v>
      </c>
    </row>
    <row r="10" spans="1:8" x14ac:dyDescent="0.15">
      <c r="A10" s="2">
        <v>6</v>
      </c>
      <c r="B10" s="5">
        <v>540000</v>
      </c>
      <c r="G10" s="5"/>
      <c r="H10" s="5"/>
    </row>
    <row r="11" spans="1:8" x14ac:dyDescent="0.15">
      <c r="A11" s="2">
        <v>7</v>
      </c>
      <c r="B11" s="5">
        <v>840000</v>
      </c>
      <c r="G11" s="5"/>
      <c r="H11" s="5"/>
    </row>
    <row r="12" spans="1:8" x14ac:dyDescent="0.15">
      <c r="A12" s="2">
        <v>8</v>
      </c>
      <c r="B12" s="5">
        <v>1200000</v>
      </c>
      <c r="G12" s="5"/>
      <c r="H12" s="5"/>
    </row>
    <row r="13" spans="1:8" x14ac:dyDescent="0.15">
      <c r="A13" s="2">
        <v>9</v>
      </c>
      <c r="B13" s="5">
        <v>1500000</v>
      </c>
      <c r="G13" s="5"/>
      <c r="H13" s="5"/>
    </row>
    <row r="14" spans="1:8" x14ac:dyDescent="0.15">
      <c r="A14" s="2">
        <v>10</v>
      </c>
      <c r="B14" s="5">
        <v>1700000</v>
      </c>
      <c r="G14" s="5"/>
      <c r="H14" s="5"/>
    </row>
    <row r="15" spans="1:8" x14ac:dyDescent="0.15">
      <c r="A15" s="2">
        <v>11</v>
      </c>
      <c r="B15" s="5">
        <v>1900000</v>
      </c>
      <c r="G15" s="5"/>
      <c r="H15" s="5"/>
    </row>
    <row r="16" spans="1:8" x14ac:dyDescent="0.15">
      <c r="A16" s="2">
        <v>12</v>
      </c>
      <c r="B16" s="5">
        <v>2500000</v>
      </c>
      <c r="G16" s="5"/>
      <c r="H16" s="5"/>
    </row>
    <row r="17" spans="1:8" x14ac:dyDescent="0.15">
      <c r="A17" s="2">
        <v>13</v>
      </c>
      <c r="B17" s="5">
        <v>3200000</v>
      </c>
      <c r="G17" s="5"/>
      <c r="H17" s="5"/>
    </row>
    <row r="18" spans="1:8" x14ac:dyDescent="0.15">
      <c r="A18" s="2">
        <v>14</v>
      </c>
      <c r="B18" s="5">
        <v>4500000</v>
      </c>
      <c r="G18" s="5"/>
      <c r="H18" s="5"/>
    </row>
    <row r="19" spans="1:8" x14ac:dyDescent="0.15">
      <c r="A19" s="2">
        <v>15</v>
      </c>
      <c r="B19" s="5">
        <v>5900000</v>
      </c>
      <c r="G19" s="5"/>
      <c r="H19" s="5"/>
    </row>
    <row r="20" spans="1:8" x14ac:dyDescent="0.15">
      <c r="A20" s="2">
        <v>16</v>
      </c>
      <c r="B20" s="5">
        <v>7900000</v>
      </c>
      <c r="G20" s="5"/>
      <c r="H20" s="5"/>
    </row>
    <row r="21" spans="1:8" x14ac:dyDescent="0.15">
      <c r="A21" s="2">
        <v>17</v>
      </c>
      <c r="B21" s="5">
        <v>9800000</v>
      </c>
      <c r="G21" s="5"/>
      <c r="H21" s="5"/>
    </row>
    <row r="22" spans="1:8" x14ac:dyDescent="0.15">
      <c r="A22" s="2">
        <v>18</v>
      </c>
      <c r="B22" s="5">
        <v>12000000</v>
      </c>
      <c r="G22" s="5"/>
      <c r="H22" s="5"/>
    </row>
    <row r="23" spans="1:8" x14ac:dyDescent="0.15">
      <c r="A23" s="2">
        <v>19</v>
      </c>
      <c r="B23" s="5">
        <v>17000000</v>
      </c>
      <c r="G23" s="5"/>
      <c r="H23" s="5"/>
    </row>
    <row r="24" spans="1:8" x14ac:dyDescent="0.15">
      <c r="A24" s="2">
        <v>20</v>
      </c>
      <c r="B24" s="5">
        <v>25000000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123</v>
      </c>
      <c r="C3" s="8" t="s">
        <v>124</v>
      </c>
    </row>
    <row r="4" spans="1:10" s="3" customFormat="1" ht="17.25" thickBot="1" x14ac:dyDescent="0.2">
      <c r="A4" s="6" t="s">
        <v>0</v>
      </c>
      <c r="B4" s="10" t="s">
        <v>52</v>
      </c>
      <c r="C4" s="10" t="s">
        <v>33</v>
      </c>
    </row>
    <row r="5" spans="1:10" s="5" customFormat="1" x14ac:dyDescent="0.15">
      <c r="A5" s="2">
        <v>1</v>
      </c>
      <c r="B5" s="9">
        <v>1000</v>
      </c>
      <c r="C5" s="9">
        <v>500</v>
      </c>
    </row>
    <row r="6" spans="1:10" s="5" customFormat="1" x14ac:dyDescent="0.15">
      <c r="A6" s="2">
        <v>2</v>
      </c>
      <c r="B6" s="9">
        <v>1500</v>
      </c>
      <c r="C6" s="9">
        <v>900</v>
      </c>
    </row>
    <row r="7" spans="1:10" s="5" customFormat="1" x14ac:dyDescent="0.15">
      <c r="A7" s="2">
        <v>3</v>
      </c>
      <c r="B7" s="9">
        <v>2000</v>
      </c>
      <c r="C7" s="9">
        <v>2500</v>
      </c>
    </row>
    <row r="8" spans="1:10" s="5" customFormat="1" x14ac:dyDescent="0.15">
      <c r="A8" s="2">
        <v>4</v>
      </c>
      <c r="B8" s="9">
        <v>3000</v>
      </c>
      <c r="C8" s="9">
        <v>8600</v>
      </c>
    </row>
    <row r="9" spans="1:10" s="5" customFormat="1" x14ac:dyDescent="0.15">
      <c r="A9" s="2">
        <v>5</v>
      </c>
      <c r="B9" s="9">
        <v>4000</v>
      </c>
      <c r="C9" s="9">
        <v>21000</v>
      </c>
    </row>
    <row r="10" spans="1:10" x14ac:dyDescent="0.15">
      <c r="A10" s="2">
        <v>6</v>
      </c>
      <c r="B10" s="9">
        <v>5000</v>
      </c>
      <c r="C10" s="8">
        <v>37000</v>
      </c>
      <c r="J10" s="5"/>
    </row>
    <row r="11" spans="1:10" x14ac:dyDescent="0.15">
      <c r="A11" s="2">
        <v>7</v>
      </c>
      <c r="B11" s="9">
        <v>7000</v>
      </c>
      <c r="C11" s="8">
        <v>67000</v>
      </c>
      <c r="J11" s="5"/>
    </row>
    <row r="12" spans="1:10" x14ac:dyDescent="0.15">
      <c r="A12" s="2">
        <v>8</v>
      </c>
      <c r="B12" s="9">
        <v>9200</v>
      </c>
      <c r="C12" s="8">
        <v>110000</v>
      </c>
      <c r="J12" s="5"/>
    </row>
    <row r="13" spans="1:10" x14ac:dyDescent="0.15">
      <c r="A13" s="2">
        <v>9</v>
      </c>
      <c r="B13" s="9">
        <v>11000</v>
      </c>
      <c r="C13" s="8">
        <v>170000</v>
      </c>
      <c r="J13" s="5"/>
    </row>
    <row r="14" spans="1:10" x14ac:dyDescent="0.15">
      <c r="A14" s="2">
        <v>10</v>
      </c>
      <c r="B14" s="9">
        <v>13200</v>
      </c>
      <c r="C14" s="8">
        <v>250000</v>
      </c>
      <c r="J14" s="5"/>
    </row>
    <row r="15" spans="1:10" x14ac:dyDescent="0.15">
      <c r="A15" s="2">
        <v>11</v>
      </c>
      <c r="B15" s="9">
        <v>14400</v>
      </c>
      <c r="C15" s="8">
        <v>330000</v>
      </c>
      <c r="J15" s="5"/>
    </row>
    <row r="16" spans="1:10" x14ac:dyDescent="0.15">
      <c r="A16" s="2">
        <v>12</v>
      </c>
      <c r="B16" s="9">
        <v>17200</v>
      </c>
      <c r="C16" s="8">
        <v>460000</v>
      </c>
      <c r="J16" s="5"/>
    </row>
    <row r="17" spans="1:10" x14ac:dyDescent="0.15">
      <c r="A17" s="2">
        <v>13</v>
      </c>
      <c r="B17" s="9">
        <v>19000</v>
      </c>
      <c r="C17" s="8">
        <v>600000</v>
      </c>
      <c r="J17" s="5"/>
    </row>
    <row r="18" spans="1:10" x14ac:dyDescent="0.15">
      <c r="A18" s="2">
        <v>14</v>
      </c>
      <c r="B18" s="9">
        <v>22000</v>
      </c>
      <c r="C18" s="8">
        <v>810000</v>
      </c>
      <c r="J18" s="5"/>
    </row>
    <row r="19" spans="1:10" x14ac:dyDescent="0.15">
      <c r="A19" s="2">
        <v>15</v>
      </c>
      <c r="B19" s="9">
        <v>26000</v>
      </c>
      <c r="C19" s="8">
        <v>1000000</v>
      </c>
      <c r="J19" s="5"/>
    </row>
    <row r="20" spans="1:10" x14ac:dyDescent="0.15">
      <c r="A20" s="2">
        <v>16</v>
      </c>
      <c r="B20" s="9">
        <v>30000</v>
      </c>
      <c r="C20" s="8">
        <v>1300000</v>
      </c>
      <c r="J20" s="5"/>
    </row>
    <row r="21" spans="1:10" x14ac:dyDescent="0.15">
      <c r="A21" s="2">
        <v>17</v>
      </c>
      <c r="B21" s="9">
        <v>34000</v>
      </c>
      <c r="C21" s="8">
        <v>1600000</v>
      </c>
      <c r="J21" s="5"/>
    </row>
    <row r="22" spans="1:10" x14ac:dyDescent="0.15">
      <c r="A22" s="2">
        <v>18</v>
      </c>
      <c r="B22" s="9">
        <v>38000</v>
      </c>
      <c r="C22" s="8">
        <v>1900000</v>
      </c>
      <c r="J22" s="5"/>
    </row>
    <row r="23" spans="1:10" x14ac:dyDescent="0.15">
      <c r="A23" s="2">
        <v>19</v>
      </c>
      <c r="B23" s="9">
        <v>46000</v>
      </c>
      <c r="C23" s="8">
        <v>2400000</v>
      </c>
      <c r="J23" s="5"/>
    </row>
    <row r="24" spans="1:10" x14ac:dyDescent="0.15">
      <c r="A24" s="2">
        <v>20</v>
      </c>
      <c r="B24" s="9">
        <v>52000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231</v>
      </c>
      <c r="C3" s="8" t="s">
        <v>235</v>
      </c>
      <c r="D3" s="8" t="s">
        <v>232</v>
      </c>
    </row>
    <row r="4" spans="1:11" s="3" customFormat="1" ht="17.25" thickBot="1" x14ac:dyDescent="0.2">
      <c r="A4" s="6" t="s">
        <v>0</v>
      </c>
      <c r="B4" s="10" t="s">
        <v>234</v>
      </c>
      <c r="C4" s="10" t="s">
        <v>233</v>
      </c>
      <c r="D4" s="10" t="s">
        <v>236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125</v>
      </c>
      <c r="C3" s="8" t="s">
        <v>126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127</v>
      </c>
      <c r="C3" s="2" t="s">
        <v>128</v>
      </c>
    </row>
    <row r="4" spans="1:3" s="3" customFormat="1" ht="17.25" thickBot="1" x14ac:dyDescent="0.2">
      <c r="A4" s="6" t="s">
        <v>0</v>
      </c>
      <c r="B4" s="6" t="s">
        <v>53</v>
      </c>
      <c r="C4" s="6" t="s">
        <v>54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133</v>
      </c>
      <c r="C3" s="8" t="s">
        <v>134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tabSelected="1" workbookViewId="0">
      <selection activeCell="J25" sqref="J2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135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136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262</v>
      </c>
      <c r="F4" s="41"/>
      <c r="G4" s="41"/>
      <c r="H4" s="41"/>
    </row>
    <row r="5" spans="1:8" s="5" customFormat="1" x14ac:dyDescent="0.15">
      <c r="A5" s="2">
        <v>1</v>
      </c>
      <c r="B5" s="9">
        <v>300</v>
      </c>
      <c r="E5" s="42">
        <v>0.01</v>
      </c>
      <c r="F5" s="42">
        <f>E5*B5*(A5*0.9)^3</f>
        <v>2.1870000000000003</v>
      </c>
      <c r="G5" s="42">
        <f>ROUNDUP(F5,0)</f>
        <v>3</v>
      </c>
      <c r="H5" s="42">
        <v>2400</v>
      </c>
    </row>
    <row r="6" spans="1:8" s="5" customFormat="1" x14ac:dyDescent="0.15">
      <c r="A6" s="2">
        <v>2</v>
      </c>
      <c r="B6" s="9">
        <v>600</v>
      </c>
      <c r="E6" s="42">
        <v>0.01</v>
      </c>
      <c r="F6" s="42">
        <f t="shared" ref="F6:F24" si="0">E6*B6*(A6*0.9)^3</f>
        <v>34.992000000000004</v>
      </c>
      <c r="G6" s="42">
        <f t="shared" ref="G6:G24" si="1">ROUNDUP(F6,0)</f>
        <v>35</v>
      </c>
      <c r="H6" s="42">
        <v>3600</v>
      </c>
    </row>
    <row r="7" spans="1:8" s="5" customFormat="1" x14ac:dyDescent="0.15">
      <c r="A7" s="2">
        <v>3</v>
      </c>
      <c r="B7" s="9">
        <v>900</v>
      </c>
      <c r="E7" s="42">
        <v>0.01</v>
      </c>
      <c r="F7" s="42">
        <f t="shared" si="0"/>
        <v>177.14700000000002</v>
      </c>
      <c r="G7" s="42">
        <f t="shared" si="1"/>
        <v>178</v>
      </c>
      <c r="H7" s="42">
        <v>7200</v>
      </c>
    </row>
    <row r="8" spans="1:8" s="5" customFormat="1" x14ac:dyDescent="0.15">
      <c r="A8" s="2">
        <v>4</v>
      </c>
      <c r="B8" s="9">
        <v>1200</v>
      </c>
      <c r="E8" s="42">
        <v>0.01</v>
      </c>
      <c r="F8" s="42">
        <f t="shared" si="0"/>
        <v>559.87200000000007</v>
      </c>
      <c r="G8" s="42">
        <f t="shared" si="1"/>
        <v>560</v>
      </c>
      <c r="H8" s="42">
        <v>21600</v>
      </c>
    </row>
    <row r="9" spans="1:8" s="5" customFormat="1" x14ac:dyDescent="0.15">
      <c r="A9" s="2">
        <v>5</v>
      </c>
      <c r="B9" s="9">
        <v>1500</v>
      </c>
      <c r="E9" s="42">
        <v>0.01</v>
      </c>
      <c r="F9" s="42">
        <f t="shared" si="0"/>
        <v>1366.875</v>
      </c>
      <c r="G9" s="42">
        <f t="shared" si="1"/>
        <v>1367</v>
      </c>
      <c r="H9" s="42">
        <v>43200</v>
      </c>
    </row>
    <row r="10" spans="1:8" x14ac:dyDescent="0.15">
      <c r="A10" s="2">
        <v>6</v>
      </c>
      <c r="B10" s="9">
        <v>1800</v>
      </c>
      <c r="E10" s="42">
        <v>0.01</v>
      </c>
      <c r="F10" s="42">
        <f t="shared" si="0"/>
        <v>2834.3520000000003</v>
      </c>
      <c r="G10" s="40">
        <f t="shared" si="1"/>
        <v>2835</v>
      </c>
      <c r="H10" s="40">
        <v>60000</v>
      </c>
    </row>
    <row r="11" spans="1:8" x14ac:dyDescent="0.15">
      <c r="A11" s="2">
        <v>7</v>
      </c>
      <c r="B11" s="9">
        <v>2100</v>
      </c>
      <c r="E11" s="42">
        <v>0.01</v>
      </c>
      <c r="F11" s="42">
        <f t="shared" si="0"/>
        <v>5250.9869999999992</v>
      </c>
      <c r="G11" s="40">
        <f t="shared" si="1"/>
        <v>5251</v>
      </c>
      <c r="H11" s="40">
        <v>84000</v>
      </c>
    </row>
    <row r="12" spans="1:8" x14ac:dyDescent="0.15">
      <c r="A12" s="2">
        <v>8</v>
      </c>
      <c r="B12" s="9">
        <v>2400</v>
      </c>
      <c r="E12" s="42">
        <v>0.01</v>
      </c>
      <c r="F12" s="42">
        <f t="shared" si="0"/>
        <v>8957.9520000000011</v>
      </c>
      <c r="G12" s="40">
        <f t="shared" si="1"/>
        <v>8958</v>
      </c>
      <c r="H12" s="40">
        <v>110400</v>
      </c>
    </row>
    <row r="13" spans="1:8" x14ac:dyDescent="0.15">
      <c r="A13" s="2">
        <v>9</v>
      </c>
      <c r="B13" s="9">
        <v>2700</v>
      </c>
      <c r="E13" s="42">
        <v>0.01</v>
      </c>
      <c r="F13" s="42">
        <f t="shared" si="0"/>
        <v>14348.906999999997</v>
      </c>
      <c r="G13" s="40">
        <f t="shared" si="1"/>
        <v>14349</v>
      </c>
      <c r="H13" s="40">
        <v>132000</v>
      </c>
    </row>
    <row r="14" spans="1:8" x14ac:dyDescent="0.15">
      <c r="A14" s="2">
        <v>10</v>
      </c>
      <c r="B14" s="9">
        <v>3000</v>
      </c>
      <c r="E14" s="42">
        <v>0.01</v>
      </c>
      <c r="F14" s="42">
        <f t="shared" si="0"/>
        <v>21870</v>
      </c>
      <c r="G14" s="40">
        <f t="shared" si="1"/>
        <v>21870</v>
      </c>
      <c r="H14" s="40">
        <v>158400</v>
      </c>
    </row>
    <row r="15" spans="1:8" x14ac:dyDescent="0.15">
      <c r="A15" s="2">
        <v>11</v>
      </c>
      <c r="B15" s="9">
        <v>3300</v>
      </c>
      <c r="E15" s="42">
        <v>0.01</v>
      </c>
      <c r="F15" s="42">
        <f t="shared" si="0"/>
        <v>32019.867000000002</v>
      </c>
      <c r="G15" s="40">
        <f t="shared" si="1"/>
        <v>32020</v>
      </c>
      <c r="H15" s="40">
        <v>172800</v>
      </c>
    </row>
    <row r="16" spans="1:8" x14ac:dyDescent="0.15">
      <c r="A16" s="2">
        <v>12</v>
      </c>
      <c r="B16" s="9">
        <v>3600</v>
      </c>
      <c r="E16" s="42">
        <v>0.01</v>
      </c>
      <c r="F16" s="42">
        <f t="shared" si="0"/>
        <v>45349.632000000005</v>
      </c>
      <c r="G16" s="40">
        <f t="shared" si="1"/>
        <v>45350</v>
      </c>
      <c r="H16" s="40">
        <v>206400</v>
      </c>
    </row>
    <row r="17" spans="1:8" x14ac:dyDescent="0.15">
      <c r="A17" s="2">
        <v>13</v>
      </c>
      <c r="B17" s="9">
        <v>3900</v>
      </c>
      <c r="E17" s="42">
        <v>0.01</v>
      </c>
      <c r="F17" s="42">
        <f t="shared" si="0"/>
        <v>62462.907000000014</v>
      </c>
      <c r="G17" s="40">
        <f t="shared" si="1"/>
        <v>62463</v>
      </c>
      <c r="H17" s="40">
        <v>228000</v>
      </c>
    </row>
    <row r="18" spans="1:8" x14ac:dyDescent="0.15">
      <c r="A18" s="2">
        <v>14</v>
      </c>
      <c r="B18" s="9">
        <v>4200</v>
      </c>
      <c r="E18" s="42">
        <v>0.01</v>
      </c>
      <c r="F18" s="42">
        <f t="shared" si="0"/>
        <v>84015.791999999987</v>
      </c>
      <c r="G18" s="40">
        <f t="shared" si="1"/>
        <v>84016</v>
      </c>
      <c r="H18" s="40">
        <v>264000</v>
      </c>
    </row>
    <row r="19" spans="1:8" x14ac:dyDescent="0.15">
      <c r="A19" s="2">
        <v>15</v>
      </c>
      <c r="B19" s="9">
        <v>4500</v>
      </c>
      <c r="E19" s="42">
        <v>0.01</v>
      </c>
      <c r="F19" s="42">
        <f t="shared" si="0"/>
        <v>110716.875</v>
      </c>
      <c r="G19" s="40">
        <f t="shared" si="1"/>
        <v>110717</v>
      </c>
      <c r="H19" s="40">
        <v>312000</v>
      </c>
    </row>
    <row r="20" spans="1:8" x14ac:dyDescent="0.15">
      <c r="A20" s="2">
        <v>16</v>
      </c>
      <c r="B20" s="9">
        <v>4800</v>
      </c>
      <c r="E20" s="42">
        <v>0.01</v>
      </c>
      <c r="F20" s="42">
        <f t="shared" si="0"/>
        <v>143327.23200000002</v>
      </c>
      <c r="G20" s="40">
        <f t="shared" si="1"/>
        <v>143328</v>
      </c>
      <c r="H20" s="40">
        <v>360000</v>
      </c>
    </row>
    <row r="21" spans="1:8" x14ac:dyDescent="0.15">
      <c r="A21" s="2">
        <v>17</v>
      </c>
      <c r="B21" s="9">
        <v>5100</v>
      </c>
      <c r="E21" s="42">
        <v>0.01</v>
      </c>
      <c r="F21" s="42">
        <f t="shared" si="0"/>
        <v>182660.42700000003</v>
      </c>
      <c r="G21" s="40">
        <f t="shared" si="1"/>
        <v>182661</v>
      </c>
      <c r="H21" s="40">
        <v>408000</v>
      </c>
    </row>
    <row r="22" spans="1:8" x14ac:dyDescent="0.15">
      <c r="A22" s="2">
        <v>18</v>
      </c>
      <c r="B22" s="9">
        <v>5400</v>
      </c>
      <c r="E22" s="42">
        <v>0.01</v>
      </c>
      <c r="F22" s="42">
        <f t="shared" si="0"/>
        <v>229582.51199999996</v>
      </c>
      <c r="G22" s="40">
        <f t="shared" si="1"/>
        <v>229583</v>
      </c>
      <c r="H22" s="40">
        <v>456000</v>
      </c>
    </row>
    <row r="23" spans="1:8" x14ac:dyDescent="0.15">
      <c r="A23" s="2">
        <v>19</v>
      </c>
      <c r="B23" s="9">
        <v>5700</v>
      </c>
      <c r="E23" s="42">
        <v>0.01</v>
      </c>
      <c r="F23" s="42">
        <f t="shared" si="0"/>
        <v>285012.02700000006</v>
      </c>
      <c r="G23" s="40">
        <f t="shared" si="1"/>
        <v>285013</v>
      </c>
      <c r="H23" s="40">
        <v>552000</v>
      </c>
    </row>
    <row r="24" spans="1:8" x14ac:dyDescent="0.15">
      <c r="A24" s="2">
        <v>20</v>
      </c>
      <c r="B24" s="9">
        <v>6000</v>
      </c>
      <c r="E24" s="42">
        <v>0.01</v>
      </c>
      <c r="F24" s="42">
        <f t="shared" si="0"/>
        <v>349920</v>
      </c>
      <c r="G24" s="40">
        <f t="shared" si="1"/>
        <v>349920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D30" sqref="D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3" x14ac:dyDescent="0.15">
      <c r="A1" s="2" t="s">
        <v>4</v>
      </c>
      <c r="B1" s="8" t="s">
        <v>3</v>
      </c>
    </row>
    <row r="2" spans="1:3" x14ac:dyDescent="0.15">
      <c r="A2" s="2" t="s">
        <v>2</v>
      </c>
      <c r="B2" s="8" t="s">
        <v>2</v>
      </c>
    </row>
    <row r="3" spans="1:3" x14ac:dyDescent="0.15">
      <c r="A3" s="2" t="s">
        <v>1</v>
      </c>
      <c r="B3" s="8" t="s">
        <v>257</v>
      </c>
    </row>
    <row r="4" spans="1:3" s="3" customFormat="1" ht="17.25" thickBot="1" x14ac:dyDescent="0.2">
      <c r="A4" s="6" t="s">
        <v>0</v>
      </c>
      <c r="B4" s="10" t="s">
        <v>203</v>
      </c>
    </row>
    <row r="5" spans="1:3" s="5" customFormat="1" x14ac:dyDescent="0.15">
      <c r="A5" s="2">
        <v>1</v>
      </c>
      <c r="B5" s="9">
        <v>150</v>
      </c>
    </row>
    <row r="6" spans="1:3" s="5" customFormat="1" x14ac:dyDescent="0.15">
      <c r="A6" s="2">
        <v>2</v>
      </c>
      <c r="B6" s="9">
        <v>160</v>
      </c>
    </row>
    <row r="7" spans="1:3" s="5" customFormat="1" x14ac:dyDescent="0.15">
      <c r="A7" s="2">
        <v>3</v>
      </c>
      <c r="B7" s="9">
        <v>170</v>
      </c>
    </row>
    <row r="8" spans="1:3" s="5" customFormat="1" x14ac:dyDescent="0.15">
      <c r="A8" s="2">
        <v>4</v>
      </c>
      <c r="B8" s="9">
        <v>180</v>
      </c>
    </row>
    <row r="9" spans="1:3" s="5" customFormat="1" x14ac:dyDescent="0.15">
      <c r="A9" s="2">
        <v>5</v>
      </c>
      <c r="B9" s="9">
        <v>190</v>
      </c>
    </row>
    <row r="10" spans="1:3" x14ac:dyDescent="0.15">
      <c r="A10" s="2">
        <v>6</v>
      </c>
      <c r="B10" s="9">
        <v>200</v>
      </c>
      <c r="C10" s="5"/>
    </row>
    <row r="11" spans="1:3" x14ac:dyDescent="0.15">
      <c r="A11" s="2">
        <v>7</v>
      </c>
      <c r="B11" s="9">
        <v>210</v>
      </c>
      <c r="C11" s="5"/>
    </row>
    <row r="12" spans="1:3" x14ac:dyDescent="0.15">
      <c r="A12" s="2">
        <v>8</v>
      </c>
      <c r="B12" s="9">
        <v>220</v>
      </c>
      <c r="C12" s="5"/>
    </row>
    <row r="13" spans="1:3" x14ac:dyDescent="0.15">
      <c r="A13" s="2">
        <v>9</v>
      </c>
      <c r="B13" s="9">
        <v>230</v>
      </c>
      <c r="C13" s="5"/>
    </row>
    <row r="14" spans="1:3" x14ac:dyDescent="0.15">
      <c r="A14" s="2">
        <v>10</v>
      </c>
      <c r="B14" s="9">
        <v>240</v>
      </c>
      <c r="C14" s="5"/>
    </row>
    <row r="15" spans="1:3" x14ac:dyDescent="0.15">
      <c r="A15" s="2">
        <v>11</v>
      </c>
      <c r="B15" s="9">
        <v>250</v>
      </c>
      <c r="C15" s="5"/>
    </row>
    <row r="16" spans="1:3" x14ac:dyDescent="0.15">
      <c r="A16" s="2">
        <v>12</v>
      </c>
      <c r="B16" s="9">
        <v>260</v>
      </c>
      <c r="C16" s="5"/>
    </row>
    <row r="17" spans="1:3" x14ac:dyDescent="0.15">
      <c r="A17" s="2">
        <v>13</v>
      </c>
      <c r="B17" s="9">
        <v>270</v>
      </c>
      <c r="C17" s="5"/>
    </row>
    <row r="18" spans="1:3" x14ac:dyDescent="0.15">
      <c r="A18" s="2">
        <v>14</v>
      </c>
      <c r="B18" s="9">
        <v>280</v>
      </c>
      <c r="C18" s="5"/>
    </row>
    <row r="19" spans="1:3" x14ac:dyDescent="0.15">
      <c r="A19" s="2">
        <v>15</v>
      </c>
      <c r="B19" s="9">
        <v>290</v>
      </c>
      <c r="C19" s="5"/>
    </row>
    <row r="20" spans="1:3" x14ac:dyDescent="0.15">
      <c r="A20" s="2">
        <v>16</v>
      </c>
      <c r="B20" s="9">
        <v>300</v>
      </c>
      <c r="C20" s="5"/>
    </row>
    <row r="21" spans="1:3" x14ac:dyDescent="0.15">
      <c r="A21" s="2">
        <v>17</v>
      </c>
      <c r="B21" s="9">
        <v>310</v>
      </c>
      <c r="C21" s="5"/>
    </row>
    <row r="22" spans="1:3" x14ac:dyDescent="0.15">
      <c r="A22" s="2">
        <v>18</v>
      </c>
      <c r="B22" s="9">
        <v>320</v>
      </c>
      <c r="C22" s="5"/>
    </row>
    <row r="23" spans="1:3" x14ac:dyDescent="0.15">
      <c r="A23" s="2">
        <v>19</v>
      </c>
      <c r="B23" s="9">
        <v>330</v>
      </c>
      <c r="C23" s="5"/>
    </row>
    <row r="24" spans="1:3" x14ac:dyDescent="0.15">
      <c r="A24" s="2">
        <v>20</v>
      </c>
      <c r="B24" s="9">
        <v>340</v>
      </c>
      <c r="C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H12" sqref="H1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150</v>
      </c>
    </row>
    <row r="6" spans="1:2" s="5" customFormat="1" x14ac:dyDescent="0.15">
      <c r="A6" s="2">
        <v>2</v>
      </c>
      <c r="B6" s="9">
        <v>160</v>
      </c>
    </row>
    <row r="7" spans="1:2" s="5" customFormat="1" x14ac:dyDescent="0.15">
      <c r="A7" s="2">
        <v>3</v>
      </c>
      <c r="B7" s="9">
        <v>170</v>
      </c>
    </row>
    <row r="8" spans="1:2" s="5" customFormat="1" x14ac:dyDescent="0.15">
      <c r="A8" s="2">
        <v>4</v>
      </c>
      <c r="B8" s="9">
        <v>180</v>
      </c>
    </row>
    <row r="9" spans="1:2" s="5" customFormat="1" x14ac:dyDescent="0.15">
      <c r="A9" s="2">
        <v>5</v>
      </c>
      <c r="B9" s="9">
        <v>190</v>
      </c>
    </row>
    <row r="10" spans="1:2" x14ac:dyDescent="0.15">
      <c r="A10" s="2">
        <v>6</v>
      </c>
      <c r="B10" s="9">
        <v>200</v>
      </c>
    </row>
    <row r="11" spans="1:2" x14ac:dyDescent="0.15">
      <c r="A11" s="2">
        <v>7</v>
      </c>
      <c r="B11" s="9">
        <v>210</v>
      </c>
    </row>
    <row r="12" spans="1:2" x14ac:dyDescent="0.15">
      <c r="A12" s="2">
        <v>8</v>
      </c>
      <c r="B12" s="9">
        <v>220</v>
      </c>
    </row>
    <row r="13" spans="1:2" x14ac:dyDescent="0.15">
      <c r="A13" s="2">
        <v>9</v>
      </c>
      <c r="B13" s="9">
        <v>230</v>
      </c>
    </row>
    <row r="14" spans="1:2" x14ac:dyDescent="0.15">
      <c r="A14" s="2">
        <v>10</v>
      </c>
      <c r="B14" s="9">
        <v>240</v>
      </c>
    </row>
    <row r="15" spans="1:2" x14ac:dyDescent="0.15">
      <c r="A15" s="2">
        <v>11</v>
      </c>
      <c r="B15" s="9">
        <v>250</v>
      </c>
    </row>
    <row r="16" spans="1:2" x14ac:dyDescent="0.15">
      <c r="A16" s="2">
        <v>12</v>
      </c>
      <c r="B16" s="9">
        <v>260</v>
      </c>
    </row>
    <row r="17" spans="1:2" x14ac:dyDescent="0.15">
      <c r="A17" s="2">
        <v>13</v>
      </c>
      <c r="B17" s="9">
        <v>270</v>
      </c>
    </row>
    <row r="18" spans="1:2" x14ac:dyDescent="0.15">
      <c r="A18" s="2">
        <v>14</v>
      </c>
      <c r="B18" s="9">
        <v>280</v>
      </c>
    </row>
    <row r="19" spans="1:2" x14ac:dyDescent="0.15">
      <c r="A19" s="2">
        <v>15</v>
      </c>
      <c r="B19" s="9">
        <v>290</v>
      </c>
    </row>
    <row r="20" spans="1:2" x14ac:dyDescent="0.15">
      <c r="A20" s="2">
        <v>16</v>
      </c>
      <c r="B20" s="9">
        <v>300</v>
      </c>
    </row>
    <row r="21" spans="1:2" x14ac:dyDescent="0.15">
      <c r="A21" s="2">
        <v>17</v>
      </c>
      <c r="B21" s="9">
        <v>310</v>
      </c>
    </row>
    <row r="22" spans="1:2" x14ac:dyDescent="0.15">
      <c r="A22" s="2">
        <v>18</v>
      </c>
      <c r="B22" s="9">
        <v>320</v>
      </c>
    </row>
    <row r="23" spans="1:2" x14ac:dyDescent="0.15">
      <c r="A23" s="2">
        <v>19</v>
      </c>
      <c r="B23" s="9">
        <v>330</v>
      </c>
    </row>
    <row r="24" spans="1:2" x14ac:dyDescent="0.15">
      <c r="A24" s="2">
        <v>20</v>
      </c>
      <c r="B24" s="9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全部建筑-属性</vt:lpstr>
      <vt:lpstr>建筑消耗</vt:lpstr>
      <vt:lpstr>粗算 (5)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2018-09-20T14:30:25Z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