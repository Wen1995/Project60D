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 l="1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 l="1"/>
  <c r="AD6" i="9" l="1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" i="9"/>
  <c r="BO304" i="9" l="1"/>
  <c r="AQ304" i="9" s="1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 s="1"/>
  <c r="BM303" i="9"/>
  <c r="BH303" i="9"/>
  <c r="BC303" i="9"/>
  <c r="AX303" i="9"/>
  <c r="AO303" i="9"/>
  <c r="AM303" i="9"/>
  <c r="AK303" i="9"/>
  <c r="Y303" i="9"/>
  <c r="V303" i="9"/>
  <c r="F303" i="9"/>
  <c r="C303" i="9"/>
  <c r="A303" i="9" s="1"/>
  <c r="BO302" i="9"/>
  <c r="AQ302" i="9" s="1"/>
  <c r="BM302" i="9"/>
  <c r="BH302" i="9"/>
  <c r="BC302" i="9"/>
  <c r="AX302" i="9"/>
  <c r="AO302" i="9"/>
  <c r="AM302" i="9"/>
  <c r="AK302" i="9"/>
  <c r="Y302" i="9"/>
  <c r="V302" i="9"/>
  <c r="F302" i="9"/>
  <c r="C302" i="9"/>
  <c r="A302" i="9" s="1"/>
  <c r="BO301" i="9"/>
  <c r="BM301" i="9"/>
  <c r="BH301" i="9"/>
  <c r="BC301" i="9"/>
  <c r="AX301" i="9"/>
  <c r="AQ301" i="9"/>
  <c r="AO301" i="9"/>
  <c r="AM301" i="9"/>
  <c r="AK301" i="9"/>
  <c r="Y301" i="9"/>
  <c r="V301" i="9"/>
  <c r="F301" i="9"/>
  <c r="C301" i="9"/>
  <c r="A301" i="9"/>
  <c r="BO300" i="9"/>
  <c r="AQ300" i="9" s="1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 s="1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 s="1"/>
  <c r="BM298" i="9"/>
  <c r="BH298" i="9"/>
  <c r="BC298" i="9"/>
  <c r="AX298" i="9"/>
  <c r="AO298" i="9"/>
  <c r="AM298" i="9"/>
  <c r="AK298" i="9"/>
  <c r="Y298" i="9"/>
  <c r="V298" i="9"/>
  <c r="F298" i="9"/>
  <c r="C298" i="9"/>
  <c r="A298" i="9" s="1"/>
  <c r="BO297" i="9"/>
  <c r="AQ297" i="9" s="1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 s="1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 s="1"/>
  <c r="BM295" i="9"/>
  <c r="BH295" i="9"/>
  <c r="BC295" i="9"/>
  <c r="AX295" i="9"/>
  <c r="AO295" i="9"/>
  <c r="AM295" i="9"/>
  <c r="AK295" i="9"/>
  <c r="Y295" i="9"/>
  <c r="V295" i="9"/>
  <c r="F295" i="9"/>
  <c r="C295" i="9"/>
  <c r="A295" i="9" s="1"/>
  <c r="BO294" i="9"/>
  <c r="AQ294" i="9" s="1"/>
  <c r="BM294" i="9"/>
  <c r="BH294" i="9"/>
  <c r="BC294" i="9"/>
  <c r="AX294" i="9"/>
  <c r="AO294" i="9"/>
  <c r="AM294" i="9"/>
  <c r="AK294" i="9"/>
  <c r="Y294" i="9"/>
  <c r="V294" i="9"/>
  <c r="F294" i="9"/>
  <c r="C294" i="9"/>
  <c r="A294" i="9" s="1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 s="1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 s="1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 s="1"/>
  <c r="BM290" i="9"/>
  <c r="BH290" i="9"/>
  <c r="BC290" i="9"/>
  <c r="AX290" i="9"/>
  <c r="AO290" i="9"/>
  <c r="AM290" i="9"/>
  <c r="AK290" i="9"/>
  <c r="Y290" i="9"/>
  <c r="V290" i="9"/>
  <c r="F290" i="9"/>
  <c r="C290" i="9"/>
  <c r="A290" i="9" s="1"/>
  <c r="BO289" i="9"/>
  <c r="AQ289" i="9" s="1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 s="1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 s="1"/>
  <c r="BM287" i="9"/>
  <c r="BH287" i="9"/>
  <c r="BC287" i="9"/>
  <c r="AX287" i="9"/>
  <c r="AO287" i="9"/>
  <c r="AM287" i="9"/>
  <c r="AK287" i="9"/>
  <c r="Y287" i="9"/>
  <c r="V287" i="9"/>
  <c r="F287" i="9"/>
  <c r="A287" i="9" s="1"/>
  <c r="C287" i="9"/>
  <c r="BO286" i="9"/>
  <c r="AQ286" i="9" s="1"/>
  <c r="BM286" i="9"/>
  <c r="BH286" i="9"/>
  <c r="BC286" i="9"/>
  <c r="AX286" i="9"/>
  <c r="AO286" i="9"/>
  <c r="AM286" i="9"/>
  <c r="AK286" i="9"/>
  <c r="Y286" i="9"/>
  <c r="V286" i="9"/>
  <c r="F286" i="9"/>
  <c r="C286" i="9"/>
  <c r="A286" i="9" s="1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88" i="9" l="1"/>
  <c r="A296" i="9"/>
  <c r="A304" i="9"/>
  <c r="A291" i="9"/>
  <c r="A299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 l="1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 l="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 l="1"/>
  <c r="A13" i="53"/>
  <c r="A12" i="53"/>
  <c r="A11" i="53"/>
  <c r="A10" i="53"/>
  <c r="A9" i="53"/>
  <c r="A8" i="53"/>
  <c r="A7" i="53"/>
  <c r="A6" i="53"/>
  <c r="A5" i="53"/>
  <c r="BO224" i="9" l="1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 s="1"/>
  <c r="BM222" i="9"/>
  <c r="BH222" i="9"/>
  <c r="BC222" i="9"/>
  <c r="AO222" i="9"/>
  <c r="AM222" i="9"/>
  <c r="AK222" i="9"/>
  <c r="Y222" i="9"/>
  <c r="V222" i="9"/>
  <c r="F222" i="9"/>
  <c r="C222" i="9"/>
  <c r="BO221" i="9"/>
  <c r="AQ221" i="9" s="1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 s="1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 s="1"/>
  <c r="BM217" i="9"/>
  <c r="BH217" i="9"/>
  <c r="BC217" i="9"/>
  <c r="AO217" i="9"/>
  <c r="AM217" i="9"/>
  <c r="AK217" i="9"/>
  <c r="Y217" i="9"/>
  <c r="V217" i="9"/>
  <c r="F217" i="9"/>
  <c r="A217" i="9" s="1"/>
  <c r="C217" i="9"/>
  <c r="BO216" i="9"/>
  <c r="AQ216" i="9" s="1"/>
  <c r="BM216" i="9"/>
  <c r="BH216" i="9"/>
  <c r="BC216" i="9"/>
  <c r="AO216" i="9"/>
  <c r="AM216" i="9"/>
  <c r="AK216" i="9"/>
  <c r="Y216" i="9"/>
  <c r="V216" i="9"/>
  <c r="F216" i="9"/>
  <c r="C216" i="9"/>
  <c r="BO215" i="9"/>
  <c r="AQ215" i="9" s="1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 s="1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 s="1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 s="1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 s="1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 s="1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 s="1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 s="1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 s="1"/>
  <c r="BM205" i="9"/>
  <c r="BH205" i="9"/>
  <c r="AX205" i="9"/>
  <c r="AO205" i="9"/>
  <c r="AM205" i="9"/>
  <c r="AK205" i="9"/>
  <c r="Y205" i="9"/>
  <c r="V205" i="9"/>
  <c r="F205" i="9"/>
  <c r="C205" i="9"/>
  <c r="A215" i="9" l="1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64" i="9"/>
  <c r="V563" i="9"/>
  <c r="V562" i="9"/>
  <c r="V561" i="9"/>
  <c r="V560" i="9"/>
  <c r="V559" i="9"/>
  <c r="V558" i="9"/>
  <c r="V557" i="9"/>
  <c r="V556" i="9"/>
  <c r="V555" i="9"/>
  <c r="V554" i="9"/>
  <c r="V553" i="9"/>
  <c r="V552" i="9"/>
  <c r="V551" i="9"/>
  <c r="V550" i="9"/>
  <c r="V549" i="9"/>
  <c r="V548" i="9"/>
  <c r="V547" i="9"/>
  <c r="V546" i="9"/>
  <c r="V545" i="9"/>
  <c r="V544" i="9"/>
  <c r="V543" i="9"/>
  <c r="V542" i="9"/>
  <c r="V541" i="9"/>
  <c r="V540" i="9"/>
  <c r="V539" i="9"/>
  <c r="V538" i="9"/>
  <c r="V537" i="9"/>
  <c r="V536" i="9"/>
  <c r="V535" i="9"/>
  <c r="V534" i="9"/>
  <c r="V533" i="9"/>
  <c r="V532" i="9"/>
  <c r="V531" i="9"/>
  <c r="V530" i="9"/>
  <c r="V529" i="9"/>
  <c r="V528" i="9"/>
  <c r="V527" i="9"/>
  <c r="V526" i="9"/>
  <c r="V525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Y525" i="9"/>
  <c r="Y526" i="9"/>
  <c r="Y527" i="9"/>
  <c r="Y528" i="9"/>
  <c r="Y529" i="9"/>
  <c r="Y530" i="9"/>
  <c r="Y531" i="9"/>
  <c r="Y532" i="9"/>
  <c r="Y533" i="9"/>
  <c r="Y534" i="9"/>
  <c r="Y535" i="9"/>
  <c r="Y536" i="9"/>
  <c r="Y537" i="9"/>
  <c r="Y538" i="9"/>
  <c r="Y539" i="9"/>
  <c r="Y540" i="9"/>
  <c r="Y541" i="9"/>
  <c r="Y542" i="9"/>
  <c r="Y543" i="9"/>
  <c r="Y544" i="9"/>
  <c r="Y545" i="9"/>
  <c r="Y546" i="9"/>
  <c r="Y547" i="9"/>
  <c r="Y548" i="9"/>
  <c r="Y549" i="9"/>
  <c r="Y550" i="9"/>
  <c r="Y551" i="9"/>
  <c r="Y552" i="9"/>
  <c r="Y553" i="9"/>
  <c r="Y554" i="9"/>
  <c r="Y555" i="9"/>
  <c r="Y556" i="9"/>
  <c r="Y557" i="9"/>
  <c r="Y558" i="9"/>
  <c r="Y559" i="9"/>
  <c r="Y560" i="9"/>
  <c r="Y561" i="9"/>
  <c r="Y562" i="9"/>
  <c r="Y563" i="9"/>
  <c r="Y564" i="9"/>
  <c r="BO204" i="9" l="1"/>
  <c r="AQ204" i="9" s="1"/>
  <c r="BM204" i="9"/>
  <c r="BH204" i="9"/>
  <c r="BC204" i="9"/>
  <c r="AO204" i="9"/>
  <c r="AM204" i="9"/>
  <c r="AK204" i="9"/>
  <c r="F204" i="9"/>
  <c r="C204" i="9"/>
  <c r="BO203" i="9"/>
  <c r="AQ203" i="9" s="1"/>
  <c r="BM203" i="9"/>
  <c r="BH203" i="9"/>
  <c r="BC203" i="9"/>
  <c r="AO203" i="9"/>
  <c r="AM203" i="9"/>
  <c r="AK203" i="9"/>
  <c r="F203" i="9"/>
  <c r="C203" i="9"/>
  <c r="BO202" i="9"/>
  <c r="AQ202" i="9" s="1"/>
  <c r="BM202" i="9"/>
  <c r="BH202" i="9"/>
  <c r="BC202" i="9"/>
  <c r="AO202" i="9"/>
  <c r="AM202" i="9"/>
  <c r="AK202" i="9"/>
  <c r="F202" i="9"/>
  <c r="C202" i="9"/>
  <c r="BO201" i="9"/>
  <c r="AQ201" i="9" s="1"/>
  <c r="BM201" i="9"/>
  <c r="BH201" i="9"/>
  <c r="BC201" i="9"/>
  <c r="AO201" i="9"/>
  <c r="AM201" i="9"/>
  <c r="AK201" i="9"/>
  <c r="F201" i="9"/>
  <c r="C201" i="9"/>
  <c r="BO200" i="9"/>
  <c r="AQ200" i="9" s="1"/>
  <c r="BM200" i="9"/>
  <c r="BH200" i="9"/>
  <c r="BC200" i="9"/>
  <c r="AO200" i="9"/>
  <c r="AM200" i="9"/>
  <c r="AK200" i="9"/>
  <c r="F200" i="9"/>
  <c r="C200" i="9"/>
  <c r="BO199" i="9"/>
  <c r="AQ199" i="9" s="1"/>
  <c r="BM199" i="9"/>
  <c r="BH199" i="9"/>
  <c r="BC199" i="9"/>
  <c r="AO199" i="9"/>
  <c r="AM199" i="9"/>
  <c r="AK199" i="9"/>
  <c r="F199" i="9"/>
  <c r="C199" i="9"/>
  <c r="BO198" i="9"/>
  <c r="AQ198" i="9" s="1"/>
  <c r="BM198" i="9"/>
  <c r="BH198" i="9"/>
  <c r="BC198" i="9"/>
  <c r="AO198" i="9"/>
  <c r="AM198" i="9"/>
  <c r="AK198" i="9"/>
  <c r="F198" i="9"/>
  <c r="C198" i="9"/>
  <c r="BO197" i="9"/>
  <c r="AQ197" i="9" s="1"/>
  <c r="BM197" i="9"/>
  <c r="BH197" i="9"/>
  <c r="BC197" i="9"/>
  <c r="AO197" i="9"/>
  <c r="AM197" i="9"/>
  <c r="AK197" i="9"/>
  <c r="F197" i="9"/>
  <c r="C197" i="9"/>
  <c r="BO196" i="9"/>
  <c r="AQ196" i="9" s="1"/>
  <c r="BM196" i="9"/>
  <c r="BH196" i="9"/>
  <c r="BC196" i="9"/>
  <c r="AO196" i="9"/>
  <c r="AM196" i="9"/>
  <c r="AK196" i="9"/>
  <c r="F196" i="9"/>
  <c r="C196" i="9"/>
  <c r="BO195" i="9"/>
  <c r="AQ195" i="9" s="1"/>
  <c r="BM195" i="9"/>
  <c r="BH195" i="9"/>
  <c r="BC195" i="9"/>
  <c r="AX195" i="9"/>
  <c r="AO195" i="9"/>
  <c r="AM195" i="9"/>
  <c r="AK195" i="9"/>
  <c r="F195" i="9"/>
  <c r="C195" i="9"/>
  <c r="BO194" i="9"/>
  <c r="AQ194" i="9" s="1"/>
  <c r="BM194" i="9"/>
  <c r="BC194" i="9"/>
  <c r="AX194" i="9"/>
  <c r="AO194" i="9"/>
  <c r="AM194" i="9"/>
  <c r="AK194" i="9"/>
  <c r="F194" i="9"/>
  <c r="C194" i="9"/>
  <c r="BO193" i="9"/>
  <c r="AQ193" i="9" s="1"/>
  <c r="BM193" i="9"/>
  <c r="BH193" i="9"/>
  <c r="BC193" i="9"/>
  <c r="AX193" i="9"/>
  <c r="AO193" i="9"/>
  <c r="AM193" i="9"/>
  <c r="AK193" i="9"/>
  <c r="F193" i="9"/>
  <c r="C193" i="9"/>
  <c r="BO192" i="9"/>
  <c r="AQ192" i="9" s="1"/>
  <c r="BM192" i="9"/>
  <c r="BH192" i="9"/>
  <c r="BC192" i="9"/>
  <c r="AX192" i="9"/>
  <c r="AO192" i="9"/>
  <c r="AM192" i="9"/>
  <c r="AK192" i="9"/>
  <c r="F192" i="9"/>
  <c r="C192" i="9"/>
  <c r="BO191" i="9"/>
  <c r="AQ191" i="9" s="1"/>
  <c r="BM191" i="9"/>
  <c r="BH191" i="9"/>
  <c r="BC191" i="9"/>
  <c r="AX191" i="9"/>
  <c r="AO191" i="9"/>
  <c r="AM191" i="9"/>
  <c r="AK191" i="9"/>
  <c r="F191" i="9"/>
  <c r="C191" i="9"/>
  <c r="BO190" i="9"/>
  <c r="AQ190" i="9" s="1"/>
  <c r="BM190" i="9"/>
  <c r="BH190" i="9"/>
  <c r="BC190" i="9"/>
  <c r="AX190" i="9"/>
  <c r="AO190" i="9"/>
  <c r="AM190" i="9"/>
  <c r="AK190" i="9"/>
  <c r="F190" i="9"/>
  <c r="C190" i="9"/>
  <c r="BO189" i="9"/>
  <c r="AQ189" i="9" s="1"/>
  <c r="BM189" i="9"/>
  <c r="BH189" i="9"/>
  <c r="BC189" i="9"/>
  <c r="AX189" i="9"/>
  <c r="AO189" i="9"/>
  <c r="AM189" i="9"/>
  <c r="AK189" i="9"/>
  <c r="F189" i="9"/>
  <c r="C189" i="9"/>
  <c r="BO188" i="9"/>
  <c r="AQ188" i="9" s="1"/>
  <c r="BM188" i="9"/>
  <c r="BH188" i="9"/>
  <c r="BC188" i="9"/>
  <c r="AX188" i="9"/>
  <c r="AO188" i="9"/>
  <c r="AM188" i="9"/>
  <c r="AK188" i="9"/>
  <c r="F188" i="9"/>
  <c r="C188" i="9"/>
  <c r="BO187" i="9"/>
  <c r="AQ187" i="9" s="1"/>
  <c r="BM187" i="9"/>
  <c r="BH187" i="9"/>
  <c r="BC187" i="9"/>
  <c r="AX187" i="9"/>
  <c r="AO187" i="9"/>
  <c r="AM187" i="9"/>
  <c r="AK187" i="9"/>
  <c r="F187" i="9"/>
  <c r="C187" i="9"/>
  <c r="BO186" i="9"/>
  <c r="AQ186" i="9" s="1"/>
  <c r="BM186" i="9"/>
  <c r="BH186" i="9"/>
  <c r="BC186" i="9"/>
  <c r="AX186" i="9"/>
  <c r="AO186" i="9"/>
  <c r="AM186" i="9"/>
  <c r="AK186" i="9"/>
  <c r="F186" i="9"/>
  <c r="C186" i="9"/>
  <c r="BO185" i="9"/>
  <c r="AQ185" i="9" s="1"/>
  <c r="BM185" i="9"/>
  <c r="BH185" i="9"/>
  <c r="AX185" i="9"/>
  <c r="AO185" i="9"/>
  <c r="AM185" i="9"/>
  <c r="AK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3" i="30"/>
  <c r="F54" i="30"/>
  <c r="F55" i="30"/>
  <c r="F56" i="30"/>
  <c r="F57" i="30"/>
  <c r="F58" i="30"/>
  <c r="F59" i="30"/>
  <c r="AQ305" i="9" l="1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525" i="9"/>
  <c r="BM526" i="9"/>
  <c r="BM527" i="9"/>
  <c r="BM528" i="9"/>
  <c r="BM529" i="9"/>
  <c r="BM530" i="9"/>
  <c r="BM531" i="9"/>
  <c r="BM532" i="9"/>
  <c r="BM533" i="9"/>
  <c r="BM534" i="9"/>
  <c r="BM535" i="9"/>
  <c r="BM536" i="9"/>
  <c r="BM537" i="9"/>
  <c r="BM538" i="9"/>
  <c r="BM539" i="9"/>
  <c r="BM540" i="9"/>
  <c r="BM541" i="9"/>
  <c r="BM542" i="9"/>
  <c r="BM543" i="9"/>
  <c r="BM544" i="9"/>
  <c r="BM545" i="9"/>
  <c r="BM546" i="9"/>
  <c r="BM547" i="9"/>
  <c r="BM548" i="9"/>
  <c r="BM549" i="9"/>
  <c r="BM550" i="9"/>
  <c r="BM551" i="9"/>
  <c r="BM552" i="9"/>
  <c r="BM553" i="9"/>
  <c r="BM554" i="9"/>
  <c r="BM555" i="9"/>
  <c r="BM556" i="9"/>
  <c r="BM557" i="9"/>
  <c r="BM558" i="9"/>
  <c r="BM559" i="9"/>
  <c r="BM560" i="9"/>
  <c r="BM561" i="9"/>
  <c r="BM562" i="9"/>
  <c r="BM563" i="9"/>
  <c r="BM56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 s="1"/>
  <c r="BH75" i="9" s="1"/>
  <c r="F22" i="30"/>
  <c r="A22" i="30" s="1"/>
  <c r="BH96" i="9" s="1"/>
  <c r="F23" i="30"/>
  <c r="A23" i="30" s="1"/>
  <c r="BH214" i="9" s="1"/>
  <c r="F24" i="30"/>
  <c r="A24" i="30" s="1"/>
  <c r="F25" i="30"/>
  <c r="A25" i="30" s="1"/>
  <c r="BH352" i="9" s="1"/>
  <c r="A26" i="30"/>
  <c r="BH371" i="9" s="1"/>
  <c r="A27" i="30"/>
  <c r="BH435" i="9" s="1"/>
  <c r="A28" i="30"/>
  <c r="BH457" i="9" s="1"/>
  <c r="A34" i="30"/>
  <c r="F20" i="30"/>
  <c r="A20" i="30" s="1"/>
  <c r="BH14" i="9" s="1"/>
  <c r="A29" i="30"/>
  <c r="BH476" i="9" s="1"/>
  <c r="A30" i="30"/>
  <c r="BH494" i="9" s="1"/>
  <c r="A32" i="30"/>
  <c r="BH556" i="9" s="1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6" i="9"/>
  <c r="BH527" i="9"/>
  <c r="BH528" i="9"/>
  <c r="BH529" i="9"/>
  <c r="BH530" i="9"/>
  <c r="BH531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6" i="9"/>
  <c r="BH547" i="9"/>
  <c r="BH548" i="9"/>
  <c r="BH549" i="9"/>
  <c r="BH550" i="9"/>
  <c r="BH551" i="9"/>
  <c r="BH552" i="9"/>
  <c r="BH553" i="9"/>
  <c r="BH554" i="9"/>
  <c r="BH555" i="9"/>
  <c r="BH557" i="9"/>
  <c r="BH558" i="9"/>
  <c r="BH559" i="9"/>
  <c r="BH560" i="9"/>
  <c r="BH561" i="9"/>
  <c r="BH562" i="9"/>
  <c r="BH563" i="9"/>
  <c r="BH56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526" i="9"/>
  <c r="BC527" i="9"/>
  <c r="BC528" i="9"/>
  <c r="BC529" i="9"/>
  <c r="BC530" i="9"/>
  <c r="BC531" i="9"/>
  <c r="BC532" i="9"/>
  <c r="BC533" i="9"/>
  <c r="BC534" i="9"/>
  <c r="BC535" i="9"/>
  <c r="BC536" i="9"/>
  <c r="BC537" i="9"/>
  <c r="BC538" i="9"/>
  <c r="BC539" i="9"/>
  <c r="BC540" i="9"/>
  <c r="BC541" i="9"/>
  <c r="BC542" i="9"/>
  <c r="BC543" i="9"/>
  <c r="BC544" i="9"/>
  <c r="BC546" i="9"/>
  <c r="BC547" i="9"/>
  <c r="BC548" i="9"/>
  <c r="BC549" i="9"/>
  <c r="BC550" i="9"/>
  <c r="BC551" i="9"/>
  <c r="BC552" i="9"/>
  <c r="BC553" i="9"/>
  <c r="BC554" i="9"/>
  <c r="BC555" i="9"/>
  <c r="BC556" i="9"/>
  <c r="BC557" i="9"/>
  <c r="BC558" i="9"/>
  <c r="BC559" i="9"/>
  <c r="BC560" i="9"/>
  <c r="BC561" i="9"/>
  <c r="BC562" i="9"/>
  <c r="BC563" i="9"/>
  <c r="BC56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 s="1"/>
  <c r="AX10" i="9" s="1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AX525" i="9"/>
  <c r="AX526" i="9"/>
  <c r="AX527" i="9"/>
  <c r="AX528" i="9"/>
  <c r="AX529" i="9"/>
  <c r="AX530" i="9"/>
  <c r="AX531" i="9"/>
  <c r="AX532" i="9"/>
  <c r="AX533" i="9"/>
  <c r="AX534" i="9"/>
  <c r="AX535" i="9"/>
  <c r="AX536" i="9"/>
  <c r="AX537" i="9"/>
  <c r="AX538" i="9"/>
  <c r="AX539" i="9"/>
  <c r="AX540" i="9"/>
  <c r="AX541" i="9"/>
  <c r="AX542" i="9"/>
  <c r="AX543" i="9"/>
  <c r="AX544" i="9"/>
  <c r="AX545" i="9"/>
  <c r="AX546" i="9"/>
  <c r="AX547" i="9"/>
  <c r="AX548" i="9"/>
  <c r="AX549" i="9"/>
  <c r="AX550" i="9"/>
  <c r="AX551" i="9"/>
  <c r="AX552" i="9"/>
  <c r="AX553" i="9"/>
  <c r="AX554" i="9"/>
  <c r="AX555" i="9"/>
  <c r="AX556" i="9"/>
  <c r="AX557" i="9"/>
  <c r="AX558" i="9"/>
  <c r="AX559" i="9"/>
  <c r="AX560" i="9"/>
  <c r="AX561" i="9"/>
  <c r="AX562" i="9"/>
  <c r="AX563" i="9"/>
  <c r="AX56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 s="1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 s="1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 s="1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 s="1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 s="1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 s="1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 s="1"/>
  <c r="AO66" i="9"/>
  <c r="AM66" i="9"/>
  <c r="AK66" i="9"/>
  <c r="F66" i="9"/>
  <c r="C66" i="9"/>
  <c r="BO65" i="9"/>
  <c r="AQ65" i="9" s="1"/>
  <c r="AO65" i="9"/>
  <c r="AM65" i="9"/>
  <c r="AK65" i="9"/>
  <c r="F65" i="9"/>
  <c r="C65" i="9"/>
  <c r="AO564" i="9"/>
  <c r="AO563" i="9"/>
  <c r="AO562" i="9"/>
  <c r="AO561" i="9"/>
  <c r="AO560" i="9"/>
  <c r="AO559" i="9"/>
  <c r="AO558" i="9"/>
  <c r="AO557" i="9"/>
  <c r="AO556" i="9"/>
  <c r="AO555" i="9"/>
  <c r="AO554" i="9"/>
  <c r="AO553" i="9"/>
  <c r="AO552" i="9"/>
  <c r="AO551" i="9"/>
  <c r="AO550" i="9"/>
  <c r="AO549" i="9"/>
  <c r="AO548" i="9"/>
  <c r="AO547" i="9"/>
  <c r="AO546" i="9"/>
  <c r="AO545" i="9"/>
  <c r="AO544" i="9"/>
  <c r="AO543" i="9"/>
  <c r="AO542" i="9"/>
  <c r="AO541" i="9"/>
  <c r="AO540" i="9"/>
  <c r="AO539" i="9"/>
  <c r="AO538" i="9"/>
  <c r="AO537" i="9"/>
  <c r="AO536" i="9"/>
  <c r="AO535" i="9"/>
  <c r="AO534" i="9"/>
  <c r="AO533" i="9"/>
  <c r="AO532" i="9"/>
  <c r="AO531" i="9"/>
  <c r="AO530" i="9"/>
  <c r="AO529" i="9"/>
  <c r="AO528" i="9"/>
  <c r="AO527" i="9"/>
  <c r="AO526" i="9"/>
  <c r="AO52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525" i="9"/>
  <c r="AM526" i="9"/>
  <c r="AM527" i="9"/>
  <c r="AM528" i="9"/>
  <c r="AM529" i="9"/>
  <c r="AM530" i="9"/>
  <c r="AM531" i="9"/>
  <c r="AM532" i="9"/>
  <c r="AM533" i="9"/>
  <c r="AM534" i="9"/>
  <c r="AM535" i="9"/>
  <c r="AM536" i="9"/>
  <c r="AM537" i="9"/>
  <c r="AM538" i="9"/>
  <c r="AM539" i="9"/>
  <c r="AM540" i="9"/>
  <c r="AM541" i="9"/>
  <c r="AM542" i="9"/>
  <c r="AM543" i="9"/>
  <c r="AM544" i="9"/>
  <c r="AM545" i="9"/>
  <c r="AM546" i="9"/>
  <c r="AM547" i="9"/>
  <c r="AM548" i="9"/>
  <c r="AM549" i="9"/>
  <c r="AM550" i="9"/>
  <c r="AM551" i="9"/>
  <c r="AM552" i="9"/>
  <c r="AM553" i="9"/>
  <c r="AM554" i="9"/>
  <c r="AM555" i="9"/>
  <c r="AM556" i="9"/>
  <c r="AM557" i="9"/>
  <c r="AM558" i="9"/>
  <c r="AM559" i="9"/>
  <c r="AM560" i="9"/>
  <c r="AM561" i="9"/>
  <c r="AM562" i="9"/>
  <c r="AM563" i="9"/>
  <c r="AM56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 l="1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532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 s="1"/>
  <c r="F11" i="30"/>
  <c r="A11" i="30" s="1"/>
  <c r="AX438" i="9" s="1"/>
  <c r="F12" i="30"/>
  <c r="A12" i="30" s="1"/>
  <c r="F13" i="30"/>
  <c r="A13" i="30" s="1"/>
  <c r="F14" i="30"/>
  <c r="A14" i="30" s="1"/>
  <c r="F16" i="30"/>
  <c r="A16" i="30" s="1"/>
  <c r="BC285" i="9" s="1"/>
  <c r="F17" i="30"/>
  <c r="A17" i="30" s="1"/>
  <c r="F18" i="30"/>
  <c r="A18" i="30" s="1"/>
  <c r="F19" i="30"/>
  <c r="A19" i="30" s="1"/>
  <c r="BH545" i="9" s="1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64" i="9"/>
  <c r="AK563" i="9"/>
  <c r="AK562" i="9"/>
  <c r="AK561" i="9"/>
  <c r="AK560" i="9"/>
  <c r="AK559" i="9"/>
  <c r="AK558" i="9"/>
  <c r="AK557" i="9"/>
  <c r="AK556" i="9"/>
  <c r="AK555" i="9"/>
  <c r="AK554" i="9"/>
  <c r="AK553" i="9"/>
  <c r="AK552" i="9"/>
  <c r="AK551" i="9"/>
  <c r="AK550" i="9"/>
  <c r="AK549" i="9"/>
  <c r="AK548" i="9"/>
  <c r="AK547" i="9"/>
  <c r="AK546" i="9"/>
  <c r="AK545" i="9"/>
  <c r="AK544" i="9"/>
  <c r="AK543" i="9"/>
  <c r="AK542" i="9"/>
  <c r="AK541" i="9"/>
  <c r="AK540" i="9"/>
  <c r="AK539" i="9"/>
  <c r="AK538" i="9"/>
  <c r="AK537" i="9"/>
  <c r="AK536" i="9"/>
  <c r="AK535" i="9"/>
  <c r="AK534" i="9"/>
  <c r="AK533" i="9"/>
  <c r="AK532" i="9"/>
  <c r="AK531" i="9"/>
  <c r="AK530" i="9"/>
  <c r="AK529" i="9"/>
  <c r="AK528" i="9"/>
  <c r="AK527" i="9"/>
  <c r="AK526" i="9"/>
  <c r="AK525" i="9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 l="1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2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BC54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X274" i="9"/>
  <c r="AX228" i="9"/>
  <c r="AX268" i="9"/>
  <c r="AX237" i="9"/>
  <c r="AX269" i="9"/>
  <c r="AX118" i="9"/>
  <c r="AX238" i="9"/>
  <c r="AX270" i="9"/>
  <c r="BH505" i="9"/>
  <c r="BH485" i="9"/>
  <c r="BH52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527" i="9"/>
  <c r="AS535" i="9"/>
  <c r="AS543" i="9"/>
  <c r="AS551" i="9"/>
  <c r="AS559" i="9"/>
  <c r="AS178" i="9"/>
  <c r="AS242" i="9"/>
  <c r="AS266" i="9"/>
  <c r="AS310" i="9"/>
  <c r="AS334" i="9"/>
  <c r="AS474" i="9"/>
  <c r="AS498" i="9"/>
  <c r="AS522" i="9"/>
  <c r="AS546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528" i="9"/>
  <c r="AS536" i="9"/>
  <c r="AS544" i="9"/>
  <c r="AS552" i="9"/>
  <c r="AS560" i="9"/>
  <c r="AS234" i="9"/>
  <c r="AS258" i="9"/>
  <c r="AS282" i="9"/>
  <c r="AS326" i="9"/>
  <c r="AS466" i="9"/>
  <c r="AS482" i="9"/>
  <c r="AS506" i="9"/>
  <c r="AS530" i="9"/>
  <c r="AS554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529" i="9"/>
  <c r="AS537" i="9"/>
  <c r="AS545" i="9"/>
  <c r="AS553" i="9"/>
  <c r="AS561" i="9"/>
  <c r="AS162" i="9"/>
  <c r="AS226" i="9"/>
  <c r="AS250" i="9"/>
  <c r="AS274" i="9"/>
  <c r="AS318" i="9"/>
  <c r="AS342" i="9"/>
  <c r="AS490" i="9"/>
  <c r="AS514" i="9"/>
  <c r="AS538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531" i="9"/>
  <c r="AS539" i="9"/>
  <c r="AS547" i="9"/>
  <c r="AS555" i="9"/>
  <c r="AS563" i="9"/>
  <c r="AS230" i="9"/>
  <c r="AS253" i="9"/>
  <c r="AS276" i="9"/>
  <c r="AS314" i="9"/>
  <c r="AS337" i="9"/>
  <c r="AS485" i="9"/>
  <c r="AS508" i="9"/>
  <c r="AS526" i="9"/>
  <c r="AS549" i="9"/>
  <c r="AS238" i="9"/>
  <c r="AS322" i="9"/>
  <c r="AS534" i="9"/>
  <c r="AS158" i="9"/>
  <c r="AS262" i="9"/>
  <c r="AS517" i="9"/>
  <c r="AS525" i="9"/>
  <c r="AS236" i="9"/>
  <c r="AS254" i="9"/>
  <c r="AS277" i="9"/>
  <c r="AS320" i="9"/>
  <c r="AS338" i="9"/>
  <c r="AS468" i="9"/>
  <c r="AS486" i="9"/>
  <c r="AS509" i="9"/>
  <c r="AS532" i="9"/>
  <c r="AS550" i="9"/>
  <c r="AS180" i="9"/>
  <c r="AS284" i="9"/>
  <c r="AS493" i="9"/>
  <c r="AS557" i="9"/>
  <c r="AS181" i="9"/>
  <c r="AS305" i="9"/>
  <c r="AS494" i="9"/>
  <c r="AS558" i="9"/>
  <c r="AS336" i="9"/>
  <c r="AS502" i="9"/>
  <c r="AS156" i="9"/>
  <c r="AS237" i="9"/>
  <c r="AS260" i="9"/>
  <c r="AS278" i="9"/>
  <c r="AS321" i="9"/>
  <c r="AS344" i="9"/>
  <c r="AS469" i="9"/>
  <c r="AS492" i="9"/>
  <c r="AS510" i="9"/>
  <c r="AS533" i="9"/>
  <c r="AS556" i="9"/>
  <c r="AS157" i="9"/>
  <c r="AS261" i="9"/>
  <c r="AS470" i="9"/>
  <c r="AS516" i="9"/>
  <c r="AS244" i="9"/>
  <c r="AS328" i="9"/>
  <c r="AS476" i="9"/>
  <c r="AS540" i="9"/>
  <c r="AS484" i="9"/>
  <c r="AS164" i="9"/>
  <c r="AS182" i="9"/>
  <c r="AS245" i="9"/>
  <c r="AS268" i="9"/>
  <c r="AS306" i="9"/>
  <c r="AS329" i="9"/>
  <c r="AS477" i="9"/>
  <c r="AS500" i="9"/>
  <c r="AS518" i="9"/>
  <c r="AS541" i="9"/>
  <c r="AS562" i="9"/>
  <c r="AS228" i="9"/>
  <c r="AS246" i="9"/>
  <c r="AS269" i="9"/>
  <c r="AS312" i="9"/>
  <c r="AS330" i="9"/>
  <c r="AS478" i="9"/>
  <c r="AS501" i="9"/>
  <c r="AS524" i="9"/>
  <c r="AS542" i="9"/>
  <c r="AS564" i="9"/>
  <c r="AS229" i="9"/>
  <c r="AS252" i="9"/>
  <c r="AS270" i="9"/>
  <c r="AS313" i="9"/>
  <c r="AS548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 l="1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557" i="9"/>
  <c r="A337" i="9"/>
  <c r="A510" i="9"/>
  <c r="A533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550" i="9"/>
  <c r="A486" i="9"/>
  <c r="A402" i="9"/>
  <c r="A378" i="9"/>
  <c r="A362" i="9"/>
  <c r="A316" i="9"/>
  <c r="A549" i="9"/>
  <c r="A541" i="9"/>
  <c r="A525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551" i="9"/>
  <c r="A527" i="9"/>
  <c r="A487" i="9"/>
  <c r="A355" i="9"/>
  <c r="A422" i="9"/>
  <c r="A544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58" i="9"/>
  <c r="A542" i="9"/>
  <c r="A534" i="9"/>
  <c r="A526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60" i="9"/>
  <c r="A536" i="9"/>
  <c r="A512" i="9"/>
  <c r="A488" i="9"/>
  <c r="A456" i="9"/>
  <c r="A424" i="9"/>
  <c r="A408" i="9"/>
  <c r="A396" i="9"/>
  <c r="A372" i="9"/>
  <c r="A348" i="9"/>
  <c r="A543" i="9"/>
  <c r="A503" i="9"/>
  <c r="A479" i="9"/>
  <c r="A439" i="9"/>
  <c r="A415" i="9"/>
  <c r="A395" i="9"/>
  <c r="A363" i="9"/>
  <c r="A331" i="9"/>
  <c r="A552" i="9"/>
  <c r="A528" i="9"/>
  <c r="A504" i="9"/>
  <c r="A472" i="9"/>
  <c r="A448" i="9"/>
  <c r="A432" i="9"/>
  <c r="A388" i="9"/>
  <c r="A356" i="9"/>
  <c r="A332" i="9"/>
  <c r="A559" i="9"/>
  <c r="A535" i="9"/>
  <c r="A511" i="9"/>
  <c r="A455" i="9"/>
  <c r="A431" i="9"/>
  <c r="A387" i="9"/>
  <c r="A371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55" i="9"/>
  <c r="A531" i="9"/>
  <c r="A507" i="9"/>
  <c r="A483" i="9"/>
  <c r="A443" i="9"/>
  <c r="A419" i="9"/>
  <c r="A399" i="9"/>
  <c r="A375" i="9"/>
  <c r="A351" i="9"/>
  <c r="A327" i="9"/>
  <c r="A546" i="9"/>
  <c r="A522" i="9"/>
  <c r="A498" i="9"/>
  <c r="A474" i="9"/>
  <c r="A450" i="9"/>
  <c r="A426" i="9"/>
  <c r="A382" i="9"/>
  <c r="A350" i="9"/>
  <c r="A334" i="9"/>
  <c r="A563" i="9"/>
  <c r="A547" i="9"/>
  <c r="A523" i="9"/>
  <c r="A491" i="9"/>
  <c r="A475" i="9"/>
  <c r="A459" i="9"/>
  <c r="A427" i="9"/>
  <c r="A391" i="9"/>
  <c r="A367" i="9"/>
  <c r="A343" i="9"/>
  <c r="A562" i="9"/>
  <c r="A530" i="9"/>
  <c r="A514" i="9"/>
  <c r="A490" i="9"/>
  <c r="A466" i="9"/>
  <c r="A442" i="9"/>
  <c r="A418" i="9"/>
  <c r="A390" i="9"/>
  <c r="A366" i="9"/>
  <c r="A358" i="9"/>
  <c r="A326" i="9"/>
  <c r="A310" i="9"/>
  <c r="A539" i="9"/>
  <c r="A515" i="9"/>
  <c r="A499" i="9"/>
  <c r="A467" i="9"/>
  <c r="A451" i="9"/>
  <c r="A435" i="9"/>
  <c r="A411" i="9"/>
  <c r="A383" i="9"/>
  <c r="A359" i="9"/>
  <c r="A335" i="9"/>
  <c r="A554" i="9"/>
  <c r="A538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 l="1"/>
  <c r="AQ24" i="9"/>
  <c r="AQ22" i="9"/>
  <c r="AQ21" i="9"/>
  <c r="A22" i="9"/>
  <c r="A21" i="9"/>
  <c r="A23" i="9"/>
  <c r="A24" i="9"/>
  <c r="A9" i="30" l="1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H108" i="9" s="1"/>
  <c r="AG108" i="9" s="1"/>
  <c r="AK108" i="9"/>
  <c r="F108" i="9"/>
  <c r="C108" i="9"/>
  <c r="BO107" i="9"/>
  <c r="AK107" i="9"/>
  <c r="F107" i="9"/>
  <c r="C107" i="9"/>
  <c r="BO106" i="9"/>
  <c r="AH106" i="9" s="1"/>
  <c r="AG106" i="9" s="1"/>
  <c r="AK106" i="9"/>
  <c r="F106" i="9"/>
  <c r="C106" i="9"/>
  <c r="BO105" i="9"/>
  <c r="AK105" i="9"/>
  <c r="F105" i="9"/>
  <c r="C105" i="9"/>
  <c r="BO104" i="9"/>
  <c r="AH104" i="9" s="1"/>
  <c r="AG104" i="9" s="1"/>
  <c r="AK104" i="9"/>
  <c r="F104" i="9"/>
  <c r="C104" i="9"/>
  <c r="BO103" i="9"/>
  <c r="AK103" i="9"/>
  <c r="F103" i="9"/>
  <c r="C103" i="9"/>
  <c r="BO102" i="9"/>
  <c r="AH102" i="9" s="1"/>
  <c r="AG102" i="9" s="1"/>
  <c r="AK102" i="9"/>
  <c r="F102" i="9"/>
  <c r="C102" i="9"/>
  <c r="BO101" i="9"/>
  <c r="AK101" i="9"/>
  <c r="F101" i="9"/>
  <c r="C101" i="9"/>
  <c r="BO100" i="9"/>
  <c r="AH100" i="9" s="1"/>
  <c r="AG100" i="9" s="1"/>
  <c r="AK100" i="9"/>
  <c r="F100" i="9"/>
  <c r="C100" i="9"/>
  <c r="BO99" i="9"/>
  <c r="AK99" i="9"/>
  <c r="F99" i="9"/>
  <c r="C99" i="9"/>
  <c r="BO98" i="9"/>
  <c r="AH98" i="9" s="1"/>
  <c r="AG98" i="9" s="1"/>
  <c r="AK98" i="9"/>
  <c r="F98" i="9"/>
  <c r="C98" i="9"/>
  <c r="BO97" i="9"/>
  <c r="AK97" i="9"/>
  <c r="F97" i="9"/>
  <c r="C97" i="9"/>
  <c r="BO96" i="9"/>
  <c r="AH96" i="9" s="1"/>
  <c r="AG96" i="9" s="1"/>
  <c r="AK96" i="9"/>
  <c r="F96" i="9"/>
  <c r="C96" i="9"/>
  <c r="BO95" i="9"/>
  <c r="AK95" i="9"/>
  <c r="F95" i="9"/>
  <c r="C95" i="9"/>
  <c r="BO94" i="9"/>
  <c r="AH94" i="9" s="1"/>
  <c r="AG94" i="9" s="1"/>
  <c r="AK94" i="9"/>
  <c r="F94" i="9"/>
  <c r="C94" i="9"/>
  <c r="BO93" i="9"/>
  <c r="AK93" i="9"/>
  <c r="F93" i="9"/>
  <c r="C93" i="9"/>
  <c r="BO92" i="9"/>
  <c r="AH92" i="9" s="1"/>
  <c r="AG92" i="9" s="1"/>
  <c r="AK92" i="9"/>
  <c r="F92" i="9"/>
  <c r="C92" i="9"/>
  <c r="BO91" i="9"/>
  <c r="AK91" i="9"/>
  <c r="F91" i="9"/>
  <c r="C91" i="9"/>
  <c r="BO90" i="9"/>
  <c r="AH90" i="9" s="1"/>
  <c r="AG90" i="9" s="1"/>
  <c r="AK90" i="9"/>
  <c r="F90" i="9"/>
  <c r="C90" i="9"/>
  <c r="BO89" i="9"/>
  <c r="AK89" i="9"/>
  <c r="F89" i="9"/>
  <c r="C89" i="9"/>
  <c r="BO88" i="9"/>
  <c r="AH88" i="9" s="1"/>
  <c r="AG88" i="9" s="1"/>
  <c r="AK88" i="9"/>
  <c r="F88" i="9"/>
  <c r="C88" i="9"/>
  <c r="BO87" i="9"/>
  <c r="AK87" i="9"/>
  <c r="F87" i="9"/>
  <c r="C87" i="9"/>
  <c r="BO86" i="9"/>
  <c r="AH86" i="9" s="1"/>
  <c r="AG86" i="9" s="1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H300" i="9" l="1"/>
  <c r="AG300" i="9" s="1"/>
  <c r="AH304" i="9"/>
  <c r="AG304" i="9" s="1"/>
  <c r="AH295" i="9"/>
  <c r="AG295" i="9" s="1"/>
  <c r="AH297" i="9"/>
  <c r="AG297" i="9" s="1"/>
  <c r="AH291" i="9"/>
  <c r="AG291" i="9" s="1"/>
  <c r="AH299" i="9"/>
  <c r="AG299" i="9" s="1"/>
  <c r="AH285" i="9"/>
  <c r="AG285" i="9" s="1"/>
  <c r="AH294" i="9"/>
  <c r="AG294" i="9" s="1"/>
  <c r="AH302" i="9"/>
  <c r="AG302" i="9" s="1"/>
  <c r="AH293" i="9"/>
  <c r="AG293" i="9" s="1"/>
  <c r="AH289" i="9"/>
  <c r="AG289" i="9" s="1"/>
  <c r="AH288" i="9"/>
  <c r="AG288" i="9" s="1"/>
  <c r="AH290" i="9"/>
  <c r="AG290" i="9" s="1"/>
  <c r="AH301" i="9"/>
  <c r="AG301" i="9" s="1"/>
  <c r="AH296" i="9"/>
  <c r="AG296" i="9" s="1"/>
  <c r="AH286" i="9"/>
  <c r="AG286" i="9" s="1"/>
  <c r="AH292" i="9"/>
  <c r="AG292" i="9" s="1"/>
  <c r="AH303" i="9"/>
  <c r="AG303" i="9" s="1"/>
  <c r="AI304" i="9" s="1"/>
  <c r="AH298" i="9"/>
  <c r="AG298" i="9" s="1"/>
  <c r="AH287" i="9"/>
  <c r="AG287" i="9" s="1"/>
  <c r="AH85" i="9"/>
  <c r="AG85" i="9" s="1"/>
  <c r="AI86" i="9" s="1"/>
  <c r="AH87" i="9"/>
  <c r="AG87" i="9" s="1"/>
  <c r="AI87" i="9" s="1"/>
  <c r="AH89" i="9"/>
  <c r="AG89" i="9" s="1"/>
  <c r="AI89" i="9" s="1"/>
  <c r="AH91" i="9"/>
  <c r="AG91" i="9" s="1"/>
  <c r="AI92" i="9" s="1"/>
  <c r="AH93" i="9"/>
  <c r="AG93" i="9" s="1"/>
  <c r="AI93" i="9" s="1"/>
  <c r="AH95" i="9"/>
  <c r="AG95" i="9" s="1"/>
  <c r="AI95" i="9" s="1"/>
  <c r="AH97" i="9"/>
  <c r="AG97" i="9" s="1"/>
  <c r="AI98" i="9" s="1"/>
  <c r="AH99" i="9"/>
  <c r="AG99" i="9" s="1"/>
  <c r="AI99" i="9" s="1"/>
  <c r="AH101" i="9"/>
  <c r="AG101" i="9" s="1"/>
  <c r="AI102" i="9" s="1"/>
  <c r="AH103" i="9"/>
  <c r="AG103" i="9" s="1"/>
  <c r="AI103" i="9" s="1"/>
  <c r="AH107" i="9"/>
  <c r="AG107" i="9" s="1"/>
  <c r="AI107" i="9" s="1"/>
  <c r="AH109" i="9"/>
  <c r="AG109" i="9" s="1"/>
  <c r="AI109" i="9" s="1"/>
  <c r="AS151" i="9"/>
  <c r="AH151" i="9" s="1"/>
  <c r="AG151" i="9" s="1"/>
  <c r="AS153" i="9"/>
  <c r="AH153" i="9" s="1"/>
  <c r="AG153" i="9" s="1"/>
  <c r="AS150" i="9"/>
  <c r="AH150" i="9" s="1"/>
  <c r="AG150" i="9" s="1"/>
  <c r="AS171" i="9"/>
  <c r="AH171" i="9" s="1"/>
  <c r="AG171" i="9" s="1"/>
  <c r="AS154" i="9"/>
  <c r="AH154" i="9" s="1"/>
  <c r="AG154" i="9" s="1"/>
  <c r="AS174" i="9"/>
  <c r="AH174" i="9" s="1"/>
  <c r="AG174" i="9" s="1"/>
  <c r="AS168" i="9"/>
  <c r="AH168" i="9" s="1"/>
  <c r="AG168" i="9" s="1"/>
  <c r="AS173" i="9"/>
  <c r="AH173" i="9" s="1"/>
  <c r="AG173" i="9" s="1"/>
  <c r="AS148" i="9"/>
  <c r="AH148" i="9" s="1"/>
  <c r="AG148" i="9" s="1"/>
  <c r="AS167" i="9"/>
  <c r="AH167" i="9" s="1"/>
  <c r="AG167" i="9" s="1"/>
  <c r="AS169" i="9"/>
  <c r="AH169" i="9" s="1"/>
  <c r="AG169" i="9" s="1"/>
  <c r="AS166" i="9"/>
  <c r="AH166" i="9" s="1"/>
  <c r="AG166" i="9" s="1"/>
  <c r="AS146" i="9"/>
  <c r="AH146" i="9" s="1"/>
  <c r="AG146" i="9" s="1"/>
  <c r="AS170" i="9"/>
  <c r="AH170" i="9" s="1"/>
  <c r="AG170" i="9" s="1"/>
  <c r="AS149" i="9"/>
  <c r="AH149" i="9" s="1"/>
  <c r="AG149" i="9" s="1"/>
  <c r="AS165" i="9"/>
  <c r="AH165" i="9" s="1"/>
  <c r="AG165" i="9" s="1"/>
  <c r="AS152" i="9"/>
  <c r="AH152" i="9" s="1"/>
  <c r="AG152" i="9" s="1"/>
  <c r="AS145" i="9"/>
  <c r="AH145" i="9" s="1"/>
  <c r="AG145" i="9" s="1"/>
  <c r="AS147" i="9"/>
  <c r="AH147" i="9" s="1"/>
  <c r="AG147" i="9" s="1"/>
  <c r="AS172" i="9"/>
  <c r="AH172" i="9" s="1"/>
  <c r="AG172" i="9" s="1"/>
  <c r="AH110" i="9"/>
  <c r="AG110" i="9" s="1"/>
  <c r="AH112" i="9"/>
  <c r="AG112" i="9" s="1"/>
  <c r="AH114" i="9"/>
  <c r="AG114" i="9" s="1"/>
  <c r="AH116" i="9"/>
  <c r="AG116" i="9" s="1"/>
  <c r="AH118" i="9"/>
  <c r="AG118" i="9" s="1"/>
  <c r="AH120" i="9"/>
  <c r="AG120" i="9" s="1"/>
  <c r="AH122" i="9"/>
  <c r="AG122" i="9" s="1"/>
  <c r="AH124" i="9"/>
  <c r="AG124" i="9" s="1"/>
  <c r="AH136" i="9"/>
  <c r="AG136" i="9" s="1"/>
  <c r="AH138" i="9"/>
  <c r="AG138" i="9" s="1"/>
  <c r="AH140" i="9"/>
  <c r="AG140" i="9" s="1"/>
  <c r="AH142" i="9"/>
  <c r="AG142" i="9" s="1"/>
  <c r="AH144" i="9"/>
  <c r="AG144" i="9" s="1"/>
  <c r="AH156" i="9"/>
  <c r="AG156" i="9" s="1"/>
  <c r="AH158" i="9"/>
  <c r="AG158" i="9" s="1"/>
  <c r="AH160" i="9"/>
  <c r="AG160" i="9" s="1"/>
  <c r="AH162" i="9"/>
  <c r="AG162" i="9" s="1"/>
  <c r="AH164" i="9"/>
  <c r="AG164" i="9" s="1"/>
  <c r="AH176" i="9"/>
  <c r="AG176" i="9" s="1"/>
  <c r="AH178" i="9"/>
  <c r="AG178" i="9" s="1"/>
  <c r="AH180" i="9"/>
  <c r="AG180" i="9" s="1"/>
  <c r="AH182" i="9"/>
  <c r="AG182" i="9" s="1"/>
  <c r="AH184" i="9"/>
  <c r="AG184" i="9" s="1"/>
  <c r="AH226" i="9"/>
  <c r="AG226" i="9" s="1"/>
  <c r="AH228" i="9"/>
  <c r="AG228" i="9" s="1"/>
  <c r="AH230" i="9"/>
  <c r="AG230" i="9" s="1"/>
  <c r="AH232" i="9"/>
  <c r="AG232" i="9" s="1"/>
  <c r="AH234" i="9"/>
  <c r="AG234" i="9" s="1"/>
  <c r="AH236" i="9"/>
  <c r="AG236" i="9" s="1"/>
  <c r="AH238" i="9"/>
  <c r="AG238" i="9" s="1"/>
  <c r="AH240" i="9"/>
  <c r="AG240" i="9" s="1"/>
  <c r="AH242" i="9"/>
  <c r="AG242" i="9" s="1"/>
  <c r="AH244" i="9"/>
  <c r="AG244" i="9" s="1"/>
  <c r="AH266" i="9"/>
  <c r="AG266" i="9" s="1"/>
  <c r="AH268" i="9"/>
  <c r="AG268" i="9" s="1"/>
  <c r="AH270" i="9"/>
  <c r="AG270" i="9" s="1"/>
  <c r="AH272" i="9"/>
  <c r="AG272" i="9" s="1"/>
  <c r="AH274" i="9"/>
  <c r="AG274" i="9" s="1"/>
  <c r="AH276" i="9"/>
  <c r="AG276" i="9" s="1"/>
  <c r="AH278" i="9"/>
  <c r="AG278" i="9" s="1"/>
  <c r="AH280" i="9"/>
  <c r="AG280" i="9" s="1"/>
  <c r="AH282" i="9"/>
  <c r="AG282" i="9" s="1"/>
  <c r="AH284" i="9"/>
  <c r="AG284" i="9" s="1"/>
  <c r="AH253" i="9"/>
  <c r="AH403" i="9"/>
  <c r="AH538" i="9"/>
  <c r="AH189" i="9"/>
  <c r="AH193" i="9"/>
  <c r="AH491" i="9"/>
  <c r="AH316" i="9"/>
  <c r="AH259" i="9"/>
  <c r="AH460" i="9"/>
  <c r="AH483" i="9"/>
  <c r="AH487" i="9"/>
  <c r="AH404" i="9"/>
  <c r="AG404" i="9" s="1"/>
  <c r="AH563" i="9"/>
  <c r="AH216" i="9"/>
  <c r="AH198" i="9"/>
  <c r="AH505" i="9"/>
  <c r="AH250" i="9"/>
  <c r="AH421" i="9"/>
  <c r="AH417" i="9"/>
  <c r="AH362" i="9"/>
  <c r="AH377" i="9"/>
  <c r="AH203" i="9"/>
  <c r="AH208" i="9"/>
  <c r="AH510" i="9"/>
  <c r="AH338" i="9"/>
  <c r="AH347" i="9"/>
  <c r="AH513" i="9"/>
  <c r="AH562" i="9"/>
  <c r="AH548" i="9"/>
  <c r="AH346" i="9"/>
  <c r="AH350" i="9"/>
  <c r="AH336" i="9"/>
  <c r="AH214" i="9"/>
  <c r="AH326" i="9"/>
  <c r="AH314" i="9"/>
  <c r="AH410" i="9"/>
  <c r="AH532" i="9"/>
  <c r="AH552" i="9"/>
  <c r="AH463" i="9"/>
  <c r="AH444" i="9"/>
  <c r="AG444" i="9" s="1"/>
  <c r="AH517" i="9"/>
  <c r="AH340" i="9"/>
  <c r="AH502" i="9"/>
  <c r="AH197" i="9"/>
  <c r="AH194" i="9"/>
  <c r="AH217" i="9"/>
  <c r="AH545" i="9"/>
  <c r="AH322" i="9"/>
  <c r="AH488" i="9"/>
  <c r="AH472" i="9"/>
  <c r="AH401" i="9"/>
  <c r="AH553" i="9"/>
  <c r="AH320" i="9"/>
  <c r="AH560" i="9"/>
  <c r="AH536" i="9"/>
  <c r="AH356" i="9"/>
  <c r="AH264" i="9"/>
  <c r="AG264" i="9" s="1"/>
  <c r="AH325" i="9"/>
  <c r="AH428" i="9"/>
  <c r="AH383" i="9"/>
  <c r="AH461" i="9"/>
  <c r="AH408" i="9"/>
  <c r="AH451" i="9"/>
  <c r="AH441" i="9"/>
  <c r="AH263" i="9"/>
  <c r="AH448" i="9"/>
  <c r="AH215" i="9"/>
  <c r="AH520" i="9"/>
  <c r="AH516" i="9"/>
  <c r="AH367" i="9"/>
  <c r="AH311" i="9"/>
  <c r="AH498" i="9"/>
  <c r="AH453" i="9"/>
  <c r="AH212" i="9"/>
  <c r="AH342" i="9"/>
  <c r="AH456" i="9"/>
  <c r="AH419" i="9"/>
  <c r="AH561" i="9"/>
  <c r="AH209" i="9"/>
  <c r="AH261" i="9"/>
  <c r="AH256" i="9"/>
  <c r="AH251" i="9"/>
  <c r="AH373" i="9"/>
  <c r="AH416" i="9"/>
  <c r="AH379" i="9"/>
  <c r="AH382" i="9"/>
  <c r="AH369" i="9"/>
  <c r="AH370" i="9"/>
  <c r="AH186" i="9"/>
  <c r="AH306" i="9"/>
  <c r="AH559" i="9"/>
  <c r="AH535" i="9"/>
  <c r="AH365" i="9"/>
  <c r="AH402" i="9"/>
  <c r="AH499" i="9"/>
  <c r="AH252" i="9"/>
  <c r="AH218" i="9"/>
  <c r="AH546" i="9"/>
  <c r="AH477" i="9"/>
  <c r="AH384" i="9"/>
  <c r="AG384" i="9" s="1"/>
  <c r="AH357" i="9"/>
  <c r="AH475" i="9"/>
  <c r="AH507" i="9"/>
  <c r="AH564" i="9"/>
  <c r="AG564" i="9" s="1"/>
  <c r="AH430" i="9"/>
  <c r="AH332" i="9"/>
  <c r="AH469" i="9"/>
  <c r="AH478" i="9"/>
  <c r="AH490" i="9"/>
  <c r="AH462" i="9"/>
  <c r="AH411" i="9"/>
  <c r="AH438" i="9"/>
  <c r="AH482" i="9"/>
  <c r="AH187" i="9"/>
  <c r="AH257" i="9"/>
  <c r="AH324" i="9"/>
  <c r="AG324" i="9" s="1"/>
  <c r="AH465" i="9"/>
  <c r="AH199" i="9"/>
  <c r="AH248" i="9"/>
  <c r="AH258" i="9"/>
  <c r="AH372" i="9"/>
  <c r="AH436" i="9"/>
  <c r="AH219" i="9"/>
  <c r="AH434" i="9"/>
  <c r="AH447" i="9"/>
  <c r="AH329" i="9"/>
  <c r="AH445" i="9"/>
  <c r="AH554" i="9"/>
  <c r="AH540" i="9"/>
  <c r="AH331" i="9"/>
  <c r="AH433" i="9"/>
  <c r="AH557" i="9"/>
  <c r="AH409" i="9"/>
  <c r="AH412" i="9"/>
  <c r="AH495" i="9"/>
  <c r="AH414" i="9"/>
  <c r="AH471" i="9"/>
  <c r="AH481" i="9"/>
  <c r="AH450" i="9"/>
  <c r="AH539" i="9"/>
  <c r="AH334" i="9"/>
  <c r="AH524" i="9"/>
  <c r="AG524" i="9" s="1"/>
  <c r="AH541" i="9"/>
  <c r="AH458" i="9"/>
  <c r="AH330" i="9"/>
  <c r="AH221" i="9"/>
  <c r="AH503" i="9"/>
  <c r="AH305" i="9"/>
  <c r="AH424" i="9"/>
  <c r="AG424" i="9" s="1"/>
  <c r="AH406" i="9"/>
  <c r="AH533" i="9"/>
  <c r="AH480" i="9"/>
  <c r="AH468" i="9"/>
  <c r="AH307" i="9"/>
  <c r="AH192" i="9"/>
  <c r="AH543" i="9"/>
  <c r="AH315" i="9"/>
  <c r="AH449" i="9"/>
  <c r="AH493" i="9"/>
  <c r="AH207" i="9"/>
  <c r="AH319" i="9"/>
  <c r="AH470" i="9"/>
  <c r="AH489" i="9"/>
  <c r="AH464" i="9"/>
  <c r="AG464" i="9" s="1"/>
  <c r="AH317" i="9"/>
  <c r="AH518" i="9"/>
  <c r="AH496" i="9"/>
  <c r="AH260" i="9"/>
  <c r="AH527" i="9"/>
  <c r="AH484" i="9"/>
  <c r="AG484" i="9" s="1"/>
  <c r="AH405" i="9"/>
  <c r="AH425" i="9"/>
  <c r="AH249" i="9"/>
  <c r="AH254" i="9"/>
  <c r="AH440" i="9"/>
  <c r="AH185" i="9"/>
  <c r="AH413" i="9"/>
  <c r="AH427" i="9"/>
  <c r="AH556" i="9"/>
  <c r="AH486" i="9"/>
  <c r="AH432" i="9"/>
  <c r="AH511" i="9"/>
  <c r="AH459" i="9"/>
  <c r="AH355" i="9"/>
  <c r="AH376" i="9"/>
  <c r="AH526" i="9"/>
  <c r="AH431" i="9"/>
  <c r="AH381" i="9"/>
  <c r="AH353" i="9"/>
  <c r="AH374" i="9"/>
  <c r="AH523" i="9"/>
  <c r="AH188" i="9"/>
  <c r="AH442" i="9"/>
  <c r="AH318" i="9"/>
  <c r="AH479" i="9"/>
  <c r="AH542" i="9"/>
  <c r="AH508" i="9"/>
  <c r="AH206" i="9"/>
  <c r="AH514" i="9"/>
  <c r="AH344" i="9"/>
  <c r="AG344" i="9" s="1"/>
  <c r="AH309" i="9"/>
  <c r="AH211" i="9"/>
  <c r="AH530" i="9"/>
  <c r="AH321" i="9"/>
  <c r="AH308" i="9"/>
  <c r="AH531" i="9"/>
  <c r="AH255" i="9"/>
  <c r="AH191" i="9"/>
  <c r="AH196" i="9"/>
  <c r="AH349" i="9"/>
  <c r="AH247" i="9"/>
  <c r="AH361" i="9"/>
  <c r="AH351" i="9"/>
  <c r="AH426" i="9"/>
  <c r="AH415" i="9"/>
  <c r="AH220" i="9"/>
  <c r="AH467" i="9"/>
  <c r="AH549" i="9"/>
  <c r="AH439" i="9"/>
  <c r="AH323" i="9"/>
  <c r="AH521" i="9"/>
  <c r="AH200" i="9"/>
  <c r="AH366" i="9"/>
  <c r="AH515" i="9"/>
  <c r="AH501" i="9"/>
  <c r="AH380" i="9"/>
  <c r="AH358" i="9"/>
  <c r="AH437" i="9"/>
  <c r="AH418" i="9"/>
  <c r="AH420" i="9"/>
  <c r="AH312" i="9"/>
  <c r="AH537" i="9"/>
  <c r="AH454" i="9"/>
  <c r="AH333" i="9"/>
  <c r="AH528" i="9"/>
  <c r="AH352" i="9"/>
  <c r="AH544" i="9"/>
  <c r="AG544" i="9" s="1"/>
  <c r="AH348" i="9"/>
  <c r="AH359" i="9"/>
  <c r="AH343" i="9"/>
  <c r="AH422" i="9"/>
  <c r="AH371" i="9"/>
  <c r="AH446" i="9"/>
  <c r="AH327" i="9"/>
  <c r="AH354" i="9"/>
  <c r="AH224" i="9"/>
  <c r="AG224" i="9" s="1"/>
  <c r="AH245" i="9"/>
  <c r="AH443" i="9"/>
  <c r="AH435" i="9"/>
  <c r="AH202" i="9"/>
  <c r="AH399" i="9"/>
  <c r="AH375" i="9"/>
  <c r="AH246" i="9"/>
  <c r="AH492" i="9"/>
  <c r="AH494" i="9"/>
  <c r="AH504" i="9"/>
  <c r="AG504" i="9" s="1"/>
  <c r="AH368" i="9"/>
  <c r="AH476" i="9"/>
  <c r="AH328" i="9"/>
  <c r="AH378" i="9"/>
  <c r="AH522" i="9"/>
  <c r="AH223" i="9"/>
  <c r="AH201" i="9"/>
  <c r="AH363" i="9"/>
  <c r="AH550" i="9"/>
  <c r="AH339" i="9"/>
  <c r="AH512" i="9"/>
  <c r="AH400" i="9"/>
  <c r="AH262" i="9"/>
  <c r="AH525" i="9"/>
  <c r="AH313" i="9"/>
  <c r="AH210" i="9"/>
  <c r="AH500" i="9"/>
  <c r="AH213" i="9"/>
  <c r="AH423" i="9"/>
  <c r="AH497" i="9"/>
  <c r="AH337" i="9"/>
  <c r="AH534" i="9"/>
  <c r="AH190" i="9"/>
  <c r="AH360" i="9"/>
  <c r="AH222" i="9"/>
  <c r="AH345" i="9"/>
  <c r="AH335" i="9"/>
  <c r="AH509" i="9"/>
  <c r="AH473" i="9"/>
  <c r="AH555" i="9"/>
  <c r="AH547" i="9"/>
  <c r="AH195" i="9"/>
  <c r="AH407" i="9"/>
  <c r="AH429" i="9"/>
  <c r="AH452" i="9"/>
  <c r="AH519" i="9"/>
  <c r="AH529" i="9"/>
  <c r="AH466" i="9"/>
  <c r="AH506" i="9"/>
  <c r="AH474" i="9"/>
  <c r="AH204" i="9"/>
  <c r="AG204" i="9" s="1"/>
  <c r="AH205" i="9"/>
  <c r="AH310" i="9"/>
  <c r="AH341" i="9"/>
  <c r="AH485" i="9"/>
  <c r="AH558" i="9"/>
  <c r="AH457" i="9"/>
  <c r="AH551" i="9"/>
  <c r="AH455" i="9"/>
  <c r="AH364" i="9"/>
  <c r="AG364" i="9" s="1"/>
  <c r="AH111" i="9"/>
  <c r="AG111" i="9" s="1"/>
  <c r="AH113" i="9"/>
  <c r="AG113" i="9" s="1"/>
  <c r="AH115" i="9"/>
  <c r="AG115" i="9" s="1"/>
  <c r="AH117" i="9"/>
  <c r="AG117" i="9" s="1"/>
  <c r="AH119" i="9"/>
  <c r="AG119" i="9" s="1"/>
  <c r="AH121" i="9"/>
  <c r="AG121" i="9" s="1"/>
  <c r="AH123" i="9"/>
  <c r="AG123" i="9" s="1"/>
  <c r="AH135" i="9"/>
  <c r="AG135" i="9" s="1"/>
  <c r="AH137" i="9"/>
  <c r="AG137" i="9" s="1"/>
  <c r="AH139" i="9"/>
  <c r="AG139" i="9" s="1"/>
  <c r="AH141" i="9"/>
  <c r="AG141" i="9" s="1"/>
  <c r="AH143" i="9"/>
  <c r="AG143" i="9" s="1"/>
  <c r="AH155" i="9"/>
  <c r="AG155" i="9" s="1"/>
  <c r="AH157" i="9"/>
  <c r="AG157" i="9" s="1"/>
  <c r="AH159" i="9"/>
  <c r="AG159" i="9" s="1"/>
  <c r="AH161" i="9"/>
  <c r="AG161" i="9" s="1"/>
  <c r="AH163" i="9"/>
  <c r="AG163" i="9" s="1"/>
  <c r="AH175" i="9"/>
  <c r="AG175" i="9" s="1"/>
  <c r="AH177" i="9"/>
  <c r="AG177" i="9" s="1"/>
  <c r="AH179" i="9"/>
  <c r="AG179" i="9" s="1"/>
  <c r="AH181" i="9"/>
  <c r="AG181" i="9" s="1"/>
  <c r="AH183" i="9"/>
  <c r="AG183" i="9" s="1"/>
  <c r="AH225" i="9"/>
  <c r="AG225" i="9" s="1"/>
  <c r="AH227" i="9"/>
  <c r="AG227" i="9" s="1"/>
  <c r="AH229" i="9"/>
  <c r="AG229" i="9" s="1"/>
  <c r="AH231" i="9"/>
  <c r="AG231" i="9" s="1"/>
  <c r="AH233" i="9"/>
  <c r="AG233" i="9" s="1"/>
  <c r="AH235" i="9"/>
  <c r="AG235" i="9" s="1"/>
  <c r="AH237" i="9"/>
  <c r="AG237" i="9" s="1"/>
  <c r="AH239" i="9"/>
  <c r="AG239" i="9" s="1"/>
  <c r="AH241" i="9"/>
  <c r="AG241" i="9" s="1"/>
  <c r="AH243" i="9"/>
  <c r="AG243" i="9" s="1"/>
  <c r="AH265" i="9"/>
  <c r="AG265" i="9" s="1"/>
  <c r="AH267" i="9"/>
  <c r="AG267" i="9" s="1"/>
  <c r="AH269" i="9"/>
  <c r="AG269" i="9" s="1"/>
  <c r="AH271" i="9"/>
  <c r="AG271" i="9" s="1"/>
  <c r="AH273" i="9"/>
  <c r="AG273" i="9" s="1"/>
  <c r="AH275" i="9"/>
  <c r="AG275" i="9" s="1"/>
  <c r="AH277" i="9"/>
  <c r="AG277" i="9" s="1"/>
  <c r="AH279" i="9"/>
  <c r="AG279" i="9" s="1"/>
  <c r="AH281" i="9"/>
  <c r="AG281" i="9" s="1"/>
  <c r="AH283" i="9"/>
  <c r="AG283" i="9" s="1"/>
  <c r="AS126" i="9"/>
  <c r="AH126" i="9" s="1"/>
  <c r="AS132" i="9"/>
  <c r="AH132" i="9" s="1"/>
  <c r="AS127" i="9"/>
  <c r="AH127" i="9" s="1"/>
  <c r="AS130" i="9"/>
  <c r="AH130" i="9" s="1"/>
  <c r="AS133" i="9"/>
  <c r="AH133" i="9" s="1"/>
  <c r="AG133" i="9" s="1"/>
  <c r="AS128" i="9"/>
  <c r="AH128" i="9" s="1"/>
  <c r="AS131" i="9"/>
  <c r="AH131" i="9" s="1"/>
  <c r="AG131" i="9" s="1"/>
  <c r="AS134" i="9"/>
  <c r="AH134" i="9" s="1"/>
  <c r="AS129" i="9"/>
  <c r="AH129" i="9" s="1"/>
  <c r="AS125" i="9"/>
  <c r="AH125" i="9" s="1"/>
  <c r="AH105" i="9"/>
  <c r="AG105" i="9" s="1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H395" i="9" s="1"/>
  <c r="AG395" i="9" s="1"/>
  <c r="AS388" i="9"/>
  <c r="AH388" i="9" s="1"/>
  <c r="AG388" i="9" s="1"/>
  <c r="AS396" i="9"/>
  <c r="AS389" i="9"/>
  <c r="AS397" i="9"/>
  <c r="AH397" i="9" s="1"/>
  <c r="AG397" i="9" s="1"/>
  <c r="AS390" i="9"/>
  <c r="AS398" i="9"/>
  <c r="AS391" i="9"/>
  <c r="AH391" i="9" s="1"/>
  <c r="AG391" i="9" s="1"/>
  <c r="AS392" i="9"/>
  <c r="AH392" i="9" s="1"/>
  <c r="AG392" i="9" s="1"/>
  <c r="AS385" i="9"/>
  <c r="AH385" i="9" s="1"/>
  <c r="AG385" i="9" s="1"/>
  <c r="AS386" i="9"/>
  <c r="AS393" i="9"/>
  <c r="AS394" i="9"/>
  <c r="AS79" i="9"/>
  <c r="AH79" i="9" s="1"/>
  <c r="AG79" i="9" s="1"/>
  <c r="AS77" i="9"/>
  <c r="AS67" i="9"/>
  <c r="AH67" i="9" s="1"/>
  <c r="AG67" i="9" s="1"/>
  <c r="AS65" i="9"/>
  <c r="AH65" i="9" s="1"/>
  <c r="AG65" i="9" s="1"/>
  <c r="AS51" i="9"/>
  <c r="AH51" i="9" s="1"/>
  <c r="AG51" i="9" s="1"/>
  <c r="AS59" i="9"/>
  <c r="AS27" i="9"/>
  <c r="AS35" i="9"/>
  <c r="AH35" i="9" s="1"/>
  <c r="AG35" i="9" s="1"/>
  <c r="AS43" i="9"/>
  <c r="AH43" i="9" s="1"/>
  <c r="AG43" i="9" s="1"/>
  <c r="AS12" i="9"/>
  <c r="AS20" i="9"/>
  <c r="AS70" i="9"/>
  <c r="AH70" i="9" s="1"/>
  <c r="AG70" i="9" s="1"/>
  <c r="AS75" i="9"/>
  <c r="AH75" i="9" s="1"/>
  <c r="AG75" i="9" s="1"/>
  <c r="AS73" i="9"/>
  <c r="AH73" i="9" s="1"/>
  <c r="AG73" i="9" s="1"/>
  <c r="AS52" i="9"/>
  <c r="AS60" i="9"/>
  <c r="AS28" i="9"/>
  <c r="AS36" i="9"/>
  <c r="AS44" i="9"/>
  <c r="AH44" i="9" s="1"/>
  <c r="AG44" i="9" s="1"/>
  <c r="AS13" i="9"/>
  <c r="AS21" i="9"/>
  <c r="AH21" i="9" s="1"/>
  <c r="AS68" i="9"/>
  <c r="AS83" i="9"/>
  <c r="AH83" i="9" s="1"/>
  <c r="AG83" i="9" s="1"/>
  <c r="AS81" i="9"/>
  <c r="AH81" i="9" s="1"/>
  <c r="AG81" i="9" s="1"/>
  <c r="AS45" i="9"/>
  <c r="AS53" i="9"/>
  <c r="AS61" i="9"/>
  <c r="AH61" i="9" s="1"/>
  <c r="AG61" i="9" s="1"/>
  <c r="AS29" i="9"/>
  <c r="AS37" i="9"/>
  <c r="AH37" i="9" s="1"/>
  <c r="AG37" i="9" s="1"/>
  <c r="AS6" i="9"/>
  <c r="AS14" i="9"/>
  <c r="AH14" i="9" s="1"/>
  <c r="AS22" i="9"/>
  <c r="AS78" i="9"/>
  <c r="AS76" i="9"/>
  <c r="AS72" i="9"/>
  <c r="AH72" i="9" s="1"/>
  <c r="AG72" i="9" s="1"/>
  <c r="AS66" i="9"/>
  <c r="AS47" i="9"/>
  <c r="AS55" i="9"/>
  <c r="AS63" i="9"/>
  <c r="AS31" i="9"/>
  <c r="AH31" i="9" s="1"/>
  <c r="AG31" i="9" s="1"/>
  <c r="AS39" i="9"/>
  <c r="AS8" i="9"/>
  <c r="AS16" i="9"/>
  <c r="AS24" i="9"/>
  <c r="AH24" i="9" s="1"/>
  <c r="AG24" i="9" s="1"/>
  <c r="AS50" i="9"/>
  <c r="AH50" i="9" s="1"/>
  <c r="AG50" i="9" s="1"/>
  <c r="AS26" i="9"/>
  <c r="AH26" i="9" s="1"/>
  <c r="AG26" i="9" s="1"/>
  <c r="AS42" i="9"/>
  <c r="AS19" i="9"/>
  <c r="AS7" i="9"/>
  <c r="AS57" i="9"/>
  <c r="AS41" i="9"/>
  <c r="AS54" i="9"/>
  <c r="AS30" i="9"/>
  <c r="AS23" i="9"/>
  <c r="AS80" i="9"/>
  <c r="AS33" i="9"/>
  <c r="AH33" i="9" s="1"/>
  <c r="AG33" i="9" s="1"/>
  <c r="AS34" i="9"/>
  <c r="AS25" i="9"/>
  <c r="AS56" i="9"/>
  <c r="AH56" i="9" s="1"/>
  <c r="AG56" i="9" s="1"/>
  <c r="AS32" i="9"/>
  <c r="AS9" i="9"/>
  <c r="AH9" i="9" s="1"/>
  <c r="AS5" i="9"/>
  <c r="AH5" i="9" s="1"/>
  <c r="AG5" i="9" s="1"/>
  <c r="AS58" i="9"/>
  <c r="AH58" i="9" s="1"/>
  <c r="AG58" i="9" s="1"/>
  <c r="AS11" i="9"/>
  <c r="AS49" i="9"/>
  <c r="AS84" i="9"/>
  <c r="AH84" i="9" s="1"/>
  <c r="AG84" i="9" s="1"/>
  <c r="AS82" i="9"/>
  <c r="AH82" i="9" s="1"/>
  <c r="AG82" i="9" s="1"/>
  <c r="AS69" i="9"/>
  <c r="AS46" i="9"/>
  <c r="AS62" i="9"/>
  <c r="AS38" i="9"/>
  <c r="AS15" i="9"/>
  <c r="AS74" i="9"/>
  <c r="AS71" i="9"/>
  <c r="AS48" i="9"/>
  <c r="AS64" i="9"/>
  <c r="AH64" i="9" s="1"/>
  <c r="AG64" i="9" s="1"/>
  <c r="AS40" i="9"/>
  <c r="AH40" i="9" s="1"/>
  <c r="AG40" i="9" s="1"/>
  <c r="AS17" i="9"/>
  <c r="AS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I300" i="9" l="1"/>
  <c r="AI302" i="9"/>
  <c r="AI94" i="9"/>
  <c r="AI295" i="9"/>
  <c r="AI97" i="9"/>
  <c r="AI101" i="9"/>
  <c r="AI96" i="9"/>
  <c r="AI293" i="9"/>
  <c r="AI289" i="9"/>
  <c r="AI298" i="9"/>
  <c r="AI88" i="9"/>
  <c r="AI287" i="9"/>
  <c r="AI297" i="9"/>
  <c r="AI292" i="9"/>
  <c r="AI100" i="9"/>
  <c r="AI288" i="9"/>
  <c r="AI108" i="9"/>
  <c r="AI303" i="9"/>
  <c r="AI291" i="9"/>
  <c r="AI286" i="9"/>
  <c r="AI285" i="9"/>
  <c r="AI104" i="9"/>
  <c r="AI90" i="9"/>
  <c r="AI91" i="9"/>
  <c r="AI299" i="9"/>
  <c r="AI290" i="9"/>
  <c r="AI296" i="9"/>
  <c r="AI85" i="9"/>
  <c r="AI294" i="9"/>
  <c r="AI301" i="9"/>
  <c r="AI51" i="9"/>
  <c r="AI277" i="9"/>
  <c r="AI269" i="9"/>
  <c r="AI233" i="9"/>
  <c r="AI177" i="9"/>
  <c r="AI161" i="9"/>
  <c r="AI274" i="9"/>
  <c r="AI180" i="9"/>
  <c r="AI236" i="9"/>
  <c r="AI148" i="9"/>
  <c r="AI238" i="9"/>
  <c r="AI272" i="9"/>
  <c r="AI164" i="9"/>
  <c r="AI392" i="9"/>
  <c r="AI385" i="9"/>
  <c r="AI270" i="9"/>
  <c r="AI234" i="9"/>
  <c r="AI283" i="9"/>
  <c r="AI267" i="9"/>
  <c r="AI231" i="9"/>
  <c r="AI281" i="9"/>
  <c r="AI278" i="9"/>
  <c r="AI282" i="9"/>
  <c r="AI266" i="9"/>
  <c r="AI265" i="9"/>
  <c r="AI230" i="9"/>
  <c r="AI279" i="9"/>
  <c r="AI243" i="9"/>
  <c r="AI227" i="9"/>
  <c r="AI284" i="9"/>
  <c r="AI280" i="9"/>
  <c r="AI275" i="9"/>
  <c r="AI268" i="9"/>
  <c r="AI244" i="9"/>
  <c r="AI276" i="9"/>
  <c r="AI273" i="9"/>
  <c r="AI228" i="9"/>
  <c r="AI271" i="9"/>
  <c r="AI240" i="9"/>
  <c r="AI237" i="9"/>
  <c r="AI232" i="9"/>
  <c r="AI229" i="9"/>
  <c r="AI173" i="9"/>
  <c r="AI157" i="9"/>
  <c r="AI141" i="9"/>
  <c r="AI115" i="9"/>
  <c r="AI241" i="9"/>
  <c r="AI242" i="9"/>
  <c r="AI226" i="9"/>
  <c r="AI225" i="9"/>
  <c r="AI239" i="9"/>
  <c r="AI235" i="9"/>
  <c r="AI184" i="9"/>
  <c r="AI168" i="9"/>
  <c r="AI152" i="9"/>
  <c r="AI136" i="9"/>
  <c r="AI174" i="9"/>
  <c r="AI171" i="9"/>
  <c r="AI155" i="9"/>
  <c r="AI139" i="9"/>
  <c r="AI113" i="9"/>
  <c r="AI176" i="9"/>
  <c r="AI182" i="9"/>
  <c r="AI150" i="9"/>
  <c r="AI179" i="9"/>
  <c r="AI163" i="9"/>
  <c r="AI147" i="9"/>
  <c r="AI121" i="9"/>
  <c r="AI178" i="9"/>
  <c r="AI175" i="9"/>
  <c r="AI159" i="9"/>
  <c r="AI143" i="9"/>
  <c r="AI166" i="9"/>
  <c r="AI165" i="9"/>
  <c r="AI172" i="9"/>
  <c r="AI169" i="9"/>
  <c r="AI170" i="9"/>
  <c r="AI183" i="9"/>
  <c r="AI167" i="9"/>
  <c r="AI181" i="9"/>
  <c r="AI162" i="9"/>
  <c r="AI158" i="9"/>
  <c r="AI156" i="9"/>
  <c r="AI153" i="9"/>
  <c r="AI146" i="9"/>
  <c r="AI145" i="9"/>
  <c r="AI160" i="9"/>
  <c r="AI154" i="9"/>
  <c r="AI151" i="9"/>
  <c r="AI149" i="9"/>
  <c r="AI118" i="9"/>
  <c r="AI142" i="9"/>
  <c r="AI82" i="9"/>
  <c r="AI140" i="9"/>
  <c r="AI137" i="9"/>
  <c r="AI138" i="9"/>
  <c r="AI144" i="9"/>
  <c r="AI116" i="9"/>
  <c r="AI123" i="9"/>
  <c r="AI111" i="9"/>
  <c r="AI112" i="9"/>
  <c r="AI114" i="9"/>
  <c r="AI84" i="9"/>
  <c r="AI124" i="9"/>
  <c r="AI122" i="9"/>
  <c r="AI119" i="9"/>
  <c r="AI110" i="9"/>
  <c r="AI106" i="9"/>
  <c r="AI105" i="9"/>
  <c r="AI120" i="9"/>
  <c r="AI117" i="9"/>
  <c r="AI83" i="9"/>
  <c r="AI65" i="9"/>
  <c r="AI73" i="9"/>
  <c r="AI44" i="9"/>
  <c r="AG21" i="9"/>
  <c r="AG14" i="9"/>
  <c r="AG9" i="9"/>
  <c r="AI5" i="9"/>
  <c r="AG125" i="9"/>
  <c r="AG129" i="9"/>
  <c r="AG126" i="9"/>
  <c r="AG134" i="9"/>
  <c r="AI135" i="9" s="1"/>
  <c r="AG132" i="9"/>
  <c r="AI133" i="9" s="1"/>
  <c r="AG128" i="9"/>
  <c r="AG127" i="9"/>
  <c r="AG130" i="9"/>
  <c r="AI131" i="9" s="1"/>
  <c r="AG558" i="9"/>
  <c r="AG223" i="9"/>
  <c r="AI224" i="9" s="1"/>
  <c r="AG348" i="9"/>
  <c r="AG426" i="9"/>
  <c r="AG374" i="9"/>
  <c r="AG329" i="9"/>
  <c r="AG402" i="9"/>
  <c r="AG560" i="9"/>
  <c r="AG203" i="9"/>
  <c r="AI204" i="9" s="1"/>
  <c r="AG485" i="9"/>
  <c r="AG337" i="9"/>
  <c r="AG308" i="9"/>
  <c r="AG249" i="9"/>
  <c r="AG334" i="9"/>
  <c r="AG490" i="9"/>
  <c r="AG419" i="9"/>
  <c r="AG194" i="9"/>
  <c r="AG563" i="9"/>
  <c r="AI564" i="9" s="1"/>
  <c r="AG519" i="9"/>
  <c r="AG497" i="9"/>
  <c r="AG378" i="9"/>
  <c r="AG375" i="9"/>
  <c r="AG327" i="9"/>
  <c r="AG352" i="9"/>
  <c r="AG437" i="9"/>
  <c r="AG323" i="9"/>
  <c r="AI324" i="9" s="1"/>
  <c r="AG361" i="9"/>
  <c r="AG321" i="9"/>
  <c r="AG542" i="9"/>
  <c r="AG381" i="9"/>
  <c r="AG486" i="9"/>
  <c r="AG425" i="9"/>
  <c r="AG543" i="9"/>
  <c r="AI544" i="9" s="1"/>
  <c r="AG305" i="9"/>
  <c r="AG539" i="9"/>
  <c r="AG557" i="9"/>
  <c r="AG434" i="9"/>
  <c r="AG478" i="9"/>
  <c r="AG535" i="9"/>
  <c r="AG416" i="9"/>
  <c r="AG456" i="9"/>
  <c r="AG520" i="9"/>
  <c r="AG383" i="9"/>
  <c r="AI384" i="9" s="1"/>
  <c r="AG553" i="9"/>
  <c r="AG197" i="9"/>
  <c r="AG410" i="9"/>
  <c r="AG562" i="9"/>
  <c r="AG362" i="9"/>
  <c r="AG189" i="9"/>
  <c r="AG310" i="9"/>
  <c r="AG452" i="9"/>
  <c r="AG335" i="9"/>
  <c r="AG423" i="9"/>
  <c r="AI424" i="9" s="1"/>
  <c r="AG512" i="9"/>
  <c r="AG328" i="9"/>
  <c r="AG399" i="9"/>
  <c r="AG446" i="9"/>
  <c r="AG528" i="9"/>
  <c r="AG358" i="9"/>
  <c r="AG439" i="9"/>
  <c r="AG247" i="9"/>
  <c r="AG530" i="9"/>
  <c r="AG479" i="9"/>
  <c r="AG431" i="9"/>
  <c r="AG556" i="9"/>
  <c r="AG405" i="9"/>
  <c r="AG489" i="9"/>
  <c r="AG192" i="9"/>
  <c r="AG503" i="9"/>
  <c r="AI504" i="9" s="1"/>
  <c r="AG450" i="9"/>
  <c r="AG433" i="9"/>
  <c r="AG219" i="9"/>
  <c r="AG257" i="9"/>
  <c r="AG469" i="9"/>
  <c r="AG477" i="9"/>
  <c r="AG559" i="9"/>
  <c r="AG373" i="9"/>
  <c r="AG342" i="9"/>
  <c r="AG215" i="9"/>
  <c r="AG428" i="9"/>
  <c r="AG401" i="9"/>
  <c r="AG502" i="9"/>
  <c r="AG314" i="9"/>
  <c r="AG513" i="9"/>
  <c r="AG417" i="9"/>
  <c r="AG487" i="9"/>
  <c r="AG538" i="9"/>
  <c r="AG534" i="9"/>
  <c r="AG531" i="9"/>
  <c r="AG518" i="9"/>
  <c r="AG412" i="9"/>
  <c r="AG475" i="9"/>
  <c r="AG367" i="9"/>
  <c r="AG217" i="9"/>
  <c r="AG216" i="9"/>
  <c r="AG473" i="9"/>
  <c r="AG246" i="9"/>
  <c r="AG418" i="9"/>
  <c r="AG508" i="9"/>
  <c r="AG317" i="9"/>
  <c r="AG409" i="9"/>
  <c r="AG357" i="9"/>
  <c r="AG516" i="9"/>
  <c r="AG532" i="9"/>
  <c r="AG193" i="9"/>
  <c r="AG400" i="9"/>
  <c r="AG205" i="9"/>
  <c r="AG213" i="9"/>
  <c r="AG202" i="9"/>
  <c r="AG380" i="9"/>
  <c r="AG211" i="9"/>
  <c r="AG427" i="9"/>
  <c r="AG307" i="9"/>
  <c r="AG331" i="9"/>
  <c r="AG332" i="9"/>
  <c r="AG251" i="9"/>
  <c r="AG325" i="9"/>
  <c r="AG326" i="9"/>
  <c r="AG483" i="9"/>
  <c r="AI484" i="9" s="1"/>
  <c r="AG455" i="9"/>
  <c r="AG407" i="9"/>
  <c r="AG222" i="9"/>
  <c r="AG500" i="9"/>
  <c r="AG550" i="9"/>
  <c r="AG368" i="9"/>
  <c r="AG435" i="9"/>
  <c r="AG422" i="9"/>
  <c r="AG454" i="9"/>
  <c r="AG501" i="9"/>
  <c r="AG467" i="9"/>
  <c r="AG196" i="9"/>
  <c r="AG309" i="9"/>
  <c r="AG442" i="9"/>
  <c r="AG376" i="9"/>
  <c r="AG413" i="9"/>
  <c r="AG527" i="9"/>
  <c r="AG319" i="9"/>
  <c r="AG468" i="9"/>
  <c r="AG330" i="9"/>
  <c r="AG471" i="9"/>
  <c r="AG540" i="9"/>
  <c r="AG372" i="9"/>
  <c r="AG482" i="9"/>
  <c r="AG430" i="9"/>
  <c r="AG218" i="9"/>
  <c r="AG186" i="9"/>
  <c r="AG256" i="9"/>
  <c r="AG453" i="9"/>
  <c r="AG263" i="9"/>
  <c r="AI264" i="9" s="1"/>
  <c r="AG488" i="9"/>
  <c r="AG517" i="9"/>
  <c r="AG214" i="9"/>
  <c r="AG338" i="9"/>
  <c r="AG250" i="9"/>
  <c r="AG460" i="9"/>
  <c r="AG253" i="9"/>
  <c r="AG555" i="9"/>
  <c r="AG492" i="9"/>
  <c r="AG200" i="9"/>
  <c r="AG511" i="9"/>
  <c r="AG449" i="9"/>
  <c r="AG462" i="9"/>
  <c r="AG382" i="9"/>
  <c r="AG408" i="9"/>
  <c r="AG346" i="9"/>
  <c r="AG529" i="9"/>
  <c r="AG522" i="9"/>
  <c r="AG521" i="9"/>
  <c r="AG353" i="9"/>
  <c r="AG315" i="9"/>
  <c r="AG447" i="9"/>
  <c r="AG365" i="9"/>
  <c r="AG461" i="9"/>
  <c r="AG548" i="9"/>
  <c r="AG509" i="9"/>
  <c r="AG429" i="9"/>
  <c r="AG339" i="9"/>
  <c r="AG371" i="9"/>
  <c r="AG549" i="9"/>
  <c r="AG318" i="9"/>
  <c r="AG221" i="9"/>
  <c r="AG436" i="9"/>
  <c r="AG546" i="9"/>
  <c r="AG212" i="9"/>
  <c r="AG472" i="9"/>
  <c r="AG347" i="9"/>
  <c r="AG551" i="9"/>
  <c r="AG474" i="9"/>
  <c r="AG195" i="9"/>
  <c r="AG360" i="9"/>
  <c r="AG210" i="9"/>
  <c r="AG363" i="9"/>
  <c r="AI364" i="9" s="1"/>
  <c r="AG443" i="9"/>
  <c r="AI444" i="9" s="1"/>
  <c r="AG343" i="9"/>
  <c r="AI344" i="9" s="1"/>
  <c r="AG537" i="9"/>
  <c r="AG515" i="9"/>
  <c r="AG220" i="9"/>
  <c r="AG191" i="9"/>
  <c r="AG188" i="9"/>
  <c r="AG355" i="9"/>
  <c r="AG185" i="9"/>
  <c r="AG260" i="9"/>
  <c r="AG207" i="9"/>
  <c r="AG480" i="9"/>
  <c r="AG458" i="9"/>
  <c r="AG414" i="9"/>
  <c r="AG554" i="9"/>
  <c r="AG258" i="9"/>
  <c r="AG438" i="9"/>
  <c r="AG252" i="9"/>
  <c r="AG370" i="9"/>
  <c r="AG261" i="9"/>
  <c r="AG498" i="9"/>
  <c r="AG441" i="9"/>
  <c r="AG356" i="9"/>
  <c r="AG322" i="9"/>
  <c r="AG336" i="9"/>
  <c r="AG510" i="9"/>
  <c r="AG505" i="9"/>
  <c r="AG259" i="9"/>
  <c r="AG466" i="9"/>
  <c r="AG525" i="9"/>
  <c r="AG420" i="9"/>
  <c r="AG206" i="9"/>
  <c r="AG254" i="9"/>
  <c r="AG406" i="9"/>
  <c r="AG199" i="9"/>
  <c r="AG561" i="9"/>
  <c r="AG552" i="9"/>
  <c r="AG491" i="9"/>
  <c r="AG262" i="9"/>
  <c r="AG354" i="9"/>
  <c r="AG351" i="9"/>
  <c r="AG432" i="9"/>
  <c r="AG465" i="9"/>
  <c r="AG379" i="9"/>
  <c r="AG320" i="9"/>
  <c r="AG377" i="9"/>
  <c r="AG341" i="9"/>
  <c r="AG345" i="9"/>
  <c r="AG476" i="9"/>
  <c r="AG333" i="9"/>
  <c r="AG349" i="9"/>
  <c r="AG526" i="9"/>
  <c r="AG470" i="9"/>
  <c r="AG481" i="9"/>
  <c r="AG187" i="9"/>
  <c r="AG306" i="9"/>
  <c r="AG448" i="9"/>
  <c r="AG340" i="9"/>
  <c r="AG421" i="9"/>
  <c r="AG403" i="9"/>
  <c r="AI404" i="9" s="1"/>
  <c r="AG457" i="9"/>
  <c r="AG506" i="9"/>
  <c r="AG547" i="9"/>
  <c r="AG190" i="9"/>
  <c r="AG313" i="9"/>
  <c r="AG201" i="9"/>
  <c r="AG494" i="9"/>
  <c r="AG245" i="9"/>
  <c r="AG359" i="9"/>
  <c r="AG312" i="9"/>
  <c r="AG366" i="9"/>
  <c r="AG415" i="9"/>
  <c r="AG255" i="9"/>
  <c r="AG514" i="9"/>
  <c r="AG523" i="9"/>
  <c r="AI524" i="9" s="1"/>
  <c r="AG459" i="9"/>
  <c r="AG440" i="9"/>
  <c r="AG496" i="9"/>
  <c r="AG493" i="9"/>
  <c r="AG533" i="9"/>
  <c r="AG541" i="9"/>
  <c r="AG495" i="9"/>
  <c r="AG445" i="9"/>
  <c r="AG248" i="9"/>
  <c r="AG411" i="9"/>
  <c r="AG507" i="9"/>
  <c r="AG499" i="9"/>
  <c r="AG369" i="9"/>
  <c r="AG209" i="9"/>
  <c r="AG311" i="9"/>
  <c r="AG451" i="9"/>
  <c r="AI452" i="9" s="1"/>
  <c r="AG536" i="9"/>
  <c r="AG545" i="9"/>
  <c r="AG463" i="9"/>
  <c r="AI464" i="9" s="1"/>
  <c r="AG350" i="9"/>
  <c r="AG208" i="9"/>
  <c r="AG198" i="9"/>
  <c r="AG316" i="9"/>
  <c r="AH6" i="9"/>
  <c r="AH57" i="9"/>
  <c r="AG57" i="9" s="1"/>
  <c r="AI58" i="9" s="1"/>
  <c r="AH60" i="9"/>
  <c r="AG60" i="9" s="1"/>
  <c r="AI61" i="9" s="1"/>
  <c r="AH389" i="9"/>
  <c r="AG389" i="9" s="1"/>
  <c r="AH62" i="9"/>
  <c r="AG62" i="9" s="1"/>
  <c r="AH55" i="9"/>
  <c r="AG55" i="9" s="1"/>
  <c r="AI56" i="9" s="1"/>
  <c r="AH68" i="9"/>
  <c r="AG68" i="9" s="1"/>
  <c r="AH59" i="9"/>
  <c r="AG59" i="9" s="1"/>
  <c r="AH386" i="9"/>
  <c r="AG386" i="9" s="1"/>
  <c r="AI386" i="9" s="1"/>
  <c r="AH396" i="9"/>
  <c r="AG396" i="9" s="1"/>
  <c r="AI397" i="9" s="1"/>
  <c r="AH71" i="9"/>
  <c r="AG71" i="9" s="1"/>
  <c r="AI72" i="9" s="1"/>
  <c r="AH76" i="9"/>
  <c r="AG76" i="9" s="1"/>
  <c r="AH77" i="9"/>
  <c r="AG77" i="9" s="1"/>
  <c r="AH74" i="9"/>
  <c r="AG74" i="9" s="1"/>
  <c r="AI75" i="9" s="1"/>
  <c r="AH394" i="9"/>
  <c r="AG394" i="9" s="1"/>
  <c r="AI395" i="9" s="1"/>
  <c r="AH38" i="9"/>
  <c r="AG38" i="9" s="1"/>
  <c r="AI38" i="9" s="1"/>
  <c r="AH63" i="9"/>
  <c r="AG63" i="9" s="1"/>
  <c r="AI64" i="9" s="1"/>
  <c r="AH27" i="9"/>
  <c r="AG27" i="9" s="1"/>
  <c r="AI27" i="9" s="1"/>
  <c r="AH46" i="9"/>
  <c r="AG46" i="9" s="1"/>
  <c r="AH30" i="9"/>
  <c r="AG30" i="9" s="1"/>
  <c r="AI31" i="9" s="1"/>
  <c r="AH47" i="9"/>
  <c r="AG47" i="9" s="1"/>
  <c r="AH53" i="9"/>
  <c r="AG53" i="9" s="1"/>
  <c r="AH398" i="9"/>
  <c r="AG398" i="9" s="1"/>
  <c r="AH39" i="9"/>
  <c r="AG39" i="9" s="1"/>
  <c r="AI40" i="9" s="1"/>
  <c r="AH45" i="9"/>
  <c r="AG45" i="9" s="1"/>
  <c r="AH390" i="9"/>
  <c r="AG390" i="9" s="1"/>
  <c r="AI391" i="9" s="1"/>
  <c r="AH80" i="9"/>
  <c r="AG80" i="9" s="1"/>
  <c r="AI81" i="9" s="1"/>
  <c r="AH393" i="9"/>
  <c r="AG393" i="9" s="1"/>
  <c r="AH69" i="9"/>
  <c r="AG69" i="9" s="1"/>
  <c r="AI70" i="9" s="1"/>
  <c r="AH32" i="9"/>
  <c r="AG32" i="9" s="1"/>
  <c r="AI33" i="9" s="1"/>
  <c r="AH54" i="9"/>
  <c r="AG54" i="9" s="1"/>
  <c r="AH66" i="9"/>
  <c r="AG66" i="9" s="1"/>
  <c r="AI67" i="9" s="1"/>
  <c r="AH29" i="9"/>
  <c r="AG29" i="9" s="1"/>
  <c r="AH25" i="9"/>
  <c r="AH36" i="9"/>
  <c r="AG36" i="9" s="1"/>
  <c r="AI37" i="9" s="1"/>
  <c r="AH49" i="9"/>
  <c r="AG49" i="9" s="1"/>
  <c r="AI50" i="9" s="1"/>
  <c r="AH34" i="9"/>
  <c r="AG34" i="9" s="1"/>
  <c r="AI35" i="9" s="1"/>
  <c r="AH78" i="9"/>
  <c r="AG78" i="9" s="1"/>
  <c r="AI79" i="9" s="1"/>
  <c r="AH28" i="9"/>
  <c r="AG28" i="9" s="1"/>
  <c r="AH42" i="9"/>
  <c r="AG42" i="9" s="1"/>
  <c r="AI43" i="9" s="1"/>
  <c r="AH52" i="9"/>
  <c r="AG52" i="9" s="1"/>
  <c r="AH48" i="9"/>
  <c r="AG48" i="9" s="1"/>
  <c r="AH41" i="9"/>
  <c r="AG41" i="9" s="1"/>
  <c r="AH387" i="9"/>
  <c r="AG387" i="9" s="1"/>
  <c r="AI388" i="9" s="1"/>
  <c r="AH22" i="9"/>
  <c r="AH10" i="9"/>
  <c r="AH11" i="9"/>
  <c r="AH19" i="9"/>
  <c r="AH18" i="9"/>
  <c r="AH16" i="9"/>
  <c r="AH20" i="9"/>
  <c r="AH7" i="9"/>
  <c r="AH15" i="9"/>
  <c r="AH17" i="9"/>
  <c r="AH23" i="9"/>
  <c r="AH13" i="9"/>
  <c r="AH8" i="9"/>
  <c r="AH12" i="9"/>
  <c r="AI530" i="9" l="1"/>
  <c r="AI552" i="9"/>
  <c r="AI542" i="9"/>
  <c r="AI503" i="9"/>
  <c r="AI548" i="9"/>
  <c r="AI555" i="9"/>
  <c r="AI550" i="9"/>
  <c r="AI557" i="9"/>
  <c r="AI490" i="9"/>
  <c r="AI433" i="9"/>
  <c r="AI536" i="9"/>
  <c r="AI553" i="9"/>
  <c r="AI409" i="9"/>
  <c r="AI522" i="9"/>
  <c r="AI561" i="9"/>
  <c r="AI559" i="9"/>
  <c r="AI533" i="9"/>
  <c r="AI563" i="9"/>
  <c r="AI437" i="9"/>
  <c r="AI546" i="9"/>
  <c r="AI545" i="9"/>
  <c r="AI556" i="9"/>
  <c r="AI543" i="9"/>
  <c r="AI519" i="9"/>
  <c r="AI547" i="9"/>
  <c r="AI539" i="9"/>
  <c r="AI549" i="9"/>
  <c r="AI537" i="9"/>
  <c r="AI527" i="9"/>
  <c r="AI562" i="9"/>
  <c r="AI516" i="9"/>
  <c r="AI551" i="9"/>
  <c r="AI560" i="9"/>
  <c r="AI554" i="9"/>
  <c r="AI558" i="9"/>
  <c r="AI534" i="9"/>
  <c r="AI449" i="9"/>
  <c r="AI500" i="9"/>
  <c r="AI511" i="9"/>
  <c r="AI538" i="9"/>
  <c r="AI528" i="9"/>
  <c r="AI532" i="9"/>
  <c r="AI535" i="9"/>
  <c r="AI529" i="9"/>
  <c r="AI541" i="9"/>
  <c r="AI540" i="9"/>
  <c r="AI508" i="9"/>
  <c r="AI525" i="9"/>
  <c r="AI526" i="9"/>
  <c r="AI480" i="9"/>
  <c r="AI517" i="9"/>
  <c r="AI496" i="9"/>
  <c r="AI467" i="9"/>
  <c r="AI514" i="9"/>
  <c r="AI531" i="9"/>
  <c r="AI513" i="9"/>
  <c r="AI521" i="9"/>
  <c r="AI491" i="9"/>
  <c r="AI510" i="9"/>
  <c r="AI439" i="9"/>
  <c r="AI523" i="9"/>
  <c r="AI512" i="9"/>
  <c r="AI520" i="9"/>
  <c r="AI441" i="9"/>
  <c r="AI506" i="9"/>
  <c r="AI505" i="9"/>
  <c r="AI498" i="9"/>
  <c r="AI515" i="9"/>
  <c r="AI507" i="9"/>
  <c r="AI493" i="9"/>
  <c r="AI518" i="9"/>
  <c r="AI502" i="9"/>
  <c r="AI509" i="9"/>
  <c r="AI476" i="9"/>
  <c r="AI456" i="9"/>
  <c r="AI482" i="9"/>
  <c r="AI454" i="9"/>
  <c r="AI495" i="9"/>
  <c r="AI492" i="9"/>
  <c r="AI499" i="9"/>
  <c r="AI462" i="9"/>
  <c r="AI472" i="9"/>
  <c r="AI489" i="9"/>
  <c r="AI488" i="9"/>
  <c r="AI494" i="9"/>
  <c r="AI481" i="9"/>
  <c r="AI469" i="9"/>
  <c r="AI497" i="9"/>
  <c r="AI341" i="9"/>
  <c r="AI501" i="9"/>
  <c r="AI487" i="9"/>
  <c r="AI486" i="9"/>
  <c r="AI485" i="9"/>
  <c r="AI466" i="9"/>
  <c r="AI465" i="9"/>
  <c r="AI479" i="9"/>
  <c r="AI478" i="9"/>
  <c r="AI477" i="9"/>
  <c r="AI430" i="9"/>
  <c r="AI470" i="9"/>
  <c r="AI475" i="9"/>
  <c r="AI407" i="9"/>
  <c r="AI468" i="9"/>
  <c r="AI474" i="9"/>
  <c r="AI390" i="9"/>
  <c r="AI458" i="9"/>
  <c r="AI471" i="9"/>
  <c r="AI442" i="9"/>
  <c r="AI483" i="9"/>
  <c r="AI451" i="9"/>
  <c r="AI427" i="9"/>
  <c r="AI473" i="9"/>
  <c r="AI455" i="9"/>
  <c r="AI461" i="9"/>
  <c r="AI448" i="9"/>
  <c r="AI453" i="9"/>
  <c r="AI447" i="9"/>
  <c r="AI383" i="9"/>
  <c r="AI431" i="9"/>
  <c r="AI423" i="9"/>
  <c r="AI459" i="9"/>
  <c r="AI348" i="9"/>
  <c r="AI463" i="9"/>
  <c r="AI436" i="9"/>
  <c r="AI460" i="9"/>
  <c r="AI380" i="9"/>
  <c r="AI412" i="9"/>
  <c r="AI446" i="9"/>
  <c r="AI445" i="9"/>
  <c r="AI416" i="9"/>
  <c r="AI450" i="9"/>
  <c r="AI428" i="9"/>
  <c r="AI434" i="9"/>
  <c r="AI440" i="9"/>
  <c r="AI457" i="9"/>
  <c r="AI362" i="9"/>
  <c r="AI435" i="9"/>
  <c r="AI426" i="9"/>
  <c r="AI425" i="9"/>
  <c r="AI399" i="9"/>
  <c r="AI377" i="9"/>
  <c r="AI432" i="9"/>
  <c r="AI438" i="9"/>
  <c r="AI419" i="9"/>
  <c r="AI421" i="9"/>
  <c r="AI331" i="9"/>
  <c r="AI443" i="9"/>
  <c r="AI429" i="9"/>
  <c r="AI411" i="9"/>
  <c r="AI417" i="9"/>
  <c r="AI319" i="9"/>
  <c r="AI413" i="9"/>
  <c r="AI406" i="9"/>
  <c r="AI405" i="9"/>
  <c r="AI422" i="9"/>
  <c r="AI408" i="9"/>
  <c r="AI403" i="9"/>
  <c r="AI372" i="9"/>
  <c r="AI410" i="9"/>
  <c r="AI418" i="9"/>
  <c r="AI396" i="9"/>
  <c r="AI360" i="9"/>
  <c r="AI415" i="9"/>
  <c r="AI401" i="9"/>
  <c r="AI414" i="9"/>
  <c r="AI420" i="9"/>
  <c r="AI402" i="9"/>
  <c r="AI355" i="9"/>
  <c r="AI379" i="9"/>
  <c r="AI375" i="9"/>
  <c r="AI389" i="9"/>
  <c r="AI371" i="9"/>
  <c r="AI394" i="9"/>
  <c r="AI400" i="9"/>
  <c r="AI393" i="9"/>
  <c r="AI387" i="9"/>
  <c r="AI370" i="9"/>
  <c r="AI367" i="9"/>
  <c r="AI333" i="9"/>
  <c r="AI359" i="9"/>
  <c r="AI382" i="9"/>
  <c r="AI398" i="9"/>
  <c r="AI366" i="9"/>
  <c r="AI365" i="9"/>
  <c r="AI369" i="9"/>
  <c r="AI358" i="9"/>
  <c r="AI316" i="9"/>
  <c r="AI374" i="9"/>
  <c r="AI378" i="9"/>
  <c r="AI352" i="9"/>
  <c r="AI350" i="9"/>
  <c r="AI339" i="9"/>
  <c r="AI373" i="9"/>
  <c r="AI310" i="9"/>
  <c r="AI328" i="9"/>
  <c r="AI251" i="9"/>
  <c r="AI381" i="9"/>
  <c r="AI368" i="9"/>
  <c r="AI376" i="9"/>
  <c r="AI349" i="9"/>
  <c r="AI317" i="9"/>
  <c r="AI314" i="9"/>
  <c r="AI334" i="9"/>
  <c r="AI361" i="9"/>
  <c r="AI327" i="9"/>
  <c r="AI347" i="9"/>
  <c r="AI363" i="9"/>
  <c r="AI351" i="9"/>
  <c r="AI346" i="9"/>
  <c r="AI345" i="9"/>
  <c r="AI323" i="9"/>
  <c r="AI356" i="9"/>
  <c r="AI354" i="9"/>
  <c r="AI260" i="9"/>
  <c r="AI357" i="9"/>
  <c r="AI336" i="9"/>
  <c r="AI353" i="9"/>
  <c r="AI332" i="9"/>
  <c r="AI338" i="9"/>
  <c r="AI330" i="9"/>
  <c r="AI343" i="9"/>
  <c r="AI312" i="9"/>
  <c r="AI249" i="9"/>
  <c r="AI340" i="9"/>
  <c r="AI326" i="9"/>
  <c r="AI325" i="9"/>
  <c r="AI329" i="9"/>
  <c r="AI308" i="9"/>
  <c r="AI342" i="9"/>
  <c r="AI337" i="9"/>
  <c r="AI335" i="9"/>
  <c r="AI321" i="9"/>
  <c r="AI311" i="9"/>
  <c r="AI307" i="9"/>
  <c r="AI313" i="9"/>
  <c r="AI188" i="9"/>
  <c r="AI315" i="9"/>
  <c r="AI322" i="9"/>
  <c r="AI320" i="9"/>
  <c r="AI318" i="9"/>
  <c r="AI306" i="9"/>
  <c r="AI305" i="9"/>
  <c r="AI309" i="9"/>
  <c r="AI222" i="9"/>
  <c r="AI256" i="9"/>
  <c r="AI196" i="9"/>
  <c r="AI190" i="9"/>
  <c r="AI55" i="9"/>
  <c r="AI210" i="9"/>
  <c r="AI263" i="9"/>
  <c r="AI259" i="9"/>
  <c r="AI255" i="9"/>
  <c r="AI208" i="9"/>
  <c r="AI223" i="9"/>
  <c r="AI254" i="9"/>
  <c r="AI247" i="9"/>
  <c r="AI262" i="9"/>
  <c r="AI261" i="9"/>
  <c r="AI252" i="9"/>
  <c r="AI246" i="9"/>
  <c r="AI245" i="9"/>
  <c r="AI253" i="9"/>
  <c r="AI216" i="9"/>
  <c r="AI258" i="9"/>
  <c r="AI212" i="9"/>
  <c r="AI257" i="9"/>
  <c r="AI248" i="9"/>
  <c r="AI198" i="9"/>
  <c r="AI250" i="9"/>
  <c r="AI201" i="9"/>
  <c r="AI187" i="9"/>
  <c r="AI220" i="9"/>
  <c r="AI219" i="9"/>
  <c r="AI199" i="9"/>
  <c r="AI207" i="9"/>
  <c r="AI217" i="9"/>
  <c r="AI203" i="9"/>
  <c r="AI191" i="9"/>
  <c r="AI194" i="9"/>
  <c r="AI221" i="9"/>
  <c r="AI215" i="9"/>
  <c r="AI213" i="9"/>
  <c r="AI206" i="9"/>
  <c r="AI205" i="9"/>
  <c r="AI127" i="9"/>
  <c r="AI209" i="9"/>
  <c r="AI214" i="9"/>
  <c r="AI211" i="9"/>
  <c r="AI218" i="9"/>
  <c r="AI186" i="9"/>
  <c r="AI185" i="9"/>
  <c r="AI202" i="9"/>
  <c r="AI195" i="9"/>
  <c r="AI193" i="9"/>
  <c r="AI200" i="9"/>
  <c r="AI189" i="9"/>
  <c r="AI197" i="9"/>
  <c r="AI192" i="9"/>
  <c r="AI128" i="9"/>
  <c r="AI129" i="9"/>
  <c r="AI130" i="9"/>
  <c r="AI126" i="9"/>
  <c r="AI125" i="9"/>
  <c r="AI69" i="9"/>
  <c r="AI132" i="9"/>
  <c r="AI134" i="9"/>
  <c r="AI48" i="9"/>
  <c r="AI63" i="9"/>
  <c r="AI77" i="9"/>
  <c r="AI71" i="9"/>
  <c r="AI32" i="9"/>
  <c r="AI76" i="9"/>
  <c r="AI66" i="9"/>
  <c r="AI78" i="9"/>
  <c r="AI68" i="9"/>
  <c r="AI53" i="9"/>
  <c r="AI80" i="9"/>
  <c r="AI74" i="9"/>
  <c r="AI49" i="9"/>
  <c r="AI62" i="9"/>
  <c r="AI60" i="9"/>
  <c r="AI52" i="9"/>
  <c r="AI59" i="9"/>
  <c r="AI47" i="9"/>
  <c r="AI30" i="9"/>
  <c r="AI46" i="9"/>
  <c r="AI45" i="9"/>
  <c r="AI54" i="9"/>
  <c r="AI57" i="9"/>
  <c r="AI42" i="9"/>
  <c r="AI28" i="9"/>
  <c r="AI39" i="9"/>
  <c r="AI34" i="9"/>
  <c r="AI36" i="9"/>
  <c r="AI29" i="9"/>
  <c r="AI41" i="9"/>
  <c r="AG6" i="9"/>
  <c r="AG15" i="9"/>
  <c r="AI15" i="9" s="1"/>
  <c r="AG22" i="9"/>
  <c r="AI22" i="9" s="1"/>
  <c r="AG19" i="9"/>
  <c r="AG11" i="9"/>
  <c r="AG17" i="9"/>
  <c r="AG13" i="9"/>
  <c r="AI14" i="9" s="1"/>
  <c r="AG7" i="9"/>
  <c r="AG12" i="9"/>
  <c r="AG16" i="9"/>
  <c r="AG23" i="9"/>
  <c r="AI24" i="9" s="1"/>
  <c r="AG10" i="9"/>
  <c r="AG20" i="9"/>
  <c r="AI21" i="9" s="1"/>
  <c r="AG8" i="9"/>
  <c r="AI9" i="9" s="1"/>
  <c r="AG18" i="9"/>
  <c r="AG25" i="9"/>
  <c r="AI17" i="9" l="1"/>
  <c r="AI8" i="9"/>
  <c r="AI26" i="9"/>
  <c r="AI25" i="9"/>
  <c r="AI13" i="9"/>
  <c r="AI7" i="9"/>
  <c r="AI12" i="9"/>
  <c r="AI11" i="9"/>
  <c r="AI20" i="9"/>
  <c r="AI23" i="9"/>
  <c r="AI16" i="9"/>
  <c r="AI6" i="9"/>
  <c r="AI19" i="9"/>
  <c r="AI18" i="9"/>
  <c r="AI10" i="9"/>
</calcChain>
</file>

<file path=xl/sharedStrings.xml><?xml version="1.0" encoding="utf-8"?>
<sst xmlns="http://schemas.openxmlformats.org/spreadsheetml/2006/main" count="5347" uniqueCount="1362">
  <si>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</si>
  <si>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</si>
  <si>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</si>
  <si>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</si>
  <si>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</si>
  <si>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</si>
  <si>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</si>
  <si>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</si>
  <si>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</si>
  <si>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</si>
  <si>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</si>
  <si>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</si>
  <si>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</si>
  <si>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</si>
  <si>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</si>
  <si>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</si>
  <si>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</si>
  <si>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</si>
  <si>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</si>
  <si>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</si>
  <si>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</si>
  <si>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</si>
  <si>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</si>
  <si>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</si>
  <si>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</si>
  <si>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</si>
  <si>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</si>
  <si>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</si>
  <si>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</si>
  <si>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</si>
  <si>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</si>
  <si>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</si>
  <si>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</si>
  <si>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</si>
  <si>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</si>
  <si>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</si>
  <si>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</si>
  <si>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</si>
  <si>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</si>
  <si>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</si>
  <si>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</si>
  <si>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</si>
  <si>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</si>
  <si>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</si>
  <si>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</si>
  <si>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</si>
  <si>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</si>
  <si>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</si>
  <si>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</si>
  <si>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</si>
  <si>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</si>
  <si>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</si>
  <si>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</si>
  <si>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</si>
  <si>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</si>
  <si>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</si>
  <si>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</si>
  <si>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</si>
  <si>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</si>
  <si>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</si>
  <si>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</si>
  <si>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</si>
  <si>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</si>
  <si>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</si>
  <si>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</si>
  <si>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</si>
  <si>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</si>
  <si>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</si>
  <si>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</si>
  <si>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</si>
  <si>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</si>
  <si>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</si>
  <si>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</si>
  <si>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</si>
  <si>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</si>
  <si>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</si>
  <si>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</si>
  <si>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</si>
  <si>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</si>
  <si>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</si>
  <si>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</si>
  <si>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</si>
  <si>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</si>
  <si>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</si>
  <si>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</si>
  <si>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</si>
  <si>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</si>
  <si>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</si>
  <si>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</si>
  <si>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</si>
  <si>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</si>
  <si>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</si>
  <si>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</si>
  <si>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</si>
  <si>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</si>
  <si>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</si>
  <si>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</si>
  <si>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</si>
  <si>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</si>
  <si>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</si>
  <si>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</si>
  <si>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</si>
  <si>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</si>
  <si>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</si>
  <si>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</si>
  <si>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</si>
  <si>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</si>
  <si>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</si>
  <si>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</si>
  <si>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</si>
  <si>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</si>
  <si>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</si>
  <si>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</si>
  <si>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</si>
  <si>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</si>
  <si>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</si>
  <si>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</si>
  <si>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</si>
  <si>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</si>
  <si>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</si>
  <si>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</si>
  <si>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</si>
  <si>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</si>
  <si>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</si>
  <si>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</si>
  <si>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</si>
  <si>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</si>
  <si>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</si>
  <si>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</si>
  <si>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</si>
  <si>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</si>
  <si>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</si>
  <si>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</si>
  <si>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</si>
  <si>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</si>
  <si>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</si>
  <si>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</si>
  <si>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</si>
  <si>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</si>
  <si>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</si>
  <si>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</si>
  <si>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</si>
  <si>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</si>
  <si>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</si>
  <si>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</si>
  <si>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</si>
  <si>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</si>
  <si>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</si>
  <si>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</si>
  <si>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</si>
  <si>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</si>
  <si>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</si>
  <si>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</si>
  <si>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</si>
  <si>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</si>
  <si>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</si>
  <si>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</si>
  <si>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</si>
  <si>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</si>
  <si>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</si>
  <si>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</si>
  <si>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</si>
  <si>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</si>
  <si>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</si>
  <si>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</si>
  <si>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</si>
  <si>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</si>
  <si>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</si>
  <si>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</si>
  <si>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</si>
  <si>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</si>
  <si>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</si>
  <si>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</si>
  <si>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</si>
  <si>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</si>
  <si>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</si>
  <si>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</si>
  <si>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</si>
  <si>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</si>
  <si>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</si>
  <si>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</si>
  <si>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</si>
  <si>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</si>
  <si>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</si>
  <si>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</si>
  <si>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</si>
  <si>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</si>
  <si>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</si>
  <si>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</si>
  <si>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</si>
  <si>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</si>
  <si>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</si>
  <si>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</si>
  <si>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</si>
  <si>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</si>
  <si>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</si>
  <si>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</si>
  <si>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</si>
  <si>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</si>
  <si>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</si>
  <si>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</si>
  <si>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</si>
  <si>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</si>
  <si>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</si>
  <si>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</si>
  <si>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</si>
  <si>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</si>
  <si>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</si>
  <si>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</si>
  <si>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</si>
  <si>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</si>
  <si>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</si>
  <si>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</si>
  <si>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</si>
  <si>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</si>
  <si>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</si>
  <si>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</si>
  <si>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</si>
  <si>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</si>
  <si>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</si>
  <si>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</si>
  <si>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</si>
  <si>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</si>
  <si>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</si>
  <si>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</si>
  <si>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</si>
  <si>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</si>
  <si>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</si>
  <si>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</si>
  <si>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</si>
  <si>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</si>
  <si>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</si>
  <si>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</si>
  <si>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</si>
  <si>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</si>
  <si>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</si>
  <si>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</si>
  <si>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</si>
  <si>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</si>
  <si>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</si>
  <si>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</si>
  <si>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</si>
  <si>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</si>
  <si>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</si>
  <si>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</si>
  <si>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</si>
  <si>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</si>
  <si>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</si>
  <si>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</si>
  <si>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</si>
  <si>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</si>
  <si>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</si>
  <si>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</si>
  <si>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</si>
  <si>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</si>
  <si>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</si>
  <si>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</si>
  <si>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</si>
  <si>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</si>
  <si>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</si>
  <si>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</si>
  <si>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</si>
  <si>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</si>
  <si>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</si>
  <si>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</si>
  <si>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</si>
  <si>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</si>
  <si>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</si>
  <si>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</si>
  <si>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</si>
  <si>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</si>
  <si>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</si>
  <si>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</si>
  <si>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</si>
  <si>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</si>
  <si>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</si>
  <si>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</si>
  <si>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</si>
  <si>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</si>
  <si>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</si>
  <si>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</si>
  <si>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</si>
  <si>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</si>
  <si>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</si>
  <si>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</si>
  <si>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</si>
  <si>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</si>
  <si>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</si>
  <si>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</si>
  <si>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</si>
  <si>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</si>
  <si>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</si>
  <si>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</si>
  <si>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</si>
  <si>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</si>
  <si>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</si>
  <si>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</si>
  <si>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</si>
  <si>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</si>
  <si>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</si>
  <si>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</si>
  <si>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</si>
  <si>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</si>
  <si>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</si>
  <si>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</si>
  <si>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</si>
  <si>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</si>
  <si>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</si>
  <si>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</si>
  <si>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</si>
  <si>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</si>
  <si>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</si>
  <si>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</si>
  <si>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</si>
  <si>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</si>
  <si>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</si>
  <si>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</si>
  <si>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</si>
  <si>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</si>
  <si>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</si>
  <si>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</si>
  <si>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</si>
  <si>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</si>
  <si>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</si>
  <si>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</si>
  <si>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</si>
  <si>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</si>
  <si>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</si>
  <si>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</si>
  <si>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</si>
  <si>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</si>
  <si>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</si>
  <si>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</si>
  <si>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</si>
  <si>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</si>
  <si>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</si>
  <si>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</si>
  <si>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</si>
  <si>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</si>
  <si>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</si>
  <si>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</si>
  <si>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</si>
  <si>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</si>
  <si>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</si>
  <si>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</si>
  <si>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</si>
  <si>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</si>
  <si>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</si>
  <si>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</si>
  <si>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</si>
  <si>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</si>
  <si>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</si>
  <si>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</si>
  <si>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</si>
  <si>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</si>
  <si>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</si>
  <si>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</si>
  <si>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</si>
  <si>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</si>
  <si>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</si>
  <si>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</si>
  <si>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</si>
  <si>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</si>
  <si>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</si>
  <si>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</si>
  <si>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</si>
  <si>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</si>
  <si>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</si>
  <si>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</si>
  <si>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</si>
  <si>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</si>
  <si>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</si>
  <si>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</si>
  <si>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</si>
  <si>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</si>
  <si>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</si>
  <si>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</si>
  <si>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</si>
  <si>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</si>
  <si>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</si>
  <si>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</si>
  <si>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</si>
  <si>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</si>
  <si>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</si>
  <si>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</si>
  <si>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</si>
  <si>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</si>
  <si>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</si>
  <si>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</si>
  <si>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</si>
  <si>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</si>
  <si>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</si>
  <si>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</si>
  <si>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</si>
  <si>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</si>
  <si>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</si>
  <si>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</si>
  <si>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</si>
  <si>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</si>
  <si>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</si>
  <si>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</si>
  <si>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</si>
  <si>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</si>
  <si>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</si>
  <si>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</si>
  <si>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</si>
  <si>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</si>
  <si>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</si>
  <si>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</si>
  <si>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</si>
  <si>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</si>
  <si>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</si>
  <si>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</si>
  <si>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</si>
  <si>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</si>
  <si>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</si>
  <si>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</si>
  <si>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</si>
  <si>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</si>
  <si>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</si>
  <si>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</si>
  <si>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</si>
  <si>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</si>
  <si>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</si>
  <si>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</si>
  <si>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</si>
  <si>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</si>
  <si>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</si>
  <si>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</si>
  <si>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</si>
  <si>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</si>
  <si>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</si>
  <si>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</si>
  <si>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</si>
  <si>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</si>
  <si>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</si>
  <si>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</si>
  <si>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</si>
  <si>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</si>
  <si>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</si>
  <si>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</si>
  <si>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</si>
  <si>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</si>
  <si>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</si>
  <si>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</si>
  <si>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</si>
  <si>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</si>
  <si>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</si>
  <si>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</si>
  <si>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</si>
  <si>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</si>
  <si>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</si>
  <si>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</si>
  <si>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</si>
  <si>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</si>
  <si>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</si>
  <si>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</si>
  <si>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</si>
  <si>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</si>
  <si>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</si>
  <si>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</si>
  <si>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</si>
  <si>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</si>
  <si>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</si>
  <si>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</si>
  <si>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</si>
  <si>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</si>
  <si>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</si>
  <si>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</si>
  <si>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</si>
  <si>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</si>
  <si>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</si>
  <si>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</si>
  <si>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</si>
  <si>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</si>
  <si>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</si>
  <si>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</si>
  <si>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</si>
  <si>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</si>
  <si>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</si>
  <si>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</si>
  <si>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</si>
  <si>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</si>
  <si>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</si>
  <si>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</si>
  <si>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</si>
  <si>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</si>
  <si>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</si>
  <si>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</si>
  <si>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</si>
  <si>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</si>
  <si>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</si>
  <si>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</si>
  <si>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</si>
  <si>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</si>
  <si>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</si>
  <si>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</si>
  <si>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</si>
  <si>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</si>
  <si>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</si>
  <si>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</si>
  <si>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</si>
  <si>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</si>
  <si>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</si>
  <si>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</si>
  <si>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</si>
  <si>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</si>
  <si>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</si>
  <si>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</si>
  <si>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</si>
  <si>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</si>
  <si>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</si>
  <si>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</si>
  <si>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</si>
  <si>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</si>
  <si>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</si>
  <si>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</si>
  <si>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</si>
  <si>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</si>
  <si>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</si>
  <si>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</si>
  <si>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</si>
  <si>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</si>
  <si>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</si>
  <si>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</si>
  <si>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</si>
  <si>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</si>
  <si>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</si>
  <si>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</si>
  <si>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</si>
  <si>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</si>
  <si>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</si>
  <si>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</si>
  <si>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</si>
  <si>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</si>
  <si>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</si>
  <si>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</si>
  <si>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</si>
  <si>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</si>
  <si>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</si>
  <si>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</si>
  <si>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</si>
  <si>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</si>
  <si>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</si>
  <si>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</si>
  <si>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</si>
  <si>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</si>
  <si>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</si>
  <si>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</si>
  <si>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</si>
  <si>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</si>
  <si>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</si>
  <si>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</si>
  <si>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</si>
  <si>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</si>
  <si>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</si>
  <si>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</si>
  <si>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</si>
  <si>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</si>
  <si>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</si>
  <si>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</si>
  <si>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</si>
  <si>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</si>
  <si>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</si>
  <si>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</si>
  <si>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</si>
  <si>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</si>
  <si>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</si>
  <si>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</si>
  <si>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</si>
  <si>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</si>
  <si>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</si>
  <si>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</si>
  <si>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</si>
  <si>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</si>
  <si>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</si>
  <si>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</si>
  <si>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</si>
  <si>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</si>
  <si>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</si>
  <si>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</si>
  <si>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</si>
  <si>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</si>
  <si>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</si>
  <si>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</si>
  <si>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</si>
  <si>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</si>
  <si>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</si>
  <si>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</si>
  <si>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</si>
  <si>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</si>
  <si>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</si>
  <si>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</si>
  <si>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</si>
  <si>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</si>
  <si>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</si>
  <si>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</si>
  <si>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</si>
  <si>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</si>
  <si>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</si>
  <si>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</si>
  <si>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</si>
  <si>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</si>
  <si>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</si>
  <si>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</si>
  <si>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</si>
  <si>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</si>
  <si>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</si>
  <si>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</si>
  <si>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</si>
  <si>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</si>
  <si>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</si>
  <si>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</si>
  <si>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</si>
  <si>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</si>
  <si>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</si>
  <si>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</si>
  <si>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</si>
  <si>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</si>
  <si>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</si>
  <si>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</si>
  <si>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</si>
  <si>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</si>
  <si>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</si>
  <si>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</si>
  <si>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</si>
  <si>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</si>
  <si>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</si>
  <si>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</si>
  <si>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</si>
  <si>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</si>
  <si>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</si>
  <si>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</si>
  <si>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</si>
  <si>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</si>
  <si>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</si>
  <si>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</si>
  <si>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</si>
  <si>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</si>
  <si>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</si>
  <si>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</si>
  <si>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</si>
  <si>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</si>
  <si>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</si>
  <si>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</si>
  <si>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</si>
  <si>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</si>
  <si>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</si>
  <si>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</si>
  <si>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</si>
  <si>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</si>
  <si>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</si>
  <si>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</si>
  <si>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</si>
  <si>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</si>
  <si>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</si>
  <si>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</si>
  <si>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</si>
  <si>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</si>
  <si>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</si>
  <si>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</si>
  <si>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</si>
  <si>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</si>
  <si>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</si>
  <si>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</si>
  <si>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</si>
  <si>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</si>
  <si>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</si>
  <si>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</si>
  <si>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</si>
  <si>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</si>
  <si>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</si>
  <si>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</si>
  <si>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</si>
  <si>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</si>
  <si>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</si>
  <si>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</si>
  <si>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</si>
  <si>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</si>
  <si>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</si>
  <si>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</si>
  <si>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</si>
  <si>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</si>
  <si>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</si>
  <si>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</si>
  <si>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</si>
  <si>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</si>
  <si>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</si>
  <si>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</si>
  <si>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</si>
  <si>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</si>
  <si>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</si>
  <si>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</si>
  <si>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</si>
  <si>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</si>
  <si>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</si>
  <si>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</si>
  <si>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</si>
  <si>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</si>
  <si>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</si>
  <si>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</si>
  <si>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</si>
  <si>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</si>
  <si>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</si>
  <si>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</si>
  <si>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</si>
  <si>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</si>
  <si>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</si>
  <si>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</si>
  <si>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</si>
  <si>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</si>
  <si>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</si>
  <si>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</si>
  <si>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</si>
  <si>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</si>
  <si>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</si>
  <si>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</si>
  <si>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</si>
  <si>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</si>
  <si>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</si>
  <si>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</si>
  <si>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</si>
  <si>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</si>
  <si>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</si>
  <si>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</si>
  <si>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</si>
  <si>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</si>
  <si>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</si>
  <si>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</si>
  <si>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</si>
  <si>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</si>
  <si>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</si>
  <si>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</si>
  <si>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</si>
  <si>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</si>
  <si>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</si>
  <si>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</si>
  <si>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</si>
  <si>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</si>
  <si>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</si>
  <si>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</si>
  <si>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</si>
  <si>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</si>
  <si>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</si>
  <si>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</si>
  <si>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</si>
  <si>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</si>
  <si>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</si>
  <si>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</si>
  <si>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</si>
  <si>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</si>
  <si>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</si>
  <si>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</si>
  <si>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</si>
  <si>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</si>
  <si>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</si>
  <si>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</si>
  <si>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</si>
  <si>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</si>
  <si>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</si>
  <si>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</si>
  <si>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</si>
  <si>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storehouse.prefab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</si>
  <si>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</si>
  <si>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</si>
  <si>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</si>
  <si>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</si>
  <si>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</si>
  <si>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</si>
  <si>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</si>
  <si>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</si>
  <si>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</si>
  <si>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</si>
  <si>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</si>
  <si>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</si>
  <si>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</si>
  <si>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</si>
  <si>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</si>
  <si>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</si>
  <si>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</si>
  <si>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</si>
  <si>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</si>
  <si>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</si>
  <si>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</si>
  <si>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</si>
  <si>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</si>
  <si>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</si>
  <si>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</si>
  <si>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</si>
  <si>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</si>
  <si>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</si>
  <si>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</si>
  <si>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</si>
  <si>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</si>
  <si>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</si>
  <si>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</si>
  <si>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</si>
  <si>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</si>
  <si>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</si>
  <si>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</si>
  <si>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</si>
  <si>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</si>
  <si>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</si>
  <si>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</si>
  <si>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</si>
  <si>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</si>
  <si>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</si>
  <si>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</si>
  <si>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</si>
  <si>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</si>
  <si>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</si>
  <si>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</si>
  <si>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</si>
  <si>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</si>
  <si>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</si>
  <si>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</si>
  <si>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</si>
  <si>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</si>
  <si>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</si>
  <si>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</si>
  <si>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</si>
  <si>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</si>
  <si>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</si>
  <si>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</si>
  <si>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</si>
  <si>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</si>
  <si>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</si>
  <si>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</si>
  <si>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</si>
  <si>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</si>
  <si>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</si>
  <si>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</si>
  <si>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</si>
  <si>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</si>
  <si>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</si>
  <si>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</si>
  <si>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</si>
  <si>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</si>
  <si>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</si>
  <si>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</si>
  <si>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</si>
  <si>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</si>
  <si>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</si>
  <si>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</si>
  <si>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</si>
  <si>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</si>
  <si>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</si>
  <si>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</si>
  <si>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</si>
  <si>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</si>
  <si>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</si>
  <si>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</si>
  <si>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</si>
  <si>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</si>
  <si>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</si>
  <si>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</si>
  <si>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</si>
  <si>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</si>
  <si>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</si>
  <si>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</si>
  <si>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</si>
  <si>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</si>
  <si>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</si>
  <si>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</si>
  <si>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</si>
  <si>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</si>
  <si>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</si>
  <si>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</si>
  <si>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</si>
  <si>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</si>
  <si>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</si>
  <si>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</si>
  <si>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</si>
  <si>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</si>
  <si>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</si>
  <si>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</si>
  <si>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</si>
  <si>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</si>
  <si>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</si>
  <si>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</si>
  <si>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</si>
  <si>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</si>
  <si>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</si>
  <si>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</si>
  <si>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</si>
  <si>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</si>
  <si>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</si>
  <si>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</si>
  <si>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</si>
  <si>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</si>
  <si>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</si>
  <si>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</si>
  <si>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</si>
  <si>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</si>
  <si>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</si>
  <si>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</si>
  <si>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</si>
  <si>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</si>
  <si>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</si>
  <si>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</si>
  <si>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</si>
  <si>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</si>
  <si>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</si>
  <si>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</si>
  <si>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</si>
  <si>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</si>
  <si>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</si>
  <si>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</si>
  <si>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</si>
  <si>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</si>
  <si>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</si>
  <si>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</si>
  <si>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</si>
  <si>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</si>
  <si>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</si>
  <si>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</si>
  <si>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</si>
  <si>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</si>
  <si>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</si>
  <si>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</si>
  <si>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</si>
  <si>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</si>
  <si>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</si>
  <si>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</si>
  <si>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</si>
  <si>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</si>
  <si>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</si>
  <si>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</si>
  <si>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</si>
  <si>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</si>
  <si>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</si>
  <si>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</si>
  <si>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</si>
  <si>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</si>
  <si>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</si>
  <si>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</si>
  <si>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</si>
  <si>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</si>
  <si>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</si>
  <si>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</si>
  <si>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</si>
  <si>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</si>
  <si>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</si>
  <si>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</si>
  <si>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</si>
  <si>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</si>
  <si>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</si>
  <si>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</si>
  <si>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</si>
  <si>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</si>
  <si>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</si>
  <si>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</si>
  <si>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</si>
  <si>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</si>
  <si>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</si>
  <si>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</si>
  <si>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</si>
  <si>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</si>
  <si>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</si>
  <si>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</si>
  <si>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</si>
  <si>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</si>
  <si>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</si>
  <si>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</si>
  <si>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</si>
  <si>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</si>
  <si>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</si>
  <si>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</si>
  <si>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</si>
  <si>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</si>
  <si>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</si>
  <si>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</si>
  <si>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</si>
  <si>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</si>
  <si>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</si>
  <si>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</si>
  <si>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</si>
  <si>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</si>
  <si>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</si>
  <si>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</si>
  <si>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</si>
  <si>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</si>
  <si>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</si>
  <si>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</si>
  <si>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</si>
  <si>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</si>
  <si>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</si>
  <si>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</si>
  <si>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</si>
  <si>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</si>
  <si>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</si>
  <si>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</si>
  <si>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</si>
  <si>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</si>
  <si>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</si>
  <si>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</si>
  <si>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</si>
  <si>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</si>
  <si>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</si>
  <si>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</si>
  <si>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</si>
  <si>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</si>
  <si>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</si>
  <si>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</si>
  <si>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</si>
  <si>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</si>
  <si>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</si>
  <si>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</si>
  <si>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</si>
  <si>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</si>
  <si>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</si>
  <si>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</si>
  <si>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</si>
  <si>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</si>
  <si>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</si>
  <si>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</si>
  <si>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</si>
  <si>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</si>
  <si>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</si>
  <si>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</si>
  <si>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</si>
  <si>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</si>
  <si>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</si>
  <si>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</si>
  <si>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</si>
  <si>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</si>
  <si>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</si>
  <si>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</si>
  <si>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</si>
  <si>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</si>
  <si>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</si>
  <si>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</si>
  <si>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</si>
  <si>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</si>
  <si>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</si>
  <si>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</si>
  <si>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</si>
  <si>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</si>
  <si>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</si>
  <si>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</si>
  <si>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</si>
  <si>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</si>
  <si>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</si>
  <si>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</si>
  <si>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</si>
  <si>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</si>
  <si>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</si>
  <si>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</si>
  <si>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</si>
  <si>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</si>
  <si>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</si>
  <si>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</si>
  <si>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</si>
  <si>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</si>
  <si>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</si>
  <si>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</si>
  <si>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</si>
  <si>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</si>
  <si>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</si>
  <si>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</si>
  <si>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</si>
  <si>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</si>
  <si>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</si>
  <si>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</si>
  <si>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</si>
  <si>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</si>
  <si>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</si>
  <si>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</si>
  <si>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</si>
  <si>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</si>
  <si>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</si>
  <si>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</si>
  <si>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</si>
  <si>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</si>
  <si>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</si>
  <si>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</si>
  <si>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</si>
  <si>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</si>
  <si>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</si>
  <si>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</si>
  <si>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</si>
  <si>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</si>
  <si>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</si>
  <si>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</si>
  <si>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</si>
  <si>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</si>
  <si>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</si>
  <si>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</si>
  <si>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</si>
  <si>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</si>
  <si>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</si>
  <si>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</si>
  <si>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</si>
  <si>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</si>
  <si>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</si>
  <si>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</si>
  <si>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</si>
  <si>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</si>
  <si>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</si>
  <si>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</si>
  <si>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</si>
  <si>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</si>
  <si>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</si>
  <si>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turret2.prefab</t>
  </si>
  <si>
    <t>turret3.prefab</t>
  </si>
  <si>
    <t>turret2.prefab</t>
    <phoneticPr fontId="13" type="noConversion"/>
  </si>
  <si>
    <t>turret3.prefab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</si>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</sst>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573</v>
      </c>
    </row>
    <row r="16" spans="1:7" x14ac:dyDescent="0.15">
      <c r="B16" s="44">
        <v>2</v>
      </c>
      <c r="D16" s="44" t="s">
        <v>258</v>
      </c>
      <c r="F16" s="44" t="s">
        <v>574</v>
      </c>
    </row>
    <row r="17" spans="2:6" x14ac:dyDescent="0.15">
      <c r="B17" s="44">
        <v>3</v>
      </c>
      <c r="D17" s="44" t="s">
        <v>257</v>
      </c>
      <c r="F17" s="44" t="s">
        <v>669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593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488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65"/>
  <sheetViews>
    <sheetView topLeftCell="A316" zoomScaleNormal="100" workbookViewId="0">
      <pane xSplit="12" topLeftCell="Z1" activePane="topRight" state="frozen"/>
      <selection pane="topRight" activeCell="AB334" sqref="AB33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1058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1080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1059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484</v>
      </c>
      <c r="V2" s="9" t="s">
        <v>506</v>
      </c>
      <c r="W2" s="11" t="s">
        <v>61</v>
      </c>
      <c r="Y2" s="9" t="s">
        <v>506</v>
      </c>
      <c r="AA2" s="9" t="s">
        <v>62</v>
      </c>
      <c r="AB2" s="9" t="s">
        <v>61</v>
      </c>
      <c r="AD2" s="11" t="s">
        <v>61</v>
      </c>
      <c r="AE2" s="56" t="s">
        <v>1079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1060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486</v>
      </c>
      <c r="V3" s="9" t="s">
        <v>533</v>
      </c>
      <c r="W3" s="11" t="s">
        <v>557</v>
      </c>
      <c r="Y3" s="9" t="s">
        <v>507</v>
      </c>
      <c r="AA3" s="9" t="s">
        <v>335</v>
      </c>
      <c r="AB3" s="9" t="s">
        <v>340</v>
      </c>
      <c r="AD3" s="11" t="s">
        <v>418</v>
      </c>
      <c r="AE3" s="56" t="s">
        <v>1078</v>
      </c>
      <c r="AG3" s="56" t="s">
        <v>442</v>
      </c>
      <c r="AK3" s="31" t="s">
        <v>246</v>
      </c>
      <c r="AL3" s="30"/>
      <c r="AM3" s="31" t="s">
        <v>420</v>
      </c>
      <c r="AN3" s="30"/>
      <c r="AO3" s="31" t="s">
        <v>487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558</v>
      </c>
      <c r="I4" s="27" t="s">
        <v>239</v>
      </c>
      <c r="J4" s="77" t="s">
        <v>354</v>
      </c>
      <c r="K4" s="27" t="s">
        <v>240</v>
      </c>
      <c r="L4" s="27" t="s">
        <v>1061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485</v>
      </c>
      <c r="T4" s="77" t="s">
        <v>555</v>
      </c>
      <c r="U4" s="85" t="s">
        <v>537</v>
      </c>
      <c r="V4" s="27" t="s">
        <v>535</v>
      </c>
      <c r="W4" s="88" t="s">
        <v>565</v>
      </c>
      <c r="X4" s="85" t="s">
        <v>536</v>
      </c>
      <c r="Y4" s="27" t="s">
        <v>534</v>
      </c>
      <c r="Z4" s="77" t="s">
        <v>554</v>
      </c>
      <c r="AA4" s="27" t="s">
        <v>334</v>
      </c>
      <c r="AB4" s="27" t="s">
        <v>339</v>
      </c>
      <c r="AC4" s="77" t="s">
        <v>417</v>
      </c>
      <c r="AD4" s="88" t="s">
        <v>588</v>
      </c>
      <c r="AE4" s="89" t="s">
        <v>1076</v>
      </c>
      <c r="AF4" s="77" t="s">
        <v>556</v>
      </c>
      <c r="AG4" s="89" t="s">
        <v>674</v>
      </c>
      <c r="AH4" s="90" t="s">
        <v>1075</v>
      </c>
      <c r="AI4" s="183" t="s">
        <v>587</v>
      </c>
      <c r="AJ4" s="77" t="s">
        <v>171</v>
      </c>
      <c r="AK4" s="65" t="s">
        <v>318</v>
      </c>
      <c r="AL4" s="64" t="s">
        <v>1073</v>
      </c>
      <c r="AM4" s="65" t="s">
        <v>419</v>
      </c>
      <c r="AN4" s="64" t="s">
        <v>1072</v>
      </c>
      <c r="AO4" s="65" t="s">
        <v>426</v>
      </c>
      <c r="AP4" s="64" t="s">
        <v>1074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566</v>
      </c>
      <c r="L5" s="16">
        <v>1</v>
      </c>
      <c r="M5" s="16">
        <v>1</v>
      </c>
      <c r="N5" s="16">
        <v>15</v>
      </c>
      <c r="O5" s="16" t="s">
        <v>1166</v>
      </c>
      <c r="P5" s="17"/>
      <c r="Q5" s="17"/>
      <c r="R5" s="18"/>
      <c r="S5" s="16" t="s">
        <v>686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538</v>
      </c>
      <c r="Y5" s="16">
        <f ca="1">IFERROR(OFFSET(ITEM_RES!$A$5,MATCH(BUILDING!X5,ITEM_RES!$J$5:$J$229,0)-1,0),0)</f>
        <v>211010101</v>
      </c>
      <c r="Z5" s="78"/>
      <c r="AA5" s="16" t="s">
        <v>508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427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448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452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566</v>
      </c>
      <c r="M6" s="9">
        <v>1</v>
      </c>
      <c r="N6" s="9">
        <v>15</v>
      </c>
      <c r="O6" s="9" t="s">
        <v>1166</v>
      </c>
      <c r="S6" s="9" t="s">
        <v>681</v>
      </c>
      <c r="V6" s="9">
        <f ca="1">IFERROR(OFFSET(ITEM_RES!$A$5,MATCH(BUILDING!U6,ITEM_RES!$J$5:$J$229,0)-1,0),0)</f>
        <v>0</v>
      </c>
      <c r="X6" s="84" t="s">
        <v>538</v>
      </c>
      <c r="Y6" s="9">
        <f ca="1">IFERROR(OFFSET(ITEM_RES!$A$5,MATCH(BUILDING!X6,ITEM_RES!$J$5:$J$229,0)-1,0),0)</f>
        <v>211010101</v>
      </c>
      <c r="AA6" s="9" t="s">
        <v>508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427</v>
      </c>
      <c r="AU6" s="11">
        <v>20</v>
      </c>
      <c r="AX6" s="11">
        <f ca="1">IFERROR(OFFSET(ITEM_RES!$A$1,MATCH(AY6,ITEM_RES!$J:$J,0)-1,0),0)</f>
        <v>211020101</v>
      </c>
      <c r="AY6" s="10" t="s">
        <v>448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566</v>
      </c>
      <c r="M7" s="9">
        <v>1</v>
      </c>
      <c r="N7" s="9">
        <v>15</v>
      </c>
      <c r="O7" s="9" t="s">
        <v>1167</v>
      </c>
      <c r="S7" s="9" t="s">
        <v>681</v>
      </c>
      <c r="V7" s="9">
        <f ca="1">IFERROR(OFFSET(ITEM_RES!$A$5,MATCH(BUILDING!U7,ITEM_RES!$J$5:$J$229,0)-1,0),0)</f>
        <v>0</v>
      </c>
      <c r="X7" s="84" t="s">
        <v>538</v>
      </c>
      <c r="Y7" s="9">
        <f ca="1">IFERROR(OFFSET(ITEM_RES!$A$5,MATCH(BUILDING!X7,ITEM_RES!$J$5:$J$229,0)-1,0),0)</f>
        <v>211010101</v>
      </c>
      <c r="AA7" s="9" t="s">
        <v>508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427</v>
      </c>
      <c r="AU7" s="11">
        <v>160</v>
      </c>
      <c r="AX7" s="11">
        <f ca="1">IFERROR(OFFSET(ITEM_RES!$A$1,MATCH(AY7,ITEM_RES!$J:$J,0)-1,0),0)</f>
        <v>211020101</v>
      </c>
      <c r="AY7" s="10" t="s">
        <v>448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566</v>
      </c>
      <c r="M8" s="9">
        <v>1</v>
      </c>
      <c r="N8" s="9">
        <v>15</v>
      </c>
      <c r="O8" s="9" t="s">
        <v>1168</v>
      </c>
      <c r="S8" s="9" t="s">
        <v>682</v>
      </c>
      <c r="V8" s="9">
        <f ca="1">IFERROR(OFFSET(ITEM_RES!$A$5,MATCH(BUILDING!U8,ITEM_RES!$J$5:$J$229,0)-1,0),0)</f>
        <v>0</v>
      </c>
      <c r="X8" s="84" t="s">
        <v>538</v>
      </c>
      <c r="Y8" s="9">
        <f ca="1">IFERROR(OFFSET(ITEM_RES!$A$5,MATCH(BUILDING!X8,ITEM_RES!$J$5:$J$229,0)-1,0),0)</f>
        <v>211010101</v>
      </c>
      <c r="AA8" s="9" t="s">
        <v>508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427</v>
      </c>
      <c r="AU8" s="11">
        <v>1920</v>
      </c>
      <c r="AX8" s="11">
        <f ca="1">IFERROR(OFFSET(ITEM_RES!$A$1,MATCH(AY8,ITEM_RES!$J:$J,0)-1,0),0)</f>
        <v>211020101</v>
      </c>
      <c r="AY8" s="10" t="s">
        <v>448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566</v>
      </c>
      <c r="M9" s="9">
        <v>1</v>
      </c>
      <c r="N9" s="9">
        <v>15</v>
      </c>
      <c r="O9" s="9" t="s">
        <v>1169</v>
      </c>
      <c r="S9" s="9" t="s">
        <v>682</v>
      </c>
      <c r="V9" s="9">
        <f ca="1">IFERROR(OFFSET(ITEM_RES!$A$5,MATCH(BUILDING!U9,ITEM_RES!$J$5:$J$229,0)-1,0),0)</f>
        <v>0</v>
      </c>
      <c r="X9" s="84" t="s">
        <v>538</v>
      </c>
      <c r="Y9" s="9">
        <f ca="1">IFERROR(OFFSET(ITEM_RES!$A$5,MATCH(BUILDING!X9,ITEM_RES!$J$5:$J$229,0)-1,0),0)</f>
        <v>211010101</v>
      </c>
      <c r="AA9" s="9" t="s">
        <v>508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427</v>
      </c>
      <c r="AU9" s="11">
        <v>26000</v>
      </c>
      <c r="AX9" s="11">
        <f ca="1">IFERROR(OFFSET(ITEM_RES!$A$1,MATCH(AY9,ITEM_RES!$J:$J,0)-1,0),0)</f>
        <v>211020101</v>
      </c>
      <c r="AY9" s="10" t="s">
        <v>448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566</v>
      </c>
      <c r="M10" s="9">
        <v>1</v>
      </c>
      <c r="N10" s="9">
        <v>15</v>
      </c>
      <c r="O10" s="9" t="s">
        <v>1171</v>
      </c>
      <c r="S10" s="9" t="s">
        <v>682</v>
      </c>
      <c r="V10" s="9">
        <f ca="1">IFERROR(OFFSET(ITEM_RES!$A$5,MATCH(BUILDING!U10,ITEM_RES!$J$5:$J$229,0)-1,0),0)</f>
        <v>0</v>
      </c>
      <c r="X10" s="84" t="s">
        <v>538</v>
      </c>
      <c r="Y10" s="9">
        <f ca="1">IFERROR(OFFSET(ITEM_RES!$A$5,MATCH(BUILDING!X10,ITEM_RES!$J$5:$J$229,0)-1,0),0)</f>
        <v>211010101</v>
      </c>
      <c r="AA10" s="9" t="s">
        <v>508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427</v>
      </c>
      <c r="AU10" s="11">
        <v>240000</v>
      </c>
      <c r="AX10" s="11">
        <f ca="1">IFERROR(OFFSET(ITEM_RES!$A$1,MATCH(AY10,ITEM_RES!$J:$J,0)-1,0),0)</f>
        <v>211020101</v>
      </c>
      <c r="AY10" s="10" t="s">
        <v>448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566</v>
      </c>
      <c r="M11" s="9">
        <v>1</v>
      </c>
      <c r="N11" s="9">
        <v>15</v>
      </c>
      <c r="O11" s="9" t="s">
        <v>1170</v>
      </c>
      <c r="S11" s="9" t="s">
        <v>682</v>
      </c>
      <c r="V11" s="9">
        <f ca="1">IFERROR(OFFSET(ITEM_RES!$A$5,MATCH(BUILDING!U11,ITEM_RES!$J$5:$J$229,0)-1,0),0)</f>
        <v>0</v>
      </c>
      <c r="X11" s="84" t="s">
        <v>538</v>
      </c>
      <c r="Y11" s="9">
        <f ca="1">IFERROR(OFFSET(ITEM_RES!$A$5,MATCH(BUILDING!X11,ITEM_RES!$J$5:$J$229,0)-1,0),0)</f>
        <v>211010101</v>
      </c>
      <c r="AA11" s="9" t="s">
        <v>508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427</v>
      </c>
      <c r="AU11" s="11">
        <v>540000</v>
      </c>
      <c r="AX11" s="11">
        <f ca="1">IFERROR(OFFSET(ITEM_RES!$A$1,MATCH(AY11,ITEM_RES!$J:$J,0)-1,0),0)</f>
        <v>211020101</v>
      </c>
      <c r="AY11" s="10" t="s">
        <v>448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566</v>
      </c>
      <c r="M12" s="9">
        <v>1</v>
      </c>
      <c r="N12" s="9">
        <v>15</v>
      </c>
      <c r="O12" s="9" t="s">
        <v>1170</v>
      </c>
      <c r="S12" s="9" t="s">
        <v>682</v>
      </c>
      <c r="V12" s="9">
        <f ca="1">IFERROR(OFFSET(ITEM_RES!$A$5,MATCH(BUILDING!U12,ITEM_RES!$J$5:$J$229,0)-1,0),0)</f>
        <v>0</v>
      </c>
      <c r="X12" s="84" t="s">
        <v>538</v>
      </c>
      <c r="Y12" s="9">
        <f ca="1">IFERROR(OFFSET(ITEM_RES!$A$5,MATCH(BUILDING!X12,ITEM_RES!$J$5:$J$229,0)-1,0),0)</f>
        <v>211010101</v>
      </c>
      <c r="AA12" s="9" t="s">
        <v>508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427</v>
      </c>
      <c r="AU12" s="11">
        <v>1000000</v>
      </c>
      <c r="AX12" s="11">
        <f ca="1">IFERROR(OFFSET(ITEM_RES!$A$1,MATCH(AY12,ITEM_RES!$J:$J,0)-1,0),0)</f>
        <v>211020101</v>
      </c>
      <c r="AY12" s="10" t="s">
        <v>448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566</v>
      </c>
      <c r="M13" s="9">
        <v>1</v>
      </c>
      <c r="N13" s="9">
        <v>15</v>
      </c>
      <c r="O13" s="9" t="s">
        <v>1170</v>
      </c>
      <c r="S13" s="9" t="s">
        <v>683</v>
      </c>
      <c r="V13" s="9">
        <f ca="1">IFERROR(OFFSET(ITEM_RES!$A$5,MATCH(BUILDING!U13,ITEM_RES!$J$5:$J$229,0)-1,0),0)</f>
        <v>0</v>
      </c>
      <c r="X13" s="84" t="s">
        <v>538</v>
      </c>
      <c r="Y13" s="9">
        <f ca="1">IFERROR(OFFSET(ITEM_RES!$A$5,MATCH(BUILDING!X13,ITEM_RES!$J$5:$J$229,0)-1,0),0)</f>
        <v>211010101</v>
      </c>
      <c r="AA13" s="9" t="s">
        <v>508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427</v>
      </c>
      <c r="AU13" s="11">
        <v>1580000</v>
      </c>
      <c r="AX13" s="11">
        <f ca="1">IFERROR(OFFSET(ITEM_RES!$A$1,MATCH(AY13,ITEM_RES!$J:$J,0)-1,0),0)</f>
        <v>211020101</v>
      </c>
      <c r="AY13" s="10" t="s">
        <v>448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566</v>
      </c>
      <c r="M14" s="9">
        <v>1</v>
      </c>
      <c r="N14" s="9">
        <v>15</v>
      </c>
      <c r="O14" s="9" t="s">
        <v>1170</v>
      </c>
      <c r="S14" s="9" t="s">
        <v>683</v>
      </c>
      <c r="V14" s="9">
        <f ca="1">IFERROR(OFFSET(ITEM_RES!$A$5,MATCH(BUILDING!U14,ITEM_RES!$J$5:$J$229,0)-1,0),0)</f>
        <v>0</v>
      </c>
      <c r="X14" s="84" t="s">
        <v>538</v>
      </c>
      <c r="Y14" s="9">
        <f ca="1">IFERROR(OFFSET(ITEM_RES!$A$5,MATCH(BUILDING!X14,ITEM_RES!$J$5:$J$229,0)-1,0),0)</f>
        <v>211010101</v>
      </c>
      <c r="AA14" s="9" t="s">
        <v>508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427</v>
      </c>
      <c r="AU14" s="11">
        <v>2200000</v>
      </c>
      <c r="AX14" s="11">
        <f ca="1">IFERROR(OFFSET(ITEM_RES!$A$1,MATCH(AY14,ITEM_RES!$J:$J,0)-1,0),0)</f>
        <v>211020101</v>
      </c>
      <c r="AY14" s="10" t="s">
        <v>448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459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566</v>
      </c>
      <c r="M15" s="9">
        <v>1</v>
      </c>
      <c r="N15" s="9">
        <v>15</v>
      </c>
      <c r="O15" s="9" t="s">
        <v>1170</v>
      </c>
      <c r="S15" s="9" t="s">
        <v>683</v>
      </c>
      <c r="V15" s="9">
        <f ca="1">IFERROR(OFFSET(ITEM_RES!$A$5,MATCH(BUILDING!U15,ITEM_RES!$J$5:$J$229,0)-1,0),0)</f>
        <v>0</v>
      </c>
      <c r="X15" s="84" t="s">
        <v>538</v>
      </c>
      <c r="Y15" s="9">
        <f ca="1">IFERROR(OFFSET(ITEM_RES!$A$5,MATCH(BUILDING!X15,ITEM_RES!$J$5:$J$229,0)-1,0),0)</f>
        <v>211010101</v>
      </c>
      <c r="AA15" s="9" t="s">
        <v>508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427</v>
      </c>
      <c r="AU15" s="11">
        <v>4400000</v>
      </c>
      <c r="AX15" s="11">
        <f ca="1">IFERROR(OFFSET(ITEM_RES!$A$1,MATCH(AY15,ITEM_RES!$J:$J,0)-1,0),0)</f>
        <v>211020101</v>
      </c>
      <c r="AY15" s="10" t="s">
        <v>448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566</v>
      </c>
      <c r="M16" s="9">
        <v>1</v>
      </c>
      <c r="N16" s="9">
        <v>15</v>
      </c>
      <c r="O16" s="9" t="s">
        <v>1170</v>
      </c>
      <c r="S16" s="9" t="s">
        <v>683</v>
      </c>
      <c r="V16" s="9">
        <f ca="1">IFERROR(OFFSET(ITEM_RES!$A$5,MATCH(BUILDING!U16,ITEM_RES!$J$5:$J$229,0)-1,0),0)</f>
        <v>0</v>
      </c>
      <c r="X16" s="84" t="s">
        <v>538</v>
      </c>
      <c r="Y16" s="9">
        <f ca="1">IFERROR(OFFSET(ITEM_RES!$A$5,MATCH(BUILDING!X16,ITEM_RES!$J$5:$J$229,0)-1,0),0)</f>
        <v>211010101</v>
      </c>
      <c r="AA16" s="9" t="s">
        <v>508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427</v>
      </c>
      <c r="AU16" s="11">
        <v>5200000</v>
      </c>
      <c r="AX16" s="11">
        <f ca="1">IFERROR(OFFSET(ITEM_RES!$A$1,MATCH(AY16,ITEM_RES!$J:$J,0)-1,0),0)</f>
        <v>211020101</v>
      </c>
      <c r="AY16" s="10" t="s">
        <v>448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566</v>
      </c>
      <c r="M17" s="9">
        <v>1</v>
      </c>
      <c r="N17" s="9">
        <v>15</v>
      </c>
      <c r="O17" s="9" t="s">
        <v>1170</v>
      </c>
      <c r="S17" s="9" t="s">
        <v>683</v>
      </c>
      <c r="V17" s="9">
        <f ca="1">IFERROR(OFFSET(ITEM_RES!$A$5,MATCH(BUILDING!U17,ITEM_RES!$J$5:$J$229,0)-1,0),0)</f>
        <v>0</v>
      </c>
      <c r="X17" s="84" t="s">
        <v>538</v>
      </c>
      <c r="Y17" s="9">
        <f ca="1">IFERROR(OFFSET(ITEM_RES!$A$5,MATCH(BUILDING!X17,ITEM_RES!$J$5:$J$229,0)-1,0),0)</f>
        <v>211010101</v>
      </c>
      <c r="AA17" s="9" t="s">
        <v>508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427</v>
      </c>
      <c r="AU17" s="11">
        <v>8600000</v>
      </c>
      <c r="AX17" s="11">
        <f ca="1">IFERROR(OFFSET(ITEM_RES!$A$1,MATCH(AY17,ITEM_RES!$J:$J,0)-1,0),0)</f>
        <v>211020101</v>
      </c>
      <c r="AY17" s="10" t="s">
        <v>448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566</v>
      </c>
      <c r="M18" s="9">
        <v>1</v>
      </c>
      <c r="N18" s="9">
        <v>15</v>
      </c>
      <c r="O18" s="9" t="s">
        <v>1170</v>
      </c>
      <c r="S18" s="9" t="s">
        <v>683</v>
      </c>
      <c r="V18" s="9">
        <f ca="1">IFERROR(OFFSET(ITEM_RES!$A$5,MATCH(BUILDING!U18,ITEM_RES!$J$5:$J$229,0)-1,0),0)</f>
        <v>0</v>
      </c>
      <c r="X18" s="84" t="s">
        <v>538</v>
      </c>
      <c r="Y18" s="9">
        <f ca="1">IFERROR(OFFSET(ITEM_RES!$A$5,MATCH(BUILDING!X18,ITEM_RES!$J$5:$J$229,0)-1,0),0)</f>
        <v>211010101</v>
      </c>
      <c r="AA18" s="9" t="s">
        <v>508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427</v>
      </c>
      <c r="AU18" s="11">
        <v>13200000</v>
      </c>
      <c r="AX18" s="11">
        <f ca="1">IFERROR(OFFSET(ITEM_RES!$A$1,MATCH(AY18,ITEM_RES!$J:$J,0)-1,0),0)</f>
        <v>211020101</v>
      </c>
      <c r="AY18" s="10" t="s">
        <v>448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566</v>
      </c>
      <c r="M19" s="9">
        <v>1</v>
      </c>
      <c r="N19" s="9">
        <v>15</v>
      </c>
      <c r="O19" s="9" t="s">
        <v>1170</v>
      </c>
      <c r="S19" s="9" t="s">
        <v>683</v>
      </c>
      <c r="V19" s="9">
        <f ca="1">IFERROR(OFFSET(ITEM_RES!$A$5,MATCH(BUILDING!U19,ITEM_RES!$J$5:$J$229,0)-1,0),0)</f>
        <v>0</v>
      </c>
      <c r="X19" s="84" t="s">
        <v>538</v>
      </c>
      <c r="Y19" s="9">
        <f ca="1">IFERROR(OFFSET(ITEM_RES!$A$5,MATCH(BUILDING!X19,ITEM_RES!$J$5:$J$229,0)-1,0),0)</f>
        <v>211010101</v>
      </c>
      <c r="AA19" s="9" t="s">
        <v>508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427</v>
      </c>
      <c r="AU19" s="11">
        <v>22000000</v>
      </c>
      <c r="AX19" s="11">
        <f ca="1">IFERROR(OFFSET(ITEM_RES!$A$1,MATCH(AY19,ITEM_RES!$J:$J,0)-1,0),0)</f>
        <v>211020101</v>
      </c>
      <c r="AY19" s="10" t="s">
        <v>448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566</v>
      </c>
      <c r="M20" s="9">
        <v>0</v>
      </c>
      <c r="N20" s="9">
        <v>15</v>
      </c>
      <c r="O20" s="9" t="s">
        <v>1170</v>
      </c>
      <c r="S20" s="9" t="s">
        <v>684</v>
      </c>
      <c r="V20" s="9">
        <f ca="1">IFERROR(OFFSET(ITEM_RES!$A$5,MATCH(BUILDING!U20,ITEM_RES!$J$5:$J$229,0)-1,0),0)</f>
        <v>0</v>
      </c>
      <c r="X20" s="84" t="s">
        <v>538</v>
      </c>
      <c r="Y20" s="9">
        <f ca="1">IFERROR(OFFSET(ITEM_RES!$A$5,MATCH(BUILDING!X20,ITEM_RES!$J$5:$J$229,0)-1,0),0)</f>
        <v>211010101</v>
      </c>
      <c r="AA20" s="9" t="s">
        <v>508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443</v>
      </c>
      <c r="AU20" s="11">
        <v>30000000</v>
      </c>
      <c r="AX20" s="11">
        <f ca="1">IFERROR(OFFSET(ITEM_RES!$A$1,MATCH(AY20,ITEM_RES!$J:$J,0)-1,0),0)</f>
        <v>211020101</v>
      </c>
      <c r="AY20" s="10" t="s">
        <v>448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566</v>
      </c>
      <c r="M21" s="9">
        <v>0</v>
      </c>
      <c r="N21" s="9">
        <v>15</v>
      </c>
      <c r="O21" s="9" t="s">
        <v>1170</v>
      </c>
      <c r="S21" s="9" t="s">
        <v>684</v>
      </c>
      <c r="V21" s="9">
        <f ca="1">IFERROR(OFFSET(ITEM_RES!$A$5,MATCH(BUILDING!U21,ITEM_RES!$J$5:$J$229,0)-1,0),0)</f>
        <v>0</v>
      </c>
      <c r="X21" s="84" t="s">
        <v>538</v>
      </c>
      <c r="Y21" s="9">
        <f ca="1">IFERROR(OFFSET(ITEM_RES!$A$5,MATCH(BUILDING!X21,ITEM_RES!$J$5:$J$229,0)-1,0),0)</f>
        <v>211010101</v>
      </c>
      <c r="AA21" s="9" t="s">
        <v>508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443</v>
      </c>
      <c r="AU21" s="11">
        <v>46000000</v>
      </c>
      <c r="AX21" s="11">
        <f ca="1">IFERROR(OFFSET(ITEM_RES!$A$1,MATCH(AY21,ITEM_RES!$J:$J,0)-1,0),0)</f>
        <v>211020101</v>
      </c>
      <c r="AY21" s="10" t="s">
        <v>448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566</v>
      </c>
      <c r="M22" s="9">
        <v>0</v>
      </c>
      <c r="N22" s="9">
        <v>15</v>
      </c>
      <c r="O22" s="9" t="s">
        <v>1170</v>
      </c>
      <c r="S22" s="9" t="s">
        <v>684</v>
      </c>
      <c r="V22" s="9">
        <f ca="1">IFERROR(OFFSET(ITEM_RES!$A$5,MATCH(BUILDING!U22,ITEM_RES!$J$5:$J$229,0)-1,0),0)</f>
        <v>0</v>
      </c>
      <c r="X22" s="84" t="s">
        <v>538</v>
      </c>
      <c r="Y22" s="9">
        <f ca="1">IFERROR(OFFSET(ITEM_RES!$A$5,MATCH(BUILDING!X22,ITEM_RES!$J$5:$J$229,0)-1,0),0)</f>
        <v>211010101</v>
      </c>
      <c r="AA22" s="9" t="s">
        <v>508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443</v>
      </c>
      <c r="AU22" s="11">
        <v>70000000</v>
      </c>
      <c r="AX22" s="11">
        <f ca="1">IFERROR(OFFSET(ITEM_RES!$A$1,MATCH(AY22,ITEM_RES!$J:$J,0)-1,0),0)</f>
        <v>211020101</v>
      </c>
      <c r="AY22" s="10" t="s">
        <v>448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566</v>
      </c>
      <c r="M23" s="9">
        <v>0</v>
      </c>
      <c r="N23" s="9">
        <v>15</v>
      </c>
      <c r="O23" s="9" t="s">
        <v>1170</v>
      </c>
      <c r="S23" s="9" t="s">
        <v>684</v>
      </c>
      <c r="V23" s="9">
        <f ca="1">IFERROR(OFFSET(ITEM_RES!$A$5,MATCH(BUILDING!U23,ITEM_RES!$J$5:$J$229,0)-1,0),0)</f>
        <v>0</v>
      </c>
      <c r="X23" s="84" t="s">
        <v>538</v>
      </c>
      <c r="Y23" s="9">
        <f ca="1">IFERROR(OFFSET(ITEM_RES!$A$5,MATCH(BUILDING!X23,ITEM_RES!$J$5:$J$229,0)-1,0),0)</f>
        <v>211010101</v>
      </c>
      <c r="AA23" s="9" t="s">
        <v>508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443</v>
      </c>
      <c r="AU23" s="11">
        <v>96000000</v>
      </c>
      <c r="AX23" s="11">
        <f ca="1">IFERROR(OFFSET(ITEM_RES!$A$1,MATCH(AY23,ITEM_RES!$J:$J,0)-1,0),0)</f>
        <v>211020101</v>
      </c>
      <c r="AY23" s="10" t="s">
        <v>448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566</v>
      </c>
      <c r="M24" s="9">
        <v>0</v>
      </c>
      <c r="N24" s="9">
        <v>15</v>
      </c>
      <c r="O24" s="9" t="s">
        <v>1170</v>
      </c>
      <c r="S24" s="9" t="s">
        <v>685</v>
      </c>
      <c r="V24" s="9">
        <f ca="1">IFERROR(OFFSET(ITEM_RES!$A$5,MATCH(BUILDING!U24,ITEM_RES!$J$5:$J$229,0)-1,0),0)</f>
        <v>0</v>
      </c>
      <c r="X24" s="84" t="s">
        <v>538</v>
      </c>
      <c r="Y24" s="9">
        <f ca="1">IFERROR(OFFSET(ITEM_RES!$A$5,MATCH(BUILDING!X24,ITEM_RES!$J$5:$J$229,0)-1,0),0)</f>
        <v>211010101</v>
      </c>
      <c r="AA24" s="9" t="s">
        <v>508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443</v>
      </c>
      <c r="AU24" s="11">
        <v>152000000</v>
      </c>
      <c r="AX24" s="11">
        <f ca="1">IFERROR(OFFSET(ITEM_RES!$A$1,MATCH(AY24,ITEM_RES!$J:$J,0)-1,0),0)</f>
        <v>211020101</v>
      </c>
      <c r="AY24" s="10" t="s">
        <v>448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567</v>
      </c>
      <c r="L25" s="16">
        <v>5</v>
      </c>
      <c r="M25" s="16">
        <v>1</v>
      </c>
      <c r="N25" s="16">
        <v>15</v>
      </c>
      <c r="O25" s="16" t="s">
        <v>1172</v>
      </c>
      <c r="P25" s="17"/>
      <c r="Q25" s="17"/>
      <c r="R25" s="18"/>
      <c r="S25" s="16" t="s">
        <v>687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539</v>
      </c>
      <c r="Y25" s="16">
        <f ca="1">IFERROR(OFFSET(ITEM_RES!$A$5,MATCH(BUILDING!X25,ITEM_RES!$J$5:$J$229,0)-1,0),0)</f>
        <v>211010201</v>
      </c>
      <c r="Z25" s="78"/>
      <c r="AA25" s="16" t="s">
        <v>509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428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448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452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1173</v>
      </c>
      <c r="S26" s="9" t="s">
        <v>687</v>
      </c>
      <c r="V26" s="9">
        <f ca="1">IFERROR(OFFSET(ITEM_RES!$A$5,MATCH(BUILDING!U26,ITEM_RES!$J$5:$J$229,0)-1,0),0)</f>
        <v>0</v>
      </c>
      <c r="X26" s="84" t="s">
        <v>539</v>
      </c>
      <c r="Y26" s="9">
        <f ca="1">IFERROR(OFFSET(ITEM_RES!$A$5,MATCH(BUILDING!X26,ITEM_RES!$J$5:$J$229,0)-1,0),0)</f>
        <v>211010201</v>
      </c>
      <c r="AA26" s="9" t="s">
        <v>509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428</v>
      </c>
      <c r="AU26" s="11">
        <v>20</v>
      </c>
      <c r="AX26" s="11">
        <f ca="1">IFERROR(OFFSET(ITEM_RES!$A$1,MATCH(AY26,ITEM_RES!$J:$J,0)-1,0),0)</f>
        <v>211020101</v>
      </c>
      <c r="AY26" s="10" t="s">
        <v>448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1174</v>
      </c>
      <c r="S27" s="9" t="s">
        <v>687</v>
      </c>
      <c r="V27" s="9">
        <f ca="1">IFERROR(OFFSET(ITEM_RES!$A$5,MATCH(BUILDING!U27,ITEM_RES!$J$5:$J$229,0)-1,0),0)</f>
        <v>0</v>
      </c>
      <c r="X27" s="84" t="s">
        <v>539</v>
      </c>
      <c r="Y27" s="9">
        <f ca="1">IFERROR(OFFSET(ITEM_RES!$A$5,MATCH(BUILDING!X27,ITEM_RES!$J$5:$J$229,0)-1,0),0)</f>
        <v>211010201</v>
      </c>
      <c r="AA27" s="9" t="s">
        <v>509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428</v>
      </c>
      <c r="AU27" s="11">
        <v>160</v>
      </c>
      <c r="AX27" s="11">
        <f ca="1">IFERROR(OFFSET(ITEM_RES!$A$1,MATCH(AY27,ITEM_RES!$J:$J,0)-1,0),0)</f>
        <v>211020101</v>
      </c>
      <c r="AY27" s="10" t="s">
        <v>448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1174</v>
      </c>
      <c r="S28" s="9" t="s">
        <v>687</v>
      </c>
      <c r="V28" s="9">
        <f ca="1">IFERROR(OFFSET(ITEM_RES!$A$5,MATCH(BUILDING!U28,ITEM_RES!$J$5:$J$229,0)-1,0),0)</f>
        <v>0</v>
      </c>
      <c r="X28" s="84" t="s">
        <v>539</v>
      </c>
      <c r="Y28" s="9">
        <f ca="1">IFERROR(OFFSET(ITEM_RES!$A$5,MATCH(BUILDING!X28,ITEM_RES!$J$5:$J$229,0)-1,0),0)</f>
        <v>211010201</v>
      </c>
      <c r="AA28" s="9" t="s">
        <v>509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428</v>
      </c>
      <c r="AU28" s="11">
        <v>1920</v>
      </c>
      <c r="AX28" s="11">
        <f ca="1">IFERROR(OFFSET(ITEM_RES!$A$1,MATCH(AY28,ITEM_RES!$J:$J,0)-1,0),0)</f>
        <v>211020101</v>
      </c>
      <c r="AY28" s="10" t="s">
        <v>448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1175</v>
      </c>
      <c r="S29" s="9" t="s">
        <v>687</v>
      </c>
      <c r="V29" s="9">
        <f ca="1">IFERROR(OFFSET(ITEM_RES!$A$5,MATCH(BUILDING!U29,ITEM_RES!$J$5:$J$229,0)-1,0),0)</f>
        <v>0</v>
      </c>
      <c r="X29" s="84" t="s">
        <v>539</v>
      </c>
      <c r="Y29" s="9">
        <f ca="1">IFERROR(OFFSET(ITEM_RES!$A$5,MATCH(BUILDING!X29,ITEM_RES!$J$5:$J$229,0)-1,0),0)</f>
        <v>211010201</v>
      </c>
      <c r="AA29" s="9" t="s">
        <v>509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428</v>
      </c>
      <c r="AU29" s="11">
        <v>26000</v>
      </c>
      <c r="AX29" s="11">
        <f ca="1">IFERROR(OFFSET(ITEM_RES!$A$1,MATCH(AY29,ITEM_RES!$J:$J,0)-1,0),0)</f>
        <v>211020101</v>
      </c>
      <c r="AY29" s="10" t="s">
        <v>448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1176</v>
      </c>
      <c r="S30" s="9" t="s">
        <v>687</v>
      </c>
      <c r="V30" s="9">
        <f ca="1">IFERROR(OFFSET(ITEM_RES!$A$5,MATCH(BUILDING!U30,ITEM_RES!$J$5:$J$229,0)-1,0),0)</f>
        <v>0</v>
      </c>
      <c r="X30" s="84" t="s">
        <v>539</v>
      </c>
      <c r="Y30" s="9">
        <f ca="1">IFERROR(OFFSET(ITEM_RES!$A$5,MATCH(BUILDING!X30,ITEM_RES!$J$5:$J$229,0)-1,0),0)</f>
        <v>211010201</v>
      </c>
      <c r="AA30" s="9" t="s">
        <v>509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428</v>
      </c>
      <c r="AU30" s="11">
        <v>240000</v>
      </c>
      <c r="AX30" s="11">
        <f ca="1">IFERROR(OFFSET(ITEM_RES!$A$1,MATCH(AY30,ITEM_RES!$J:$J,0)-1,0),0)</f>
        <v>211020101</v>
      </c>
      <c r="AY30" s="10" t="s">
        <v>448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1177</v>
      </c>
      <c r="S31" s="9" t="s">
        <v>687</v>
      </c>
      <c r="V31" s="9">
        <f ca="1">IFERROR(OFFSET(ITEM_RES!$A$5,MATCH(BUILDING!U31,ITEM_RES!$J$5:$J$229,0)-1,0),0)</f>
        <v>0</v>
      </c>
      <c r="X31" s="84" t="s">
        <v>539</v>
      </c>
      <c r="Y31" s="9">
        <f ca="1">IFERROR(OFFSET(ITEM_RES!$A$5,MATCH(BUILDING!X31,ITEM_RES!$J$5:$J$229,0)-1,0),0)</f>
        <v>211010201</v>
      </c>
      <c r="AA31" s="9" t="s">
        <v>509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428</v>
      </c>
      <c r="AU31" s="11">
        <v>540000</v>
      </c>
      <c r="AX31" s="11">
        <f ca="1">IFERROR(OFFSET(ITEM_RES!$A$1,MATCH(AY31,ITEM_RES!$J:$J,0)-1,0),0)</f>
        <v>211020101</v>
      </c>
      <c r="AY31" s="10" t="s">
        <v>448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1177</v>
      </c>
      <c r="S32" s="9" t="s">
        <v>687</v>
      </c>
      <c r="V32" s="9">
        <f ca="1">IFERROR(OFFSET(ITEM_RES!$A$5,MATCH(BUILDING!U32,ITEM_RES!$J$5:$J$229,0)-1,0),0)</f>
        <v>0</v>
      </c>
      <c r="X32" s="84" t="s">
        <v>539</v>
      </c>
      <c r="Y32" s="9">
        <f ca="1">IFERROR(OFFSET(ITEM_RES!$A$5,MATCH(BUILDING!X32,ITEM_RES!$J$5:$J$229,0)-1,0),0)</f>
        <v>211010201</v>
      </c>
      <c r="AA32" s="9" t="s">
        <v>509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428</v>
      </c>
      <c r="AU32" s="11">
        <v>1000000</v>
      </c>
      <c r="AX32" s="11">
        <f ca="1">IFERROR(OFFSET(ITEM_RES!$A$1,MATCH(AY32,ITEM_RES!$J:$J,0)-1,0),0)</f>
        <v>211020101</v>
      </c>
      <c r="AY32" s="10" t="s">
        <v>448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1177</v>
      </c>
      <c r="S33" s="9" t="s">
        <v>687</v>
      </c>
      <c r="V33" s="9">
        <f ca="1">IFERROR(OFFSET(ITEM_RES!$A$5,MATCH(BUILDING!U33,ITEM_RES!$J$5:$J$229,0)-1,0),0)</f>
        <v>0</v>
      </c>
      <c r="X33" s="84" t="s">
        <v>539</v>
      </c>
      <c r="Y33" s="9">
        <f ca="1">IFERROR(OFFSET(ITEM_RES!$A$5,MATCH(BUILDING!X33,ITEM_RES!$J$5:$J$229,0)-1,0),0)</f>
        <v>211010201</v>
      </c>
      <c r="AA33" s="9" t="s">
        <v>509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428</v>
      </c>
      <c r="AU33" s="11">
        <v>1580000</v>
      </c>
      <c r="AX33" s="11">
        <f ca="1">IFERROR(OFFSET(ITEM_RES!$A$1,MATCH(AY33,ITEM_RES!$J:$J,0)-1,0),0)</f>
        <v>211020101</v>
      </c>
      <c r="AY33" s="10" t="s">
        <v>448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1177</v>
      </c>
      <c r="S34" s="9" t="s">
        <v>687</v>
      </c>
      <c r="V34" s="9">
        <f ca="1">IFERROR(OFFSET(ITEM_RES!$A$5,MATCH(BUILDING!U34,ITEM_RES!$J$5:$J$229,0)-1,0),0)</f>
        <v>0</v>
      </c>
      <c r="X34" s="84" t="s">
        <v>539</v>
      </c>
      <c r="Y34" s="9">
        <f ca="1">IFERROR(OFFSET(ITEM_RES!$A$5,MATCH(BUILDING!X34,ITEM_RES!$J$5:$J$229,0)-1,0),0)</f>
        <v>211010201</v>
      </c>
      <c r="AA34" s="9" t="s">
        <v>509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428</v>
      </c>
      <c r="AU34" s="11">
        <v>2200000</v>
      </c>
      <c r="AX34" s="11">
        <f ca="1">IFERROR(OFFSET(ITEM_RES!$A$1,MATCH(AY34,ITEM_RES!$J:$J,0)-1,0),0)</f>
        <v>211020101</v>
      </c>
      <c r="AY34" s="10" t="s">
        <v>448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1177</v>
      </c>
      <c r="S35" s="9" t="s">
        <v>687</v>
      </c>
      <c r="V35" s="9">
        <f ca="1">IFERROR(OFFSET(ITEM_RES!$A$5,MATCH(BUILDING!U35,ITEM_RES!$J$5:$J$229,0)-1,0),0)</f>
        <v>0</v>
      </c>
      <c r="X35" s="84" t="s">
        <v>539</v>
      </c>
      <c r="Y35" s="9">
        <f ca="1">IFERROR(OFFSET(ITEM_RES!$A$5,MATCH(BUILDING!X35,ITEM_RES!$J$5:$J$229,0)-1,0),0)</f>
        <v>211010201</v>
      </c>
      <c r="AA35" s="9" t="s">
        <v>509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428</v>
      </c>
      <c r="AU35" s="11">
        <v>4400000</v>
      </c>
      <c r="AX35" s="11">
        <f ca="1">IFERROR(OFFSET(ITEM_RES!$A$1,MATCH(AY35,ITEM_RES!$J:$J,0)-1,0),0)</f>
        <v>211020101</v>
      </c>
      <c r="AY35" s="10" t="s">
        <v>448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1177</v>
      </c>
      <c r="S36" s="9" t="s">
        <v>687</v>
      </c>
      <c r="V36" s="9">
        <f ca="1">IFERROR(OFFSET(ITEM_RES!$A$5,MATCH(BUILDING!U36,ITEM_RES!$J$5:$J$229,0)-1,0),0)</f>
        <v>0</v>
      </c>
      <c r="X36" s="84" t="s">
        <v>539</v>
      </c>
      <c r="Y36" s="9">
        <f ca="1">IFERROR(OFFSET(ITEM_RES!$A$5,MATCH(BUILDING!X36,ITEM_RES!$J$5:$J$229,0)-1,0),0)</f>
        <v>211010201</v>
      </c>
      <c r="AA36" s="9" t="s">
        <v>509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428</v>
      </c>
      <c r="AU36" s="11">
        <v>5200000</v>
      </c>
      <c r="AX36" s="11">
        <f ca="1">IFERROR(OFFSET(ITEM_RES!$A$1,MATCH(AY36,ITEM_RES!$J:$J,0)-1,0),0)</f>
        <v>211020101</v>
      </c>
      <c r="AY36" s="10" t="s">
        <v>448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1177</v>
      </c>
      <c r="S37" s="9" t="s">
        <v>687</v>
      </c>
      <c r="V37" s="9">
        <f ca="1">IFERROR(OFFSET(ITEM_RES!$A$5,MATCH(BUILDING!U37,ITEM_RES!$J$5:$J$229,0)-1,0),0)</f>
        <v>0</v>
      </c>
      <c r="X37" s="84" t="s">
        <v>539</v>
      </c>
      <c r="Y37" s="9">
        <f ca="1">IFERROR(OFFSET(ITEM_RES!$A$5,MATCH(BUILDING!X37,ITEM_RES!$J$5:$J$229,0)-1,0),0)</f>
        <v>211010201</v>
      </c>
      <c r="AA37" s="9" t="s">
        <v>509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428</v>
      </c>
      <c r="AU37" s="11">
        <v>8600000</v>
      </c>
      <c r="AX37" s="11">
        <f ca="1">IFERROR(OFFSET(ITEM_RES!$A$1,MATCH(AY37,ITEM_RES!$J:$J,0)-1,0),0)</f>
        <v>211020101</v>
      </c>
      <c r="AY37" s="10" t="s">
        <v>448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1177</v>
      </c>
      <c r="S38" s="9" t="s">
        <v>687</v>
      </c>
      <c r="V38" s="9">
        <f ca="1">IFERROR(OFFSET(ITEM_RES!$A$5,MATCH(BUILDING!U38,ITEM_RES!$J$5:$J$229,0)-1,0),0)</f>
        <v>0</v>
      </c>
      <c r="X38" s="84" t="s">
        <v>539</v>
      </c>
      <c r="Y38" s="9">
        <f ca="1">IFERROR(OFFSET(ITEM_RES!$A$5,MATCH(BUILDING!X38,ITEM_RES!$J$5:$J$229,0)-1,0),0)</f>
        <v>211010201</v>
      </c>
      <c r="AA38" s="9" t="s">
        <v>509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428</v>
      </c>
      <c r="AU38" s="11">
        <v>13200000</v>
      </c>
      <c r="AX38" s="11">
        <f ca="1">IFERROR(OFFSET(ITEM_RES!$A$1,MATCH(AY38,ITEM_RES!$J:$J,0)-1,0),0)</f>
        <v>211020101</v>
      </c>
      <c r="AY38" s="10" t="s">
        <v>448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1177</v>
      </c>
      <c r="S39" s="9" t="s">
        <v>687</v>
      </c>
      <c r="V39" s="9">
        <f ca="1">IFERROR(OFFSET(ITEM_RES!$A$5,MATCH(BUILDING!U39,ITEM_RES!$J$5:$J$229,0)-1,0),0)</f>
        <v>0</v>
      </c>
      <c r="X39" s="84" t="s">
        <v>539</v>
      </c>
      <c r="Y39" s="9">
        <f ca="1">IFERROR(OFFSET(ITEM_RES!$A$5,MATCH(BUILDING!X39,ITEM_RES!$J$5:$J$229,0)-1,0),0)</f>
        <v>211010201</v>
      </c>
      <c r="AA39" s="9" t="s">
        <v>509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443</v>
      </c>
      <c r="AU39" s="11">
        <v>22000000</v>
      </c>
      <c r="AX39" s="11">
        <f ca="1">IFERROR(OFFSET(ITEM_RES!$A$1,MATCH(AY39,ITEM_RES!$J:$J,0)-1,0),0)</f>
        <v>211020101</v>
      </c>
      <c r="AY39" s="10" t="s">
        <v>448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1177</v>
      </c>
      <c r="S40" s="9" t="s">
        <v>687</v>
      </c>
      <c r="V40" s="9">
        <f ca="1">IFERROR(OFFSET(ITEM_RES!$A$5,MATCH(BUILDING!U40,ITEM_RES!$J$5:$J$229,0)-1,0),0)</f>
        <v>0</v>
      </c>
      <c r="X40" s="84" t="s">
        <v>539</v>
      </c>
      <c r="Y40" s="9">
        <f ca="1">IFERROR(OFFSET(ITEM_RES!$A$5,MATCH(BUILDING!X40,ITEM_RES!$J$5:$J$229,0)-1,0),0)</f>
        <v>211010201</v>
      </c>
      <c r="AA40" s="9" t="s">
        <v>509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443</v>
      </c>
      <c r="AU40" s="11">
        <v>30000000</v>
      </c>
      <c r="AX40" s="11">
        <f ca="1">IFERROR(OFFSET(ITEM_RES!$A$1,MATCH(AY40,ITEM_RES!$J:$J,0)-1,0),0)</f>
        <v>211020101</v>
      </c>
      <c r="AY40" s="10" t="s">
        <v>448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1177</v>
      </c>
      <c r="S41" s="9" t="s">
        <v>687</v>
      </c>
      <c r="V41" s="9">
        <f ca="1">IFERROR(OFFSET(ITEM_RES!$A$5,MATCH(BUILDING!U41,ITEM_RES!$J$5:$J$229,0)-1,0),0)</f>
        <v>0</v>
      </c>
      <c r="X41" s="84" t="s">
        <v>539</v>
      </c>
      <c r="Y41" s="9">
        <f ca="1">IFERROR(OFFSET(ITEM_RES!$A$5,MATCH(BUILDING!X41,ITEM_RES!$J$5:$J$229,0)-1,0),0)</f>
        <v>211010201</v>
      </c>
      <c r="AA41" s="9" t="s">
        <v>509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443</v>
      </c>
      <c r="AU41" s="11">
        <v>46000000</v>
      </c>
      <c r="AX41" s="11">
        <f ca="1">IFERROR(OFFSET(ITEM_RES!$A$1,MATCH(AY41,ITEM_RES!$J:$J,0)-1,0),0)</f>
        <v>211020101</v>
      </c>
      <c r="AY41" s="10" t="s">
        <v>448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1177</v>
      </c>
      <c r="S42" s="9" t="s">
        <v>687</v>
      </c>
      <c r="V42" s="9">
        <f ca="1">IFERROR(OFFSET(ITEM_RES!$A$5,MATCH(BUILDING!U42,ITEM_RES!$J$5:$J$229,0)-1,0),0)</f>
        <v>0</v>
      </c>
      <c r="X42" s="84" t="s">
        <v>539</v>
      </c>
      <c r="Y42" s="9">
        <f ca="1">IFERROR(OFFSET(ITEM_RES!$A$5,MATCH(BUILDING!X42,ITEM_RES!$J$5:$J$229,0)-1,0),0)</f>
        <v>211010201</v>
      </c>
      <c r="AA42" s="9" t="s">
        <v>509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443</v>
      </c>
      <c r="AU42" s="11">
        <v>70000000</v>
      </c>
      <c r="AX42" s="11">
        <f ca="1">IFERROR(OFFSET(ITEM_RES!$A$1,MATCH(AY42,ITEM_RES!$J:$J,0)-1,0),0)</f>
        <v>211020101</v>
      </c>
      <c r="AY42" s="10" t="s">
        <v>448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1177</v>
      </c>
      <c r="S43" s="9" t="s">
        <v>687</v>
      </c>
      <c r="V43" s="9">
        <f ca="1">IFERROR(OFFSET(ITEM_RES!$A$5,MATCH(BUILDING!U43,ITEM_RES!$J$5:$J$229,0)-1,0),0)</f>
        <v>0</v>
      </c>
      <c r="X43" s="84" t="s">
        <v>539</v>
      </c>
      <c r="Y43" s="9">
        <f ca="1">IFERROR(OFFSET(ITEM_RES!$A$5,MATCH(BUILDING!X43,ITEM_RES!$J$5:$J$229,0)-1,0),0)</f>
        <v>211010201</v>
      </c>
      <c r="AA43" s="9" t="s">
        <v>509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443</v>
      </c>
      <c r="AU43" s="11">
        <v>96000000</v>
      </c>
      <c r="AX43" s="11">
        <f ca="1">IFERROR(OFFSET(ITEM_RES!$A$1,MATCH(AY43,ITEM_RES!$J:$J,0)-1,0),0)</f>
        <v>211020101</v>
      </c>
      <c r="AY43" s="10" t="s">
        <v>448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1177</v>
      </c>
      <c r="S44" s="9" t="s">
        <v>687</v>
      </c>
      <c r="V44" s="9">
        <f ca="1">IFERROR(OFFSET(ITEM_RES!$A$5,MATCH(BUILDING!U44,ITEM_RES!$J$5:$J$229,0)-1,0),0)</f>
        <v>0</v>
      </c>
      <c r="X44" s="84" t="s">
        <v>539</v>
      </c>
      <c r="Y44" s="9">
        <f ca="1">IFERROR(OFFSET(ITEM_RES!$A$5,MATCH(BUILDING!X44,ITEM_RES!$J$5:$J$229,0)-1,0),0)</f>
        <v>211010201</v>
      </c>
      <c r="AA44" s="9" t="s">
        <v>509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443</v>
      </c>
      <c r="AU44" s="11">
        <v>152000000</v>
      </c>
      <c r="AX44" s="11">
        <f ca="1">IFERROR(OFFSET(ITEM_RES!$A$1,MATCH(AY44,ITEM_RES!$J:$J,0)-1,0),0)</f>
        <v>211020101</v>
      </c>
      <c r="AY44" s="10" t="s">
        <v>448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1160</v>
      </c>
      <c r="P45" s="17"/>
      <c r="Q45" s="17"/>
      <c r="R45" s="18"/>
      <c r="S45" s="16" t="s">
        <v>688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540</v>
      </c>
      <c r="Y45" s="16">
        <f ca="1">IFERROR(OFFSET(ITEM_RES!$A$5,MATCH(BUILDING!X45,ITEM_RES!$J$5:$J$229,0)-1,0),0)</f>
        <v>211010301</v>
      </c>
      <c r="Z45" s="78"/>
      <c r="AA45" s="16" t="s">
        <v>510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429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448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452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1161</v>
      </c>
      <c r="S46" s="9" t="s">
        <v>688</v>
      </c>
      <c r="V46" s="9">
        <f ca="1">IFERROR(OFFSET(ITEM_RES!$A$5,MATCH(BUILDING!U46,ITEM_RES!$J$5:$J$229,0)-1,0),0)</f>
        <v>0</v>
      </c>
      <c r="X46" s="84" t="s">
        <v>540</v>
      </c>
      <c r="Y46" s="9">
        <f ca="1">IFERROR(OFFSET(ITEM_RES!$A$5,MATCH(BUILDING!X46,ITEM_RES!$J$5:$J$229,0)-1,0),0)</f>
        <v>211010301</v>
      </c>
      <c r="AA46" s="9" t="s">
        <v>510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429</v>
      </c>
      <c r="AU46" s="11">
        <v>20</v>
      </c>
      <c r="AX46" s="11">
        <f ca="1">IFERROR(OFFSET(ITEM_RES!$A$1,MATCH(AY46,ITEM_RES!$J:$J,0)-1,0),0)</f>
        <v>211020101</v>
      </c>
      <c r="AY46" s="10" t="s">
        <v>448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1162</v>
      </c>
      <c r="S47" s="9" t="s">
        <v>688</v>
      </c>
      <c r="V47" s="9">
        <f ca="1">IFERROR(OFFSET(ITEM_RES!$A$5,MATCH(BUILDING!U47,ITEM_RES!$J$5:$J$229,0)-1,0),0)</f>
        <v>0</v>
      </c>
      <c r="X47" s="84" t="s">
        <v>540</v>
      </c>
      <c r="Y47" s="9">
        <f ca="1">IFERROR(OFFSET(ITEM_RES!$A$5,MATCH(BUILDING!X47,ITEM_RES!$J$5:$J$229,0)-1,0),0)</f>
        <v>211010301</v>
      </c>
      <c r="AA47" s="9" t="s">
        <v>510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429</v>
      </c>
      <c r="AU47" s="11">
        <v>160</v>
      </c>
      <c r="AX47" s="11">
        <f ca="1">IFERROR(OFFSET(ITEM_RES!$A$1,MATCH(AY47,ITEM_RES!$J:$J,0)-1,0),0)</f>
        <v>211020101</v>
      </c>
      <c r="AY47" s="10" t="s">
        <v>448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1162</v>
      </c>
      <c r="S48" s="9" t="s">
        <v>688</v>
      </c>
      <c r="V48" s="9">
        <f ca="1">IFERROR(OFFSET(ITEM_RES!$A$5,MATCH(BUILDING!U48,ITEM_RES!$J$5:$J$229,0)-1,0),0)</f>
        <v>0</v>
      </c>
      <c r="X48" s="84" t="s">
        <v>540</v>
      </c>
      <c r="Y48" s="9">
        <f ca="1">IFERROR(OFFSET(ITEM_RES!$A$5,MATCH(BUILDING!X48,ITEM_RES!$J$5:$J$229,0)-1,0),0)</f>
        <v>211010301</v>
      </c>
      <c r="AA48" s="9" t="s">
        <v>510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429</v>
      </c>
      <c r="AU48" s="11">
        <v>1920</v>
      </c>
      <c r="AX48" s="11">
        <f ca="1">IFERROR(OFFSET(ITEM_RES!$A$1,MATCH(AY48,ITEM_RES!$J:$J,0)-1,0),0)</f>
        <v>211020101</v>
      </c>
      <c r="AY48" s="10" t="s">
        <v>448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1163</v>
      </c>
      <c r="S49" s="9" t="s">
        <v>688</v>
      </c>
      <c r="V49" s="9">
        <f ca="1">IFERROR(OFFSET(ITEM_RES!$A$5,MATCH(BUILDING!U49,ITEM_RES!$J$5:$J$229,0)-1,0),0)</f>
        <v>0</v>
      </c>
      <c r="X49" s="84" t="s">
        <v>540</v>
      </c>
      <c r="Y49" s="9">
        <f ca="1">IFERROR(OFFSET(ITEM_RES!$A$5,MATCH(BUILDING!X49,ITEM_RES!$J$5:$J$229,0)-1,0),0)</f>
        <v>211010301</v>
      </c>
      <c r="AA49" s="9" t="s">
        <v>510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429</v>
      </c>
      <c r="AU49" s="11">
        <v>26000</v>
      </c>
      <c r="AX49" s="11">
        <f ca="1">IFERROR(OFFSET(ITEM_RES!$A$1,MATCH(AY49,ITEM_RES!$J:$J,0)-1,0),0)</f>
        <v>211020101</v>
      </c>
      <c r="AY49" s="10" t="s">
        <v>448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1164</v>
      </c>
      <c r="S50" s="9" t="s">
        <v>688</v>
      </c>
      <c r="V50" s="9">
        <f ca="1">IFERROR(OFFSET(ITEM_RES!$A$5,MATCH(BUILDING!U50,ITEM_RES!$J$5:$J$229,0)-1,0),0)</f>
        <v>0</v>
      </c>
      <c r="X50" s="84" t="s">
        <v>540</v>
      </c>
      <c r="Y50" s="9">
        <f ca="1">IFERROR(OFFSET(ITEM_RES!$A$5,MATCH(BUILDING!X50,ITEM_RES!$J$5:$J$229,0)-1,0),0)</f>
        <v>211010301</v>
      </c>
      <c r="AA50" s="9" t="s">
        <v>510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429</v>
      </c>
      <c r="AU50" s="11">
        <v>240000</v>
      </c>
      <c r="AX50" s="11">
        <f ca="1">IFERROR(OFFSET(ITEM_RES!$A$1,MATCH(AY50,ITEM_RES!$J:$J,0)-1,0),0)</f>
        <v>211020101</v>
      </c>
      <c r="AY50" s="10" t="s">
        <v>448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1165</v>
      </c>
      <c r="S51" s="9" t="s">
        <v>688</v>
      </c>
      <c r="V51" s="9">
        <f ca="1">IFERROR(OFFSET(ITEM_RES!$A$5,MATCH(BUILDING!U51,ITEM_RES!$J$5:$J$229,0)-1,0),0)</f>
        <v>0</v>
      </c>
      <c r="X51" s="84" t="s">
        <v>540</v>
      </c>
      <c r="Y51" s="9">
        <f ca="1">IFERROR(OFFSET(ITEM_RES!$A$5,MATCH(BUILDING!X51,ITEM_RES!$J$5:$J$229,0)-1,0),0)</f>
        <v>211010301</v>
      </c>
      <c r="AA51" s="9" t="s">
        <v>510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429</v>
      </c>
      <c r="AU51" s="11">
        <v>540000</v>
      </c>
      <c r="AX51" s="11">
        <f ca="1">IFERROR(OFFSET(ITEM_RES!$A$1,MATCH(AY51,ITEM_RES!$J:$J,0)-1,0),0)</f>
        <v>211020101</v>
      </c>
      <c r="AY51" s="10" t="s">
        <v>448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1165</v>
      </c>
      <c r="S52" s="9" t="s">
        <v>688</v>
      </c>
      <c r="V52" s="9">
        <f ca="1">IFERROR(OFFSET(ITEM_RES!$A$5,MATCH(BUILDING!U52,ITEM_RES!$J$5:$J$229,0)-1,0),0)</f>
        <v>0</v>
      </c>
      <c r="X52" s="84" t="s">
        <v>540</v>
      </c>
      <c r="Y52" s="9">
        <f ca="1">IFERROR(OFFSET(ITEM_RES!$A$5,MATCH(BUILDING!X52,ITEM_RES!$J$5:$J$229,0)-1,0),0)</f>
        <v>211010301</v>
      </c>
      <c r="AA52" s="9" t="s">
        <v>510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429</v>
      </c>
      <c r="AU52" s="11">
        <v>1000000</v>
      </c>
      <c r="AX52" s="11">
        <f ca="1">IFERROR(OFFSET(ITEM_RES!$A$1,MATCH(AY52,ITEM_RES!$J:$J,0)-1,0),0)</f>
        <v>211020101</v>
      </c>
      <c r="AY52" s="10" t="s">
        <v>448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1165</v>
      </c>
      <c r="S53" s="9" t="s">
        <v>688</v>
      </c>
      <c r="V53" s="9">
        <f ca="1">IFERROR(OFFSET(ITEM_RES!$A$5,MATCH(BUILDING!U53,ITEM_RES!$J$5:$J$229,0)-1,0),0)</f>
        <v>0</v>
      </c>
      <c r="X53" s="84" t="s">
        <v>540</v>
      </c>
      <c r="Y53" s="9">
        <f ca="1">IFERROR(OFFSET(ITEM_RES!$A$5,MATCH(BUILDING!X53,ITEM_RES!$J$5:$J$229,0)-1,0),0)</f>
        <v>211010301</v>
      </c>
      <c r="AA53" s="9" t="s">
        <v>510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429</v>
      </c>
      <c r="AU53" s="11">
        <v>1580000</v>
      </c>
      <c r="AX53" s="11">
        <f ca="1">IFERROR(OFFSET(ITEM_RES!$A$1,MATCH(AY53,ITEM_RES!$J:$J,0)-1,0),0)</f>
        <v>211020101</v>
      </c>
      <c r="AY53" s="10" t="s">
        <v>448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1165</v>
      </c>
      <c r="S54" s="9" t="s">
        <v>688</v>
      </c>
      <c r="V54" s="9">
        <f ca="1">IFERROR(OFFSET(ITEM_RES!$A$5,MATCH(BUILDING!U54,ITEM_RES!$J$5:$J$229,0)-1,0),0)</f>
        <v>0</v>
      </c>
      <c r="X54" s="84" t="s">
        <v>540</v>
      </c>
      <c r="Y54" s="9">
        <f ca="1">IFERROR(OFFSET(ITEM_RES!$A$5,MATCH(BUILDING!X54,ITEM_RES!$J$5:$J$229,0)-1,0),0)</f>
        <v>211010301</v>
      </c>
      <c r="AA54" s="9" t="s">
        <v>510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429</v>
      </c>
      <c r="AU54" s="11">
        <v>2200000</v>
      </c>
      <c r="AX54" s="11">
        <f ca="1">IFERROR(OFFSET(ITEM_RES!$A$1,MATCH(AY54,ITEM_RES!$J:$J,0)-1,0),0)</f>
        <v>211020101</v>
      </c>
      <c r="AY54" s="10" t="s">
        <v>448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1165</v>
      </c>
      <c r="S55" s="9" t="s">
        <v>688</v>
      </c>
      <c r="V55" s="9">
        <f ca="1">IFERROR(OFFSET(ITEM_RES!$A$5,MATCH(BUILDING!U55,ITEM_RES!$J$5:$J$229,0)-1,0),0)</f>
        <v>0</v>
      </c>
      <c r="X55" s="84" t="s">
        <v>540</v>
      </c>
      <c r="Y55" s="9">
        <f ca="1">IFERROR(OFFSET(ITEM_RES!$A$5,MATCH(BUILDING!X55,ITEM_RES!$J$5:$J$229,0)-1,0),0)</f>
        <v>211010301</v>
      </c>
      <c r="AA55" s="9" t="s">
        <v>510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429</v>
      </c>
      <c r="AU55" s="11">
        <v>4400000</v>
      </c>
      <c r="AX55" s="11">
        <f ca="1">IFERROR(OFFSET(ITEM_RES!$A$1,MATCH(AY55,ITEM_RES!$J:$J,0)-1,0),0)</f>
        <v>211020101</v>
      </c>
      <c r="AY55" s="10" t="s">
        <v>448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1165</v>
      </c>
      <c r="S56" s="9" t="s">
        <v>688</v>
      </c>
      <c r="V56" s="9">
        <f ca="1">IFERROR(OFFSET(ITEM_RES!$A$5,MATCH(BUILDING!U56,ITEM_RES!$J$5:$J$229,0)-1,0),0)</f>
        <v>0</v>
      </c>
      <c r="X56" s="84" t="s">
        <v>540</v>
      </c>
      <c r="Y56" s="9">
        <f ca="1">IFERROR(OFFSET(ITEM_RES!$A$5,MATCH(BUILDING!X56,ITEM_RES!$J$5:$J$229,0)-1,0),0)</f>
        <v>211010301</v>
      </c>
      <c r="AA56" s="9" t="s">
        <v>510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429</v>
      </c>
      <c r="AU56" s="11">
        <v>5200000</v>
      </c>
      <c r="AX56" s="11">
        <f ca="1">IFERROR(OFFSET(ITEM_RES!$A$1,MATCH(AY56,ITEM_RES!$J:$J,0)-1,0),0)</f>
        <v>211020101</v>
      </c>
      <c r="AY56" s="10" t="s">
        <v>448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1165</v>
      </c>
      <c r="S57" s="9" t="s">
        <v>688</v>
      </c>
      <c r="V57" s="9">
        <f ca="1">IFERROR(OFFSET(ITEM_RES!$A$5,MATCH(BUILDING!U57,ITEM_RES!$J$5:$J$229,0)-1,0),0)</f>
        <v>0</v>
      </c>
      <c r="X57" s="84" t="s">
        <v>540</v>
      </c>
      <c r="Y57" s="9">
        <f ca="1">IFERROR(OFFSET(ITEM_RES!$A$5,MATCH(BUILDING!X57,ITEM_RES!$J$5:$J$229,0)-1,0),0)</f>
        <v>211010301</v>
      </c>
      <c r="AA57" s="9" t="s">
        <v>510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429</v>
      </c>
      <c r="AU57" s="11">
        <v>8600000</v>
      </c>
      <c r="AX57" s="11">
        <f ca="1">IFERROR(OFFSET(ITEM_RES!$A$1,MATCH(AY57,ITEM_RES!$J:$J,0)-1,0),0)</f>
        <v>211020101</v>
      </c>
      <c r="AY57" s="10" t="s">
        <v>448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1165</v>
      </c>
      <c r="S58" s="9" t="s">
        <v>688</v>
      </c>
      <c r="V58" s="9">
        <f ca="1">IFERROR(OFFSET(ITEM_RES!$A$5,MATCH(BUILDING!U58,ITEM_RES!$J$5:$J$229,0)-1,0),0)</f>
        <v>0</v>
      </c>
      <c r="X58" s="84" t="s">
        <v>540</v>
      </c>
      <c r="Y58" s="9">
        <f ca="1">IFERROR(OFFSET(ITEM_RES!$A$5,MATCH(BUILDING!X58,ITEM_RES!$J$5:$J$229,0)-1,0),0)</f>
        <v>211010301</v>
      </c>
      <c r="AA58" s="9" t="s">
        <v>510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443</v>
      </c>
      <c r="AU58" s="11">
        <v>13200000</v>
      </c>
      <c r="AX58" s="11">
        <f ca="1">IFERROR(OFFSET(ITEM_RES!$A$1,MATCH(AY58,ITEM_RES!$J:$J,0)-1,0),0)</f>
        <v>211020101</v>
      </c>
      <c r="AY58" s="10" t="s">
        <v>448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1165</v>
      </c>
      <c r="S59" s="9" t="s">
        <v>688</v>
      </c>
      <c r="V59" s="9">
        <f ca="1">IFERROR(OFFSET(ITEM_RES!$A$5,MATCH(BUILDING!U59,ITEM_RES!$J$5:$J$229,0)-1,0),0)</f>
        <v>0</v>
      </c>
      <c r="X59" s="84" t="s">
        <v>540</v>
      </c>
      <c r="Y59" s="9">
        <f ca="1">IFERROR(OFFSET(ITEM_RES!$A$5,MATCH(BUILDING!X59,ITEM_RES!$J$5:$J$229,0)-1,0),0)</f>
        <v>211010301</v>
      </c>
      <c r="AA59" s="9" t="s">
        <v>510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443</v>
      </c>
      <c r="AU59" s="11">
        <v>22000000</v>
      </c>
      <c r="AX59" s="11">
        <f ca="1">IFERROR(OFFSET(ITEM_RES!$A$1,MATCH(AY59,ITEM_RES!$J:$J,0)-1,0),0)</f>
        <v>211020101</v>
      </c>
      <c r="AY59" s="10" t="s">
        <v>448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1165</v>
      </c>
      <c r="S60" s="9" t="s">
        <v>688</v>
      </c>
      <c r="V60" s="9">
        <f ca="1">IFERROR(OFFSET(ITEM_RES!$A$5,MATCH(BUILDING!U60,ITEM_RES!$J$5:$J$229,0)-1,0),0)</f>
        <v>0</v>
      </c>
      <c r="X60" s="84" t="s">
        <v>540</v>
      </c>
      <c r="Y60" s="9">
        <f ca="1">IFERROR(OFFSET(ITEM_RES!$A$5,MATCH(BUILDING!X60,ITEM_RES!$J$5:$J$229,0)-1,0),0)</f>
        <v>211010301</v>
      </c>
      <c r="AA60" s="9" t="s">
        <v>510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443</v>
      </c>
      <c r="AU60" s="11">
        <v>30000000</v>
      </c>
      <c r="AX60" s="11">
        <f ca="1">IFERROR(OFFSET(ITEM_RES!$A$1,MATCH(AY60,ITEM_RES!$J:$J,0)-1,0),0)</f>
        <v>211020101</v>
      </c>
      <c r="AY60" s="10" t="s">
        <v>448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1165</v>
      </c>
      <c r="S61" s="9" t="s">
        <v>688</v>
      </c>
      <c r="V61" s="9">
        <f ca="1">IFERROR(OFFSET(ITEM_RES!$A$5,MATCH(BUILDING!U61,ITEM_RES!$J$5:$J$229,0)-1,0),0)</f>
        <v>0</v>
      </c>
      <c r="X61" s="84" t="s">
        <v>540</v>
      </c>
      <c r="Y61" s="9">
        <f ca="1">IFERROR(OFFSET(ITEM_RES!$A$5,MATCH(BUILDING!X61,ITEM_RES!$J$5:$J$229,0)-1,0),0)</f>
        <v>211010301</v>
      </c>
      <c r="AA61" s="9" t="s">
        <v>510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443</v>
      </c>
      <c r="AU61" s="11">
        <v>46000000</v>
      </c>
      <c r="AX61" s="11">
        <f ca="1">IFERROR(OFFSET(ITEM_RES!$A$1,MATCH(AY61,ITEM_RES!$J:$J,0)-1,0),0)</f>
        <v>211020101</v>
      </c>
      <c r="AY61" s="10" t="s">
        <v>448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1165</v>
      </c>
      <c r="S62" s="9" t="s">
        <v>688</v>
      </c>
      <c r="V62" s="9">
        <f ca="1">IFERROR(OFFSET(ITEM_RES!$A$5,MATCH(BUILDING!U62,ITEM_RES!$J$5:$J$229,0)-1,0),0)</f>
        <v>0</v>
      </c>
      <c r="X62" s="84" t="s">
        <v>540</v>
      </c>
      <c r="Y62" s="9">
        <f ca="1">IFERROR(OFFSET(ITEM_RES!$A$5,MATCH(BUILDING!X62,ITEM_RES!$J$5:$J$229,0)-1,0),0)</f>
        <v>211010301</v>
      </c>
      <c r="AA62" s="9" t="s">
        <v>510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443</v>
      </c>
      <c r="AU62" s="11">
        <v>70000000</v>
      </c>
      <c r="AX62" s="11">
        <f ca="1">IFERROR(OFFSET(ITEM_RES!$A$1,MATCH(AY62,ITEM_RES!$J:$J,0)-1,0),0)</f>
        <v>211020101</v>
      </c>
      <c r="AY62" s="10" t="s">
        <v>448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1165</v>
      </c>
      <c r="S63" s="9" t="s">
        <v>688</v>
      </c>
      <c r="V63" s="9">
        <f ca="1">IFERROR(OFFSET(ITEM_RES!$A$5,MATCH(BUILDING!U63,ITEM_RES!$J$5:$J$229,0)-1,0),0)</f>
        <v>0</v>
      </c>
      <c r="X63" s="84" t="s">
        <v>540</v>
      </c>
      <c r="Y63" s="9">
        <f ca="1">IFERROR(OFFSET(ITEM_RES!$A$5,MATCH(BUILDING!X63,ITEM_RES!$J$5:$J$229,0)-1,0),0)</f>
        <v>211010301</v>
      </c>
      <c r="AA63" s="9" t="s">
        <v>510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443</v>
      </c>
      <c r="AU63" s="11">
        <v>96000000</v>
      </c>
      <c r="AX63" s="11">
        <f ca="1">IFERROR(OFFSET(ITEM_RES!$A$1,MATCH(AY63,ITEM_RES!$J:$J,0)-1,0),0)</f>
        <v>211020101</v>
      </c>
      <c r="AY63" s="10" t="s">
        <v>448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1165</v>
      </c>
      <c r="S64" s="9" t="s">
        <v>688</v>
      </c>
      <c r="V64" s="9">
        <f ca="1">IFERROR(OFFSET(ITEM_RES!$A$5,MATCH(BUILDING!U64,ITEM_RES!$J$5:$J$229,0)-1,0),0)</f>
        <v>0</v>
      </c>
      <c r="X64" s="84" t="s">
        <v>540</v>
      </c>
      <c r="Y64" s="9">
        <f ca="1">IFERROR(OFFSET(ITEM_RES!$A$5,MATCH(BUILDING!X64,ITEM_RES!$J$5:$J$229,0)-1,0),0)</f>
        <v>211010301</v>
      </c>
      <c r="AA64" s="9" t="s">
        <v>510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443</v>
      </c>
      <c r="AU64" s="11">
        <v>152000000</v>
      </c>
      <c r="AX64" s="11">
        <f ca="1">IFERROR(OFFSET(ITEM_RES!$A$1,MATCH(AY64,ITEM_RES!$J:$J,0)-1,0),0)</f>
        <v>211020101</v>
      </c>
      <c r="AY64" s="10" t="s">
        <v>448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440</v>
      </c>
      <c r="L65" s="16">
        <v>1</v>
      </c>
      <c r="M65" s="16">
        <v>1</v>
      </c>
      <c r="N65" s="16">
        <v>15</v>
      </c>
      <c r="O65" s="16" t="s">
        <v>1178</v>
      </c>
      <c r="P65" s="17"/>
      <c r="Q65" s="17"/>
      <c r="R65" s="18"/>
      <c r="S65" s="16" t="s">
        <v>689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541</v>
      </c>
      <c r="Y65" s="16">
        <f ca="1">IFERROR(OFFSET(ITEM_RES!$A$5,MATCH(BUILDING!X65,ITEM_RES!$J$5:$J$229,0)-1,0),0)</f>
        <v>211020101</v>
      </c>
      <c r="Z65" s="78"/>
      <c r="AA65" s="16" t="s">
        <v>511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427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437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452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>
        <v>1</v>
      </c>
      <c r="N66" s="9">
        <v>15</v>
      </c>
      <c r="O66" s="9" t="s">
        <v>1178</v>
      </c>
      <c r="S66" s="9" t="s">
        <v>689</v>
      </c>
      <c r="V66" s="9">
        <f ca="1">IFERROR(OFFSET(ITEM_RES!$A$5,MATCH(BUILDING!U66,ITEM_RES!$J$5:$J$229,0)-1,0),0)</f>
        <v>0</v>
      </c>
      <c r="X66" s="84" t="s">
        <v>541</v>
      </c>
      <c r="Y66" s="9">
        <f ca="1">IFERROR(OFFSET(ITEM_RES!$A$5,MATCH(BUILDING!X66,ITEM_RES!$J$5:$J$229,0)-1,0),0)</f>
        <v>211020101</v>
      </c>
      <c r="AA66" s="9" t="s">
        <v>511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429</v>
      </c>
      <c r="AU66" s="11">
        <v>20</v>
      </c>
      <c r="AX66" s="11">
        <f ca="1">IFERROR(OFFSET(ITEM_RES!$A$1,MATCH(AY66,ITEM_RES!$J:$J,0)-1,0),0)</f>
        <v>211020801</v>
      </c>
      <c r="AY66" s="10" t="s">
        <v>437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>
        <v>1</v>
      </c>
      <c r="N67" s="9">
        <v>15</v>
      </c>
      <c r="O67" s="9" t="s">
        <v>1179</v>
      </c>
      <c r="S67" s="9" t="s">
        <v>689</v>
      </c>
      <c r="V67" s="9">
        <f ca="1">IFERROR(OFFSET(ITEM_RES!$A$5,MATCH(BUILDING!U67,ITEM_RES!$J$5:$J$229,0)-1,0),0)</f>
        <v>0</v>
      </c>
      <c r="X67" s="84" t="s">
        <v>541</v>
      </c>
      <c r="Y67" s="9">
        <f ca="1">IFERROR(OFFSET(ITEM_RES!$A$5,MATCH(BUILDING!X67,ITEM_RES!$J$5:$J$229,0)-1,0),0)</f>
        <v>211020101</v>
      </c>
      <c r="AA67" s="9" t="s">
        <v>511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429</v>
      </c>
      <c r="AU67" s="11">
        <v>160</v>
      </c>
      <c r="AX67" s="11">
        <f ca="1">IFERROR(OFFSET(ITEM_RES!$A$1,MATCH(AY67,ITEM_RES!$J:$J,0)-1,0),0)</f>
        <v>211020801</v>
      </c>
      <c r="AY67" s="10" t="s">
        <v>437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>
        <v>1</v>
      </c>
      <c r="N68" s="9">
        <v>15</v>
      </c>
      <c r="O68" s="9" t="s">
        <v>1180</v>
      </c>
      <c r="S68" s="9" t="s">
        <v>689</v>
      </c>
      <c r="V68" s="9">
        <f ca="1">IFERROR(OFFSET(ITEM_RES!$A$5,MATCH(BUILDING!U68,ITEM_RES!$J$5:$J$229,0)-1,0),0)</f>
        <v>0</v>
      </c>
      <c r="X68" s="84" t="s">
        <v>541</v>
      </c>
      <c r="Y68" s="9">
        <f ca="1">IFERROR(OFFSET(ITEM_RES!$A$5,MATCH(BUILDING!X68,ITEM_RES!$J$5:$J$229,0)-1,0),0)</f>
        <v>211020101</v>
      </c>
      <c r="AA68" s="9" t="s">
        <v>511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429</v>
      </c>
      <c r="AU68" s="11">
        <v>1920</v>
      </c>
      <c r="AX68" s="11">
        <f ca="1">IFERROR(OFFSET(ITEM_RES!$A$1,MATCH(AY68,ITEM_RES!$J:$J,0)-1,0),0)</f>
        <v>211020801</v>
      </c>
      <c r="AY68" s="10" t="s">
        <v>437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>
        <v>1</v>
      </c>
      <c r="N69" s="9">
        <v>15</v>
      </c>
      <c r="O69" s="9" t="s">
        <v>1181</v>
      </c>
      <c r="S69" s="9" t="s">
        <v>689</v>
      </c>
      <c r="V69" s="9">
        <f ca="1">IFERROR(OFFSET(ITEM_RES!$A$5,MATCH(BUILDING!U69,ITEM_RES!$J$5:$J$229,0)-1,0),0)</f>
        <v>0</v>
      </c>
      <c r="X69" s="84" t="s">
        <v>541</v>
      </c>
      <c r="Y69" s="9">
        <f ca="1">IFERROR(OFFSET(ITEM_RES!$A$5,MATCH(BUILDING!X69,ITEM_RES!$J$5:$J$229,0)-1,0),0)</f>
        <v>211020101</v>
      </c>
      <c r="AA69" s="9" t="s">
        <v>511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429</v>
      </c>
      <c r="AU69" s="11">
        <v>26000</v>
      </c>
      <c r="AX69" s="11">
        <f ca="1">IFERROR(OFFSET(ITEM_RES!$A$1,MATCH(AY69,ITEM_RES!$J:$J,0)-1,0),0)</f>
        <v>211020801</v>
      </c>
      <c r="AY69" s="10" t="s">
        <v>437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>
        <v>1</v>
      </c>
      <c r="N70" s="9">
        <v>15</v>
      </c>
      <c r="O70" s="9" t="s">
        <v>1182</v>
      </c>
      <c r="S70" s="9" t="s">
        <v>689</v>
      </c>
      <c r="V70" s="9">
        <f ca="1">IFERROR(OFFSET(ITEM_RES!$A$5,MATCH(BUILDING!U70,ITEM_RES!$J$5:$J$229,0)-1,0),0)</f>
        <v>0</v>
      </c>
      <c r="X70" s="84" t="s">
        <v>541</v>
      </c>
      <c r="Y70" s="9">
        <f ca="1">IFERROR(OFFSET(ITEM_RES!$A$5,MATCH(BUILDING!X70,ITEM_RES!$J$5:$J$229,0)-1,0),0)</f>
        <v>211020101</v>
      </c>
      <c r="AA70" s="9" t="s">
        <v>511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429</v>
      </c>
      <c r="AU70" s="11">
        <v>240000</v>
      </c>
      <c r="AX70" s="11">
        <f ca="1">IFERROR(OFFSET(ITEM_RES!$A$1,MATCH(AY70,ITEM_RES!$J:$J,0)-1,0),0)</f>
        <v>211020801</v>
      </c>
      <c r="AY70" s="10" t="s">
        <v>437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>
        <v>1</v>
      </c>
      <c r="N71" s="9">
        <v>15</v>
      </c>
      <c r="O71" s="9" t="s">
        <v>1183</v>
      </c>
      <c r="S71" s="9" t="s">
        <v>689</v>
      </c>
      <c r="V71" s="9">
        <f ca="1">IFERROR(OFFSET(ITEM_RES!$A$5,MATCH(BUILDING!U71,ITEM_RES!$J$5:$J$229,0)-1,0),0)</f>
        <v>0</v>
      </c>
      <c r="X71" s="84" t="s">
        <v>541</v>
      </c>
      <c r="Y71" s="9">
        <f ca="1">IFERROR(OFFSET(ITEM_RES!$A$5,MATCH(BUILDING!X71,ITEM_RES!$J$5:$J$229,0)-1,0),0)</f>
        <v>211020101</v>
      </c>
      <c r="AA71" s="9" t="s">
        <v>511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429</v>
      </c>
      <c r="AU71" s="11">
        <v>540000</v>
      </c>
      <c r="AX71" s="11">
        <f ca="1">IFERROR(OFFSET(ITEM_RES!$A$1,MATCH(AY71,ITEM_RES!$J:$J,0)-1,0),0)</f>
        <v>211020801</v>
      </c>
      <c r="AY71" s="10" t="s">
        <v>437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>
        <v>1</v>
      </c>
      <c r="N72" s="9">
        <v>15</v>
      </c>
      <c r="O72" s="9" t="s">
        <v>1183</v>
      </c>
      <c r="S72" s="9" t="s">
        <v>689</v>
      </c>
      <c r="V72" s="9">
        <f ca="1">IFERROR(OFFSET(ITEM_RES!$A$5,MATCH(BUILDING!U72,ITEM_RES!$J$5:$J$229,0)-1,0),0)</f>
        <v>0</v>
      </c>
      <c r="X72" s="84" t="s">
        <v>541</v>
      </c>
      <c r="Y72" s="9">
        <f ca="1">IFERROR(OFFSET(ITEM_RES!$A$5,MATCH(BUILDING!X72,ITEM_RES!$J$5:$J$229,0)-1,0),0)</f>
        <v>211020101</v>
      </c>
      <c r="AA72" s="9" t="s">
        <v>511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429</v>
      </c>
      <c r="AU72" s="11">
        <v>1000000</v>
      </c>
      <c r="AX72" s="11">
        <f ca="1">IFERROR(OFFSET(ITEM_RES!$A$1,MATCH(AY72,ITEM_RES!$J:$J,0)-1,0),0)</f>
        <v>211020801</v>
      </c>
      <c r="AY72" s="10" t="s">
        <v>437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>
        <v>1</v>
      </c>
      <c r="N73" s="9">
        <v>15</v>
      </c>
      <c r="O73" s="9" t="s">
        <v>1183</v>
      </c>
      <c r="S73" s="9" t="s">
        <v>689</v>
      </c>
      <c r="V73" s="9">
        <f ca="1">IFERROR(OFFSET(ITEM_RES!$A$5,MATCH(BUILDING!U73,ITEM_RES!$J$5:$J$229,0)-1,0),0)</f>
        <v>0</v>
      </c>
      <c r="X73" s="84" t="s">
        <v>541</v>
      </c>
      <c r="Y73" s="9">
        <f ca="1">IFERROR(OFFSET(ITEM_RES!$A$5,MATCH(BUILDING!X73,ITEM_RES!$J$5:$J$229,0)-1,0),0)</f>
        <v>211020101</v>
      </c>
      <c r="AA73" s="9" t="s">
        <v>511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429</v>
      </c>
      <c r="AU73" s="11">
        <v>1580000</v>
      </c>
      <c r="AX73" s="11">
        <f ca="1">IFERROR(OFFSET(ITEM_RES!$A$1,MATCH(AY73,ITEM_RES!$J:$J,0)-1,0),0)</f>
        <v>211020801</v>
      </c>
      <c r="AY73" s="10" t="s">
        <v>437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>
        <v>1</v>
      </c>
      <c r="N74" s="9">
        <v>15</v>
      </c>
      <c r="O74" s="9" t="s">
        <v>1183</v>
      </c>
      <c r="S74" s="9" t="s">
        <v>689</v>
      </c>
      <c r="V74" s="9">
        <f ca="1">IFERROR(OFFSET(ITEM_RES!$A$5,MATCH(BUILDING!U74,ITEM_RES!$J$5:$J$229,0)-1,0),0)</f>
        <v>0</v>
      </c>
      <c r="X74" s="84" t="s">
        <v>541</v>
      </c>
      <c r="Y74" s="9">
        <f ca="1">IFERROR(OFFSET(ITEM_RES!$A$5,MATCH(BUILDING!X74,ITEM_RES!$J$5:$J$229,0)-1,0),0)</f>
        <v>211020101</v>
      </c>
      <c r="AA74" s="9" t="s">
        <v>511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429</v>
      </c>
      <c r="AU74" s="11">
        <v>2200000</v>
      </c>
      <c r="AX74" s="11">
        <f ca="1">IFERROR(OFFSET(ITEM_RES!$A$1,MATCH(AY74,ITEM_RES!$J:$J,0)-1,0),0)</f>
        <v>211020801</v>
      </c>
      <c r="AY74" s="10" t="s">
        <v>437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>
        <v>1</v>
      </c>
      <c r="N75" s="9">
        <v>15</v>
      </c>
      <c r="O75" s="9" t="s">
        <v>1183</v>
      </c>
      <c r="S75" s="9" t="s">
        <v>689</v>
      </c>
      <c r="V75" s="9">
        <f ca="1">IFERROR(OFFSET(ITEM_RES!$A$5,MATCH(BUILDING!U75,ITEM_RES!$J$5:$J$229,0)-1,0),0)</f>
        <v>0</v>
      </c>
      <c r="X75" s="84" t="s">
        <v>541</v>
      </c>
      <c r="Y75" s="9">
        <f ca="1">IFERROR(OFFSET(ITEM_RES!$A$5,MATCH(BUILDING!X75,ITEM_RES!$J$5:$J$229,0)-1,0),0)</f>
        <v>211020101</v>
      </c>
      <c r="AA75" s="9" t="s">
        <v>511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429</v>
      </c>
      <c r="AU75" s="11">
        <v>4400000</v>
      </c>
      <c r="AX75" s="11">
        <f ca="1">IFERROR(OFFSET(ITEM_RES!$A$1,MATCH(AY75,ITEM_RES!$J:$J,0)-1,0),0)</f>
        <v>211020801</v>
      </c>
      <c r="AY75" s="10" t="s">
        <v>437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460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>
        <v>1</v>
      </c>
      <c r="N76" s="9">
        <v>15</v>
      </c>
      <c r="O76" s="9" t="s">
        <v>1183</v>
      </c>
      <c r="S76" s="9" t="s">
        <v>689</v>
      </c>
      <c r="V76" s="9">
        <f ca="1">IFERROR(OFFSET(ITEM_RES!$A$5,MATCH(BUILDING!U76,ITEM_RES!$J$5:$J$229,0)-1,0),0)</f>
        <v>0</v>
      </c>
      <c r="X76" s="84" t="s">
        <v>541</v>
      </c>
      <c r="Y76" s="9">
        <f ca="1">IFERROR(OFFSET(ITEM_RES!$A$5,MATCH(BUILDING!X76,ITEM_RES!$J$5:$J$229,0)-1,0),0)</f>
        <v>211020101</v>
      </c>
      <c r="AA76" s="9" t="s">
        <v>511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429</v>
      </c>
      <c r="AU76" s="11">
        <v>5200000</v>
      </c>
      <c r="AX76" s="11">
        <f ca="1">IFERROR(OFFSET(ITEM_RES!$A$1,MATCH(AY76,ITEM_RES!$J:$J,0)-1,0),0)</f>
        <v>211020801</v>
      </c>
      <c r="AY76" s="10" t="s">
        <v>437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>
        <v>1</v>
      </c>
      <c r="N77" s="9">
        <v>15</v>
      </c>
      <c r="O77" s="9" t="s">
        <v>1183</v>
      </c>
      <c r="S77" s="9" t="s">
        <v>689</v>
      </c>
      <c r="V77" s="9">
        <f ca="1">IFERROR(OFFSET(ITEM_RES!$A$5,MATCH(BUILDING!U77,ITEM_RES!$J$5:$J$229,0)-1,0),0)</f>
        <v>0</v>
      </c>
      <c r="X77" s="84" t="s">
        <v>541</v>
      </c>
      <c r="Y77" s="9">
        <f ca="1">IFERROR(OFFSET(ITEM_RES!$A$5,MATCH(BUILDING!X77,ITEM_RES!$J$5:$J$229,0)-1,0),0)</f>
        <v>211020101</v>
      </c>
      <c r="AA77" s="9" t="s">
        <v>511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429</v>
      </c>
      <c r="AU77" s="11">
        <v>8600000</v>
      </c>
      <c r="AX77" s="11">
        <f ca="1">IFERROR(OFFSET(ITEM_RES!$A$1,MATCH(AY77,ITEM_RES!$J:$J,0)-1,0),0)</f>
        <v>211020801</v>
      </c>
      <c r="AY77" s="10" t="s">
        <v>437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>
        <v>1</v>
      </c>
      <c r="N78" s="9">
        <v>15</v>
      </c>
      <c r="O78" s="9" t="s">
        <v>1183</v>
      </c>
      <c r="S78" s="9" t="s">
        <v>689</v>
      </c>
      <c r="V78" s="9">
        <f ca="1">IFERROR(OFFSET(ITEM_RES!$A$5,MATCH(BUILDING!U78,ITEM_RES!$J$5:$J$229,0)-1,0),0)</f>
        <v>0</v>
      </c>
      <c r="X78" s="84" t="s">
        <v>541</v>
      </c>
      <c r="Y78" s="9">
        <f ca="1">IFERROR(OFFSET(ITEM_RES!$A$5,MATCH(BUILDING!X78,ITEM_RES!$J$5:$J$229,0)-1,0),0)</f>
        <v>211020101</v>
      </c>
      <c r="AA78" s="9" t="s">
        <v>511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1151</v>
      </c>
      <c r="AU78" s="11">
        <v>13200000</v>
      </c>
      <c r="AX78" s="11">
        <f ca="1">IFERROR(OFFSET(ITEM_RES!$A$1,MATCH(AY78,ITEM_RES!$J:$J,0)-1,0),0)</f>
        <v>211020901</v>
      </c>
      <c r="AY78" s="10" t="s">
        <v>445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>
        <v>1</v>
      </c>
      <c r="N79" s="9">
        <v>15</v>
      </c>
      <c r="O79" s="9" t="s">
        <v>1183</v>
      </c>
      <c r="S79" s="9" t="s">
        <v>689</v>
      </c>
      <c r="V79" s="9">
        <f ca="1">IFERROR(OFFSET(ITEM_RES!$A$5,MATCH(BUILDING!U79,ITEM_RES!$J$5:$J$229,0)-1,0),0)</f>
        <v>0</v>
      </c>
      <c r="X79" s="84" t="s">
        <v>541</v>
      </c>
      <c r="Y79" s="9">
        <f ca="1">IFERROR(OFFSET(ITEM_RES!$A$5,MATCH(BUILDING!X79,ITEM_RES!$J$5:$J$229,0)-1,0),0)</f>
        <v>211020101</v>
      </c>
      <c r="AA79" s="9" t="s">
        <v>511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1151</v>
      </c>
      <c r="AU79" s="11">
        <v>22000000</v>
      </c>
      <c r="AX79" s="11">
        <f ca="1">IFERROR(OFFSET(ITEM_RES!$A$1,MATCH(AY79,ITEM_RES!$J:$J,0)-1,0),0)</f>
        <v>211020901</v>
      </c>
      <c r="AY79" s="10" t="s">
        <v>445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>
        <v>0</v>
      </c>
      <c r="N80" s="9">
        <v>15</v>
      </c>
      <c r="O80" s="9" t="s">
        <v>1183</v>
      </c>
      <c r="S80" s="9" t="s">
        <v>689</v>
      </c>
      <c r="V80" s="9">
        <f ca="1">IFERROR(OFFSET(ITEM_RES!$A$5,MATCH(BUILDING!U80,ITEM_RES!$J$5:$J$229,0)-1,0),0)</f>
        <v>0</v>
      </c>
      <c r="X80" s="84" t="s">
        <v>541</v>
      </c>
      <c r="Y80" s="9">
        <f ca="1">IFERROR(OFFSET(ITEM_RES!$A$5,MATCH(BUILDING!X80,ITEM_RES!$J$5:$J$229,0)-1,0),0)</f>
        <v>211020101</v>
      </c>
      <c r="AA80" s="9" t="s">
        <v>511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1151</v>
      </c>
      <c r="AU80" s="11">
        <v>30000000</v>
      </c>
      <c r="AX80" s="11">
        <f ca="1">IFERROR(OFFSET(ITEM_RES!$A$1,MATCH(AY80,ITEM_RES!$J:$J,0)-1,0),0)</f>
        <v>211020901</v>
      </c>
      <c r="AY80" s="10" t="s">
        <v>445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>
        <v>0</v>
      </c>
      <c r="N81" s="9">
        <v>15</v>
      </c>
      <c r="O81" s="9" t="s">
        <v>1183</v>
      </c>
      <c r="S81" s="9" t="s">
        <v>689</v>
      </c>
      <c r="V81" s="9">
        <f ca="1">IFERROR(OFFSET(ITEM_RES!$A$5,MATCH(BUILDING!U81,ITEM_RES!$J$5:$J$229,0)-1,0),0)</f>
        <v>0</v>
      </c>
      <c r="X81" s="84" t="s">
        <v>541</v>
      </c>
      <c r="Y81" s="9">
        <f ca="1">IFERROR(OFFSET(ITEM_RES!$A$5,MATCH(BUILDING!X81,ITEM_RES!$J$5:$J$229,0)-1,0),0)</f>
        <v>211020101</v>
      </c>
      <c r="AA81" s="9" t="s">
        <v>511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1151</v>
      </c>
      <c r="AU81" s="11">
        <v>46000000</v>
      </c>
      <c r="AX81" s="11">
        <f ca="1">IFERROR(OFFSET(ITEM_RES!$A$1,MATCH(AY81,ITEM_RES!$J:$J,0)-1,0),0)</f>
        <v>211020901</v>
      </c>
      <c r="AY81" s="10" t="s">
        <v>445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>
        <v>0</v>
      </c>
      <c r="N82" s="9">
        <v>15</v>
      </c>
      <c r="O82" s="9" t="s">
        <v>1183</v>
      </c>
      <c r="S82" s="9" t="s">
        <v>689</v>
      </c>
      <c r="V82" s="9">
        <f ca="1">IFERROR(OFFSET(ITEM_RES!$A$5,MATCH(BUILDING!U82,ITEM_RES!$J$5:$J$229,0)-1,0),0)</f>
        <v>0</v>
      </c>
      <c r="X82" s="84" t="s">
        <v>541</v>
      </c>
      <c r="Y82" s="9">
        <f ca="1">IFERROR(OFFSET(ITEM_RES!$A$5,MATCH(BUILDING!X82,ITEM_RES!$J$5:$J$229,0)-1,0),0)</f>
        <v>211020101</v>
      </c>
      <c r="AA82" s="9" t="s">
        <v>511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1151</v>
      </c>
      <c r="AU82" s="11">
        <v>70000000</v>
      </c>
      <c r="AX82" s="11">
        <f ca="1">IFERROR(OFFSET(ITEM_RES!$A$1,MATCH(AY82,ITEM_RES!$J:$J,0)-1,0),0)</f>
        <v>211020901</v>
      </c>
      <c r="AY82" s="10" t="s">
        <v>445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>
        <v>0</v>
      </c>
      <c r="N83" s="9">
        <v>15</v>
      </c>
      <c r="O83" s="9" t="s">
        <v>1183</v>
      </c>
      <c r="S83" s="9" t="s">
        <v>689</v>
      </c>
      <c r="V83" s="9">
        <f ca="1">IFERROR(OFFSET(ITEM_RES!$A$5,MATCH(BUILDING!U83,ITEM_RES!$J$5:$J$229,0)-1,0),0)</f>
        <v>0</v>
      </c>
      <c r="X83" s="84" t="s">
        <v>541</v>
      </c>
      <c r="Y83" s="9">
        <f ca="1">IFERROR(OFFSET(ITEM_RES!$A$5,MATCH(BUILDING!X83,ITEM_RES!$J$5:$J$229,0)-1,0),0)</f>
        <v>211020101</v>
      </c>
      <c r="AA83" s="9" t="s">
        <v>511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1151</v>
      </c>
      <c r="AU83" s="11">
        <v>96000000</v>
      </c>
      <c r="AX83" s="11">
        <f ca="1">IFERROR(OFFSET(ITEM_RES!$A$1,MATCH(AY83,ITEM_RES!$J:$J,0)-1,0),0)</f>
        <v>211020901</v>
      </c>
      <c r="AY83" s="10" t="s">
        <v>445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>
        <v>0</v>
      </c>
      <c r="N84" s="9">
        <v>15</v>
      </c>
      <c r="O84" s="9" t="s">
        <v>1183</v>
      </c>
      <c r="S84" s="9" t="s">
        <v>689</v>
      </c>
      <c r="V84" s="9">
        <f ca="1">IFERROR(OFFSET(ITEM_RES!$A$5,MATCH(BUILDING!U84,ITEM_RES!$J$5:$J$229,0)-1,0),0)</f>
        <v>0</v>
      </c>
      <c r="X84" s="84" t="s">
        <v>541</v>
      </c>
      <c r="Y84" s="9">
        <f ca="1">IFERROR(OFFSET(ITEM_RES!$A$5,MATCH(BUILDING!X84,ITEM_RES!$J$5:$J$229,0)-1,0),0)</f>
        <v>211020101</v>
      </c>
      <c r="AA84" s="9" t="s">
        <v>511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1151</v>
      </c>
      <c r="AU84" s="11">
        <v>152000000</v>
      </c>
      <c r="AX84" s="11">
        <f ca="1">IFERROR(OFFSET(ITEM_RES!$A$1,MATCH(AY84,ITEM_RES!$J:$J,0)-1,0),0)</f>
        <v>211020901</v>
      </c>
      <c r="AY84" s="10" t="s">
        <v>445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767</v>
      </c>
      <c r="P85" s="17"/>
      <c r="Q85" s="17"/>
      <c r="R85" s="18"/>
      <c r="S85" s="16" t="s">
        <v>711</v>
      </c>
      <c r="T85" s="78"/>
      <c r="U85" s="86" t="s">
        <v>543</v>
      </c>
      <c r="V85" s="16">
        <f ca="1">IFERROR(OFFSET(ITEM_RES!$A$5,MATCH(BUILDING!U85,ITEM_RES!$J$5:$J$229,0)-1,0),0)</f>
        <v>211021101</v>
      </c>
      <c r="W85" s="18">
        <v>100</v>
      </c>
      <c r="X85" s="86" t="s">
        <v>542</v>
      </c>
      <c r="Y85" s="16">
        <f ca="1">IFERROR(OFFSET(ITEM_RES!$A$5,MATCH(BUILDING!X85,ITEM_RES!$J$5:$J$229,0)-1,0),0)</f>
        <v>211010401</v>
      </c>
      <c r="Z85" s="78"/>
      <c r="AA85" s="16" t="s">
        <v>512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431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436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452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767</v>
      </c>
      <c r="S86" s="9" t="s">
        <v>711</v>
      </c>
      <c r="U86" s="84" t="s">
        <v>543</v>
      </c>
      <c r="V86" s="9">
        <f ca="1">IFERROR(OFFSET(ITEM_RES!$A$5,MATCH(BUILDING!U86,ITEM_RES!$J$5:$J$229,0)-1,0),0)</f>
        <v>211021101</v>
      </c>
      <c r="W86" s="11">
        <v>100</v>
      </c>
      <c r="X86" s="84" t="s">
        <v>542</v>
      </c>
      <c r="Y86" s="9">
        <f ca="1">IFERROR(OFFSET(ITEM_RES!$A$5,MATCH(BUILDING!X86,ITEM_RES!$J$5:$J$229,0)-1,0),0)</f>
        <v>211010401</v>
      </c>
      <c r="AA86" s="9" t="s">
        <v>512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432</v>
      </c>
      <c r="AU86" s="11">
        <v>20</v>
      </c>
      <c r="AX86" s="11">
        <f ca="1">IFERROR(OFFSET(ITEM_RES!$A$1,MATCH(AY86,ITEM_RES!$J:$J,0)-1,0),0)</f>
        <v>211020401</v>
      </c>
      <c r="AY86" s="10" t="s">
        <v>436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767</v>
      </c>
      <c r="S87" s="9" t="s">
        <v>711</v>
      </c>
      <c r="U87" s="84" t="s">
        <v>543</v>
      </c>
      <c r="V87" s="9">
        <f ca="1">IFERROR(OFFSET(ITEM_RES!$A$5,MATCH(BUILDING!U87,ITEM_RES!$J$5:$J$229,0)-1,0),0)</f>
        <v>211021101</v>
      </c>
      <c r="W87" s="11">
        <v>100</v>
      </c>
      <c r="X87" s="84" t="s">
        <v>542</v>
      </c>
      <c r="Y87" s="9">
        <f ca="1">IFERROR(OFFSET(ITEM_RES!$A$5,MATCH(BUILDING!X87,ITEM_RES!$J$5:$J$229,0)-1,0),0)</f>
        <v>211010401</v>
      </c>
      <c r="AA87" s="9" t="s">
        <v>512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431</v>
      </c>
      <c r="AU87" s="11">
        <v>160</v>
      </c>
      <c r="AX87" s="11">
        <f ca="1">IFERROR(OFFSET(ITEM_RES!$A$1,MATCH(AY87,ITEM_RES!$J:$J,0)-1,0),0)</f>
        <v>211020401</v>
      </c>
      <c r="AY87" s="10" t="s">
        <v>436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767</v>
      </c>
      <c r="S88" s="9" t="s">
        <v>711</v>
      </c>
      <c r="U88" s="84" t="s">
        <v>543</v>
      </c>
      <c r="V88" s="9">
        <f ca="1">IFERROR(OFFSET(ITEM_RES!$A$5,MATCH(BUILDING!U88,ITEM_RES!$J$5:$J$229,0)-1,0),0)</f>
        <v>211021101</v>
      </c>
      <c r="W88" s="11">
        <v>100</v>
      </c>
      <c r="X88" s="84" t="s">
        <v>542</v>
      </c>
      <c r="Y88" s="9">
        <f ca="1">IFERROR(OFFSET(ITEM_RES!$A$5,MATCH(BUILDING!X88,ITEM_RES!$J$5:$J$229,0)-1,0),0)</f>
        <v>211010401</v>
      </c>
      <c r="AA88" s="9" t="s">
        <v>512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432</v>
      </c>
      <c r="AU88" s="11">
        <v>1920</v>
      </c>
      <c r="AX88" s="11">
        <f ca="1">IFERROR(OFFSET(ITEM_RES!$A$1,MATCH(AY88,ITEM_RES!$J:$J,0)-1,0),0)</f>
        <v>211020401</v>
      </c>
      <c r="AY88" s="10" t="s">
        <v>436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767</v>
      </c>
      <c r="S89" s="9" t="s">
        <v>711</v>
      </c>
      <c r="U89" s="84" t="s">
        <v>543</v>
      </c>
      <c r="V89" s="9">
        <f ca="1">IFERROR(OFFSET(ITEM_RES!$A$5,MATCH(BUILDING!U89,ITEM_RES!$J$5:$J$229,0)-1,0),0)</f>
        <v>211021101</v>
      </c>
      <c r="W89" s="11">
        <v>100</v>
      </c>
      <c r="X89" s="84" t="s">
        <v>542</v>
      </c>
      <c r="Y89" s="9">
        <f ca="1">IFERROR(OFFSET(ITEM_RES!$A$5,MATCH(BUILDING!X89,ITEM_RES!$J$5:$J$229,0)-1,0),0)</f>
        <v>211010401</v>
      </c>
      <c r="AA89" s="9" t="s">
        <v>512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431</v>
      </c>
      <c r="AU89" s="11">
        <v>26000</v>
      </c>
      <c r="AX89" s="11">
        <f ca="1">IFERROR(OFFSET(ITEM_RES!$A$1,MATCH(AY89,ITEM_RES!$J:$J,0)-1,0),0)</f>
        <v>211020401</v>
      </c>
      <c r="AY89" s="10" t="s">
        <v>436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767</v>
      </c>
      <c r="S90" s="9" t="s">
        <v>711</v>
      </c>
      <c r="U90" s="84" t="s">
        <v>543</v>
      </c>
      <c r="V90" s="9">
        <f ca="1">IFERROR(OFFSET(ITEM_RES!$A$5,MATCH(BUILDING!U90,ITEM_RES!$J$5:$J$229,0)-1,0),0)</f>
        <v>211021101</v>
      </c>
      <c r="W90" s="11">
        <v>100</v>
      </c>
      <c r="X90" s="84" t="s">
        <v>542</v>
      </c>
      <c r="Y90" s="9">
        <f ca="1">IFERROR(OFFSET(ITEM_RES!$A$5,MATCH(BUILDING!X90,ITEM_RES!$J$5:$J$229,0)-1,0),0)</f>
        <v>211010401</v>
      </c>
      <c r="AA90" s="9" t="s">
        <v>512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432</v>
      </c>
      <c r="AU90" s="11">
        <v>240000</v>
      </c>
      <c r="AX90" s="11">
        <f ca="1">IFERROR(OFFSET(ITEM_RES!$A$1,MATCH(AY90,ITEM_RES!$J:$J,0)-1,0),0)</f>
        <v>211020401</v>
      </c>
      <c r="AY90" s="10" t="s">
        <v>436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767</v>
      </c>
      <c r="S91" s="9" t="s">
        <v>711</v>
      </c>
      <c r="U91" s="84" t="s">
        <v>543</v>
      </c>
      <c r="V91" s="9">
        <f ca="1">IFERROR(OFFSET(ITEM_RES!$A$5,MATCH(BUILDING!U91,ITEM_RES!$J$5:$J$229,0)-1,0),0)</f>
        <v>211021101</v>
      </c>
      <c r="W91" s="11">
        <v>100</v>
      </c>
      <c r="X91" s="84" t="s">
        <v>542</v>
      </c>
      <c r="Y91" s="9">
        <f ca="1">IFERROR(OFFSET(ITEM_RES!$A$5,MATCH(BUILDING!X91,ITEM_RES!$J$5:$J$229,0)-1,0),0)</f>
        <v>211010401</v>
      </c>
      <c r="AA91" s="9" t="s">
        <v>512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394</v>
      </c>
      <c r="AU91" s="11">
        <v>540000</v>
      </c>
      <c r="AX91" s="11">
        <f ca="1">IFERROR(OFFSET(ITEM_RES!$A$1,MATCH(AY91,ITEM_RES!$J:$J,0)-1,0),0)</f>
        <v>211020401</v>
      </c>
      <c r="AY91" s="10" t="s">
        <v>436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767</v>
      </c>
      <c r="S92" s="9" t="s">
        <v>711</v>
      </c>
      <c r="U92" s="84" t="s">
        <v>543</v>
      </c>
      <c r="V92" s="9">
        <f ca="1">IFERROR(OFFSET(ITEM_RES!$A$5,MATCH(BUILDING!U92,ITEM_RES!$J$5:$J$229,0)-1,0),0)</f>
        <v>211021101</v>
      </c>
      <c r="W92" s="11">
        <v>100</v>
      </c>
      <c r="X92" s="84" t="s">
        <v>542</v>
      </c>
      <c r="Y92" s="9">
        <f ca="1">IFERROR(OFFSET(ITEM_RES!$A$5,MATCH(BUILDING!X92,ITEM_RES!$J$5:$J$229,0)-1,0),0)</f>
        <v>211010401</v>
      </c>
      <c r="AA92" s="9" t="s">
        <v>512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394</v>
      </c>
      <c r="AU92" s="11">
        <v>1000000</v>
      </c>
      <c r="AX92" s="11">
        <f ca="1">IFERROR(OFFSET(ITEM_RES!$A$1,MATCH(AY92,ITEM_RES!$J:$J,0)-1,0),0)</f>
        <v>211020401</v>
      </c>
      <c r="AY92" s="10" t="s">
        <v>436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767</v>
      </c>
      <c r="S93" s="9" t="s">
        <v>711</v>
      </c>
      <c r="U93" s="84" t="s">
        <v>543</v>
      </c>
      <c r="V93" s="9">
        <f ca="1">IFERROR(OFFSET(ITEM_RES!$A$5,MATCH(BUILDING!U93,ITEM_RES!$J$5:$J$229,0)-1,0),0)</f>
        <v>211021101</v>
      </c>
      <c r="W93" s="11">
        <v>100</v>
      </c>
      <c r="X93" s="84" t="s">
        <v>542</v>
      </c>
      <c r="Y93" s="9">
        <f ca="1">IFERROR(OFFSET(ITEM_RES!$A$5,MATCH(BUILDING!X93,ITEM_RES!$J$5:$J$229,0)-1,0),0)</f>
        <v>211010401</v>
      </c>
      <c r="AA93" s="9" t="s">
        <v>512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394</v>
      </c>
      <c r="AU93" s="11">
        <v>1580000</v>
      </c>
      <c r="AX93" s="11">
        <f ca="1">IFERROR(OFFSET(ITEM_RES!$A$1,MATCH(AY93,ITEM_RES!$J:$J,0)-1,0),0)</f>
        <v>211020401</v>
      </c>
      <c r="AY93" s="10" t="s">
        <v>436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767</v>
      </c>
      <c r="S94" s="9" t="s">
        <v>711</v>
      </c>
      <c r="U94" s="84" t="s">
        <v>543</v>
      </c>
      <c r="V94" s="9">
        <f ca="1">IFERROR(OFFSET(ITEM_RES!$A$5,MATCH(BUILDING!U94,ITEM_RES!$J$5:$J$229,0)-1,0),0)</f>
        <v>211021101</v>
      </c>
      <c r="W94" s="11">
        <v>100</v>
      </c>
      <c r="X94" s="84" t="s">
        <v>542</v>
      </c>
      <c r="Y94" s="9">
        <f ca="1">IFERROR(OFFSET(ITEM_RES!$A$5,MATCH(BUILDING!X94,ITEM_RES!$J$5:$J$229,0)-1,0),0)</f>
        <v>211010401</v>
      </c>
      <c r="AA94" s="9" t="s">
        <v>512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394</v>
      </c>
      <c r="AU94" s="11">
        <v>2200000</v>
      </c>
      <c r="AX94" s="11">
        <f ca="1">IFERROR(OFFSET(ITEM_RES!$A$1,MATCH(AY94,ITEM_RES!$J:$J,0)-1,0),0)</f>
        <v>211020401</v>
      </c>
      <c r="AY94" s="10" t="s">
        <v>436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767</v>
      </c>
      <c r="S95" s="9" t="s">
        <v>711</v>
      </c>
      <c r="U95" s="84" t="s">
        <v>543</v>
      </c>
      <c r="V95" s="9">
        <f ca="1">IFERROR(OFFSET(ITEM_RES!$A$5,MATCH(BUILDING!U95,ITEM_RES!$J$5:$J$229,0)-1,0),0)</f>
        <v>211021101</v>
      </c>
      <c r="W95" s="11">
        <v>100</v>
      </c>
      <c r="X95" s="84" t="s">
        <v>542</v>
      </c>
      <c r="Y95" s="9">
        <f ca="1">IFERROR(OFFSET(ITEM_RES!$A$5,MATCH(BUILDING!X95,ITEM_RES!$J$5:$J$229,0)-1,0),0)</f>
        <v>211010401</v>
      </c>
      <c r="AA95" s="9" t="s">
        <v>512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394</v>
      </c>
      <c r="AU95" s="11">
        <v>4400000</v>
      </c>
      <c r="AX95" s="11">
        <f ca="1">IFERROR(OFFSET(ITEM_RES!$A$1,MATCH(AY95,ITEM_RES!$J:$J,0)-1,0),0)</f>
        <v>211020401</v>
      </c>
      <c r="AY95" s="10" t="s">
        <v>436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767</v>
      </c>
      <c r="S96" s="9" t="s">
        <v>711</v>
      </c>
      <c r="U96" s="84" t="s">
        <v>543</v>
      </c>
      <c r="V96" s="9">
        <f ca="1">IFERROR(OFFSET(ITEM_RES!$A$5,MATCH(BUILDING!U96,ITEM_RES!$J$5:$J$229,0)-1,0),0)</f>
        <v>211021101</v>
      </c>
      <c r="W96" s="11">
        <v>100</v>
      </c>
      <c r="X96" s="84" t="s">
        <v>542</v>
      </c>
      <c r="Y96" s="9">
        <f ca="1">IFERROR(OFFSET(ITEM_RES!$A$5,MATCH(BUILDING!X96,ITEM_RES!$J$5:$J$229,0)-1,0),0)</f>
        <v>211010401</v>
      </c>
      <c r="AA96" s="9" t="s">
        <v>512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394</v>
      </c>
      <c r="AU96" s="11">
        <v>5200000</v>
      </c>
      <c r="AX96" s="11">
        <f ca="1">IFERROR(OFFSET(ITEM_RES!$A$1,MATCH(AY96,ITEM_RES!$J:$J,0)-1,0),0)</f>
        <v>211020401</v>
      </c>
      <c r="AY96" s="10" t="s">
        <v>436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461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767</v>
      </c>
      <c r="S97" s="9" t="s">
        <v>711</v>
      </c>
      <c r="U97" s="84" t="s">
        <v>543</v>
      </c>
      <c r="V97" s="9">
        <f ca="1">IFERROR(OFFSET(ITEM_RES!$A$5,MATCH(BUILDING!U97,ITEM_RES!$J$5:$J$229,0)-1,0),0)</f>
        <v>211021101</v>
      </c>
      <c r="W97" s="11">
        <v>100</v>
      </c>
      <c r="X97" s="84" t="s">
        <v>542</v>
      </c>
      <c r="Y97" s="9">
        <f ca="1">IFERROR(OFFSET(ITEM_RES!$A$5,MATCH(BUILDING!X97,ITEM_RES!$J$5:$J$229,0)-1,0),0)</f>
        <v>211010401</v>
      </c>
      <c r="AA97" s="9" t="s">
        <v>512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394</v>
      </c>
      <c r="AU97" s="11">
        <v>8600000</v>
      </c>
      <c r="AX97" s="11">
        <f ca="1">IFERROR(OFFSET(ITEM_RES!$A$1,MATCH(AY97,ITEM_RES!$J:$J,0)-1,0),0)</f>
        <v>211020401</v>
      </c>
      <c r="AY97" s="10" t="s">
        <v>436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767</v>
      </c>
      <c r="S98" s="9" t="s">
        <v>711</v>
      </c>
      <c r="U98" s="84" t="s">
        <v>543</v>
      </c>
      <c r="V98" s="9">
        <f ca="1">IFERROR(OFFSET(ITEM_RES!$A$5,MATCH(BUILDING!U98,ITEM_RES!$J$5:$J$229,0)-1,0),0)</f>
        <v>211021101</v>
      </c>
      <c r="W98" s="11">
        <v>100</v>
      </c>
      <c r="X98" s="84" t="s">
        <v>542</v>
      </c>
      <c r="Y98" s="9">
        <f ca="1">IFERROR(OFFSET(ITEM_RES!$A$5,MATCH(BUILDING!X98,ITEM_RES!$J$5:$J$229,0)-1,0),0)</f>
        <v>211010401</v>
      </c>
      <c r="AA98" s="9" t="s">
        <v>512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394</v>
      </c>
      <c r="AU98" s="11">
        <v>13200000</v>
      </c>
      <c r="AX98" s="11">
        <f ca="1">IFERROR(OFFSET(ITEM_RES!$A$1,MATCH(AY98,ITEM_RES!$J:$J,0)-1,0),0)</f>
        <v>211020401</v>
      </c>
      <c r="AY98" s="10" t="s">
        <v>436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767</v>
      </c>
      <c r="S99" s="9" t="s">
        <v>711</v>
      </c>
      <c r="U99" s="84" t="s">
        <v>543</v>
      </c>
      <c r="V99" s="9">
        <f ca="1">IFERROR(OFFSET(ITEM_RES!$A$5,MATCH(BUILDING!U99,ITEM_RES!$J$5:$J$229,0)-1,0),0)</f>
        <v>211021101</v>
      </c>
      <c r="W99" s="11">
        <v>100</v>
      </c>
      <c r="X99" s="84" t="s">
        <v>542</v>
      </c>
      <c r="Y99" s="9">
        <f ca="1">IFERROR(OFFSET(ITEM_RES!$A$5,MATCH(BUILDING!X99,ITEM_RES!$J$5:$J$229,0)-1,0),0)</f>
        <v>211010401</v>
      </c>
      <c r="AA99" s="9" t="s">
        <v>512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394</v>
      </c>
      <c r="AU99" s="11">
        <v>22000000</v>
      </c>
      <c r="AX99" s="11">
        <f ca="1">IFERROR(OFFSET(ITEM_RES!$A$1,MATCH(AY99,ITEM_RES!$J:$J,0)-1,0),0)</f>
        <v>211020501</v>
      </c>
      <c r="AY99" s="10" t="s">
        <v>433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767</v>
      </c>
      <c r="S100" s="9" t="s">
        <v>711</v>
      </c>
      <c r="U100" s="84" t="s">
        <v>543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542</v>
      </c>
      <c r="Y100" s="9">
        <f ca="1">IFERROR(OFFSET(ITEM_RES!$A$5,MATCH(BUILDING!X100,ITEM_RES!$J$5:$J$229,0)-1,0),0)</f>
        <v>211010401</v>
      </c>
      <c r="AA100" s="9" t="s">
        <v>512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394</v>
      </c>
      <c r="AU100" s="11">
        <v>30000000</v>
      </c>
      <c r="AX100" s="11">
        <f ca="1">IFERROR(OFFSET(ITEM_RES!$A$1,MATCH(AY100,ITEM_RES!$J:$J,0)-1,0),0)</f>
        <v>211020501</v>
      </c>
      <c r="AY100" s="10" t="s">
        <v>433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767</v>
      </c>
      <c r="S101" s="9" t="s">
        <v>711</v>
      </c>
      <c r="U101" s="84" t="s">
        <v>543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542</v>
      </c>
      <c r="Y101" s="9">
        <f ca="1">IFERROR(OFFSET(ITEM_RES!$A$5,MATCH(BUILDING!X101,ITEM_RES!$J$5:$J$229,0)-1,0),0)</f>
        <v>211010401</v>
      </c>
      <c r="AA101" s="9" t="s">
        <v>512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1077</v>
      </c>
      <c r="AU101" s="11">
        <v>46000000</v>
      </c>
      <c r="AX101" s="11">
        <f ca="1">IFERROR(OFFSET(ITEM_RES!$A$1,MATCH(AY101,ITEM_RES!$J:$J,0)-1,0),0)</f>
        <v>211020501</v>
      </c>
      <c r="AY101" s="10" t="s">
        <v>433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767</v>
      </c>
      <c r="S102" s="9" t="s">
        <v>711</v>
      </c>
      <c r="U102" s="84" t="s">
        <v>543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542</v>
      </c>
      <c r="Y102" s="9">
        <f ca="1">IFERROR(OFFSET(ITEM_RES!$A$5,MATCH(BUILDING!X102,ITEM_RES!$J$5:$J$229,0)-1,0),0)</f>
        <v>211010401</v>
      </c>
      <c r="AA102" s="9" t="s">
        <v>512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1077</v>
      </c>
      <c r="AU102" s="11">
        <v>70000000</v>
      </c>
      <c r="AX102" s="11">
        <f ca="1">IFERROR(OFFSET(ITEM_RES!$A$1,MATCH(AY102,ITEM_RES!$J:$J,0)-1,0),0)</f>
        <v>211020501</v>
      </c>
      <c r="AY102" s="10" t="s">
        <v>433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767</v>
      </c>
      <c r="S103" s="9" t="s">
        <v>711</v>
      </c>
      <c r="U103" s="84" t="s">
        <v>543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542</v>
      </c>
      <c r="Y103" s="9">
        <f ca="1">IFERROR(OFFSET(ITEM_RES!$A$5,MATCH(BUILDING!X103,ITEM_RES!$J$5:$J$229,0)-1,0),0)</f>
        <v>211010401</v>
      </c>
      <c r="AA103" s="9" t="s">
        <v>512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1077</v>
      </c>
      <c r="AU103" s="11">
        <v>96000000</v>
      </c>
      <c r="AX103" s="11">
        <f ca="1">IFERROR(OFFSET(ITEM_RES!$A$1,MATCH(AY103,ITEM_RES!$J:$J,0)-1,0),0)</f>
        <v>211020501</v>
      </c>
      <c r="AY103" s="10" t="s">
        <v>433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767</v>
      </c>
      <c r="S104" s="9" t="s">
        <v>711</v>
      </c>
      <c r="U104" s="84" t="s">
        <v>543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542</v>
      </c>
      <c r="Y104" s="9">
        <f ca="1">IFERROR(OFFSET(ITEM_RES!$A$5,MATCH(BUILDING!X104,ITEM_RES!$J$5:$J$229,0)-1,0),0)</f>
        <v>211010401</v>
      </c>
      <c r="AA104" s="9" t="s">
        <v>512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1077</v>
      </c>
      <c r="AU104" s="11">
        <v>152000000</v>
      </c>
      <c r="AX104" s="11">
        <f ca="1">IFERROR(OFFSET(ITEM_RES!$A$1,MATCH(AY104,ITEM_RES!$J:$J,0)-1,0),0)</f>
        <v>211020501</v>
      </c>
      <c r="AY104" s="10" t="s">
        <v>433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764</v>
      </c>
      <c r="L105" s="66">
        <v>12</v>
      </c>
      <c r="M105" s="16">
        <v>1</v>
      </c>
      <c r="N105" s="16">
        <v>15</v>
      </c>
      <c r="O105" s="16" t="s">
        <v>766</v>
      </c>
      <c r="P105" s="17"/>
      <c r="Q105" s="17"/>
      <c r="R105" s="18"/>
      <c r="S105" s="16" t="s">
        <v>765</v>
      </c>
      <c r="T105" s="78"/>
      <c r="U105" s="86" t="s">
        <v>550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543</v>
      </c>
      <c r="Y105" s="16">
        <f ca="1">IFERROR(OFFSET(ITEM_RES!$A$5,MATCH(BUILDING!X105,ITEM_RES!$J$5:$J$229,0)-1,0),0)</f>
        <v>211021101</v>
      </c>
      <c r="Z105" s="78"/>
      <c r="AA105" s="16" t="s">
        <v>513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431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423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452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764</v>
      </c>
      <c r="M106" s="9">
        <v>1</v>
      </c>
      <c r="N106" s="9">
        <v>15</v>
      </c>
      <c r="O106" s="9" t="s">
        <v>766</v>
      </c>
      <c r="S106" s="9" t="s">
        <v>765</v>
      </c>
      <c r="U106" s="84" t="s">
        <v>405</v>
      </c>
      <c r="V106" s="9">
        <f ca="1">IFERROR(OFFSET(ITEM_RES!$A$5,MATCH(BUILDING!U106,ITEM_RES!$J$5:$J$229,0)-1,0),0)</f>
        <v>211021001</v>
      </c>
      <c r="W106" s="11">
        <v>10</v>
      </c>
      <c r="X106" s="84" t="s">
        <v>543</v>
      </c>
      <c r="Y106" s="9">
        <f ca="1">IFERROR(OFFSET(ITEM_RES!$A$5,MATCH(BUILDING!X106,ITEM_RES!$J$5:$J$229,0)-1,0),0)</f>
        <v>211021101</v>
      </c>
      <c r="AA106" s="9" t="s">
        <v>513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432</v>
      </c>
      <c r="AU106" s="11">
        <v>20</v>
      </c>
      <c r="AX106" s="11">
        <f ca="1">IFERROR(OFFSET(ITEM_RES!$A$1,MATCH(AY106,ITEM_RES!$J:$J,0)-1,0),0)</f>
        <v>211020401</v>
      </c>
      <c r="AY106" s="10" t="s">
        <v>423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764</v>
      </c>
      <c r="M107" s="9">
        <v>1</v>
      </c>
      <c r="N107" s="9">
        <v>15</v>
      </c>
      <c r="O107" s="9" t="s">
        <v>766</v>
      </c>
      <c r="S107" s="9" t="s">
        <v>765</v>
      </c>
      <c r="U107" s="84" t="s">
        <v>405</v>
      </c>
      <c r="V107" s="9">
        <f ca="1">IFERROR(OFFSET(ITEM_RES!$A$5,MATCH(BUILDING!U107,ITEM_RES!$J$5:$J$229,0)-1,0),0)</f>
        <v>211021001</v>
      </c>
      <c r="W107" s="11">
        <v>10</v>
      </c>
      <c r="X107" s="84" t="s">
        <v>543</v>
      </c>
      <c r="Y107" s="9">
        <f ca="1">IFERROR(OFFSET(ITEM_RES!$A$5,MATCH(BUILDING!X107,ITEM_RES!$J$5:$J$229,0)-1,0),0)</f>
        <v>211021101</v>
      </c>
      <c r="AA107" s="9" t="s">
        <v>513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431</v>
      </c>
      <c r="AU107" s="11">
        <v>160</v>
      </c>
      <c r="AX107" s="11">
        <f ca="1">IFERROR(OFFSET(ITEM_RES!$A$1,MATCH(AY107,ITEM_RES!$J:$J,0)-1,0),0)</f>
        <v>211020401</v>
      </c>
      <c r="AY107" s="10" t="s">
        <v>423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764</v>
      </c>
      <c r="M108" s="9">
        <v>1</v>
      </c>
      <c r="N108" s="9">
        <v>15</v>
      </c>
      <c r="O108" s="9" t="s">
        <v>766</v>
      </c>
      <c r="S108" s="9" t="s">
        <v>765</v>
      </c>
      <c r="U108" s="84" t="s">
        <v>405</v>
      </c>
      <c r="V108" s="9">
        <f ca="1">IFERROR(OFFSET(ITEM_RES!$A$5,MATCH(BUILDING!U108,ITEM_RES!$J$5:$J$229,0)-1,0),0)</f>
        <v>211021001</v>
      </c>
      <c r="W108" s="11">
        <v>10</v>
      </c>
      <c r="X108" s="84" t="s">
        <v>543</v>
      </c>
      <c r="Y108" s="9">
        <f ca="1">IFERROR(OFFSET(ITEM_RES!$A$5,MATCH(BUILDING!X108,ITEM_RES!$J$5:$J$229,0)-1,0),0)</f>
        <v>211021101</v>
      </c>
      <c r="AA108" s="9" t="s">
        <v>513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431</v>
      </c>
      <c r="AU108" s="11">
        <v>1920</v>
      </c>
      <c r="AX108" s="11">
        <f ca="1">IFERROR(OFFSET(ITEM_RES!$A$1,MATCH(AY108,ITEM_RES!$J:$J,0)-1,0),0)</f>
        <v>211020401</v>
      </c>
      <c r="AY108" s="10" t="s">
        <v>423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764</v>
      </c>
      <c r="M109" s="9">
        <v>1</v>
      </c>
      <c r="N109" s="9">
        <v>15</v>
      </c>
      <c r="O109" s="9" t="s">
        <v>766</v>
      </c>
      <c r="S109" s="9" t="s">
        <v>765</v>
      </c>
      <c r="U109" s="84" t="s">
        <v>405</v>
      </c>
      <c r="V109" s="9">
        <f ca="1">IFERROR(OFFSET(ITEM_RES!$A$5,MATCH(BUILDING!U109,ITEM_RES!$J$5:$J$229,0)-1,0),0)</f>
        <v>211021001</v>
      </c>
      <c r="W109" s="11">
        <v>10</v>
      </c>
      <c r="X109" s="84" t="s">
        <v>543</v>
      </c>
      <c r="Y109" s="9">
        <f ca="1">IFERROR(OFFSET(ITEM_RES!$A$5,MATCH(BUILDING!X109,ITEM_RES!$J$5:$J$229,0)-1,0),0)</f>
        <v>211021101</v>
      </c>
      <c r="AA109" s="9" t="s">
        <v>513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431</v>
      </c>
      <c r="AU109" s="11">
        <v>26000</v>
      </c>
      <c r="AX109" s="11">
        <f ca="1">IFERROR(OFFSET(ITEM_RES!$A$1,MATCH(AY109,ITEM_RES!$J:$J,0)-1,0),0)</f>
        <v>211020401</v>
      </c>
      <c r="AY109" s="10" t="s">
        <v>423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764</v>
      </c>
      <c r="M110" s="9">
        <v>1</v>
      </c>
      <c r="N110" s="9">
        <v>15</v>
      </c>
      <c r="O110" s="9" t="s">
        <v>766</v>
      </c>
      <c r="S110" s="9" t="s">
        <v>765</v>
      </c>
      <c r="U110" s="84" t="s">
        <v>405</v>
      </c>
      <c r="V110" s="9">
        <f ca="1">IFERROR(OFFSET(ITEM_RES!$A$5,MATCH(BUILDING!U110,ITEM_RES!$J$5:$J$229,0)-1,0),0)</f>
        <v>211021001</v>
      </c>
      <c r="W110" s="11">
        <v>10</v>
      </c>
      <c r="X110" s="84" t="s">
        <v>543</v>
      </c>
      <c r="Y110" s="9">
        <f ca="1">IFERROR(OFFSET(ITEM_RES!$A$5,MATCH(BUILDING!X110,ITEM_RES!$J$5:$J$229,0)-1,0),0)</f>
        <v>211021101</v>
      </c>
      <c r="AA110" s="9" t="s">
        <v>513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431</v>
      </c>
      <c r="AU110" s="11">
        <v>240000</v>
      </c>
      <c r="AX110" s="11">
        <f ca="1">IFERROR(OFFSET(ITEM_RES!$A$1,MATCH(AY110,ITEM_RES!$J:$J,0)-1,0),0)</f>
        <v>211020401</v>
      </c>
      <c r="AY110" s="10" t="s">
        <v>423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764</v>
      </c>
      <c r="M111" s="9">
        <v>1</v>
      </c>
      <c r="N111" s="9">
        <v>15</v>
      </c>
      <c r="O111" s="9" t="s">
        <v>766</v>
      </c>
      <c r="S111" s="9" t="s">
        <v>765</v>
      </c>
      <c r="U111" s="84" t="s">
        <v>405</v>
      </c>
      <c r="V111" s="9">
        <f ca="1">IFERROR(OFFSET(ITEM_RES!$A$5,MATCH(BUILDING!U111,ITEM_RES!$J$5:$J$229,0)-1,0),0)</f>
        <v>211021001</v>
      </c>
      <c r="W111" s="11">
        <v>10</v>
      </c>
      <c r="X111" s="84" t="s">
        <v>543</v>
      </c>
      <c r="Y111" s="9">
        <f ca="1">IFERROR(OFFSET(ITEM_RES!$A$5,MATCH(BUILDING!X111,ITEM_RES!$J$5:$J$229,0)-1,0),0)</f>
        <v>211021101</v>
      </c>
      <c r="AA111" s="9" t="s">
        <v>513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431</v>
      </c>
      <c r="AU111" s="11">
        <v>540000</v>
      </c>
      <c r="AX111" s="11">
        <f ca="1">IFERROR(OFFSET(ITEM_RES!$A$1,MATCH(AY111,ITEM_RES!$J:$J,0)-1,0),0)</f>
        <v>211020401</v>
      </c>
      <c r="AY111" s="10" t="s">
        <v>423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764</v>
      </c>
      <c r="M112" s="9">
        <v>1</v>
      </c>
      <c r="N112" s="9">
        <v>15</v>
      </c>
      <c r="O112" s="9" t="s">
        <v>766</v>
      </c>
      <c r="S112" s="9" t="s">
        <v>765</v>
      </c>
      <c r="U112" s="84" t="s">
        <v>405</v>
      </c>
      <c r="V112" s="9">
        <f ca="1">IFERROR(OFFSET(ITEM_RES!$A$5,MATCH(BUILDING!U112,ITEM_RES!$J$5:$J$229,0)-1,0),0)</f>
        <v>211021001</v>
      </c>
      <c r="W112" s="11">
        <v>10</v>
      </c>
      <c r="X112" s="84" t="s">
        <v>543</v>
      </c>
      <c r="Y112" s="9">
        <f ca="1">IFERROR(OFFSET(ITEM_RES!$A$5,MATCH(BUILDING!X112,ITEM_RES!$J$5:$J$229,0)-1,0),0)</f>
        <v>211021101</v>
      </c>
      <c r="AA112" s="9" t="s">
        <v>513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431</v>
      </c>
      <c r="AU112" s="11">
        <v>1000000</v>
      </c>
      <c r="AX112" s="11">
        <f ca="1">IFERROR(OFFSET(ITEM_RES!$A$1,MATCH(AY112,ITEM_RES!$J:$J,0)-1,0),0)</f>
        <v>211020401</v>
      </c>
      <c r="AY112" s="10" t="s">
        <v>423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764</v>
      </c>
      <c r="M113" s="9">
        <v>1</v>
      </c>
      <c r="N113" s="9">
        <v>15</v>
      </c>
      <c r="O113" s="9" t="s">
        <v>766</v>
      </c>
      <c r="S113" s="9" t="s">
        <v>765</v>
      </c>
      <c r="U113" s="84" t="s">
        <v>405</v>
      </c>
      <c r="V113" s="9">
        <f ca="1">IFERROR(OFFSET(ITEM_RES!$A$5,MATCH(BUILDING!U113,ITEM_RES!$J$5:$J$229,0)-1,0),0)</f>
        <v>211021001</v>
      </c>
      <c r="W113" s="11">
        <v>10</v>
      </c>
      <c r="X113" s="84" t="s">
        <v>543</v>
      </c>
      <c r="Y113" s="9">
        <f ca="1">IFERROR(OFFSET(ITEM_RES!$A$5,MATCH(BUILDING!X113,ITEM_RES!$J$5:$J$229,0)-1,0),0)</f>
        <v>211021101</v>
      </c>
      <c r="AA113" s="9" t="s">
        <v>513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431</v>
      </c>
      <c r="AU113" s="11">
        <v>1580000</v>
      </c>
      <c r="AX113" s="11">
        <f ca="1">IFERROR(OFFSET(ITEM_RES!$A$1,MATCH(AY113,ITEM_RES!$J:$J,0)-1,0),0)</f>
        <v>211020401</v>
      </c>
      <c r="AY113" s="10" t="s">
        <v>423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764</v>
      </c>
      <c r="M114" s="9">
        <v>1</v>
      </c>
      <c r="N114" s="9">
        <v>15</v>
      </c>
      <c r="O114" s="9" t="s">
        <v>766</v>
      </c>
      <c r="S114" s="9" t="s">
        <v>765</v>
      </c>
      <c r="U114" s="84" t="s">
        <v>405</v>
      </c>
      <c r="V114" s="9">
        <f ca="1">IFERROR(OFFSET(ITEM_RES!$A$5,MATCH(BUILDING!U114,ITEM_RES!$J$5:$J$229,0)-1,0),0)</f>
        <v>211021001</v>
      </c>
      <c r="W114" s="11">
        <v>10</v>
      </c>
      <c r="X114" s="84" t="s">
        <v>543</v>
      </c>
      <c r="Y114" s="9">
        <f ca="1">IFERROR(OFFSET(ITEM_RES!$A$5,MATCH(BUILDING!X114,ITEM_RES!$J$5:$J$229,0)-1,0),0)</f>
        <v>211021101</v>
      </c>
      <c r="AA114" s="9" t="s">
        <v>513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431</v>
      </c>
      <c r="AU114" s="11">
        <v>2200000</v>
      </c>
      <c r="AX114" s="11">
        <f ca="1">IFERROR(OFFSET(ITEM_RES!$A$1,MATCH(AY114,ITEM_RES!$J:$J,0)-1,0),0)</f>
        <v>211020401</v>
      </c>
      <c r="AY114" s="10" t="s">
        <v>423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764</v>
      </c>
      <c r="M115" s="9">
        <v>1</v>
      </c>
      <c r="N115" s="9">
        <v>15</v>
      </c>
      <c r="O115" s="9" t="s">
        <v>766</v>
      </c>
      <c r="S115" s="9" t="s">
        <v>765</v>
      </c>
      <c r="U115" s="84" t="s">
        <v>405</v>
      </c>
      <c r="V115" s="9">
        <f ca="1">IFERROR(OFFSET(ITEM_RES!$A$5,MATCH(BUILDING!U115,ITEM_RES!$J$5:$J$229,0)-1,0),0)</f>
        <v>211021001</v>
      </c>
      <c r="W115" s="11">
        <v>10</v>
      </c>
      <c r="X115" s="84" t="s">
        <v>543</v>
      </c>
      <c r="Y115" s="9">
        <f ca="1">IFERROR(OFFSET(ITEM_RES!$A$5,MATCH(BUILDING!X115,ITEM_RES!$J$5:$J$229,0)-1,0),0)</f>
        <v>211021101</v>
      </c>
      <c r="AA115" s="9" t="s">
        <v>513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394</v>
      </c>
      <c r="AU115" s="11">
        <v>4400000</v>
      </c>
      <c r="AX115" s="11">
        <f ca="1">IFERROR(OFFSET(ITEM_RES!$A$1,MATCH(AY115,ITEM_RES!$J:$J,0)-1,0),0)</f>
        <v>211020401</v>
      </c>
      <c r="AY115" s="10" t="s">
        <v>423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764</v>
      </c>
      <c r="M116" s="9">
        <v>1</v>
      </c>
      <c r="N116" s="9">
        <v>15</v>
      </c>
      <c r="O116" s="9" t="s">
        <v>766</v>
      </c>
      <c r="S116" s="9" t="s">
        <v>765</v>
      </c>
      <c r="U116" s="84" t="s">
        <v>405</v>
      </c>
      <c r="V116" s="9">
        <f ca="1">IFERROR(OFFSET(ITEM_RES!$A$5,MATCH(BUILDING!U116,ITEM_RES!$J$5:$J$229,0)-1,0),0)</f>
        <v>211021001</v>
      </c>
      <c r="W116" s="11">
        <v>10</v>
      </c>
      <c r="X116" s="84" t="s">
        <v>543</v>
      </c>
      <c r="Y116" s="9">
        <f ca="1">IFERROR(OFFSET(ITEM_RES!$A$5,MATCH(BUILDING!X116,ITEM_RES!$J$5:$J$229,0)-1,0),0)</f>
        <v>211021101</v>
      </c>
      <c r="AA116" s="9" t="s">
        <v>513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394</v>
      </c>
      <c r="AU116" s="11">
        <v>5200000</v>
      </c>
      <c r="AX116" s="11">
        <f ca="1">IFERROR(OFFSET(ITEM_RES!$A$1,MATCH(AY116,ITEM_RES!$J:$J,0)-1,0),0)</f>
        <v>211020401</v>
      </c>
      <c r="AY116" s="10" t="s">
        <v>423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764</v>
      </c>
      <c r="M117" s="9">
        <v>1</v>
      </c>
      <c r="N117" s="9">
        <v>15</v>
      </c>
      <c r="O117" s="9" t="s">
        <v>766</v>
      </c>
      <c r="S117" s="9" t="s">
        <v>765</v>
      </c>
      <c r="U117" s="84" t="s">
        <v>405</v>
      </c>
      <c r="V117" s="9">
        <f ca="1">IFERROR(OFFSET(ITEM_RES!$A$5,MATCH(BUILDING!U117,ITEM_RES!$J$5:$J$229,0)-1,0),0)</f>
        <v>211021001</v>
      </c>
      <c r="W117" s="11">
        <v>10</v>
      </c>
      <c r="X117" s="84" t="s">
        <v>543</v>
      </c>
      <c r="Y117" s="9">
        <f ca="1">IFERROR(OFFSET(ITEM_RES!$A$5,MATCH(BUILDING!X117,ITEM_RES!$J$5:$J$229,0)-1,0),0)</f>
        <v>211021101</v>
      </c>
      <c r="AA117" s="9" t="s">
        <v>513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394</v>
      </c>
      <c r="AU117" s="11">
        <v>8600000</v>
      </c>
      <c r="AX117" s="11">
        <f ca="1">IFERROR(OFFSET(ITEM_RES!$A$1,MATCH(AY117,ITEM_RES!$J:$J,0)-1,0),0)</f>
        <v>211020401</v>
      </c>
      <c r="AY117" s="10" t="s">
        <v>423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764</v>
      </c>
      <c r="M118" s="9">
        <v>1</v>
      </c>
      <c r="N118" s="9">
        <v>15</v>
      </c>
      <c r="O118" s="9" t="s">
        <v>766</v>
      </c>
      <c r="S118" s="9" t="s">
        <v>765</v>
      </c>
      <c r="U118" s="84" t="s">
        <v>405</v>
      </c>
      <c r="V118" s="9">
        <f ca="1">IFERROR(OFFSET(ITEM_RES!$A$5,MATCH(BUILDING!U118,ITEM_RES!$J$5:$J$229,0)-1,0),0)</f>
        <v>211021001</v>
      </c>
      <c r="W118" s="11">
        <v>10</v>
      </c>
      <c r="X118" s="84" t="s">
        <v>543</v>
      </c>
      <c r="Y118" s="9">
        <f ca="1">IFERROR(OFFSET(ITEM_RES!$A$5,MATCH(BUILDING!X118,ITEM_RES!$J$5:$J$229,0)-1,0),0)</f>
        <v>211021101</v>
      </c>
      <c r="AA118" s="9" t="s">
        <v>513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394</v>
      </c>
      <c r="AU118" s="11">
        <v>13200000</v>
      </c>
      <c r="AX118" s="11">
        <f ca="1">IFERROR(OFFSET(ITEM_RES!$A$1,MATCH(AY118,ITEM_RES!$J:$J,0)-1,0),0)</f>
        <v>211020401</v>
      </c>
      <c r="AY118" s="10" t="s">
        <v>423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764</v>
      </c>
      <c r="M119" s="9">
        <v>1</v>
      </c>
      <c r="N119" s="9">
        <v>15</v>
      </c>
      <c r="O119" s="9" t="s">
        <v>766</v>
      </c>
      <c r="S119" s="9" t="s">
        <v>765</v>
      </c>
      <c r="U119" s="84" t="s">
        <v>405</v>
      </c>
      <c r="V119" s="9">
        <f ca="1">IFERROR(OFFSET(ITEM_RES!$A$5,MATCH(BUILDING!U119,ITEM_RES!$J$5:$J$229,0)-1,0),0)</f>
        <v>211021001</v>
      </c>
      <c r="W119" s="11">
        <v>10</v>
      </c>
      <c r="X119" s="84" t="s">
        <v>543</v>
      </c>
      <c r="Y119" s="9">
        <f ca="1">IFERROR(OFFSET(ITEM_RES!$A$5,MATCH(BUILDING!X119,ITEM_RES!$J$5:$J$229,0)-1,0),0)</f>
        <v>211021101</v>
      </c>
      <c r="AA119" s="9" t="s">
        <v>513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394</v>
      </c>
      <c r="AU119" s="11">
        <v>22000000</v>
      </c>
      <c r="AX119" s="11">
        <f ca="1">IFERROR(OFFSET(ITEM_RES!$A$1,MATCH(AY119,ITEM_RES!$J:$J,0)-1,0),0)</f>
        <v>211020501</v>
      </c>
      <c r="AY119" s="10" t="s">
        <v>424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764</v>
      </c>
      <c r="M120" s="9">
        <v>0</v>
      </c>
      <c r="N120" s="9">
        <v>15</v>
      </c>
      <c r="O120" s="9" t="s">
        <v>766</v>
      </c>
      <c r="S120" s="9" t="s">
        <v>765</v>
      </c>
      <c r="U120" s="84" t="s">
        <v>405</v>
      </c>
      <c r="V120" s="9">
        <f ca="1">IFERROR(OFFSET(ITEM_RES!$A$5,MATCH(BUILDING!U120,ITEM_RES!$J$5:$J$229,0)-1,0),0)</f>
        <v>211021001</v>
      </c>
      <c r="W120" s="11">
        <v>10</v>
      </c>
      <c r="X120" s="84" t="s">
        <v>543</v>
      </c>
      <c r="Y120" s="9">
        <f ca="1">IFERROR(OFFSET(ITEM_RES!$A$5,MATCH(BUILDING!X120,ITEM_RES!$J$5:$J$229,0)-1,0),0)</f>
        <v>211021101</v>
      </c>
      <c r="AA120" s="9" t="s">
        <v>513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394</v>
      </c>
      <c r="AU120" s="11">
        <v>30000000</v>
      </c>
      <c r="AX120" s="11">
        <f ca="1">IFERROR(OFFSET(ITEM_RES!$A$1,MATCH(AY120,ITEM_RES!$J:$J,0)-1,0),0)</f>
        <v>211020501</v>
      </c>
      <c r="AY120" s="10" t="s">
        <v>424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764</v>
      </c>
      <c r="M121" s="9">
        <v>0</v>
      </c>
      <c r="N121" s="9">
        <v>15</v>
      </c>
      <c r="O121" s="9" t="s">
        <v>766</v>
      </c>
      <c r="S121" s="9" t="s">
        <v>765</v>
      </c>
      <c r="U121" s="84" t="s">
        <v>405</v>
      </c>
      <c r="V121" s="9">
        <f ca="1">IFERROR(OFFSET(ITEM_RES!$A$5,MATCH(BUILDING!U121,ITEM_RES!$J$5:$J$229,0)-1,0),0)</f>
        <v>211021001</v>
      </c>
      <c r="W121" s="11">
        <v>10</v>
      </c>
      <c r="X121" s="84" t="s">
        <v>543</v>
      </c>
      <c r="Y121" s="9">
        <f ca="1">IFERROR(OFFSET(ITEM_RES!$A$5,MATCH(BUILDING!X121,ITEM_RES!$J$5:$J$229,0)-1,0),0)</f>
        <v>211021101</v>
      </c>
      <c r="AA121" s="9" t="s">
        <v>513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1077</v>
      </c>
      <c r="AU121" s="11">
        <v>46000000</v>
      </c>
      <c r="AX121" s="11">
        <f ca="1">IFERROR(OFFSET(ITEM_RES!$A$1,MATCH(AY121,ITEM_RES!$J:$J,0)-1,0),0)</f>
        <v>211020501</v>
      </c>
      <c r="AY121" s="10" t="s">
        <v>424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764</v>
      </c>
      <c r="M122" s="9">
        <v>0</v>
      </c>
      <c r="N122" s="9">
        <v>15</v>
      </c>
      <c r="O122" s="9" t="s">
        <v>766</v>
      </c>
      <c r="S122" s="9" t="s">
        <v>765</v>
      </c>
      <c r="U122" s="84" t="s">
        <v>405</v>
      </c>
      <c r="V122" s="9">
        <f ca="1">IFERROR(OFFSET(ITEM_RES!$A$5,MATCH(BUILDING!U122,ITEM_RES!$J$5:$J$229,0)-1,0),0)</f>
        <v>211021001</v>
      </c>
      <c r="W122" s="11">
        <v>10</v>
      </c>
      <c r="X122" s="84" t="s">
        <v>543</v>
      </c>
      <c r="Y122" s="9">
        <f ca="1">IFERROR(OFFSET(ITEM_RES!$A$5,MATCH(BUILDING!X122,ITEM_RES!$J$5:$J$229,0)-1,0),0)</f>
        <v>211021101</v>
      </c>
      <c r="AA122" s="9" t="s">
        <v>513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1077</v>
      </c>
      <c r="AU122" s="11">
        <v>70000000</v>
      </c>
      <c r="AX122" s="11">
        <f ca="1">IFERROR(OFFSET(ITEM_RES!$A$1,MATCH(AY122,ITEM_RES!$J:$J,0)-1,0),0)</f>
        <v>211020501</v>
      </c>
      <c r="AY122" s="10" t="s">
        <v>424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764</v>
      </c>
      <c r="M123" s="9">
        <v>0</v>
      </c>
      <c r="N123" s="9">
        <v>15</v>
      </c>
      <c r="O123" s="9" t="s">
        <v>766</v>
      </c>
      <c r="S123" s="9" t="s">
        <v>765</v>
      </c>
      <c r="U123" s="84" t="s">
        <v>405</v>
      </c>
      <c r="V123" s="9">
        <f ca="1">IFERROR(OFFSET(ITEM_RES!$A$5,MATCH(BUILDING!U123,ITEM_RES!$J$5:$J$229,0)-1,0),0)</f>
        <v>211021001</v>
      </c>
      <c r="W123" s="11">
        <v>10</v>
      </c>
      <c r="X123" s="84" t="s">
        <v>543</v>
      </c>
      <c r="Y123" s="9">
        <f ca="1">IFERROR(OFFSET(ITEM_RES!$A$5,MATCH(BUILDING!X123,ITEM_RES!$J$5:$J$229,0)-1,0),0)</f>
        <v>211021101</v>
      </c>
      <c r="AA123" s="9" t="s">
        <v>513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1077</v>
      </c>
      <c r="AU123" s="11">
        <v>96000000</v>
      </c>
      <c r="AX123" s="11">
        <f ca="1">IFERROR(OFFSET(ITEM_RES!$A$1,MATCH(AY123,ITEM_RES!$J:$J,0)-1,0),0)</f>
        <v>211020501</v>
      </c>
      <c r="AY123" s="10" t="s">
        <v>424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764</v>
      </c>
      <c r="M124" s="9">
        <v>0</v>
      </c>
      <c r="N124" s="9">
        <v>15</v>
      </c>
      <c r="O124" s="9" t="s">
        <v>766</v>
      </c>
      <c r="S124" s="9" t="s">
        <v>765</v>
      </c>
      <c r="U124" s="84" t="s">
        <v>405</v>
      </c>
      <c r="V124" s="9">
        <f ca="1">IFERROR(OFFSET(ITEM_RES!$A$5,MATCH(BUILDING!U124,ITEM_RES!$J$5:$J$229,0)-1,0),0)</f>
        <v>211021001</v>
      </c>
      <c r="W124" s="11">
        <v>10</v>
      </c>
      <c r="X124" s="84" t="s">
        <v>543</v>
      </c>
      <c r="Y124" s="9">
        <f ca="1">IFERROR(OFFSET(ITEM_RES!$A$5,MATCH(BUILDING!X124,ITEM_RES!$J$5:$J$229,0)-1,0),0)</f>
        <v>211021101</v>
      </c>
      <c r="AA124" s="9" t="s">
        <v>513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1077</v>
      </c>
      <c r="AU124" s="11">
        <v>152000000</v>
      </c>
      <c r="AX124" s="11">
        <f ca="1">IFERROR(OFFSET(ITEM_RES!$A$1,MATCH(AY124,ITEM_RES!$J:$J,0)-1,0),0)</f>
        <v>211020501</v>
      </c>
      <c r="AY124" s="10" t="s">
        <v>424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1184</v>
      </c>
      <c r="P125" s="17"/>
      <c r="Q125" s="17"/>
      <c r="R125" s="18"/>
      <c r="S125" s="16" t="s">
        <v>690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544</v>
      </c>
      <c r="Y125" s="16">
        <f ca="1">IFERROR(OFFSET(ITEM_RES!$A$5,MATCH(BUILDING!X125,ITEM_RES!$J$5:$J$229,0)-1,0),0)</f>
        <v>211010501</v>
      </c>
      <c r="Z125" s="78"/>
      <c r="AA125" s="16" t="s">
        <v>514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1154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1152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452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1185</v>
      </c>
      <c r="S126" s="9" t="s">
        <v>690</v>
      </c>
      <c r="V126" s="9">
        <f ca="1">IFERROR(OFFSET(ITEM_RES!$A$5,MATCH(BUILDING!U126,ITEM_RES!$J$5:$J$229,0)-1,0),0)</f>
        <v>0</v>
      </c>
      <c r="X126" s="84" t="s">
        <v>544</v>
      </c>
      <c r="Y126" s="9">
        <f ca="1">IFERROR(OFFSET(ITEM_RES!$A$5,MATCH(BUILDING!X126,ITEM_RES!$J$5:$J$229,0)-1,0),0)</f>
        <v>211010501</v>
      </c>
      <c r="AA126" s="9" t="s">
        <v>514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1154</v>
      </c>
      <c r="AU126" s="11">
        <v>20</v>
      </c>
      <c r="AX126" s="11">
        <f ca="1">IFERROR(OFFSET(ITEM_RES!$A$1,MATCH(AY126,ITEM_RES!$J:$J,0)-1,0),0)</f>
        <v>211020401</v>
      </c>
      <c r="AY126" s="10" t="s">
        <v>1152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1186</v>
      </c>
      <c r="S127" s="9" t="s">
        <v>690</v>
      </c>
      <c r="V127" s="9">
        <f ca="1">IFERROR(OFFSET(ITEM_RES!$A$5,MATCH(BUILDING!U127,ITEM_RES!$J$5:$J$229,0)-1,0),0)</f>
        <v>0</v>
      </c>
      <c r="X127" s="84" t="s">
        <v>544</v>
      </c>
      <c r="Y127" s="9">
        <f ca="1">IFERROR(OFFSET(ITEM_RES!$A$5,MATCH(BUILDING!X127,ITEM_RES!$J$5:$J$229,0)-1,0),0)</f>
        <v>211010501</v>
      </c>
      <c r="AA127" s="9" t="s">
        <v>514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1154</v>
      </c>
      <c r="AU127" s="11">
        <v>160</v>
      </c>
      <c r="AX127" s="11">
        <f ca="1">IFERROR(OFFSET(ITEM_RES!$A$1,MATCH(AY127,ITEM_RES!$J:$J,0)-1,0),0)</f>
        <v>211020401</v>
      </c>
      <c r="AY127" s="10" t="s">
        <v>1152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1187</v>
      </c>
      <c r="S128" s="9" t="s">
        <v>690</v>
      </c>
      <c r="V128" s="9">
        <f ca="1">IFERROR(OFFSET(ITEM_RES!$A$5,MATCH(BUILDING!U128,ITEM_RES!$J$5:$J$229,0)-1,0),0)</f>
        <v>0</v>
      </c>
      <c r="X128" s="84" t="s">
        <v>544</v>
      </c>
      <c r="Y128" s="9">
        <f ca="1">IFERROR(OFFSET(ITEM_RES!$A$5,MATCH(BUILDING!X128,ITEM_RES!$J$5:$J$229,0)-1,0),0)</f>
        <v>211010501</v>
      </c>
      <c r="AA128" s="9" t="s">
        <v>514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1154</v>
      </c>
      <c r="AU128" s="11">
        <v>1920</v>
      </c>
      <c r="AX128" s="11">
        <f ca="1">IFERROR(OFFSET(ITEM_RES!$A$1,MATCH(AY128,ITEM_RES!$J:$J,0)-1,0),0)</f>
        <v>211020401</v>
      </c>
      <c r="AY128" s="10" t="s">
        <v>1152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1188</v>
      </c>
      <c r="S129" s="9" t="s">
        <v>690</v>
      </c>
      <c r="V129" s="9">
        <f ca="1">IFERROR(OFFSET(ITEM_RES!$A$5,MATCH(BUILDING!U129,ITEM_RES!$J$5:$J$229,0)-1,0),0)</f>
        <v>0</v>
      </c>
      <c r="X129" s="84" t="s">
        <v>544</v>
      </c>
      <c r="Y129" s="9">
        <f ca="1">IFERROR(OFFSET(ITEM_RES!$A$5,MATCH(BUILDING!X129,ITEM_RES!$J$5:$J$229,0)-1,0),0)</f>
        <v>211010501</v>
      </c>
      <c r="AA129" s="9" t="s">
        <v>514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1154</v>
      </c>
      <c r="AU129" s="11">
        <v>26000</v>
      </c>
      <c r="AX129" s="11">
        <f ca="1">IFERROR(OFFSET(ITEM_RES!$A$1,MATCH(AY129,ITEM_RES!$J:$J,0)-1,0),0)</f>
        <v>211020401</v>
      </c>
      <c r="AY129" s="10" t="s">
        <v>1152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1189</v>
      </c>
      <c r="S130" s="9" t="s">
        <v>690</v>
      </c>
      <c r="V130" s="9">
        <f ca="1">IFERROR(OFFSET(ITEM_RES!$A$5,MATCH(BUILDING!U130,ITEM_RES!$J$5:$J$229,0)-1,0),0)</f>
        <v>0</v>
      </c>
      <c r="X130" s="84" t="s">
        <v>544</v>
      </c>
      <c r="Y130" s="9">
        <f ca="1">IFERROR(OFFSET(ITEM_RES!$A$5,MATCH(BUILDING!X130,ITEM_RES!$J$5:$J$229,0)-1,0),0)</f>
        <v>211010501</v>
      </c>
      <c r="AA130" s="9" t="s">
        <v>514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1154</v>
      </c>
      <c r="AU130" s="11">
        <v>240000</v>
      </c>
      <c r="AX130" s="11">
        <f ca="1">IFERROR(OFFSET(ITEM_RES!$A$1,MATCH(AY130,ITEM_RES!$J:$J,0)-1,0),0)</f>
        <v>211020401</v>
      </c>
      <c r="AY130" s="10" t="s">
        <v>1152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1190</v>
      </c>
      <c r="S131" s="9" t="s">
        <v>690</v>
      </c>
      <c r="V131" s="9">
        <f ca="1">IFERROR(OFFSET(ITEM_RES!$A$5,MATCH(BUILDING!U131,ITEM_RES!$J$5:$J$229,0)-1,0),0)</f>
        <v>0</v>
      </c>
      <c r="X131" s="84" t="s">
        <v>544</v>
      </c>
      <c r="Y131" s="9">
        <f ca="1">IFERROR(OFFSET(ITEM_RES!$A$5,MATCH(BUILDING!X131,ITEM_RES!$J$5:$J$229,0)-1,0),0)</f>
        <v>211010501</v>
      </c>
      <c r="AA131" s="9" t="s">
        <v>514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1154</v>
      </c>
      <c r="AU131" s="11">
        <v>540000</v>
      </c>
      <c r="AX131" s="11">
        <f ca="1">IFERROR(OFFSET(ITEM_RES!$A$1,MATCH(AY131,ITEM_RES!$J:$J,0)-1,0),0)</f>
        <v>211020401</v>
      </c>
      <c r="AY131" s="10" t="s">
        <v>1152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1190</v>
      </c>
      <c r="S132" s="9" t="s">
        <v>690</v>
      </c>
      <c r="V132" s="9">
        <f ca="1">IFERROR(OFFSET(ITEM_RES!$A$5,MATCH(BUILDING!U132,ITEM_RES!$J$5:$J$229,0)-1,0),0)</f>
        <v>0</v>
      </c>
      <c r="X132" s="84" t="s">
        <v>544</v>
      </c>
      <c r="Y132" s="9">
        <f ca="1">IFERROR(OFFSET(ITEM_RES!$A$5,MATCH(BUILDING!X132,ITEM_RES!$J$5:$J$229,0)-1,0),0)</f>
        <v>211010501</v>
      </c>
      <c r="AA132" s="9" t="s">
        <v>514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1154</v>
      </c>
      <c r="AU132" s="11">
        <v>1000000</v>
      </c>
      <c r="AX132" s="11">
        <f ca="1">IFERROR(OFFSET(ITEM_RES!$A$1,MATCH(AY132,ITEM_RES!$J:$J,0)-1,0),0)</f>
        <v>211020401</v>
      </c>
      <c r="AY132" s="10" t="s">
        <v>1152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1190</v>
      </c>
      <c r="S133" s="9" t="s">
        <v>690</v>
      </c>
      <c r="V133" s="9">
        <f ca="1">IFERROR(OFFSET(ITEM_RES!$A$5,MATCH(BUILDING!U133,ITEM_RES!$J$5:$J$229,0)-1,0),0)</f>
        <v>0</v>
      </c>
      <c r="X133" s="84" t="s">
        <v>544</v>
      </c>
      <c r="Y133" s="9">
        <f ca="1">IFERROR(OFFSET(ITEM_RES!$A$5,MATCH(BUILDING!X133,ITEM_RES!$J$5:$J$229,0)-1,0),0)</f>
        <v>211010501</v>
      </c>
      <c r="AA133" s="9" t="s">
        <v>514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1154</v>
      </c>
      <c r="AU133" s="11">
        <v>1580000</v>
      </c>
      <c r="AX133" s="11">
        <f ca="1">IFERROR(OFFSET(ITEM_RES!$A$1,MATCH(AY133,ITEM_RES!$J:$J,0)-1,0),0)</f>
        <v>211020401</v>
      </c>
      <c r="AY133" s="10" t="s">
        <v>1152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1190</v>
      </c>
      <c r="S134" s="9" t="s">
        <v>690</v>
      </c>
      <c r="V134" s="9">
        <f ca="1">IFERROR(OFFSET(ITEM_RES!$A$5,MATCH(BUILDING!U134,ITEM_RES!$J$5:$J$229,0)-1,0),0)</f>
        <v>0</v>
      </c>
      <c r="X134" s="84" t="s">
        <v>544</v>
      </c>
      <c r="Y134" s="9">
        <f ca="1">IFERROR(OFFSET(ITEM_RES!$A$5,MATCH(BUILDING!X134,ITEM_RES!$J$5:$J$229,0)-1,0),0)</f>
        <v>211010501</v>
      </c>
      <c r="AA134" s="9" t="s">
        <v>514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1154</v>
      </c>
      <c r="AU134" s="11">
        <v>2200000</v>
      </c>
      <c r="AX134" s="11">
        <f ca="1">IFERROR(OFFSET(ITEM_RES!$A$1,MATCH(AY134,ITEM_RES!$J:$J,0)-1,0),0)</f>
        <v>211020401</v>
      </c>
      <c r="AY134" s="10" t="s">
        <v>1152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1190</v>
      </c>
      <c r="S135" s="9" t="s">
        <v>690</v>
      </c>
      <c r="V135" s="9">
        <f ca="1">IFERROR(OFFSET(ITEM_RES!$A$5,MATCH(BUILDING!U135,ITEM_RES!$J$5:$J$229,0)-1,0),0)</f>
        <v>0</v>
      </c>
      <c r="X135" s="84" t="s">
        <v>544</v>
      </c>
      <c r="Y135" s="9">
        <f ca="1">IFERROR(OFFSET(ITEM_RES!$A$5,MATCH(BUILDING!X135,ITEM_RES!$J$5:$J$229,0)-1,0),0)</f>
        <v>211010501</v>
      </c>
      <c r="AA135" s="9" t="s">
        <v>514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1155</v>
      </c>
      <c r="AU135" s="11">
        <v>4400000</v>
      </c>
      <c r="AX135" s="11">
        <f ca="1">IFERROR(OFFSET(ITEM_RES!$A$1,MATCH(AY135,ITEM_RES!$J:$J,0)-1,0),0)</f>
        <v>211020401</v>
      </c>
      <c r="AY135" s="10" t="s">
        <v>1152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1190</v>
      </c>
      <c r="S136" s="9" t="s">
        <v>690</v>
      </c>
      <c r="V136" s="9">
        <f ca="1">IFERROR(OFFSET(ITEM_RES!$A$5,MATCH(BUILDING!U136,ITEM_RES!$J$5:$J$229,0)-1,0),0)</f>
        <v>0</v>
      </c>
      <c r="X136" s="84" t="s">
        <v>544</v>
      </c>
      <c r="Y136" s="9">
        <f ca="1">IFERROR(OFFSET(ITEM_RES!$A$5,MATCH(BUILDING!X136,ITEM_RES!$J$5:$J$229,0)-1,0),0)</f>
        <v>211010501</v>
      </c>
      <c r="AA136" s="9" t="s">
        <v>514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1155</v>
      </c>
      <c r="AU136" s="11">
        <v>5200000</v>
      </c>
      <c r="AX136" s="11">
        <f ca="1">IFERROR(OFFSET(ITEM_RES!$A$1,MATCH(AY136,ITEM_RES!$J:$J,0)-1,0),0)</f>
        <v>211020401</v>
      </c>
      <c r="AY136" s="10" t="s">
        <v>1152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1190</v>
      </c>
      <c r="S137" s="9" t="s">
        <v>690</v>
      </c>
      <c r="V137" s="9">
        <f ca="1">IFERROR(OFFSET(ITEM_RES!$A$5,MATCH(BUILDING!U137,ITEM_RES!$J$5:$J$229,0)-1,0),0)</f>
        <v>0</v>
      </c>
      <c r="X137" s="84" t="s">
        <v>544</v>
      </c>
      <c r="Y137" s="9">
        <f ca="1">IFERROR(OFFSET(ITEM_RES!$A$5,MATCH(BUILDING!X137,ITEM_RES!$J$5:$J$229,0)-1,0),0)</f>
        <v>211010501</v>
      </c>
      <c r="AA137" s="9" t="s">
        <v>514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1155</v>
      </c>
      <c r="AU137" s="11">
        <v>8600000</v>
      </c>
      <c r="AX137" s="11">
        <f ca="1">IFERROR(OFFSET(ITEM_RES!$A$1,MATCH(AY137,ITEM_RES!$J:$J,0)-1,0),0)</f>
        <v>211020401</v>
      </c>
      <c r="AY137" s="10" t="s">
        <v>1152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1190</v>
      </c>
      <c r="S138" s="9" t="s">
        <v>690</v>
      </c>
      <c r="V138" s="9">
        <f ca="1">IFERROR(OFFSET(ITEM_RES!$A$5,MATCH(BUILDING!U138,ITEM_RES!$J$5:$J$229,0)-1,0),0)</f>
        <v>0</v>
      </c>
      <c r="X138" s="84" t="s">
        <v>544</v>
      </c>
      <c r="Y138" s="9">
        <f ca="1">IFERROR(OFFSET(ITEM_RES!$A$5,MATCH(BUILDING!X138,ITEM_RES!$J$5:$J$229,0)-1,0),0)</f>
        <v>211010501</v>
      </c>
      <c r="AA138" s="9" t="s">
        <v>514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1155</v>
      </c>
      <c r="AU138" s="11">
        <v>13200000</v>
      </c>
      <c r="AX138" s="11">
        <f ca="1">IFERROR(OFFSET(ITEM_RES!$A$1,MATCH(AY138,ITEM_RES!$J:$J,0)-1,0),0)</f>
        <v>211020401</v>
      </c>
      <c r="AY138" s="10" t="s">
        <v>1152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1190</v>
      </c>
      <c r="S139" s="9" t="s">
        <v>690</v>
      </c>
      <c r="V139" s="9">
        <f ca="1">IFERROR(OFFSET(ITEM_RES!$A$5,MATCH(BUILDING!U139,ITEM_RES!$J$5:$J$229,0)-1,0),0)</f>
        <v>0</v>
      </c>
      <c r="X139" s="84" t="s">
        <v>544</v>
      </c>
      <c r="Y139" s="9">
        <f ca="1">IFERROR(OFFSET(ITEM_RES!$A$5,MATCH(BUILDING!X139,ITEM_RES!$J$5:$J$229,0)-1,0),0)</f>
        <v>211010501</v>
      </c>
      <c r="AA139" s="9" t="s">
        <v>514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1155</v>
      </c>
      <c r="AU139" s="11">
        <v>22000000</v>
      </c>
      <c r="AX139" s="11">
        <f ca="1">IFERROR(OFFSET(ITEM_RES!$A$1,MATCH(AY139,ITEM_RES!$J:$J,0)-1,0),0)</f>
        <v>211020401</v>
      </c>
      <c r="AY139" s="10" t="s">
        <v>1152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1190</v>
      </c>
      <c r="S140" s="9" t="s">
        <v>690</v>
      </c>
      <c r="V140" s="9">
        <f ca="1">IFERROR(OFFSET(ITEM_RES!$A$5,MATCH(BUILDING!U140,ITEM_RES!$J$5:$J$229,0)-1,0),0)</f>
        <v>0</v>
      </c>
      <c r="X140" s="84" t="s">
        <v>544</v>
      </c>
      <c r="Y140" s="9">
        <f ca="1">IFERROR(OFFSET(ITEM_RES!$A$5,MATCH(BUILDING!X140,ITEM_RES!$J$5:$J$229,0)-1,0),0)</f>
        <v>211010501</v>
      </c>
      <c r="AA140" s="9" t="s">
        <v>514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1155</v>
      </c>
      <c r="AU140" s="11">
        <v>30000000</v>
      </c>
      <c r="AX140" s="11">
        <f ca="1">IFERROR(OFFSET(ITEM_RES!$A$1,MATCH(AY140,ITEM_RES!$J:$J,0)-1,0),0)</f>
        <v>211020401</v>
      </c>
      <c r="AY140" s="10" t="s">
        <v>1152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1190</v>
      </c>
      <c r="S141" s="9" t="s">
        <v>690</v>
      </c>
      <c r="V141" s="9">
        <f ca="1">IFERROR(OFFSET(ITEM_RES!$A$5,MATCH(BUILDING!U141,ITEM_RES!$J$5:$J$229,0)-1,0),0)</f>
        <v>0</v>
      </c>
      <c r="X141" s="84" t="s">
        <v>544</v>
      </c>
      <c r="Y141" s="9">
        <f ca="1">IFERROR(OFFSET(ITEM_RES!$A$5,MATCH(BUILDING!X141,ITEM_RES!$J$5:$J$229,0)-1,0),0)</f>
        <v>211010501</v>
      </c>
      <c r="AA141" s="9" t="s">
        <v>514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1155</v>
      </c>
      <c r="AU141" s="11">
        <v>46000000</v>
      </c>
      <c r="AX141" s="11">
        <f ca="1">IFERROR(OFFSET(ITEM_RES!$A$1,MATCH(AY141,ITEM_RES!$J:$J,0)-1,0),0)</f>
        <v>211020501</v>
      </c>
      <c r="AY141" s="10" t="s">
        <v>1156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1190</v>
      </c>
      <c r="S142" s="9" t="s">
        <v>690</v>
      </c>
      <c r="V142" s="9">
        <f ca="1">IFERROR(OFFSET(ITEM_RES!$A$5,MATCH(BUILDING!U142,ITEM_RES!$J$5:$J$229,0)-1,0),0)</f>
        <v>0</v>
      </c>
      <c r="X142" s="84" t="s">
        <v>544</v>
      </c>
      <c r="Y142" s="9">
        <f ca="1">IFERROR(OFFSET(ITEM_RES!$A$5,MATCH(BUILDING!X142,ITEM_RES!$J$5:$J$229,0)-1,0),0)</f>
        <v>211010501</v>
      </c>
      <c r="AA142" s="9" t="s">
        <v>514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1155</v>
      </c>
      <c r="AU142" s="11">
        <v>70000000</v>
      </c>
      <c r="AX142" s="11">
        <f ca="1">IFERROR(OFFSET(ITEM_RES!$A$1,MATCH(AY142,ITEM_RES!$J:$J,0)-1,0),0)</f>
        <v>211020501</v>
      </c>
      <c r="AY142" s="10" t="s">
        <v>1156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1190</v>
      </c>
      <c r="S143" s="9" t="s">
        <v>690</v>
      </c>
      <c r="V143" s="9">
        <f ca="1">IFERROR(OFFSET(ITEM_RES!$A$5,MATCH(BUILDING!U143,ITEM_RES!$J$5:$J$229,0)-1,0),0)</f>
        <v>0</v>
      </c>
      <c r="X143" s="84" t="s">
        <v>544</v>
      </c>
      <c r="Y143" s="9">
        <f ca="1">IFERROR(OFFSET(ITEM_RES!$A$5,MATCH(BUILDING!X143,ITEM_RES!$J$5:$J$229,0)-1,0),0)</f>
        <v>211010501</v>
      </c>
      <c r="AA143" s="9" t="s">
        <v>514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1155</v>
      </c>
      <c r="AU143" s="11">
        <v>96000000</v>
      </c>
      <c r="AX143" s="11">
        <f ca="1">IFERROR(OFFSET(ITEM_RES!$A$1,MATCH(AY143,ITEM_RES!$J:$J,0)-1,0),0)</f>
        <v>211020501</v>
      </c>
      <c r="AY143" s="10" t="s">
        <v>1156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1190</v>
      </c>
      <c r="S144" s="9" t="s">
        <v>690</v>
      </c>
      <c r="V144" s="9">
        <f ca="1">IFERROR(OFFSET(ITEM_RES!$A$5,MATCH(BUILDING!U144,ITEM_RES!$J$5:$J$229,0)-1,0),0)</f>
        <v>0</v>
      </c>
      <c r="X144" s="84" t="s">
        <v>544</v>
      </c>
      <c r="Y144" s="9">
        <f ca="1">IFERROR(OFFSET(ITEM_RES!$A$5,MATCH(BUILDING!X144,ITEM_RES!$J$5:$J$229,0)-1,0),0)</f>
        <v>211010501</v>
      </c>
      <c r="AA144" s="9" t="s">
        <v>514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1155</v>
      </c>
      <c r="AU144" s="11">
        <v>152000000</v>
      </c>
      <c r="AX144" s="11">
        <f ca="1">IFERROR(OFFSET(ITEM_RES!$A$1,MATCH(AY144,ITEM_RES!$J:$J,0)-1,0),0)</f>
        <v>211020501</v>
      </c>
      <c r="AY144" s="10" t="s">
        <v>1156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1191</v>
      </c>
      <c r="P145" s="17"/>
      <c r="Q145" s="17"/>
      <c r="R145" s="18"/>
      <c r="S145" s="16" t="s">
        <v>710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544</v>
      </c>
      <c r="Y145" s="16">
        <f ca="1">IFERROR(OFFSET(ITEM_RES!$A$5,MATCH(BUILDING!X145,ITEM_RES!$J$5:$J$229,0)-1,0),0)</f>
        <v>211010501</v>
      </c>
      <c r="Z145" s="78"/>
      <c r="AA145" s="16" t="s">
        <v>515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1153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1157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452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1191</v>
      </c>
      <c r="S146" s="9" t="s">
        <v>710</v>
      </c>
      <c r="V146" s="9">
        <f ca="1">IFERROR(OFFSET(ITEM_RES!$A$5,MATCH(BUILDING!U146,ITEM_RES!$J$5:$J$229,0)-1,0),0)</f>
        <v>0</v>
      </c>
      <c r="X146" s="84" t="s">
        <v>544</v>
      </c>
      <c r="Y146" s="9">
        <f ca="1">IFERROR(OFFSET(ITEM_RES!$A$5,MATCH(BUILDING!X146,ITEM_RES!$J$5:$J$229,0)-1,0),0)</f>
        <v>211010501</v>
      </c>
      <c r="AA146" s="9" t="s">
        <v>515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1153</v>
      </c>
      <c r="AU146" s="11">
        <v>20</v>
      </c>
      <c r="AX146" s="11">
        <f ca="1">IFERROR(OFFSET(ITEM_RES!$A$1,MATCH(AY146,ITEM_RES!$J:$J,0)-1,0),0)</f>
        <v>211020801</v>
      </c>
      <c r="AY146" s="10" t="s">
        <v>1157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1192</v>
      </c>
      <c r="S147" s="9" t="s">
        <v>710</v>
      </c>
      <c r="V147" s="9">
        <f ca="1">IFERROR(OFFSET(ITEM_RES!$A$5,MATCH(BUILDING!U147,ITEM_RES!$J$5:$J$229,0)-1,0),0)</f>
        <v>0</v>
      </c>
      <c r="X147" s="84" t="s">
        <v>544</v>
      </c>
      <c r="Y147" s="9">
        <f ca="1">IFERROR(OFFSET(ITEM_RES!$A$5,MATCH(BUILDING!X147,ITEM_RES!$J$5:$J$229,0)-1,0),0)</f>
        <v>211010501</v>
      </c>
      <c r="AA147" s="9" t="s">
        <v>515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1153</v>
      </c>
      <c r="AU147" s="11">
        <v>160</v>
      </c>
      <c r="AX147" s="11">
        <f ca="1">IFERROR(OFFSET(ITEM_RES!$A$1,MATCH(AY147,ITEM_RES!$J:$J,0)-1,0),0)</f>
        <v>211020801</v>
      </c>
      <c r="AY147" s="10" t="s">
        <v>1157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1193</v>
      </c>
      <c r="S148" s="9" t="s">
        <v>710</v>
      </c>
      <c r="V148" s="9">
        <f ca="1">IFERROR(OFFSET(ITEM_RES!$A$5,MATCH(BUILDING!U148,ITEM_RES!$J$5:$J$229,0)-1,0),0)</f>
        <v>0</v>
      </c>
      <c r="X148" s="84" t="s">
        <v>544</v>
      </c>
      <c r="Y148" s="9">
        <f ca="1">IFERROR(OFFSET(ITEM_RES!$A$5,MATCH(BUILDING!X148,ITEM_RES!$J$5:$J$229,0)-1,0),0)</f>
        <v>211010501</v>
      </c>
      <c r="AA148" s="9" t="s">
        <v>515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1153</v>
      </c>
      <c r="AU148" s="11">
        <v>1920</v>
      </c>
      <c r="AX148" s="11">
        <f ca="1">IFERROR(OFFSET(ITEM_RES!$A$1,MATCH(AY148,ITEM_RES!$J:$J,0)-1,0),0)</f>
        <v>211020801</v>
      </c>
      <c r="AY148" s="10" t="s">
        <v>1157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1194</v>
      </c>
      <c r="S149" s="9" t="s">
        <v>710</v>
      </c>
      <c r="V149" s="9">
        <f ca="1">IFERROR(OFFSET(ITEM_RES!$A$5,MATCH(BUILDING!U149,ITEM_RES!$J$5:$J$229,0)-1,0),0)</f>
        <v>0</v>
      </c>
      <c r="X149" s="84" t="s">
        <v>544</v>
      </c>
      <c r="Y149" s="9">
        <f ca="1">IFERROR(OFFSET(ITEM_RES!$A$5,MATCH(BUILDING!X149,ITEM_RES!$J$5:$J$229,0)-1,0),0)</f>
        <v>211010501</v>
      </c>
      <c r="AA149" s="9" t="s">
        <v>515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1153</v>
      </c>
      <c r="AU149" s="11">
        <v>26000</v>
      </c>
      <c r="AX149" s="11">
        <f ca="1">IFERROR(OFFSET(ITEM_RES!$A$1,MATCH(AY149,ITEM_RES!$J:$J,0)-1,0),0)</f>
        <v>211020801</v>
      </c>
      <c r="AY149" s="10" t="s">
        <v>1157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1195</v>
      </c>
      <c r="S150" s="9" t="s">
        <v>710</v>
      </c>
      <c r="V150" s="9">
        <f ca="1">IFERROR(OFFSET(ITEM_RES!$A$5,MATCH(BUILDING!U150,ITEM_RES!$J$5:$J$229,0)-1,0),0)</f>
        <v>0</v>
      </c>
      <c r="X150" s="84" t="s">
        <v>544</v>
      </c>
      <c r="Y150" s="9">
        <f ca="1">IFERROR(OFFSET(ITEM_RES!$A$5,MATCH(BUILDING!X150,ITEM_RES!$J$5:$J$229,0)-1,0),0)</f>
        <v>211010501</v>
      </c>
      <c r="AA150" s="9" t="s">
        <v>515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1153</v>
      </c>
      <c r="AU150" s="11">
        <v>240000</v>
      </c>
      <c r="AX150" s="11">
        <f ca="1">IFERROR(OFFSET(ITEM_RES!$A$1,MATCH(AY150,ITEM_RES!$J:$J,0)-1,0),0)</f>
        <v>211020801</v>
      </c>
      <c r="AY150" s="10" t="s">
        <v>1157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1196</v>
      </c>
      <c r="S151" s="9" t="s">
        <v>710</v>
      </c>
      <c r="V151" s="9">
        <f ca="1">IFERROR(OFFSET(ITEM_RES!$A$5,MATCH(BUILDING!U151,ITEM_RES!$J$5:$J$229,0)-1,0),0)</f>
        <v>0</v>
      </c>
      <c r="X151" s="84" t="s">
        <v>544</v>
      </c>
      <c r="Y151" s="9">
        <f ca="1">IFERROR(OFFSET(ITEM_RES!$A$5,MATCH(BUILDING!X151,ITEM_RES!$J$5:$J$229,0)-1,0),0)</f>
        <v>211010501</v>
      </c>
      <c r="AA151" s="9" t="s">
        <v>515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1153</v>
      </c>
      <c r="AU151" s="11">
        <v>540000</v>
      </c>
      <c r="AX151" s="11">
        <f ca="1">IFERROR(OFFSET(ITEM_RES!$A$1,MATCH(AY151,ITEM_RES!$J:$J,0)-1,0),0)</f>
        <v>211020801</v>
      </c>
      <c r="AY151" s="10" t="s">
        <v>1157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1196</v>
      </c>
      <c r="S152" s="9" t="s">
        <v>710</v>
      </c>
      <c r="V152" s="9">
        <f ca="1">IFERROR(OFFSET(ITEM_RES!$A$5,MATCH(BUILDING!U152,ITEM_RES!$J$5:$J$229,0)-1,0),0)</f>
        <v>0</v>
      </c>
      <c r="X152" s="84" t="s">
        <v>544</v>
      </c>
      <c r="Y152" s="9">
        <f ca="1">IFERROR(OFFSET(ITEM_RES!$A$5,MATCH(BUILDING!X152,ITEM_RES!$J$5:$J$229,0)-1,0),0)</f>
        <v>211010501</v>
      </c>
      <c r="AA152" s="9" t="s">
        <v>515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1153</v>
      </c>
      <c r="AU152" s="11">
        <v>1000000</v>
      </c>
      <c r="AX152" s="11">
        <f ca="1">IFERROR(OFFSET(ITEM_RES!$A$1,MATCH(AY152,ITEM_RES!$J:$J,0)-1,0),0)</f>
        <v>211020801</v>
      </c>
      <c r="AY152" s="10" t="s">
        <v>1157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1196</v>
      </c>
      <c r="S153" s="9" t="s">
        <v>710</v>
      </c>
      <c r="V153" s="9">
        <f ca="1">IFERROR(OFFSET(ITEM_RES!$A$5,MATCH(BUILDING!U153,ITEM_RES!$J$5:$J$229,0)-1,0),0)</f>
        <v>0</v>
      </c>
      <c r="X153" s="84" t="s">
        <v>544</v>
      </c>
      <c r="Y153" s="9">
        <f ca="1">IFERROR(OFFSET(ITEM_RES!$A$5,MATCH(BUILDING!X153,ITEM_RES!$J$5:$J$229,0)-1,0),0)</f>
        <v>211010501</v>
      </c>
      <c r="AA153" s="9" t="s">
        <v>515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1153</v>
      </c>
      <c r="AU153" s="11">
        <v>1580000</v>
      </c>
      <c r="AX153" s="11">
        <f ca="1">IFERROR(OFFSET(ITEM_RES!$A$1,MATCH(AY153,ITEM_RES!$J:$J,0)-1,0),0)</f>
        <v>211020801</v>
      </c>
      <c r="AY153" s="10" t="s">
        <v>1157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1196</v>
      </c>
      <c r="S154" s="9" t="s">
        <v>710</v>
      </c>
      <c r="V154" s="9">
        <f ca="1">IFERROR(OFFSET(ITEM_RES!$A$5,MATCH(BUILDING!U154,ITEM_RES!$J$5:$J$229,0)-1,0),0)</f>
        <v>0</v>
      </c>
      <c r="X154" s="84" t="s">
        <v>544</v>
      </c>
      <c r="Y154" s="9">
        <f ca="1">IFERROR(OFFSET(ITEM_RES!$A$5,MATCH(BUILDING!X154,ITEM_RES!$J$5:$J$229,0)-1,0),0)</f>
        <v>211010501</v>
      </c>
      <c r="AA154" s="9" t="s">
        <v>515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1153</v>
      </c>
      <c r="AU154" s="11">
        <v>2200000</v>
      </c>
      <c r="AX154" s="11">
        <f ca="1">IFERROR(OFFSET(ITEM_RES!$A$1,MATCH(AY154,ITEM_RES!$J:$J,0)-1,0),0)</f>
        <v>211020801</v>
      </c>
      <c r="AY154" s="10" t="s">
        <v>1157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1196</v>
      </c>
      <c r="S155" s="9" t="s">
        <v>710</v>
      </c>
      <c r="V155" s="9">
        <f ca="1">IFERROR(OFFSET(ITEM_RES!$A$5,MATCH(BUILDING!U155,ITEM_RES!$J$5:$J$229,0)-1,0),0)</f>
        <v>0</v>
      </c>
      <c r="X155" s="84" t="s">
        <v>544</v>
      </c>
      <c r="Y155" s="9">
        <f ca="1">IFERROR(OFFSET(ITEM_RES!$A$5,MATCH(BUILDING!X155,ITEM_RES!$J$5:$J$229,0)-1,0),0)</f>
        <v>211010501</v>
      </c>
      <c r="AA155" s="9" t="s">
        <v>515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1151</v>
      </c>
      <c r="AU155" s="11">
        <v>4400000</v>
      </c>
      <c r="AX155" s="11">
        <f ca="1">IFERROR(OFFSET(ITEM_RES!$A$1,MATCH(AY155,ITEM_RES!$J:$J,0)-1,0),0)</f>
        <v>211020801</v>
      </c>
      <c r="AY155" s="10" t="s">
        <v>1157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1196</v>
      </c>
      <c r="S156" s="9" t="s">
        <v>710</v>
      </c>
      <c r="V156" s="9">
        <f ca="1">IFERROR(OFFSET(ITEM_RES!$A$5,MATCH(BUILDING!U156,ITEM_RES!$J$5:$J$229,0)-1,0),0)</f>
        <v>0</v>
      </c>
      <c r="X156" s="84" t="s">
        <v>544</v>
      </c>
      <c r="Y156" s="9">
        <f ca="1">IFERROR(OFFSET(ITEM_RES!$A$5,MATCH(BUILDING!X156,ITEM_RES!$J$5:$J$229,0)-1,0),0)</f>
        <v>211010501</v>
      </c>
      <c r="AA156" s="9" t="s">
        <v>515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1151</v>
      </c>
      <c r="AU156" s="11">
        <v>5200000</v>
      </c>
      <c r="AX156" s="11">
        <f ca="1">IFERROR(OFFSET(ITEM_RES!$A$1,MATCH(AY156,ITEM_RES!$J:$J,0)-1,0),0)</f>
        <v>211020801</v>
      </c>
      <c r="AY156" s="10" t="s">
        <v>1157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1196</v>
      </c>
      <c r="S157" s="9" t="s">
        <v>710</v>
      </c>
      <c r="V157" s="9">
        <f ca="1">IFERROR(OFFSET(ITEM_RES!$A$5,MATCH(BUILDING!U157,ITEM_RES!$J$5:$J$229,0)-1,0),0)</f>
        <v>0</v>
      </c>
      <c r="X157" s="84" t="s">
        <v>544</v>
      </c>
      <c r="Y157" s="9">
        <f ca="1">IFERROR(OFFSET(ITEM_RES!$A$5,MATCH(BUILDING!X157,ITEM_RES!$J$5:$J$229,0)-1,0),0)</f>
        <v>211010501</v>
      </c>
      <c r="AA157" s="9" t="s">
        <v>515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1151</v>
      </c>
      <c r="AU157" s="11">
        <v>8600000</v>
      </c>
      <c r="AX157" s="11">
        <f ca="1">IFERROR(OFFSET(ITEM_RES!$A$1,MATCH(AY157,ITEM_RES!$J:$J,0)-1,0),0)</f>
        <v>211020901</v>
      </c>
      <c r="AY157" s="10" t="s">
        <v>1158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1196</v>
      </c>
      <c r="S158" s="9" t="s">
        <v>710</v>
      </c>
      <c r="V158" s="9">
        <f ca="1">IFERROR(OFFSET(ITEM_RES!$A$5,MATCH(BUILDING!U158,ITEM_RES!$J$5:$J$229,0)-1,0),0)</f>
        <v>0</v>
      </c>
      <c r="X158" s="84" t="s">
        <v>544</v>
      </c>
      <c r="Y158" s="9">
        <f ca="1">IFERROR(OFFSET(ITEM_RES!$A$5,MATCH(BUILDING!X158,ITEM_RES!$J$5:$J$229,0)-1,0),0)</f>
        <v>211010501</v>
      </c>
      <c r="AA158" s="9" t="s">
        <v>515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1151</v>
      </c>
      <c r="AU158" s="11">
        <v>13200000</v>
      </c>
      <c r="AX158" s="11">
        <f ca="1">IFERROR(OFFSET(ITEM_RES!$A$1,MATCH(AY158,ITEM_RES!$J:$J,0)-1,0),0)</f>
        <v>211020901</v>
      </c>
      <c r="AY158" s="10" t="s">
        <v>1158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1196</v>
      </c>
      <c r="S159" s="9" t="s">
        <v>710</v>
      </c>
      <c r="V159" s="9">
        <f ca="1">IFERROR(OFFSET(ITEM_RES!$A$5,MATCH(BUILDING!U159,ITEM_RES!$J$5:$J$229,0)-1,0),0)</f>
        <v>0</v>
      </c>
      <c r="X159" s="84" t="s">
        <v>544</v>
      </c>
      <c r="Y159" s="9">
        <f ca="1">IFERROR(OFFSET(ITEM_RES!$A$5,MATCH(BUILDING!X159,ITEM_RES!$J$5:$J$229,0)-1,0),0)</f>
        <v>211010501</v>
      </c>
      <c r="AA159" s="9" t="s">
        <v>515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1151</v>
      </c>
      <c r="AU159" s="11">
        <v>22000000</v>
      </c>
      <c r="AX159" s="11">
        <f ca="1">IFERROR(OFFSET(ITEM_RES!$A$1,MATCH(AY159,ITEM_RES!$J:$J,0)-1,0),0)</f>
        <v>211020901</v>
      </c>
      <c r="AY159" s="10" t="s">
        <v>1158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1196</v>
      </c>
      <c r="S160" s="9" t="s">
        <v>710</v>
      </c>
      <c r="V160" s="9">
        <f ca="1">IFERROR(OFFSET(ITEM_RES!$A$5,MATCH(BUILDING!U160,ITEM_RES!$J$5:$J$229,0)-1,0),0)</f>
        <v>0</v>
      </c>
      <c r="X160" s="84" t="s">
        <v>544</v>
      </c>
      <c r="Y160" s="9">
        <f ca="1">IFERROR(OFFSET(ITEM_RES!$A$5,MATCH(BUILDING!X160,ITEM_RES!$J$5:$J$229,0)-1,0),0)</f>
        <v>211010501</v>
      </c>
      <c r="AA160" s="9" t="s">
        <v>515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1151</v>
      </c>
      <c r="AU160" s="11">
        <v>30000000</v>
      </c>
      <c r="AX160" s="11">
        <f ca="1">IFERROR(OFFSET(ITEM_RES!$A$1,MATCH(AY160,ITEM_RES!$J:$J,0)-1,0),0)</f>
        <v>211020901</v>
      </c>
      <c r="AY160" s="10" t="s">
        <v>1158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1196</v>
      </c>
      <c r="S161" s="9" t="s">
        <v>710</v>
      </c>
      <c r="V161" s="9">
        <f ca="1">IFERROR(OFFSET(ITEM_RES!$A$5,MATCH(BUILDING!U161,ITEM_RES!$J$5:$J$229,0)-1,0),0)</f>
        <v>0</v>
      </c>
      <c r="X161" s="84" t="s">
        <v>544</v>
      </c>
      <c r="Y161" s="9">
        <f ca="1">IFERROR(OFFSET(ITEM_RES!$A$5,MATCH(BUILDING!X161,ITEM_RES!$J$5:$J$229,0)-1,0),0)</f>
        <v>211010501</v>
      </c>
      <c r="AA161" s="9" t="s">
        <v>515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1151</v>
      </c>
      <c r="AU161" s="11">
        <v>46000000</v>
      </c>
      <c r="AX161" s="11">
        <f ca="1">IFERROR(OFFSET(ITEM_RES!$A$1,MATCH(AY161,ITEM_RES!$J:$J,0)-1,0),0)</f>
        <v>211020901</v>
      </c>
      <c r="AY161" s="10" t="s">
        <v>1158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1196</v>
      </c>
      <c r="S162" s="9" t="s">
        <v>710</v>
      </c>
      <c r="V162" s="9">
        <f ca="1">IFERROR(OFFSET(ITEM_RES!$A$5,MATCH(BUILDING!U162,ITEM_RES!$J$5:$J$229,0)-1,0),0)</f>
        <v>0</v>
      </c>
      <c r="X162" s="84" t="s">
        <v>544</v>
      </c>
      <c r="Y162" s="9">
        <f ca="1">IFERROR(OFFSET(ITEM_RES!$A$5,MATCH(BUILDING!X162,ITEM_RES!$J$5:$J$229,0)-1,0),0)</f>
        <v>211010501</v>
      </c>
      <c r="AA162" s="9" t="s">
        <v>515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1151</v>
      </c>
      <c r="AU162" s="11">
        <v>70000000</v>
      </c>
      <c r="AX162" s="11">
        <f ca="1">IFERROR(OFFSET(ITEM_RES!$A$1,MATCH(AY162,ITEM_RES!$J:$J,0)-1,0),0)</f>
        <v>211020901</v>
      </c>
      <c r="AY162" s="10" t="s">
        <v>1158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1196</v>
      </c>
      <c r="S163" s="9" t="s">
        <v>710</v>
      </c>
      <c r="V163" s="9">
        <f ca="1">IFERROR(OFFSET(ITEM_RES!$A$5,MATCH(BUILDING!U163,ITEM_RES!$J$5:$J$229,0)-1,0),0)</f>
        <v>0</v>
      </c>
      <c r="X163" s="84" t="s">
        <v>544</v>
      </c>
      <c r="Y163" s="9">
        <f ca="1">IFERROR(OFFSET(ITEM_RES!$A$5,MATCH(BUILDING!X163,ITEM_RES!$J$5:$J$229,0)-1,0),0)</f>
        <v>211010501</v>
      </c>
      <c r="AA163" s="9" t="s">
        <v>515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1151</v>
      </c>
      <c r="AU163" s="11">
        <v>96000000</v>
      </c>
      <c r="AX163" s="11">
        <f ca="1">IFERROR(OFFSET(ITEM_RES!$A$1,MATCH(AY163,ITEM_RES!$J:$J,0)-1,0),0)</f>
        <v>211020901</v>
      </c>
      <c r="AY163" s="10" t="s">
        <v>1158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1196</v>
      </c>
      <c r="S164" s="9" t="s">
        <v>710</v>
      </c>
      <c r="V164" s="9">
        <f ca="1">IFERROR(OFFSET(ITEM_RES!$A$5,MATCH(BUILDING!U164,ITEM_RES!$J$5:$J$229,0)-1,0),0)</f>
        <v>0</v>
      </c>
      <c r="X164" s="84" t="s">
        <v>544</v>
      </c>
      <c r="Y164" s="9">
        <f ca="1">IFERROR(OFFSET(ITEM_RES!$A$5,MATCH(BUILDING!X164,ITEM_RES!$J$5:$J$229,0)-1,0),0)</f>
        <v>211010501</v>
      </c>
      <c r="AA164" s="9" t="s">
        <v>515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1151</v>
      </c>
      <c r="AU164" s="11">
        <v>152000000</v>
      </c>
      <c r="AX164" s="11">
        <f ca="1">IFERROR(OFFSET(ITEM_RES!$A$1,MATCH(AY164,ITEM_RES!$J:$J,0)-1,0),0)</f>
        <v>211020901</v>
      </c>
      <c r="AY164" s="10" t="s">
        <v>1158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763</v>
      </c>
      <c r="P165" s="17"/>
      <c r="Q165" s="17"/>
      <c r="R165" s="18"/>
      <c r="S165" s="16" t="s">
        <v>691</v>
      </c>
      <c r="T165" s="78"/>
      <c r="U165" s="86" t="s">
        <v>544</v>
      </c>
      <c r="V165" s="16">
        <f ca="1">IFERROR(OFFSET(ITEM_RES!$A$5,MATCH(BUILDING!U165,ITEM_RES!$J$5:$J$229,0)-1,0),0)</f>
        <v>211010501</v>
      </c>
      <c r="W165" s="18">
        <v>1</v>
      </c>
      <c r="X165" s="86" t="s">
        <v>545</v>
      </c>
      <c r="Y165" s="16">
        <f ca="1">IFERROR(OFFSET(ITEM_RES!$A$5,MATCH(BUILDING!X165,ITEM_RES!$J$5:$J$229,0)-1,0),0)</f>
        <v>211010601</v>
      </c>
      <c r="Z165" s="78"/>
      <c r="AA165" s="16" t="s">
        <v>516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1153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1157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452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763</v>
      </c>
      <c r="S166" s="9" t="s">
        <v>691</v>
      </c>
      <c r="U166" s="84" t="s">
        <v>544</v>
      </c>
      <c r="V166" s="9">
        <f ca="1">IFERROR(OFFSET(ITEM_RES!$A$5,MATCH(BUILDING!U166,ITEM_RES!$J$5:$J$229,0)-1,0),0)</f>
        <v>211010501</v>
      </c>
      <c r="W166" s="11">
        <v>1</v>
      </c>
      <c r="X166" s="84" t="s">
        <v>545</v>
      </c>
      <c r="Y166" s="9">
        <f ca="1">IFERROR(OFFSET(ITEM_RES!$A$5,MATCH(BUILDING!X166,ITEM_RES!$J$5:$J$229,0)-1,0),0)</f>
        <v>211010601</v>
      </c>
      <c r="AA166" s="9" t="s">
        <v>516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1153</v>
      </c>
      <c r="AU166" s="11">
        <v>20</v>
      </c>
      <c r="AX166" s="11">
        <f ca="1">IFERROR(OFFSET(ITEM_RES!$A$1,MATCH(AY166,ITEM_RES!$J:$J,0)-1,0),0)</f>
        <v>211020801</v>
      </c>
      <c r="AY166" s="10" t="s">
        <v>1157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763</v>
      </c>
      <c r="S167" s="9" t="s">
        <v>691</v>
      </c>
      <c r="U167" s="84" t="s">
        <v>544</v>
      </c>
      <c r="V167" s="9">
        <f ca="1">IFERROR(OFFSET(ITEM_RES!$A$5,MATCH(BUILDING!U167,ITEM_RES!$J$5:$J$229,0)-1,0),0)</f>
        <v>211010501</v>
      </c>
      <c r="W167" s="11">
        <v>1</v>
      </c>
      <c r="X167" s="84" t="s">
        <v>545</v>
      </c>
      <c r="Y167" s="9">
        <f ca="1">IFERROR(OFFSET(ITEM_RES!$A$5,MATCH(BUILDING!X167,ITEM_RES!$J$5:$J$229,0)-1,0),0)</f>
        <v>211010601</v>
      </c>
      <c r="AA167" s="9" t="s">
        <v>516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1153</v>
      </c>
      <c r="AU167" s="11">
        <v>160</v>
      </c>
      <c r="AX167" s="11">
        <f ca="1">IFERROR(OFFSET(ITEM_RES!$A$1,MATCH(AY167,ITEM_RES!$J:$J,0)-1,0),0)</f>
        <v>211020801</v>
      </c>
      <c r="AY167" s="10" t="s">
        <v>1157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763</v>
      </c>
      <c r="S168" s="9" t="s">
        <v>691</v>
      </c>
      <c r="U168" s="84" t="s">
        <v>544</v>
      </c>
      <c r="V168" s="9">
        <f ca="1">IFERROR(OFFSET(ITEM_RES!$A$5,MATCH(BUILDING!U168,ITEM_RES!$J$5:$J$229,0)-1,0),0)</f>
        <v>211010501</v>
      </c>
      <c r="W168" s="11">
        <v>1</v>
      </c>
      <c r="X168" s="84" t="s">
        <v>545</v>
      </c>
      <c r="Y168" s="9">
        <f ca="1">IFERROR(OFFSET(ITEM_RES!$A$5,MATCH(BUILDING!X168,ITEM_RES!$J$5:$J$229,0)-1,0),0)</f>
        <v>211010601</v>
      </c>
      <c r="AA168" s="9" t="s">
        <v>516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1153</v>
      </c>
      <c r="AU168" s="11">
        <v>1920</v>
      </c>
      <c r="AX168" s="11">
        <f ca="1">IFERROR(OFFSET(ITEM_RES!$A$1,MATCH(AY168,ITEM_RES!$J:$J,0)-1,0),0)</f>
        <v>211020801</v>
      </c>
      <c r="AY168" s="10" t="s">
        <v>1157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763</v>
      </c>
      <c r="S169" s="9" t="s">
        <v>691</v>
      </c>
      <c r="U169" s="84" t="s">
        <v>544</v>
      </c>
      <c r="V169" s="9">
        <f ca="1">IFERROR(OFFSET(ITEM_RES!$A$5,MATCH(BUILDING!U169,ITEM_RES!$J$5:$J$229,0)-1,0),0)</f>
        <v>211010501</v>
      </c>
      <c r="W169" s="11">
        <v>1</v>
      </c>
      <c r="X169" s="84" t="s">
        <v>545</v>
      </c>
      <c r="Y169" s="9">
        <f ca="1">IFERROR(OFFSET(ITEM_RES!$A$5,MATCH(BUILDING!X169,ITEM_RES!$J$5:$J$229,0)-1,0),0)</f>
        <v>211010601</v>
      </c>
      <c r="AA169" s="9" t="s">
        <v>516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1153</v>
      </c>
      <c r="AU169" s="11">
        <v>26000</v>
      </c>
      <c r="AX169" s="11">
        <f ca="1">IFERROR(OFFSET(ITEM_RES!$A$1,MATCH(AY169,ITEM_RES!$J:$J,0)-1,0),0)</f>
        <v>211020801</v>
      </c>
      <c r="AY169" s="10" t="s">
        <v>1157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763</v>
      </c>
      <c r="S170" s="9" t="s">
        <v>691</v>
      </c>
      <c r="U170" s="84" t="s">
        <v>544</v>
      </c>
      <c r="V170" s="9">
        <f ca="1">IFERROR(OFFSET(ITEM_RES!$A$5,MATCH(BUILDING!U170,ITEM_RES!$J$5:$J$229,0)-1,0),0)</f>
        <v>211010501</v>
      </c>
      <c r="W170" s="11">
        <v>1</v>
      </c>
      <c r="X170" s="84" t="s">
        <v>545</v>
      </c>
      <c r="Y170" s="9">
        <f ca="1">IFERROR(OFFSET(ITEM_RES!$A$5,MATCH(BUILDING!X170,ITEM_RES!$J$5:$J$229,0)-1,0),0)</f>
        <v>211010601</v>
      </c>
      <c r="AA170" s="9" t="s">
        <v>516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1153</v>
      </c>
      <c r="AU170" s="11">
        <v>240000</v>
      </c>
      <c r="AX170" s="11">
        <f ca="1">IFERROR(OFFSET(ITEM_RES!$A$1,MATCH(AY170,ITEM_RES!$J:$J,0)-1,0),0)</f>
        <v>211020801</v>
      </c>
      <c r="AY170" s="10" t="s">
        <v>1157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763</v>
      </c>
      <c r="S171" s="9" t="s">
        <v>691</v>
      </c>
      <c r="U171" s="84" t="s">
        <v>544</v>
      </c>
      <c r="V171" s="9">
        <f ca="1">IFERROR(OFFSET(ITEM_RES!$A$5,MATCH(BUILDING!U171,ITEM_RES!$J$5:$J$229,0)-1,0),0)</f>
        <v>211010501</v>
      </c>
      <c r="W171" s="11">
        <v>1</v>
      </c>
      <c r="X171" s="84" t="s">
        <v>545</v>
      </c>
      <c r="Y171" s="9">
        <f ca="1">IFERROR(OFFSET(ITEM_RES!$A$5,MATCH(BUILDING!X171,ITEM_RES!$J$5:$J$229,0)-1,0),0)</f>
        <v>211010601</v>
      </c>
      <c r="AA171" s="9" t="s">
        <v>516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1153</v>
      </c>
      <c r="AU171" s="11">
        <v>540000</v>
      </c>
      <c r="AX171" s="11">
        <f ca="1">IFERROR(OFFSET(ITEM_RES!$A$1,MATCH(AY171,ITEM_RES!$J:$J,0)-1,0),0)</f>
        <v>211020801</v>
      </c>
      <c r="AY171" s="10" t="s">
        <v>1157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763</v>
      </c>
      <c r="S172" s="9" t="s">
        <v>691</v>
      </c>
      <c r="U172" s="84" t="s">
        <v>544</v>
      </c>
      <c r="V172" s="9">
        <f ca="1">IFERROR(OFFSET(ITEM_RES!$A$5,MATCH(BUILDING!U172,ITEM_RES!$J$5:$J$229,0)-1,0),0)</f>
        <v>211010501</v>
      </c>
      <c r="W172" s="11">
        <v>1</v>
      </c>
      <c r="X172" s="84" t="s">
        <v>545</v>
      </c>
      <c r="Y172" s="9">
        <f ca="1">IFERROR(OFFSET(ITEM_RES!$A$5,MATCH(BUILDING!X172,ITEM_RES!$J$5:$J$229,0)-1,0),0)</f>
        <v>211010601</v>
      </c>
      <c r="AA172" s="9" t="s">
        <v>516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1153</v>
      </c>
      <c r="AU172" s="11">
        <v>1000000</v>
      </c>
      <c r="AX172" s="11">
        <f ca="1">IFERROR(OFFSET(ITEM_RES!$A$1,MATCH(AY172,ITEM_RES!$J:$J,0)-1,0),0)</f>
        <v>211020801</v>
      </c>
      <c r="AY172" s="10" t="s">
        <v>1157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763</v>
      </c>
      <c r="S173" s="9" t="s">
        <v>691</v>
      </c>
      <c r="U173" s="84" t="s">
        <v>544</v>
      </c>
      <c r="V173" s="9">
        <f ca="1">IFERROR(OFFSET(ITEM_RES!$A$5,MATCH(BUILDING!U173,ITEM_RES!$J$5:$J$229,0)-1,0),0)</f>
        <v>211010501</v>
      </c>
      <c r="W173" s="11">
        <v>1</v>
      </c>
      <c r="X173" s="84" t="s">
        <v>545</v>
      </c>
      <c r="Y173" s="9">
        <f ca="1">IFERROR(OFFSET(ITEM_RES!$A$5,MATCH(BUILDING!X173,ITEM_RES!$J$5:$J$229,0)-1,0),0)</f>
        <v>211010601</v>
      </c>
      <c r="AA173" s="9" t="s">
        <v>516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1153</v>
      </c>
      <c r="AU173" s="11">
        <v>1580000</v>
      </c>
      <c r="AX173" s="11">
        <f ca="1">IFERROR(OFFSET(ITEM_RES!$A$1,MATCH(AY173,ITEM_RES!$J:$J,0)-1,0),0)</f>
        <v>211020801</v>
      </c>
      <c r="AY173" s="10" t="s">
        <v>1157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763</v>
      </c>
      <c r="S174" s="9" t="s">
        <v>691</v>
      </c>
      <c r="U174" s="84" t="s">
        <v>544</v>
      </c>
      <c r="V174" s="9">
        <f ca="1">IFERROR(OFFSET(ITEM_RES!$A$5,MATCH(BUILDING!U174,ITEM_RES!$J$5:$J$229,0)-1,0),0)</f>
        <v>211010501</v>
      </c>
      <c r="W174" s="11">
        <v>1</v>
      </c>
      <c r="X174" s="84" t="s">
        <v>545</v>
      </c>
      <c r="Y174" s="9">
        <f ca="1">IFERROR(OFFSET(ITEM_RES!$A$5,MATCH(BUILDING!X174,ITEM_RES!$J$5:$J$229,0)-1,0),0)</f>
        <v>211010601</v>
      </c>
      <c r="AA174" s="9" t="s">
        <v>516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1153</v>
      </c>
      <c r="AU174" s="11">
        <v>2200000</v>
      </c>
      <c r="AX174" s="11">
        <f ca="1">IFERROR(OFFSET(ITEM_RES!$A$1,MATCH(AY174,ITEM_RES!$J:$J,0)-1,0),0)</f>
        <v>211020801</v>
      </c>
      <c r="AY174" s="10" t="s">
        <v>1157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763</v>
      </c>
      <c r="S175" s="9" t="s">
        <v>691</v>
      </c>
      <c r="U175" s="84" t="s">
        <v>544</v>
      </c>
      <c r="V175" s="9">
        <f ca="1">IFERROR(OFFSET(ITEM_RES!$A$5,MATCH(BUILDING!U175,ITEM_RES!$J$5:$J$229,0)-1,0),0)</f>
        <v>211010501</v>
      </c>
      <c r="W175" s="11">
        <v>1</v>
      </c>
      <c r="X175" s="84" t="s">
        <v>545</v>
      </c>
      <c r="Y175" s="9">
        <f ca="1">IFERROR(OFFSET(ITEM_RES!$A$5,MATCH(BUILDING!X175,ITEM_RES!$J$5:$J$229,0)-1,0),0)</f>
        <v>211010601</v>
      </c>
      <c r="AA175" s="9" t="s">
        <v>516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1151</v>
      </c>
      <c r="AU175" s="11">
        <v>4400000</v>
      </c>
      <c r="AX175" s="11">
        <f ca="1">IFERROR(OFFSET(ITEM_RES!$A$1,MATCH(AY175,ITEM_RES!$J:$J,0)-1,0),0)</f>
        <v>211020801</v>
      </c>
      <c r="AY175" s="10" t="s">
        <v>1157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763</v>
      </c>
      <c r="S176" s="9" t="s">
        <v>691</v>
      </c>
      <c r="U176" s="84" t="s">
        <v>544</v>
      </c>
      <c r="V176" s="9">
        <f ca="1">IFERROR(OFFSET(ITEM_RES!$A$5,MATCH(BUILDING!U176,ITEM_RES!$J$5:$J$229,0)-1,0),0)</f>
        <v>211010501</v>
      </c>
      <c r="W176" s="11">
        <v>1</v>
      </c>
      <c r="X176" s="84" t="s">
        <v>545</v>
      </c>
      <c r="Y176" s="9">
        <f ca="1">IFERROR(OFFSET(ITEM_RES!$A$5,MATCH(BUILDING!X176,ITEM_RES!$J$5:$J$229,0)-1,0),0)</f>
        <v>211010601</v>
      </c>
      <c r="AA176" s="9" t="s">
        <v>516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1151</v>
      </c>
      <c r="AU176" s="11">
        <v>5200000</v>
      </c>
      <c r="AX176" s="11">
        <f ca="1">IFERROR(OFFSET(ITEM_RES!$A$1,MATCH(AY176,ITEM_RES!$J:$J,0)-1,0),0)</f>
        <v>211020801</v>
      </c>
      <c r="AY176" s="10" t="s">
        <v>1157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763</v>
      </c>
      <c r="S177" s="9" t="s">
        <v>691</v>
      </c>
      <c r="U177" s="84" t="s">
        <v>544</v>
      </c>
      <c r="V177" s="9">
        <f ca="1">IFERROR(OFFSET(ITEM_RES!$A$5,MATCH(BUILDING!U177,ITEM_RES!$J$5:$J$229,0)-1,0),0)</f>
        <v>211010501</v>
      </c>
      <c r="W177" s="11">
        <v>1</v>
      </c>
      <c r="X177" s="84" t="s">
        <v>545</v>
      </c>
      <c r="Y177" s="9">
        <f ca="1">IFERROR(OFFSET(ITEM_RES!$A$5,MATCH(BUILDING!X177,ITEM_RES!$J$5:$J$229,0)-1,0),0)</f>
        <v>211010601</v>
      </c>
      <c r="AA177" s="9" t="s">
        <v>516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1151</v>
      </c>
      <c r="AU177" s="11">
        <v>8600000</v>
      </c>
      <c r="AX177" s="11">
        <f ca="1">IFERROR(OFFSET(ITEM_RES!$A$1,MATCH(AY177,ITEM_RES!$J:$J,0)-1,0),0)</f>
        <v>211020801</v>
      </c>
      <c r="AY177" s="10" t="s">
        <v>1157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763</v>
      </c>
      <c r="S178" s="9" t="s">
        <v>691</v>
      </c>
      <c r="U178" s="84" t="s">
        <v>544</v>
      </c>
      <c r="V178" s="9">
        <f ca="1">IFERROR(OFFSET(ITEM_RES!$A$5,MATCH(BUILDING!U178,ITEM_RES!$J$5:$J$229,0)-1,0),0)</f>
        <v>211010501</v>
      </c>
      <c r="W178" s="11">
        <v>1</v>
      </c>
      <c r="X178" s="84" t="s">
        <v>545</v>
      </c>
      <c r="Y178" s="9">
        <f ca="1">IFERROR(OFFSET(ITEM_RES!$A$5,MATCH(BUILDING!X178,ITEM_RES!$J$5:$J$229,0)-1,0),0)</f>
        <v>211010601</v>
      </c>
      <c r="AA178" s="9" t="s">
        <v>516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1151</v>
      </c>
      <c r="AU178" s="11">
        <v>13200000</v>
      </c>
      <c r="AX178" s="11">
        <f ca="1">IFERROR(OFFSET(ITEM_RES!$A$1,MATCH(AY178,ITEM_RES!$J:$J,0)-1,0),0)</f>
        <v>211020801</v>
      </c>
      <c r="AY178" s="10" t="s">
        <v>1157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763</v>
      </c>
      <c r="S179" s="9" t="s">
        <v>691</v>
      </c>
      <c r="U179" s="84" t="s">
        <v>544</v>
      </c>
      <c r="V179" s="9">
        <f ca="1">IFERROR(OFFSET(ITEM_RES!$A$5,MATCH(BUILDING!U179,ITEM_RES!$J$5:$J$229,0)-1,0),0)</f>
        <v>211010501</v>
      </c>
      <c r="W179" s="11">
        <v>1</v>
      </c>
      <c r="X179" s="84" t="s">
        <v>545</v>
      </c>
      <c r="Y179" s="9">
        <f ca="1">IFERROR(OFFSET(ITEM_RES!$A$5,MATCH(BUILDING!X179,ITEM_RES!$J$5:$J$229,0)-1,0),0)</f>
        <v>211010601</v>
      </c>
      <c r="AA179" s="9" t="s">
        <v>516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1151</v>
      </c>
      <c r="AU179" s="11">
        <v>22000000</v>
      </c>
      <c r="AX179" s="11">
        <f ca="1">IFERROR(OFFSET(ITEM_RES!$A$1,MATCH(AY179,ITEM_RES!$J:$J,0)-1,0),0)</f>
        <v>211020801</v>
      </c>
      <c r="AY179" s="10" t="s">
        <v>1157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763</v>
      </c>
      <c r="S180" s="9" t="s">
        <v>691</v>
      </c>
      <c r="U180" s="84" t="s">
        <v>544</v>
      </c>
      <c r="V180" s="9">
        <f ca="1">IFERROR(OFFSET(ITEM_RES!$A$5,MATCH(BUILDING!U180,ITEM_RES!$J$5:$J$229,0)-1,0),0)</f>
        <v>211010501</v>
      </c>
      <c r="W180" s="11">
        <v>1</v>
      </c>
      <c r="X180" s="84" t="s">
        <v>545</v>
      </c>
      <c r="Y180" s="9">
        <f ca="1">IFERROR(OFFSET(ITEM_RES!$A$5,MATCH(BUILDING!X180,ITEM_RES!$J$5:$J$229,0)-1,0),0)</f>
        <v>211010601</v>
      </c>
      <c r="AA180" s="9" t="s">
        <v>516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1151</v>
      </c>
      <c r="AU180" s="11">
        <v>30000000</v>
      </c>
      <c r="AX180" s="11">
        <f ca="1">IFERROR(OFFSET(ITEM_RES!$A$1,MATCH(AY180,ITEM_RES!$J:$J,0)-1,0),0)</f>
        <v>211020801</v>
      </c>
      <c r="AY180" s="10" t="s">
        <v>1157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763</v>
      </c>
      <c r="S181" s="9" t="s">
        <v>691</v>
      </c>
      <c r="U181" s="84" t="s">
        <v>544</v>
      </c>
      <c r="V181" s="9">
        <f ca="1">IFERROR(OFFSET(ITEM_RES!$A$5,MATCH(BUILDING!U181,ITEM_RES!$J$5:$J$229,0)-1,0),0)</f>
        <v>211010501</v>
      </c>
      <c r="W181" s="11">
        <v>1</v>
      </c>
      <c r="X181" s="84" t="s">
        <v>545</v>
      </c>
      <c r="Y181" s="9">
        <f ca="1">IFERROR(OFFSET(ITEM_RES!$A$5,MATCH(BUILDING!X181,ITEM_RES!$J$5:$J$229,0)-1,0),0)</f>
        <v>211010601</v>
      </c>
      <c r="AA181" s="9" t="s">
        <v>516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1151</v>
      </c>
      <c r="AU181" s="11">
        <v>46000000</v>
      </c>
      <c r="AX181" s="11">
        <f ca="1">IFERROR(OFFSET(ITEM_RES!$A$1,MATCH(AY181,ITEM_RES!$J:$J,0)-1,0),0)</f>
        <v>211020901</v>
      </c>
      <c r="AY181" s="10" t="s">
        <v>1158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763</v>
      </c>
      <c r="S182" s="9" t="s">
        <v>691</v>
      </c>
      <c r="U182" s="84" t="s">
        <v>544</v>
      </c>
      <c r="V182" s="9">
        <f ca="1">IFERROR(OFFSET(ITEM_RES!$A$5,MATCH(BUILDING!U182,ITEM_RES!$J$5:$J$229,0)-1,0),0)</f>
        <v>211010501</v>
      </c>
      <c r="W182" s="11">
        <v>1</v>
      </c>
      <c r="X182" s="84" t="s">
        <v>545</v>
      </c>
      <c r="Y182" s="9">
        <f ca="1">IFERROR(OFFSET(ITEM_RES!$A$5,MATCH(BUILDING!X182,ITEM_RES!$J$5:$J$229,0)-1,0),0)</f>
        <v>211010601</v>
      </c>
      <c r="AA182" s="9" t="s">
        <v>516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1151</v>
      </c>
      <c r="AU182" s="11">
        <v>70000000</v>
      </c>
      <c r="AX182" s="11">
        <f ca="1">IFERROR(OFFSET(ITEM_RES!$A$1,MATCH(AY182,ITEM_RES!$J:$J,0)-1,0),0)</f>
        <v>211020901</v>
      </c>
      <c r="AY182" s="10" t="s">
        <v>1158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763</v>
      </c>
      <c r="S183" s="9" t="s">
        <v>691</v>
      </c>
      <c r="U183" s="84" t="s">
        <v>544</v>
      </c>
      <c r="V183" s="9">
        <f ca="1">IFERROR(OFFSET(ITEM_RES!$A$5,MATCH(BUILDING!U183,ITEM_RES!$J$5:$J$229,0)-1,0),0)</f>
        <v>211010501</v>
      </c>
      <c r="W183" s="11">
        <v>1</v>
      </c>
      <c r="X183" s="84" t="s">
        <v>545</v>
      </c>
      <c r="Y183" s="9">
        <f ca="1">IFERROR(OFFSET(ITEM_RES!$A$5,MATCH(BUILDING!X183,ITEM_RES!$J$5:$J$229,0)-1,0),0)</f>
        <v>211010601</v>
      </c>
      <c r="AA183" s="9" t="s">
        <v>516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1151</v>
      </c>
      <c r="AU183" s="11">
        <v>96000000</v>
      </c>
      <c r="AX183" s="11">
        <f ca="1">IFERROR(OFFSET(ITEM_RES!$A$1,MATCH(AY183,ITEM_RES!$J:$J,0)-1,0),0)</f>
        <v>211020901</v>
      </c>
      <c r="AY183" s="10" t="s">
        <v>1158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763</v>
      </c>
      <c r="S184" s="9" t="s">
        <v>691</v>
      </c>
      <c r="U184" s="84" t="s">
        <v>544</v>
      </c>
      <c r="V184" s="9">
        <f ca="1">IFERROR(OFFSET(ITEM_RES!$A$5,MATCH(BUILDING!U184,ITEM_RES!$J$5:$J$229,0)-1,0),0)</f>
        <v>211010501</v>
      </c>
      <c r="W184" s="11">
        <v>1</v>
      </c>
      <c r="X184" s="84" t="s">
        <v>545</v>
      </c>
      <c r="Y184" s="9">
        <f ca="1">IFERROR(OFFSET(ITEM_RES!$A$5,MATCH(BUILDING!X184,ITEM_RES!$J$5:$J$229,0)-1,0),0)</f>
        <v>211010601</v>
      </c>
      <c r="AA184" s="9" t="s">
        <v>516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1151</v>
      </c>
      <c r="AU184" s="11">
        <v>152000000</v>
      </c>
      <c r="AX184" s="11">
        <f ca="1">IFERROR(OFFSET(ITEM_RES!$A$1,MATCH(AY184,ITEM_RES!$J:$J,0)-1,0),0)</f>
        <v>211020901</v>
      </c>
      <c r="AY184" s="10" t="s">
        <v>1158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503</v>
      </c>
      <c r="L185" s="63">
        <v>4</v>
      </c>
      <c r="M185" s="16">
        <v>1</v>
      </c>
      <c r="N185" s="16">
        <v>15</v>
      </c>
      <c r="O185" s="16" t="s">
        <v>1198</v>
      </c>
      <c r="P185" s="17"/>
      <c r="Q185" s="17"/>
      <c r="R185" s="18"/>
      <c r="S185" s="16" t="s">
        <v>709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517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392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395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503</v>
      </c>
      <c r="L186" s="56"/>
      <c r="M186" s="9">
        <v>1</v>
      </c>
      <c r="N186" s="9">
        <v>15</v>
      </c>
      <c r="O186" s="83" t="s">
        <v>1197</v>
      </c>
      <c r="S186" s="9" t="s">
        <v>692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517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392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503</v>
      </c>
      <c r="L187" s="56"/>
      <c r="M187" s="9">
        <v>1</v>
      </c>
      <c r="N187" s="9">
        <v>15</v>
      </c>
      <c r="O187" s="9" t="s">
        <v>1101</v>
      </c>
      <c r="S187" s="9" t="s">
        <v>692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517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392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503</v>
      </c>
      <c r="L188" s="56"/>
      <c r="M188" s="9">
        <v>1</v>
      </c>
      <c r="N188" s="9">
        <v>15</v>
      </c>
      <c r="O188" s="9" t="s">
        <v>1101</v>
      </c>
      <c r="S188" s="9" t="s">
        <v>692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517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392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503</v>
      </c>
      <c r="L189" s="56"/>
      <c r="M189" s="9">
        <v>1</v>
      </c>
      <c r="N189" s="9">
        <v>15</v>
      </c>
      <c r="O189" s="9" t="s">
        <v>1101</v>
      </c>
      <c r="S189" s="9" t="s">
        <v>692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517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392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503</v>
      </c>
      <c r="L190" s="56"/>
      <c r="M190" s="9">
        <v>1</v>
      </c>
      <c r="N190" s="9">
        <v>15</v>
      </c>
      <c r="O190" s="9" t="s">
        <v>1101</v>
      </c>
      <c r="S190" s="9" t="s">
        <v>692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517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392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503</v>
      </c>
      <c r="L191" s="56"/>
      <c r="M191" s="9">
        <v>1</v>
      </c>
      <c r="N191" s="9">
        <v>15</v>
      </c>
      <c r="O191" s="9" t="s">
        <v>1101</v>
      </c>
      <c r="S191" s="9" t="s">
        <v>692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517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392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503</v>
      </c>
      <c r="L192" s="56"/>
      <c r="M192" s="9">
        <v>1</v>
      </c>
      <c r="N192" s="9">
        <v>15</v>
      </c>
      <c r="O192" s="9" t="s">
        <v>1101</v>
      </c>
      <c r="S192" s="9" t="s">
        <v>692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517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392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503</v>
      </c>
      <c r="L193" s="56"/>
      <c r="M193" s="9">
        <v>1</v>
      </c>
      <c r="N193" s="9">
        <v>15</v>
      </c>
      <c r="O193" s="9" t="s">
        <v>1101</v>
      </c>
      <c r="S193" s="9" t="s">
        <v>692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517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392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503</v>
      </c>
      <c r="L194" s="56"/>
      <c r="M194" s="9">
        <v>1</v>
      </c>
      <c r="N194" s="9">
        <v>15</v>
      </c>
      <c r="O194" s="9" t="s">
        <v>1101</v>
      </c>
      <c r="S194" s="9" t="s">
        <v>692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517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392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463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503</v>
      </c>
      <c r="L195" s="56"/>
      <c r="M195" s="9">
        <v>1</v>
      </c>
      <c r="N195" s="9">
        <v>15</v>
      </c>
      <c r="O195" s="9" t="s">
        <v>1101</v>
      </c>
      <c r="S195" s="9" t="s">
        <v>692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517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392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503</v>
      </c>
      <c r="L196" s="56"/>
      <c r="M196" s="9">
        <v>1</v>
      </c>
      <c r="N196" s="9">
        <v>15</v>
      </c>
      <c r="O196" s="9" t="s">
        <v>1101</v>
      </c>
      <c r="S196" s="9" t="s">
        <v>692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517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392</v>
      </c>
      <c r="AU196" s="11">
        <v>1</v>
      </c>
      <c r="AX196" s="11">
        <f ca="1">IFERROR(OFFSET(ITEM_RES!$A$1,MATCH(AY196,ITEM_RES!$J:$J,0)-1,0),0)</f>
        <v>211020901</v>
      </c>
      <c r="AY196" s="10" t="s">
        <v>393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503</v>
      </c>
      <c r="L197" s="56"/>
      <c r="M197" s="9">
        <v>1</v>
      </c>
      <c r="N197" s="9">
        <v>15</v>
      </c>
      <c r="O197" s="9" t="s">
        <v>1101</v>
      </c>
      <c r="S197" s="9" t="s">
        <v>692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517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392</v>
      </c>
      <c r="AU197" s="11">
        <v>1</v>
      </c>
      <c r="AX197" s="11">
        <f ca="1">IFERROR(OFFSET(ITEM_RES!$A$1,MATCH(AY197,ITEM_RES!$J:$J,0)-1,0),0)</f>
        <v>211020901</v>
      </c>
      <c r="AY197" s="10" t="s">
        <v>393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503</v>
      </c>
      <c r="L198" s="56"/>
      <c r="M198" s="9">
        <v>1</v>
      </c>
      <c r="N198" s="9">
        <v>15</v>
      </c>
      <c r="O198" s="9" t="s">
        <v>1101</v>
      </c>
      <c r="S198" s="9" t="s">
        <v>692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517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392</v>
      </c>
      <c r="AU198" s="11">
        <v>1</v>
      </c>
      <c r="AX198" s="11">
        <f ca="1">IFERROR(OFFSET(ITEM_RES!$A$1,MATCH(AY198,ITEM_RES!$J:$J,0)-1,0),0)</f>
        <v>211020901</v>
      </c>
      <c r="AY198" s="10" t="s">
        <v>393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503</v>
      </c>
      <c r="L199" s="56"/>
      <c r="M199" s="9">
        <v>1</v>
      </c>
      <c r="N199" s="9">
        <v>15</v>
      </c>
      <c r="O199" s="9" t="s">
        <v>1101</v>
      </c>
      <c r="S199" s="9" t="s">
        <v>692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517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392</v>
      </c>
      <c r="AU199" s="11">
        <v>1</v>
      </c>
      <c r="AX199" s="11">
        <f ca="1">IFERROR(OFFSET(ITEM_RES!$A$1,MATCH(AY199,ITEM_RES!$J:$J,0)-1,0),0)</f>
        <v>211020901</v>
      </c>
      <c r="AY199" s="10" t="s">
        <v>393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503</v>
      </c>
      <c r="L200" s="56"/>
      <c r="M200" s="9">
        <v>0</v>
      </c>
      <c r="N200" s="9">
        <v>15</v>
      </c>
      <c r="O200" s="9" t="s">
        <v>1101</v>
      </c>
      <c r="S200" s="9" t="s">
        <v>692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517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392</v>
      </c>
      <c r="AU200" s="11">
        <v>1</v>
      </c>
      <c r="AX200" s="11">
        <f ca="1">IFERROR(OFFSET(ITEM_RES!$A$1,MATCH(AY200,ITEM_RES!$J:$J,0)-1,0),0)</f>
        <v>211020901</v>
      </c>
      <c r="AY200" s="10" t="s">
        <v>393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503</v>
      </c>
      <c r="L201" s="56"/>
      <c r="M201" s="9">
        <v>0</v>
      </c>
      <c r="N201" s="9">
        <v>15</v>
      </c>
      <c r="O201" s="9" t="s">
        <v>1101</v>
      </c>
      <c r="S201" s="9" t="s">
        <v>692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517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392</v>
      </c>
      <c r="AU201" s="11">
        <v>1</v>
      </c>
      <c r="AX201" s="11">
        <f ca="1">IFERROR(OFFSET(ITEM_RES!$A$1,MATCH(AY201,ITEM_RES!$J:$J,0)-1,0),0)</f>
        <v>211020901</v>
      </c>
      <c r="AY201" s="10" t="s">
        <v>393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503</v>
      </c>
      <c r="L202" s="56"/>
      <c r="M202" s="9">
        <v>0</v>
      </c>
      <c r="N202" s="9">
        <v>15</v>
      </c>
      <c r="O202" s="9" t="s">
        <v>1101</v>
      </c>
      <c r="S202" s="9" t="s">
        <v>692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517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392</v>
      </c>
      <c r="AU202" s="11">
        <v>1</v>
      </c>
      <c r="AX202" s="11">
        <f ca="1">IFERROR(OFFSET(ITEM_RES!$A$1,MATCH(AY202,ITEM_RES!$J:$J,0)-1,0),0)</f>
        <v>211020901</v>
      </c>
      <c r="AY202" s="10" t="s">
        <v>393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503</v>
      </c>
      <c r="L203" s="56"/>
      <c r="M203" s="9">
        <v>0</v>
      </c>
      <c r="N203" s="9">
        <v>15</v>
      </c>
      <c r="O203" s="9" t="s">
        <v>1101</v>
      </c>
      <c r="S203" s="9" t="s">
        <v>692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517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393</v>
      </c>
      <c r="AU203" s="11">
        <v>1</v>
      </c>
      <c r="AX203" s="11">
        <f ca="1">IFERROR(OFFSET(ITEM_RES!$A$1,MATCH(AY203,ITEM_RES!$J:$J,0)-1,0),0)</f>
        <v>211020501</v>
      </c>
      <c r="AY203" s="10" t="s">
        <v>424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503</v>
      </c>
      <c r="L204" s="56"/>
      <c r="M204" s="9">
        <v>0</v>
      </c>
      <c r="N204" s="9">
        <v>15</v>
      </c>
      <c r="O204" s="9" t="s">
        <v>1101</v>
      </c>
      <c r="S204" s="9" t="s">
        <v>692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517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504</v>
      </c>
      <c r="AU204" s="11">
        <v>1</v>
      </c>
      <c r="AX204" s="11">
        <f ca="1">IFERROR(OFFSET(ITEM_RES!$A$1,MATCH(AY204,ITEM_RES!$J:$J,0)-1,0),0)</f>
        <v>211020501</v>
      </c>
      <c r="AY204" s="10" t="s">
        <v>424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570</v>
      </c>
      <c r="L205" s="63">
        <v>5</v>
      </c>
      <c r="M205" s="16">
        <v>1</v>
      </c>
      <c r="N205" s="16">
        <v>15</v>
      </c>
      <c r="O205" s="16" t="s">
        <v>1199</v>
      </c>
      <c r="P205" s="17"/>
      <c r="Q205" s="17"/>
      <c r="R205" s="18"/>
      <c r="S205" s="16" t="s">
        <v>693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571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392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395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570</v>
      </c>
      <c r="L206" s="56"/>
      <c r="M206" s="9">
        <v>1</v>
      </c>
      <c r="N206" s="9">
        <v>15</v>
      </c>
      <c r="O206" s="9" t="s">
        <v>1199</v>
      </c>
      <c r="P206" s="10"/>
      <c r="Q206" s="10"/>
      <c r="R206" s="11"/>
      <c r="S206" s="9" t="s">
        <v>693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571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392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570</v>
      </c>
      <c r="L207" s="56"/>
      <c r="M207" s="9">
        <v>1</v>
      </c>
      <c r="N207" s="9">
        <v>15</v>
      </c>
      <c r="O207" s="9" t="s">
        <v>1199</v>
      </c>
      <c r="S207" s="9" t="s">
        <v>693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571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392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570</v>
      </c>
      <c r="L208" s="56"/>
      <c r="M208" s="9">
        <v>1</v>
      </c>
      <c r="N208" s="9">
        <v>15</v>
      </c>
      <c r="O208" s="9" t="s">
        <v>1199</v>
      </c>
      <c r="S208" s="9" t="s">
        <v>693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571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392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570</v>
      </c>
      <c r="L209" s="56"/>
      <c r="M209" s="9">
        <v>1</v>
      </c>
      <c r="N209" s="9">
        <v>15</v>
      </c>
      <c r="O209" s="9" t="s">
        <v>1199</v>
      </c>
      <c r="S209" s="9" t="s">
        <v>693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571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392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570</v>
      </c>
      <c r="L210" s="56"/>
      <c r="M210" s="9">
        <v>1</v>
      </c>
      <c r="N210" s="9">
        <v>15</v>
      </c>
      <c r="O210" s="9" t="s">
        <v>1199</v>
      </c>
      <c r="S210" s="9" t="s">
        <v>693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571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392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570</v>
      </c>
      <c r="L211" s="56"/>
      <c r="M211" s="9">
        <v>1</v>
      </c>
      <c r="N211" s="9">
        <v>15</v>
      </c>
      <c r="O211" s="9" t="s">
        <v>1199</v>
      </c>
      <c r="S211" s="9" t="s">
        <v>693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571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392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570</v>
      </c>
      <c r="L212" s="56"/>
      <c r="M212" s="9">
        <v>1</v>
      </c>
      <c r="N212" s="9">
        <v>15</v>
      </c>
      <c r="O212" s="9" t="s">
        <v>1200</v>
      </c>
      <c r="S212" s="9" t="s">
        <v>693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571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392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570</v>
      </c>
      <c r="L213" s="56"/>
      <c r="M213" s="9">
        <v>1</v>
      </c>
      <c r="N213" s="9">
        <v>15</v>
      </c>
      <c r="O213" s="9" t="s">
        <v>1200</v>
      </c>
      <c r="S213" s="9" t="s">
        <v>693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571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392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570</v>
      </c>
      <c r="L214" s="56"/>
      <c r="M214" s="9">
        <v>1</v>
      </c>
      <c r="N214" s="9">
        <v>15</v>
      </c>
      <c r="O214" s="9" t="s">
        <v>1201</v>
      </c>
      <c r="S214" s="9" t="s">
        <v>693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571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392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462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570</v>
      </c>
      <c r="L215" s="56"/>
      <c r="M215" s="9">
        <v>1</v>
      </c>
      <c r="N215" s="9">
        <v>15</v>
      </c>
      <c r="O215" s="9" t="s">
        <v>1201</v>
      </c>
      <c r="S215" s="9" t="s">
        <v>693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571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392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570</v>
      </c>
      <c r="L216" s="56"/>
      <c r="M216" s="9">
        <v>1</v>
      </c>
      <c r="N216" s="9">
        <v>15</v>
      </c>
      <c r="O216" s="9" t="s">
        <v>1201</v>
      </c>
      <c r="S216" s="9" t="s">
        <v>693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571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392</v>
      </c>
      <c r="AU216" s="11">
        <v>1</v>
      </c>
      <c r="AX216" s="11">
        <f ca="1">IFERROR(OFFSET(ITEM_RES!$A$1,MATCH(AY216,ITEM_RES!$J:$J,0)-1,0),0)</f>
        <v>211020901</v>
      </c>
      <c r="AY216" s="10" t="s">
        <v>393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570</v>
      </c>
      <c r="L217" s="56"/>
      <c r="M217" s="9">
        <v>1</v>
      </c>
      <c r="N217" s="9">
        <v>15</v>
      </c>
      <c r="O217" s="9" t="s">
        <v>1201</v>
      </c>
      <c r="S217" s="9" t="s">
        <v>693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571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392</v>
      </c>
      <c r="AU217" s="11">
        <v>1</v>
      </c>
      <c r="AX217" s="11">
        <f ca="1">IFERROR(OFFSET(ITEM_RES!$A$1,MATCH(AY217,ITEM_RES!$J:$J,0)-1,0),0)</f>
        <v>211020901</v>
      </c>
      <c r="AY217" s="10" t="s">
        <v>393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570</v>
      </c>
      <c r="L218" s="56"/>
      <c r="M218" s="9">
        <v>1</v>
      </c>
      <c r="N218" s="9">
        <v>15</v>
      </c>
      <c r="O218" s="9" t="s">
        <v>1201</v>
      </c>
      <c r="S218" s="9" t="s">
        <v>693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571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392</v>
      </c>
      <c r="AU218" s="11">
        <v>1</v>
      </c>
      <c r="AX218" s="11">
        <f ca="1">IFERROR(OFFSET(ITEM_RES!$A$1,MATCH(AY218,ITEM_RES!$J:$J,0)-1,0),0)</f>
        <v>211020901</v>
      </c>
      <c r="AY218" s="10" t="s">
        <v>393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570</v>
      </c>
      <c r="L219" s="56"/>
      <c r="M219" s="9">
        <v>1</v>
      </c>
      <c r="N219" s="9">
        <v>15</v>
      </c>
      <c r="O219" s="9" t="s">
        <v>1201</v>
      </c>
      <c r="S219" s="9" t="s">
        <v>693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571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392</v>
      </c>
      <c r="AU219" s="11">
        <v>1</v>
      </c>
      <c r="AX219" s="11">
        <f ca="1">IFERROR(OFFSET(ITEM_RES!$A$1,MATCH(AY219,ITEM_RES!$J:$J,0)-1,0),0)</f>
        <v>211020901</v>
      </c>
      <c r="AY219" s="10" t="s">
        <v>393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570</v>
      </c>
      <c r="L220" s="56"/>
      <c r="M220" s="9">
        <v>0</v>
      </c>
      <c r="N220" s="9">
        <v>15</v>
      </c>
      <c r="O220" s="9" t="s">
        <v>1201</v>
      </c>
      <c r="S220" s="9" t="s">
        <v>693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571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392</v>
      </c>
      <c r="AU220" s="11">
        <v>1</v>
      </c>
      <c r="AX220" s="11">
        <f ca="1">IFERROR(OFFSET(ITEM_RES!$A$1,MATCH(AY220,ITEM_RES!$J:$J,0)-1,0),0)</f>
        <v>211020901</v>
      </c>
      <c r="AY220" s="10" t="s">
        <v>393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570</v>
      </c>
      <c r="L221" s="56"/>
      <c r="M221" s="9">
        <v>0</v>
      </c>
      <c r="N221" s="9">
        <v>15</v>
      </c>
      <c r="O221" s="9" t="s">
        <v>1201</v>
      </c>
      <c r="S221" s="9" t="s">
        <v>693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571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392</v>
      </c>
      <c r="AU221" s="11">
        <v>1</v>
      </c>
      <c r="AX221" s="11">
        <f ca="1">IFERROR(OFFSET(ITEM_RES!$A$1,MATCH(AY221,ITEM_RES!$J:$J,0)-1,0),0)</f>
        <v>211020901</v>
      </c>
      <c r="AY221" s="10" t="s">
        <v>393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570</v>
      </c>
      <c r="L222" s="56"/>
      <c r="M222" s="9">
        <v>0</v>
      </c>
      <c r="N222" s="9">
        <v>15</v>
      </c>
      <c r="O222" s="9" t="s">
        <v>1201</v>
      </c>
      <c r="S222" s="9" t="s">
        <v>693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571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392</v>
      </c>
      <c r="AU222" s="11">
        <v>1</v>
      </c>
      <c r="AX222" s="11">
        <f ca="1">IFERROR(OFFSET(ITEM_RES!$A$1,MATCH(AY222,ITEM_RES!$J:$J,0)-1,0),0)</f>
        <v>211020901</v>
      </c>
      <c r="AY222" s="10" t="s">
        <v>393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570</v>
      </c>
      <c r="L223" s="56"/>
      <c r="M223" s="9">
        <v>0</v>
      </c>
      <c r="N223" s="9">
        <v>15</v>
      </c>
      <c r="O223" s="9" t="s">
        <v>1201</v>
      </c>
      <c r="S223" s="9" t="s">
        <v>693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571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393</v>
      </c>
      <c r="AU223" s="11">
        <v>1</v>
      </c>
      <c r="AX223" s="11">
        <f ca="1">IFERROR(OFFSET(ITEM_RES!$A$1,MATCH(AY223,ITEM_RES!$J:$J,0)-1,0),0)</f>
        <v>211020501</v>
      </c>
      <c r="AY223" s="10" t="s">
        <v>424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570</v>
      </c>
      <c r="L224" s="56"/>
      <c r="M224" s="9">
        <v>0</v>
      </c>
      <c r="N224" s="9">
        <v>15</v>
      </c>
      <c r="O224" s="9" t="s">
        <v>1201</v>
      </c>
      <c r="S224" s="9" t="s">
        <v>693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571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393</v>
      </c>
      <c r="AU224" s="11">
        <v>1</v>
      </c>
      <c r="AX224" s="11">
        <f ca="1">IFERROR(OFFSET(ITEM_RES!$A$1,MATCH(AY224,ITEM_RES!$J:$J,0)-1,0),0)</f>
        <v>211020501</v>
      </c>
      <c r="AY224" s="10" t="s">
        <v>424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762</v>
      </c>
      <c r="P225" s="17"/>
      <c r="Q225" s="17"/>
      <c r="R225" s="18"/>
      <c r="S225" s="16" t="s">
        <v>694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518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435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423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452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762</v>
      </c>
      <c r="S226" s="9" t="s">
        <v>694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518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435</v>
      </c>
      <c r="AU226" s="11">
        <v>1</v>
      </c>
      <c r="AX226" s="11">
        <f ca="1">IFERROR(OFFSET(ITEM_RES!$A$1,MATCH(AY226,ITEM_RES!$J:$J,0)-1,0),0)</f>
        <v>211020401</v>
      </c>
      <c r="AY226" s="10" t="s">
        <v>423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762</v>
      </c>
      <c r="S227" s="9" t="s">
        <v>694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518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435</v>
      </c>
      <c r="AU227" s="11">
        <v>1</v>
      </c>
      <c r="AX227" s="11">
        <f ca="1">IFERROR(OFFSET(ITEM_RES!$A$1,MATCH(AY227,ITEM_RES!$J:$J,0)-1,0),0)</f>
        <v>211020401</v>
      </c>
      <c r="AY227" s="10" t="s">
        <v>423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762</v>
      </c>
      <c r="S228" s="9" t="s">
        <v>694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518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435</v>
      </c>
      <c r="AU228" s="11">
        <v>1</v>
      </c>
      <c r="AX228" s="11">
        <f ca="1">IFERROR(OFFSET(ITEM_RES!$A$1,MATCH(AY228,ITEM_RES!$J:$J,0)-1,0),0)</f>
        <v>211020401</v>
      </c>
      <c r="AY228" s="10" t="s">
        <v>423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762</v>
      </c>
      <c r="S229" s="9" t="s">
        <v>694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518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435</v>
      </c>
      <c r="AU229" s="11">
        <v>1</v>
      </c>
      <c r="AX229" s="11">
        <f ca="1">IFERROR(OFFSET(ITEM_RES!$A$1,MATCH(AY229,ITEM_RES!$J:$J,0)-1,0),0)</f>
        <v>211020401</v>
      </c>
      <c r="AY229" s="10" t="s">
        <v>423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762</v>
      </c>
      <c r="S230" s="9" t="s">
        <v>694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518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435</v>
      </c>
      <c r="AU230" s="11">
        <v>1</v>
      </c>
      <c r="AX230" s="11">
        <f ca="1">IFERROR(OFFSET(ITEM_RES!$A$1,MATCH(AY230,ITEM_RES!$J:$J,0)-1,0),0)</f>
        <v>211020401</v>
      </c>
      <c r="AY230" s="10" t="s">
        <v>423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762</v>
      </c>
      <c r="S231" s="9" t="s">
        <v>694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518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435</v>
      </c>
      <c r="AU231" s="11">
        <v>1</v>
      </c>
      <c r="AX231" s="11">
        <f ca="1">IFERROR(OFFSET(ITEM_RES!$A$1,MATCH(AY231,ITEM_RES!$J:$J,0)-1,0),0)</f>
        <v>211020401</v>
      </c>
      <c r="AY231" s="10" t="s">
        <v>423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762</v>
      </c>
      <c r="S232" s="9" t="s">
        <v>694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518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435</v>
      </c>
      <c r="AU232" s="11">
        <v>1</v>
      </c>
      <c r="AX232" s="11">
        <f ca="1">IFERROR(OFFSET(ITEM_RES!$A$1,MATCH(AY232,ITEM_RES!$J:$J,0)-1,0),0)</f>
        <v>211020401</v>
      </c>
      <c r="AY232" s="10" t="s">
        <v>423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762</v>
      </c>
      <c r="S233" s="9" t="s">
        <v>694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518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435</v>
      </c>
      <c r="AU233" s="11">
        <v>1</v>
      </c>
      <c r="AX233" s="11">
        <f ca="1">IFERROR(OFFSET(ITEM_RES!$A$1,MATCH(AY233,ITEM_RES!$J:$J,0)-1,0),0)</f>
        <v>211020401</v>
      </c>
      <c r="AY233" s="10" t="s">
        <v>423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762</v>
      </c>
      <c r="S234" s="9" t="s">
        <v>694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518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435</v>
      </c>
      <c r="AU234" s="11">
        <v>1</v>
      </c>
      <c r="AX234" s="11">
        <f ca="1">IFERROR(OFFSET(ITEM_RES!$A$1,MATCH(AY234,ITEM_RES!$J:$J,0)-1,0),0)</f>
        <v>211020401</v>
      </c>
      <c r="AY234" s="10" t="s">
        <v>423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505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762</v>
      </c>
      <c r="S235" s="9" t="s">
        <v>694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518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445</v>
      </c>
      <c r="AU235" s="11">
        <v>1</v>
      </c>
      <c r="AX235" s="11">
        <f ca="1">IFERROR(OFFSET(ITEM_RES!$A$1,MATCH(AY235,ITEM_RES!$J:$J,0)-1,0),0)</f>
        <v>211020401</v>
      </c>
      <c r="AY235" s="10" t="s">
        <v>423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762</v>
      </c>
      <c r="S236" s="9" t="s">
        <v>695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518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445</v>
      </c>
      <c r="AU236" s="11">
        <v>1</v>
      </c>
      <c r="AX236" s="11">
        <f ca="1">IFERROR(OFFSET(ITEM_RES!$A$1,MATCH(AY236,ITEM_RES!$J:$J,0)-1,0),0)</f>
        <v>211020401</v>
      </c>
      <c r="AY236" s="10" t="s">
        <v>423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762</v>
      </c>
      <c r="S237" s="9" t="s">
        <v>695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518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445</v>
      </c>
      <c r="AU237" s="11">
        <v>1</v>
      </c>
      <c r="AX237" s="11">
        <f ca="1">IFERROR(OFFSET(ITEM_RES!$A$1,MATCH(AY237,ITEM_RES!$J:$J,0)-1,0),0)</f>
        <v>211020401</v>
      </c>
      <c r="AY237" s="10" t="s">
        <v>423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762</v>
      </c>
      <c r="S238" s="9" t="s">
        <v>695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518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445</v>
      </c>
      <c r="AU238" s="11">
        <v>1</v>
      </c>
      <c r="AX238" s="11">
        <f ca="1">IFERROR(OFFSET(ITEM_RES!$A$1,MATCH(AY238,ITEM_RES!$J:$J,0)-1,0),0)</f>
        <v>211020401</v>
      </c>
      <c r="AY238" s="10" t="s">
        <v>423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762</v>
      </c>
      <c r="S239" s="9" t="s">
        <v>695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518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445</v>
      </c>
      <c r="AU239" s="11">
        <v>1</v>
      </c>
      <c r="AX239" s="11">
        <f ca="1">IFERROR(OFFSET(ITEM_RES!$A$1,MATCH(AY239,ITEM_RES!$J:$J,0)-1,0),0)</f>
        <v>211020401</v>
      </c>
      <c r="AY239" s="10" t="s">
        <v>436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762</v>
      </c>
      <c r="S240" s="9" t="s">
        <v>695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518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445</v>
      </c>
      <c r="AU240" s="11">
        <v>1</v>
      </c>
      <c r="AX240" s="11">
        <f ca="1">IFERROR(OFFSET(ITEM_RES!$A$1,MATCH(AY240,ITEM_RES!$J:$J,0)-1,0),0)</f>
        <v>211020501</v>
      </c>
      <c r="AY240" s="10" t="s">
        <v>433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762</v>
      </c>
      <c r="S241" s="9" t="s">
        <v>695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518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445</v>
      </c>
      <c r="AU241" s="11">
        <v>1</v>
      </c>
      <c r="AX241" s="11">
        <f ca="1">IFERROR(OFFSET(ITEM_RES!$A$1,MATCH(AY241,ITEM_RES!$J:$J,0)-1,0),0)</f>
        <v>211020501</v>
      </c>
      <c r="AY241" s="10" t="s">
        <v>424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762</v>
      </c>
      <c r="S242" s="9" t="s">
        <v>695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518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445</v>
      </c>
      <c r="AU242" s="11">
        <v>1</v>
      </c>
      <c r="AX242" s="11">
        <f ca="1">IFERROR(OFFSET(ITEM_RES!$A$1,MATCH(AY242,ITEM_RES!$J:$J,0)-1,0),0)</f>
        <v>211020501</v>
      </c>
      <c r="AY242" s="10" t="s">
        <v>424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762</v>
      </c>
      <c r="S243" s="9" t="s">
        <v>695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518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445</v>
      </c>
      <c r="AU243" s="11">
        <v>1</v>
      </c>
      <c r="AX243" s="11">
        <f ca="1">IFERROR(OFFSET(ITEM_RES!$A$1,MATCH(AY243,ITEM_RES!$J:$J,0)-1,0),0)</f>
        <v>211020501</v>
      </c>
      <c r="AY243" s="10" t="s">
        <v>424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762</v>
      </c>
      <c r="S244" s="9" t="s">
        <v>695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518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445</v>
      </c>
      <c r="AU244" s="11">
        <v>1</v>
      </c>
      <c r="AX244" s="11">
        <f ca="1">IFERROR(OFFSET(ITEM_RES!$A$1,MATCH(AY244,ITEM_RES!$J:$J,0)-1,0),0)</f>
        <v>211020501</v>
      </c>
      <c r="AY244" s="10" t="s">
        <v>424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1202</v>
      </c>
      <c r="P245" s="17"/>
      <c r="Q245" s="17"/>
      <c r="R245" s="18"/>
      <c r="S245" s="16" t="s">
        <v>696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519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435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452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1203</v>
      </c>
      <c r="S246" s="9" t="s">
        <v>696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519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435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1204</v>
      </c>
      <c r="S247" s="9" t="s">
        <v>696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519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435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1204</v>
      </c>
      <c r="S248" s="9" t="s">
        <v>696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519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435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1205</v>
      </c>
      <c r="S249" s="9" t="s">
        <v>696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519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435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1206</v>
      </c>
      <c r="S250" s="9" t="s">
        <v>696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519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435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1207</v>
      </c>
      <c r="S251" s="9" t="s">
        <v>696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519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435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1207</v>
      </c>
      <c r="S252" s="9" t="s">
        <v>696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519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435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1207</v>
      </c>
      <c r="S253" s="9" t="s">
        <v>696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519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435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1207</v>
      </c>
      <c r="S254" s="9" t="s">
        <v>696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519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435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464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1207</v>
      </c>
      <c r="S255" s="9" t="s">
        <v>696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519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435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1207</v>
      </c>
      <c r="S256" s="9" t="s">
        <v>696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519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435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1207</v>
      </c>
      <c r="S257" s="9" t="s">
        <v>696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519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445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1207</v>
      </c>
      <c r="S258" s="9" t="s">
        <v>696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519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445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1207</v>
      </c>
      <c r="S259" s="9" t="s">
        <v>696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519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445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1207</v>
      </c>
      <c r="S260" s="9" t="s">
        <v>696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519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445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1207</v>
      </c>
      <c r="S261" s="9" t="s">
        <v>696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519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445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1207</v>
      </c>
      <c r="S262" s="9" t="s">
        <v>696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519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445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1207</v>
      </c>
      <c r="S263" s="9" t="s">
        <v>696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519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445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1207</v>
      </c>
      <c r="S264" s="9" t="s">
        <v>696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519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445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697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520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435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423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452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697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520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435</v>
      </c>
      <c r="AU266" s="11">
        <v>1</v>
      </c>
      <c r="AX266" s="11">
        <f ca="1">IFERROR(OFFSET(ITEM_RES!$A$1,MATCH(AY266,ITEM_RES!$J:$J,0)-1,0),0)</f>
        <v>211020401</v>
      </c>
      <c r="AY266" s="10" t="s">
        <v>423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697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520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435</v>
      </c>
      <c r="AU267" s="11">
        <v>1</v>
      </c>
      <c r="AX267" s="11">
        <f ca="1">IFERROR(OFFSET(ITEM_RES!$A$1,MATCH(AY267,ITEM_RES!$J:$J,0)-1,0),0)</f>
        <v>211020401</v>
      </c>
      <c r="AY267" s="10" t="s">
        <v>423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697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520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435</v>
      </c>
      <c r="AU268" s="11">
        <v>1</v>
      </c>
      <c r="AX268" s="11">
        <f ca="1">IFERROR(OFFSET(ITEM_RES!$A$1,MATCH(AY268,ITEM_RES!$J:$J,0)-1,0),0)</f>
        <v>211020401</v>
      </c>
      <c r="AY268" s="10" t="s">
        <v>423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697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520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435</v>
      </c>
      <c r="AU269" s="11">
        <v>1</v>
      </c>
      <c r="AX269" s="11">
        <f ca="1">IFERROR(OFFSET(ITEM_RES!$A$1,MATCH(AY269,ITEM_RES!$J:$J,0)-1,0),0)</f>
        <v>211020401</v>
      </c>
      <c r="AY269" s="10" t="s">
        <v>423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697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520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435</v>
      </c>
      <c r="AU270" s="11">
        <v>1</v>
      </c>
      <c r="AX270" s="11">
        <f ca="1">IFERROR(OFFSET(ITEM_RES!$A$1,MATCH(AY270,ITEM_RES!$J:$J,0)-1,0),0)</f>
        <v>211020401</v>
      </c>
      <c r="AY270" s="10" t="s">
        <v>423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697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520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435</v>
      </c>
      <c r="AU271" s="11">
        <v>1</v>
      </c>
      <c r="AX271" s="11">
        <f ca="1">IFERROR(OFFSET(ITEM_RES!$A$1,MATCH(AY271,ITEM_RES!$J:$J,0)-1,0),0)</f>
        <v>211020401</v>
      </c>
      <c r="AY271" s="10" t="s">
        <v>423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697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520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435</v>
      </c>
      <c r="AU272" s="11">
        <v>1</v>
      </c>
      <c r="AX272" s="11">
        <f ca="1">IFERROR(OFFSET(ITEM_RES!$A$1,MATCH(AY272,ITEM_RES!$J:$J,0)-1,0),0)</f>
        <v>211020401</v>
      </c>
      <c r="AY272" s="10" t="s">
        <v>423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464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697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520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435</v>
      </c>
      <c r="AU273" s="11">
        <v>1</v>
      </c>
      <c r="AX273" s="11">
        <f ca="1">IFERROR(OFFSET(ITEM_RES!$A$1,MATCH(AY273,ITEM_RES!$J:$J,0)-1,0),0)</f>
        <v>211020401</v>
      </c>
      <c r="AY273" s="10" t="s">
        <v>423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697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520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435</v>
      </c>
      <c r="AU274" s="11">
        <v>1</v>
      </c>
      <c r="AX274" s="11">
        <f ca="1">IFERROR(OFFSET(ITEM_RES!$A$1,MATCH(AY274,ITEM_RES!$J:$J,0)-1,0),0)</f>
        <v>211020401</v>
      </c>
      <c r="AY274" s="10" t="s">
        <v>423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697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520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435</v>
      </c>
      <c r="AU275" s="11">
        <v>1</v>
      </c>
      <c r="AX275" s="11">
        <f ca="1">IFERROR(OFFSET(ITEM_RES!$A$1,MATCH(AY275,ITEM_RES!$J:$J,0)-1,0),0)</f>
        <v>211020401</v>
      </c>
      <c r="AY275" s="10" t="s">
        <v>423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697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520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435</v>
      </c>
      <c r="AU276" s="11">
        <v>1</v>
      </c>
      <c r="AX276" s="11">
        <f ca="1">IFERROR(OFFSET(ITEM_RES!$A$1,MATCH(AY276,ITEM_RES!$J:$J,0)-1,0),0)</f>
        <v>211020401</v>
      </c>
      <c r="AY276" s="10" t="s">
        <v>423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697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520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435</v>
      </c>
      <c r="AU277" s="11">
        <v>1</v>
      </c>
      <c r="AX277" s="11">
        <f ca="1">IFERROR(OFFSET(ITEM_RES!$A$1,MATCH(AY277,ITEM_RES!$J:$J,0)-1,0),0)</f>
        <v>211020401</v>
      </c>
      <c r="AY277" s="10" t="s">
        <v>423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697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520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435</v>
      </c>
      <c r="AU278" s="11">
        <v>1</v>
      </c>
      <c r="AX278" s="11">
        <f ca="1">IFERROR(OFFSET(ITEM_RES!$A$1,MATCH(AY278,ITEM_RES!$J:$J,0)-1,0),0)</f>
        <v>211020401</v>
      </c>
      <c r="AY278" s="10" t="s">
        <v>423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697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520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435</v>
      </c>
      <c r="AU279" s="11">
        <v>1</v>
      </c>
      <c r="AX279" s="11">
        <f ca="1">IFERROR(OFFSET(ITEM_RES!$A$1,MATCH(AY279,ITEM_RES!$J:$J,0)-1,0),0)</f>
        <v>211020401</v>
      </c>
      <c r="AY279" s="10" t="s">
        <v>436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697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520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435</v>
      </c>
      <c r="AU280" s="11">
        <v>1</v>
      </c>
      <c r="AX280" s="11">
        <f ca="1">IFERROR(OFFSET(ITEM_RES!$A$1,MATCH(AY280,ITEM_RES!$J:$J,0)-1,0),0)</f>
        <v>211020401</v>
      </c>
      <c r="AY280" s="10" t="s">
        <v>436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697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520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444</v>
      </c>
      <c r="AU281" s="11">
        <v>1</v>
      </c>
      <c r="AX281" s="11">
        <f ca="1">IFERROR(OFFSET(ITEM_RES!$A$1,MATCH(AY281,ITEM_RES!$J:$J,0)-1,0),0)</f>
        <v>211020401</v>
      </c>
      <c r="AY281" s="10" t="s">
        <v>436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697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520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444</v>
      </c>
      <c r="AU282" s="11">
        <v>1</v>
      </c>
      <c r="AX282" s="11">
        <f ca="1">IFERROR(OFFSET(ITEM_RES!$A$1,MATCH(AY282,ITEM_RES!$J:$J,0)-1,0),0)</f>
        <v>211020501</v>
      </c>
      <c r="AY282" s="10" t="s">
        <v>424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697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520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444</v>
      </c>
      <c r="AU283" s="11">
        <v>1</v>
      </c>
      <c r="AX283" s="11">
        <f ca="1">IFERROR(OFFSET(ITEM_RES!$A$1,MATCH(AY283,ITEM_RES!$J:$J,0)-1,0),0)</f>
        <v>211020501</v>
      </c>
      <c r="AY283" s="10" t="s">
        <v>424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697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520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444</v>
      </c>
      <c r="AU284" s="11">
        <v>1</v>
      </c>
      <c r="AX284" s="11">
        <f ca="1">IFERROR(OFFSET(ITEM_RES!$A$1,MATCH(AY284,ITEM_RES!$J:$J,0)-1,0),0)</f>
        <v>211020501</v>
      </c>
      <c r="AY284" s="10" t="s">
        <v>424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1108</v>
      </c>
      <c r="L285" s="16">
        <v>10</v>
      </c>
      <c r="M285" s="16">
        <v>1</v>
      </c>
      <c r="N285" s="16">
        <v>15</v>
      </c>
      <c r="O285" s="140" t="s">
        <v>1114</v>
      </c>
      <c r="P285" s="17"/>
      <c r="Q285" s="17"/>
      <c r="R285" s="18"/>
      <c r="S285" s="16" t="s">
        <v>1109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1113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392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395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1108</v>
      </c>
      <c r="M286" s="9">
        <v>1</v>
      </c>
      <c r="N286" s="9">
        <v>15</v>
      </c>
      <c r="O286" s="141" t="s">
        <v>1114</v>
      </c>
      <c r="S286" s="9" t="s">
        <v>1109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1112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392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1108</v>
      </c>
      <c r="M287" s="9">
        <v>1</v>
      </c>
      <c r="N287" s="9">
        <v>15</v>
      </c>
      <c r="O287" s="141" t="s">
        <v>1114</v>
      </c>
      <c r="S287" s="9" t="s">
        <v>1109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1112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392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1108</v>
      </c>
      <c r="M288" s="9">
        <v>1</v>
      </c>
      <c r="N288" s="9">
        <v>15</v>
      </c>
      <c r="O288" s="141" t="s">
        <v>1114</v>
      </c>
      <c r="S288" s="9" t="s">
        <v>1109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1112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392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1108</v>
      </c>
      <c r="M289" s="9">
        <v>1</v>
      </c>
      <c r="N289" s="9">
        <v>15</v>
      </c>
      <c r="O289" s="141" t="s">
        <v>1114</v>
      </c>
      <c r="S289" s="9" t="s">
        <v>1109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1112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392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1108</v>
      </c>
      <c r="M290" s="9">
        <v>1</v>
      </c>
      <c r="N290" s="9">
        <v>15</v>
      </c>
      <c r="O290" s="141" t="s">
        <v>1114</v>
      </c>
      <c r="S290" s="9" t="s">
        <v>1109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1112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392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1108</v>
      </c>
      <c r="M291" s="9">
        <v>1</v>
      </c>
      <c r="N291" s="9">
        <v>15</v>
      </c>
      <c r="O291" s="141" t="s">
        <v>1114</v>
      </c>
      <c r="S291" s="9" t="s">
        <v>1109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1112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392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1108</v>
      </c>
      <c r="M292" s="9">
        <v>1</v>
      </c>
      <c r="N292" s="9">
        <v>15</v>
      </c>
      <c r="O292" s="141" t="s">
        <v>1114</v>
      </c>
      <c r="S292" s="9" t="s">
        <v>1109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1112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392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456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1108</v>
      </c>
      <c r="M293" s="9">
        <v>1</v>
      </c>
      <c r="N293" s="9">
        <v>15</v>
      </c>
      <c r="O293" s="141" t="s">
        <v>1114</v>
      </c>
      <c r="S293" s="9" t="s">
        <v>1109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1112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392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1108</v>
      </c>
      <c r="M294" s="9">
        <v>1</v>
      </c>
      <c r="N294" s="9">
        <v>15</v>
      </c>
      <c r="O294" s="141" t="s">
        <v>1114</v>
      </c>
      <c r="S294" s="9" t="s">
        <v>1109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1112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392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1108</v>
      </c>
      <c r="M295" s="9">
        <v>1</v>
      </c>
      <c r="N295" s="9">
        <v>15</v>
      </c>
      <c r="O295" s="141" t="s">
        <v>1114</v>
      </c>
      <c r="S295" s="9" t="s">
        <v>1109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1112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392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1108</v>
      </c>
      <c r="M296" s="9">
        <v>1</v>
      </c>
      <c r="N296" s="9">
        <v>15</v>
      </c>
      <c r="O296" s="141" t="s">
        <v>1114</v>
      </c>
      <c r="S296" s="9" t="s">
        <v>1109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1112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392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1108</v>
      </c>
      <c r="M297" s="9">
        <v>1</v>
      </c>
      <c r="N297" s="9">
        <v>15</v>
      </c>
      <c r="O297" s="141" t="s">
        <v>1114</v>
      </c>
      <c r="S297" s="9" t="s">
        <v>1109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1112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392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1108</v>
      </c>
      <c r="M298" s="9">
        <v>1</v>
      </c>
      <c r="N298" s="9">
        <v>15</v>
      </c>
      <c r="O298" s="141" t="s">
        <v>1114</v>
      </c>
      <c r="S298" s="9" t="s">
        <v>1109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1112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392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1108</v>
      </c>
      <c r="M299" s="9">
        <v>1</v>
      </c>
      <c r="N299" s="9">
        <v>15</v>
      </c>
      <c r="O299" s="141" t="s">
        <v>1114</v>
      </c>
      <c r="S299" s="9" t="s">
        <v>1109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1112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392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1108</v>
      </c>
      <c r="M300" s="9">
        <v>0</v>
      </c>
      <c r="N300" s="9">
        <v>15</v>
      </c>
      <c r="O300" s="141" t="s">
        <v>1114</v>
      </c>
      <c r="S300" s="9" t="s">
        <v>1109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1112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392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1108</v>
      </c>
      <c r="M301" s="9">
        <v>0</v>
      </c>
      <c r="N301" s="9">
        <v>15</v>
      </c>
      <c r="O301" s="141" t="s">
        <v>1114</v>
      </c>
      <c r="S301" s="9" t="s">
        <v>1109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1112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393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1108</v>
      </c>
      <c r="M302" s="9">
        <v>0</v>
      </c>
      <c r="N302" s="9">
        <v>15</v>
      </c>
      <c r="O302" s="141" t="s">
        <v>1114</v>
      </c>
      <c r="S302" s="9" t="s">
        <v>1109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1112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393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1108</v>
      </c>
      <c r="M303" s="9">
        <v>0</v>
      </c>
      <c r="N303" s="9">
        <v>15</v>
      </c>
      <c r="O303" s="141" t="s">
        <v>1114</v>
      </c>
      <c r="S303" s="9" t="s">
        <v>1109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1112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393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1108</v>
      </c>
      <c r="M304" s="9">
        <v>0</v>
      </c>
      <c r="N304" s="9">
        <v>15</v>
      </c>
      <c r="O304" s="141" t="s">
        <v>1114</v>
      </c>
      <c r="S304" s="9" t="s">
        <v>1109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1112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393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699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698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521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435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452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699</v>
      </c>
      <c r="M306" s="9">
        <v>1</v>
      </c>
      <c r="N306" s="9">
        <v>15</v>
      </c>
      <c r="O306" s="141"/>
      <c r="S306" s="9" t="s">
        <v>698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521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435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699</v>
      </c>
      <c r="M307" s="9">
        <v>1</v>
      </c>
      <c r="N307" s="9">
        <v>15</v>
      </c>
      <c r="O307" s="141"/>
      <c r="S307" s="9" t="s">
        <v>698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521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435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699</v>
      </c>
      <c r="M308" s="9">
        <v>1</v>
      </c>
      <c r="N308" s="9">
        <v>15</v>
      </c>
      <c r="O308" s="141"/>
      <c r="S308" s="9" t="s">
        <v>698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521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435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699</v>
      </c>
      <c r="M309" s="9">
        <v>1</v>
      </c>
      <c r="N309" s="9">
        <v>15</v>
      </c>
      <c r="O309" s="141"/>
      <c r="S309" s="9" t="s">
        <v>698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521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435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699</v>
      </c>
      <c r="M310" s="9">
        <v>1</v>
      </c>
      <c r="N310" s="9">
        <v>15</v>
      </c>
      <c r="O310" s="141"/>
      <c r="S310" s="9" t="s">
        <v>698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521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435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699</v>
      </c>
      <c r="M311" s="9">
        <v>1</v>
      </c>
      <c r="N311" s="9">
        <v>15</v>
      </c>
      <c r="O311" s="141"/>
      <c r="S311" s="9" t="s">
        <v>698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521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435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699</v>
      </c>
      <c r="M312" s="9">
        <v>1</v>
      </c>
      <c r="N312" s="9">
        <v>15</v>
      </c>
      <c r="O312" s="141"/>
      <c r="S312" s="9" t="s">
        <v>698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521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435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699</v>
      </c>
      <c r="M313" s="9">
        <v>1</v>
      </c>
      <c r="N313" s="9">
        <v>15</v>
      </c>
      <c r="O313" s="141"/>
      <c r="S313" s="9" t="s">
        <v>698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521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435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699</v>
      </c>
      <c r="M314" s="9">
        <v>1</v>
      </c>
      <c r="N314" s="9">
        <v>15</v>
      </c>
      <c r="O314" s="141"/>
      <c r="S314" s="9" t="s">
        <v>698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521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435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699</v>
      </c>
      <c r="M315" s="9">
        <v>1</v>
      </c>
      <c r="N315" s="9">
        <v>15</v>
      </c>
      <c r="O315" s="141"/>
      <c r="S315" s="9" t="s">
        <v>698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521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435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699</v>
      </c>
      <c r="M316" s="9">
        <v>1</v>
      </c>
      <c r="N316" s="9">
        <v>15</v>
      </c>
      <c r="O316" s="141"/>
      <c r="S316" s="9" t="s">
        <v>698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521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435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699</v>
      </c>
      <c r="M317" s="9">
        <v>1</v>
      </c>
      <c r="N317" s="9">
        <v>15</v>
      </c>
      <c r="O317" s="141"/>
      <c r="S317" s="9" t="s">
        <v>698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521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435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699</v>
      </c>
      <c r="M318" s="9">
        <v>1</v>
      </c>
      <c r="N318" s="9">
        <v>15</v>
      </c>
      <c r="O318" s="141"/>
      <c r="S318" s="9" t="s">
        <v>698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521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435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464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699</v>
      </c>
      <c r="M319" s="9">
        <v>1</v>
      </c>
      <c r="N319" s="9">
        <v>15</v>
      </c>
      <c r="O319" s="141"/>
      <c r="S319" s="9" t="s">
        <v>698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521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435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699</v>
      </c>
      <c r="M320" s="9">
        <v>0</v>
      </c>
      <c r="N320" s="9">
        <v>15</v>
      </c>
      <c r="O320" s="141"/>
      <c r="S320" s="9" t="s">
        <v>698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521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435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699</v>
      </c>
      <c r="M321" s="9">
        <v>0</v>
      </c>
      <c r="N321" s="9">
        <v>15</v>
      </c>
      <c r="O321" s="141"/>
      <c r="S321" s="9" t="s">
        <v>698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521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435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699</v>
      </c>
      <c r="M322" s="9">
        <v>0</v>
      </c>
      <c r="N322" s="9">
        <v>15</v>
      </c>
      <c r="O322" s="141"/>
      <c r="S322" s="9" t="s">
        <v>698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521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444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699</v>
      </c>
      <c r="M323" s="9">
        <v>0</v>
      </c>
      <c r="N323" s="9">
        <v>15</v>
      </c>
      <c r="O323" s="141"/>
      <c r="S323" s="9" t="s">
        <v>698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521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444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699</v>
      </c>
      <c r="M324" s="9">
        <v>0</v>
      </c>
      <c r="N324" s="9">
        <v>15</v>
      </c>
      <c r="O324" s="141"/>
      <c r="S324" s="9" t="s">
        <v>698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521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444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965</v>
      </c>
      <c r="L325" s="16">
        <v>6</v>
      </c>
      <c r="M325" s="16">
        <v>1</v>
      </c>
      <c r="N325" s="16">
        <v>15</v>
      </c>
      <c r="O325" s="16" t="s">
        <v>1208</v>
      </c>
      <c r="P325" s="17"/>
      <c r="Q325" s="17"/>
      <c r="R325" s="18"/>
      <c r="S325" s="16" t="s">
        <v>700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522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435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452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965</v>
      </c>
      <c r="M326" s="9">
        <v>1</v>
      </c>
      <c r="N326" s="9">
        <v>15</v>
      </c>
      <c r="O326" s="9" t="s">
        <v>1209</v>
      </c>
      <c r="S326" s="9" t="s">
        <v>700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522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435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965</v>
      </c>
      <c r="M327" s="9">
        <v>1</v>
      </c>
      <c r="N327" s="9">
        <v>15</v>
      </c>
      <c r="O327" s="9" t="s">
        <v>1210</v>
      </c>
      <c r="S327" s="9" t="s">
        <v>700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522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435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965</v>
      </c>
      <c r="M328" s="9">
        <v>1</v>
      </c>
      <c r="N328" s="9">
        <v>15</v>
      </c>
      <c r="O328" s="9" t="s">
        <v>1211</v>
      </c>
      <c r="S328" s="9" t="s">
        <v>700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522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435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965</v>
      </c>
      <c r="M329" s="9">
        <v>1</v>
      </c>
      <c r="N329" s="9">
        <v>15</v>
      </c>
      <c r="O329" s="9" t="s">
        <v>1212</v>
      </c>
      <c r="S329" s="9" t="s">
        <v>700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522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435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965</v>
      </c>
      <c r="M330" s="9">
        <v>1</v>
      </c>
      <c r="N330" s="9">
        <v>15</v>
      </c>
      <c r="O330" s="9" t="s">
        <v>1213</v>
      </c>
      <c r="S330" s="9" t="s">
        <v>700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522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435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965</v>
      </c>
      <c r="M331" s="9">
        <v>1</v>
      </c>
      <c r="N331" s="9">
        <v>15</v>
      </c>
      <c r="O331" s="9" t="s">
        <v>1214</v>
      </c>
      <c r="S331" s="9" t="s">
        <v>700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522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435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965</v>
      </c>
      <c r="M332" s="9">
        <v>1</v>
      </c>
      <c r="N332" s="9">
        <v>15</v>
      </c>
      <c r="O332" s="9" t="s">
        <v>1214</v>
      </c>
      <c r="S332" s="9" t="s">
        <v>700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522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435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965</v>
      </c>
      <c r="M333" s="9">
        <v>1</v>
      </c>
      <c r="N333" s="9">
        <v>15</v>
      </c>
      <c r="O333" s="9" t="s">
        <v>1214</v>
      </c>
      <c r="S333" s="9" t="s">
        <v>700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522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435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965</v>
      </c>
      <c r="M334" s="9">
        <v>1</v>
      </c>
      <c r="N334" s="9">
        <v>15</v>
      </c>
      <c r="O334" s="9" t="s">
        <v>1214</v>
      </c>
      <c r="S334" s="9" t="s">
        <v>700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522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435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965</v>
      </c>
      <c r="M335" s="9">
        <v>1</v>
      </c>
      <c r="N335" s="9">
        <v>15</v>
      </c>
      <c r="O335" s="9" t="s">
        <v>1214</v>
      </c>
      <c r="S335" s="9" t="s">
        <v>700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522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435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965</v>
      </c>
      <c r="M336" s="9">
        <v>1</v>
      </c>
      <c r="N336" s="9">
        <v>15</v>
      </c>
      <c r="O336" s="9" t="s">
        <v>1214</v>
      </c>
      <c r="S336" s="9" t="s">
        <v>700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522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435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965</v>
      </c>
      <c r="M337" s="9">
        <v>1</v>
      </c>
      <c r="N337" s="9">
        <v>15</v>
      </c>
      <c r="O337" s="9" t="s">
        <v>1214</v>
      </c>
      <c r="S337" s="9" t="s">
        <v>700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522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435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965</v>
      </c>
      <c r="M338" s="9">
        <v>1</v>
      </c>
      <c r="N338" s="9">
        <v>15</v>
      </c>
      <c r="O338" s="9" t="s">
        <v>1214</v>
      </c>
      <c r="S338" s="9" t="s">
        <v>700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522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435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464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965</v>
      </c>
      <c r="M339" s="9">
        <v>1</v>
      </c>
      <c r="N339" s="9">
        <v>15</v>
      </c>
      <c r="O339" s="9" t="s">
        <v>1214</v>
      </c>
      <c r="S339" s="9" t="s">
        <v>700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522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435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965</v>
      </c>
      <c r="M340" s="9">
        <v>0</v>
      </c>
      <c r="N340" s="9">
        <v>15</v>
      </c>
      <c r="O340" s="9" t="s">
        <v>1214</v>
      </c>
      <c r="S340" s="9" t="s">
        <v>700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522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435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965</v>
      </c>
      <c r="M341" s="9">
        <v>0</v>
      </c>
      <c r="N341" s="9">
        <v>15</v>
      </c>
      <c r="O341" s="9" t="s">
        <v>1214</v>
      </c>
      <c r="S341" s="9" t="s">
        <v>700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522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435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965</v>
      </c>
      <c r="M342" s="9">
        <v>0</v>
      </c>
      <c r="N342" s="9">
        <v>15</v>
      </c>
      <c r="O342" s="9" t="s">
        <v>1214</v>
      </c>
      <c r="S342" s="9" t="s">
        <v>700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522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435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965</v>
      </c>
      <c r="M343" s="9">
        <v>0</v>
      </c>
      <c r="N343" s="9">
        <v>15</v>
      </c>
      <c r="O343" s="9" t="s">
        <v>1214</v>
      </c>
      <c r="S343" s="9" t="s">
        <v>700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522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444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965</v>
      </c>
      <c r="M344" s="9">
        <v>0</v>
      </c>
      <c r="N344" s="9">
        <v>15</v>
      </c>
      <c r="O344" s="9" t="s">
        <v>1214</v>
      </c>
      <c r="S344" s="9" t="s">
        <v>700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522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444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760</v>
      </c>
      <c r="P345" s="17"/>
      <c r="Q345" s="17"/>
      <c r="R345" s="18"/>
      <c r="S345" s="16" t="s">
        <v>701</v>
      </c>
      <c r="T345" s="78"/>
      <c r="U345" s="86" t="s">
        <v>551</v>
      </c>
      <c r="V345" s="16">
        <f ca="1">IFERROR(OFFSET(ITEM_RES!$A$5,MATCH(BUILDING!U345,ITEM_RES!$J$5:$J$229,0)-1,0),0)</f>
        <v>211020601</v>
      </c>
      <c r="W345" s="18">
        <v>2</v>
      </c>
      <c r="X345" s="86" t="s">
        <v>546</v>
      </c>
      <c r="Y345" s="16">
        <f ca="1">IFERROR(OFFSET(ITEM_RES!$A$5,MATCH(BUILDING!X345,ITEM_RES!$J$5:$J$229,0)-1,0),0)</f>
        <v>211020701</v>
      </c>
      <c r="Z345" s="78"/>
      <c r="AA345" s="16" t="s">
        <v>523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436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435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452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760</v>
      </c>
      <c r="S346" s="9" t="s">
        <v>701</v>
      </c>
      <c r="U346" s="84" t="s">
        <v>551</v>
      </c>
      <c r="V346" s="9">
        <f ca="1">IFERROR(OFFSET(ITEM_RES!$A$5,MATCH(BUILDING!U346,ITEM_RES!$J$5:$J$229,0)-1,0),0)</f>
        <v>211020601</v>
      </c>
      <c r="W346" s="11">
        <v>2</v>
      </c>
      <c r="X346" s="84" t="s">
        <v>546</v>
      </c>
      <c r="Y346" s="9">
        <f ca="1">IFERROR(OFFSET(ITEM_RES!$A$5,MATCH(BUILDING!X346,ITEM_RES!$J$5:$J$229,0)-1,0),0)</f>
        <v>211020701</v>
      </c>
      <c r="AA346" s="9" t="s">
        <v>523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436</v>
      </c>
      <c r="AU346" s="11">
        <v>1</v>
      </c>
      <c r="AX346" s="11">
        <f ca="1">IFERROR(OFFSET(ITEM_RES!$A$1,MATCH(AY346,ITEM_RES!$J:$J,0)-1,0),0)</f>
        <v>211020801</v>
      </c>
      <c r="AY346" s="10" t="s">
        <v>435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760</v>
      </c>
      <c r="S347" s="9" t="s">
        <v>701</v>
      </c>
      <c r="U347" s="84" t="s">
        <v>551</v>
      </c>
      <c r="V347" s="9">
        <f ca="1">IFERROR(OFFSET(ITEM_RES!$A$5,MATCH(BUILDING!U347,ITEM_RES!$J$5:$J$229,0)-1,0),0)</f>
        <v>211020601</v>
      </c>
      <c r="W347" s="11">
        <v>2</v>
      </c>
      <c r="X347" s="84" t="s">
        <v>546</v>
      </c>
      <c r="Y347" s="9">
        <f ca="1">IFERROR(OFFSET(ITEM_RES!$A$5,MATCH(BUILDING!X347,ITEM_RES!$J$5:$J$229,0)-1,0),0)</f>
        <v>211020701</v>
      </c>
      <c r="AA347" s="9" t="s">
        <v>523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436</v>
      </c>
      <c r="AU347" s="11">
        <v>1</v>
      </c>
      <c r="AX347" s="11">
        <f ca="1">IFERROR(OFFSET(ITEM_RES!$A$1,MATCH(AY347,ITEM_RES!$J:$J,0)-1,0),0)</f>
        <v>211020801</v>
      </c>
      <c r="AY347" s="10" t="s">
        <v>435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760</v>
      </c>
      <c r="S348" s="9" t="s">
        <v>701</v>
      </c>
      <c r="U348" s="84" t="s">
        <v>551</v>
      </c>
      <c r="V348" s="9">
        <f ca="1">IFERROR(OFFSET(ITEM_RES!$A$5,MATCH(BUILDING!U348,ITEM_RES!$J$5:$J$229,0)-1,0),0)</f>
        <v>211020601</v>
      </c>
      <c r="W348" s="11">
        <v>2</v>
      </c>
      <c r="X348" s="84" t="s">
        <v>546</v>
      </c>
      <c r="Y348" s="9">
        <f ca="1">IFERROR(OFFSET(ITEM_RES!$A$5,MATCH(BUILDING!X348,ITEM_RES!$J$5:$J$229,0)-1,0),0)</f>
        <v>211020701</v>
      </c>
      <c r="AA348" s="9" t="s">
        <v>523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436</v>
      </c>
      <c r="AU348" s="11">
        <v>1</v>
      </c>
      <c r="AX348" s="11">
        <f ca="1">IFERROR(OFFSET(ITEM_RES!$A$1,MATCH(AY348,ITEM_RES!$J:$J,0)-1,0),0)</f>
        <v>211020801</v>
      </c>
      <c r="AY348" s="10" t="s">
        <v>435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760</v>
      </c>
      <c r="S349" s="9" t="s">
        <v>701</v>
      </c>
      <c r="U349" s="84" t="s">
        <v>551</v>
      </c>
      <c r="V349" s="9">
        <f ca="1">IFERROR(OFFSET(ITEM_RES!$A$5,MATCH(BUILDING!U349,ITEM_RES!$J$5:$J$229,0)-1,0),0)</f>
        <v>211020601</v>
      </c>
      <c r="W349" s="11">
        <v>2</v>
      </c>
      <c r="X349" s="84" t="s">
        <v>546</v>
      </c>
      <c r="Y349" s="9">
        <f ca="1">IFERROR(OFFSET(ITEM_RES!$A$5,MATCH(BUILDING!X349,ITEM_RES!$J$5:$J$229,0)-1,0),0)</f>
        <v>211020701</v>
      </c>
      <c r="AA349" s="9" t="s">
        <v>523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436</v>
      </c>
      <c r="AU349" s="11">
        <v>1</v>
      </c>
      <c r="AX349" s="11">
        <f ca="1">IFERROR(OFFSET(ITEM_RES!$A$1,MATCH(AY349,ITEM_RES!$J:$J,0)-1,0),0)</f>
        <v>211020801</v>
      </c>
      <c r="AY349" s="10" t="s">
        <v>435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760</v>
      </c>
      <c r="S350" s="9" t="s">
        <v>701</v>
      </c>
      <c r="U350" s="84" t="s">
        <v>551</v>
      </c>
      <c r="V350" s="9">
        <f ca="1">IFERROR(OFFSET(ITEM_RES!$A$5,MATCH(BUILDING!U350,ITEM_RES!$J$5:$J$229,0)-1,0),0)</f>
        <v>211020601</v>
      </c>
      <c r="W350" s="11">
        <v>2</v>
      </c>
      <c r="X350" s="84" t="s">
        <v>546</v>
      </c>
      <c r="Y350" s="9">
        <f ca="1">IFERROR(OFFSET(ITEM_RES!$A$5,MATCH(BUILDING!X350,ITEM_RES!$J$5:$J$229,0)-1,0),0)</f>
        <v>211020701</v>
      </c>
      <c r="AA350" s="9" t="s">
        <v>523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436</v>
      </c>
      <c r="AU350" s="11">
        <v>1</v>
      </c>
      <c r="AX350" s="11">
        <f ca="1">IFERROR(OFFSET(ITEM_RES!$A$1,MATCH(AY350,ITEM_RES!$J:$J,0)-1,0),0)</f>
        <v>211020801</v>
      </c>
      <c r="AY350" s="10" t="s">
        <v>435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760</v>
      </c>
      <c r="S351" s="9" t="s">
        <v>701</v>
      </c>
      <c r="U351" s="84" t="s">
        <v>551</v>
      </c>
      <c r="V351" s="9">
        <f ca="1">IFERROR(OFFSET(ITEM_RES!$A$5,MATCH(BUILDING!U351,ITEM_RES!$J$5:$J$229,0)-1,0),0)</f>
        <v>211020601</v>
      </c>
      <c r="W351" s="11">
        <v>2</v>
      </c>
      <c r="X351" s="84" t="s">
        <v>546</v>
      </c>
      <c r="Y351" s="9">
        <f ca="1">IFERROR(OFFSET(ITEM_RES!$A$5,MATCH(BUILDING!X351,ITEM_RES!$J$5:$J$229,0)-1,0),0)</f>
        <v>211020701</v>
      </c>
      <c r="AA351" s="9" t="s">
        <v>523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436</v>
      </c>
      <c r="AU351" s="11">
        <v>1</v>
      </c>
      <c r="AX351" s="11">
        <f ca="1">IFERROR(OFFSET(ITEM_RES!$A$1,MATCH(AY351,ITEM_RES!$J:$J,0)-1,0),0)</f>
        <v>211020801</v>
      </c>
      <c r="AY351" s="10" t="s">
        <v>435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760</v>
      </c>
      <c r="S352" s="9" t="s">
        <v>701</v>
      </c>
      <c r="U352" s="84" t="s">
        <v>551</v>
      </c>
      <c r="V352" s="9">
        <f ca="1">IFERROR(OFFSET(ITEM_RES!$A$5,MATCH(BUILDING!U352,ITEM_RES!$J$5:$J$229,0)-1,0),0)</f>
        <v>211020601</v>
      </c>
      <c r="W352" s="11">
        <v>2</v>
      </c>
      <c r="X352" s="84" t="s">
        <v>546</v>
      </c>
      <c r="Y352" s="9">
        <f ca="1">IFERROR(OFFSET(ITEM_RES!$A$5,MATCH(BUILDING!X352,ITEM_RES!$J$5:$J$229,0)-1,0),0)</f>
        <v>211020701</v>
      </c>
      <c r="AA352" s="9" t="s">
        <v>523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436</v>
      </c>
      <c r="AU352" s="11">
        <v>1</v>
      </c>
      <c r="AX352" s="11">
        <f ca="1">IFERROR(OFFSET(ITEM_RES!$A$1,MATCH(AY352,ITEM_RES!$J:$J,0)-1,0),0)</f>
        <v>211020801</v>
      </c>
      <c r="AY352" s="10" t="s">
        <v>435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465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760</v>
      </c>
      <c r="S353" s="9" t="s">
        <v>701</v>
      </c>
      <c r="U353" s="84" t="s">
        <v>551</v>
      </c>
      <c r="V353" s="9">
        <f ca="1">IFERROR(OFFSET(ITEM_RES!$A$5,MATCH(BUILDING!U353,ITEM_RES!$J$5:$J$229,0)-1,0),0)</f>
        <v>211020601</v>
      </c>
      <c r="W353" s="11">
        <v>2</v>
      </c>
      <c r="X353" s="84" t="s">
        <v>546</v>
      </c>
      <c r="Y353" s="9">
        <f ca="1">IFERROR(OFFSET(ITEM_RES!$A$5,MATCH(BUILDING!X353,ITEM_RES!$J$5:$J$229,0)-1,0),0)</f>
        <v>211020701</v>
      </c>
      <c r="AA353" s="9" t="s">
        <v>523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433</v>
      </c>
      <c r="AU353" s="11">
        <v>1</v>
      </c>
      <c r="AX353" s="11">
        <f ca="1">IFERROR(OFFSET(ITEM_RES!$A$1,MATCH(AY353,ITEM_RES!$J:$J,0)-1,0),0)</f>
        <v>211020801</v>
      </c>
      <c r="AY353" s="10" t="s">
        <v>435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760</v>
      </c>
      <c r="S354" s="9" t="s">
        <v>701</v>
      </c>
      <c r="U354" s="84" t="s">
        <v>551</v>
      </c>
      <c r="V354" s="9">
        <f ca="1">IFERROR(OFFSET(ITEM_RES!$A$5,MATCH(BUILDING!U354,ITEM_RES!$J$5:$J$229,0)-1,0),0)</f>
        <v>211020601</v>
      </c>
      <c r="W354" s="11">
        <v>2</v>
      </c>
      <c r="X354" s="84" t="s">
        <v>546</v>
      </c>
      <c r="Y354" s="9">
        <f ca="1">IFERROR(OFFSET(ITEM_RES!$A$5,MATCH(BUILDING!X354,ITEM_RES!$J$5:$J$229,0)-1,0),0)</f>
        <v>211020701</v>
      </c>
      <c r="AA354" s="9" t="s">
        <v>523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433</v>
      </c>
      <c r="AU354" s="11">
        <v>1</v>
      </c>
      <c r="AX354" s="11">
        <f ca="1">IFERROR(OFFSET(ITEM_RES!$A$1,MATCH(AY354,ITEM_RES!$J:$J,0)-1,0),0)</f>
        <v>211020801</v>
      </c>
      <c r="AY354" s="10" t="s">
        <v>435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760</v>
      </c>
      <c r="S355" s="9" t="s">
        <v>701</v>
      </c>
      <c r="U355" s="84" t="s">
        <v>551</v>
      </c>
      <c r="V355" s="9">
        <f ca="1">IFERROR(OFFSET(ITEM_RES!$A$5,MATCH(BUILDING!U355,ITEM_RES!$J$5:$J$229,0)-1,0),0)</f>
        <v>211020601</v>
      </c>
      <c r="W355" s="11">
        <v>2</v>
      </c>
      <c r="X355" s="84" t="s">
        <v>546</v>
      </c>
      <c r="Y355" s="9">
        <f ca="1">IFERROR(OFFSET(ITEM_RES!$A$5,MATCH(BUILDING!X355,ITEM_RES!$J$5:$J$229,0)-1,0),0)</f>
        <v>211020701</v>
      </c>
      <c r="AA355" s="9" t="s">
        <v>523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433</v>
      </c>
      <c r="AU355" s="11">
        <v>1</v>
      </c>
      <c r="AX355" s="11">
        <f ca="1">IFERROR(OFFSET(ITEM_RES!$A$1,MATCH(AY355,ITEM_RES!$J:$J,0)-1,0),0)</f>
        <v>211020801</v>
      </c>
      <c r="AY355" s="10" t="s">
        <v>435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760</v>
      </c>
      <c r="S356" s="9" t="s">
        <v>701</v>
      </c>
      <c r="U356" s="84" t="s">
        <v>551</v>
      </c>
      <c r="V356" s="9">
        <f ca="1">IFERROR(OFFSET(ITEM_RES!$A$5,MATCH(BUILDING!U356,ITEM_RES!$J$5:$J$229,0)-1,0),0)</f>
        <v>211020601</v>
      </c>
      <c r="W356" s="11">
        <v>2</v>
      </c>
      <c r="X356" s="84" t="s">
        <v>546</v>
      </c>
      <c r="Y356" s="9">
        <f ca="1">IFERROR(OFFSET(ITEM_RES!$A$5,MATCH(BUILDING!X356,ITEM_RES!$J$5:$J$229,0)-1,0),0)</f>
        <v>211020701</v>
      </c>
      <c r="AA356" s="9" t="s">
        <v>523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433</v>
      </c>
      <c r="AU356" s="11">
        <v>1</v>
      </c>
      <c r="AX356" s="11">
        <f ca="1">IFERROR(OFFSET(ITEM_RES!$A$1,MATCH(AY356,ITEM_RES!$J:$J,0)-1,0),0)</f>
        <v>211020801</v>
      </c>
      <c r="AY356" s="10" t="s">
        <v>435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760</v>
      </c>
      <c r="S357" s="9" t="s">
        <v>701</v>
      </c>
      <c r="U357" s="84" t="s">
        <v>551</v>
      </c>
      <c r="V357" s="9">
        <f ca="1">IFERROR(OFFSET(ITEM_RES!$A$5,MATCH(BUILDING!U357,ITEM_RES!$J$5:$J$229,0)-1,0),0)</f>
        <v>211020601</v>
      </c>
      <c r="W357" s="11">
        <v>2</v>
      </c>
      <c r="X357" s="84" t="s">
        <v>546</v>
      </c>
      <c r="Y357" s="9">
        <f ca="1">IFERROR(OFFSET(ITEM_RES!$A$5,MATCH(BUILDING!X357,ITEM_RES!$J$5:$J$229,0)-1,0),0)</f>
        <v>211020701</v>
      </c>
      <c r="AA357" s="9" t="s">
        <v>523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433</v>
      </c>
      <c r="AU357" s="11">
        <v>1</v>
      </c>
      <c r="AX357" s="11">
        <f ca="1">IFERROR(OFFSET(ITEM_RES!$A$1,MATCH(AY357,ITEM_RES!$J:$J,0)-1,0),0)</f>
        <v>211020801</v>
      </c>
      <c r="AY357" s="10" t="s">
        <v>435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760</v>
      </c>
      <c r="S358" s="9" t="s">
        <v>701</v>
      </c>
      <c r="U358" s="84" t="s">
        <v>551</v>
      </c>
      <c r="V358" s="9">
        <f ca="1">IFERROR(OFFSET(ITEM_RES!$A$5,MATCH(BUILDING!U358,ITEM_RES!$J$5:$J$229,0)-1,0),0)</f>
        <v>211020601</v>
      </c>
      <c r="W358" s="11">
        <v>2</v>
      </c>
      <c r="X358" s="84" t="s">
        <v>546</v>
      </c>
      <c r="Y358" s="9">
        <f ca="1">IFERROR(OFFSET(ITEM_RES!$A$5,MATCH(BUILDING!X358,ITEM_RES!$J$5:$J$229,0)-1,0),0)</f>
        <v>211020701</v>
      </c>
      <c r="AA358" s="9" t="s">
        <v>523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433</v>
      </c>
      <c r="AU358" s="11">
        <v>1</v>
      </c>
      <c r="AX358" s="11">
        <f ca="1">IFERROR(OFFSET(ITEM_RES!$A$1,MATCH(AY358,ITEM_RES!$J:$J,0)-1,0),0)</f>
        <v>211020801</v>
      </c>
      <c r="AY358" s="10" t="s">
        <v>435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760</v>
      </c>
      <c r="S359" s="9" t="s">
        <v>701</v>
      </c>
      <c r="U359" s="84" t="s">
        <v>551</v>
      </c>
      <c r="V359" s="9">
        <f ca="1">IFERROR(OFFSET(ITEM_RES!$A$5,MATCH(BUILDING!U359,ITEM_RES!$J$5:$J$229,0)-1,0),0)</f>
        <v>211020601</v>
      </c>
      <c r="W359" s="11">
        <v>2</v>
      </c>
      <c r="X359" s="84" t="s">
        <v>546</v>
      </c>
      <c r="Y359" s="9">
        <f ca="1">IFERROR(OFFSET(ITEM_RES!$A$5,MATCH(BUILDING!X359,ITEM_RES!$J$5:$J$229,0)-1,0),0)</f>
        <v>211020701</v>
      </c>
      <c r="AA359" s="9" t="s">
        <v>523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433</v>
      </c>
      <c r="AU359" s="11">
        <v>1</v>
      </c>
      <c r="AX359" s="11">
        <f ca="1">IFERROR(OFFSET(ITEM_RES!$A$1,MATCH(AY359,ITEM_RES!$J:$J,0)-1,0),0)</f>
        <v>211020801</v>
      </c>
      <c r="AY359" s="10" t="s">
        <v>435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760</v>
      </c>
      <c r="S360" s="9" t="s">
        <v>701</v>
      </c>
      <c r="U360" s="84" t="s">
        <v>551</v>
      </c>
      <c r="V360" s="9">
        <f ca="1">IFERROR(OFFSET(ITEM_RES!$A$5,MATCH(BUILDING!U360,ITEM_RES!$J$5:$J$229,0)-1,0),0)</f>
        <v>211020601</v>
      </c>
      <c r="W360" s="11">
        <v>2</v>
      </c>
      <c r="X360" s="84" t="s">
        <v>546</v>
      </c>
      <c r="Y360" s="9">
        <f ca="1">IFERROR(OFFSET(ITEM_RES!$A$5,MATCH(BUILDING!X360,ITEM_RES!$J$5:$J$229,0)-1,0),0)</f>
        <v>211020701</v>
      </c>
      <c r="AA360" s="9" t="s">
        <v>523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433</v>
      </c>
      <c r="AU360" s="11">
        <v>1</v>
      </c>
      <c r="AX360" s="11">
        <f ca="1">IFERROR(OFFSET(ITEM_RES!$A$1,MATCH(AY360,ITEM_RES!$J:$J,0)-1,0),0)</f>
        <v>211020801</v>
      </c>
      <c r="AY360" s="10" t="s">
        <v>435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760</v>
      </c>
      <c r="S361" s="9" t="s">
        <v>701</v>
      </c>
      <c r="U361" s="84" t="s">
        <v>551</v>
      </c>
      <c r="V361" s="9">
        <f ca="1">IFERROR(OFFSET(ITEM_RES!$A$5,MATCH(BUILDING!U361,ITEM_RES!$J$5:$J$229,0)-1,0),0)</f>
        <v>211020601</v>
      </c>
      <c r="W361" s="11">
        <v>2</v>
      </c>
      <c r="X361" s="84" t="s">
        <v>546</v>
      </c>
      <c r="Y361" s="9">
        <f ca="1">IFERROR(OFFSET(ITEM_RES!$A$5,MATCH(BUILDING!X361,ITEM_RES!$J$5:$J$229,0)-1,0),0)</f>
        <v>211020701</v>
      </c>
      <c r="AA361" s="9" t="s">
        <v>523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433</v>
      </c>
      <c r="AU361" s="11">
        <v>1</v>
      </c>
      <c r="AX361" s="11">
        <f ca="1">IFERROR(OFFSET(ITEM_RES!$A$1,MATCH(AY361,ITEM_RES!$J:$J,0)-1,0),0)</f>
        <v>211020801</v>
      </c>
      <c r="AY361" s="10" t="s">
        <v>435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760</v>
      </c>
      <c r="S362" s="9" t="s">
        <v>701</v>
      </c>
      <c r="U362" s="84" t="s">
        <v>551</v>
      </c>
      <c r="V362" s="9">
        <f ca="1">IFERROR(OFFSET(ITEM_RES!$A$5,MATCH(BUILDING!U362,ITEM_RES!$J$5:$J$229,0)-1,0),0)</f>
        <v>211020601</v>
      </c>
      <c r="W362" s="11">
        <v>2</v>
      </c>
      <c r="X362" s="84" t="s">
        <v>546</v>
      </c>
      <c r="Y362" s="9">
        <f ca="1">IFERROR(OFFSET(ITEM_RES!$A$5,MATCH(BUILDING!X362,ITEM_RES!$J$5:$J$229,0)-1,0),0)</f>
        <v>211020701</v>
      </c>
      <c r="AA362" s="9" t="s">
        <v>523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433</v>
      </c>
      <c r="AU362" s="11">
        <v>1</v>
      </c>
      <c r="AX362" s="11">
        <f ca="1">IFERROR(OFFSET(ITEM_RES!$A$1,MATCH(AY362,ITEM_RES!$J:$J,0)-1,0),0)</f>
        <v>211020801</v>
      </c>
      <c r="AY362" s="10" t="s">
        <v>435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760</v>
      </c>
      <c r="S363" s="9" t="s">
        <v>701</v>
      </c>
      <c r="U363" s="84" t="s">
        <v>551</v>
      </c>
      <c r="V363" s="9">
        <f ca="1">IFERROR(OFFSET(ITEM_RES!$A$5,MATCH(BUILDING!U363,ITEM_RES!$J$5:$J$229,0)-1,0),0)</f>
        <v>211020601</v>
      </c>
      <c r="W363" s="11">
        <v>2</v>
      </c>
      <c r="X363" s="84" t="s">
        <v>546</v>
      </c>
      <c r="Y363" s="9">
        <f ca="1">IFERROR(OFFSET(ITEM_RES!$A$5,MATCH(BUILDING!X363,ITEM_RES!$J$5:$J$229,0)-1,0),0)</f>
        <v>211020701</v>
      </c>
      <c r="AA363" s="9" t="s">
        <v>523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433</v>
      </c>
      <c r="AU363" s="11">
        <v>1</v>
      </c>
      <c r="AX363" s="11">
        <f ca="1">IFERROR(OFFSET(ITEM_RES!$A$1,MATCH(AY363,ITEM_RES!$J:$J,0)-1,0),0)</f>
        <v>211020801</v>
      </c>
      <c r="AY363" s="10" t="s">
        <v>435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760</v>
      </c>
      <c r="S364" s="9" t="s">
        <v>701</v>
      </c>
      <c r="U364" s="84" t="s">
        <v>551</v>
      </c>
      <c r="V364" s="9">
        <f ca="1">IFERROR(OFFSET(ITEM_RES!$A$5,MATCH(BUILDING!U364,ITEM_RES!$J$5:$J$229,0)-1,0),0)</f>
        <v>211020601</v>
      </c>
      <c r="W364" s="11">
        <v>2</v>
      </c>
      <c r="X364" s="84" t="s">
        <v>546</v>
      </c>
      <c r="Y364" s="9">
        <f ca="1">IFERROR(OFFSET(ITEM_RES!$A$5,MATCH(BUILDING!X364,ITEM_RES!$J$5:$J$229,0)-1,0),0)</f>
        <v>211020701</v>
      </c>
      <c r="AA364" s="9" t="s">
        <v>523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433</v>
      </c>
      <c r="AU364" s="11">
        <v>1</v>
      </c>
      <c r="AX364" s="11">
        <f ca="1">IFERROR(OFFSET(ITEM_RES!$A$1,MATCH(AY364,ITEM_RES!$J:$J,0)-1,0),0)</f>
        <v>211020801</v>
      </c>
      <c r="AY364" s="10" t="s">
        <v>435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761</v>
      </c>
      <c r="P365" s="17"/>
      <c r="Q365" s="17"/>
      <c r="R365" s="18"/>
      <c r="S365" s="16" t="s">
        <v>702</v>
      </c>
      <c r="T365" s="78"/>
      <c r="U365" s="86" t="s">
        <v>552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393</v>
      </c>
      <c r="Y365" s="16">
        <f ca="1">IFERROR(OFFSET(ITEM_RES!$A$5,MATCH(BUILDING!X365,ITEM_RES!$J$5:$J$229,0)-1,0),0)</f>
        <v>211020901</v>
      </c>
      <c r="Z365" s="78"/>
      <c r="AA365" s="16" t="s">
        <v>524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436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435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452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761</v>
      </c>
      <c r="S366" s="9" t="s">
        <v>702</v>
      </c>
      <c r="U366" s="84" t="s">
        <v>552</v>
      </c>
      <c r="V366" s="9">
        <f ca="1">IFERROR(OFFSET(ITEM_RES!$A$5,MATCH(BUILDING!U366,ITEM_RES!$J$5:$J$229,0)-1,0),0)</f>
        <v>211020801</v>
      </c>
      <c r="W366" s="11">
        <v>1</v>
      </c>
      <c r="X366" s="84" t="s">
        <v>393</v>
      </c>
      <c r="Y366" s="9">
        <f ca="1">IFERROR(OFFSET(ITEM_RES!$A$5,MATCH(BUILDING!X366,ITEM_RES!$J$5:$J$229,0)-1,0),0)</f>
        <v>211020901</v>
      </c>
      <c r="AA366" s="9" t="s">
        <v>524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436</v>
      </c>
      <c r="AU366" s="11">
        <v>1</v>
      </c>
      <c r="AX366" s="11">
        <f ca="1">IFERROR(OFFSET(ITEM_RES!$A$1,MATCH(AY366,ITEM_RES!$J:$J,0)-1,0),0)</f>
        <v>211020801</v>
      </c>
      <c r="AY366" s="10" t="s">
        <v>435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761</v>
      </c>
      <c r="S367" s="9" t="s">
        <v>702</v>
      </c>
      <c r="U367" s="84" t="s">
        <v>552</v>
      </c>
      <c r="V367" s="9">
        <f ca="1">IFERROR(OFFSET(ITEM_RES!$A$5,MATCH(BUILDING!U367,ITEM_RES!$J$5:$J$229,0)-1,0),0)</f>
        <v>211020801</v>
      </c>
      <c r="W367" s="11">
        <v>1</v>
      </c>
      <c r="X367" s="84" t="s">
        <v>393</v>
      </c>
      <c r="Y367" s="9">
        <f ca="1">IFERROR(OFFSET(ITEM_RES!$A$5,MATCH(BUILDING!X367,ITEM_RES!$J$5:$J$229,0)-1,0),0)</f>
        <v>211020901</v>
      </c>
      <c r="AA367" s="9" t="s">
        <v>524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436</v>
      </c>
      <c r="AU367" s="11">
        <v>1</v>
      </c>
      <c r="AX367" s="11">
        <f ca="1">IFERROR(OFFSET(ITEM_RES!$A$1,MATCH(AY367,ITEM_RES!$J:$J,0)-1,0),0)</f>
        <v>211020801</v>
      </c>
      <c r="AY367" s="10" t="s">
        <v>435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761</v>
      </c>
      <c r="S368" s="9" t="s">
        <v>702</v>
      </c>
      <c r="U368" s="84" t="s">
        <v>552</v>
      </c>
      <c r="V368" s="9">
        <f ca="1">IFERROR(OFFSET(ITEM_RES!$A$5,MATCH(BUILDING!U368,ITEM_RES!$J$5:$J$229,0)-1,0),0)</f>
        <v>211020801</v>
      </c>
      <c r="W368" s="11">
        <v>1</v>
      </c>
      <c r="X368" s="84" t="s">
        <v>393</v>
      </c>
      <c r="Y368" s="9">
        <f ca="1">IFERROR(OFFSET(ITEM_RES!$A$5,MATCH(BUILDING!X368,ITEM_RES!$J$5:$J$229,0)-1,0),0)</f>
        <v>211020901</v>
      </c>
      <c r="AA368" s="9" t="s">
        <v>524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436</v>
      </c>
      <c r="AU368" s="11">
        <v>1</v>
      </c>
      <c r="AX368" s="11">
        <f ca="1">IFERROR(OFFSET(ITEM_RES!$A$1,MATCH(AY368,ITEM_RES!$J:$J,0)-1,0),0)</f>
        <v>211020801</v>
      </c>
      <c r="AY368" s="10" t="s">
        <v>435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761</v>
      </c>
      <c r="S369" s="9" t="s">
        <v>702</v>
      </c>
      <c r="U369" s="84" t="s">
        <v>552</v>
      </c>
      <c r="V369" s="9">
        <f ca="1">IFERROR(OFFSET(ITEM_RES!$A$5,MATCH(BUILDING!U369,ITEM_RES!$J$5:$J$229,0)-1,0),0)</f>
        <v>211020801</v>
      </c>
      <c r="W369" s="11">
        <v>1</v>
      </c>
      <c r="X369" s="84" t="s">
        <v>393</v>
      </c>
      <c r="Y369" s="9">
        <f ca="1">IFERROR(OFFSET(ITEM_RES!$A$5,MATCH(BUILDING!X369,ITEM_RES!$J$5:$J$229,0)-1,0),0)</f>
        <v>211020901</v>
      </c>
      <c r="AA369" s="9" t="s">
        <v>524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436</v>
      </c>
      <c r="AU369" s="11">
        <v>1</v>
      </c>
      <c r="AX369" s="11">
        <f ca="1">IFERROR(OFFSET(ITEM_RES!$A$1,MATCH(AY369,ITEM_RES!$J:$J,0)-1,0),0)</f>
        <v>211020801</v>
      </c>
      <c r="AY369" s="10" t="s">
        <v>435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761</v>
      </c>
      <c r="S370" s="9" t="s">
        <v>702</v>
      </c>
      <c r="U370" s="84" t="s">
        <v>552</v>
      </c>
      <c r="V370" s="9">
        <f ca="1">IFERROR(OFFSET(ITEM_RES!$A$5,MATCH(BUILDING!U370,ITEM_RES!$J$5:$J$229,0)-1,0),0)</f>
        <v>211020801</v>
      </c>
      <c r="W370" s="11">
        <v>1</v>
      </c>
      <c r="X370" s="84" t="s">
        <v>393</v>
      </c>
      <c r="Y370" s="9">
        <f ca="1">IFERROR(OFFSET(ITEM_RES!$A$5,MATCH(BUILDING!X370,ITEM_RES!$J$5:$J$229,0)-1,0),0)</f>
        <v>211020901</v>
      </c>
      <c r="AA370" s="9" t="s">
        <v>524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436</v>
      </c>
      <c r="AU370" s="11">
        <v>1</v>
      </c>
      <c r="AX370" s="11">
        <f ca="1">IFERROR(OFFSET(ITEM_RES!$A$1,MATCH(AY370,ITEM_RES!$J:$J,0)-1,0),0)</f>
        <v>211020801</v>
      </c>
      <c r="AY370" s="10" t="s">
        <v>435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761</v>
      </c>
      <c r="S371" s="9" t="s">
        <v>702</v>
      </c>
      <c r="U371" s="84" t="s">
        <v>552</v>
      </c>
      <c r="V371" s="9">
        <f ca="1">IFERROR(OFFSET(ITEM_RES!$A$5,MATCH(BUILDING!U371,ITEM_RES!$J$5:$J$229,0)-1,0),0)</f>
        <v>211020801</v>
      </c>
      <c r="W371" s="11">
        <v>1</v>
      </c>
      <c r="X371" s="84" t="s">
        <v>393</v>
      </c>
      <c r="Y371" s="9">
        <f ca="1">IFERROR(OFFSET(ITEM_RES!$A$5,MATCH(BUILDING!X371,ITEM_RES!$J$5:$J$229,0)-1,0),0)</f>
        <v>211020901</v>
      </c>
      <c r="AA371" s="9" t="s">
        <v>524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436</v>
      </c>
      <c r="AU371" s="11">
        <v>1</v>
      </c>
      <c r="AX371" s="11">
        <f ca="1">IFERROR(OFFSET(ITEM_RES!$A$1,MATCH(AY371,ITEM_RES!$J:$J,0)-1,0),0)</f>
        <v>211020801</v>
      </c>
      <c r="AY371" s="10" t="s">
        <v>435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466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761</v>
      </c>
      <c r="S372" s="9" t="s">
        <v>702</v>
      </c>
      <c r="U372" s="84" t="s">
        <v>552</v>
      </c>
      <c r="V372" s="9">
        <f ca="1">IFERROR(OFFSET(ITEM_RES!$A$5,MATCH(BUILDING!U372,ITEM_RES!$J$5:$J$229,0)-1,0),0)</f>
        <v>211020801</v>
      </c>
      <c r="W372" s="11">
        <v>1</v>
      </c>
      <c r="X372" s="84" t="s">
        <v>393</v>
      </c>
      <c r="Y372" s="9">
        <f ca="1">IFERROR(OFFSET(ITEM_RES!$A$5,MATCH(BUILDING!X372,ITEM_RES!$J$5:$J$229,0)-1,0),0)</f>
        <v>211020901</v>
      </c>
      <c r="AA372" s="9" t="s">
        <v>524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436</v>
      </c>
      <c r="AU372" s="11">
        <v>1</v>
      </c>
      <c r="AX372" s="11">
        <f ca="1">IFERROR(OFFSET(ITEM_RES!$A$1,MATCH(AY372,ITEM_RES!$J:$J,0)-1,0),0)</f>
        <v>211020801</v>
      </c>
      <c r="AY372" s="10" t="s">
        <v>435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761</v>
      </c>
      <c r="S373" s="9" t="s">
        <v>702</v>
      </c>
      <c r="U373" s="84" t="s">
        <v>552</v>
      </c>
      <c r="V373" s="9">
        <f ca="1">IFERROR(OFFSET(ITEM_RES!$A$5,MATCH(BUILDING!U373,ITEM_RES!$J$5:$J$229,0)-1,0),0)</f>
        <v>211020801</v>
      </c>
      <c r="W373" s="11">
        <v>1</v>
      </c>
      <c r="X373" s="84" t="s">
        <v>393</v>
      </c>
      <c r="Y373" s="9">
        <f ca="1">IFERROR(OFFSET(ITEM_RES!$A$5,MATCH(BUILDING!X373,ITEM_RES!$J$5:$J$229,0)-1,0),0)</f>
        <v>211020901</v>
      </c>
      <c r="AA373" s="9" t="s">
        <v>524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436</v>
      </c>
      <c r="AU373" s="11">
        <v>1</v>
      </c>
      <c r="AX373" s="11">
        <f ca="1">IFERROR(OFFSET(ITEM_RES!$A$1,MATCH(AY373,ITEM_RES!$J:$J,0)-1,0),0)</f>
        <v>211020801</v>
      </c>
      <c r="AY373" s="10" t="s">
        <v>435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761</v>
      </c>
      <c r="S374" s="9" t="s">
        <v>702</v>
      </c>
      <c r="U374" s="84" t="s">
        <v>552</v>
      </c>
      <c r="V374" s="9">
        <f ca="1">IFERROR(OFFSET(ITEM_RES!$A$5,MATCH(BUILDING!U374,ITEM_RES!$J$5:$J$229,0)-1,0),0)</f>
        <v>211020801</v>
      </c>
      <c r="W374" s="11">
        <v>1</v>
      </c>
      <c r="X374" s="84" t="s">
        <v>393</v>
      </c>
      <c r="Y374" s="9">
        <f ca="1">IFERROR(OFFSET(ITEM_RES!$A$5,MATCH(BUILDING!X374,ITEM_RES!$J$5:$J$229,0)-1,0),0)</f>
        <v>211020901</v>
      </c>
      <c r="AA374" s="9" t="s">
        <v>524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436</v>
      </c>
      <c r="AU374" s="11">
        <v>1</v>
      </c>
      <c r="AX374" s="11">
        <f ca="1">IFERROR(OFFSET(ITEM_RES!$A$1,MATCH(AY374,ITEM_RES!$J:$J,0)-1,0),0)</f>
        <v>211020801</v>
      </c>
      <c r="AY374" s="10" t="s">
        <v>435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761</v>
      </c>
      <c r="S375" s="9" t="s">
        <v>702</v>
      </c>
      <c r="U375" s="84" t="s">
        <v>552</v>
      </c>
      <c r="V375" s="9">
        <f ca="1">IFERROR(OFFSET(ITEM_RES!$A$5,MATCH(BUILDING!U375,ITEM_RES!$J$5:$J$229,0)-1,0),0)</f>
        <v>211020801</v>
      </c>
      <c r="W375" s="11">
        <v>1</v>
      </c>
      <c r="X375" s="84" t="s">
        <v>393</v>
      </c>
      <c r="Y375" s="9">
        <f ca="1">IFERROR(OFFSET(ITEM_RES!$A$5,MATCH(BUILDING!X375,ITEM_RES!$J$5:$J$229,0)-1,0),0)</f>
        <v>211020901</v>
      </c>
      <c r="AA375" s="9" t="s">
        <v>524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436</v>
      </c>
      <c r="AU375" s="11">
        <v>1</v>
      </c>
      <c r="AX375" s="11">
        <f ca="1">IFERROR(OFFSET(ITEM_RES!$A$1,MATCH(AY375,ITEM_RES!$J:$J,0)-1,0),0)</f>
        <v>211020801</v>
      </c>
      <c r="AY375" s="10" t="s">
        <v>435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761</v>
      </c>
      <c r="S376" s="9" t="s">
        <v>702</v>
      </c>
      <c r="U376" s="84" t="s">
        <v>552</v>
      </c>
      <c r="V376" s="9">
        <f ca="1">IFERROR(OFFSET(ITEM_RES!$A$5,MATCH(BUILDING!U376,ITEM_RES!$J$5:$J$229,0)-1,0),0)</f>
        <v>211020801</v>
      </c>
      <c r="W376" s="11">
        <v>1</v>
      </c>
      <c r="X376" s="84" t="s">
        <v>393</v>
      </c>
      <c r="Y376" s="9">
        <f ca="1">IFERROR(OFFSET(ITEM_RES!$A$5,MATCH(BUILDING!X376,ITEM_RES!$J$5:$J$229,0)-1,0),0)</f>
        <v>211020901</v>
      </c>
      <c r="AA376" s="9" t="s">
        <v>524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433</v>
      </c>
      <c r="AU376" s="11">
        <v>1</v>
      </c>
      <c r="AX376" s="11">
        <f ca="1">IFERROR(OFFSET(ITEM_RES!$A$1,MATCH(AY376,ITEM_RES!$J:$J,0)-1,0),0)</f>
        <v>211020801</v>
      </c>
      <c r="AY376" s="10" t="s">
        <v>435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761</v>
      </c>
      <c r="S377" s="9" t="s">
        <v>702</v>
      </c>
      <c r="U377" s="84" t="s">
        <v>552</v>
      </c>
      <c r="V377" s="9">
        <f ca="1">IFERROR(OFFSET(ITEM_RES!$A$5,MATCH(BUILDING!U377,ITEM_RES!$J$5:$J$229,0)-1,0),0)</f>
        <v>211020801</v>
      </c>
      <c r="W377" s="11">
        <v>1</v>
      </c>
      <c r="X377" s="84" t="s">
        <v>393</v>
      </c>
      <c r="Y377" s="9">
        <f ca="1">IFERROR(OFFSET(ITEM_RES!$A$5,MATCH(BUILDING!X377,ITEM_RES!$J$5:$J$229,0)-1,0),0)</f>
        <v>211020901</v>
      </c>
      <c r="AA377" s="9" t="s">
        <v>524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433</v>
      </c>
      <c r="AU377" s="11">
        <v>1</v>
      </c>
      <c r="AX377" s="11">
        <f ca="1">IFERROR(OFFSET(ITEM_RES!$A$1,MATCH(AY377,ITEM_RES!$J:$J,0)-1,0),0)</f>
        <v>211020801</v>
      </c>
      <c r="AY377" s="10" t="s">
        <v>435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761</v>
      </c>
      <c r="S378" s="9" t="s">
        <v>702</v>
      </c>
      <c r="U378" s="84" t="s">
        <v>552</v>
      </c>
      <c r="V378" s="9">
        <f ca="1">IFERROR(OFFSET(ITEM_RES!$A$5,MATCH(BUILDING!U378,ITEM_RES!$J$5:$J$229,0)-1,0),0)</f>
        <v>211020801</v>
      </c>
      <c r="W378" s="11">
        <v>1</v>
      </c>
      <c r="X378" s="84" t="s">
        <v>393</v>
      </c>
      <c r="Y378" s="9">
        <f ca="1">IFERROR(OFFSET(ITEM_RES!$A$5,MATCH(BUILDING!X378,ITEM_RES!$J$5:$J$229,0)-1,0),0)</f>
        <v>211020901</v>
      </c>
      <c r="AA378" s="9" t="s">
        <v>524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433</v>
      </c>
      <c r="AU378" s="11">
        <v>1</v>
      </c>
      <c r="AX378" s="11">
        <f ca="1">IFERROR(OFFSET(ITEM_RES!$A$1,MATCH(AY378,ITEM_RES!$J:$J,0)-1,0),0)</f>
        <v>211020801</v>
      </c>
      <c r="AY378" s="10" t="s">
        <v>435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761</v>
      </c>
      <c r="S379" s="9" t="s">
        <v>702</v>
      </c>
      <c r="U379" s="84" t="s">
        <v>552</v>
      </c>
      <c r="V379" s="9">
        <f ca="1">IFERROR(OFFSET(ITEM_RES!$A$5,MATCH(BUILDING!U379,ITEM_RES!$J$5:$J$229,0)-1,0),0)</f>
        <v>211020801</v>
      </c>
      <c r="W379" s="11">
        <v>1</v>
      </c>
      <c r="X379" s="84" t="s">
        <v>393</v>
      </c>
      <c r="Y379" s="9">
        <f ca="1">IFERROR(OFFSET(ITEM_RES!$A$5,MATCH(BUILDING!X379,ITEM_RES!$J$5:$J$229,0)-1,0),0)</f>
        <v>211020901</v>
      </c>
      <c r="AA379" s="9" t="s">
        <v>524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433</v>
      </c>
      <c r="AU379" s="11">
        <v>1</v>
      </c>
      <c r="AX379" s="11">
        <f ca="1">IFERROR(OFFSET(ITEM_RES!$A$1,MATCH(AY379,ITEM_RES!$J:$J,0)-1,0),0)</f>
        <v>211020801</v>
      </c>
      <c r="AY379" s="10" t="s">
        <v>435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761</v>
      </c>
      <c r="S380" s="9" t="s">
        <v>702</v>
      </c>
      <c r="U380" s="84" t="s">
        <v>552</v>
      </c>
      <c r="V380" s="9">
        <f ca="1">IFERROR(OFFSET(ITEM_RES!$A$5,MATCH(BUILDING!U380,ITEM_RES!$J$5:$J$229,0)-1,0),0)</f>
        <v>211020801</v>
      </c>
      <c r="W380" s="11">
        <v>1</v>
      </c>
      <c r="X380" s="84" t="s">
        <v>393</v>
      </c>
      <c r="Y380" s="9">
        <f ca="1">IFERROR(OFFSET(ITEM_RES!$A$5,MATCH(BUILDING!X380,ITEM_RES!$J$5:$J$229,0)-1,0),0)</f>
        <v>211020901</v>
      </c>
      <c r="AA380" s="9" t="s">
        <v>524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433</v>
      </c>
      <c r="AU380" s="11">
        <v>1</v>
      </c>
      <c r="AX380" s="11">
        <f ca="1">IFERROR(OFFSET(ITEM_RES!$A$1,MATCH(AY380,ITEM_RES!$J:$J,0)-1,0),0)</f>
        <v>211020801</v>
      </c>
      <c r="AY380" s="10" t="s">
        <v>435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761</v>
      </c>
      <c r="S381" s="9" t="s">
        <v>702</v>
      </c>
      <c r="U381" s="84" t="s">
        <v>552</v>
      </c>
      <c r="V381" s="9">
        <f ca="1">IFERROR(OFFSET(ITEM_RES!$A$5,MATCH(BUILDING!U381,ITEM_RES!$J$5:$J$229,0)-1,0),0)</f>
        <v>211020801</v>
      </c>
      <c r="W381" s="11">
        <v>1</v>
      </c>
      <c r="X381" s="84" t="s">
        <v>393</v>
      </c>
      <c r="Y381" s="9">
        <f ca="1">IFERROR(OFFSET(ITEM_RES!$A$5,MATCH(BUILDING!X381,ITEM_RES!$J$5:$J$229,0)-1,0),0)</f>
        <v>211020901</v>
      </c>
      <c r="AA381" s="9" t="s">
        <v>524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433</v>
      </c>
      <c r="AU381" s="11">
        <v>1</v>
      </c>
      <c r="AX381" s="11">
        <f ca="1">IFERROR(OFFSET(ITEM_RES!$A$1,MATCH(AY381,ITEM_RES!$J:$J,0)-1,0),0)</f>
        <v>211020801</v>
      </c>
      <c r="AY381" s="10" t="s">
        <v>435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761</v>
      </c>
      <c r="S382" s="9" t="s">
        <v>702</v>
      </c>
      <c r="U382" s="84" t="s">
        <v>552</v>
      </c>
      <c r="V382" s="9">
        <f ca="1">IFERROR(OFFSET(ITEM_RES!$A$5,MATCH(BUILDING!U382,ITEM_RES!$J$5:$J$229,0)-1,0),0)</f>
        <v>211020801</v>
      </c>
      <c r="W382" s="11">
        <v>1</v>
      </c>
      <c r="X382" s="84" t="s">
        <v>393</v>
      </c>
      <c r="Y382" s="9">
        <f ca="1">IFERROR(OFFSET(ITEM_RES!$A$5,MATCH(BUILDING!X382,ITEM_RES!$J$5:$J$229,0)-1,0),0)</f>
        <v>211020901</v>
      </c>
      <c r="AA382" s="9" t="s">
        <v>524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433</v>
      </c>
      <c r="AU382" s="11">
        <v>1</v>
      </c>
      <c r="AX382" s="11">
        <f ca="1">IFERROR(OFFSET(ITEM_RES!$A$1,MATCH(AY382,ITEM_RES!$J:$J,0)-1,0),0)</f>
        <v>211020801</v>
      </c>
      <c r="AY382" s="10" t="s">
        <v>435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761</v>
      </c>
      <c r="S383" s="9" t="s">
        <v>702</v>
      </c>
      <c r="U383" s="84" t="s">
        <v>552</v>
      </c>
      <c r="V383" s="9">
        <f ca="1">IFERROR(OFFSET(ITEM_RES!$A$5,MATCH(BUILDING!U383,ITEM_RES!$J$5:$J$229,0)-1,0),0)</f>
        <v>211020801</v>
      </c>
      <c r="W383" s="11">
        <v>1</v>
      </c>
      <c r="X383" s="84" t="s">
        <v>393</v>
      </c>
      <c r="Y383" s="9">
        <f ca="1">IFERROR(OFFSET(ITEM_RES!$A$5,MATCH(BUILDING!X383,ITEM_RES!$J$5:$J$229,0)-1,0),0)</f>
        <v>211020901</v>
      </c>
      <c r="AA383" s="9" t="s">
        <v>524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433</v>
      </c>
      <c r="AU383" s="11">
        <v>1</v>
      </c>
      <c r="AX383" s="11">
        <f ca="1">IFERROR(OFFSET(ITEM_RES!$A$1,MATCH(AY383,ITEM_RES!$J:$J,0)-1,0),0)</f>
        <v>211020801</v>
      </c>
      <c r="AY383" s="10" t="s">
        <v>435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761</v>
      </c>
      <c r="S384" s="9" t="s">
        <v>702</v>
      </c>
      <c r="U384" s="84" t="s">
        <v>552</v>
      </c>
      <c r="V384" s="9">
        <f ca="1">IFERROR(OFFSET(ITEM_RES!$A$5,MATCH(BUILDING!U384,ITEM_RES!$J$5:$J$229,0)-1,0),0)</f>
        <v>211020801</v>
      </c>
      <c r="W384" s="11">
        <v>1</v>
      </c>
      <c r="X384" s="84" t="s">
        <v>393</v>
      </c>
      <c r="Y384" s="9">
        <f ca="1">IFERROR(OFFSET(ITEM_RES!$A$5,MATCH(BUILDING!X384,ITEM_RES!$J$5:$J$229,0)-1,0),0)</f>
        <v>211020901</v>
      </c>
      <c r="AA384" s="9" t="s">
        <v>524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433</v>
      </c>
      <c r="AU384" s="11">
        <v>1</v>
      </c>
      <c r="AX384" s="11">
        <f ca="1">IFERROR(OFFSET(ITEM_RES!$A$1,MATCH(AY384,ITEM_RES!$J:$J,0)-1,0),0)</f>
        <v>211020801</v>
      </c>
      <c r="AY384" s="10" t="s">
        <v>435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1215</v>
      </c>
      <c r="P385" s="17"/>
      <c r="Q385" s="17"/>
      <c r="R385" s="18"/>
      <c r="S385" s="16" t="s">
        <v>708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547</v>
      </c>
      <c r="Y385" s="16">
        <f ca="1">IFERROR(OFFSET(ITEM_RES!$A$5,MATCH(BUILDING!X385,ITEM_RES!$J$5:$J$229,0)-1,0),0)</f>
        <v>211020201</v>
      </c>
      <c r="Z385" s="78"/>
      <c r="AA385" s="16" t="s">
        <v>525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427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448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452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1216</v>
      </c>
      <c r="S386" s="9" t="s">
        <v>708</v>
      </c>
      <c r="V386" s="9">
        <f ca="1">IFERROR(OFFSET(ITEM_RES!$A$5,MATCH(BUILDING!U386,ITEM_RES!$J$5:$J$229,0)-1,0),0)</f>
        <v>0</v>
      </c>
      <c r="X386" s="84" t="s">
        <v>547</v>
      </c>
      <c r="Y386" s="9">
        <f ca="1">IFERROR(OFFSET(ITEM_RES!$A$5,MATCH(BUILDING!X386,ITEM_RES!$J$5:$J$229,0)-1,0),0)</f>
        <v>211020201</v>
      </c>
      <c r="AA386" s="9" t="s">
        <v>525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427</v>
      </c>
      <c r="AU386" s="11">
        <v>20</v>
      </c>
      <c r="AX386" s="11">
        <f ca="1">IFERROR(OFFSET(ITEM_RES!$A$1,MATCH(AY386,ITEM_RES!$J:$J,0)-1,0),0)</f>
        <v>211020101</v>
      </c>
      <c r="AY386" s="10" t="s">
        <v>448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1217</v>
      </c>
      <c r="S387" s="9" t="s">
        <v>708</v>
      </c>
      <c r="V387" s="9">
        <f ca="1">IFERROR(OFFSET(ITEM_RES!$A$5,MATCH(BUILDING!U387,ITEM_RES!$J$5:$J$229,0)-1,0),0)</f>
        <v>0</v>
      </c>
      <c r="X387" s="84" t="s">
        <v>547</v>
      </c>
      <c r="Y387" s="9">
        <f ca="1">IFERROR(OFFSET(ITEM_RES!$A$5,MATCH(BUILDING!X387,ITEM_RES!$J$5:$J$229,0)-1,0),0)</f>
        <v>211020201</v>
      </c>
      <c r="AA387" s="9" t="s">
        <v>525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427</v>
      </c>
      <c r="AU387" s="11">
        <v>160</v>
      </c>
      <c r="AX387" s="11">
        <f ca="1">IFERROR(OFFSET(ITEM_RES!$A$1,MATCH(AY387,ITEM_RES!$J:$J,0)-1,0),0)</f>
        <v>211020101</v>
      </c>
      <c r="AY387" s="10" t="s">
        <v>448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1218</v>
      </c>
      <c r="S388" s="9" t="s">
        <v>708</v>
      </c>
      <c r="V388" s="9">
        <f ca="1">IFERROR(OFFSET(ITEM_RES!$A$5,MATCH(BUILDING!U388,ITEM_RES!$J$5:$J$229,0)-1,0),0)</f>
        <v>0</v>
      </c>
      <c r="X388" s="84" t="s">
        <v>547</v>
      </c>
      <c r="Y388" s="9">
        <f ca="1">IFERROR(OFFSET(ITEM_RES!$A$5,MATCH(BUILDING!X388,ITEM_RES!$J$5:$J$229,0)-1,0),0)</f>
        <v>211020201</v>
      </c>
      <c r="AA388" s="9" t="s">
        <v>525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427</v>
      </c>
      <c r="AU388" s="11">
        <v>1920</v>
      </c>
      <c r="AX388" s="11">
        <f ca="1">IFERROR(OFFSET(ITEM_RES!$A$1,MATCH(AY388,ITEM_RES!$J:$J,0)-1,0),0)</f>
        <v>211020101</v>
      </c>
      <c r="AY388" s="10" t="s">
        <v>448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1219</v>
      </c>
      <c r="S389" s="9" t="s">
        <v>708</v>
      </c>
      <c r="V389" s="9">
        <f ca="1">IFERROR(OFFSET(ITEM_RES!$A$5,MATCH(BUILDING!U389,ITEM_RES!$J$5:$J$229,0)-1,0),0)</f>
        <v>0</v>
      </c>
      <c r="X389" s="84" t="s">
        <v>547</v>
      </c>
      <c r="Y389" s="9">
        <f ca="1">IFERROR(OFFSET(ITEM_RES!$A$5,MATCH(BUILDING!X389,ITEM_RES!$J$5:$J$229,0)-1,0),0)</f>
        <v>211020201</v>
      </c>
      <c r="AA389" s="9" t="s">
        <v>525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427</v>
      </c>
      <c r="AU389" s="11">
        <v>26000</v>
      </c>
      <c r="AX389" s="11">
        <f ca="1">IFERROR(OFFSET(ITEM_RES!$A$1,MATCH(AY389,ITEM_RES!$J:$J,0)-1,0),0)</f>
        <v>211020101</v>
      </c>
      <c r="AY389" s="10" t="s">
        <v>448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1220</v>
      </c>
      <c r="S390" s="9" t="s">
        <v>708</v>
      </c>
      <c r="V390" s="9">
        <f ca="1">IFERROR(OFFSET(ITEM_RES!$A$5,MATCH(BUILDING!U390,ITEM_RES!$J$5:$J$229,0)-1,0),0)</f>
        <v>0</v>
      </c>
      <c r="X390" s="84" t="s">
        <v>547</v>
      </c>
      <c r="Y390" s="9">
        <f ca="1">IFERROR(OFFSET(ITEM_RES!$A$5,MATCH(BUILDING!X390,ITEM_RES!$J$5:$J$229,0)-1,0),0)</f>
        <v>211020201</v>
      </c>
      <c r="AA390" s="9" t="s">
        <v>525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427</v>
      </c>
      <c r="AU390" s="11">
        <v>240000</v>
      </c>
      <c r="AX390" s="11">
        <f ca="1">IFERROR(OFFSET(ITEM_RES!$A$1,MATCH(AY390,ITEM_RES!$J:$J,0)-1,0),0)</f>
        <v>211020101</v>
      </c>
      <c r="AY390" s="10" t="s">
        <v>448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1221</v>
      </c>
      <c r="S391" s="9" t="s">
        <v>708</v>
      </c>
      <c r="V391" s="9">
        <f ca="1">IFERROR(OFFSET(ITEM_RES!$A$5,MATCH(BUILDING!U391,ITEM_RES!$J$5:$J$229,0)-1,0),0)</f>
        <v>0</v>
      </c>
      <c r="X391" s="84" t="s">
        <v>547</v>
      </c>
      <c r="Y391" s="9">
        <f ca="1">IFERROR(OFFSET(ITEM_RES!$A$5,MATCH(BUILDING!X391,ITEM_RES!$J$5:$J$229,0)-1,0),0)</f>
        <v>211020201</v>
      </c>
      <c r="AA391" s="9" t="s">
        <v>525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427</v>
      </c>
      <c r="AU391" s="11">
        <v>540000</v>
      </c>
      <c r="AX391" s="11">
        <f ca="1">IFERROR(OFFSET(ITEM_RES!$A$1,MATCH(AY391,ITEM_RES!$J:$J,0)-1,0),0)</f>
        <v>211020101</v>
      </c>
      <c r="AY391" s="10" t="s">
        <v>448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1221</v>
      </c>
      <c r="S392" s="9" t="s">
        <v>708</v>
      </c>
      <c r="V392" s="9">
        <f ca="1">IFERROR(OFFSET(ITEM_RES!$A$5,MATCH(BUILDING!U392,ITEM_RES!$J$5:$J$229,0)-1,0),0)</f>
        <v>0</v>
      </c>
      <c r="X392" s="84" t="s">
        <v>547</v>
      </c>
      <c r="Y392" s="9">
        <f ca="1">IFERROR(OFFSET(ITEM_RES!$A$5,MATCH(BUILDING!X392,ITEM_RES!$J$5:$J$229,0)-1,0),0)</f>
        <v>211020201</v>
      </c>
      <c r="AA392" s="9" t="s">
        <v>525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427</v>
      </c>
      <c r="AU392" s="11">
        <v>1000000</v>
      </c>
      <c r="AX392" s="11">
        <f ca="1">IFERROR(OFFSET(ITEM_RES!$A$1,MATCH(AY392,ITEM_RES!$J:$J,0)-1,0),0)</f>
        <v>211020101</v>
      </c>
      <c r="AY392" s="10" t="s">
        <v>448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1221</v>
      </c>
      <c r="S393" s="9" t="s">
        <v>708</v>
      </c>
      <c r="V393" s="9">
        <f ca="1">IFERROR(OFFSET(ITEM_RES!$A$5,MATCH(BUILDING!U393,ITEM_RES!$J$5:$J$229,0)-1,0),0)</f>
        <v>0</v>
      </c>
      <c r="X393" s="84" t="s">
        <v>547</v>
      </c>
      <c r="Y393" s="9">
        <f ca="1">IFERROR(OFFSET(ITEM_RES!$A$5,MATCH(BUILDING!X393,ITEM_RES!$J$5:$J$229,0)-1,0),0)</f>
        <v>211020201</v>
      </c>
      <c r="AA393" s="9" t="s">
        <v>525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427</v>
      </c>
      <c r="AU393" s="11">
        <v>1580000</v>
      </c>
      <c r="AX393" s="11">
        <f ca="1">IFERROR(OFFSET(ITEM_RES!$A$1,MATCH(AY393,ITEM_RES!$J:$J,0)-1,0),0)</f>
        <v>211020101</v>
      </c>
      <c r="AY393" s="10" t="s">
        <v>448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1221</v>
      </c>
      <c r="S394" s="9" t="s">
        <v>708</v>
      </c>
      <c r="V394" s="9">
        <f ca="1">IFERROR(OFFSET(ITEM_RES!$A$5,MATCH(BUILDING!U394,ITEM_RES!$J$5:$J$229,0)-1,0),0)</f>
        <v>0</v>
      </c>
      <c r="X394" s="84" t="s">
        <v>547</v>
      </c>
      <c r="Y394" s="9">
        <f ca="1">IFERROR(OFFSET(ITEM_RES!$A$5,MATCH(BUILDING!X394,ITEM_RES!$J$5:$J$229,0)-1,0),0)</f>
        <v>211020201</v>
      </c>
      <c r="AA394" s="9" t="s">
        <v>525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427</v>
      </c>
      <c r="AU394" s="11">
        <v>2200000</v>
      </c>
      <c r="AX394" s="11">
        <f ca="1">IFERROR(OFFSET(ITEM_RES!$A$1,MATCH(AY394,ITEM_RES!$J:$J,0)-1,0),0)</f>
        <v>211020101</v>
      </c>
      <c r="AY394" s="10" t="s">
        <v>448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1221</v>
      </c>
      <c r="S395" s="9" t="s">
        <v>708</v>
      </c>
      <c r="V395" s="9">
        <f ca="1">IFERROR(OFFSET(ITEM_RES!$A$5,MATCH(BUILDING!U395,ITEM_RES!$J$5:$J$229,0)-1,0),0)</f>
        <v>0</v>
      </c>
      <c r="X395" s="84" t="s">
        <v>547</v>
      </c>
      <c r="Y395" s="9">
        <f ca="1">IFERROR(OFFSET(ITEM_RES!$A$5,MATCH(BUILDING!X395,ITEM_RES!$J$5:$J$229,0)-1,0),0)</f>
        <v>211020201</v>
      </c>
      <c r="AA395" s="9" t="s">
        <v>525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427</v>
      </c>
      <c r="AU395" s="11">
        <v>4400000</v>
      </c>
      <c r="AX395" s="11">
        <f ca="1">IFERROR(OFFSET(ITEM_RES!$A$1,MATCH(AY395,ITEM_RES!$J:$J,0)-1,0),0)</f>
        <v>211020101</v>
      </c>
      <c r="AY395" s="10" t="s">
        <v>448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1221</v>
      </c>
      <c r="S396" s="9" t="s">
        <v>708</v>
      </c>
      <c r="V396" s="9">
        <f ca="1">IFERROR(OFFSET(ITEM_RES!$A$5,MATCH(BUILDING!U396,ITEM_RES!$J$5:$J$229,0)-1,0),0)</f>
        <v>0</v>
      </c>
      <c r="X396" s="84" t="s">
        <v>547</v>
      </c>
      <c r="Y396" s="9">
        <f ca="1">IFERROR(OFFSET(ITEM_RES!$A$5,MATCH(BUILDING!X396,ITEM_RES!$J$5:$J$229,0)-1,0),0)</f>
        <v>211020201</v>
      </c>
      <c r="AA396" s="9" t="s">
        <v>525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427</v>
      </c>
      <c r="AU396" s="11">
        <v>5200000</v>
      </c>
      <c r="AX396" s="11">
        <f ca="1">IFERROR(OFFSET(ITEM_RES!$A$1,MATCH(AY396,ITEM_RES!$J:$J,0)-1,0),0)</f>
        <v>211020101</v>
      </c>
      <c r="AY396" s="10" t="s">
        <v>448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1221</v>
      </c>
      <c r="S397" s="9" t="s">
        <v>708</v>
      </c>
      <c r="V397" s="9">
        <f ca="1">IFERROR(OFFSET(ITEM_RES!$A$5,MATCH(BUILDING!U397,ITEM_RES!$J$5:$J$229,0)-1,0),0)</f>
        <v>0</v>
      </c>
      <c r="X397" s="84" t="s">
        <v>547</v>
      </c>
      <c r="Y397" s="9">
        <f ca="1">IFERROR(OFFSET(ITEM_RES!$A$5,MATCH(BUILDING!X397,ITEM_RES!$J$5:$J$229,0)-1,0),0)</f>
        <v>211020201</v>
      </c>
      <c r="AA397" s="9" t="s">
        <v>525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427</v>
      </c>
      <c r="AU397" s="11">
        <v>8600000</v>
      </c>
      <c r="AX397" s="11">
        <f ca="1">IFERROR(OFFSET(ITEM_RES!$A$1,MATCH(AY397,ITEM_RES!$J:$J,0)-1,0),0)</f>
        <v>211020101</v>
      </c>
      <c r="AY397" s="10" t="s">
        <v>448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1221</v>
      </c>
      <c r="S398" s="9" t="s">
        <v>708</v>
      </c>
      <c r="V398" s="9">
        <f ca="1">IFERROR(OFFSET(ITEM_RES!$A$5,MATCH(BUILDING!U398,ITEM_RES!$J$5:$J$229,0)-1,0),0)</f>
        <v>0</v>
      </c>
      <c r="X398" s="84" t="s">
        <v>547</v>
      </c>
      <c r="Y398" s="9">
        <f ca="1">IFERROR(OFFSET(ITEM_RES!$A$5,MATCH(BUILDING!X398,ITEM_RES!$J$5:$J$229,0)-1,0),0)</f>
        <v>211020201</v>
      </c>
      <c r="AA398" s="9" t="s">
        <v>525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427</v>
      </c>
      <c r="AU398" s="11">
        <v>13200000</v>
      </c>
      <c r="AX398" s="11">
        <f ca="1">IFERROR(OFFSET(ITEM_RES!$A$1,MATCH(AY398,ITEM_RES!$J:$J,0)-1,0),0)</f>
        <v>211020101</v>
      </c>
      <c r="AY398" s="10" t="s">
        <v>448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1221</v>
      </c>
      <c r="S399" s="9" t="s">
        <v>708</v>
      </c>
      <c r="V399" s="9">
        <f ca="1">IFERROR(OFFSET(ITEM_RES!$A$5,MATCH(BUILDING!U399,ITEM_RES!$J$5:$J$229,0)-1,0),0)</f>
        <v>0</v>
      </c>
      <c r="X399" s="84" t="s">
        <v>547</v>
      </c>
      <c r="Y399" s="9">
        <f ca="1">IFERROR(OFFSET(ITEM_RES!$A$5,MATCH(BUILDING!X399,ITEM_RES!$J$5:$J$229,0)-1,0),0)</f>
        <v>211020201</v>
      </c>
      <c r="AA399" s="9" t="s">
        <v>525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443</v>
      </c>
      <c r="AU399" s="11">
        <v>22000000</v>
      </c>
      <c r="AX399" s="11">
        <f ca="1">IFERROR(OFFSET(ITEM_RES!$A$1,MATCH(AY399,ITEM_RES!$J:$J,0)-1,0),0)</f>
        <v>211020101</v>
      </c>
      <c r="AY399" s="10" t="s">
        <v>448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1221</v>
      </c>
      <c r="S400" s="9" t="s">
        <v>708</v>
      </c>
      <c r="V400" s="9">
        <f ca="1">IFERROR(OFFSET(ITEM_RES!$A$5,MATCH(BUILDING!U400,ITEM_RES!$J$5:$J$229,0)-1,0),0)</f>
        <v>0</v>
      </c>
      <c r="X400" s="84" t="s">
        <v>547</v>
      </c>
      <c r="Y400" s="9">
        <f ca="1">IFERROR(OFFSET(ITEM_RES!$A$5,MATCH(BUILDING!X400,ITEM_RES!$J$5:$J$229,0)-1,0),0)</f>
        <v>211020201</v>
      </c>
      <c r="AA400" s="9" t="s">
        <v>525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443</v>
      </c>
      <c r="AU400" s="11">
        <v>30000000</v>
      </c>
      <c r="AX400" s="11">
        <f ca="1">IFERROR(OFFSET(ITEM_RES!$A$1,MATCH(AY400,ITEM_RES!$J:$J,0)-1,0),0)</f>
        <v>211020101</v>
      </c>
      <c r="AY400" s="10" t="s">
        <v>448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1221</v>
      </c>
      <c r="S401" s="9" t="s">
        <v>708</v>
      </c>
      <c r="V401" s="9">
        <f ca="1">IFERROR(OFFSET(ITEM_RES!$A$5,MATCH(BUILDING!U401,ITEM_RES!$J$5:$J$229,0)-1,0),0)</f>
        <v>0</v>
      </c>
      <c r="X401" s="84" t="s">
        <v>547</v>
      </c>
      <c r="Y401" s="9">
        <f ca="1">IFERROR(OFFSET(ITEM_RES!$A$5,MATCH(BUILDING!X401,ITEM_RES!$J$5:$J$229,0)-1,0),0)</f>
        <v>211020201</v>
      </c>
      <c r="AA401" s="9" t="s">
        <v>525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443</v>
      </c>
      <c r="AU401" s="11">
        <v>46000000</v>
      </c>
      <c r="AX401" s="11">
        <f ca="1">IFERROR(OFFSET(ITEM_RES!$A$1,MATCH(AY401,ITEM_RES!$J:$J,0)-1,0),0)</f>
        <v>211020101</v>
      </c>
      <c r="AY401" s="10" t="s">
        <v>448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1221</v>
      </c>
      <c r="S402" s="9" t="s">
        <v>708</v>
      </c>
      <c r="V402" s="9">
        <f ca="1">IFERROR(OFFSET(ITEM_RES!$A$5,MATCH(BUILDING!U402,ITEM_RES!$J$5:$J$229,0)-1,0),0)</f>
        <v>0</v>
      </c>
      <c r="X402" s="84" t="s">
        <v>547</v>
      </c>
      <c r="Y402" s="9">
        <f ca="1">IFERROR(OFFSET(ITEM_RES!$A$5,MATCH(BUILDING!X402,ITEM_RES!$J$5:$J$229,0)-1,0),0)</f>
        <v>211020201</v>
      </c>
      <c r="AA402" s="9" t="s">
        <v>525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443</v>
      </c>
      <c r="AU402" s="11">
        <v>70000000</v>
      </c>
      <c r="AX402" s="11">
        <f ca="1">IFERROR(OFFSET(ITEM_RES!$A$1,MATCH(AY402,ITEM_RES!$J:$J,0)-1,0),0)</f>
        <v>211020101</v>
      </c>
      <c r="AY402" s="10" t="s">
        <v>448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1221</v>
      </c>
      <c r="S403" s="9" t="s">
        <v>708</v>
      </c>
      <c r="V403" s="9">
        <f ca="1">IFERROR(OFFSET(ITEM_RES!$A$5,MATCH(BUILDING!U403,ITEM_RES!$J$5:$J$229,0)-1,0),0)</f>
        <v>0</v>
      </c>
      <c r="X403" s="84" t="s">
        <v>547</v>
      </c>
      <c r="Y403" s="9">
        <f ca="1">IFERROR(OFFSET(ITEM_RES!$A$5,MATCH(BUILDING!X403,ITEM_RES!$J$5:$J$229,0)-1,0),0)</f>
        <v>211020201</v>
      </c>
      <c r="AA403" s="9" t="s">
        <v>525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443</v>
      </c>
      <c r="AU403" s="11">
        <v>96000000</v>
      </c>
      <c r="AX403" s="11">
        <f ca="1">IFERROR(OFFSET(ITEM_RES!$A$1,MATCH(AY403,ITEM_RES!$J:$J,0)-1,0),0)</f>
        <v>211020101</v>
      </c>
      <c r="AY403" s="10" t="s">
        <v>448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1221</v>
      </c>
      <c r="S404" s="9" t="s">
        <v>708</v>
      </c>
      <c r="V404" s="9">
        <f ca="1">IFERROR(OFFSET(ITEM_RES!$A$5,MATCH(BUILDING!U404,ITEM_RES!$J$5:$J$229,0)-1,0),0)</f>
        <v>0</v>
      </c>
      <c r="X404" s="84" t="s">
        <v>547</v>
      </c>
      <c r="Y404" s="9">
        <f ca="1">IFERROR(OFFSET(ITEM_RES!$A$5,MATCH(BUILDING!X404,ITEM_RES!$J$5:$J$229,0)-1,0),0)</f>
        <v>211020201</v>
      </c>
      <c r="AA404" s="9" t="s">
        <v>525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443</v>
      </c>
      <c r="AU404" s="11">
        <v>152000000</v>
      </c>
      <c r="AX404" s="11">
        <f ca="1">IFERROR(OFFSET(ITEM_RES!$A$1,MATCH(AY404,ITEM_RES!$J:$J,0)-1,0),0)</f>
        <v>211020101</v>
      </c>
      <c r="AY404" s="10" t="s">
        <v>448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422</v>
      </c>
      <c r="L405" s="16">
        <v>8</v>
      </c>
      <c r="M405" s="16">
        <v>1</v>
      </c>
      <c r="N405" s="16">
        <v>15</v>
      </c>
      <c r="O405" s="16" t="s">
        <v>1102</v>
      </c>
      <c r="P405" s="17"/>
      <c r="Q405" s="17"/>
      <c r="R405" s="18"/>
      <c r="S405" s="16" t="s">
        <v>707</v>
      </c>
      <c r="T405" s="78"/>
      <c r="U405" s="86" t="s">
        <v>553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548</v>
      </c>
      <c r="Y405" s="16">
        <f ca="1">IFERROR(OFFSET(ITEM_RES!$A$5,MATCH(BUILDING!X405,ITEM_RES!$J$5:$J$229,0)-1,0),0)</f>
        <v>211020501</v>
      </c>
      <c r="Z405" s="78"/>
      <c r="AA405" s="16" t="s">
        <v>526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436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437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452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422</v>
      </c>
      <c r="M406" s="9">
        <v>1</v>
      </c>
      <c r="N406" s="9">
        <v>15</v>
      </c>
      <c r="O406" s="9" t="s">
        <v>1102</v>
      </c>
      <c r="S406" s="9" t="s">
        <v>707</v>
      </c>
      <c r="U406" s="84" t="s">
        <v>553</v>
      </c>
      <c r="V406" s="9">
        <f ca="1">IFERROR(OFFSET(ITEM_RES!$A$5,MATCH(BUILDING!U406,ITEM_RES!$J$5:$J$229,0)-1,0),0)</f>
        <v>211020401</v>
      </c>
      <c r="W406" s="11">
        <v>1</v>
      </c>
      <c r="X406" s="84" t="s">
        <v>548</v>
      </c>
      <c r="Y406" s="9">
        <f ca="1">IFERROR(OFFSET(ITEM_RES!$A$5,MATCH(BUILDING!X406,ITEM_RES!$J$5:$J$229,0)-1,0),0)</f>
        <v>211020501</v>
      </c>
      <c r="AA406" s="9" t="s">
        <v>526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436</v>
      </c>
      <c r="AU406" s="11">
        <v>1</v>
      </c>
      <c r="AX406" s="11">
        <f ca="1">IFERROR(OFFSET(ITEM_RES!$A$1,MATCH(AY406,ITEM_RES!$J:$J,0)-1,0),0)</f>
        <v>211020801</v>
      </c>
      <c r="AY406" s="10" t="s">
        <v>437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422</v>
      </c>
      <c r="M407" s="9">
        <v>1</v>
      </c>
      <c r="N407" s="9">
        <v>15</v>
      </c>
      <c r="O407" s="9" t="s">
        <v>1102</v>
      </c>
      <c r="S407" s="9" t="s">
        <v>707</v>
      </c>
      <c r="U407" s="84" t="s">
        <v>553</v>
      </c>
      <c r="V407" s="9">
        <f ca="1">IFERROR(OFFSET(ITEM_RES!$A$5,MATCH(BUILDING!U407,ITEM_RES!$J$5:$J$229,0)-1,0),0)</f>
        <v>211020401</v>
      </c>
      <c r="W407" s="11">
        <v>1</v>
      </c>
      <c r="X407" s="84" t="s">
        <v>548</v>
      </c>
      <c r="Y407" s="9">
        <f ca="1">IFERROR(OFFSET(ITEM_RES!$A$5,MATCH(BUILDING!X407,ITEM_RES!$J$5:$J$229,0)-1,0),0)</f>
        <v>211020501</v>
      </c>
      <c r="AA407" s="9" t="s">
        <v>526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436</v>
      </c>
      <c r="AU407" s="11">
        <v>1</v>
      </c>
      <c r="AX407" s="11">
        <f ca="1">IFERROR(OFFSET(ITEM_RES!$A$1,MATCH(AY407,ITEM_RES!$J:$J,0)-1,0),0)</f>
        <v>211020801</v>
      </c>
      <c r="AY407" s="10" t="s">
        <v>437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422</v>
      </c>
      <c r="M408" s="9">
        <v>1</v>
      </c>
      <c r="N408" s="9">
        <v>15</v>
      </c>
      <c r="O408" s="9" t="s">
        <v>1102</v>
      </c>
      <c r="S408" s="9" t="s">
        <v>707</v>
      </c>
      <c r="U408" s="84" t="s">
        <v>553</v>
      </c>
      <c r="V408" s="9">
        <f ca="1">IFERROR(OFFSET(ITEM_RES!$A$5,MATCH(BUILDING!U408,ITEM_RES!$J$5:$J$229,0)-1,0),0)</f>
        <v>211020401</v>
      </c>
      <c r="W408" s="11">
        <v>1</v>
      </c>
      <c r="X408" s="84" t="s">
        <v>548</v>
      </c>
      <c r="Y408" s="9">
        <f ca="1">IFERROR(OFFSET(ITEM_RES!$A$5,MATCH(BUILDING!X408,ITEM_RES!$J$5:$J$229,0)-1,0),0)</f>
        <v>211020501</v>
      </c>
      <c r="AA408" s="9" t="s">
        <v>526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436</v>
      </c>
      <c r="AU408" s="11">
        <v>1</v>
      </c>
      <c r="AX408" s="11">
        <f ca="1">IFERROR(OFFSET(ITEM_RES!$A$1,MATCH(AY408,ITEM_RES!$J:$J,0)-1,0),0)</f>
        <v>211020801</v>
      </c>
      <c r="AY408" s="10" t="s">
        <v>437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422</v>
      </c>
      <c r="M409" s="9">
        <v>1</v>
      </c>
      <c r="N409" s="9">
        <v>15</v>
      </c>
      <c r="O409" s="9" t="s">
        <v>1102</v>
      </c>
      <c r="S409" s="9" t="s">
        <v>707</v>
      </c>
      <c r="U409" s="84" t="s">
        <v>553</v>
      </c>
      <c r="V409" s="9">
        <f ca="1">IFERROR(OFFSET(ITEM_RES!$A$5,MATCH(BUILDING!U409,ITEM_RES!$J$5:$J$229,0)-1,0),0)</f>
        <v>211020401</v>
      </c>
      <c r="W409" s="11">
        <v>1</v>
      </c>
      <c r="X409" s="84" t="s">
        <v>548</v>
      </c>
      <c r="Y409" s="9">
        <f ca="1">IFERROR(OFFSET(ITEM_RES!$A$5,MATCH(BUILDING!X409,ITEM_RES!$J$5:$J$229,0)-1,0),0)</f>
        <v>211020501</v>
      </c>
      <c r="AA409" s="9" t="s">
        <v>526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436</v>
      </c>
      <c r="AU409" s="11">
        <v>1</v>
      </c>
      <c r="AX409" s="11">
        <f ca="1">IFERROR(OFFSET(ITEM_RES!$A$1,MATCH(AY409,ITEM_RES!$J:$J,0)-1,0),0)</f>
        <v>211020801</v>
      </c>
      <c r="AY409" s="10" t="s">
        <v>437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422</v>
      </c>
      <c r="M410" s="9">
        <v>1</v>
      </c>
      <c r="N410" s="9">
        <v>15</v>
      </c>
      <c r="O410" s="9" t="s">
        <v>1102</v>
      </c>
      <c r="S410" s="9" t="s">
        <v>707</v>
      </c>
      <c r="U410" s="84" t="s">
        <v>553</v>
      </c>
      <c r="V410" s="9">
        <f ca="1">IFERROR(OFFSET(ITEM_RES!$A$5,MATCH(BUILDING!U410,ITEM_RES!$J$5:$J$229,0)-1,0),0)</f>
        <v>211020401</v>
      </c>
      <c r="W410" s="11">
        <v>1</v>
      </c>
      <c r="X410" s="84" t="s">
        <v>548</v>
      </c>
      <c r="Y410" s="9">
        <f ca="1">IFERROR(OFFSET(ITEM_RES!$A$5,MATCH(BUILDING!X410,ITEM_RES!$J$5:$J$229,0)-1,0),0)</f>
        <v>211020501</v>
      </c>
      <c r="AA410" s="9" t="s">
        <v>526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436</v>
      </c>
      <c r="AU410" s="11">
        <v>1</v>
      </c>
      <c r="AX410" s="11">
        <f ca="1">IFERROR(OFFSET(ITEM_RES!$A$1,MATCH(AY410,ITEM_RES!$J:$J,0)-1,0),0)</f>
        <v>211020801</v>
      </c>
      <c r="AY410" s="10" t="s">
        <v>437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469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422</v>
      </c>
      <c r="M411" s="9">
        <v>1</v>
      </c>
      <c r="N411" s="9">
        <v>15</v>
      </c>
      <c r="O411" s="9" t="s">
        <v>1102</v>
      </c>
      <c r="S411" s="9" t="s">
        <v>707</v>
      </c>
      <c r="U411" s="84" t="s">
        <v>553</v>
      </c>
      <c r="V411" s="9">
        <f ca="1">IFERROR(OFFSET(ITEM_RES!$A$5,MATCH(BUILDING!U411,ITEM_RES!$J$5:$J$229,0)-1,0),0)</f>
        <v>211020401</v>
      </c>
      <c r="W411" s="11">
        <v>1</v>
      </c>
      <c r="X411" s="84" t="s">
        <v>548</v>
      </c>
      <c r="Y411" s="9">
        <f ca="1">IFERROR(OFFSET(ITEM_RES!$A$5,MATCH(BUILDING!X411,ITEM_RES!$J$5:$J$229,0)-1,0),0)</f>
        <v>211020501</v>
      </c>
      <c r="AA411" s="9" t="s">
        <v>526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436</v>
      </c>
      <c r="AU411" s="11">
        <v>1</v>
      </c>
      <c r="AX411" s="11">
        <f ca="1">IFERROR(OFFSET(ITEM_RES!$A$1,MATCH(AY411,ITEM_RES!$J:$J,0)-1,0),0)</f>
        <v>211020801</v>
      </c>
      <c r="AY411" s="10" t="s">
        <v>437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422</v>
      </c>
      <c r="M412" s="9">
        <v>1</v>
      </c>
      <c r="N412" s="9">
        <v>15</v>
      </c>
      <c r="O412" s="9" t="s">
        <v>1102</v>
      </c>
      <c r="S412" s="9" t="s">
        <v>707</v>
      </c>
      <c r="U412" s="84" t="s">
        <v>553</v>
      </c>
      <c r="V412" s="9">
        <f ca="1">IFERROR(OFFSET(ITEM_RES!$A$5,MATCH(BUILDING!U412,ITEM_RES!$J$5:$J$229,0)-1,0),0)</f>
        <v>211020401</v>
      </c>
      <c r="W412" s="11">
        <v>1</v>
      </c>
      <c r="X412" s="84" t="s">
        <v>548</v>
      </c>
      <c r="Y412" s="9">
        <f ca="1">IFERROR(OFFSET(ITEM_RES!$A$5,MATCH(BUILDING!X412,ITEM_RES!$J$5:$J$229,0)-1,0),0)</f>
        <v>211020501</v>
      </c>
      <c r="AA412" s="9" t="s">
        <v>526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436</v>
      </c>
      <c r="AU412" s="11">
        <v>1</v>
      </c>
      <c r="AX412" s="11">
        <f ca="1">IFERROR(OFFSET(ITEM_RES!$A$1,MATCH(AY412,ITEM_RES!$J:$J,0)-1,0),0)</f>
        <v>211020801</v>
      </c>
      <c r="AY412" s="10" t="s">
        <v>437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422</v>
      </c>
      <c r="M413" s="9">
        <v>1</v>
      </c>
      <c r="N413" s="9">
        <v>15</v>
      </c>
      <c r="O413" s="9" t="s">
        <v>1102</v>
      </c>
      <c r="S413" s="9" t="s">
        <v>707</v>
      </c>
      <c r="U413" s="84" t="s">
        <v>553</v>
      </c>
      <c r="V413" s="9">
        <f ca="1">IFERROR(OFFSET(ITEM_RES!$A$5,MATCH(BUILDING!U413,ITEM_RES!$J$5:$J$229,0)-1,0),0)</f>
        <v>211020401</v>
      </c>
      <c r="W413" s="11">
        <v>1</v>
      </c>
      <c r="X413" s="84" t="s">
        <v>548</v>
      </c>
      <c r="Y413" s="9">
        <f ca="1">IFERROR(OFFSET(ITEM_RES!$A$5,MATCH(BUILDING!X413,ITEM_RES!$J$5:$J$229,0)-1,0),0)</f>
        <v>211020501</v>
      </c>
      <c r="AA413" s="9" t="s">
        <v>526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436</v>
      </c>
      <c r="AU413" s="11">
        <v>1</v>
      </c>
      <c r="AX413" s="11">
        <f ca="1">IFERROR(OFFSET(ITEM_RES!$A$1,MATCH(AY413,ITEM_RES!$J:$J,0)-1,0),0)</f>
        <v>211020801</v>
      </c>
      <c r="AY413" s="10" t="s">
        <v>437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422</v>
      </c>
      <c r="M414" s="9">
        <v>1</v>
      </c>
      <c r="N414" s="9">
        <v>15</v>
      </c>
      <c r="O414" s="9" t="s">
        <v>1102</v>
      </c>
      <c r="S414" s="9" t="s">
        <v>707</v>
      </c>
      <c r="U414" s="84" t="s">
        <v>553</v>
      </c>
      <c r="V414" s="9">
        <f ca="1">IFERROR(OFFSET(ITEM_RES!$A$5,MATCH(BUILDING!U414,ITEM_RES!$J$5:$J$229,0)-1,0),0)</f>
        <v>211020401</v>
      </c>
      <c r="W414" s="11">
        <v>1</v>
      </c>
      <c r="X414" s="84" t="s">
        <v>548</v>
      </c>
      <c r="Y414" s="9">
        <f ca="1">IFERROR(OFFSET(ITEM_RES!$A$5,MATCH(BUILDING!X414,ITEM_RES!$J$5:$J$229,0)-1,0),0)</f>
        <v>211020501</v>
      </c>
      <c r="AA414" s="9" t="s">
        <v>526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436</v>
      </c>
      <c r="AU414" s="11">
        <v>1</v>
      </c>
      <c r="AX414" s="11">
        <f ca="1">IFERROR(OFFSET(ITEM_RES!$A$1,MATCH(AY414,ITEM_RES!$J:$J,0)-1,0),0)</f>
        <v>211020801</v>
      </c>
      <c r="AY414" s="10" t="s">
        <v>437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422</v>
      </c>
      <c r="M415" s="9">
        <v>1</v>
      </c>
      <c r="N415" s="9">
        <v>15</v>
      </c>
      <c r="O415" s="9" t="s">
        <v>1102</v>
      </c>
      <c r="S415" s="9" t="s">
        <v>707</v>
      </c>
      <c r="U415" s="84" t="s">
        <v>553</v>
      </c>
      <c r="V415" s="9">
        <f ca="1">IFERROR(OFFSET(ITEM_RES!$A$5,MATCH(BUILDING!U415,ITEM_RES!$J$5:$J$229,0)-1,0),0)</f>
        <v>211020401</v>
      </c>
      <c r="W415" s="11">
        <v>1</v>
      </c>
      <c r="X415" s="84" t="s">
        <v>548</v>
      </c>
      <c r="Y415" s="9">
        <f ca="1">IFERROR(OFFSET(ITEM_RES!$A$5,MATCH(BUILDING!X415,ITEM_RES!$J$5:$J$229,0)-1,0),0)</f>
        <v>211020501</v>
      </c>
      <c r="AA415" s="9" t="s">
        <v>526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436</v>
      </c>
      <c r="AU415" s="11">
        <v>1</v>
      </c>
      <c r="AX415" s="11">
        <f ca="1">IFERROR(OFFSET(ITEM_RES!$A$1,MATCH(AY415,ITEM_RES!$J:$J,0)-1,0),0)</f>
        <v>211020801</v>
      </c>
      <c r="AY415" s="10" t="s">
        <v>437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422</v>
      </c>
      <c r="M416" s="9">
        <v>1</v>
      </c>
      <c r="N416" s="9">
        <v>15</v>
      </c>
      <c r="O416" s="9" t="s">
        <v>1102</v>
      </c>
      <c r="S416" s="9" t="s">
        <v>707</v>
      </c>
      <c r="U416" s="84" t="s">
        <v>553</v>
      </c>
      <c r="V416" s="9">
        <f ca="1">IFERROR(OFFSET(ITEM_RES!$A$5,MATCH(BUILDING!U416,ITEM_RES!$J$5:$J$229,0)-1,0),0)</f>
        <v>211020401</v>
      </c>
      <c r="W416" s="11">
        <v>1</v>
      </c>
      <c r="X416" s="84" t="s">
        <v>548</v>
      </c>
      <c r="Y416" s="9">
        <f ca="1">IFERROR(OFFSET(ITEM_RES!$A$5,MATCH(BUILDING!X416,ITEM_RES!$J$5:$J$229,0)-1,0),0)</f>
        <v>211020501</v>
      </c>
      <c r="AA416" s="9" t="s">
        <v>526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436</v>
      </c>
      <c r="AU416" s="11">
        <v>1</v>
      </c>
      <c r="AX416" s="11">
        <f ca="1">IFERROR(OFFSET(ITEM_RES!$A$1,MATCH(AY416,ITEM_RES!$J:$J,0)-1,0),0)</f>
        <v>211020801</v>
      </c>
      <c r="AY416" s="10" t="s">
        <v>437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422</v>
      </c>
      <c r="M417" s="9">
        <v>1</v>
      </c>
      <c r="N417" s="9">
        <v>15</v>
      </c>
      <c r="O417" s="9" t="s">
        <v>1102</v>
      </c>
      <c r="S417" s="9" t="s">
        <v>707</v>
      </c>
      <c r="U417" s="84" t="s">
        <v>553</v>
      </c>
      <c r="V417" s="9">
        <f ca="1">IFERROR(OFFSET(ITEM_RES!$A$5,MATCH(BUILDING!U417,ITEM_RES!$J$5:$J$229,0)-1,0),0)</f>
        <v>211020401</v>
      </c>
      <c r="W417" s="11">
        <v>1</v>
      </c>
      <c r="X417" s="84" t="s">
        <v>548</v>
      </c>
      <c r="Y417" s="9">
        <f ca="1">IFERROR(OFFSET(ITEM_RES!$A$5,MATCH(BUILDING!X417,ITEM_RES!$J$5:$J$229,0)-1,0),0)</f>
        <v>211020501</v>
      </c>
      <c r="AA417" s="9" t="s">
        <v>526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436</v>
      </c>
      <c r="AU417" s="11">
        <v>1</v>
      </c>
      <c r="AX417" s="11">
        <f ca="1">IFERROR(OFFSET(ITEM_RES!$A$1,MATCH(AY417,ITEM_RES!$J:$J,0)-1,0),0)</f>
        <v>211020801</v>
      </c>
      <c r="AY417" s="10" t="s">
        <v>437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422</v>
      </c>
      <c r="M418" s="9">
        <v>1</v>
      </c>
      <c r="N418" s="9">
        <v>15</v>
      </c>
      <c r="O418" s="9" t="s">
        <v>1102</v>
      </c>
      <c r="S418" s="9" t="s">
        <v>707</v>
      </c>
      <c r="U418" s="84" t="s">
        <v>553</v>
      </c>
      <c r="V418" s="9">
        <f ca="1">IFERROR(OFFSET(ITEM_RES!$A$5,MATCH(BUILDING!U418,ITEM_RES!$J$5:$J$229,0)-1,0),0)</f>
        <v>211020401</v>
      </c>
      <c r="W418" s="11">
        <v>1</v>
      </c>
      <c r="X418" s="84" t="s">
        <v>548</v>
      </c>
      <c r="Y418" s="9">
        <f ca="1">IFERROR(OFFSET(ITEM_RES!$A$5,MATCH(BUILDING!X418,ITEM_RES!$J$5:$J$229,0)-1,0),0)</f>
        <v>211020501</v>
      </c>
      <c r="AA418" s="9" t="s">
        <v>526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436</v>
      </c>
      <c r="AU418" s="11">
        <v>1</v>
      </c>
      <c r="AX418" s="11">
        <f ca="1">IFERROR(OFFSET(ITEM_RES!$A$1,MATCH(AY418,ITEM_RES!$J:$J,0)-1,0),0)</f>
        <v>211020801</v>
      </c>
      <c r="AY418" s="10" t="s">
        <v>437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422</v>
      </c>
      <c r="M419" s="9">
        <v>1</v>
      </c>
      <c r="N419" s="9">
        <v>15</v>
      </c>
      <c r="O419" s="9" t="s">
        <v>1102</v>
      </c>
      <c r="S419" s="9" t="s">
        <v>707</v>
      </c>
      <c r="U419" s="84" t="s">
        <v>553</v>
      </c>
      <c r="V419" s="9">
        <f ca="1">IFERROR(OFFSET(ITEM_RES!$A$5,MATCH(BUILDING!U419,ITEM_RES!$J$5:$J$229,0)-1,0),0)</f>
        <v>211020401</v>
      </c>
      <c r="W419" s="11">
        <v>1</v>
      </c>
      <c r="X419" s="84" t="s">
        <v>548</v>
      </c>
      <c r="Y419" s="9">
        <f ca="1">IFERROR(OFFSET(ITEM_RES!$A$5,MATCH(BUILDING!X419,ITEM_RES!$J$5:$J$229,0)-1,0),0)</f>
        <v>211020501</v>
      </c>
      <c r="AA419" s="9" t="s">
        <v>526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433</v>
      </c>
      <c r="AU419" s="11">
        <v>1</v>
      </c>
      <c r="AX419" s="11">
        <f ca="1">IFERROR(OFFSET(ITEM_RES!$A$1,MATCH(AY419,ITEM_RES!$J:$J,0)-1,0),0)</f>
        <v>211020801</v>
      </c>
      <c r="AY419" s="10" t="s">
        <v>437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422</v>
      </c>
      <c r="M420" s="9">
        <v>0</v>
      </c>
      <c r="N420" s="9">
        <v>15</v>
      </c>
      <c r="O420" s="9" t="s">
        <v>1102</v>
      </c>
      <c r="S420" s="9" t="s">
        <v>707</v>
      </c>
      <c r="U420" s="84" t="s">
        <v>553</v>
      </c>
      <c r="V420" s="9">
        <f ca="1">IFERROR(OFFSET(ITEM_RES!$A$5,MATCH(BUILDING!U420,ITEM_RES!$J$5:$J$229,0)-1,0),0)</f>
        <v>211020401</v>
      </c>
      <c r="W420" s="11">
        <v>1</v>
      </c>
      <c r="X420" s="84" t="s">
        <v>548</v>
      </c>
      <c r="Y420" s="9">
        <f ca="1">IFERROR(OFFSET(ITEM_RES!$A$5,MATCH(BUILDING!X420,ITEM_RES!$J$5:$J$229,0)-1,0),0)</f>
        <v>211020501</v>
      </c>
      <c r="AA420" s="9" t="s">
        <v>526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433</v>
      </c>
      <c r="AU420" s="11">
        <v>1</v>
      </c>
      <c r="AX420" s="11">
        <f ca="1">IFERROR(OFFSET(ITEM_RES!$A$1,MATCH(AY420,ITEM_RES!$J:$J,0)-1,0),0)</f>
        <v>211020801</v>
      </c>
      <c r="AY420" s="10" t="s">
        <v>437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422</v>
      </c>
      <c r="M421" s="9">
        <v>0</v>
      </c>
      <c r="N421" s="9">
        <v>15</v>
      </c>
      <c r="O421" s="9" t="s">
        <v>1102</v>
      </c>
      <c r="S421" s="9" t="s">
        <v>707</v>
      </c>
      <c r="U421" s="84" t="s">
        <v>553</v>
      </c>
      <c r="V421" s="9">
        <f ca="1">IFERROR(OFFSET(ITEM_RES!$A$5,MATCH(BUILDING!U421,ITEM_RES!$J$5:$J$229,0)-1,0),0)</f>
        <v>211020401</v>
      </c>
      <c r="W421" s="11">
        <v>1</v>
      </c>
      <c r="X421" s="84" t="s">
        <v>548</v>
      </c>
      <c r="Y421" s="9">
        <f ca="1">IFERROR(OFFSET(ITEM_RES!$A$5,MATCH(BUILDING!X421,ITEM_RES!$J$5:$J$229,0)-1,0),0)</f>
        <v>211020501</v>
      </c>
      <c r="AA421" s="9" t="s">
        <v>526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433</v>
      </c>
      <c r="AU421" s="11">
        <v>1</v>
      </c>
      <c r="AX421" s="11">
        <f ca="1">IFERROR(OFFSET(ITEM_RES!$A$1,MATCH(AY421,ITEM_RES!$J:$J,0)-1,0),0)</f>
        <v>211020801</v>
      </c>
      <c r="AY421" s="10" t="s">
        <v>437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422</v>
      </c>
      <c r="M422" s="9">
        <v>0</v>
      </c>
      <c r="N422" s="9">
        <v>15</v>
      </c>
      <c r="O422" s="9" t="s">
        <v>1102</v>
      </c>
      <c r="S422" s="9" t="s">
        <v>707</v>
      </c>
      <c r="U422" s="84" t="s">
        <v>553</v>
      </c>
      <c r="V422" s="9">
        <f ca="1">IFERROR(OFFSET(ITEM_RES!$A$5,MATCH(BUILDING!U422,ITEM_RES!$J$5:$J$229,0)-1,0),0)</f>
        <v>211020401</v>
      </c>
      <c r="W422" s="11">
        <v>1</v>
      </c>
      <c r="X422" s="84" t="s">
        <v>548</v>
      </c>
      <c r="Y422" s="9">
        <f ca="1">IFERROR(OFFSET(ITEM_RES!$A$5,MATCH(BUILDING!X422,ITEM_RES!$J$5:$J$229,0)-1,0),0)</f>
        <v>211020501</v>
      </c>
      <c r="AA422" s="9" t="s">
        <v>526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433</v>
      </c>
      <c r="AU422" s="11">
        <v>1</v>
      </c>
      <c r="AX422" s="11">
        <f ca="1">IFERROR(OFFSET(ITEM_RES!$A$1,MATCH(AY422,ITEM_RES!$J:$J,0)-1,0),0)</f>
        <v>211020801</v>
      </c>
      <c r="AY422" s="10" t="s">
        <v>437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422</v>
      </c>
      <c r="M423" s="9">
        <v>0</v>
      </c>
      <c r="N423" s="9">
        <v>15</v>
      </c>
      <c r="O423" s="9" t="s">
        <v>1102</v>
      </c>
      <c r="S423" s="9" t="s">
        <v>707</v>
      </c>
      <c r="U423" s="84" t="s">
        <v>553</v>
      </c>
      <c r="V423" s="9">
        <f ca="1">IFERROR(OFFSET(ITEM_RES!$A$5,MATCH(BUILDING!U423,ITEM_RES!$J$5:$J$229,0)-1,0),0)</f>
        <v>211020401</v>
      </c>
      <c r="W423" s="11">
        <v>1</v>
      </c>
      <c r="X423" s="84" t="s">
        <v>548</v>
      </c>
      <c r="Y423" s="9">
        <f ca="1">IFERROR(OFFSET(ITEM_RES!$A$5,MATCH(BUILDING!X423,ITEM_RES!$J$5:$J$229,0)-1,0),0)</f>
        <v>211020501</v>
      </c>
      <c r="AA423" s="9" t="s">
        <v>526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433</v>
      </c>
      <c r="AU423" s="11">
        <v>1</v>
      </c>
      <c r="AX423" s="11">
        <f ca="1">IFERROR(OFFSET(ITEM_RES!$A$1,MATCH(AY423,ITEM_RES!$J:$J,0)-1,0),0)</f>
        <v>211020801</v>
      </c>
      <c r="AY423" s="10" t="s">
        <v>437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422</v>
      </c>
      <c r="M424" s="9">
        <v>0</v>
      </c>
      <c r="N424" s="9">
        <v>15</v>
      </c>
      <c r="O424" s="9" t="s">
        <v>1102</v>
      </c>
      <c r="S424" s="9" t="s">
        <v>707</v>
      </c>
      <c r="U424" s="84" t="s">
        <v>553</v>
      </c>
      <c r="V424" s="9">
        <f ca="1">IFERROR(OFFSET(ITEM_RES!$A$5,MATCH(BUILDING!U424,ITEM_RES!$J$5:$J$229,0)-1,0),0)</f>
        <v>211020401</v>
      </c>
      <c r="W424" s="11">
        <v>1</v>
      </c>
      <c r="X424" s="84" t="s">
        <v>548</v>
      </c>
      <c r="Y424" s="9">
        <f ca="1">IFERROR(OFFSET(ITEM_RES!$A$5,MATCH(BUILDING!X424,ITEM_RES!$J$5:$J$229,0)-1,0),0)</f>
        <v>211020501</v>
      </c>
      <c r="AA424" s="9" t="s">
        <v>526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433</v>
      </c>
      <c r="AU424" s="11">
        <v>1</v>
      </c>
      <c r="AX424" s="11">
        <f ca="1">IFERROR(OFFSET(ITEM_RES!$A$1,MATCH(AY424,ITEM_RES!$J:$J,0)-1,0),0)</f>
        <v>211020801</v>
      </c>
      <c r="AY424" s="10" t="s">
        <v>437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532</v>
      </c>
      <c r="L425" s="16">
        <v>6</v>
      </c>
      <c r="M425" s="16">
        <v>1</v>
      </c>
      <c r="N425" s="16">
        <v>15</v>
      </c>
      <c r="O425" s="16" t="s">
        <v>1222</v>
      </c>
      <c r="P425" s="17"/>
      <c r="Q425" s="17"/>
      <c r="R425" s="18"/>
      <c r="S425" s="16" t="s">
        <v>703</v>
      </c>
      <c r="T425" s="78"/>
      <c r="U425" s="86" t="s">
        <v>547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549</v>
      </c>
      <c r="Y425" s="16">
        <f ca="1">IFERROR(OFFSET(ITEM_RES!$A$5,MATCH(BUILDING!X425,ITEM_RES!$J$5:$J$229,0)-1,0),0)</f>
        <v>211020301</v>
      </c>
      <c r="Z425" s="78"/>
      <c r="AA425" s="16" t="s">
        <v>527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430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436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452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1222</v>
      </c>
      <c r="S426" s="9" t="s">
        <v>703</v>
      </c>
      <c r="U426" s="84" t="s">
        <v>547</v>
      </c>
      <c r="V426" s="9">
        <f ca="1">IFERROR(OFFSET(ITEM_RES!$A$5,MATCH(BUILDING!U426,ITEM_RES!$J$5:$J$229,0)-1,0),0)</f>
        <v>211020201</v>
      </c>
      <c r="W426" s="11">
        <v>1</v>
      </c>
      <c r="X426" s="84" t="s">
        <v>549</v>
      </c>
      <c r="Y426" s="9">
        <f ca="1">IFERROR(OFFSET(ITEM_RES!$A$5,MATCH(BUILDING!X426,ITEM_RES!$J$5:$J$229,0)-1,0),0)</f>
        <v>211020301</v>
      </c>
      <c r="AA426" s="9" t="s">
        <v>527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430</v>
      </c>
      <c r="AU426" s="11">
        <v>20</v>
      </c>
      <c r="AX426" s="11">
        <f ca="1">IFERROR(OFFSET(ITEM_RES!$A$1,MATCH(AY426,ITEM_RES!$J:$J,0)-1,0),0)</f>
        <v>211020401</v>
      </c>
      <c r="AY426" s="10" t="s">
        <v>436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1223</v>
      </c>
      <c r="S427" s="9" t="s">
        <v>703</v>
      </c>
      <c r="U427" s="84" t="s">
        <v>547</v>
      </c>
      <c r="V427" s="9">
        <f ca="1">IFERROR(OFFSET(ITEM_RES!$A$5,MATCH(BUILDING!U427,ITEM_RES!$J$5:$J$229,0)-1,0),0)</f>
        <v>211020201</v>
      </c>
      <c r="W427" s="11">
        <v>1</v>
      </c>
      <c r="X427" s="84" t="s">
        <v>549</v>
      </c>
      <c r="Y427" s="9">
        <f ca="1">IFERROR(OFFSET(ITEM_RES!$A$5,MATCH(BUILDING!X427,ITEM_RES!$J$5:$J$229,0)-1,0),0)</f>
        <v>211020301</v>
      </c>
      <c r="AA427" s="9" t="s">
        <v>527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430</v>
      </c>
      <c r="AU427" s="11">
        <v>160</v>
      </c>
      <c r="AX427" s="11">
        <f ca="1">IFERROR(OFFSET(ITEM_RES!$A$1,MATCH(AY427,ITEM_RES!$J:$J,0)-1,0),0)</f>
        <v>211020401</v>
      </c>
      <c r="AY427" s="10" t="s">
        <v>436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1224</v>
      </c>
      <c r="S428" s="9" t="s">
        <v>703</v>
      </c>
      <c r="U428" s="84" t="s">
        <v>547</v>
      </c>
      <c r="V428" s="9">
        <f ca="1">IFERROR(OFFSET(ITEM_RES!$A$5,MATCH(BUILDING!U428,ITEM_RES!$J$5:$J$229,0)-1,0),0)</f>
        <v>211020201</v>
      </c>
      <c r="W428" s="11">
        <v>1</v>
      </c>
      <c r="X428" s="84" t="s">
        <v>549</v>
      </c>
      <c r="Y428" s="9">
        <f ca="1">IFERROR(OFFSET(ITEM_RES!$A$5,MATCH(BUILDING!X428,ITEM_RES!$J$5:$J$229,0)-1,0),0)</f>
        <v>211020301</v>
      </c>
      <c r="AA428" s="9" t="s">
        <v>527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430</v>
      </c>
      <c r="AU428" s="11">
        <v>1920</v>
      </c>
      <c r="AX428" s="11">
        <f ca="1">IFERROR(OFFSET(ITEM_RES!$A$1,MATCH(AY428,ITEM_RES!$J:$J,0)-1,0),0)</f>
        <v>211020401</v>
      </c>
      <c r="AY428" s="10" t="s">
        <v>436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1225</v>
      </c>
      <c r="S429" s="9" t="s">
        <v>703</v>
      </c>
      <c r="U429" s="84" t="s">
        <v>547</v>
      </c>
      <c r="V429" s="9">
        <f ca="1">IFERROR(OFFSET(ITEM_RES!$A$5,MATCH(BUILDING!U429,ITEM_RES!$J$5:$J$229,0)-1,0),0)</f>
        <v>211020201</v>
      </c>
      <c r="W429" s="11">
        <v>1</v>
      </c>
      <c r="X429" s="84" t="s">
        <v>549</v>
      </c>
      <c r="Y429" s="9">
        <f ca="1">IFERROR(OFFSET(ITEM_RES!$A$5,MATCH(BUILDING!X429,ITEM_RES!$J$5:$J$229,0)-1,0),0)</f>
        <v>211020301</v>
      </c>
      <c r="AA429" s="9" t="s">
        <v>527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430</v>
      </c>
      <c r="AU429" s="11">
        <v>26000</v>
      </c>
      <c r="AX429" s="11">
        <f ca="1">IFERROR(OFFSET(ITEM_RES!$A$1,MATCH(AY429,ITEM_RES!$J:$J,0)-1,0),0)</f>
        <v>211020401</v>
      </c>
      <c r="AY429" s="10" t="s">
        <v>436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1226</v>
      </c>
      <c r="S430" s="9" t="s">
        <v>703</v>
      </c>
      <c r="U430" s="84" t="s">
        <v>547</v>
      </c>
      <c r="V430" s="9">
        <f ca="1">IFERROR(OFFSET(ITEM_RES!$A$5,MATCH(BUILDING!U430,ITEM_RES!$J$5:$J$229,0)-1,0),0)</f>
        <v>211020201</v>
      </c>
      <c r="W430" s="11">
        <v>1</v>
      </c>
      <c r="X430" s="84" t="s">
        <v>549</v>
      </c>
      <c r="Y430" s="9">
        <f ca="1">IFERROR(OFFSET(ITEM_RES!$A$5,MATCH(BUILDING!X430,ITEM_RES!$J$5:$J$229,0)-1,0),0)</f>
        <v>211020301</v>
      </c>
      <c r="AA430" s="9" t="s">
        <v>527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430</v>
      </c>
      <c r="AU430" s="11">
        <v>240000</v>
      </c>
      <c r="AX430" s="11">
        <f ca="1">IFERROR(OFFSET(ITEM_RES!$A$1,MATCH(AY430,ITEM_RES!$J:$J,0)-1,0),0)</f>
        <v>211020401</v>
      </c>
      <c r="AY430" s="10" t="s">
        <v>436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1227</v>
      </c>
      <c r="S431" s="9" t="s">
        <v>703</v>
      </c>
      <c r="U431" s="84" t="s">
        <v>547</v>
      </c>
      <c r="V431" s="9">
        <f ca="1">IFERROR(OFFSET(ITEM_RES!$A$5,MATCH(BUILDING!U431,ITEM_RES!$J$5:$J$229,0)-1,0),0)</f>
        <v>211020201</v>
      </c>
      <c r="W431" s="11">
        <v>1</v>
      </c>
      <c r="X431" s="84" t="s">
        <v>549</v>
      </c>
      <c r="Y431" s="9">
        <f ca="1">IFERROR(OFFSET(ITEM_RES!$A$5,MATCH(BUILDING!X431,ITEM_RES!$J$5:$J$229,0)-1,0),0)</f>
        <v>211020301</v>
      </c>
      <c r="AA431" s="9" t="s">
        <v>527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430</v>
      </c>
      <c r="AU431" s="11">
        <v>540000</v>
      </c>
      <c r="AX431" s="11">
        <f ca="1">IFERROR(OFFSET(ITEM_RES!$A$1,MATCH(AY431,ITEM_RES!$J:$J,0)-1,0),0)</f>
        <v>211020401</v>
      </c>
      <c r="AY431" s="10" t="s">
        <v>436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1227</v>
      </c>
      <c r="S432" s="9" t="s">
        <v>703</v>
      </c>
      <c r="U432" s="84" t="s">
        <v>547</v>
      </c>
      <c r="V432" s="9">
        <f ca="1">IFERROR(OFFSET(ITEM_RES!$A$5,MATCH(BUILDING!U432,ITEM_RES!$J$5:$J$229,0)-1,0),0)</f>
        <v>211020201</v>
      </c>
      <c r="W432" s="11">
        <v>1</v>
      </c>
      <c r="X432" s="84" t="s">
        <v>549</v>
      </c>
      <c r="Y432" s="9">
        <f ca="1">IFERROR(OFFSET(ITEM_RES!$A$5,MATCH(BUILDING!X432,ITEM_RES!$J$5:$J$229,0)-1,0),0)</f>
        <v>211020301</v>
      </c>
      <c r="AA432" s="9" t="s">
        <v>527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430</v>
      </c>
      <c r="AU432" s="11">
        <v>1000000</v>
      </c>
      <c r="AX432" s="11">
        <f ca="1">IFERROR(OFFSET(ITEM_RES!$A$1,MATCH(AY432,ITEM_RES!$J:$J,0)-1,0),0)</f>
        <v>211020401</v>
      </c>
      <c r="AY432" s="10" t="s">
        <v>436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1227</v>
      </c>
      <c r="S433" s="9" t="s">
        <v>703</v>
      </c>
      <c r="U433" s="84" t="s">
        <v>547</v>
      </c>
      <c r="V433" s="9">
        <f ca="1">IFERROR(OFFSET(ITEM_RES!$A$5,MATCH(BUILDING!U433,ITEM_RES!$J$5:$J$229,0)-1,0),0)</f>
        <v>211020201</v>
      </c>
      <c r="W433" s="11">
        <v>1</v>
      </c>
      <c r="X433" s="84" t="s">
        <v>549</v>
      </c>
      <c r="Y433" s="9">
        <f ca="1">IFERROR(OFFSET(ITEM_RES!$A$5,MATCH(BUILDING!X433,ITEM_RES!$J$5:$J$229,0)-1,0),0)</f>
        <v>211020301</v>
      </c>
      <c r="AA433" s="9" t="s">
        <v>527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430</v>
      </c>
      <c r="AU433" s="11">
        <v>1580000</v>
      </c>
      <c r="AX433" s="11">
        <f ca="1">IFERROR(OFFSET(ITEM_RES!$A$1,MATCH(AY433,ITEM_RES!$J:$J,0)-1,0),0)</f>
        <v>211020401</v>
      </c>
      <c r="AY433" s="10" t="s">
        <v>436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1227</v>
      </c>
      <c r="S434" s="9" t="s">
        <v>703</v>
      </c>
      <c r="U434" s="84" t="s">
        <v>547</v>
      </c>
      <c r="V434" s="9">
        <f ca="1">IFERROR(OFFSET(ITEM_RES!$A$5,MATCH(BUILDING!U434,ITEM_RES!$J$5:$J$229,0)-1,0),0)</f>
        <v>211020201</v>
      </c>
      <c r="W434" s="11">
        <v>1</v>
      </c>
      <c r="X434" s="84" t="s">
        <v>549</v>
      </c>
      <c r="Y434" s="9">
        <f ca="1">IFERROR(OFFSET(ITEM_RES!$A$5,MATCH(BUILDING!X434,ITEM_RES!$J$5:$J$229,0)-1,0),0)</f>
        <v>211020301</v>
      </c>
      <c r="AA434" s="9" t="s">
        <v>527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430</v>
      </c>
      <c r="AU434" s="11">
        <v>2200000</v>
      </c>
      <c r="AX434" s="11">
        <f ca="1">IFERROR(OFFSET(ITEM_RES!$A$1,MATCH(AY434,ITEM_RES!$J:$J,0)-1,0),0)</f>
        <v>211020401</v>
      </c>
      <c r="AY434" s="10" t="s">
        <v>436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1227</v>
      </c>
      <c r="S435" s="9" t="s">
        <v>703</v>
      </c>
      <c r="U435" s="84" t="s">
        <v>547</v>
      </c>
      <c r="V435" s="9">
        <f ca="1">IFERROR(OFFSET(ITEM_RES!$A$5,MATCH(BUILDING!U435,ITEM_RES!$J$5:$J$229,0)-1,0),0)</f>
        <v>211020201</v>
      </c>
      <c r="W435" s="11">
        <v>1</v>
      </c>
      <c r="X435" s="84" t="s">
        <v>549</v>
      </c>
      <c r="Y435" s="9">
        <f ca="1">IFERROR(OFFSET(ITEM_RES!$A$5,MATCH(BUILDING!X435,ITEM_RES!$J$5:$J$229,0)-1,0),0)</f>
        <v>211020301</v>
      </c>
      <c r="AA435" s="9" t="s">
        <v>527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430</v>
      </c>
      <c r="AU435" s="11">
        <v>4400000</v>
      </c>
      <c r="AX435" s="11">
        <f ca="1">IFERROR(OFFSET(ITEM_RES!$A$1,MATCH(AY435,ITEM_RES!$J:$J,0)-1,0),0)</f>
        <v>211020401</v>
      </c>
      <c r="AY435" s="10" t="s">
        <v>436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467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1227</v>
      </c>
      <c r="S436" s="9" t="s">
        <v>703</v>
      </c>
      <c r="U436" s="84" t="s">
        <v>547</v>
      </c>
      <c r="V436" s="9">
        <f ca="1">IFERROR(OFFSET(ITEM_RES!$A$5,MATCH(BUILDING!U436,ITEM_RES!$J$5:$J$229,0)-1,0),0)</f>
        <v>211020201</v>
      </c>
      <c r="W436" s="11">
        <v>1</v>
      </c>
      <c r="X436" s="84" t="s">
        <v>549</v>
      </c>
      <c r="Y436" s="9">
        <f ca="1">IFERROR(OFFSET(ITEM_RES!$A$5,MATCH(BUILDING!X436,ITEM_RES!$J$5:$J$229,0)-1,0),0)</f>
        <v>211020301</v>
      </c>
      <c r="AA436" s="9" t="s">
        <v>527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430</v>
      </c>
      <c r="AU436" s="11">
        <v>5200000</v>
      </c>
      <c r="AX436" s="11">
        <f ca="1">IFERROR(OFFSET(ITEM_RES!$A$1,MATCH(AY436,ITEM_RES!$J:$J,0)-1,0),0)</f>
        <v>211020401</v>
      </c>
      <c r="AY436" s="10" t="s">
        <v>436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1227</v>
      </c>
      <c r="S437" s="9" t="s">
        <v>703</v>
      </c>
      <c r="U437" s="84" t="s">
        <v>547</v>
      </c>
      <c r="V437" s="9">
        <f ca="1">IFERROR(OFFSET(ITEM_RES!$A$5,MATCH(BUILDING!U437,ITEM_RES!$J$5:$J$229,0)-1,0),0)</f>
        <v>211020201</v>
      </c>
      <c r="W437" s="11">
        <v>1</v>
      </c>
      <c r="X437" s="84" t="s">
        <v>549</v>
      </c>
      <c r="Y437" s="9">
        <f ca="1">IFERROR(OFFSET(ITEM_RES!$A$5,MATCH(BUILDING!X437,ITEM_RES!$J$5:$J$229,0)-1,0),0)</f>
        <v>211020301</v>
      </c>
      <c r="AA437" s="9" t="s">
        <v>527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430</v>
      </c>
      <c r="AU437" s="11">
        <v>8600000</v>
      </c>
      <c r="AX437" s="11">
        <f ca="1">IFERROR(OFFSET(ITEM_RES!$A$1,MATCH(AY437,ITEM_RES!$J:$J,0)-1,0),0)</f>
        <v>211020401</v>
      </c>
      <c r="AY437" s="10" t="s">
        <v>436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1227</v>
      </c>
      <c r="S438" s="9" t="s">
        <v>703</v>
      </c>
      <c r="U438" s="84" t="s">
        <v>547</v>
      </c>
      <c r="V438" s="9">
        <f ca="1">IFERROR(OFFSET(ITEM_RES!$A$5,MATCH(BUILDING!U438,ITEM_RES!$J$5:$J$229,0)-1,0),0)</f>
        <v>211020201</v>
      </c>
      <c r="W438" s="11">
        <v>1</v>
      </c>
      <c r="X438" s="84" t="s">
        <v>549</v>
      </c>
      <c r="Y438" s="9">
        <f ca="1">IFERROR(OFFSET(ITEM_RES!$A$5,MATCH(BUILDING!X438,ITEM_RES!$J$5:$J$229,0)-1,0),0)</f>
        <v>211020301</v>
      </c>
      <c r="AA438" s="9" t="s">
        <v>527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1159</v>
      </c>
      <c r="AU438" s="11">
        <v>13200000</v>
      </c>
      <c r="AX438" s="11">
        <f ca="1">IFERROR(OFFSET(ITEM_RES!$A$1,MATCH(AY438,ITEM_RES!$J:$J,0)-1,0),0)</f>
        <v>211020401</v>
      </c>
      <c r="AY438" s="10" t="s">
        <v>436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1227</v>
      </c>
      <c r="S439" s="9" t="s">
        <v>703</v>
      </c>
      <c r="U439" s="84" t="s">
        <v>547</v>
      </c>
      <c r="V439" s="9">
        <f ca="1">IFERROR(OFFSET(ITEM_RES!$A$5,MATCH(BUILDING!U439,ITEM_RES!$J$5:$J$229,0)-1,0),0)</f>
        <v>211020201</v>
      </c>
      <c r="W439" s="11">
        <v>1</v>
      </c>
      <c r="X439" s="84" t="s">
        <v>549</v>
      </c>
      <c r="Y439" s="9">
        <f ca="1">IFERROR(OFFSET(ITEM_RES!$A$5,MATCH(BUILDING!X439,ITEM_RES!$J$5:$J$229,0)-1,0),0)</f>
        <v>211020301</v>
      </c>
      <c r="AA439" s="9" t="s">
        <v>527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1159</v>
      </c>
      <c r="AU439" s="11">
        <v>22000000</v>
      </c>
      <c r="AX439" s="11">
        <f ca="1">IFERROR(OFFSET(ITEM_RES!$A$1,MATCH(AY439,ITEM_RES!$J:$J,0)-1,0),0)</f>
        <v>211020501</v>
      </c>
      <c r="AY439" s="10" t="s">
        <v>425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1227</v>
      </c>
      <c r="S440" s="9" t="s">
        <v>703</v>
      </c>
      <c r="U440" s="84" t="s">
        <v>547</v>
      </c>
      <c r="V440" s="9">
        <f ca="1">IFERROR(OFFSET(ITEM_RES!$A$5,MATCH(BUILDING!U440,ITEM_RES!$J$5:$J$229,0)-1,0),0)</f>
        <v>211020201</v>
      </c>
      <c r="W440" s="11">
        <v>1</v>
      </c>
      <c r="X440" s="84" t="s">
        <v>549</v>
      </c>
      <c r="Y440" s="9">
        <f ca="1">IFERROR(OFFSET(ITEM_RES!$A$5,MATCH(BUILDING!X440,ITEM_RES!$J$5:$J$229,0)-1,0),0)</f>
        <v>211020301</v>
      </c>
      <c r="AA440" s="9" t="s">
        <v>527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1159</v>
      </c>
      <c r="AU440" s="11">
        <v>30000000</v>
      </c>
      <c r="AX440" s="11">
        <f ca="1">IFERROR(OFFSET(ITEM_RES!$A$1,MATCH(AY440,ITEM_RES!$J:$J,0)-1,0),0)</f>
        <v>211020501</v>
      </c>
      <c r="AY440" s="10" t="s">
        <v>425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1227</v>
      </c>
      <c r="S441" s="9" t="s">
        <v>703</v>
      </c>
      <c r="U441" s="84" t="s">
        <v>547</v>
      </c>
      <c r="V441" s="9">
        <f ca="1">IFERROR(OFFSET(ITEM_RES!$A$5,MATCH(BUILDING!U441,ITEM_RES!$J$5:$J$229,0)-1,0),0)</f>
        <v>211020201</v>
      </c>
      <c r="W441" s="11">
        <v>1</v>
      </c>
      <c r="X441" s="84" t="s">
        <v>549</v>
      </c>
      <c r="Y441" s="9">
        <f ca="1">IFERROR(OFFSET(ITEM_RES!$A$5,MATCH(BUILDING!X441,ITEM_RES!$J$5:$J$229,0)-1,0),0)</f>
        <v>211020301</v>
      </c>
      <c r="AA441" s="9" t="s">
        <v>527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1159</v>
      </c>
      <c r="AU441" s="11">
        <v>46000000</v>
      </c>
      <c r="AX441" s="11">
        <f ca="1">IFERROR(OFFSET(ITEM_RES!$A$1,MATCH(AY441,ITEM_RES!$J:$J,0)-1,0),0)</f>
        <v>211020501</v>
      </c>
      <c r="AY441" s="10" t="s">
        <v>425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1227</v>
      </c>
      <c r="S442" s="9" t="s">
        <v>703</v>
      </c>
      <c r="U442" s="84" t="s">
        <v>547</v>
      </c>
      <c r="V442" s="9">
        <f ca="1">IFERROR(OFFSET(ITEM_RES!$A$5,MATCH(BUILDING!U442,ITEM_RES!$J$5:$J$229,0)-1,0),0)</f>
        <v>211020201</v>
      </c>
      <c r="W442" s="11">
        <v>1</v>
      </c>
      <c r="X442" s="84" t="s">
        <v>549</v>
      </c>
      <c r="Y442" s="9">
        <f ca="1">IFERROR(OFFSET(ITEM_RES!$A$5,MATCH(BUILDING!X442,ITEM_RES!$J$5:$J$229,0)-1,0),0)</f>
        <v>211020301</v>
      </c>
      <c r="AA442" s="9" t="s">
        <v>527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1159</v>
      </c>
      <c r="AU442" s="11">
        <v>70000000</v>
      </c>
      <c r="AX442" s="11">
        <f ca="1">IFERROR(OFFSET(ITEM_RES!$A$1,MATCH(AY442,ITEM_RES!$J:$J,0)-1,0),0)</f>
        <v>211020501</v>
      </c>
      <c r="AY442" s="10" t="s">
        <v>425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1227</v>
      </c>
      <c r="S443" s="9" t="s">
        <v>703</v>
      </c>
      <c r="U443" s="84" t="s">
        <v>547</v>
      </c>
      <c r="V443" s="9">
        <f ca="1">IFERROR(OFFSET(ITEM_RES!$A$5,MATCH(BUILDING!U443,ITEM_RES!$J$5:$J$229,0)-1,0),0)</f>
        <v>211020201</v>
      </c>
      <c r="W443" s="11">
        <v>1</v>
      </c>
      <c r="X443" s="84" t="s">
        <v>549</v>
      </c>
      <c r="Y443" s="9">
        <f ca="1">IFERROR(OFFSET(ITEM_RES!$A$5,MATCH(BUILDING!X443,ITEM_RES!$J$5:$J$229,0)-1,0),0)</f>
        <v>211020301</v>
      </c>
      <c r="AA443" s="9" t="s">
        <v>527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1159</v>
      </c>
      <c r="AU443" s="11">
        <v>96000000</v>
      </c>
      <c r="AX443" s="11">
        <f ca="1">IFERROR(OFFSET(ITEM_RES!$A$1,MATCH(AY443,ITEM_RES!$J:$J,0)-1,0),0)</f>
        <v>211020501</v>
      </c>
      <c r="AY443" s="10" t="s">
        <v>425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1227</v>
      </c>
      <c r="S444" s="9" t="s">
        <v>703</v>
      </c>
      <c r="U444" s="84" t="s">
        <v>547</v>
      </c>
      <c r="V444" s="9">
        <f ca="1">IFERROR(OFFSET(ITEM_RES!$A$5,MATCH(BUILDING!U444,ITEM_RES!$J$5:$J$229,0)-1,0),0)</f>
        <v>211020201</v>
      </c>
      <c r="W444" s="11">
        <v>1</v>
      </c>
      <c r="X444" s="84" t="s">
        <v>549</v>
      </c>
      <c r="Y444" s="9">
        <f ca="1">IFERROR(OFFSET(ITEM_RES!$A$5,MATCH(BUILDING!X444,ITEM_RES!$J$5:$J$229,0)-1,0),0)</f>
        <v>211020301</v>
      </c>
      <c r="AA444" s="9" t="s">
        <v>527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1159</v>
      </c>
      <c r="AU444" s="11">
        <v>152000000</v>
      </c>
      <c r="AX444" s="11">
        <f ca="1">IFERROR(OFFSET(ITEM_RES!$A$1,MATCH(AY444,ITEM_RES!$J:$J,0)-1,0),0)</f>
        <v>211020501</v>
      </c>
      <c r="AY444" s="10" t="s">
        <v>425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438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704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528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436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452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438</v>
      </c>
      <c r="M446" s="9">
        <v>1</v>
      </c>
      <c r="N446" s="9">
        <v>15</v>
      </c>
      <c r="O446" s="141"/>
      <c r="S446" s="9" t="s">
        <v>704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528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436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438</v>
      </c>
      <c r="M447" s="9">
        <v>1</v>
      </c>
      <c r="N447" s="9">
        <v>15</v>
      </c>
      <c r="O447" s="141"/>
      <c r="S447" s="9" t="s">
        <v>704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528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436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438</v>
      </c>
      <c r="M448" s="9">
        <v>1</v>
      </c>
      <c r="N448" s="9">
        <v>15</v>
      </c>
      <c r="O448" s="141"/>
      <c r="S448" s="9" t="s">
        <v>704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528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436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438</v>
      </c>
      <c r="M449" s="9">
        <v>1</v>
      </c>
      <c r="N449" s="9">
        <v>15</v>
      </c>
      <c r="O449" s="141"/>
      <c r="S449" s="9" t="s">
        <v>704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528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436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438</v>
      </c>
      <c r="M450" s="9">
        <v>1</v>
      </c>
      <c r="N450" s="9">
        <v>15</v>
      </c>
      <c r="O450" s="141"/>
      <c r="S450" s="9" t="s">
        <v>704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528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436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438</v>
      </c>
      <c r="M451" s="9">
        <v>1</v>
      </c>
      <c r="N451" s="9">
        <v>15</v>
      </c>
      <c r="O451" s="141"/>
      <c r="S451" s="9" t="s">
        <v>704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528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436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705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528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433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705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528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433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705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528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433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705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528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433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705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528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433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705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528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433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470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705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528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433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705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528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433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705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528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433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705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528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433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705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528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433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705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528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433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705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528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433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1230</v>
      </c>
      <c r="P465" s="17"/>
      <c r="Q465" s="17"/>
      <c r="R465" s="18"/>
      <c r="S465" s="16" t="s">
        <v>706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529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437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1152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452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1228</v>
      </c>
      <c r="S466" s="9" t="s">
        <v>706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529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437</v>
      </c>
      <c r="AU466" s="11">
        <v>1</v>
      </c>
      <c r="AX466" s="11">
        <f ca="1">IFERROR(OFFSET(ITEM_RES!$A$1,MATCH(AY466,ITEM_RES!$J:$J,0)-1,0),0)</f>
        <v>211020401</v>
      </c>
      <c r="AY466" s="10" t="s">
        <v>1152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1229</v>
      </c>
      <c r="S467" s="9" t="s">
        <v>706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529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437</v>
      </c>
      <c r="AU467" s="11">
        <v>1</v>
      </c>
      <c r="AX467" s="11">
        <f ca="1">IFERROR(OFFSET(ITEM_RES!$A$1,MATCH(AY467,ITEM_RES!$J:$J,0)-1,0),0)</f>
        <v>211020401</v>
      </c>
      <c r="AY467" s="10" t="s">
        <v>1152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1229</v>
      </c>
      <c r="S468" s="9" t="s">
        <v>706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529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437</v>
      </c>
      <c r="AU468" s="11">
        <v>1</v>
      </c>
      <c r="AX468" s="11">
        <f ca="1">IFERROR(OFFSET(ITEM_RES!$A$1,MATCH(AY468,ITEM_RES!$J:$J,0)-1,0),0)</f>
        <v>211020401</v>
      </c>
      <c r="AY468" s="10" t="s">
        <v>1152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1231</v>
      </c>
      <c r="S469" s="9" t="s">
        <v>706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529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437</v>
      </c>
      <c r="AU469" s="11">
        <v>1</v>
      </c>
      <c r="AX469" s="11">
        <f ca="1">IFERROR(OFFSET(ITEM_RES!$A$1,MATCH(AY469,ITEM_RES!$J:$J,0)-1,0),0)</f>
        <v>211020401</v>
      </c>
      <c r="AY469" s="10" t="s">
        <v>1152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1231</v>
      </c>
      <c r="S470" s="9" t="s">
        <v>706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529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446</v>
      </c>
      <c r="AU470" s="11">
        <v>1</v>
      </c>
      <c r="AX470" s="11">
        <f ca="1">IFERROR(OFFSET(ITEM_RES!$A$1,MATCH(AY470,ITEM_RES!$J:$J,0)-1,0),0)</f>
        <v>211020401</v>
      </c>
      <c r="AY470" s="10" t="s">
        <v>1152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1232</v>
      </c>
      <c r="S471" s="9" t="s">
        <v>706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529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437</v>
      </c>
      <c r="AU471" s="11">
        <v>1</v>
      </c>
      <c r="AX471" s="11">
        <f ca="1">IFERROR(OFFSET(ITEM_RES!$A$1,MATCH(AY471,ITEM_RES!$J:$J,0)-1,0),0)</f>
        <v>211020401</v>
      </c>
      <c r="AY471" s="10" t="s">
        <v>1152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1232</v>
      </c>
      <c r="S472" s="9" t="s">
        <v>706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529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437</v>
      </c>
      <c r="AU472" s="11">
        <v>1</v>
      </c>
      <c r="AX472" s="11">
        <f ca="1">IFERROR(OFFSET(ITEM_RES!$A$1,MATCH(AY472,ITEM_RES!$J:$J,0)-1,0),0)</f>
        <v>211020401</v>
      </c>
      <c r="AY472" s="10" t="s">
        <v>1152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1232</v>
      </c>
      <c r="S473" s="9" t="s">
        <v>706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529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447</v>
      </c>
      <c r="AU473" s="11">
        <v>1</v>
      </c>
      <c r="AX473" s="11">
        <f ca="1">IFERROR(OFFSET(ITEM_RES!$A$1,MATCH(AY473,ITEM_RES!$J:$J,0)-1,0),0)</f>
        <v>211020401</v>
      </c>
      <c r="AY473" s="10" t="s">
        <v>1152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1232</v>
      </c>
      <c r="S474" s="9" t="s">
        <v>706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529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447</v>
      </c>
      <c r="AU474" s="11">
        <v>1</v>
      </c>
      <c r="AX474" s="11">
        <f ca="1">IFERROR(OFFSET(ITEM_RES!$A$1,MATCH(AY474,ITEM_RES!$J:$J,0)-1,0),0)</f>
        <v>211020401</v>
      </c>
      <c r="AY474" s="10" t="s">
        <v>1152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1232</v>
      </c>
      <c r="S475" s="9" t="s">
        <v>706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529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447</v>
      </c>
      <c r="AU475" s="11">
        <v>1</v>
      </c>
      <c r="AX475" s="11">
        <f ca="1">IFERROR(OFFSET(ITEM_RES!$A$1,MATCH(AY475,ITEM_RES!$J:$J,0)-1,0),0)</f>
        <v>211020401</v>
      </c>
      <c r="AY475" s="10" t="s">
        <v>1152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1232</v>
      </c>
      <c r="S476" s="9" t="s">
        <v>706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529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447</v>
      </c>
      <c r="AU476" s="11">
        <v>1</v>
      </c>
      <c r="AX476" s="11">
        <f ca="1">IFERROR(OFFSET(ITEM_RES!$A$1,MATCH(AY476,ITEM_RES!$J:$J,0)-1,0),0)</f>
        <v>211020401</v>
      </c>
      <c r="AY476" s="10" t="s">
        <v>1152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471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1232</v>
      </c>
      <c r="S477" s="9" t="s">
        <v>706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529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447</v>
      </c>
      <c r="AU477" s="11">
        <v>1</v>
      </c>
      <c r="AX477" s="11">
        <f ca="1">IFERROR(OFFSET(ITEM_RES!$A$1,MATCH(AY477,ITEM_RES!$J:$J,0)-1,0),0)</f>
        <v>211020401</v>
      </c>
      <c r="AY477" s="10" t="s">
        <v>1152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1232</v>
      </c>
      <c r="S478" s="9" t="s">
        <v>706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529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447</v>
      </c>
      <c r="AU478" s="11">
        <v>1</v>
      </c>
      <c r="AX478" s="11">
        <f ca="1">IFERROR(OFFSET(ITEM_RES!$A$1,MATCH(AY478,ITEM_RES!$J:$J,0)-1,0),0)</f>
        <v>211020501</v>
      </c>
      <c r="AY478" s="10" t="s">
        <v>1156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1232</v>
      </c>
      <c r="S479" s="9" t="s">
        <v>706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529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447</v>
      </c>
      <c r="AU479" s="11">
        <v>1</v>
      </c>
      <c r="AX479" s="11">
        <f ca="1">IFERROR(OFFSET(ITEM_RES!$A$1,MATCH(AY479,ITEM_RES!$J:$J,0)-1,0),0)</f>
        <v>211020501</v>
      </c>
      <c r="AY479" s="10" t="s">
        <v>1156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1232</v>
      </c>
      <c r="S480" s="9" t="s">
        <v>706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529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447</v>
      </c>
      <c r="AU480" s="11">
        <v>1</v>
      </c>
      <c r="AX480" s="11">
        <f ca="1">IFERROR(OFFSET(ITEM_RES!$A$1,MATCH(AY480,ITEM_RES!$J:$J,0)-1,0),0)</f>
        <v>211020501</v>
      </c>
      <c r="AY480" s="10" t="s">
        <v>1156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1232</v>
      </c>
      <c r="S481" s="9" t="s">
        <v>706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529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447</v>
      </c>
      <c r="AU481" s="11">
        <v>1</v>
      </c>
      <c r="AX481" s="11">
        <f ca="1">IFERROR(OFFSET(ITEM_RES!$A$1,MATCH(AY481,ITEM_RES!$J:$J,0)-1,0),0)</f>
        <v>211020501</v>
      </c>
      <c r="AY481" s="10" t="s">
        <v>1156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1232</v>
      </c>
      <c r="S482" s="9" t="s">
        <v>706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529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447</v>
      </c>
      <c r="AU482" s="11">
        <v>1</v>
      </c>
      <c r="AX482" s="11">
        <f ca="1">IFERROR(OFFSET(ITEM_RES!$A$1,MATCH(AY482,ITEM_RES!$J:$J,0)-1,0),0)</f>
        <v>211020501</v>
      </c>
      <c r="AY482" s="10" t="s">
        <v>1156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1232</v>
      </c>
      <c r="S483" s="9" t="s">
        <v>706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529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447</v>
      </c>
      <c r="AU483" s="11">
        <v>1</v>
      </c>
      <c r="AX483" s="11">
        <f ca="1">IFERROR(OFFSET(ITEM_RES!$A$1,MATCH(AY483,ITEM_RES!$J:$J,0)-1,0),0)</f>
        <v>211020501</v>
      </c>
      <c r="AY483" s="10" t="s">
        <v>1156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1232</v>
      </c>
      <c r="S484" s="9" t="s">
        <v>706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529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447</v>
      </c>
      <c r="AU484" s="11">
        <v>1</v>
      </c>
      <c r="AX484" s="11">
        <f ca="1">IFERROR(OFFSET(ITEM_RES!$A$1,MATCH(AY484,ITEM_RES!$J:$J,0)-1,0),0)</f>
        <v>211020501</v>
      </c>
      <c r="AY484" s="10" t="s">
        <v>1156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1081</v>
      </c>
      <c r="L485" s="16">
        <v>1</v>
      </c>
      <c r="M485" s="16">
        <v>1</v>
      </c>
      <c r="N485" s="16">
        <v>15</v>
      </c>
      <c r="O485" s="16" t="s">
        <v>1233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530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437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452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474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1081</v>
      </c>
      <c r="M486" s="9">
        <v>1</v>
      </c>
      <c r="N486" s="9">
        <v>15</v>
      </c>
      <c r="O486" s="9" t="s">
        <v>1234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530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437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1235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530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437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1235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530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437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1235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530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437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1235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530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437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1235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530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437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1235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530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437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1236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530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56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437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1236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530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57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57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437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476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1236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530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437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1236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530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437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1237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530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437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1237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530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437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1238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530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437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1238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530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444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1238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530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444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1238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530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444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1238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530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444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1238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530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444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1082</v>
      </c>
      <c r="L505" s="16">
        <v>1</v>
      </c>
      <c r="M505" s="16">
        <v>1</v>
      </c>
      <c r="N505" s="16">
        <v>15</v>
      </c>
      <c r="O505" s="16" t="s">
        <v>1239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382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437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452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474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1082</v>
      </c>
      <c r="M506" s="9">
        <v>1</v>
      </c>
      <c r="N506" s="9">
        <v>15</v>
      </c>
      <c r="O506" s="9" t="s">
        <v>1240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437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1082</v>
      </c>
      <c r="M507" s="9">
        <v>1</v>
      </c>
      <c r="N507" s="9">
        <v>15</v>
      </c>
      <c r="O507" s="9" t="s">
        <v>1240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437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1082</v>
      </c>
      <c r="M508" s="9">
        <v>1</v>
      </c>
      <c r="N508" s="9">
        <v>15</v>
      </c>
      <c r="O508" s="9" t="s">
        <v>1241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437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1082</v>
      </c>
      <c r="M509" s="9">
        <v>1</v>
      </c>
      <c r="N509" s="9">
        <v>15</v>
      </c>
      <c r="O509" s="9" t="s">
        <v>1241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437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1082</v>
      </c>
      <c r="M510" s="9">
        <v>1</v>
      </c>
      <c r="N510" s="9">
        <v>15</v>
      </c>
      <c r="O510" s="9" t="s">
        <v>1241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437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1082</v>
      </c>
      <c r="M511" s="9">
        <v>1</v>
      </c>
      <c r="N511" s="9">
        <v>15</v>
      </c>
      <c r="O511" s="9" t="s">
        <v>1242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437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1082</v>
      </c>
      <c r="M512" s="9">
        <v>1</v>
      </c>
      <c r="N512" s="9">
        <v>15</v>
      </c>
      <c r="O512" s="9" t="s">
        <v>1242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437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64" si="151">B513*10000000+C513*1000000+D513*10000+E513*100+F513</f>
        <v>115020009</v>
      </c>
      <c r="B513" s="13">
        <v>11</v>
      </c>
      <c r="C513" s="12">
        <f t="shared" ref="C513:C564" si="152">H513</f>
        <v>5</v>
      </c>
      <c r="D513" s="13">
        <v>2</v>
      </c>
      <c r="E513" s="13">
        <v>0</v>
      </c>
      <c r="F513" s="12">
        <f t="shared" ref="F513:F564" si="153">I513</f>
        <v>9</v>
      </c>
      <c r="H513" s="9">
        <v>5</v>
      </c>
      <c r="I513" s="9">
        <v>9</v>
      </c>
      <c r="K513" s="9" t="s">
        <v>1082</v>
      </c>
      <c r="M513" s="9">
        <v>1</v>
      </c>
      <c r="N513" s="9">
        <v>15</v>
      </c>
      <c r="O513" s="9" t="s">
        <v>1242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437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1082</v>
      </c>
      <c r="M514" s="9">
        <v>1</v>
      </c>
      <c r="N514" s="9">
        <v>15</v>
      </c>
      <c r="O514" s="9" t="s">
        <v>1242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6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437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482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1082</v>
      </c>
      <c r="M515" s="9">
        <v>1</v>
      </c>
      <c r="N515" s="9">
        <v>15</v>
      </c>
      <c r="O515" s="9" t="s">
        <v>1243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437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1082</v>
      </c>
      <c r="M516" s="9">
        <v>1</v>
      </c>
      <c r="N516" s="9">
        <v>15</v>
      </c>
      <c r="O516" s="9" t="s">
        <v>1243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437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1082</v>
      </c>
      <c r="M517" s="9">
        <v>1</v>
      </c>
      <c r="N517" s="9">
        <v>15</v>
      </c>
      <c r="O517" s="9" t="s">
        <v>1243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437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1082</v>
      </c>
      <c r="M518" s="9">
        <v>1</v>
      </c>
      <c r="N518" s="9">
        <v>15</v>
      </c>
      <c r="O518" s="9" t="s">
        <v>1243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437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1082</v>
      </c>
      <c r="M519" s="9">
        <v>1</v>
      </c>
      <c r="N519" s="9">
        <v>15</v>
      </c>
      <c r="O519" s="9" t="s">
        <v>1243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444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1082</v>
      </c>
      <c r="M520" s="9">
        <v>0</v>
      </c>
      <c r="N520" s="9">
        <v>15</v>
      </c>
      <c r="O520" s="9" t="s">
        <v>1243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444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1082</v>
      </c>
      <c r="M521" s="9">
        <v>0</v>
      </c>
      <c r="N521" s="9">
        <v>15</v>
      </c>
      <c r="O521" s="9" t="s">
        <v>1243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444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1082</v>
      </c>
      <c r="M522" s="9">
        <v>0</v>
      </c>
      <c r="N522" s="9">
        <v>15</v>
      </c>
      <c r="O522" s="9" t="s">
        <v>1243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444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1082</v>
      </c>
      <c r="M523" s="9">
        <v>0</v>
      </c>
      <c r="N523" s="9">
        <v>15</v>
      </c>
      <c r="O523" s="9" t="s">
        <v>1243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444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1082</v>
      </c>
      <c r="M524" s="9">
        <v>0</v>
      </c>
      <c r="N524" s="9">
        <v>15</v>
      </c>
      <c r="O524" s="9" t="s">
        <v>1243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444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>
        <f t="shared" si="151"/>
        <v>115030001</v>
      </c>
      <c r="B525" s="20">
        <v>11</v>
      </c>
      <c r="C525" s="19">
        <f t="shared" si="152"/>
        <v>5</v>
      </c>
      <c r="D525" s="20">
        <v>3</v>
      </c>
      <c r="E525" s="20">
        <v>0</v>
      </c>
      <c r="F525" s="19">
        <f t="shared" si="153"/>
        <v>1</v>
      </c>
      <c r="G525" s="78"/>
      <c r="H525" s="16">
        <v>5</v>
      </c>
      <c r="I525" s="16">
        <v>1</v>
      </c>
      <c r="J525" s="78"/>
      <c r="K525" s="16" t="s">
        <v>1084</v>
      </c>
      <c r="L525" s="16">
        <v>10</v>
      </c>
      <c r="M525" s="16">
        <v>1</v>
      </c>
      <c r="N525" s="16">
        <v>15</v>
      </c>
      <c r="O525" s="16" t="s">
        <v>1105</v>
      </c>
      <c r="P525" s="17"/>
      <c r="Q525" s="17"/>
      <c r="R525" s="18"/>
      <c r="S525" s="16">
        <v>4444</v>
      </c>
      <c r="T525" s="78"/>
      <c r="U525" s="86"/>
      <c r="V525" s="16">
        <f ca="1">IFERROR(OFFSET(ITEM_RES!$A$5,MATCH(BUILDING!U525,ITEM_RES!$J$5:$J$229,0)-1,0),0)</f>
        <v>0</v>
      </c>
      <c r="W525" s="18"/>
      <c r="X525" s="86"/>
      <c r="Y525" s="16">
        <f ca="1">IFERROR(OFFSET(ITEM_RES!$A$5,MATCH(BUILDING!X525,ITEM_RES!$J$5:$J$229,0)-1,0),0)</f>
        <v>0</v>
      </c>
      <c r="Z525" s="78"/>
      <c r="AA525" s="16" t="s">
        <v>380</v>
      </c>
      <c r="AB525" s="16">
        <v>1</v>
      </c>
      <c r="AC525" s="78"/>
      <c r="AD525" s="18">
        <f ca="1">IFERROR(OFFSET(MANOR_LEVEL!$B$1,MATCH(AE525-1,MANOR_LEVEL!$A:$A,0)-1,0),0)</f>
        <v>0</v>
      </c>
      <c r="AE525" s="57">
        <v>1</v>
      </c>
      <c r="AF525" s="78"/>
      <c r="AG525" s="57">
        <f t="shared" ca="1" si="148"/>
        <v>205</v>
      </c>
      <c r="AH525" s="17">
        <f ca="1">AM525+AO525+(IFERROR(OFFSET(ITEM_RES!$S$1,MATCH(AS525,ITEM_RES!$A:$A,0)-1,0),0)*AU525+IFERROR(OFFSET(ITEM_RES!$S$1,MATCH(AX525,ITEM_RES!$A:$A,0)-1,0),0)*AZ525+IFERROR(OFFSET(ITEM_RES!$S$1,MATCH(BC525,ITEM_RES!$A:$A,0)-1,0),0)*BE525+IFERROR(OFFSET(ITEM_RES!$S$1,MATCH(BH525,ITEM_RES!$A:$A,0)-1,0),0)*BJ525+IFERROR(OFFSET(ITEM_RES!$S$1,MATCH(BM525,ITEM_RES!$A:$A,0)-1,0),0)*BO525)/1000</f>
        <v>205.1</v>
      </c>
      <c r="AI525" s="184">
        <f ca="1">AG525</f>
        <v>205</v>
      </c>
      <c r="AJ525" s="78"/>
      <c r="AK525" s="18">
        <f t="shared" si="147"/>
        <v>5</v>
      </c>
      <c r="AL525" s="17">
        <v>5</v>
      </c>
      <c r="AM525" s="18">
        <f t="shared" si="154"/>
        <v>5</v>
      </c>
      <c r="AN525" s="17">
        <v>5</v>
      </c>
      <c r="AO525" s="18">
        <f t="shared" si="154"/>
        <v>0</v>
      </c>
      <c r="AP525" s="17">
        <v>0</v>
      </c>
      <c r="AQ525" s="57">
        <f t="shared" si="149"/>
        <v>3</v>
      </c>
      <c r="AR525" s="18"/>
      <c r="AS525" s="18">
        <f ca="1">IFERROR(OFFSET(ITEM_RES!$A$1,MATCH(AT525,ITEM_RES!$J:$J,0)-1,0),0)</f>
        <v>211020801</v>
      </c>
      <c r="AT525" s="17" t="s">
        <v>434</v>
      </c>
      <c r="AU525" s="18">
        <v>1</v>
      </c>
      <c r="AV525" s="17"/>
      <c r="AW525" s="18"/>
      <c r="AX525" s="18">
        <f ca="1">IFERROR(OFFSET(ITEM_RES!$A$1,MATCH(AY525,ITEM_RES!$J:$J,0)-1,0),0)</f>
        <v>0</v>
      </c>
      <c r="AY525" s="17"/>
      <c r="AZ525" s="18"/>
      <c r="BA525" s="17"/>
      <c r="BB525" s="18"/>
      <c r="BC525" s="18">
        <f ca="1">IFERROR(OFFSET(ITEM_RES!$A$1,MATCH(BD525,ITEM_RES!$J:$J,0)-1,0),0)</f>
        <v>213010101</v>
      </c>
      <c r="BD525" s="17" t="s">
        <v>452</v>
      </c>
      <c r="BE525" s="18">
        <v>1</v>
      </c>
      <c r="BF525" s="17"/>
      <c r="BG525" s="18"/>
      <c r="BH525" s="18">
        <f ca="1">IFERROR(OFFSET(ITEM_RES!$A$1,MATCH(BI525,ITEM_RES!$J:$J,0)-1,0),0)</f>
        <v>213010201</v>
      </c>
      <c r="BI525" s="17" t="s">
        <v>474</v>
      </c>
      <c r="BJ525" s="18">
        <v>1</v>
      </c>
      <c r="BK525" s="17"/>
      <c r="BL525" s="18"/>
      <c r="BM525" s="18">
        <f ca="1">IFERROR(OFFSET(ITEM_RES!$A$1,MATCH(BN525,ITEM_RES!$J:$J,0)-1,0),0)</f>
        <v>0</v>
      </c>
      <c r="BN525" s="17"/>
      <c r="BO525" s="18"/>
      <c r="BP525" s="17"/>
    </row>
    <row r="526" spans="1:68" x14ac:dyDescent="0.3">
      <c r="A526" s="14">
        <f t="shared" si="151"/>
        <v>115030002</v>
      </c>
      <c r="B526" s="13">
        <v>11</v>
      </c>
      <c r="C526" s="12">
        <f t="shared" si="152"/>
        <v>5</v>
      </c>
      <c r="D526" s="13">
        <v>3</v>
      </c>
      <c r="E526" s="13">
        <v>0</v>
      </c>
      <c r="F526" s="12">
        <f t="shared" si="153"/>
        <v>2</v>
      </c>
      <c r="H526" s="9">
        <v>5</v>
      </c>
      <c r="I526" s="9">
        <v>2</v>
      </c>
      <c r="K526" s="9" t="s">
        <v>1084</v>
      </c>
      <c r="M526" s="9">
        <v>1</v>
      </c>
      <c r="N526" s="9">
        <v>15</v>
      </c>
      <c r="O526" s="9" t="s">
        <v>1103</v>
      </c>
      <c r="S526" s="9">
        <v>4444</v>
      </c>
      <c r="V526" s="9">
        <f ca="1">IFERROR(OFFSET(ITEM_RES!$A$5,MATCH(BUILDING!U526,ITEM_RES!$J$5:$J$229,0)-1,0),0)</f>
        <v>0</v>
      </c>
      <c r="Y526" s="9">
        <f ca="1">IFERROR(OFFSET(ITEM_RES!$A$5,MATCH(BUILDING!X526,ITEM_RES!$J$5:$J$229,0)-1,0),0)</f>
        <v>0</v>
      </c>
      <c r="AA526" s="9" t="s">
        <v>379</v>
      </c>
      <c r="AB526" s="9">
        <v>2</v>
      </c>
      <c r="AD526" s="11">
        <f ca="1">IFERROR(OFFSET(MANOR_LEVEL!$B$1,MATCH(AE526-1,MANOR_LEVEL!$A:$A,0)-1,0),0)</f>
        <v>0</v>
      </c>
      <c r="AE526" s="56">
        <v>1</v>
      </c>
      <c r="AG526" s="56">
        <f t="shared" ca="1" si="148"/>
        <v>10</v>
      </c>
      <c r="AH526" s="10">
        <f ca="1">AM526+AO526+(IFERROR(OFFSET(ITEM_RES!$S$1,MATCH(AS526,ITEM_RES!$A:$A,0)-1,0),0)*AU526+IFERROR(OFFSET(ITEM_RES!$S$1,MATCH(AX526,ITEM_RES!$A:$A,0)-1,0),0)*AZ526+IFERROR(OFFSET(ITEM_RES!$S$1,MATCH(BC526,ITEM_RES!$A:$A,0)-1,0),0)*BE526+IFERROR(OFFSET(ITEM_RES!$S$1,MATCH(BH526,ITEM_RES!$A:$A,0)-1,0),0)*BJ526+IFERROR(OFFSET(ITEM_RES!$S$1,MATCH(BM526,ITEM_RES!$A:$A,0)-1,0),0)*BO526)/1000</f>
        <v>10.1</v>
      </c>
      <c r="AI526" s="182">
        <f ca="1">AG525+AG526</f>
        <v>215</v>
      </c>
      <c r="AK526" s="11">
        <f t="shared" si="147"/>
        <v>10</v>
      </c>
      <c r="AL526" s="10">
        <v>10</v>
      </c>
      <c r="AM526" s="11">
        <f t="shared" si="154"/>
        <v>10</v>
      </c>
      <c r="AN526" s="10">
        <v>10</v>
      </c>
      <c r="AO526" s="11">
        <f t="shared" si="154"/>
        <v>0</v>
      </c>
      <c r="AP526" s="10">
        <v>0</v>
      </c>
      <c r="AQ526" s="56">
        <f t="shared" si="149"/>
        <v>1</v>
      </c>
      <c r="AS526" s="11">
        <f ca="1">IFERROR(OFFSET(ITEM_RES!$A$1,MATCH(AT526,ITEM_RES!$J:$J,0)-1,0),0)</f>
        <v>211020801</v>
      </c>
      <c r="AT526" s="10" t="s">
        <v>434</v>
      </c>
      <c r="AU526" s="11">
        <v>1</v>
      </c>
      <c r="AX526" s="11">
        <f ca="1">IFERROR(OFFSET(ITEM_RES!$A$1,MATCH(AY526,ITEM_RES!$J:$J,0)-1,0),0)</f>
        <v>0</v>
      </c>
      <c r="BC526" s="11">
        <f ca="1">IFERROR(OFFSET(ITEM_RES!$A$1,MATCH(BD526,ITEM_RES!$J:$J,0)-1,0),0)</f>
        <v>0</v>
      </c>
      <c r="BH526" s="11">
        <f ca="1">IFERROR(OFFSET(ITEM_RES!$A$1,MATCH(BI526,ITEM_RES!$J:$J,0)-1,0),0)</f>
        <v>0</v>
      </c>
      <c r="BM526" s="11">
        <f ca="1">IFERROR(OFFSET(ITEM_RES!$A$1,MATCH(BN526,ITEM_RES!$J:$J,0)-1,0),0)</f>
        <v>0</v>
      </c>
    </row>
    <row r="527" spans="1:68" x14ac:dyDescent="0.3">
      <c r="A527" s="14">
        <f t="shared" si="151"/>
        <v>115030003</v>
      </c>
      <c r="B527" s="13">
        <v>11</v>
      </c>
      <c r="C527" s="12">
        <f t="shared" si="152"/>
        <v>5</v>
      </c>
      <c r="D527" s="13">
        <v>3</v>
      </c>
      <c r="E527" s="13">
        <v>0</v>
      </c>
      <c r="F527" s="12">
        <f t="shared" si="153"/>
        <v>3</v>
      </c>
      <c r="H527" s="9">
        <v>5</v>
      </c>
      <c r="I527" s="9">
        <v>3</v>
      </c>
      <c r="K527" s="9" t="s">
        <v>1083</v>
      </c>
      <c r="M527" s="9">
        <v>1</v>
      </c>
      <c r="N527" s="9">
        <v>15</v>
      </c>
      <c r="O527" s="9" t="s">
        <v>1103</v>
      </c>
      <c r="S527" s="9">
        <v>4444</v>
      </c>
      <c r="V527" s="9">
        <f ca="1">IFERROR(OFFSET(ITEM_RES!$A$5,MATCH(BUILDING!U527,ITEM_RES!$J$5:$J$229,0)-1,0),0)</f>
        <v>0</v>
      </c>
      <c r="Y527" s="9">
        <f ca="1">IFERROR(OFFSET(ITEM_RES!$A$5,MATCH(BUILDING!X527,ITEM_RES!$J$5:$J$229,0)-1,0),0)</f>
        <v>0</v>
      </c>
      <c r="AA527" s="9" t="s">
        <v>379</v>
      </c>
      <c r="AB527" s="9">
        <v>3</v>
      </c>
      <c r="AD527" s="11">
        <f ca="1">IFERROR(OFFSET(MANOR_LEVEL!$B$1,MATCH(AE527-1,MANOR_LEVEL!$A:$A,0)-1,0),0)</f>
        <v>0</v>
      </c>
      <c r="AE527" s="56">
        <v>1</v>
      </c>
      <c r="AG527" s="56">
        <f t="shared" ca="1" si="148"/>
        <v>15</v>
      </c>
      <c r="AH527" s="10">
        <f ca="1">AM527+AO527+(IFERROR(OFFSET(ITEM_RES!$S$1,MATCH(AS527,ITEM_RES!$A:$A,0)-1,0),0)*AU527+IFERROR(OFFSET(ITEM_RES!$S$1,MATCH(AX527,ITEM_RES!$A:$A,0)-1,0),0)*AZ527+IFERROR(OFFSET(ITEM_RES!$S$1,MATCH(BC527,ITEM_RES!$A:$A,0)-1,0),0)*BE527+IFERROR(OFFSET(ITEM_RES!$S$1,MATCH(BH527,ITEM_RES!$A:$A,0)-1,0),0)*BJ527+IFERROR(OFFSET(ITEM_RES!$S$1,MATCH(BM527,ITEM_RES!$A:$A,0)-1,0),0)*BO527)/1000</f>
        <v>15.1</v>
      </c>
      <c r="AI527" s="182">
        <f t="shared" ref="AI527:AI544" ca="1" si="155">AG526+AG527</f>
        <v>25</v>
      </c>
      <c r="AK527" s="11">
        <f t="shared" si="147"/>
        <v>15</v>
      </c>
      <c r="AL527" s="10">
        <v>15</v>
      </c>
      <c r="AM527" s="11">
        <f t="shared" si="154"/>
        <v>15</v>
      </c>
      <c r="AN527" s="10">
        <v>15</v>
      </c>
      <c r="AO527" s="11">
        <f t="shared" si="154"/>
        <v>0</v>
      </c>
      <c r="AP527" s="10">
        <v>0</v>
      </c>
      <c r="AQ527" s="56">
        <f t="shared" si="149"/>
        <v>1</v>
      </c>
      <c r="AS527" s="11">
        <f ca="1">IFERROR(OFFSET(ITEM_RES!$A$1,MATCH(AT527,ITEM_RES!$J:$J,0)-1,0),0)</f>
        <v>211020801</v>
      </c>
      <c r="AT527" s="10" t="s">
        <v>434</v>
      </c>
      <c r="AU527" s="11">
        <v>1</v>
      </c>
      <c r="AX527" s="11">
        <f ca="1">IFERROR(OFFSET(ITEM_RES!$A$1,MATCH(AY527,ITEM_RES!$J:$J,0)-1,0),0)</f>
        <v>0</v>
      </c>
      <c r="BC527" s="11">
        <f ca="1">IFERROR(OFFSET(ITEM_RES!$A$1,MATCH(BD527,ITEM_RES!$J:$J,0)-1,0),0)</f>
        <v>0</v>
      </c>
      <c r="BH527" s="11">
        <f ca="1">IFERROR(OFFSET(ITEM_RES!$A$1,MATCH(BI527,ITEM_RES!$J:$J,0)-1,0),0)</f>
        <v>0</v>
      </c>
      <c r="BM527" s="11">
        <f ca="1">IFERROR(OFFSET(ITEM_RES!$A$1,MATCH(BN527,ITEM_RES!$J:$J,0)-1,0),0)</f>
        <v>0</v>
      </c>
    </row>
    <row r="528" spans="1:68" x14ac:dyDescent="0.3">
      <c r="A528" s="14">
        <f t="shared" si="151"/>
        <v>115030004</v>
      </c>
      <c r="B528" s="13">
        <v>11</v>
      </c>
      <c r="C528" s="12">
        <f t="shared" si="152"/>
        <v>5</v>
      </c>
      <c r="D528" s="13">
        <v>3</v>
      </c>
      <c r="E528" s="13">
        <v>0</v>
      </c>
      <c r="F528" s="12">
        <f t="shared" si="153"/>
        <v>4</v>
      </c>
      <c r="H528" s="9">
        <v>5</v>
      </c>
      <c r="I528" s="9">
        <v>4</v>
      </c>
      <c r="K528" s="9" t="s">
        <v>1083</v>
      </c>
      <c r="M528" s="9">
        <v>1</v>
      </c>
      <c r="N528" s="9">
        <v>15</v>
      </c>
      <c r="O528" s="9" t="s">
        <v>1103</v>
      </c>
      <c r="S528" s="9">
        <v>4444</v>
      </c>
      <c r="V528" s="9">
        <f ca="1">IFERROR(OFFSET(ITEM_RES!$A$5,MATCH(BUILDING!U528,ITEM_RES!$J$5:$J$229,0)-1,0),0)</f>
        <v>0</v>
      </c>
      <c r="Y528" s="9">
        <f ca="1">IFERROR(OFFSET(ITEM_RES!$A$5,MATCH(BUILDING!X528,ITEM_RES!$J$5:$J$229,0)-1,0),0)</f>
        <v>0</v>
      </c>
      <c r="AA528" s="9" t="s">
        <v>379</v>
      </c>
      <c r="AB528" s="9">
        <v>4</v>
      </c>
      <c r="AD528" s="11">
        <f ca="1">IFERROR(OFFSET(MANOR_LEVEL!$B$1,MATCH(AE528-1,MANOR_LEVEL!$A:$A,0)-1,0),0)</f>
        <v>444</v>
      </c>
      <c r="AE528" s="56">
        <v>2</v>
      </c>
      <c r="AG528" s="56">
        <f t="shared" ca="1" si="148"/>
        <v>25</v>
      </c>
      <c r="AH528" s="10">
        <f ca="1">AM528+AO528+(IFERROR(OFFSET(ITEM_RES!$S$1,MATCH(AS528,ITEM_RES!$A:$A,0)-1,0),0)*AU528+IFERROR(OFFSET(ITEM_RES!$S$1,MATCH(AX528,ITEM_RES!$A:$A,0)-1,0),0)*AZ528+IFERROR(OFFSET(ITEM_RES!$S$1,MATCH(BC528,ITEM_RES!$A:$A,0)-1,0),0)*BE528+IFERROR(OFFSET(ITEM_RES!$S$1,MATCH(BH528,ITEM_RES!$A:$A,0)-1,0),0)*BJ528+IFERROR(OFFSET(ITEM_RES!$S$1,MATCH(BM528,ITEM_RES!$A:$A,0)-1,0),0)*BO528)/1000</f>
        <v>25.1</v>
      </c>
      <c r="AI528" s="182">
        <f t="shared" ca="1" si="155"/>
        <v>40</v>
      </c>
      <c r="AK528" s="11">
        <f t="shared" si="147"/>
        <v>20</v>
      </c>
      <c r="AL528" s="10">
        <v>20</v>
      </c>
      <c r="AM528" s="11">
        <f t="shared" si="154"/>
        <v>25</v>
      </c>
      <c r="AN528" s="10">
        <v>25</v>
      </c>
      <c r="AO528" s="11">
        <f t="shared" si="154"/>
        <v>0</v>
      </c>
      <c r="AP528" s="10">
        <v>0</v>
      </c>
      <c r="AQ528" s="56">
        <f t="shared" si="149"/>
        <v>1</v>
      </c>
      <c r="AS528" s="11">
        <f ca="1">IFERROR(OFFSET(ITEM_RES!$A$1,MATCH(AT528,ITEM_RES!$J:$J,0)-1,0),0)</f>
        <v>211020801</v>
      </c>
      <c r="AT528" s="10" t="s">
        <v>434</v>
      </c>
      <c r="AU528" s="11">
        <v>1</v>
      </c>
      <c r="AX528" s="11">
        <f ca="1">IFERROR(OFFSET(ITEM_RES!$A$1,MATCH(AY528,ITEM_RES!$J:$J,0)-1,0),0)</f>
        <v>0</v>
      </c>
      <c r="BC528" s="11">
        <f ca="1">IFERROR(OFFSET(ITEM_RES!$A$1,MATCH(BD528,ITEM_RES!$J:$J,0)-1,0),0)</f>
        <v>0</v>
      </c>
      <c r="BH528" s="11">
        <f ca="1">IFERROR(OFFSET(ITEM_RES!$A$1,MATCH(BI528,ITEM_RES!$J:$J,0)-1,0),0)</f>
        <v>0</v>
      </c>
      <c r="BM528" s="11">
        <f ca="1">IFERROR(OFFSET(ITEM_RES!$A$1,MATCH(BN528,ITEM_RES!$J:$J,0)-1,0),0)</f>
        <v>0</v>
      </c>
    </row>
    <row r="529" spans="1:65" x14ac:dyDescent="0.3">
      <c r="A529" s="14">
        <f t="shared" si="151"/>
        <v>115030005</v>
      </c>
      <c r="B529" s="13">
        <v>11</v>
      </c>
      <c r="C529" s="12">
        <f t="shared" si="152"/>
        <v>5</v>
      </c>
      <c r="D529" s="13">
        <v>3</v>
      </c>
      <c r="E529" s="13">
        <v>0</v>
      </c>
      <c r="F529" s="12">
        <f t="shared" si="153"/>
        <v>5</v>
      </c>
      <c r="H529" s="9">
        <v>5</v>
      </c>
      <c r="I529" s="9">
        <v>5</v>
      </c>
      <c r="K529" s="9" t="s">
        <v>1083</v>
      </c>
      <c r="M529" s="9">
        <v>1</v>
      </c>
      <c r="N529" s="9">
        <v>15</v>
      </c>
      <c r="O529" s="9" t="s">
        <v>1103</v>
      </c>
      <c r="S529" s="9">
        <v>4444</v>
      </c>
      <c r="V529" s="9">
        <f ca="1">IFERROR(OFFSET(ITEM_RES!$A$5,MATCH(BUILDING!U529,ITEM_RES!$J$5:$J$229,0)-1,0),0)</f>
        <v>0</v>
      </c>
      <c r="Y529" s="9">
        <f ca="1">IFERROR(OFFSET(ITEM_RES!$A$5,MATCH(BUILDING!X529,ITEM_RES!$J$5:$J$229,0)-1,0),0)</f>
        <v>0</v>
      </c>
      <c r="AA529" s="9" t="s">
        <v>379</v>
      </c>
      <c r="AB529" s="9">
        <v>5</v>
      </c>
      <c r="AD529" s="11">
        <f ca="1">IFERROR(OFFSET(MANOR_LEVEL!$B$1,MATCH(AE529-1,MANOR_LEVEL!$A:$A,0)-1,0),0)</f>
        <v>444</v>
      </c>
      <c r="AE529" s="56">
        <v>2</v>
      </c>
      <c r="AG529" s="56">
        <f t="shared" ca="1" si="148"/>
        <v>40</v>
      </c>
      <c r="AH529" s="10">
        <f ca="1">AM529+AO529+(IFERROR(OFFSET(ITEM_RES!$S$1,MATCH(AS529,ITEM_RES!$A:$A,0)-1,0),0)*AU529+IFERROR(OFFSET(ITEM_RES!$S$1,MATCH(AX529,ITEM_RES!$A:$A,0)-1,0),0)*AZ529+IFERROR(OFFSET(ITEM_RES!$S$1,MATCH(BC529,ITEM_RES!$A:$A,0)-1,0),0)*BE529+IFERROR(OFFSET(ITEM_RES!$S$1,MATCH(BH529,ITEM_RES!$A:$A,0)-1,0),0)*BJ529+IFERROR(OFFSET(ITEM_RES!$S$1,MATCH(BM529,ITEM_RES!$A:$A,0)-1,0),0)*BO529)/1000</f>
        <v>40.1</v>
      </c>
      <c r="AI529" s="182">
        <f t="shared" ca="1" si="155"/>
        <v>65</v>
      </c>
      <c r="AK529" s="11">
        <f t="shared" si="147"/>
        <v>25</v>
      </c>
      <c r="AL529" s="10">
        <v>25</v>
      </c>
      <c r="AM529" s="11">
        <f t="shared" si="154"/>
        <v>40</v>
      </c>
      <c r="AN529" s="10">
        <v>40</v>
      </c>
      <c r="AO529" s="11">
        <f t="shared" si="154"/>
        <v>0</v>
      </c>
      <c r="AP529" s="10">
        <v>0</v>
      </c>
      <c r="AQ529" s="56">
        <f t="shared" si="149"/>
        <v>1</v>
      </c>
      <c r="AS529" s="11">
        <f ca="1">IFERROR(OFFSET(ITEM_RES!$A$1,MATCH(AT529,ITEM_RES!$J:$J,0)-1,0),0)</f>
        <v>211020801</v>
      </c>
      <c r="AT529" s="10" t="s">
        <v>434</v>
      </c>
      <c r="AU529" s="11">
        <v>1</v>
      </c>
      <c r="AX529" s="11">
        <f ca="1">IFERROR(OFFSET(ITEM_RES!$A$1,MATCH(AY529,ITEM_RES!$J:$J,0)-1,0),0)</f>
        <v>0</v>
      </c>
      <c r="BC529" s="11">
        <f ca="1">IFERROR(OFFSET(ITEM_RES!$A$1,MATCH(BD529,ITEM_RES!$J:$J,0)-1,0),0)</f>
        <v>0</v>
      </c>
      <c r="BH529" s="11">
        <f ca="1">IFERROR(OFFSET(ITEM_RES!$A$1,MATCH(BI529,ITEM_RES!$J:$J,0)-1,0),0)</f>
        <v>0</v>
      </c>
      <c r="BM529" s="11">
        <f ca="1">IFERROR(OFFSET(ITEM_RES!$A$1,MATCH(BN529,ITEM_RES!$J:$J,0)-1,0),0)</f>
        <v>0</v>
      </c>
    </row>
    <row r="530" spans="1:65" x14ac:dyDescent="0.3">
      <c r="A530" s="14">
        <f t="shared" si="151"/>
        <v>115030006</v>
      </c>
      <c r="B530" s="13">
        <v>11</v>
      </c>
      <c r="C530" s="12">
        <f t="shared" si="152"/>
        <v>5</v>
      </c>
      <c r="D530" s="13">
        <v>3</v>
      </c>
      <c r="E530" s="13">
        <v>0</v>
      </c>
      <c r="F530" s="12">
        <f t="shared" si="153"/>
        <v>6</v>
      </c>
      <c r="H530" s="9">
        <v>5</v>
      </c>
      <c r="I530" s="9">
        <v>6</v>
      </c>
      <c r="K530" s="9" t="s">
        <v>1083</v>
      </c>
      <c r="M530" s="9">
        <v>1</v>
      </c>
      <c r="N530" s="9">
        <v>15</v>
      </c>
      <c r="O530" s="9" t="s">
        <v>1103</v>
      </c>
      <c r="S530" s="9">
        <v>4444</v>
      </c>
      <c r="V530" s="9">
        <f ca="1">IFERROR(OFFSET(ITEM_RES!$A$5,MATCH(BUILDING!U530,ITEM_RES!$J$5:$J$229,0)-1,0),0)</f>
        <v>0</v>
      </c>
      <c r="Y530" s="9">
        <f ca="1">IFERROR(OFFSET(ITEM_RES!$A$5,MATCH(BUILDING!X530,ITEM_RES!$J$5:$J$229,0)-1,0),0)</f>
        <v>0</v>
      </c>
      <c r="AA530" s="9" t="s">
        <v>379</v>
      </c>
      <c r="AB530" s="9">
        <v>6</v>
      </c>
      <c r="AD530" s="11">
        <f ca="1">IFERROR(OFFSET(MANOR_LEVEL!$B$1,MATCH(AE530-1,MANOR_LEVEL!$A:$A,0)-1,0),0)</f>
        <v>444</v>
      </c>
      <c r="AE530" s="56">
        <v>2</v>
      </c>
      <c r="AG530" s="56">
        <f t="shared" ca="1" si="148"/>
        <v>50</v>
      </c>
      <c r="AH530" s="10">
        <f ca="1">AM530+AO530+(IFERROR(OFFSET(ITEM_RES!$S$1,MATCH(AS530,ITEM_RES!$A:$A,0)-1,0),0)*AU530+IFERROR(OFFSET(ITEM_RES!$S$1,MATCH(AX530,ITEM_RES!$A:$A,0)-1,0),0)*AZ530+IFERROR(OFFSET(ITEM_RES!$S$1,MATCH(BC530,ITEM_RES!$A:$A,0)-1,0),0)*BE530+IFERROR(OFFSET(ITEM_RES!$S$1,MATCH(BH530,ITEM_RES!$A:$A,0)-1,0),0)*BJ530+IFERROR(OFFSET(ITEM_RES!$S$1,MATCH(BM530,ITEM_RES!$A:$A,0)-1,0),0)*BO530)/1000</f>
        <v>50.1</v>
      </c>
      <c r="AI530" s="182">
        <f t="shared" ca="1" si="155"/>
        <v>90</v>
      </c>
      <c r="AK530" s="11">
        <f t="shared" si="147"/>
        <v>30</v>
      </c>
      <c r="AL530" s="10">
        <v>30</v>
      </c>
      <c r="AM530" s="11">
        <f t="shared" si="154"/>
        <v>50</v>
      </c>
      <c r="AN530" s="10">
        <v>50</v>
      </c>
      <c r="AO530" s="11">
        <f t="shared" si="154"/>
        <v>0</v>
      </c>
      <c r="AP530" s="10">
        <v>0</v>
      </c>
      <c r="AQ530" s="56">
        <f t="shared" si="149"/>
        <v>1</v>
      </c>
      <c r="AS530" s="11">
        <f ca="1">IFERROR(OFFSET(ITEM_RES!$A$1,MATCH(AT530,ITEM_RES!$J:$J,0)-1,0),0)</f>
        <v>211020801</v>
      </c>
      <c r="AT530" s="10" t="s">
        <v>434</v>
      </c>
      <c r="AU530" s="11">
        <v>1</v>
      </c>
      <c r="AX530" s="11">
        <f ca="1">IFERROR(OFFSET(ITEM_RES!$A$1,MATCH(AY530,ITEM_RES!$J:$J,0)-1,0),0)</f>
        <v>0</v>
      </c>
      <c r="BC530" s="11">
        <f ca="1">IFERROR(OFFSET(ITEM_RES!$A$1,MATCH(BD530,ITEM_RES!$J:$J,0)-1,0),0)</f>
        <v>0</v>
      </c>
      <c r="BH530" s="11">
        <f ca="1">IFERROR(OFFSET(ITEM_RES!$A$1,MATCH(BI530,ITEM_RES!$J:$J,0)-1,0),0)</f>
        <v>0</v>
      </c>
      <c r="BM530" s="11">
        <f ca="1">IFERROR(OFFSET(ITEM_RES!$A$1,MATCH(BN530,ITEM_RES!$J:$J,0)-1,0),0)</f>
        <v>0</v>
      </c>
    </row>
    <row r="531" spans="1:65" x14ac:dyDescent="0.3">
      <c r="A531" s="14">
        <f t="shared" si="151"/>
        <v>115030007</v>
      </c>
      <c r="B531" s="13">
        <v>11</v>
      </c>
      <c r="C531" s="12">
        <f t="shared" si="152"/>
        <v>5</v>
      </c>
      <c r="D531" s="13">
        <v>3</v>
      </c>
      <c r="E531" s="13">
        <v>0</v>
      </c>
      <c r="F531" s="12">
        <f t="shared" si="153"/>
        <v>7</v>
      </c>
      <c r="H531" s="9">
        <v>5</v>
      </c>
      <c r="I531" s="9">
        <v>7</v>
      </c>
      <c r="K531" s="9" t="s">
        <v>1083</v>
      </c>
      <c r="M531" s="9">
        <v>1</v>
      </c>
      <c r="N531" s="9">
        <v>15</v>
      </c>
      <c r="O531" s="9" t="s">
        <v>1103</v>
      </c>
      <c r="S531" s="9">
        <v>4444</v>
      </c>
      <c r="V531" s="9">
        <f ca="1">IFERROR(OFFSET(ITEM_RES!$A$5,MATCH(BUILDING!U531,ITEM_RES!$J$5:$J$229,0)-1,0),0)</f>
        <v>0</v>
      </c>
      <c r="Y531" s="9">
        <f ca="1">IFERROR(OFFSET(ITEM_RES!$A$5,MATCH(BUILDING!X531,ITEM_RES!$J$5:$J$229,0)-1,0),0)</f>
        <v>0</v>
      </c>
      <c r="AA531" s="9" t="s">
        <v>379</v>
      </c>
      <c r="AB531" s="9">
        <v>7</v>
      </c>
      <c r="AD531" s="11">
        <f ca="1">IFERROR(OFFSET(MANOR_LEVEL!$B$1,MATCH(AE531-1,MANOR_LEVEL!$A:$A,0)-1,0),0)</f>
        <v>444</v>
      </c>
      <c r="AE531" s="56">
        <v>2</v>
      </c>
      <c r="AG531" s="56">
        <f t="shared" ca="1" si="148"/>
        <v>100</v>
      </c>
      <c r="AH531" s="10">
        <f ca="1">AM531+AO531+(IFERROR(OFFSET(ITEM_RES!$S$1,MATCH(AS531,ITEM_RES!$A:$A,0)-1,0),0)*AU531+IFERROR(OFFSET(ITEM_RES!$S$1,MATCH(AX531,ITEM_RES!$A:$A,0)-1,0),0)*AZ531+IFERROR(OFFSET(ITEM_RES!$S$1,MATCH(BC531,ITEM_RES!$A:$A,0)-1,0),0)*BE531+IFERROR(OFFSET(ITEM_RES!$S$1,MATCH(BH531,ITEM_RES!$A:$A,0)-1,0),0)*BJ531+IFERROR(OFFSET(ITEM_RES!$S$1,MATCH(BM531,ITEM_RES!$A:$A,0)-1,0),0)*BO531)/1000</f>
        <v>100.1</v>
      </c>
      <c r="AI531" s="182">
        <f t="shared" ca="1" si="155"/>
        <v>150</v>
      </c>
      <c r="AK531" s="11">
        <f t="shared" si="147"/>
        <v>35</v>
      </c>
      <c r="AL531" s="10">
        <v>35</v>
      </c>
      <c r="AM531" s="11">
        <f t="shared" si="154"/>
        <v>100</v>
      </c>
      <c r="AN531" s="10">
        <v>100</v>
      </c>
      <c r="AO531" s="11">
        <f t="shared" si="154"/>
        <v>0</v>
      </c>
      <c r="AP531" s="10">
        <v>0</v>
      </c>
      <c r="AQ531" s="56">
        <f t="shared" si="149"/>
        <v>1</v>
      </c>
      <c r="AS531" s="11">
        <f ca="1">IFERROR(OFFSET(ITEM_RES!$A$1,MATCH(AT531,ITEM_RES!$J:$J,0)-1,0),0)</f>
        <v>211020801</v>
      </c>
      <c r="AT531" s="10" t="s">
        <v>434</v>
      </c>
      <c r="AU531" s="11">
        <v>1</v>
      </c>
      <c r="AX531" s="11">
        <f ca="1">IFERROR(OFFSET(ITEM_RES!$A$1,MATCH(AY531,ITEM_RES!$J:$J,0)-1,0),0)</f>
        <v>0</v>
      </c>
      <c r="BC531" s="11">
        <f ca="1">IFERROR(OFFSET(ITEM_RES!$A$1,MATCH(BD531,ITEM_RES!$J:$J,0)-1,0),0)</f>
        <v>0</v>
      </c>
      <c r="BH531" s="11">
        <f ca="1">IFERROR(OFFSET(ITEM_RES!$A$1,MATCH(BI531,ITEM_RES!$J:$J,0)-1,0),0)</f>
        <v>0</v>
      </c>
      <c r="BM531" s="11">
        <f ca="1">IFERROR(OFFSET(ITEM_RES!$A$1,MATCH(BN531,ITEM_RES!$J:$J,0)-1,0),0)</f>
        <v>0</v>
      </c>
    </row>
    <row r="532" spans="1:65" x14ac:dyDescent="0.3">
      <c r="A532" s="14">
        <f t="shared" si="151"/>
        <v>115030008</v>
      </c>
      <c r="B532" s="13">
        <v>11</v>
      </c>
      <c r="C532" s="12">
        <f t="shared" si="152"/>
        <v>5</v>
      </c>
      <c r="D532" s="13">
        <v>3</v>
      </c>
      <c r="E532" s="13">
        <v>0</v>
      </c>
      <c r="F532" s="12">
        <f t="shared" si="153"/>
        <v>8</v>
      </c>
      <c r="H532" s="9">
        <v>5</v>
      </c>
      <c r="I532" s="9">
        <v>8</v>
      </c>
      <c r="K532" s="9" t="s">
        <v>1083</v>
      </c>
      <c r="M532" s="9">
        <v>1</v>
      </c>
      <c r="N532" s="9">
        <v>15</v>
      </c>
      <c r="O532" s="9" t="s">
        <v>1103</v>
      </c>
      <c r="S532" s="9">
        <v>4444</v>
      </c>
      <c r="V532" s="9">
        <f ca="1">IFERROR(OFFSET(ITEM_RES!$A$5,MATCH(BUILDING!U532,ITEM_RES!$J$5:$J$229,0)-1,0),0)</f>
        <v>0</v>
      </c>
      <c r="Y532" s="9">
        <f ca="1">IFERROR(OFFSET(ITEM_RES!$A$5,MATCH(BUILDING!X532,ITEM_RES!$J$5:$J$229,0)-1,0),0)</f>
        <v>0</v>
      </c>
      <c r="AA532" s="9" t="s">
        <v>379</v>
      </c>
      <c r="AB532" s="9">
        <v>8</v>
      </c>
      <c r="AD532" s="11">
        <f ca="1">IFERROR(OFFSET(MANOR_LEVEL!$B$1,MATCH(AE532-1,MANOR_LEVEL!$A:$A,0)-1,0),0)</f>
        <v>528</v>
      </c>
      <c r="AE532" s="56">
        <v>3</v>
      </c>
      <c r="AG532" s="56">
        <f t="shared" ca="1" si="148"/>
        <v>1100</v>
      </c>
      <c r="AH532" s="10">
        <f ca="1">AM532+AO532+(IFERROR(OFFSET(ITEM_RES!$S$1,MATCH(AS532,ITEM_RES!$A:$A,0)-1,0),0)*AU532+IFERROR(OFFSET(ITEM_RES!$S$1,MATCH(AX532,ITEM_RES!$A:$A,0)-1,0),0)*AZ532+IFERROR(OFFSET(ITEM_RES!$S$1,MATCH(BC532,ITEM_RES!$A:$A,0)-1,0),0)*BE532+IFERROR(OFFSET(ITEM_RES!$S$1,MATCH(BH532,ITEM_RES!$A:$A,0)-1,0),0)*BJ532+IFERROR(OFFSET(ITEM_RES!$S$1,MATCH(BM532,ITEM_RES!$A:$A,0)-1,0),0)*BO532)/1000</f>
        <v>1100.0999999999999</v>
      </c>
      <c r="AI532" s="182">
        <f t="shared" ca="1" si="155"/>
        <v>1200</v>
      </c>
      <c r="AK532" s="11">
        <f t="shared" si="147"/>
        <v>40</v>
      </c>
      <c r="AL532" s="10">
        <v>40</v>
      </c>
      <c r="AM532" s="11">
        <f t="shared" si="154"/>
        <v>100</v>
      </c>
      <c r="AN532" s="10">
        <v>100</v>
      </c>
      <c r="AO532" s="11">
        <f t="shared" si="154"/>
        <v>0</v>
      </c>
      <c r="AP532" s="10">
        <v>0</v>
      </c>
      <c r="AQ532" s="56">
        <f t="shared" si="149"/>
        <v>2</v>
      </c>
      <c r="AS532" s="11">
        <f ca="1">IFERROR(OFFSET(ITEM_RES!$A$1,MATCH(AT532,ITEM_RES!$J:$J,0)-1,0),0)</f>
        <v>211020801</v>
      </c>
      <c r="AT532" s="10" t="s">
        <v>434</v>
      </c>
      <c r="AU532" s="11">
        <v>1</v>
      </c>
      <c r="AX532" s="11">
        <f ca="1">IFERROR(OFFSET(ITEM_RES!$A$1,MATCH(AY532,ITEM_RES!$J:$J,0)-1,0),0)</f>
        <v>0</v>
      </c>
      <c r="BC532" s="11">
        <f ca="1">IFERROR(OFFSET(ITEM_RES!$A$1,MATCH(BD532,ITEM_RES!$J:$J,0)-1,0),0)</f>
        <v>0</v>
      </c>
      <c r="BH532" s="11">
        <f ca="1">IFERROR(OFFSET(ITEM_RES!$A$1,MATCH(BI532,ITEM_RES!$J:$J,0)-1,0),0)</f>
        <v>213011701</v>
      </c>
      <c r="BI532" s="10" t="s">
        <v>478</v>
      </c>
      <c r="BJ532" s="11">
        <v>1</v>
      </c>
      <c r="BM532" s="11">
        <f ca="1">IFERROR(OFFSET(ITEM_RES!$A$1,MATCH(BN532,ITEM_RES!$J:$J,0)-1,0),0)</f>
        <v>0</v>
      </c>
    </row>
    <row r="533" spans="1:65" x14ac:dyDescent="0.3">
      <c r="A533" s="14">
        <f t="shared" si="151"/>
        <v>115030009</v>
      </c>
      <c r="B533" s="13">
        <v>11</v>
      </c>
      <c r="C533" s="12">
        <f t="shared" si="152"/>
        <v>5</v>
      </c>
      <c r="D533" s="13">
        <v>3</v>
      </c>
      <c r="E533" s="13">
        <v>0</v>
      </c>
      <c r="F533" s="12">
        <f t="shared" si="153"/>
        <v>9</v>
      </c>
      <c r="H533" s="9">
        <v>5</v>
      </c>
      <c r="I533" s="9">
        <v>9</v>
      </c>
      <c r="K533" s="9" t="s">
        <v>1083</v>
      </c>
      <c r="M533" s="9">
        <v>1</v>
      </c>
      <c r="N533" s="9">
        <v>15</v>
      </c>
      <c r="O533" s="9" t="s">
        <v>1103</v>
      </c>
      <c r="S533" s="9">
        <v>4444</v>
      </c>
      <c r="V533" s="9">
        <f ca="1">IFERROR(OFFSET(ITEM_RES!$A$5,MATCH(BUILDING!U533,ITEM_RES!$J$5:$J$229,0)-1,0),0)</f>
        <v>0</v>
      </c>
      <c r="Y533" s="9">
        <f ca="1">IFERROR(OFFSET(ITEM_RES!$A$5,MATCH(BUILDING!X533,ITEM_RES!$J$5:$J$229,0)-1,0),0)</f>
        <v>0</v>
      </c>
      <c r="AA533" s="9" t="s">
        <v>379</v>
      </c>
      <c r="AB533" s="9">
        <v>9</v>
      </c>
      <c r="AD533" s="11">
        <f ca="1">IFERROR(OFFSET(MANOR_LEVEL!$B$1,MATCH(AE533-1,MANOR_LEVEL!$A:$A,0)-1,0),0)</f>
        <v>528</v>
      </c>
      <c r="AE533" s="56">
        <v>3</v>
      </c>
      <c r="AG533" s="56">
        <f t="shared" ca="1" si="148"/>
        <v>150</v>
      </c>
      <c r="AH533" s="10">
        <f ca="1">AM533+AO533+(IFERROR(OFFSET(ITEM_RES!$S$1,MATCH(AS533,ITEM_RES!$A:$A,0)-1,0),0)*AU533+IFERROR(OFFSET(ITEM_RES!$S$1,MATCH(AX533,ITEM_RES!$A:$A,0)-1,0),0)*AZ533+IFERROR(OFFSET(ITEM_RES!$S$1,MATCH(BC533,ITEM_RES!$A:$A,0)-1,0),0)*BE533+IFERROR(OFFSET(ITEM_RES!$S$1,MATCH(BH533,ITEM_RES!$A:$A,0)-1,0),0)*BJ533+IFERROR(OFFSET(ITEM_RES!$S$1,MATCH(BM533,ITEM_RES!$A:$A,0)-1,0),0)*BO533)/1000</f>
        <v>150.1</v>
      </c>
      <c r="AI533" s="182">
        <f t="shared" ca="1" si="155"/>
        <v>1250</v>
      </c>
      <c r="AK533" s="11">
        <f t="shared" si="147"/>
        <v>45</v>
      </c>
      <c r="AL533" s="10">
        <v>45</v>
      </c>
      <c r="AM533" s="11">
        <f t="shared" si="154"/>
        <v>150</v>
      </c>
      <c r="AN533" s="10">
        <v>150</v>
      </c>
      <c r="AO533" s="11">
        <f t="shared" si="154"/>
        <v>0</v>
      </c>
      <c r="AP533" s="10">
        <v>0</v>
      </c>
      <c r="AQ533" s="56">
        <f t="shared" si="149"/>
        <v>1</v>
      </c>
      <c r="AS533" s="11">
        <f ca="1">IFERROR(OFFSET(ITEM_RES!$A$1,MATCH(AT533,ITEM_RES!$J:$J,0)-1,0),0)</f>
        <v>211020801</v>
      </c>
      <c r="AT533" s="10" t="s">
        <v>434</v>
      </c>
      <c r="AU533" s="11">
        <v>1</v>
      </c>
      <c r="AX533" s="11">
        <f ca="1">IFERROR(OFFSET(ITEM_RES!$A$1,MATCH(AY533,ITEM_RES!$J:$J,0)-1,0),0)</f>
        <v>0</v>
      </c>
      <c r="BC533" s="11">
        <f ca="1">IFERROR(OFFSET(ITEM_RES!$A$1,MATCH(BD533,ITEM_RES!$J:$J,0)-1,0),0)</f>
        <v>0</v>
      </c>
      <c r="BH533" s="11">
        <f ca="1">IFERROR(OFFSET(ITEM_RES!$A$1,MATCH(BI533,ITEM_RES!$J:$J,0)-1,0),0)</f>
        <v>0</v>
      </c>
      <c r="BM533" s="11">
        <f ca="1">IFERROR(OFFSET(ITEM_RES!$A$1,MATCH(BN533,ITEM_RES!$J:$J,0)-1,0),0)</f>
        <v>0</v>
      </c>
    </row>
    <row r="534" spans="1:65" x14ac:dyDescent="0.3">
      <c r="A534" s="14">
        <f t="shared" si="151"/>
        <v>115030010</v>
      </c>
      <c r="B534" s="13">
        <v>11</v>
      </c>
      <c r="C534" s="12">
        <f t="shared" si="152"/>
        <v>5</v>
      </c>
      <c r="D534" s="13">
        <v>3</v>
      </c>
      <c r="E534" s="13">
        <v>0</v>
      </c>
      <c r="F534" s="12">
        <f t="shared" si="153"/>
        <v>10</v>
      </c>
      <c r="H534" s="9">
        <v>5</v>
      </c>
      <c r="I534" s="9">
        <v>10</v>
      </c>
      <c r="K534" s="9" t="s">
        <v>1083</v>
      </c>
      <c r="M534" s="9">
        <v>1</v>
      </c>
      <c r="N534" s="9">
        <v>15</v>
      </c>
      <c r="O534" s="9" t="s">
        <v>1103</v>
      </c>
      <c r="S534" s="9">
        <v>4444</v>
      </c>
      <c r="V534" s="9">
        <f ca="1">IFERROR(OFFSET(ITEM_RES!$A$5,MATCH(BUILDING!U534,ITEM_RES!$J$5:$J$229,0)-1,0),0)</f>
        <v>0</v>
      </c>
      <c r="Y534" s="9">
        <f ca="1">IFERROR(OFFSET(ITEM_RES!$A$5,MATCH(BUILDING!X534,ITEM_RES!$J$5:$J$229,0)-1,0),0)</f>
        <v>0</v>
      </c>
      <c r="AA534" s="9" t="s">
        <v>379</v>
      </c>
      <c r="AB534" s="9">
        <v>10</v>
      </c>
      <c r="AD534" s="11">
        <f ca="1">IFERROR(OFFSET(MANOR_LEVEL!$B$1,MATCH(AE534-1,MANOR_LEVEL!$A:$A,0)-1,0),0)</f>
        <v>528</v>
      </c>
      <c r="AE534" s="56">
        <v>3</v>
      </c>
      <c r="AG534" s="56">
        <f t="shared" ca="1" si="148"/>
        <v>200</v>
      </c>
      <c r="AH534" s="10">
        <f ca="1">AM534+AO534+(IFERROR(OFFSET(ITEM_RES!$S$1,MATCH(AS534,ITEM_RES!$A:$A,0)-1,0),0)*AU534+IFERROR(OFFSET(ITEM_RES!$S$1,MATCH(AX534,ITEM_RES!$A:$A,0)-1,0),0)*AZ534+IFERROR(OFFSET(ITEM_RES!$S$1,MATCH(BC534,ITEM_RES!$A:$A,0)-1,0),0)*BE534+IFERROR(OFFSET(ITEM_RES!$S$1,MATCH(BH534,ITEM_RES!$A:$A,0)-1,0),0)*BJ534+IFERROR(OFFSET(ITEM_RES!$S$1,MATCH(BM534,ITEM_RES!$A:$A,0)-1,0),0)*BO534)/1000</f>
        <v>200.1</v>
      </c>
      <c r="AI534" s="182">
        <f t="shared" ca="1" si="155"/>
        <v>350</v>
      </c>
      <c r="AK534" s="11">
        <f t="shared" si="147"/>
        <v>50</v>
      </c>
      <c r="AL534" s="10">
        <v>50</v>
      </c>
      <c r="AM534" s="11">
        <f t="shared" si="154"/>
        <v>200</v>
      </c>
      <c r="AN534" s="10">
        <v>200</v>
      </c>
      <c r="AO534" s="11">
        <f t="shared" si="154"/>
        <v>0</v>
      </c>
      <c r="AP534" s="10">
        <v>0</v>
      </c>
      <c r="AQ534" s="56">
        <f t="shared" si="149"/>
        <v>1</v>
      </c>
      <c r="AS534" s="11">
        <f ca="1">IFERROR(OFFSET(ITEM_RES!$A$1,MATCH(AT534,ITEM_RES!$J:$J,0)-1,0),0)</f>
        <v>211020801</v>
      </c>
      <c r="AT534" s="10" t="s">
        <v>434</v>
      </c>
      <c r="AU534" s="11">
        <v>1</v>
      </c>
      <c r="AX534" s="11">
        <f ca="1">IFERROR(OFFSET(ITEM_RES!$A$1,MATCH(AY534,ITEM_RES!$J:$J,0)-1,0),0)</f>
        <v>0</v>
      </c>
      <c r="BC534" s="11">
        <f ca="1">IFERROR(OFFSET(ITEM_RES!$A$1,MATCH(BD534,ITEM_RES!$J:$J,0)-1,0),0)</f>
        <v>0</v>
      </c>
      <c r="BH534" s="11">
        <f ca="1">IFERROR(OFFSET(ITEM_RES!$A$1,MATCH(BI534,ITEM_RES!$J:$J,0)-1,0),0)</f>
        <v>0</v>
      </c>
      <c r="BM534" s="11">
        <f ca="1">IFERROR(OFFSET(ITEM_RES!$A$1,MATCH(BN534,ITEM_RES!$J:$J,0)-1,0),0)</f>
        <v>0</v>
      </c>
    </row>
    <row r="535" spans="1:65" x14ac:dyDescent="0.3">
      <c r="A535" s="14">
        <f t="shared" si="151"/>
        <v>115030011</v>
      </c>
      <c r="B535" s="13">
        <v>11</v>
      </c>
      <c r="C535" s="12">
        <f t="shared" si="152"/>
        <v>5</v>
      </c>
      <c r="D535" s="13">
        <v>3</v>
      </c>
      <c r="E535" s="13">
        <v>0</v>
      </c>
      <c r="F535" s="12">
        <f t="shared" si="153"/>
        <v>11</v>
      </c>
      <c r="H535" s="9">
        <v>5</v>
      </c>
      <c r="I535" s="9">
        <v>11</v>
      </c>
      <c r="K535" s="9" t="s">
        <v>1083</v>
      </c>
      <c r="M535" s="9">
        <v>1</v>
      </c>
      <c r="N535" s="9">
        <v>15</v>
      </c>
      <c r="O535" s="9" t="s">
        <v>1103</v>
      </c>
      <c r="S535" s="9">
        <v>4444</v>
      </c>
      <c r="V535" s="9">
        <f ca="1">IFERROR(OFFSET(ITEM_RES!$A$5,MATCH(BUILDING!U535,ITEM_RES!$J$5:$J$229,0)-1,0),0)</f>
        <v>0</v>
      </c>
      <c r="Y535" s="9">
        <f ca="1">IFERROR(OFFSET(ITEM_RES!$A$5,MATCH(BUILDING!X535,ITEM_RES!$J$5:$J$229,0)-1,0),0)</f>
        <v>0</v>
      </c>
      <c r="AA535" s="9" t="s">
        <v>379</v>
      </c>
      <c r="AB535" s="9">
        <v>11</v>
      </c>
      <c r="AD535" s="11">
        <f ca="1">IFERROR(OFFSET(MANOR_LEVEL!$B$1,MATCH(AE535-1,MANOR_LEVEL!$A:$A,0)-1,0),0)</f>
        <v>528</v>
      </c>
      <c r="AE535" s="56">
        <v>3</v>
      </c>
      <c r="AG535" s="56">
        <f t="shared" ca="1" si="148"/>
        <v>250</v>
      </c>
      <c r="AH535" s="10">
        <f ca="1">AM535+AO535+(IFERROR(OFFSET(ITEM_RES!$S$1,MATCH(AS535,ITEM_RES!$A:$A,0)-1,0),0)*AU535+IFERROR(OFFSET(ITEM_RES!$S$1,MATCH(AX535,ITEM_RES!$A:$A,0)-1,0),0)*AZ535+IFERROR(OFFSET(ITEM_RES!$S$1,MATCH(BC535,ITEM_RES!$A:$A,0)-1,0),0)*BE535+IFERROR(OFFSET(ITEM_RES!$S$1,MATCH(BH535,ITEM_RES!$A:$A,0)-1,0),0)*BJ535+IFERROR(OFFSET(ITEM_RES!$S$1,MATCH(BM535,ITEM_RES!$A:$A,0)-1,0),0)*BO535)/1000</f>
        <v>250.1</v>
      </c>
      <c r="AI535" s="182">
        <f t="shared" ca="1" si="155"/>
        <v>450</v>
      </c>
      <c r="AK535" s="11">
        <f t="shared" si="147"/>
        <v>55</v>
      </c>
      <c r="AL535" s="10">
        <v>55</v>
      </c>
      <c r="AM535" s="11">
        <f t="shared" si="154"/>
        <v>250</v>
      </c>
      <c r="AN535" s="10">
        <v>250</v>
      </c>
      <c r="AO535" s="11">
        <f t="shared" si="154"/>
        <v>0</v>
      </c>
      <c r="AP535" s="10">
        <v>0</v>
      </c>
      <c r="AQ535" s="56">
        <f t="shared" si="149"/>
        <v>1</v>
      </c>
      <c r="AS535" s="11">
        <f ca="1">IFERROR(OFFSET(ITEM_RES!$A$1,MATCH(AT535,ITEM_RES!$J:$J,0)-1,0),0)</f>
        <v>211020801</v>
      </c>
      <c r="AT535" s="10" t="s">
        <v>434</v>
      </c>
      <c r="AU535" s="11">
        <v>1</v>
      </c>
      <c r="AX535" s="11">
        <f ca="1">IFERROR(OFFSET(ITEM_RES!$A$1,MATCH(AY535,ITEM_RES!$J:$J,0)-1,0),0)</f>
        <v>0</v>
      </c>
      <c r="BC535" s="11">
        <f ca="1">IFERROR(OFFSET(ITEM_RES!$A$1,MATCH(BD535,ITEM_RES!$J:$J,0)-1,0),0)</f>
        <v>0</v>
      </c>
      <c r="BH535" s="11">
        <f ca="1">IFERROR(OFFSET(ITEM_RES!$A$1,MATCH(BI535,ITEM_RES!$J:$J,0)-1,0),0)</f>
        <v>0</v>
      </c>
      <c r="BM535" s="11">
        <f ca="1">IFERROR(OFFSET(ITEM_RES!$A$1,MATCH(BN535,ITEM_RES!$J:$J,0)-1,0),0)</f>
        <v>0</v>
      </c>
    </row>
    <row r="536" spans="1:65" x14ac:dyDescent="0.3">
      <c r="A536" s="14">
        <f t="shared" si="151"/>
        <v>115030012</v>
      </c>
      <c r="B536" s="13">
        <v>11</v>
      </c>
      <c r="C536" s="12">
        <f t="shared" si="152"/>
        <v>5</v>
      </c>
      <c r="D536" s="13">
        <v>3</v>
      </c>
      <c r="E536" s="13">
        <v>0</v>
      </c>
      <c r="F536" s="12">
        <f t="shared" si="153"/>
        <v>12</v>
      </c>
      <c r="H536" s="9">
        <v>5</v>
      </c>
      <c r="I536" s="9">
        <v>12</v>
      </c>
      <c r="K536" s="9" t="s">
        <v>1083</v>
      </c>
      <c r="M536" s="9">
        <v>1</v>
      </c>
      <c r="N536" s="9">
        <v>15</v>
      </c>
      <c r="O536" s="9" t="s">
        <v>1103</v>
      </c>
      <c r="S536" s="9">
        <v>4444</v>
      </c>
      <c r="V536" s="9">
        <f ca="1">IFERROR(OFFSET(ITEM_RES!$A$5,MATCH(BUILDING!U536,ITEM_RES!$J$5:$J$229,0)-1,0),0)</f>
        <v>0</v>
      </c>
      <c r="Y536" s="9">
        <f ca="1">IFERROR(OFFSET(ITEM_RES!$A$5,MATCH(BUILDING!X536,ITEM_RES!$J$5:$J$229,0)-1,0),0)</f>
        <v>0</v>
      </c>
      <c r="AA536" s="9" t="s">
        <v>379</v>
      </c>
      <c r="AB536" s="9">
        <v>12</v>
      </c>
      <c r="AD536" s="11">
        <f ca="1">IFERROR(OFFSET(MANOR_LEVEL!$B$1,MATCH(AE536-1,MANOR_LEVEL!$A:$A,0)-1,0),0)</f>
        <v>800</v>
      </c>
      <c r="AE536" s="56">
        <v>4</v>
      </c>
      <c r="AG536" s="56">
        <f t="shared" ca="1" si="148"/>
        <v>300</v>
      </c>
      <c r="AH536" s="10">
        <f ca="1">AM536+AO536+(IFERROR(OFFSET(ITEM_RES!$S$1,MATCH(AS536,ITEM_RES!$A:$A,0)-1,0),0)*AU536+IFERROR(OFFSET(ITEM_RES!$S$1,MATCH(AX536,ITEM_RES!$A:$A,0)-1,0),0)*AZ536+IFERROR(OFFSET(ITEM_RES!$S$1,MATCH(BC536,ITEM_RES!$A:$A,0)-1,0),0)*BE536+IFERROR(OFFSET(ITEM_RES!$S$1,MATCH(BH536,ITEM_RES!$A:$A,0)-1,0),0)*BJ536+IFERROR(OFFSET(ITEM_RES!$S$1,MATCH(BM536,ITEM_RES!$A:$A,0)-1,0),0)*BO536)/1000</f>
        <v>300.10000000000002</v>
      </c>
      <c r="AI536" s="182">
        <f t="shared" ca="1" si="155"/>
        <v>550</v>
      </c>
      <c r="AK536" s="11">
        <f t="shared" si="147"/>
        <v>60</v>
      </c>
      <c r="AL536" s="10">
        <v>60</v>
      </c>
      <c r="AM536" s="11">
        <f t="shared" si="154"/>
        <v>300</v>
      </c>
      <c r="AN536" s="10">
        <v>300</v>
      </c>
      <c r="AO536" s="11">
        <f t="shared" si="154"/>
        <v>0</v>
      </c>
      <c r="AP536" s="10">
        <v>0</v>
      </c>
      <c r="AQ536" s="56">
        <f t="shared" si="149"/>
        <v>1</v>
      </c>
      <c r="AS536" s="11">
        <f ca="1">IFERROR(OFFSET(ITEM_RES!$A$1,MATCH(AT536,ITEM_RES!$J:$J,0)-1,0),0)</f>
        <v>211020801</v>
      </c>
      <c r="AT536" s="10" t="s">
        <v>434</v>
      </c>
      <c r="AU536" s="11">
        <v>1</v>
      </c>
      <c r="AX536" s="11">
        <f ca="1">IFERROR(OFFSET(ITEM_RES!$A$1,MATCH(AY536,ITEM_RES!$J:$J,0)-1,0),0)</f>
        <v>0</v>
      </c>
      <c r="BC536" s="11">
        <f ca="1">IFERROR(OFFSET(ITEM_RES!$A$1,MATCH(BD536,ITEM_RES!$J:$J,0)-1,0),0)</f>
        <v>0</v>
      </c>
      <c r="BH536" s="11">
        <f ca="1">IFERROR(OFFSET(ITEM_RES!$A$1,MATCH(BI536,ITEM_RES!$J:$J,0)-1,0),0)</f>
        <v>0</v>
      </c>
      <c r="BM536" s="11">
        <f ca="1">IFERROR(OFFSET(ITEM_RES!$A$1,MATCH(BN536,ITEM_RES!$J:$J,0)-1,0),0)</f>
        <v>0</v>
      </c>
    </row>
    <row r="537" spans="1:65" x14ac:dyDescent="0.3">
      <c r="A537" s="14">
        <f t="shared" si="151"/>
        <v>115030013</v>
      </c>
      <c r="B537" s="13">
        <v>11</v>
      </c>
      <c r="C537" s="12">
        <f t="shared" si="152"/>
        <v>5</v>
      </c>
      <c r="D537" s="13">
        <v>3</v>
      </c>
      <c r="E537" s="13">
        <v>0</v>
      </c>
      <c r="F537" s="12">
        <f t="shared" si="153"/>
        <v>13</v>
      </c>
      <c r="H537" s="9">
        <v>5</v>
      </c>
      <c r="I537" s="9">
        <v>13</v>
      </c>
      <c r="K537" s="9" t="s">
        <v>1083</v>
      </c>
      <c r="M537" s="9">
        <v>1</v>
      </c>
      <c r="N537" s="9">
        <v>15</v>
      </c>
      <c r="O537" s="9" t="s">
        <v>1103</v>
      </c>
      <c r="S537" s="9">
        <v>4444</v>
      </c>
      <c r="V537" s="9">
        <f ca="1">IFERROR(OFFSET(ITEM_RES!$A$5,MATCH(BUILDING!U537,ITEM_RES!$J$5:$J$229,0)-1,0),0)</f>
        <v>0</v>
      </c>
      <c r="Y537" s="9">
        <f ca="1">IFERROR(OFFSET(ITEM_RES!$A$5,MATCH(BUILDING!X537,ITEM_RES!$J$5:$J$229,0)-1,0),0)</f>
        <v>0</v>
      </c>
      <c r="AA537" s="9" t="s">
        <v>379</v>
      </c>
      <c r="AB537" s="9">
        <v>13</v>
      </c>
      <c r="AD537" s="11">
        <f ca="1">IFERROR(OFFSET(MANOR_LEVEL!$B$1,MATCH(AE537-1,MANOR_LEVEL!$A:$A,0)-1,0),0)</f>
        <v>800</v>
      </c>
      <c r="AE537" s="56">
        <v>4</v>
      </c>
      <c r="AG537" s="56">
        <f t="shared" ca="1" si="148"/>
        <v>350</v>
      </c>
      <c r="AH537" s="10">
        <f ca="1">AM537+AO537+(IFERROR(OFFSET(ITEM_RES!$S$1,MATCH(AS537,ITEM_RES!$A:$A,0)-1,0),0)*AU537+IFERROR(OFFSET(ITEM_RES!$S$1,MATCH(AX537,ITEM_RES!$A:$A,0)-1,0),0)*AZ537+IFERROR(OFFSET(ITEM_RES!$S$1,MATCH(BC537,ITEM_RES!$A:$A,0)-1,0),0)*BE537+IFERROR(OFFSET(ITEM_RES!$S$1,MATCH(BH537,ITEM_RES!$A:$A,0)-1,0),0)*BJ537+IFERROR(OFFSET(ITEM_RES!$S$1,MATCH(BM537,ITEM_RES!$A:$A,0)-1,0),0)*BO537)/1000</f>
        <v>350.1</v>
      </c>
      <c r="AI537" s="182">
        <f t="shared" ca="1" si="155"/>
        <v>650</v>
      </c>
      <c r="AK537" s="11">
        <f t="shared" si="147"/>
        <v>65</v>
      </c>
      <c r="AL537" s="10">
        <v>65</v>
      </c>
      <c r="AM537" s="11">
        <f t="shared" si="154"/>
        <v>350</v>
      </c>
      <c r="AN537" s="10">
        <v>350</v>
      </c>
      <c r="AO537" s="11">
        <f t="shared" si="154"/>
        <v>0</v>
      </c>
      <c r="AP537" s="10">
        <v>0</v>
      </c>
      <c r="AQ537" s="56">
        <f t="shared" si="149"/>
        <v>1</v>
      </c>
      <c r="AS537" s="11">
        <f ca="1">IFERROR(OFFSET(ITEM_RES!$A$1,MATCH(AT537,ITEM_RES!$J:$J,0)-1,0),0)</f>
        <v>211020801</v>
      </c>
      <c r="AT537" s="10" t="s">
        <v>434</v>
      </c>
      <c r="AU537" s="11">
        <v>1</v>
      </c>
      <c r="AX537" s="11">
        <f ca="1">IFERROR(OFFSET(ITEM_RES!$A$1,MATCH(AY537,ITEM_RES!$J:$J,0)-1,0),0)</f>
        <v>0</v>
      </c>
      <c r="BC537" s="11">
        <f ca="1">IFERROR(OFFSET(ITEM_RES!$A$1,MATCH(BD537,ITEM_RES!$J:$J,0)-1,0),0)</f>
        <v>0</v>
      </c>
      <c r="BH537" s="11">
        <f ca="1">IFERROR(OFFSET(ITEM_RES!$A$1,MATCH(BI537,ITEM_RES!$J:$J,0)-1,0),0)</f>
        <v>0</v>
      </c>
      <c r="BM537" s="11">
        <f ca="1">IFERROR(OFFSET(ITEM_RES!$A$1,MATCH(BN537,ITEM_RES!$J:$J,0)-1,0),0)</f>
        <v>0</v>
      </c>
    </row>
    <row r="538" spans="1:65" x14ac:dyDescent="0.3">
      <c r="A538" s="14">
        <f t="shared" si="151"/>
        <v>115030014</v>
      </c>
      <c r="B538" s="13">
        <v>11</v>
      </c>
      <c r="C538" s="12">
        <f t="shared" si="152"/>
        <v>5</v>
      </c>
      <c r="D538" s="13">
        <v>3</v>
      </c>
      <c r="E538" s="13">
        <v>0</v>
      </c>
      <c r="F538" s="12">
        <f t="shared" si="153"/>
        <v>14</v>
      </c>
      <c r="H538" s="9">
        <v>5</v>
      </c>
      <c r="I538" s="9">
        <v>14</v>
      </c>
      <c r="K538" s="9" t="s">
        <v>1083</v>
      </c>
      <c r="M538" s="9">
        <v>1</v>
      </c>
      <c r="N538" s="9">
        <v>15</v>
      </c>
      <c r="O538" s="9" t="s">
        <v>1103</v>
      </c>
      <c r="S538" s="9">
        <v>4444</v>
      </c>
      <c r="V538" s="9">
        <f ca="1">IFERROR(OFFSET(ITEM_RES!$A$5,MATCH(BUILDING!U538,ITEM_RES!$J$5:$J$229,0)-1,0),0)</f>
        <v>0</v>
      </c>
      <c r="Y538" s="9">
        <f ca="1">IFERROR(OFFSET(ITEM_RES!$A$5,MATCH(BUILDING!X538,ITEM_RES!$J$5:$J$229,0)-1,0),0)</f>
        <v>0</v>
      </c>
      <c r="AA538" s="9" t="s">
        <v>379</v>
      </c>
      <c r="AB538" s="9">
        <v>14</v>
      </c>
      <c r="AD538" s="11">
        <f ca="1">IFERROR(OFFSET(MANOR_LEVEL!$B$1,MATCH(AE538-1,MANOR_LEVEL!$A:$A,0)-1,0),0)</f>
        <v>800</v>
      </c>
      <c r="AE538" s="56">
        <v>4</v>
      </c>
      <c r="AG538" s="56">
        <f t="shared" ca="1" si="148"/>
        <v>450</v>
      </c>
      <c r="AH538" s="10">
        <f ca="1">AM538+AO538+(IFERROR(OFFSET(ITEM_RES!$S$1,MATCH(AS538,ITEM_RES!$A:$A,0)-1,0),0)*AU538+IFERROR(OFFSET(ITEM_RES!$S$1,MATCH(AX538,ITEM_RES!$A:$A,0)-1,0),0)*AZ538+IFERROR(OFFSET(ITEM_RES!$S$1,MATCH(BC538,ITEM_RES!$A:$A,0)-1,0),0)*BE538+IFERROR(OFFSET(ITEM_RES!$S$1,MATCH(BH538,ITEM_RES!$A:$A,0)-1,0),0)*BJ538+IFERROR(OFFSET(ITEM_RES!$S$1,MATCH(BM538,ITEM_RES!$A:$A,0)-1,0),0)*BO538)/1000</f>
        <v>450.2</v>
      </c>
      <c r="AI538" s="182">
        <f t="shared" ca="1" si="155"/>
        <v>800</v>
      </c>
      <c r="AK538" s="11">
        <f t="shared" si="147"/>
        <v>70</v>
      </c>
      <c r="AL538" s="10">
        <v>70</v>
      </c>
      <c r="AM538" s="11">
        <f t="shared" si="154"/>
        <v>450</v>
      </c>
      <c r="AN538" s="10">
        <v>450</v>
      </c>
      <c r="AO538" s="11">
        <f t="shared" si="154"/>
        <v>0</v>
      </c>
      <c r="AP538" s="10">
        <v>0</v>
      </c>
      <c r="AQ538" s="56">
        <f t="shared" si="149"/>
        <v>1</v>
      </c>
      <c r="AS538" s="11">
        <f ca="1">IFERROR(OFFSET(ITEM_RES!$A$1,MATCH(AT538,ITEM_RES!$J:$J,0)-1,0),0)</f>
        <v>211020901</v>
      </c>
      <c r="AT538" s="10" t="s">
        <v>444</v>
      </c>
      <c r="AU538" s="11">
        <v>1</v>
      </c>
      <c r="AX538" s="11">
        <f ca="1">IFERROR(OFFSET(ITEM_RES!$A$1,MATCH(AY538,ITEM_RES!$J:$J,0)-1,0),0)</f>
        <v>0</v>
      </c>
      <c r="BC538" s="11">
        <f ca="1">IFERROR(OFFSET(ITEM_RES!$A$1,MATCH(BD538,ITEM_RES!$J:$J,0)-1,0),0)</f>
        <v>0</v>
      </c>
      <c r="BH538" s="11">
        <f ca="1">IFERROR(OFFSET(ITEM_RES!$A$1,MATCH(BI538,ITEM_RES!$J:$J,0)-1,0),0)</f>
        <v>0</v>
      </c>
      <c r="BM538" s="11">
        <f ca="1">IFERROR(OFFSET(ITEM_RES!$A$1,MATCH(BN538,ITEM_RES!$J:$J,0)-1,0),0)</f>
        <v>0</v>
      </c>
    </row>
    <row r="539" spans="1:65" x14ac:dyDescent="0.3">
      <c r="A539" s="14">
        <f t="shared" si="151"/>
        <v>115030015</v>
      </c>
      <c r="B539" s="13">
        <v>11</v>
      </c>
      <c r="C539" s="12">
        <f t="shared" si="152"/>
        <v>5</v>
      </c>
      <c r="D539" s="13">
        <v>3</v>
      </c>
      <c r="E539" s="13">
        <v>0</v>
      </c>
      <c r="F539" s="12">
        <f t="shared" si="153"/>
        <v>15</v>
      </c>
      <c r="H539" s="9">
        <v>5</v>
      </c>
      <c r="I539" s="9">
        <v>15</v>
      </c>
      <c r="K539" s="9" t="s">
        <v>1083</v>
      </c>
      <c r="M539" s="9">
        <v>1</v>
      </c>
      <c r="N539" s="9">
        <v>15</v>
      </c>
      <c r="O539" s="9" t="s">
        <v>1103</v>
      </c>
      <c r="S539" s="9">
        <v>4444</v>
      </c>
      <c r="V539" s="9">
        <f ca="1">IFERROR(OFFSET(ITEM_RES!$A$5,MATCH(BUILDING!U539,ITEM_RES!$J$5:$J$229,0)-1,0),0)</f>
        <v>0</v>
      </c>
      <c r="Y539" s="9">
        <f ca="1">IFERROR(OFFSET(ITEM_RES!$A$5,MATCH(BUILDING!X539,ITEM_RES!$J$5:$J$229,0)-1,0),0)</f>
        <v>0</v>
      </c>
      <c r="AA539" s="9" t="s">
        <v>379</v>
      </c>
      <c r="AB539" s="9">
        <v>15</v>
      </c>
      <c r="AD539" s="11">
        <f ca="1">IFERROR(OFFSET(MANOR_LEVEL!$B$1,MATCH(AE539-1,MANOR_LEVEL!$A:$A,0)-1,0),0)</f>
        <v>1500</v>
      </c>
      <c r="AE539" s="56">
        <v>5</v>
      </c>
      <c r="AG539" s="56">
        <f t="shared" ca="1" si="148"/>
        <v>550</v>
      </c>
      <c r="AH539" s="10">
        <f ca="1">AM539+AO539+(IFERROR(OFFSET(ITEM_RES!$S$1,MATCH(AS539,ITEM_RES!$A:$A,0)-1,0),0)*AU539+IFERROR(OFFSET(ITEM_RES!$S$1,MATCH(AX539,ITEM_RES!$A:$A,0)-1,0),0)*AZ539+IFERROR(OFFSET(ITEM_RES!$S$1,MATCH(BC539,ITEM_RES!$A:$A,0)-1,0),0)*BE539+IFERROR(OFFSET(ITEM_RES!$S$1,MATCH(BH539,ITEM_RES!$A:$A,0)-1,0),0)*BJ539+IFERROR(OFFSET(ITEM_RES!$S$1,MATCH(BM539,ITEM_RES!$A:$A,0)-1,0),0)*BO539)/1000</f>
        <v>550.20000000000005</v>
      </c>
      <c r="AI539" s="182">
        <f t="shared" ca="1" si="155"/>
        <v>1000</v>
      </c>
      <c r="AK539" s="11">
        <f t="shared" si="147"/>
        <v>75</v>
      </c>
      <c r="AL539" s="10">
        <v>75</v>
      </c>
      <c r="AM539" s="11">
        <f t="shared" si="154"/>
        <v>550</v>
      </c>
      <c r="AN539" s="10">
        <v>550</v>
      </c>
      <c r="AO539" s="11">
        <f t="shared" si="154"/>
        <v>0</v>
      </c>
      <c r="AP539" s="10">
        <v>0</v>
      </c>
      <c r="AQ539" s="56">
        <f t="shared" si="149"/>
        <v>1</v>
      </c>
      <c r="AS539" s="11">
        <f ca="1">IFERROR(OFFSET(ITEM_RES!$A$1,MATCH(AT539,ITEM_RES!$J:$J,0)-1,0),0)</f>
        <v>211020901</v>
      </c>
      <c r="AT539" s="10" t="s">
        <v>444</v>
      </c>
      <c r="AU539" s="11">
        <v>1</v>
      </c>
      <c r="AX539" s="11">
        <f ca="1">IFERROR(OFFSET(ITEM_RES!$A$1,MATCH(AY539,ITEM_RES!$J:$J,0)-1,0),0)</f>
        <v>0</v>
      </c>
      <c r="BC539" s="11">
        <f ca="1">IFERROR(OFFSET(ITEM_RES!$A$1,MATCH(BD539,ITEM_RES!$J:$J,0)-1,0),0)</f>
        <v>0</v>
      </c>
      <c r="BH539" s="11">
        <f ca="1">IFERROR(OFFSET(ITEM_RES!$A$1,MATCH(BI539,ITEM_RES!$J:$J,0)-1,0),0)</f>
        <v>0</v>
      </c>
      <c r="BM539" s="11">
        <f ca="1">IFERROR(OFFSET(ITEM_RES!$A$1,MATCH(BN539,ITEM_RES!$J:$J,0)-1,0),0)</f>
        <v>0</v>
      </c>
    </row>
    <row r="540" spans="1:65" x14ac:dyDescent="0.3">
      <c r="A540" s="14">
        <f t="shared" si="151"/>
        <v>115030016</v>
      </c>
      <c r="B540" s="13">
        <v>11</v>
      </c>
      <c r="C540" s="12">
        <f t="shared" si="152"/>
        <v>5</v>
      </c>
      <c r="D540" s="13">
        <v>3</v>
      </c>
      <c r="E540" s="13">
        <v>0</v>
      </c>
      <c r="F540" s="12">
        <f t="shared" si="153"/>
        <v>16</v>
      </c>
      <c r="H540" s="9">
        <v>5</v>
      </c>
      <c r="I540" s="9">
        <v>16</v>
      </c>
      <c r="K540" s="9" t="s">
        <v>1083</v>
      </c>
      <c r="M540" s="9">
        <v>0</v>
      </c>
      <c r="N540" s="9">
        <v>15</v>
      </c>
      <c r="O540" s="9" t="s">
        <v>1103</v>
      </c>
      <c r="S540" s="9">
        <v>4444</v>
      </c>
      <c r="V540" s="9">
        <f ca="1">IFERROR(OFFSET(ITEM_RES!$A$5,MATCH(BUILDING!U540,ITEM_RES!$J$5:$J$229,0)-1,0),0)</f>
        <v>0</v>
      </c>
      <c r="Y540" s="9">
        <f ca="1">IFERROR(OFFSET(ITEM_RES!$A$5,MATCH(BUILDING!X540,ITEM_RES!$J$5:$J$229,0)-1,0),0)</f>
        <v>0</v>
      </c>
      <c r="AA540" s="9" t="s">
        <v>379</v>
      </c>
      <c r="AB540" s="9">
        <v>16</v>
      </c>
      <c r="AD540" s="11">
        <f ca="1">IFERROR(OFFSET(MANOR_LEVEL!$B$1,MATCH(AE540-1,MANOR_LEVEL!$A:$A,0)-1,0),0)</f>
        <v>1500</v>
      </c>
      <c r="AE540" s="56">
        <v>5</v>
      </c>
      <c r="AG540" s="56">
        <f t="shared" ca="1" si="148"/>
        <v>700</v>
      </c>
      <c r="AH540" s="10">
        <f ca="1">AM540+AO540+(IFERROR(OFFSET(ITEM_RES!$S$1,MATCH(AS540,ITEM_RES!$A:$A,0)-1,0),0)*AU540+IFERROR(OFFSET(ITEM_RES!$S$1,MATCH(AX540,ITEM_RES!$A:$A,0)-1,0),0)*AZ540+IFERROR(OFFSET(ITEM_RES!$S$1,MATCH(BC540,ITEM_RES!$A:$A,0)-1,0),0)*BE540+IFERROR(OFFSET(ITEM_RES!$S$1,MATCH(BH540,ITEM_RES!$A:$A,0)-1,0),0)*BJ540+IFERROR(OFFSET(ITEM_RES!$S$1,MATCH(BM540,ITEM_RES!$A:$A,0)-1,0),0)*BO540)/1000</f>
        <v>700.2</v>
      </c>
      <c r="AI540" s="182">
        <f t="shared" ca="1" si="155"/>
        <v>1250</v>
      </c>
      <c r="AK540" s="11">
        <f t="shared" si="147"/>
        <v>80</v>
      </c>
      <c r="AL540" s="10">
        <v>80</v>
      </c>
      <c r="AM540" s="11">
        <f t="shared" si="154"/>
        <v>700</v>
      </c>
      <c r="AN540" s="10">
        <v>700</v>
      </c>
      <c r="AO540" s="11">
        <f t="shared" si="154"/>
        <v>0</v>
      </c>
      <c r="AP540" s="10">
        <v>0</v>
      </c>
      <c r="AQ540" s="56">
        <f t="shared" si="149"/>
        <v>1</v>
      </c>
      <c r="AS540" s="11">
        <f ca="1">IFERROR(OFFSET(ITEM_RES!$A$1,MATCH(AT540,ITEM_RES!$J:$J,0)-1,0),0)</f>
        <v>211020901</v>
      </c>
      <c r="AT540" s="10" t="s">
        <v>444</v>
      </c>
      <c r="AU540" s="11">
        <v>1</v>
      </c>
      <c r="AX540" s="11">
        <f ca="1">IFERROR(OFFSET(ITEM_RES!$A$1,MATCH(AY540,ITEM_RES!$J:$J,0)-1,0),0)</f>
        <v>0</v>
      </c>
      <c r="BC540" s="11">
        <f ca="1">IFERROR(OFFSET(ITEM_RES!$A$1,MATCH(BD540,ITEM_RES!$J:$J,0)-1,0),0)</f>
        <v>0</v>
      </c>
      <c r="BH540" s="11">
        <f ca="1">IFERROR(OFFSET(ITEM_RES!$A$1,MATCH(BI540,ITEM_RES!$J:$J,0)-1,0),0)</f>
        <v>0</v>
      </c>
      <c r="BM540" s="11">
        <f ca="1">IFERROR(OFFSET(ITEM_RES!$A$1,MATCH(BN540,ITEM_RES!$J:$J,0)-1,0),0)</f>
        <v>0</v>
      </c>
    </row>
    <row r="541" spans="1:65" x14ac:dyDescent="0.3">
      <c r="A541" s="14">
        <f t="shared" si="151"/>
        <v>115030017</v>
      </c>
      <c r="B541" s="13">
        <v>11</v>
      </c>
      <c r="C541" s="12">
        <f t="shared" si="152"/>
        <v>5</v>
      </c>
      <c r="D541" s="13">
        <v>3</v>
      </c>
      <c r="E541" s="13">
        <v>0</v>
      </c>
      <c r="F541" s="12">
        <f t="shared" si="153"/>
        <v>17</v>
      </c>
      <c r="H541" s="9">
        <v>5</v>
      </c>
      <c r="I541" s="9">
        <v>17</v>
      </c>
      <c r="K541" s="9" t="s">
        <v>1083</v>
      </c>
      <c r="M541" s="9">
        <v>0</v>
      </c>
      <c r="N541" s="9">
        <v>15</v>
      </c>
      <c r="O541" s="9" t="s">
        <v>1103</v>
      </c>
      <c r="S541" s="9">
        <v>4444</v>
      </c>
      <c r="V541" s="9">
        <f ca="1">IFERROR(OFFSET(ITEM_RES!$A$5,MATCH(BUILDING!U541,ITEM_RES!$J$5:$J$229,0)-1,0),0)</f>
        <v>0</v>
      </c>
      <c r="Y541" s="9">
        <f ca="1">IFERROR(OFFSET(ITEM_RES!$A$5,MATCH(BUILDING!X541,ITEM_RES!$J$5:$J$229,0)-1,0),0)</f>
        <v>0</v>
      </c>
      <c r="AA541" s="9" t="s">
        <v>379</v>
      </c>
      <c r="AB541" s="9">
        <v>17</v>
      </c>
      <c r="AD541" s="11">
        <f ca="1">IFERROR(OFFSET(MANOR_LEVEL!$B$1,MATCH(AE541-1,MANOR_LEVEL!$A:$A,0)-1,0),0)</f>
        <v>3872</v>
      </c>
      <c r="AE541" s="56">
        <v>6</v>
      </c>
      <c r="AG541" s="56">
        <f t="shared" ca="1" si="148"/>
        <v>850</v>
      </c>
      <c r="AH541" s="10">
        <f ca="1">AM541+AO541+(IFERROR(OFFSET(ITEM_RES!$S$1,MATCH(AS541,ITEM_RES!$A:$A,0)-1,0),0)*AU541+IFERROR(OFFSET(ITEM_RES!$S$1,MATCH(AX541,ITEM_RES!$A:$A,0)-1,0),0)*AZ541+IFERROR(OFFSET(ITEM_RES!$S$1,MATCH(BC541,ITEM_RES!$A:$A,0)-1,0),0)*BE541+IFERROR(OFFSET(ITEM_RES!$S$1,MATCH(BH541,ITEM_RES!$A:$A,0)-1,0),0)*BJ541+IFERROR(OFFSET(ITEM_RES!$S$1,MATCH(BM541,ITEM_RES!$A:$A,0)-1,0),0)*BO541)/1000</f>
        <v>850.2</v>
      </c>
      <c r="AI541" s="182">
        <f t="shared" ca="1" si="155"/>
        <v>1550</v>
      </c>
      <c r="AK541" s="11">
        <f t="shared" si="147"/>
        <v>85</v>
      </c>
      <c r="AL541" s="10">
        <v>85</v>
      </c>
      <c r="AM541" s="11">
        <f t="shared" si="154"/>
        <v>850</v>
      </c>
      <c r="AN541" s="10">
        <v>850</v>
      </c>
      <c r="AO541" s="11">
        <f t="shared" si="154"/>
        <v>0</v>
      </c>
      <c r="AP541" s="10">
        <v>0</v>
      </c>
      <c r="AQ541" s="56">
        <f t="shared" si="149"/>
        <v>1</v>
      </c>
      <c r="AS541" s="11">
        <f ca="1">IFERROR(OFFSET(ITEM_RES!$A$1,MATCH(AT541,ITEM_RES!$J:$J,0)-1,0),0)</f>
        <v>211020901</v>
      </c>
      <c r="AT541" s="10" t="s">
        <v>444</v>
      </c>
      <c r="AU541" s="11">
        <v>1</v>
      </c>
      <c r="AX541" s="11">
        <f ca="1">IFERROR(OFFSET(ITEM_RES!$A$1,MATCH(AY541,ITEM_RES!$J:$J,0)-1,0),0)</f>
        <v>0</v>
      </c>
      <c r="BC541" s="11">
        <f ca="1">IFERROR(OFFSET(ITEM_RES!$A$1,MATCH(BD541,ITEM_RES!$J:$J,0)-1,0),0)</f>
        <v>0</v>
      </c>
      <c r="BH541" s="11">
        <f ca="1">IFERROR(OFFSET(ITEM_RES!$A$1,MATCH(BI541,ITEM_RES!$J:$J,0)-1,0),0)</f>
        <v>0</v>
      </c>
      <c r="BM541" s="11">
        <f ca="1">IFERROR(OFFSET(ITEM_RES!$A$1,MATCH(BN541,ITEM_RES!$J:$J,0)-1,0),0)</f>
        <v>0</v>
      </c>
    </row>
    <row r="542" spans="1:65" x14ac:dyDescent="0.3">
      <c r="A542" s="14">
        <f t="shared" si="151"/>
        <v>115030018</v>
      </c>
      <c r="B542" s="13">
        <v>11</v>
      </c>
      <c r="C542" s="12">
        <f t="shared" si="152"/>
        <v>5</v>
      </c>
      <c r="D542" s="13">
        <v>3</v>
      </c>
      <c r="E542" s="13">
        <v>0</v>
      </c>
      <c r="F542" s="12">
        <f t="shared" si="153"/>
        <v>18</v>
      </c>
      <c r="H542" s="9">
        <v>5</v>
      </c>
      <c r="I542" s="9">
        <v>18</v>
      </c>
      <c r="K542" s="9" t="s">
        <v>1083</v>
      </c>
      <c r="M542" s="9">
        <v>0</v>
      </c>
      <c r="N542" s="9">
        <v>15</v>
      </c>
      <c r="O542" s="9" t="s">
        <v>1103</v>
      </c>
      <c r="S542" s="9">
        <v>4444</v>
      </c>
      <c r="V542" s="9">
        <f ca="1">IFERROR(OFFSET(ITEM_RES!$A$5,MATCH(BUILDING!U542,ITEM_RES!$J$5:$J$229,0)-1,0),0)</f>
        <v>0</v>
      </c>
      <c r="Y542" s="9">
        <f ca="1">IFERROR(OFFSET(ITEM_RES!$A$5,MATCH(BUILDING!X542,ITEM_RES!$J$5:$J$229,0)-1,0),0)</f>
        <v>0</v>
      </c>
      <c r="AA542" s="9" t="s">
        <v>379</v>
      </c>
      <c r="AB542" s="9">
        <v>18</v>
      </c>
      <c r="AD542" s="11">
        <f ca="1">IFERROR(OFFSET(MANOR_LEVEL!$B$1,MATCH(AE542-1,MANOR_LEVEL!$A:$A,0)-1,0),0)</f>
        <v>32640</v>
      </c>
      <c r="AE542" s="56">
        <v>7</v>
      </c>
      <c r="AG542" s="56">
        <f t="shared" ca="1" si="148"/>
        <v>1050</v>
      </c>
      <c r="AH542" s="10">
        <f ca="1">AM542+AO542+(IFERROR(OFFSET(ITEM_RES!$S$1,MATCH(AS542,ITEM_RES!$A:$A,0)-1,0),0)*AU542+IFERROR(OFFSET(ITEM_RES!$S$1,MATCH(AX542,ITEM_RES!$A:$A,0)-1,0),0)*AZ542+IFERROR(OFFSET(ITEM_RES!$S$1,MATCH(BC542,ITEM_RES!$A:$A,0)-1,0),0)*BE542+IFERROR(OFFSET(ITEM_RES!$S$1,MATCH(BH542,ITEM_RES!$A:$A,0)-1,0),0)*BJ542+IFERROR(OFFSET(ITEM_RES!$S$1,MATCH(BM542,ITEM_RES!$A:$A,0)-1,0),0)*BO542)/1000</f>
        <v>1050.2</v>
      </c>
      <c r="AI542" s="182">
        <f t="shared" ca="1" si="155"/>
        <v>1900</v>
      </c>
      <c r="AK542" s="11">
        <f t="shared" si="147"/>
        <v>90</v>
      </c>
      <c r="AL542" s="10">
        <v>90</v>
      </c>
      <c r="AM542" s="11">
        <f t="shared" si="154"/>
        <v>1050</v>
      </c>
      <c r="AN542" s="10">
        <v>1050</v>
      </c>
      <c r="AO542" s="11">
        <f t="shared" si="154"/>
        <v>0</v>
      </c>
      <c r="AP542" s="10">
        <v>0</v>
      </c>
      <c r="AQ542" s="56">
        <f t="shared" si="149"/>
        <v>1</v>
      </c>
      <c r="AS542" s="11">
        <f ca="1">IFERROR(OFFSET(ITEM_RES!$A$1,MATCH(AT542,ITEM_RES!$J:$J,0)-1,0),0)</f>
        <v>211020901</v>
      </c>
      <c r="AT542" s="10" t="s">
        <v>444</v>
      </c>
      <c r="AU542" s="11">
        <v>1</v>
      </c>
      <c r="AX542" s="11">
        <f ca="1">IFERROR(OFFSET(ITEM_RES!$A$1,MATCH(AY542,ITEM_RES!$J:$J,0)-1,0),0)</f>
        <v>0</v>
      </c>
      <c r="BC542" s="11">
        <f ca="1">IFERROR(OFFSET(ITEM_RES!$A$1,MATCH(BD542,ITEM_RES!$J:$J,0)-1,0),0)</f>
        <v>0</v>
      </c>
      <c r="BH542" s="11">
        <f ca="1">IFERROR(OFFSET(ITEM_RES!$A$1,MATCH(BI542,ITEM_RES!$J:$J,0)-1,0),0)</f>
        <v>0</v>
      </c>
      <c r="BM542" s="11">
        <f ca="1">IFERROR(OFFSET(ITEM_RES!$A$1,MATCH(BN542,ITEM_RES!$J:$J,0)-1,0),0)</f>
        <v>0</v>
      </c>
    </row>
    <row r="543" spans="1:65" x14ac:dyDescent="0.3">
      <c r="A543" s="14">
        <f t="shared" si="151"/>
        <v>115030019</v>
      </c>
      <c r="B543" s="13">
        <v>11</v>
      </c>
      <c r="C543" s="12">
        <f t="shared" si="152"/>
        <v>5</v>
      </c>
      <c r="D543" s="13">
        <v>3</v>
      </c>
      <c r="E543" s="13">
        <v>0</v>
      </c>
      <c r="F543" s="12">
        <f t="shared" si="153"/>
        <v>19</v>
      </c>
      <c r="H543" s="9">
        <v>5</v>
      </c>
      <c r="I543" s="9">
        <v>19</v>
      </c>
      <c r="K543" s="9" t="s">
        <v>1083</v>
      </c>
      <c r="M543" s="9">
        <v>0</v>
      </c>
      <c r="N543" s="9">
        <v>15</v>
      </c>
      <c r="O543" s="9" t="s">
        <v>1103</v>
      </c>
      <c r="S543" s="9">
        <v>4444</v>
      </c>
      <c r="V543" s="9">
        <f ca="1">IFERROR(OFFSET(ITEM_RES!$A$5,MATCH(BUILDING!U543,ITEM_RES!$J$5:$J$229,0)-1,0),0)</f>
        <v>0</v>
      </c>
      <c r="Y543" s="9">
        <f ca="1">IFERROR(OFFSET(ITEM_RES!$A$5,MATCH(BUILDING!X543,ITEM_RES!$J$5:$J$229,0)-1,0),0)</f>
        <v>0</v>
      </c>
      <c r="AA543" s="9" t="s">
        <v>379</v>
      </c>
      <c r="AB543" s="9">
        <v>19</v>
      </c>
      <c r="AD543" s="11">
        <f ca="1">IFERROR(OFFSET(MANOR_LEVEL!$B$1,MATCH(AE543-1,MANOR_LEVEL!$A:$A,0)-1,0),0)</f>
        <v>32640</v>
      </c>
      <c r="AE543" s="56">
        <v>7</v>
      </c>
      <c r="AG543" s="56">
        <f t="shared" ca="1" si="148"/>
        <v>1250</v>
      </c>
      <c r="AH543" s="10">
        <f ca="1">AM543+AO543+(IFERROR(OFFSET(ITEM_RES!$S$1,MATCH(AS543,ITEM_RES!$A:$A,0)-1,0),0)*AU543+IFERROR(OFFSET(ITEM_RES!$S$1,MATCH(AX543,ITEM_RES!$A:$A,0)-1,0),0)*AZ543+IFERROR(OFFSET(ITEM_RES!$S$1,MATCH(BC543,ITEM_RES!$A:$A,0)-1,0),0)*BE543+IFERROR(OFFSET(ITEM_RES!$S$1,MATCH(BH543,ITEM_RES!$A:$A,0)-1,0),0)*BJ543+IFERROR(OFFSET(ITEM_RES!$S$1,MATCH(BM543,ITEM_RES!$A:$A,0)-1,0),0)*BO543)/1000</f>
        <v>1250.2</v>
      </c>
      <c r="AI543" s="182">
        <f t="shared" ca="1" si="155"/>
        <v>2300</v>
      </c>
      <c r="AK543" s="11">
        <f t="shared" si="147"/>
        <v>95</v>
      </c>
      <c r="AL543" s="10">
        <v>95</v>
      </c>
      <c r="AM543" s="11">
        <f t="shared" si="154"/>
        <v>1250</v>
      </c>
      <c r="AN543" s="10">
        <v>1250</v>
      </c>
      <c r="AO543" s="11">
        <f t="shared" si="154"/>
        <v>0</v>
      </c>
      <c r="AP543" s="10">
        <v>0</v>
      </c>
      <c r="AQ543" s="56">
        <f t="shared" si="149"/>
        <v>1</v>
      </c>
      <c r="AS543" s="11">
        <f ca="1">IFERROR(OFFSET(ITEM_RES!$A$1,MATCH(AT543,ITEM_RES!$J:$J,0)-1,0),0)</f>
        <v>211020901</v>
      </c>
      <c r="AT543" s="10" t="s">
        <v>444</v>
      </c>
      <c r="AU543" s="11">
        <v>1</v>
      </c>
      <c r="AX543" s="11">
        <f ca="1">IFERROR(OFFSET(ITEM_RES!$A$1,MATCH(AY543,ITEM_RES!$J:$J,0)-1,0),0)</f>
        <v>0</v>
      </c>
      <c r="BC543" s="11">
        <f ca="1">IFERROR(OFFSET(ITEM_RES!$A$1,MATCH(BD543,ITEM_RES!$J:$J,0)-1,0),0)</f>
        <v>0</v>
      </c>
      <c r="BH543" s="11">
        <f ca="1">IFERROR(OFFSET(ITEM_RES!$A$1,MATCH(BI543,ITEM_RES!$J:$J,0)-1,0),0)</f>
        <v>0</v>
      </c>
      <c r="BM543" s="11">
        <f ca="1">IFERROR(OFFSET(ITEM_RES!$A$1,MATCH(BN543,ITEM_RES!$J:$J,0)-1,0),0)</f>
        <v>0</v>
      </c>
    </row>
    <row r="544" spans="1:65" ht="17.25" thickBot="1" x14ac:dyDescent="0.35">
      <c r="A544" s="14">
        <f t="shared" si="151"/>
        <v>115030020</v>
      </c>
      <c r="B544" s="13">
        <v>11</v>
      </c>
      <c r="C544" s="12">
        <f t="shared" si="152"/>
        <v>5</v>
      </c>
      <c r="D544" s="13">
        <v>3</v>
      </c>
      <c r="E544" s="13">
        <v>0</v>
      </c>
      <c r="F544" s="12">
        <f t="shared" si="153"/>
        <v>20</v>
      </c>
      <c r="H544" s="9">
        <v>5</v>
      </c>
      <c r="I544" s="9">
        <v>20</v>
      </c>
      <c r="K544" s="9" t="s">
        <v>1083</v>
      </c>
      <c r="M544" s="9">
        <v>0</v>
      </c>
      <c r="N544" s="9">
        <v>15</v>
      </c>
      <c r="O544" s="9" t="s">
        <v>1103</v>
      </c>
      <c r="S544" s="9">
        <v>4444</v>
      </c>
      <c r="V544" s="9">
        <f ca="1">IFERROR(OFFSET(ITEM_RES!$A$5,MATCH(BUILDING!U544,ITEM_RES!$J$5:$J$229,0)-1,0),0)</f>
        <v>0</v>
      </c>
      <c r="Y544" s="9">
        <f ca="1">IFERROR(OFFSET(ITEM_RES!$A$5,MATCH(BUILDING!X544,ITEM_RES!$J$5:$J$229,0)-1,0),0)</f>
        <v>0</v>
      </c>
      <c r="AA544" s="9" t="s">
        <v>379</v>
      </c>
      <c r="AB544" s="9">
        <v>20</v>
      </c>
      <c r="AD544" s="11">
        <f ca="1">IFERROR(OFFSET(MANOR_LEVEL!$B$1,MATCH(AE544-1,MANOR_LEVEL!$A:$A,0)-1,0),0)</f>
        <v>32640</v>
      </c>
      <c r="AE544" s="56">
        <v>7</v>
      </c>
      <c r="AG544" s="56">
        <f t="shared" ca="1" si="148"/>
        <v>1500</v>
      </c>
      <c r="AH544" s="10">
        <f ca="1">AM544+AO544+(IFERROR(OFFSET(ITEM_RES!$S$1,MATCH(AS544,ITEM_RES!$A:$A,0)-1,0),0)*AU544+IFERROR(OFFSET(ITEM_RES!$S$1,MATCH(AX544,ITEM_RES!$A:$A,0)-1,0),0)*AZ544+IFERROR(OFFSET(ITEM_RES!$S$1,MATCH(BC544,ITEM_RES!$A:$A,0)-1,0),0)*BE544+IFERROR(OFFSET(ITEM_RES!$S$1,MATCH(BH544,ITEM_RES!$A:$A,0)-1,0),0)*BJ544+IFERROR(OFFSET(ITEM_RES!$S$1,MATCH(BM544,ITEM_RES!$A:$A,0)-1,0),0)*BO544)/1000</f>
        <v>1500.2</v>
      </c>
      <c r="AI544" s="182">
        <f t="shared" ca="1" si="155"/>
        <v>2750</v>
      </c>
      <c r="AK544" s="11">
        <f t="shared" si="147"/>
        <v>100</v>
      </c>
      <c r="AL544" s="10">
        <v>100</v>
      </c>
      <c r="AM544" s="11">
        <f t="shared" si="154"/>
        <v>1500</v>
      </c>
      <c r="AN544" s="10">
        <v>1500</v>
      </c>
      <c r="AO544" s="11">
        <f t="shared" si="154"/>
        <v>0</v>
      </c>
      <c r="AP544" s="10">
        <v>0</v>
      </c>
      <c r="AQ544" s="56">
        <f t="shared" si="149"/>
        <v>1</v>
      </c>
      <c r="AS544" s="11">
        <f ca="1">IFERROR(OFFSET(ITEM_RES!$A$1,MATCH(AT544,ITEM_RES!$J:$J,0)-1,0),0)</f>
        <v>211020901</v>
      </c>
      <c r="AT544" s="10" t="s">
        <v>444</v>
      </c>
      <c r="AU544" s="11">
        <v>1</v>
      </c>
      <c r="AX544" s="11">
        <f ca="1">IFERROR(OFFSET(ITEM_RES!$A$1,MATCH(AY544,ITEM_RES!$J:$J,0)-1,0),0)</f>
        <v>0</v>
      </c>
      <c r="BC544" s="11">
        <f ca="1">IFERROR(OFFSET(ITEM_RES!$A$1,MATCH(BD544,ITEM_RES!$J:$J,0)-1,0),0)</f>
        <v>0</v>
      </c>
      <c r="BH544" s="11">
        <f ca="1">IFERROR(OFFSET(ITEM_RES!$A$1,MATCH(BI544,ITEM_RES!$J:$J,0)-1,0),0)</f>
        <v>0</v>
      </c>
      <c r="BM544" s="11">
        <f ca="1">IFERROR(OFFSET(ITEM_RES!$A$1,MATCH(BN544,ITEM_RES!$J:$J,0)-1,0),0)</f>
        <v>0</v>
      </c>
    </row>
    <row r="545" spans="1:68" s="15" customFormat="1" x14ac:dyDescent="0.3">
      <c r="A545" s="21">
        <f t="shared" si="151"/>
        <v>115040001</v>
      </c>
      <c r="B545" s="20">
        <v>11</v>
      </c>
      <c r="C545" s="19">
        <f t="shared" si="152"/>
        <v>5</v>
      </c>
      <c r="D545" s="20">
        <v>4</v>
      </c>
      <c r="E545" s="20">
        <v>0</v>
      </c>
      <c r="F545" s="19">
        <f t="shared" si="153"/>
        <v>1</v>
      </c>
      <c r="G545" s="78"/>
      <c r="H545" s="16">
        <v>5</v>
      </c>
      <c r="I545" s="16">
        <v>1</v>
      </c>
      <c r="J545" s="78"/>
      <c r="K545" s="16" t="s">
        <v>1085</v>
      </c>
      <c r="L545" s="16">
        <v>10</v>
      </c>
      <c r="M545" s="16">
        <v>1</v>
      </c>
      <c r="N545" s="16">
        <v>15</v>
      </c>
      <c r="O545" s="16" t="s">
        <v>1106</v>
      </c>
      <c r="P545" s="17"/>
      <c r="Q545" s="17"/>
      <c r="R545" s="18"/>
      <c r="S545" s="16">
        <v>5555</v>
      </c>
      <c r="T545" s="78"/>
      <c r="U545" s="86"/>
      <c r="V545" s="16">
        <f ca="1">IFERROR(OFFSET(ITEM_RES!$A$5,MATCH(BUILDING!U545,ITEM_RES!$J$5:$J$229,0)-1,0),0)</f>
        <v>0</v>
      </c>
      <c r="W545" s="18"/>
      <c r="X545" s="86"/>
      <c r="Y545" s="16">
        <f ca="1">IFERROR(OFFSET(ITEM_RES!$A$5,MATCH(BUILDING!X545,ITEM_RES!$J$5:$J$229,0)-1,0),0)</f>
        <v>0</v>
      </c>
      <c r="Z545" s="78"/>
      <c r="AA545" s="16" t="s">
        <v>381</v>
      </c>
      <c r="AB545" s="16">
        <v>1</v>
      </c>
      <c r="AC545" s="78"/>
      <c r="AD545" s="18">
        <f ca="1">IFERROR(OFFSET(MANOR_LEVEL!$B$1,MATCH(AE545-1,MANOR_LEVEL!$A:$A,0)-1,0),0)</f>
        <v>0</v>
      </c>
      <c r="AE545" s="57">
        <v>1</v>
      </c>
      <c r="AF545" s="78"/>
      <c r="AG545" s="57">
        <f t="shared" ca="1" si="148"/>
        <v>205</v>
      </c>
      <c r="AH545" s="17">
        <f ca="1">AM545+AO545+(IFERROR(OFFSET(ITEM_RES!$S$1,MATCH(AS545,ITEM_RES!$A:$A,0)-1,0),0)*AU545+IFERROR(OFFSET(ITEM_RES!$S$1,MATCH(AX545,ITEM_RES!$A:$A,0)-1,0),0)*AZ545+IFERROR(OFFSET(ITEM_RES!$S$1,MATCH(BC545,ITEM_RES!$A:$A,0)-1,0),0)*BE545+IFERROR(OFFSET(ITEM_RES!$S$1,MATCH(BH545,ITEM_RES!$A:$A,0)-1,0),0)*BJ545+IFERROR(OFFSET(ITEM_RES!$S$1,MATCH(BM545,ITEM_RES!$A:$A,0)-1,0),0)*BO545)/1000</f>
        <v>205.1</v>
      </c>
      <c r="AI545" s="184">
        <f ca="1">AG545</f>
        <v>205</v>
      </c>
      <c r="AJ545" s="78"/>
      <c r="AK545" s="18">
        <f t="shared" si="147"/>
        <v>5</v>
      </c>
      <c r="AL545" s="17">
        <v>5</v>
      </c>
      <c r="AM545" s="18">
        <f t="shared" si="154"/>
        <v>5</v>
      </c>
      <c r="AN545" s="17">
        <v>5</v>
      </c>
      <c r="AO545" s="18">
        <f t="shared" si="154"/>
        <v>0</v>
      </c>
      <c r="AP545" s="17">
        <v>0</v>
      </c>
      <c r="AQ545" s="57">
        <f t="shared" si="149"/>
        <v>3</v>
      </c>
      <c r="AR545" s="18"/>
      <c r="AS545" s="18">
        <f ca="1">IFERROR(OFFSET(ITEM_RES!$A$1,MATCH(AT545,ITEM_RES!$J:$J,0)-1,0),0)</f>
        <v>211020801</v>
      </c>
      <c r="AT545" s="17" t="s">
        <v>439</v>
      </c>
      <c r="AU545" s="18">
        <v>1</v>
      </c>
      <c r="AV545" s="17"/>
      <c r="AW545" s="18"/>
      <c r="AX545" s="18">
        <f ca="1">IFERROR(OFFSET(ITEM_RES!$A$1,MATCH(AY545,ITEM_RES!$J:$J,0)-1,0),0)</f>
        <v>0</v>
      </c>
      <c r="AY545" s="17"/>
      <c r="AZ545" s="18"/>
      <c r="BA545" s="17"/>
      <c r="BB545" s="18"/>
      <c r="BC545" s="18">
        <f ca="1">IFERROR(OFFSET(ITEM_RES!$A$1,MATCH(BD545,ITEM_RES!$J:$J,0)-1,0),0)</f>
        <v>213010101</v>
      </c>
      <c r="BD545" s="17" t="s">
        <v>452</v>
      </c>
      <c r="BE545" s="18">
        <v>1</v>
      </c>
      <c r="BF545" s="17"/>
      <c r="BG545" s="18"/>
      <c r="BH545" s="18">
        <f ca="1">IFERROR(OFFSET(ITEM_RES!$A$1,MATCH(BI545,ITEM_RES!$J:$J,0)-1,0),0)</f>
        <v>213010401</v>
      </c>
      <c r="BI545" s="17" t="s">
        <v>475</v>
      </c>
      <c r="BJ545" s="18">
        <v>1</v>
      </c>
      <c r="BK545" s="17"/>
      <c r="BL545" s="18"/>
      <c r="BM545" s="18">
        <f ca="1">IFERROR(OFFSET(ITEM_RES!$A$1,MATCH(BN545,ITEM_RES!$J:$J,0)-1,0),0)</f>
        <v>0</v>
      </c>
      <c r="BN545" s="17"/>
      <c r="BO545" s="18"/>
      <c r="BP545" s="17"/>
    </row>
    <row r="546" spans="1:68" x14ac:dyDescent="0.3">
      <c r="A546" s="14">
        <f t="shared" si="151"/>
        <v>115040002</v>
      </c>
      <c r="B546" s="13">
        <v>11</v>
      </c>
      <c r="C546" s="12">
        <f t="shared" si="152"/>
        <v>5</v>
      </c>
      <c r="D546" s="13">
        <v>4</v>
      </c>
      <c r="E546" s="13">
        <v>0</v>
      </c>
      <c r="F546" s="12">
        <f t="shared" si="153"/>
        <v>2</v>
      </c>
      <c r="H546" s="9">
        <v>5</v>
      </c>
      <c r="I546" s="9">
        <v>2</v>
      </c>
      <c r="K546" s="9" t="s">
        <v>1085</v>
      </c>
      <c r="M546" s="9">
        <v>1</v>
      </c>
      <c r="N546" s="9">
        <v>15</v>
      </c>
      <c r="O546" s="9" t="s">
        <v>1106</v>
      </c>
      <c r="S546" s="9">
        <v>5555</v>
      </c>
      <c r="V546" s="9">
        <f ca="1">IFERROR(OFFSET(ITEM_RES!$A$5,MATCH(BUILDING!U546,ITEM_RES!$J$5:$J$229,0)-1,0),0)</f>
        <v>0</v>
      </c>
      <c r="Y546" s="9">
        <f ca="1">IFERROR(OFFSET(ITEM_RES!$A$5,MATCH(BUILDING!X546,ITEM_RES!$J$5:$J$229,0)-1,0),0)</f>
        <v>0</v>
      </c>
      <c r="AA546" s="9" t="s">
        <v>381</v>
      </c>
      <c r="AB546" s="9">
        <v>2</v>
      </c>
      <c r="AD546" s="11">
        <f ca="1">IFERROR(OFFSET(MANOR_LEVEL!$B$1,MATCH(AE546-1,MANOR_LEVEL!$A:$A,0)-1,0),0)</f>
        <v>0</v>
      </c>
      <c r="AE546" s="56">
        <v>1</v>
      </c>
      <c r="AG546" s="56">
        <f t="shared" ca="1" si="148"/>
        <v>10</v>
      </c>
      <c r="AH546" s="10">
        <f ca="1">AM546+AO546+(IFERROR(OFFSET(ITEM_RES!$S$1,MATCH(AS546,ITEM_RES!$A:$A,0)-1,0),0)*AU546+IFERROR(OFFSET(ITEM_RES!$S$1,MATCH(AX546,ITEM_RES!$A:$A,0)-1,0),0)*AZ546+IFERROR(OFFSET(ITEM_RES!$S$1,MATCH(BC546,ITEM_RES!$A:$A,0)-1,0),0)*BE546+IFERROR(OFFSET(ITEM_RES!$S$1,MATCH(BH546,ITEM_RES!$A:$A,0)-1,0),0)*BJ546+IFERROR(OFFSET(ITEM_RES!$S$1,MATCH(BM546,ITEM_RES!$A:$A,0)-1,0),0)*BO546)/1000</f>
        <v>10.1</v>
      </c>
      <c r="AI546" s="182">
        <f ca="1">AG545+AG546</f>
        <v>215</v>
      </c>
      <c r="AK546" s="11">
        <f t="shared" si="147"/>
        <v>10</v>
      </c>
      <c r="AL546" s="10">
        <v>10</v>
      </c>
      <c r="AM546" s="11">
        <f t="shared" si="154"/>
        <v>10</v>
      </c>
      <c r="AN546" s="10">
        <v>10</v>
      </c>
      <c r="AO546" s="11">
        <f t="shared" si="154"/>
        <v>0</v>
      </c>
      <c r="AP546" s="10">
        <v>0</v>
      </c>
      <c r="AQ546" s="56">
        <f t="shared" si="149"/>
        <v>1</v>
      </c>
      <c r="AS546" s="11">
        <f ca="1">IFERROR(OFFSET(ITEM_RES!$A$1,MATCH(AT546,ITEM_RES!$J:$J,0)-1,0),0)</f>
        <v>211020801</v>
      </c>
      <c r="AT546" s="10" t="s">
        <v>439</v>
      </c>
      <c r="AU546" s="11">
        <v>1</v>
      </c>
      <c r="AX546" s="11">
        <f ca="1">IFERROR(OFFSET(ITEM_RES!$A$1,MATCH(AY546,ITEM_RES!$J:$J,0)-1,0),0)</f>
        <v>0</v>
      </c>
      <c r="BC546" s="11">
        <f ca="1">IFERROR(OFFSET(ITEM_RES!$A$1,MATCH(BD546,ITEM_RES!$J:$J,0)-1,0),0)</f>
        <v>0</v>
      </c>
      <c r="BH546" s="11">
        <f ca="1">IFERROR(OFFSET(ITEM_RES!$A$1,MATCH(BI546,ITEM_RES!$J:$J,0)-1,0),0)</f>
        <v>0</v>
      </c>
      <c r="BM546" s="11">
        <f ca="1">IFERROR(OFFSET(ITEM_RES!$A$1,MATCH(BN546,ITEM_RES!$J:$J,0)-1,0),0)</f>
        <v>0</v>
      </c>
    </row>
    <row r="547" spans="1:68" x14ac:dyDescent="0.3">
      <c r="A547" s="14">
        <f t="shared" si="151"/>
        <v>115040003</v>
      </c>
      <c r="B547" s="13">
        <v>11</v>
      </c>
      <c r="C547" s="12">
        <f t="shared" si="152"/>
        <v>5</v>
      </c>
      <c r="D547" s="13">
        <v>4</v>
      </c>
      <c r="E547" s="13">
        <v>0</v>
      </c>
      <c r="F547" s="12">
        <f t="shared" si="153"/>
        <v>3</v>
      </c>
      <c r="H547" s="9">
        <v>5</v>
      </c>
      <c r="I547" s="9">
        <v>3</v>
      </c>
      <c r="K547" s="9" t="s">
        <v>1085</v>
      </c>
      <c r="M547" s="9">
        <v>1</v>
      </c>
      <c r="N547" s="9">
        <v>15</v>
      </c>
      <c r="O547" s="9" t="s">
        <v>1104</v>
      </c>
      <c r="S547" s="9">
        <v>5555</v>
      </c>
      <c r="V547" s="9">
        <f ca="1">IFERROR(OFFSET(ITEM_RES!$A$5,MATCH(BUILDING!U547,ITEM_RES!$J$5:$J$229,0)-1,0),0)</f>
        <v>0</v>
      </c>
      <c r="Y547" s="9">
        <f ca="1">IFERROR(OFFSET(ITEM_RES!$A$5,MATCH(BUILDING!X547,ITEM_RES!$J$5:$J$229,0)-1,0),0)</f>
        <v>0</v>
      </c>
      <c r="AA547" s="9" t="s">
        <v>365</v>
      </c>
      <c r="AB547" s="9">
        <v>3</v>
      </c>
      <c r="AD547" s="11">
        <f ca="1">IFERROR(OFFSET(MANOR_LEVEL!$B$1,MATCH(AE547-1,MANOR_LEVEL!$A:$A,0)-1,0),0)</f>
        <v>0</v>
      </c>
      <c r="AE547" s="56">
        <v>1</v>
      </c>
      <c r="AG547" s="56">
        <f t="shared" ca="1" si="148"/>
        <v>15</v>
      </c>
      <c r="AH547" s="10">
        <f ca="1">AM547+AO547+(IFERROR(OFFSET(ITEM_RES!$S$1,MATCH(AS547,ITEM_RES!$A:$A,0)-1,0),0)*AU547+IFERROR(OFFSET(ITEM_RES!$S$1,MATCH(AX547,ITEM_RES!$A:$A,0)-1,0),0)*AZ547+IFERROR(OFFSET(ITEM_RES!$S$1,MATCH(BC547,ITEM_RES!$A:$A,0)-1,0),0)*BE547+IFERROR(OFFSET(ITEM_RES!$S$1,MATCH(BH547,ITEM_RES!$A:$A,0)-1,0),0)*BJ547+IFERROR(OFFSET(ITEM_RES!$S$1,MATCH(BM547,ITEM_RES!$A:$A,0)-1,0),0)*BO547)/1000</f>
        <v>15.1</v>
      </c>
      <c r="AI547" s="182">
        <f t="shared" ref="AI547:AI564" ca="1" si="156">AG546+AG547</f>
        <v>25</v>
      </c>
      <c r="AK547" s="11">
        <f t="shared" si="147"/>
        <v>15</v>
      </c>
      <c r="AL547" s="10">
        <v>15</v>
      </c>
      <c r="AM547" s="11">
        <f t="shared" si="154"/>
        <v>15</v>
      </c>
      <c r="AN547" s="10">
        <v>15</v>
      </c>
      <c r="AO547" s="11">
        <f t="shared" si="154"/>
        <v>0</v>
      </c>
      <c r="AP547" s="10">
        <v>0</v>
      </c>
      <c r="AQ547" s="56">
        <f t="shared" si="149"/>
        <v>1</v>
      </c>
      <c r="AS547" s="11">
        <f ca="1">IFERROR(OFFSET(ITEM_RES!$A$1,MATCH(AT547,ITEM_RES!$J:$J,0)-1,0),0)</f>
        <v>211020801</v>
      </c>
      <c r="AT547" s="10" t="s">
        <v>439</v>
      </c>
      <c r="AU547" s="11">
        <v>1</v>
      </c>
      <c r="AX547" s="11">
        <f ca="1">IFERROR(OFFSET(ITEM_RES!$A$1,MATCH(AY547,ITEM_RES!$J:$J,0)-1,0),0)</f>
        <v>0</v>
      </c>
      <c r="BC547" s="11">
        <f ca="1">IFERROR(OFFSET(ITEM_RES!$A$1,MATCH(BD547,ITEM_RES!$J:$J,0)-1,0),0)</f>
        <v>0</v>
      </c>
      <c r="BH547" s="11">
        <f ca="1">IFERROR(OFFSET(ITEM_RES!$A$1,MATCH(BI547,ITEM_RES!$J:$J,0)-1,0),0)</f>
        <v>0</v>
      </c>
      <c r="BM547" s="11">
        <f ca="1">IFERROR(OFFSET(ITEM_RES!$A$1,MATCH(BN547,ITEM_RES!$J:$J,0)-1,0),0)</f>
        <v>0</v>
      </c>
    </row>
    <row r="548" spans="1:68" x14ac:dyDescent="0.3">
      <c r="A548" s="14">
        <f t="shared" si="151"/>
        <v>115040004</v>
      </c>
      <c r="B548" s="13">
        <v>11</v>
      </c>
      <c r="C548" s="12">
        <f t="shared" si="152"/>
        <v>5</v>
      </c>
      <c r="D548" s="13">
        <v>4</v>
      </c>
      <c r="E548" s="13">
        <v>0</v>
      </c>
      <c r="F548" s="12">
        <f t="shared" si="153"/>
        <v>4</v>
      </c>
      <c r="H548" s="9">
        <v>5</v>
      </c>
      <c r="I548" s="9">
        <v>4</v>
      </c>
      <c r="K548" s="9" t="s">
        <v>1085</v>
      </c>
      <c r="M548" s="9">
        <v>1</v>
      </c>
      <c r="N548" s="9">
        <v>15</v>
      </c>
      <c r="O548" s="9" t="s">
        <v>1104</v>
      </c>
      <c r="S548" s="9">
        <v>5555</v>
      </c>
      <c r="V548" s="9">
        <f ca="1">IFERROR(OFFSET(ITEM_RES!$A$5,MATCH(BUILDING!U548,ITEM_RES!$J$5:$J$229,0)-1,0),0)</f>
        <v>0</v>
      </c>
      <c r="Y548" s="9">
        <f ca="1">IFERROR(OFFSET(ITEM_RES!$A$5,MATCH(BUILDING!X548,ITEM_RES!$J$5:$J$229,0)-1,0),0)</f>
        <v>0</v>
      </c>
      <c r="AA548" s="9" t="s">
        <v>365</v>
      </c>
      <c r="AB548" s="9">
        <v>4</v>
      </c>
      <c r="AD548" s="11">
        <f ca="1">IFERROR(OFFSET(MANOR_LEVEL!$B$1,MATCH(AE548-1,MANOR_LEVEL!$A:$A,0)-1,0),0)</f>
        <v>444</v>
      </c>
      <c r="AE548" s="56">
        <v>2</v>
      </c>
      <c r="AG548" s="56">
        <f t="shared" ca="1" si="148"/>
        <v>25</v>
      </c>
      <c r="AH548" s="10">
        <f ca="1">AM548+AO548+(IFERROR(OFFSET(ITEM_RES!$S$1,MATCH(AS548,ITEM_RES!$A:$A,0)-1,0),0)*AU548+IFERROR(OFFSET(ITEM_RES!$S$1,MATCH(AX548,ITEM_RES!$A:$A,0)-1,0),0)*AZ548+IFERROR(OFFSET(ITEM_RES!$S$1,MATCH(BC548,ITEM_RES!$A:$A,0)-1,0),0)*BE548+IFERROR(OFFSET(ITEM_RES!$S$1,MATCH(BH548,ITEM_RES!$A:$A,0)-1,0),0)*BJ548+IFERROR(OFFSET(ITEM_RES!$S$1,MATCH(BM548,ITEM_RES!$A:$A,0)-1,0),0)*BO548)/1000</f>
        <v>25.1</v>
      </c>
      <c r="AI548" s="182">
        <f t="shared" ca="1" si="156"/>
        <v>40</v>
      </c>
      <c r="AK548" s="11">
        <f t="shared" si="147"/>
        <v>20</v>
      </c>
      <c r="AL548" s="10">
        <v>20</v>
      </c>
      <c r="AM548" s="11">
        <f t="shared" si="154"/>
        <v>25</v>
      </c>
      <c r="AN548" s="10">
        <v>25</v>
      </c>
      <c r="AO548" s="11">
        <f t="shared" si="154"/>
        <v>0</v>
      </c>
      <c r="AP548" s="10">
        <v>0</v>
      </c>
      <c r="AQ548" s="56">
        <f t="shared" si="149"/>
        <v>1</v>
      </c>
      <c r="AS548" s="11">
        <f ca="1">IFERROR(OFFSET(ITEM_RES!$A$1,MATCH(AT548,ITEM_RES!$J:$J,0)-1,0),0)</f>
        <v>211020801</v>
      </c>
      <c r="AT548" s="10" t="s">
        <v>439</v>
      </c>
      <c r="AU548" s="11">
        <v>1</v>
      </c>
      <c r="AX548" s="11">
        <f ca="1">IFERROR(OFFSET(ITEM_RES!$A$1,MATCH(AY548,ITEM_RES!$J:$J,0)-1,0),0)</f>
        <v>0</v>
      </c>
      <c r="BC548" s="11">
        <f ca="1">IFERROR(OFFSET(ITEM_RES!$A$1,MATCH(BD548,ITEM_RES!$J:$J,0)-1,0),0)</f>
        <v>0</v>
      </c>
      <c r="BH548" s="11">
        <f ca="1">IFERROR(OFFSET(ITEM_RES!$A$1,MATCH(BI548,ITEM_RES!$J:$J,0)-1,0),0)</f>
        <v>0</v>
      </c>
      <c r="BM548" s="11">
        <f ca="1">IFERROR(OFFSET(ITEM_RES!$A$1,MATCH(BN548,ITEM_RES!$J:$J,0)-1,0),0)</f>
        <v>0</v>
      </c>
    </row>
    <row r="549" spans="1:68" x14ac:dyDescent="0.3">
      <c r="A549" s="14">
        <f t="shared" si="151"/>
        <v>115040005</v>
      </c>
      <c r="B549" s="13">
        <v>11</v>
      </c>
      <c r="C549" s="12">
        <f t="shared" si="152"/>
        <v>5</v>
      </c>
      <c r="D549" s="13">
        <v>4</v>
      </c>
      <c r="E549" s="13">
        <v>0</v>
      </c>
      <c r="F549" s="12">
        <f t="shared" si="153"/>
        <v>5</v>
      </c>
      <c r="H549" s="9">
        <v>5</v>
      </c>
      <c r="I549" s="9">
        <v>5</v>
      </c>
      <c r="K549" s="9" t="s">
        <v>1085</v>
      </c>
      <c r="M549" s="9">
        <v>1</v>
      </c>
      <c r="N549" s="9">
        <v>15</v>
      </c>
      <c r="O549" s="9" t="s">
        <v>1104</v>
      </c>
      <c r="S549" s="9">
        <v>5555</v>
      </c>
      <c r="V549" s="9">
        <f ca="1">IFERROR(OFFSET(ITEM_RES!$A$5,MATCH(BUILDING!U549,ITEM_RES!$J$5:$J$229,0)-1,0),0)</f>
        <v>0</v>
      </c>
      <c r="Y549" s="9">
        <f ca="1">IFERROR(OFFSET(ITEM_RES!$A$5,MATCH(BUILDING!X549,ITEM_RES!$J$5:$J$229,0)-1,0),0)</f>
        <v>0</v>
      </c>
      <c r="AA549" s="9" t="s">
        <v>365</v>
      </c>
      <c r="AB549" s="9">
        <v>5</v>
      </c>
      <c r="AD549" s="11">
        <f ca="1">IFERROR(OFFSET(MANOR_LEVEL!$B$1,MATCH(AE549-1,MANOR_LEVEL!$A:$A,0)-1,0),0)</f>
        <v>444</v>
      </c>
      <c r="AE549" s="56">
        <v>2</v>
      </c>
      <c r="AG549" s="56">
        <f t="shared" ca="1" si="148"/>
        <v>40</v>
      </c>
      <c r="AH549" s="10">
        <f ca="1">AM549+AO549+(IFERROR(OFFSET(ITEM_RES!$S$1,MATCH(AS549,ITEM_RES!$A:$A,0)-1,0),0)*AU549+IFERROR(OFFSET(ITEM_RES!$S$1,MATCH(AX549,ITEM_RES!$A:$A,0)-1,0),0)*AZ549+IFERROR(OFFSET(ITEM_RES!$S$1,MATCH(BC549,ITEM_RES!$A:$A,0)-1,0),0)*BE549+IFERROR(OFFSET(ITEM_RES!$S$1,MATCH(BH549,ITEM_RES!$A:$A,0)-1,0),0)*BJ549+IFERROR(OFFSET(ITEM_RES!$S$1,MATCH(BM549,ITEM_RES!$A:$A,0)-1,0),0)*BO549)/1000</f>
        <v>40.1</v>
      </c>
      <c r="AI549" s="182">
        <f t="shared" ca="1" si="156"/>
        <v>65</v>
      </c>
      <c r="AK549" s="11">
        <f t="shared" si="147"/>
        <v>25</v>
      </c>
      <c r="AL549" s="10">
        <v>25</v>
      </c>
      <c r="AM549" s="11">
        <f t="shared" si="154"/>
        <v>40</v>
      </c>
      <c r="AN549" s="10">
        <v>40</v>
      </c>
      <c r="AO549" s="11">
        <f t="shared" si="154"/>
        <v>0</v>
      </c>
      <c r="AP549" s="10">
        <v>0</v>
      </c>
      <c r="AQ549" s="56">
        <f t="shared" si="149"/>
        <v>1</v>
      </c>
      <c r="AS549" s="11">
        <f ca="1">IFERROR(OFFSET(ITEM_RES!$A$1,MATCH(AT549,ITEM_RES!$J:$J,0)-1,0),0)</f>
        <v>211020801</v>
      </c>
      <c r="AT549" s="10" t="s">
        <v>439</v>
      </c>
      <c r="AU549" s="11">
        <v>1</v>
      </c>
      <c r="AX549" s="11">
        <f ca="1">IFERROR(OFFSET(ITEM_RES!$A$1,MATCH(AY549,ITEM_RES!$J:$J,0)-1,0),0)</f>
        <v>0</v>
      </c>
      <c r="BC549" s="11">
        <f ca="1">IFERROR(OFFSET(ITEM_RES!$A$1,MATCH(BD549,ITEM_RES!$J:$J,0)-1,0),0)</f>
        <v>0</v>
      </c>
      <c r="BH549" s="11">
        <f ca="1">IFERROR(OFFSET(ITEM_RES!$A$1,MATCH(BI549,ITEM_RES!$J:$J,0)-1,0),0)</f>
        <v>0</v>
      </c>
      <c r="BM549" s="11">
        <f ca="1">IFERROR(OFFSET(ITEM_RES!$A$1,MATCH(BN549,ITEM_RES!$J:$J,0)-1,0),0)</f>
        <v>0</v>
      </c>
    </row>
    <row r="550" spans="1:68" x14ac:dyDescent="0.3">
      <c r="A550" s="14">
        <f t="shared" si="151"/>
        <v>115040006</v>
      </c>
      <c r="B550" s="13">
        <v>11</v>
      </c>
      <c r="C550" s="12">
        <f t="shared" si="152"/>
        <v>5</v>
      </c>
      <c r="D550" s="13">
        <v>4</v>
      </c>
      <c r="E550" s="13">
        <v>0</v>
      </c>
      <c r="F550" s="12">
        <f t="shared" si="153"/>
        <v>6</v>
      </c>
      <c r="H550" s="9">
        <v>5</v>
      </c>
      <c r="I550" s="9">
        <v>6</v>
      </c>
      <c r="K550" s="9" t="s">
        <v>1085</v>
      </c>
      <c r="M550" s="9">
        <v>1</v>
      </c>
      <c r="N550" s="9">
        <v>15</v>
      </c>
      <c r="O550" s="9" t="s">
        <v>1104</v>
      </c>
      <c r="S550" s="9">
        <v>5555</v>
      </c>
      <c r="V550" s="9">
        <f ca="1">IFERROR(OFFSET(ITEM_RES!$A$5,MATCH(BUILDING!U550,ITEM_RES!$J$5:$J$229,0)-1,0),0)</f>
        <v>0</v>
      </c>
      <c r="Y550" s="9">
        <f ca="1">IFERROR(OFFSET(ITEM_RES!$A$5,MATCH(BUILDING!X550,ITEM_RES!$J$5:$J$229,0)-1,0),0)</f>
        <v>0</v>
      </c>
      <c r="AA550" s="9" t="s">
        <v>365</v>
      </c>
      <c r="AB550" s="9">
        <v>6</v>
      </c>
      <c r="AD550" s="11">
        <f ca="1">IFERROR(OFFSET(MANOR_LEVEL!$B$1,MATCH(AE550-1,MANOR_LEVEL!$A:$A,0)-1,0),0)</f>
        <v>444</v>
      </c>
      <c r="AE550" s="56">
        <v>2</v>
      </c>
      <c r="AG550" s="56">
        <f t="shared" ca="1" si="148"/>
        <v>50</v>
      </c>
      <c r="AH550" s="10">
        <f ca="1">AM550+AO550+(IFERROR(OFFSET(ITEM_RES!$S$1,MATCH(AS550,ITEM_RES!$A:$A,0)-1,0),0)*AU550+IFERROR(OFFSET(ITEM_RES!$S$1,MATCH(AX550,ITEM_RES!$A:$A,0)-1,0),0)*AZ550+IFERROR(OFFSET(ITEM_RES!$S$1,MATCH(BC550,ITEM_RES!$A:$A,0)-1,0),0)*BE550+IFERROR(OFFSET(ITEM_RES!$S$1,MATCH(BH550,ITEM_RES!$A:$A,0)-1,0),0)*BJ550+IFERROR(OFFSET(ITEM_RES!$S$1,MATCH(BM550,ITEM_RES!$A:$A,0)-1,0),0)*BO550)/1000</f>
        <v>50.1</v>
      </c>
      <c r="AI550" s="182">
        <f t="shared" ca="1" si="156"/>
        <v>90</v>
      </c>
      <c r="AK550" s="11">
        <f t="shared" si="147"/>
        <v>30</v>
      </c>
      <c r="AL550" s="10">
        <v>30</v>
      </c>
      <c r="AM550" s="11">
        <f t="shared" si="154"/>
        <v>50</v>
      </c>
      <c r="AN550" s="10">
        <v>50</v>
      </c>
      <c r="AO550" s="11">
        <f t="shared" si="154"/>
        <v>0</v>
      </c>
      <c r="AP550" s="10">
        <v>0</v>
      </c>
      <c r="AQ550" s="56">
        <f t="shared" si="149"/>
        <v>1</v>
      </c>
      <c r="AS550" s="11">
        <f ca="1">IFERROR(OFFSET(ITEM_RES!$A$1,MATCH(AT550,ITEM_RES!$J:$J,0)-1,0),0)</f>
        <v>211020801</v>
      </c>
      <c r="AT550" s="10" t="s">
        <v>439</v>
      </c>
      <c r="AU550" s="11">
        <v>1</v>
      </c>
      <c r="AX550" s="11">
        <f ca="1">IFERROR(OFFSET(ITEM_RES!$A$1,MATCH(AY550,ITEM_RES!$J:$J,0)-1,0),0)</f>
        <v>0</v>
      </c>
      <c r="BC550" s="11">
        <f ca="1">IFERROR(OFFSET(ITEM_RES!$A$1,MATCH(BD550,ITEM_RES!$J:$J,0)-1,0),0)</f>
        <v>0</v>
      </c>
      <c r="BH550" s="11">
        <f ca="1">IFERROR(OFFSET(ITEM_RES!$A$1,MATCH(BI550,ITEM_RES!$J:$J,0)-1,0),0)</f>
        <v>0</v>
      </c>
      <c r="BM550" s="11">
        <f ca="1">IFERROR(OFFSET(ITEM_RES!$A$1,MATCH(BN550,ITEM_RES!$J:$J,0)-1,0),0)</f>
        <v>0</v>
      </c>
    </row>
    <row r="551" spans="1:68" x14ac:dyDescent="0.3">
      <c r="A551" s="14">
        <f t="shared" si="151"/>
        <v>115040007</v>
      </c>
      <c r="B551" s="13">
        <v>11</v>
      </c>
      <c r="C551" s="12">
        <f t="shared" si="152"/>
        <v>5</v>
      </c>
      <c r="D551" s="13">
        <v>4</v>
      </c>
      <c r="E551" s="13">
        <v>0</v>
      </c>
      <c r="F551" s="12">
        <f t="shared" si="153"/>
        <v>7</v>
      </c>
      <c r="H551" s="9">
        <v>5</v>
      </c>
      <c r="I551" s="9">
        <v>7</v>
      </c>
      <c r="K551" s="9" t="s">
        <v>1085</v>
      </c>
      <c r="M551" s="9">
        <v>1</v>
      </c>
      <c r="N551" s="9">
        <v>15</v>
      </c>
      <c r="O551" s="9" t="s">
        <v>1104</v>
      </c>
      <c r="S551" s="9">
        <v>5555</v>
      </c>
      <c r="V551" s="9">
        <f ca="1">IFERROR(OFFSET(ITEM_RES!$A$5,MATCH(BUILDING!U551,ITEM_RES!$J$5:$J$229,0)-1,0),0)</f>
        <v>0</v>
      </c>
      <c r="Y551" s="9">
        <f ca="1">IFERROR(OFFSET(ITEM_RES!$A$5,MATCH(BUILDING!X551,ITEM_RES!$J$5:$J$229,0)-1,0),0)</f>
        <v>0</v>
      </c>
      <c r="AA551" s="9" t="s">
        <v>365</v>
      </c>
      <c r="AB551" s="9">
        <v>7</v>
      </c>
      <c r="AD551" s="11">
        <f ca="1">IFERROR(OFFSET(MANOR_LEVEL!$B$1,MATCH(AE551-1,MANOR_LEVEL!$A:$A,0)-1,0),0)</f>
        <v>444</v>
      </c>
      <c r="AE551" s="56">
        <v>2</v>
      </c>
      <c r="AG551" s="56">
        <f t="shared" ca="1" si="148"/>
        <v>100</v>
      </c>
      <c r="AH551" s="10">
        <f ca="1">AM551+AO551+(IFERROR(OFFSET(ITEM_RES!$S$1,MATCH(AS551,ITEM_RES!$A:$A,0)-1,0),0)*AU551+IFERROR(OFFSET(ITEM_RES!$S$1,MATCH(AX551,ITEM_RES!$A:$A,0)-1,0),0)*AZ551+IFERROR(OFFSET(ITEM_RES!$S$1,MATCH(BC551,ITEM_RES!$A:$A,0)-1,0),0)*BE551+IFERROR(OFFSET(ITEM_RES!$S$1,MATCH(BH551,ITEM_RES!$A:$A,0)-1,0),0)*BJ551+IFERROR(OFFSET(ITEM_RES!$S$1,MATCH(BM551,ITEM_RES!$A:$A,0)-1,0),0)*BO551)/1000</f>
        <v>100.1</v>
      </c>
      <c r="AI551" s="182">
        <f t="shared" ca="1" si="156"/>
        <v>150</v>
      </c>
      <c r="AK551" s="11">
        <f t="shared" si="147"/>
        <v>35</v>
      </c>
      <c r="AL551" s="10">
        <v>35</v>
      </c>
      <c r="AM551" s="11">
        <f t="shared" si="154"/>
        <v>100</v>
      </c>
      <c r="AN551" s="10">
        <v>100</v>
      </c>
      <c r="AO551" s="11">
        <f t="shared" si="154"/>
        <v>0</v>
      </c>
      <c r="AP551" s="10">
        <v>0</v>
      </c>
      <c r="AQ551" s="56">
        <f t="shared" si="149"/>
        <v>1</v>
      </c>
      <c r="AS551" s="11">
        <f ca="1">IFERROR(OFFSET(ITEM_RES!$A$1,MATCH(AT551,ITEM_RES!$J:$J,0)-1,0),0)</f>
        <v>211020801</v>
      </c>
      <c r="AT551" s="10" t="s">
        <v>439</v>
      </c>
      <c r="AU551" s="11">
        <v>1</v>
      </c>
      <c r="AX551" s="11">
        <f ca="1">IFERROR(OFFSET(ITEM_RES!$A$1,MATCH(AY551,ITEM_RES!$J:$J,0)-1,0),0)</f>
        <v>0</v>
      </c>
      <c r="BC551" s="11">
        <f ca="1">IFERROR(OFFSET(ITEM_RES!$A$1,MATCH(BD551,ITEM_RES!$J:$J,0)-1,0),0)</f>
        <v>0</v>
      </c>
      <c r="BH551" s="11">
        <f ca="1">IFERROR(OFFSET(ITEM_RES!$A$1,MATCH(BI551,ITEM_RES!$J:$J,0)-1,0),0)</f>
        <v>0</v>
      </c>
      <c r="BM551" s="11">
        <f ca="1">IFERROR(OFFSET(ITEM_RES!$A$1,MATCH(BN551,ITEM_RES!$J:$J,0)-1,0),0)</f>
        <v>0</v>
      </c>
    </row>
    <row r="552" spans="1:68" x14ac:dyDescent="0.3">
      <c r="A552" s="14">
        <f t="shared" si="151"/>
        <v>115040008</v>
      </c>
      <c r="B552" s="13">
        <v>11</v>
      </c>
      <c r="C552" s="12">
        <f t="shared" si="152"/>
        <v>5</v>
      </c>
      <c r="D552" s="13">
        <v>4</v>
      </c>
      <c r="E552" s="13">
        <v>0</v>
      </c>
      <c r="F552" s="12">
        <f t="shared" si="153"/>
        <v>8</v>
      </c>
      <c r="H552" s="9">
        <v>5</v>
      </c>
      <c r="I552" s="9">
        <v>8</v>
      </c>
      <c r="K552" s="9" t="s">
        <v>1085</v>
      </c>
      <c r="M552" s="9">
        <v>1</v>
      </c>
      <c r="N552" s="9">
        <v>15</v>
      </c>
      <c r="O552" s="9" t="s">
        <v>1104</v>
      </c>
      <c r="S552" s="9">
        <v>5555</v>
      </c>
      <c r="V552" s="9">
        <f ca="1">IFERROR(OFFSET(ITEM_RES!$A$5,MATCH(BUILDING!U552,ITEM_RES!$J$5:$J$229,0)-1,0),0)</f>
        <v>0</v>
      </c>
      <c r="Y552" s="9">
        <f ca="1">IFERROR(OFFSET(ITEM_RES!$A$5,MATCH(BUILDING!X552,ITEM_RES!$J$5:$J$229,0)-1,0),0)</f>
        <v>0</v>
      </c>
      <c r="AA552" s="9" t="s">
        <v>365</v>
      </c>
      <c r="AB552" s="9">
        <v>8</v>
      </c>
      <c r="AD552" s="11">
        <f ca="1">IFERROR(OFFSET(MANOR_LEVEL!$B$1,MATCH(AE552-1,MANOR_LEVEL!$A:$A,0)-1,0),0)</f>
        <v>528</v>
      </c>
      <c r="AE552" s="56">
        <v>3</v>
      </c>
      <c r="AG552" s="56">
        <f t="shared" ca="1" si="148"/>
        <v>100</v>
      </c>
      <c r="AH552" s="10">
        <f ca="1">AM552+AO552+(IFERROR(OFFSET(ITEM_RES!$S$1,MATCH(AS552,ITEM_RES!$A:$A,0)-1,0),0)*AU552+IFERROR(OFFSET(ITEM_RES!$S$1,MATCH(AX552,ITEM_RES!$A:$A,0)-1,0),0)*AZ552+IFERROR(OFFSET(ITEM_RES!$S$1,MATCH(BC552,ITEM_RES!$A:$A,0)-1,0),0)*BE552+IFERROR(OFFSET(ITEM_RES!$S$1,MATCH(BH552,ITEM_RES!$A:$A,0)-1,0),0)*BJ552+IFERROR(OFFSET(ITEM_RES!$S$1,MATCH(BM552,ITEM_RES!$A:$A,0)-1,0),0)*BO552)/1000</f>
        <v>100.1</v>
      </c>
      <c r="AI552" s="182">
        <f t="shared" ca="1" si="156"/>
        <v>200</v>
      </c>
      <c r="AK552" s="11">
        <f t="shared" si="147"/>
        <v>40</v>
      </c>
      <c r="AL552" s="10">
        <v>40</v>
      </c>
      <c r="AM552" s="11">
        <f t="shared" si="154"/>
        <v>100</v>
      </c>
      <c r="AN552" s="10">
        <v>100</v>
      </c>
      <c r="AO552" s="11">
        <f t="shared" si="154"/>
        <v>0</v>
      </c>
      <c r="AP552" s="10">
        <v>0</v>
      </c>
      <c r="AQ552" s="56">
        <f t="shared" si="149"/>
        <v>1</v>
      </c>
      <c r="AS552" s="11">
        <f ca="1">IFERROR(OFFSET(ITEM_RES!$A$1,MATCH(AT552,ITEM_RES!$J:$J,0)-1,0),0)</f>
        <v>211020801</v>
      </c>
      <c r="AT552" s="10" t="s">
        <v>439</v>
      </c>
      <c r="AU552" s="11">
        <v>1</v>
      </c>
      <c r="AX552" s="11">
        <f ca="1">IFERROR(OFFSET(ITEM_RES!$A$1,MATCH(AY552,ITEM_RES!$J:$J,0)-1,0),0)</f>
        <v>0</v>
      </c>
      <c r="BC552" s="11">
        <f ca="1">IFERROR(OFFSET(ITEM_RES!$A$1,MATCH(BD552,ITEM_RES!$J:$J,0)-1,0),0)</f>
        <v>0</v>
      </c>
      <c r="BH552" s="11">
        <f ca="1">IFERROR(OFFSET(ITEM_RES!$A$1,MATCH(BI552,ITEM_RES!$J:$J,0)-1,0),0)</f>
        <v>0</v>
      </c>
      <c r="BM552" s="11">
        <f ca="1">IFERROR(OFFSET(ITEM_RES!$A$1,MATCH(BN552,ITEM_RES!$J:$J,0)-1,0),0)</f>
        <v>0</v>
      </c>
    </row>
    <row r="553" spans="1:68" x14ac:dyDescent="0.3">
      <c r="A553" s="14">
        <f t="shared" si="151"/>
        <v>115040009</v>
      </c>
      <c r="B553" s="13">
        <v>11</v>
      </c>
      <c r="C553" s="12">
        <f t="shared" si="152"/>
        <v>5</v>
      </c>
      <c r="D553" s="13">
        <v>4</v>
      </c>
      <c r="E553" s="13">
        <v>0</v>
      </c>
      <c r="F553" s="12">
        <f t="shared" si="153"/>
        <v>9</v>
      </c>
      <c r="H553" s="9">
        <v>5</v>
      </c>
      <c r="I553" s="9">
        <v>9</v>
      </c>
      <c r="K553" s="9" t="s">
        <v>1085</v>
      </c>
      <c r="M553" s="9">
        <v>1</v>
      </c>
      <c r="N553" s="9">
        <v>15</v>
      </c>
      <c r="O553" s="9" t="s">
        <v>1104</v>
      </c>
      <c r="S553" s="9">
        <v>5555</v>
      </c>
      <c r="V553" s="9">
        <f ca="1">IFERROR(OFFSET(ITEM_RES!$A$5,MATCH(BUILDING!U553,ITEM_RES!$J$5:$J$229,0)-1,0),0)</f>
        <v>0</v>
      </c>
      <c r="Y553" s="9">
        <f ca="1">IFERROR(OFFSET(ITEM_RES!$A$5,MATCH(BUILDING!X553,ITEM_RES!$J$5:$J$229,0)-1,0),0)</f>
        <v>0</v>
      </c>
      <c r="AA553" s="9" t="s">
        <v>365</v>
      </c>
      <c r="AB553" s="9">
        <v>9</v>
      </c>
      <c r="AD553" s="11">
        <f ca="1">IFERROR(OFFSET(MANOR_LEVEL!$B$1,MATCH(AE553-1,MANOR_LEVEL!$A:$A,0)-1,0),0)</f>
        <v>528</v>
      </c>
      <c r="AE553" s="56">
        <v>3</v>
      </c>
      <c r="AG553" s="56">
        <f t="shared" ca="1" si="148"/>
        <v>150</v>
      </c>
      <c r="AH553" s="10">
        <f ca="1">AM553+AO553+(IFERROR(OFFSET(ITEM_RES!$S$1,MATCH(AS553,ITEM_RES!$A:$A,0)-1,0),0)*AU553+IFERROR(OFFSET(ITEM_RES!$S$1,MATCH(AX553,ITEM_RES!$A:$A,0)-1,0),0)*AZ553+IFERROR(OFFSET(ITEM_RES!$S$1,MATCH(BC553,ITEM_RES!$A:$A,0)-1,0),0)*BE553+IFERROR(OFFSET(ITEM_RES!$S$1,MATCH(BH553,ITEM_RES!$A:$A,0)-1,0),0)*BJ553+IFERROR(OFFSET(ITEM_RES!$S$1,MATCH(BM553,ITEM_RES!$A:$A,0)-1,0),0)*BO553)/1000</f>
        <v>150.1</v>
      </c>
      <c r="AI553" s="182">
        <f t="shared" ca="1" si="156"/>
        <v>250</v>
      </c>
      <c r="AK553" s="11">
        <f t="shared" si="147"/>
        <v>45</v>
      </c>
      <c r="AL553" s="10">
        <v>45</v>
      </c>
      <c r="AM553" s="11">
        <f t="shared" si="154"/>
        <v>150</v>
      </c>
      <c r="AN553" s="10">
        <v>150</v>
      </c>
      <c r="AO553" s="11">
        <f t="shared" si="154"/>
        <v>0</v>
      </c>
      <c r="AP553" s="10">
        <v>0</v>
      </c>
      <c r="AQ553" s="56">
        <f t="shared" si="149"/>
        <v>1</v>
      </c>
      <c r="AS553" s="11">
        <f ca="1">IFERROR(OFFSET(ITEM_RES!$A$1,MATCH(AT553,ITEM_RES!$J:$J,0)-1,0),0)</f>
        <v>211020801</v>
      </c>
      <c r="AT553" s="10" t="s">
        <v>439</v>
      </c>
      <c r="AU553" s="11">
        <v>1</v>
      </c>
      <c r="AX553" s="11">
        <f ca="1">IFERROR(OFFSET(ITEM_RES!$A$1,MATCH(AY553,ITEM_RES!$J:$J,0)-1,0),0)</f>
        <v>0</v>
      </c>
      <c r="BC553" s="11">
        <f ca="1">IFERROR(OFFSET(ITEM_RES!$A$1,MATCH(BD553,ITEM_RES!$J:$J,0)-1,0),0)</f>
        <v>0</v>
      </c>
      <c r="BH553" s="11">
        <f ca="1">IFERROR(OFFSET(ITEM_RES!$A$1,MATCH(BI553,ITEM_RES!$J:$J,0)-1,0),0)</f>
        <v>0</v>
      </c>
      <c r="BM553" s="11">
        <f ca="1">IFERROR(OFFSET(ITEM_RES!$A$1,MATCH(BN553,ITEM_RES!$J:$J,0)-1,0),0)</f>
        <v>0</v>
      </c>
    </row>
    <row r="554" spans="1:68" x14ac:dyDescent="0.3">
      <c r="A554" s="14">
        <f t="shared" si="151"/>
        <v>115040010</v>
      </c>
      <c r="B554" s="13">
        <v>11</v>
      </c>
      <c r="C554" s="12">
        <f t="shared" si="152"/>
        <v>5</v>
      </c>
      <c r="D554" s="13">
        <v>4</v>
      </c>
      <c r="E554" s="13">
        <v>0</v>
      </c>
      <c r="F554" s="12">
        <f t="shared" si="153"/>
        <v>10</v>
      </c>
      <c r="H554" s="9">
        <v>5</v>
      </c>
      <c r="I554" s="9">
        <v>10</v>
      </c>
      <c r="K554" s="9" t="s">
        <v>1085</v>
      </c>
      <c r="M554" s="9">
        <v>1</v>
      </c>
      <c r="N554" s="9">
        <v>15</v>
      </c>
      <c r="O554" s="9" t="s">
        <v>1104</v>
      </c>
      <c r="S554" s="9">
        <v>5555</v>
      </c>
      <c r="V554" s="9">
        <f ca="1">IFERROR(OFFSET(ITEM_RES!$A$5,MATCH(BUILDING!U554,ITEM_RES!$J$5:$J$229,0)-1,0),0)</f>
        <v>0</v>
      </c>
      <c r="Y554" s="9">
        <f ca="1">IFERROR(OFFSET(ITEM_RES!$A$5,MATCH(BUILDING!X554,ITEM_RES!$J$5:$J$229,0)-1,0),0)</f>
        <v>0</v>
      </c>
      <c r="AA554" s="9" t="s">
        <v>365</v>
      </c>
      <c r="AB554" s="9">
        <v>10</v>
      </c>
      <c r="AD554" s="11">
        <f ca="1">IFERROR(OFFSET(MANOR_LEVEL!$B$1,MATCH(AE554-1,MANOR_LEVEL!$A:$A,0)-1,0),0)</f>
        <v>528</v>
      </c>
      <c r="AE554" s="56">
        <v>3</v>
      </c>
      <c r="AG554" s="56">
        <f t="shared" ca="1" si="148"/>
        <v>200</v>
      </c>
      <c r="AH554" s="10">
        <f ca="1">AM554+AO554+(IFERROR(OFFSET(ITEM_RES!$S$1,MATCH(AS554,ITEM_RES!$A:$A,0)-1,0),0)*AU554+IFERROR(OFFSET(ITEM_RES!$S$1,MATCH(AX554,ITEM_RES!$A:$A,0)-1,0),0)*AZ554+IFERROR(OFFSET(ITEM_RES!$S$1,MATCH(BC554,ITEM_RES!$A:$A,0)-1,0),0)*BE554+IFERROR(OFFSET(ITEM_RES!$S$1,MATCH(BH554,ITEM_RES!$A:$A,0)-1,0),0)*BJ554+IFERROR(OFFSET(ITEM_RES!$S$1,MATCH(BM554,ITEM_RES!$A:$A,0)-1,0),0)*BO554)/1000</f>
        <v>200.1</v>
      </c>
      <c r="AI554" s="182">
        <f t="shared" ca="1" si="156"/>
        <v>350</v>
      </c>
      <c r="AK554" s="11">
        <f t="shared" si="147"/>
        <v>50</v>
      </c>
      <c r="AL554" s="10">
        <v>50</v>
      </c>
      <c r="AM554" s="11">
        <f t="shared" si="154"/>
        <v>200</v>
      </c>
      <c r="AN554" s="10">
        <v>200</v>
      </c>
      <c r="AO554" s="11">
        <f t="shared" si="154"/>
        <v>0</v>
      </c>
      <c r="AP554" s="10">
        <v>0</v>
      </c>
      <c r="AQ554" s="56">
        <f t="shared" si="149"/>
        <v>1</v>
      </c>
      <c r="AS554" s="11">
        <f ca="1">IFERROR(OFFSET(ITEM_RES!$A$1,MATCH(AT554,ITEM_RES!$J:$J,0)-1,0),0)</f>
        <v>211020801</v>
      </c>
      <c r="AT554" s="10" t="s">
        <v>439</v>
      </c>
      <c r="AU554" s="11">
        <v>1</v>
      </c>
      <c r="AX554" s="11">
        <f ca="1">IFERROR(OFFSET(ITEM_RES!$A$1,MATCH(AY554,ITEM_RES!$J:$J,0)-1,0),0)</f>
        <v>0</v>
      </c>
      <c r="BC554" s="11">
        <f ca="1">IFERROR(OFFSET(ITEM_RES!$A$1,MATCH(BD554,ITEM_RES!$J:$J,0)-1,0),0)</f>
        <v>0</v>
      </c>
      <c r="BH554" s="11">
        <f ca="1">IFERROR(OFFSET(ITEM_RES!$A$1,MATCH(BI554,ITEM_RES!$J:$J,0)-1,0),0)</f>
        <v>0</v>
      </c>
      <c r="BM554" s="11">
        <f ca="1">IFERROR(OFFSET(ITEM_RES!$A$1,MATCH(BN554,ITEM_RES!$J:$J,0)-1,0),0)</f>
        <v>0</v>
      </c>
    </row>
    <row r="555" spans="1:68" x14ac:dyDescent="0.3">
      <c r="A555" s="14">
        <f t="shared" si="151"/>
        <v>115040011</v>
      </c>
      <c r="B555" s="13">
        <v>11</v>
      </c>
      <c r="C555" s="12">
        <f t="shared" si="152"/>
        <v>5</v>
      </c>
      <c r="D555" s="13">
        <v>4</v>
      </c>
      <c r="E555" s="13">
        <v>0</v>
      </c>
      <c r="F555" s="12">
        <f t="shared" si="153"/>
        <v>11</v>
      </c>
      <c r="H555" s="9">
        <v>5</v>
      </c>
      <c r="I555" s="9">
        <v>11</v>
      </c>
      <c r="K555" s="9" t="s">
        <v>1085</v>
      </c>
      <c r="M555" s="9">
        <v>1</v>
      </c>
      <c r="N555" s="9">
        <v>15</v>
      </c>
      <c r="O555" s="9" t="s">
        <v>1104</v>
      </c>
      <c r="S555" s="9">
        <v>5555</v>
      </c>
      <c r="V555" s="9">
        <f ca="1">IFERROR(OFFSET(ITEM_RES!$A$5,MATCH(BUILDING!U555,ITEM_RES!$J$5:$J$229,0)-1,0),0)</f>
        <v>0</v>
      </c>
      <c r="Y555" s="9">
        <f ca="1">IFERROR(OFFSET(ITEM_RES!$A$5,MATCH(BUILDING!X555,ITEM_RES!$J$5:$J$229,0)-1,0),0)</f>
        <v>0</v>
      </c>
      <c r="AA555" s="9" t="s">
        <v>365</v>
      </c>
      <c r="AB555" s="9">
        <v>11</v>
      </c>
      <c r="AD555" s="11">
        <f ca="1">IFERROR(OFFSET(MANOR_LEVEL!$B$1,MATCH(AE555-1,MANOR_LEVEL!$A:$A,0)-1,0),0)</f>
        <v>528</v>
      </c>
      <c r="AE555" s="56">
        <v>3</v>
      </c>
      <c r="AG555" s="56">
        <f t="shared" ca="1" si="148"/>
        <v>250</v>
      </c>
      <c r="AH555" s="10">
        <f ca="1">AM555+AO555+(IFERROR(OFFSET(ITEM_RES!$S$1,MATCH(AS555,ITEM_RES!$A:$A,0)-1,0),0)*AU555+IFERROR(OFFSET(ITEM_RES!$S$1,MATCH(AX555,ITEM_RES!$A:$A,0)-1,0),0)*AZ555+IFERROR(OFFSET(ITEM_RES!$S$1,MATCH(BC555,ITEM_RES!$A:$A,0)-1,0),0)*BE555+IFERROR(OFFSET(ITEM_RES!$S$1,MATCH(BH555,ITEM_RES!$A:$A,0)-1,0),0)*BJ555+IFERROR(OFFSET(ITEM_RES!$S$1,MATCH(BM555,ITEM_RES!$A:$A,0)-1,0),0)*BO555)/1000</f>
        <v>250.1</v>
      </c>
      <c r="AI555" s="182">
        <f t="shared" ca="1" si="156"/>
        <v>450</v>
      </c>
      <c r="AK555" s="11">
        <f t="shared" si="147"/>
        <v>55</v>
      </c>
      <c r="AL555" s="10">
        <v>55</v>
      </c>
      <c r="AM555" s="11">
        <f t="shared" si="154"/>
        <v>250</v>
      </c>
      <c r="AN555" s="10">
        <v>250</v>
      </c>
      <c r="AO555" s="11">
        <f t="shared" si="154"/>
        <v>0</v>
      </c>
      <c r="AP555" s="10">
        <v>0</v>
      </c>
      <c r="AQ555" s="56">
        <f t="shared" si="149"/>
        <v>1</v>
      </c>
      <c r="AS555" s="11">
        <f ca="1">IFERROR(OFFSET(ITEM_RES!$A$1,MATCH(AT555,ITEM_RES!$J:$J,0)-1,0),0)</f>
        <v>211020801</v>
      </c>
      <c r="AT555" s="10" t="s">
        <v>439</v>
      </c>
      <c r="AU555" s="11">
        <v>1</v>
      </c>
      <c r="AX555" s="11">
        <f ca="1">IFERROR(OFFSET(ITEM_RES!$A$1,MATCH(AY555,ITEM_RES!$J:$J,0)-1,0),0)</f>
        <v>0</v>
      </c>
      <c r="BC555" s="11">
        <f ca="1">IFERROR(OFFSET(ITEM_RES!$A$1,MATCH(BD555,ITEM_RES!$J:$J,0)-1,0),0)</f>
        <v>0</v>
      </c>
      <c r="BH555" s="11">
        <f ca="1">IFERROR(OFFSET(ITEM_RES!$A$1,MATCH(BI555,ITEM_RES!$J:$J,0)-1,0),0)</f>
        <v>0</v>
      </c>
      <c r="BM555" s="11">
        <f ca="1">IFERROR(OFFSET(ITEM_RES!$A$1,MATCH(BN555,ITEM_RES!$J:$J,0)-1,0),0)</f>
        <v>0</v>
      </c>
    </row>
    <row r="556" spans="1:68" x14ac:dyDescent="0.3">
      <c r="A556" s="14">
        <f t="shared" si="151"/>
        <v>115040012</v>
      </c>
      <c r="B556" s="13">
        <v>11</v>
      </c>
      <c r="C556" s="12">
        <f t="shared" si="152"/>
        <v>5</v>
      </c>
      <c r="D556" s="13">
        <v>4</v>
      </c>
      <c r="E556" s="13">
        <v>0</v>
      </c>
      <c r="F556" s="12">
        <f t="shared" si="153"/>
        <v>12</v>
      </c>
      <c r="H556" s="9">
        <v>5</v>
      </c>
      <c r="I556" s="9">
        <v>12</v>
      </c>
      <c r="K556" s="9" t="s">
        <v>1085</v>
      </c>
      <c r="M556" s="9">
        <v>1</v>
      </c>
      <c r="N556" s="9">
        <v>15</v>
      </c>
      <c r="O556" s="9" t="s">
        <v>1104</v>
      </c>
      <c r="S556" s="9">
        <v>5555</v>
      </c>
      <c r="V556" s="9">
        <f ca="1">IFERROR(OFFSET(ITEM_RES!$A$5,MATCH(BUILDING!U556,ITEM_RES!$J$5:$J$229,0)-1,0),0)</f>
        <v>0</v>
      </c>
      <c r="Y556" s="9">
        <f ca="1">IFERROR(OFFSET(ITEM_RES!$A$5,MATCH(BUILDING!X556,ITEM_RES!$J$5:$J$229,0)-1,0),0)</f>
        <v>0</v>
      </c>
      <c r="AA556" s="9" t="s">
        <v>365</v>
      </c>
      <c r="AB556" s="9">
        <v>12</v>
      </c>
      <c r="AD556" s="11">
        <f ca="1">IFERROR(OFFSET(MANOR_LEVEL!$B$1,MATCH(AE556-1,MANOR_LEVEL!$A:$A,0)-1,0),0)</f>
        <v>800</v>
      </c>
      <c r="AE556" s="56">
        <v>4</v>
      </c>
      <c r="AG556" s="56">
        <f t="shared" ca="1" si="148"/>
        <v>1300</v>
      </c>
      <c r="AH556" s="10">
        <f ca="1">AM556+AO556+(IFERROR(OFFSET(ITEM_RES!$S$1,MATCH(AS556,ITEM_RES!$A:$A,0)-1,0),0)*AU556+IFERROR(OFFSET(ITEM_RES!$S$1,MATCH(AX556,ITEM_RES!$A:$A,0)-1,0),0)*AZ556+IFERROR(OFFSET(ITEM_RES!$S$1,MATCH(BC556,ITEM_RES!$A:$A,0)-1,0),0)*BE556+IFERROR(OFFSET(ITEM_RES!$S$1,MATCH(BH556,ITEM_RES!$A:$A,0)-1,0),0)*BJ556+IFERROR(OFFSET(ITEM_RES!$S$1,MATCH(BM556,ITEM_RES!$A:$A,0)-1,0),0)*BO556)/1000</f>
        <v>1300.0999999999999</v>
      </c>
      <c r="AI556" s="182">
        <f t="shared" ca="1" si="156"/>
        <v>1550</v>
      </c>
      <c r="AK556" s="11">
        <f t="shared" si="147"/>
        <v>60</v>
      </c>
      <c r="AL556" s="10">
        <v>60</v>
      </c>
      <c r="AM556" s="11">
        <f t="shared" si="154"/>
        <v>300</v>
      </c>
      <c r="AN556" s="10">
        <v>300</v>
      </c>
      <c r="AO556" s="11">
        <f t="shared" si="154"/>
        <v>0</v>
      </c>
      <c r="AP556" s="10">
        <v>0</v>
      </c>
      <c r="AQ556" s="56">
        <f t="shared" si="149"/>
        <v>2</v>
      </c>
      <c r="AS556" s="11">
        <f ca="1">IFERROR(OFFSET(ITEM_RES!$A$1,MATCH(AT556,ITEM_RES!$J:$J,0)-1,0),0)</f>
        <v>211020801</v>
      </c>
      <c r="AT556" s="10" t="s">
        <v>439</v>
      </c>
      <c r="AU556" s="11">
        <v>1</v>
      </c>
      <c r="AX556" s="11">
        <f ca="1">IFERROR(OFFSET(ITEM_RES!$A$1,MATCH(AY556,ITEM_RES!$J:$J,0)-1,0),0)</f>
        <v>0</v>
      </c>
      <c r="BC556" s="11">
        <f ca="1">IFERROR(OFFSET(ITEM_RES!$A$1,MATCH(BD556,ITEM_RES!$J:$J,0)-1,0),0)</f>
        <v>0</v>
      </c>
      <c r="BH556" s="11">
        <f ca="1">IFERROR(OFFSET(ITEM_RES!$A$1,MATCH(BI556,ITEM_RES!$J:$J,0)-1,0),0)</f>
        <v>213011701</v>
      </c>
      <c r="BI556" s="10" t="s">
        <v>478</v>
      </c>
      <c r="BJ556" s="11">
        <v>1</v>
      </c>
      <c r="BM556" s="11">
        <f ca="1">IFERROR(OFFSET(ITEM_RES!$A$1,MATCH(BN556,ITEM_RES!$J:$J,0)-1,0),0)</f>
        <v>0</v>
      </c>
    </row>
    <row r="557" spans="1:68" x14ac:dyDescent="0.3">
      <c r="A557" s="14">
        <f t="shared" si="151"/>
        <v>115040013</v>
      </c>
      <c r="B557" s="13">
        <v>11</v>
      </c>
      <c r="C557" s="12">
        <f t="shared" si="152"/>
        <v>5</v>
      </c>
      <c r="D557" s="13">
        <v>4</v>
      </c>
      <c r="E557" s="13">
        <v>0</v>
      </c>
      <c r="F557" s="12">
        <f t="shared" si="153"/>
        <v>13</v>
      </c>
      <c r="H557" s="9">
        <v>5</v>
      </c>
      <c r="I557" s="9">
        <v>13</v>
      </c>
      <c r="K557" s="9" t="s">
        <v>1085</v>
      </c>
      <c r="M557" s="9">
        <v>1</v>
      </c>
      <c r="N557" s="9">
        <v>15</v>
      </c>
      <c r="O557" s="9" t="s">
        <v>1104</v>
      </c>
      <c r="S557" s="9">
        <v>5555</v>
      </c>
      <c r="V557" s="9">
        <f ca="1">IFERROR(OFFSET(ITEM_RES!$A$5,MATCH(BUILDING!U557,ITEM_RES!$J$5:$J$229,0)-1,0),0)</f>
        <v>0</v>
      </c>
      <c r="Y557" s="9">
        <f ca="1">IFERROR(OFFSET(ITEM_RES!$A$5,MATCH(BUILDING!X557,ITEM_RES!$J$5:$J$229,0)-1,0),0)</f>
        <v>0</v>
      </c>
      <c r="AA557" s="9" t="s">
        <v>365</v>
      </c>
      <c r="AB557" s="9">
        <v>13</v>
      </c>
      <c r="AD557" s="11">
        <f ca="1">IFERROR(OFFSET(MANOR_LEVEL!$B$1,MATCH(AE557-1,MANOR_LEVEL!$A:$A,0)-1,0),0)</f>
        <v>800</v>
      </c>
      <c r="AE557" s="56">
        <v>4</v>
      </c>
      <c r="AG557" s="56">
        <f t="shared" ca="1" si="148"/>
        <v>350</v>
      </c>
      <c r="AH557" s="10">
        <f ca="1">AM557+AO557+(IFERROR(OFFSET(ITEM_RES!$S$1,MATCH(AS557,ITEM_RES!$A:$A,0)-1,0),0)*AU557+IFERROR(OFFSET(ITEM_RES!$S$1,MATCH(AX557,ITEM_RES!$A:$A,0)-1,0),0)*AZ557+IFERROR(OFFSET(ITEM_RES!$S$1,MATCH(BC557,ITEM_RES!$A:$A,0)-1,0),0)*BE557+IFERROR(OFFSET(ITEM_RES!$S$1,MATCH(BH557,ITEM_RES!$A:$A,0)-1,0),0)*BJ557+IFERROR(OFFSET(ITEM_RES!$S$1,MATCH(BM557,ITEM_RES!$A:$A,0)-1,0),0)*BO557)/1000</f>
        <v>350.2</v>
      </c>
      <c r="AI557" s="182">
        <f t="shared" ca="1" si="156"/>
        <v>1650</v>
      </c>
      <c r="AK557" s="11">
        <f t="shared" ref="AK557:AK564" si="157">ROUND(AL557,0)</f>
        <v>65</v>
      </c>
      <c r="AL557" s="10">
        <v>65</v>
      </c>
      <c r="AM557" s="11">
        <f t="shared" si="154"/>
        <v>350</v>
      </c>
      <c r="AN557" s="10">
        <v>350</v>
      </c>
      <c r="AO557" s="11">
        <f t="shared" si="154"/>
        <v>0</v>
      </c>
      <c r="AP557" s="10">
        <v>0</v>
      </c>
      <c r="AQ557" s="56">
        <f t="shared" si="149"/>
        <v>1</v>
      </c>
      <c r="AS557" s="11">
        <f ca="1">IFERROR(OFFSET(ITEM_RES!$A$1,MATCH(AT557,ITEM_RES!$J:$J,0)-1,0),0)</f>
        <v>211020901</v>
      </c>
      <c r="AT557" s="10" t="s">
        <v>445</v>
      </c>
      <c r="AU557" s="11">
        <v>1</v>
      </c>
      <c r="AX557" s="11">
        <f ca="1">IFERROR(OFFSET(ITEM_RES!$A$1,MATCH(AY557,ITEM_RES!$J:$J,0)-1,0),0)</f>
        <v>0</v>
      </c>
      <c r="BC557" s="11">
        <f ca="1">IFERROR(OFFSET(ITEM_RES!$A$1,MATCH(BD557,ITEM_RES!$J:$J,0)-1,0),0)</f>
        <v>0</v>
      </c>
      <c r="BH557" s="11">
        <f ca="1">IFERROR(OFFSET(ITEM_RES!$A$1,MATCH(BI557,ITEM_RES!$J:$J,0)-1,0),0)</f>
        <v>0</v>
      </c>
      <c r="BM557" s="11">
        <f ca="1">IFERROR(OFFSET(ITEM_RES!$A$1,MATCH(BN557,ITEM_RES!$J:$J,0)-1,0),0)</f>
        <v>0</v>
      </c>
    </row>
    <row r="558" spans="1:68" x14ac:dyDescent="0.3">
      <c r="A558" s="14">
        <f t="shared" si="151"/>
        <v>115040014</v>
      </c>
      <c r="B558" s="13">
        <v>11</v>
      </c>
      <c r="C558" s="12">
        <f t="shared" si="152"/>
        <v>5</v>
      </c>
      <c r="D558" s="13">
        <v>4</v>
      </c>
      <c r="E558" s="13">
        <v>0</v>
      </c>
      <c r="F558" s="12">
        <f t="shared" si="153"/>
        <v>14</v>
      </c>
      <c r="H558" s="9">
        <v>5</v>
      </c>
      <c r="I558" s="9">
        <v>14</v>
      </c>
      <c r="K558" s="9" t="s">
        <v>1085</v>
      </c>
      <c r="M558" s="9">
        <v>1</v>
      </c>
      <c r="N558" s="9">
        <v>15</v>
      </c>
      <c r="O558" s="9" t="s">
        <v>1104</v>
      </c>
      <c r="S558" s="9">
        <v>5555</v>
      </c>
      <c r="V558" s="9">
        <f ca="1">IFERROR(OFFSET(ITEM_RES!$A$5,MATCH(BUILDING!U558,ITEM_RES!$J$5:$J$229,0)-1,0),0)</f>
        <v>0</v>
      </c>
      <c r="Y558" s="9">
        <f ca="1">IFERROR(OFFSET(ITEM_RES!$A$5,MATCH(BUILDING!X558,ITEM_RES!$J$5:$J$229,0)-1,0),0)</f>
        <v>0</v>
      </c>
      <c r="AA558" s="9" t="s">
        <v>365</v>
      </c>
      <c r="AB558" s="9">
        <v>14</v>
      </c>
      <c r="AD558" s="11">
        <f ca="1">IFERROR(OFFSET(MANOR_LEVEL!$B$1,MATCH(AE558-1,MANOR_LEVEL!$A:$A,0)-1,0),0)</f>
        <v>800</v>
      </c>
      <c r="AE558" s="56">
        <v>4</v>
      </c>
      <c r="AG558" s="56">
        <f t="shared" ref="AG558:AG564" ca="1" si="158">ROUND(AH558,0)</f>
        <v>450</v>
      </c>
      <c r="AH558" s="10">
        <f ca="1">AM558+AO558+(IFERROR(OFFSET(ITEM_RES!$S$1,MATCH(AS558,ITEM_RES!$A:$A,0)-1,0),0)*AU558+IFERROR(OFFSET(ITEM_RES!$S$1,MATCH(AX558,ITEM_RES!$A:$A,0)-1,0),0)*AZ558+IFERROR(OFFSET(ITEM_RES!$S$1,MATCH(BC558,ITEM_RES!$A:$A,0)-1,0),0)*BE558+IFERROR(OFFSET(ITEM_RES!$S$1,MATCH(BH558,ITEM_RES!$A:$A,0)-1,0),0)*BJ558+IFERROR(OFFSET(ITEM_RES!$S$1,MATCH(BM558,ITEM_RES!$A:$A,0)-1,0),0)*BO558)/1000</f>
        <v>450.2</v>
      </c>
      <c r="AI558" s="182">
        <f t="shared" ca="1" si="156"/>
        <v>800</v>
      </c>
      <c r="AK558" s="11">
        <f t="shared" si="157"/>
        <v>70</v>
      </c>
      <c r="AL558" s="10">
        <v>70</v>
      </c>
      <c r="AM558" s="11">
        <f t="shared" si="154"/>
        <v>450</v>
      </c>
      <c r="AN558" s="10">
        <v>450</v>
      </c>
      <c r="AO558" s="11">
        <f t="shared" si="154"/>
        <v>0</v>
      </c>
      <c r="AP558" s="10">
        <v>0</v>
      </c>
      <c r="AQ558" s="56">
        <f t="shared" ref="AQ558:AQ564" si="159">(AU558&gt;0)*1+(AZ558&gt;0)*1+(BE558&gt;0)*1+(BJ558&gt;0)*1+(BO558&gt;0)*1</f>
        <v>1</v>
      </c>
      <c r="AS558" s="11">
        <f ca="1">IFERROR(OFFSET(ITEM_RES!$A$1,MATCH(AT558,ITEM_RES!$J:$J,0)-1,0),0)</f>
        <v>211020901</v>
      </c>
      <c r="AT558" s="10" t="s">
        <v>445</v>
      </c>
      <c r="AU558" s="11">
        <v>1</v>
      </c>
      <c r="AX558" s="11">
        <f ca="1">IFERROR(OFFSET(ITEM_RES!$A$1,MATCH(AY558,ITEM_RES!$J:$J,0)-1,0),0)</f>
        <v>0</v>
      </c>
      <c r="BC558" s="11">
        <f ca="1">IFERROR(OFFSET(ITEM_RES!$A$1,MATCH(BD558,ITEM_RES!$J:$J,0)-1,0),0)</f>
        <v>0</v>
      </c>
      <c r="BH558" s="11">
        <f ca="1">IFERROR(OFFSET(ITEM_RES!$A$1,MATCH(BI558,ITEM_RES!$J:$J,0)-1,0),0)</f>
        <v>0</v>
      </c>
      <c r="BM558" s="11">
        <f ca="1">IFERROR(OFFSET(ITEM_RES!$A$1,MATCH(BN558,ITEM_RES!$J:$J,0)-1,0),0)</f>
        <v>0</v>
      </c>
    </row>
    <row r="559" spans="1:68" x14ac:dyDescent="0.3">
      <c r="A559" s="14">
        <f t="shared" si="151"/>
        <v>115040015</v>
      </c>
      <c r="B559" s="13">
        <v>11</v>
      </c>
      <c r="C559" s="12">
        <f t="shared" si="152"/>
        <v>5</v>
      </c>
      <c r="D559" s="13">
        <v>4</v>
      </c>
      <c r="E559" s="13">
        <v>0</v>
      </c>
      <c r="F559" s="12">
        <f t="shared" si="153"/>
        <v>15</v>
      </c>
      <c r="H559" s="9">
        <v>5</v>
      </c>
      <c r="I559" s="9">
        <v>15</v>
      </c>
      <c r="K559" s="9" t="s">
        <v>1085</v>
      </c>
      <c r="M559" s="9">
        <v>1</v>
      </c>
      <c r="N559" s="9">
        <v>15</v>
      </c>
      <c r="O559" s="9" t="s">
        <v>1104</v>
      </c>
      <c r="S559" s="9">
        <v>5555</v>
      </c>
      <c r="V559" s="9">
        <f ca="1">IFERROR(OFFSET(ITEM_RES!$A$5,MATCH(BUILDING!U559,ITEM_RES!$J$5:$J$229,0)-1,0),0)</f>
        <v>0</v>
      </c>
      <c r="Y559" s="9">
        <f ca="1">IFERROR(OFFSET(ITEM_RES!$A$5,MATCH(BUILDING!X559,ITEM_RES!$J$5:$J$229,0)-1,0),0)</f>
        <v>0</v>
      </c>
      <c r="AA559" s="9" t="s">
        <v>365</v>
      </c>
      <c r="AB559" s="9">
        <v>15</v>
      </c>
      <c r="AD559" s="11">
        <f ca="1">IFERROR(OFFSET(MANOR_LEVEL!$B$1,MATCH(AE559-1,MANOR_LEVEL!$A:$A,0)-1,0),0)</f>
        <v>1500</v>
      </c>
      <c r="AE559" s="56">
        <v>5</v>
      </c>
      <c r="AG559" s="56">
        <f t="shared" ca="1" si="158"/>
        <v>550</v>
      </c>
      <c r="AH559" s="10">
        <f ca="1">AM559+AO559+(IFERROR(OFFSET(ITEM_RES!$S$1,MATCH(AS559,ITEM_RES!$A:$A,0)-1,0),0)*AU559+IFERROR(OFFSET(ITEM_RES!$S$1,MATCH(AX559,ITEM_RES!$A:$A,0)-1,0),0)*AZ559+IFERROR(OFFSET(ITEM_RES!$S$1,MATCH(BC559,ITEM_RES!$A:$A,0)-1,0),0)*BE559+IFERROR(OFFSET(ITEM_RES!$S$1,MATCH(BH559,ITEM_RES!$A:$A,0)-1,0),0)*BJ559+IFERROR(OFFSET(ITEM_RES!$S$1,MATCH(BM559,ITEM_RES!$A:$A,0)-1,0),0)*BO559)/1000</f>
        <v>550.20000000000005</v>
      </c>
      <c r="AI559" s="182">
        <f t="shared" ca="1" si="156"/>
        <v>1000</v>
      </c>
      <c r="AK559" s="11">
        <f t="shared" si="157"/>
        <v>75</v>
      </c>
      <c r="AL559" s="10">
        <v>75</v>
      </c>
      <c r="AM559" s="11">
        <f t="shared" si="154"/>
        <v>550</v>
      </c>
      <c r="AN559" s="10">
        <v>550</v>
      </c>
      <c r="AO559" s="11">
        <f t="shared" si="154"/>
        <v>0</v>
      </c>
      <c r="AP559" s="10">
        <v>0</v>
      </c>
      <c r="AQ559" s="56">
        <f t="shared" si="159"/>
        <v>1</v>
      </c>
      <c r="AS559" s="11">
        <f ca="1">IFERROR(OFFSET(ITEM_RES!$A$1,MATCH(AT559,ITEM_RES!$J:$J,0)-1,0),0)</f>
        <v>211020901</v>
      </c>
      <c r="AT559" s="10" t="s">
        <v>445</v>
      </c>
      <c r="AU559" s="11">
        <v>1</v>
      </c>
      <c r="AX559" s="11">
        <f ca="1">IFERROR(OFFSET(ITEM_RES!$A$1,MATCH(AY559,ITEM_RES!$J:$J,0)-1,0),0)</f>
        <v>0</v>
      </c>
      <c r="BC559" s="11">
        <f ca="1">IFERROR(OFFSET(ITEM_RES!$A$1,MATCH(BD559,ITEM_RES!$J:$J,0)-1,0),0)</f>
        <v>0</v>
      </c>
      <c r="BH559" s="11">
        <f ca="1">IFERROR(OFFSET(ITEM_RES!$A$1,MATCH(BI559,ITEM_RES!$J:$J,0)-1,0),0)</f>
        <v>0</v>
      </c>
      <c r="BM559" s="11">
        <f ca="1">IFERROR(OFFSET(ITEM_RES!$A$1,MATCH(BN559,ITEM_RES!$J:$J,0)-1,0),0)</f>
        <v>0</v>
      </c>
    </row>
    <row r="560" spans="1:68" x14ac:dyDescent="0.3">
      <c r="A560" s="14">
        <f t="shared" si="151"/>
        <v>115040016</v>
      </c>
      <c r="B560" s="13">
        <v>11</v>
      </c>
      <c r="C560" s="12">
        <f t="shared" si="152"/>
        <v>5</v>
      </c>
      <c r="D560" s="13">
        <v>4</v>
      </c>
      <c r="E560" s="13">
        <v>0</v>
      </c>
      <c r="F560" s="12">
        <f t="shared" si="153"/>
        <v>16</v>
      </c>
      <c r="H560" s="9">
        <v>5</v>
      </c>
      <c r="I560" s="9">
        <v>16</v>
      </c>
      <c r="K560" s="9" t="s">
        <v>1085</v>
      </c>
      <c r="M560" s="9">
        <v>0</v>
      </c>
      <c r="N560" s="9">
        <v>15</v>
      </c>
      <c r="O560" s="9" t="s">
        <v>1104</v>
      </c>
      <c r="S560" s="9">
        <v>5555</v>
      </c>
      <c r="V560" s="9">
        <f ca="1">IFERROR(OFFSET(ITEM_RES!$A$5,MATCH(BUILDING!U560,ITEM_RES!$J$5:$J$229,0)-1,0),0)</f>
        <v>0</v>
      </c>
      <c r="Y560" s="9">
        <f ca="1">IFERROR(OFFSET(ITEM_RES!$A$5,MATCH(BUILDING!X560,ITEM_RES!$J$5:$J$229,0)-1,0),0)</f>
        <v>0</v>
      </c>
      <c r="AA560" s="9" t="s">
        <v>365</v>
      </c>
      <c r="AB560" s="9">
        <v>16</v>
      </c>
      <c r="AD560" s="11">
        <f ca="1">IFERROR(OFFSET(MANOR_LEVEL!$B$1,MATCH(AE560-1,MANOR_LEVEL!$A:$A,0)-1,0),0)</f>
        <v>1500</v>
      </c>
      <c r="AE560" s="56">
        <v>5</v>
      </c>
      <c r="AG560" s="56">
        <f t="shared" ca="1" si="158"/>
        <v>700</v>
      </c>
      <c r="AH560" s="10">
        <f ca="1">AM560+AO560+(IFERROR(OFFSET(ITEM_RES!$S$1,MATCH(AS560,ITEM_RES!$A:$A,0)-1,0),0)*AU560+IFERROR(OFFSET(ITEM_RES!$S$1,MATCH(AX560,ITEM_RES!$A:$A,0)-1,0),0)*AZ560+IFERROR(OFFSET(ITEM_RES!$S$1,MATCH(BC560,ITEM_RES!$A:$A,0)-1,0),0)*BE560+IFERROR(OFFSET(ITEM_RES!$S$1,MATCH(BH560,ITEM_RES!$A:$A,0)-1,0),0)*BJ560+IFERROR(OFFSET(ITEM_RES!$S$1,MATCH(BM560,ITEM_RES!$A:$A,0)-1,0),0)*BO560)/1000</f>
        <v>700.2</v>
      </c>
      <c r="AI560" s="182">
        <f t="shared" ca="1" si="156"/>
        <v>1250</v>
      </c>
      <c r="AK560" s="11">
        <f t="shared" si="157"/>
        <v>80</v>
      </c>
      <c r="AL560" s="10">
        <v>80</v>
      </c>
      <c r="AM560" s="11">
        <f t="shared" si="154"/>
        <v>700</v>
      </c>
      <c r="AN560" s="10">
        <v>700</v>
      </c>
      <c r="AO560" s="11">
        <f t="shared" si="154"/>
        <v>0</v>
      </c>
      <c r="AP560" s="10">
        <v>0</v>
      </c>
      <c r="AQ560" s="56">
        <f t="shared" si="159"/>
        <v>1</v>
      </c>
      <c r="AS560" s="11">
        <f ca="1">IFERROR(OFFSET(ITEM_RES!$A$1,MATCH(AT560,ITEM_RES!$J:$J,0)-1,0),0)</f>
        <v>211020901</v>
      </c>
      <c r="AT560" s="10" t="s">
        <v>445</v>
      </c>
      <c r="AU560" s="11">
        <v>1</v>
      </c>
      <c r="AX560" s="11">
        <f ca="1">IFERROR(OFFSET(ITEM_RES!$A$1,MATCH(AY560,ITEM_RES!$J:$J,0)-1,0),0)</f>
        <v>0</v>
      </c>
      <c r="BC560" s="11">
        <f ca="1">IFERROR(OFFSET(ITEM_RES!$A$1,MATCH(BD560,ITEM_RES!$J:$J,0)-1,0),0)</f>
        <v>0</v>
      </c>
      <c r="BH560" s="11">
        <f ca="1">IFERROR(OFFSET(ITEM_RES!$A$1,MATCH(BI560,ITEM_RES!$J:$J,0)-1,0),0)</f>
        <v>0</v>
      </c>
      <c r="BM560" s="11">
        <f ca="1">IFERROR(OFFSET(ITEM_RES!$A$1,MATCH(BN560,ITEM_RES!$J:$J,0)-1,0),0)</f>
        <v>0</v>
      </c>
    </row>
    <row r="561" spans="1:68" x14ac:dyDescent="0.3">
      <c r="A561" s="14">
        <f t="shared" si="151"/>
        <v>115040017</v>
      </c>
      <c r="B561" s="13">
        <v>11</v>
      </c>
      <c r="C561" s="12">
        <f t="shared" si="152"/>
        <v>5</v>
      </c>
      <c r="D561" s="13">
        <v>4</v>
      </c>
      <c r="E561" s="13">
        <v>0</v>
      </c>
      <c r="F561" s="12">
        <f t="shared" si="153"/>
        <v>17</v>
      </c>
      <c r="H561" s="9">
        <v>5</v>
      </c>
      <c r="I561" s="9">
        <v>17</v>
      </c>
      <c r="K561" s="9" t="s">
        <v>1085</v>
      </c>
      <c r="M561" s="9">
        <v>0</v>
      </c>
      <c r="N561" s="9">
        <v>15</v>
      </c>
      <c r="O561" s="9" t="s">
        <v>1104</v>
      </c>
      <c r="S561" s="9">
        <v>5555</v>
      </c>
      <c r="V561" s="9">
        <f ca="1">IFERROR(OFFSET(ITEM_RES!$A$5,MATCH(BUILDING!U561,ITEM_RES!$J$5:$J$229,0)-1,0),0)</f>
        <v>0</v>
      </c>
      <c r="Y561" s="9">
        <f ca="1">IFERROR(OFFSET(ITEM_RES!$A$5,MATCH(BUILDING!X561,ITEM_RES!$J$5:$J$229,0)-1,0),0)</f>
        <v>0</v>
      </c>
      <c r="AA561" s="9" t="s">
        <v>365</v>
      </c>
      <c r="AB561" s="9">
        <v>17</v>
      </c>
      <c r="AD561" s="11">
        <f ca="1">IFERROR(OFFSET(MANOR_LEVEL!$B$1,MATCH(AE561-1,MANOR_LEVEL!$A:$A,0)-1,0),0)</f>
        <v>3872</v>
      </c>
      <c r="AE561" s="56">
        <v>6</v>
      </c>
      <c r="AG561" s="56">
        <f t="shared" ca="1" si="158"/>
        <v>850</v>
      </c>
      <c r="AH561" s="10">
        <f ca="1">AM561+AO561+(IFERROR(OFFSET(ITEM_RES!$S$1,MATCH(AS561,ITEM_RES!$A:$A,0)-1,0),0)*AU561+IFERROR(OFFSET(ITEM_RES!$S$1,MATCH(AX561,ITEM_RES!$A:$A,0)-1,0),0)*AZ561+IFERROR(OFFSET(ITEM_RES!$S$1,MATCH(BC561,ITEM_RES!$A:$A,0)-1,0),0)*BE561+IFERROR(OFFSET(ITEM_RES!$S$1,MATCH(BH561,ITEM_RES!$A:$A,0)-1,0),0)*BJ561+IFERROR(OFFSET(ITEM_RES!$S$1,MATCH(BM561,ITEM_RES!$A:$A,0)-1,0),0)*BO561)/1000</f>
        <v>850.2</v>
      </c>
      <c r="AI561" s="182">
        <f t="shared" ca="1" si="156"/>
        <v>1550</v>
      </c>
      <c r="AK561" s="11">
        <f t="shared" si="157"/>
        <v>85</v>
      </c>
      <c r="AL561" s="10">
        <v>85</v>
      </c>
      <c r="AM561" s="11">
        <f t="shared" si="154"/>
        <v>850</v>
      </c>
      <c r="AN561" s="10">
        <v>850</v>
      </c>
      <c r="AO561" s="11">
        <f t="shared" si="154"/>
        <v>0</v>
      </c>
      <c r="AP561" s="10">
        <v>0</v>
      </c>
      <c r="AQ561" s="56">
        <f t="shared" si="159"/>
        <v>1</v>
      </c>
      <c r="AS561" s="11">
        <f ca="1">IFERROR(OFFSET(ITEM_RES!$A$1,MATCH(AT561,ITEM_RES!$J:$J,0)-1,0),0)</f>
        <v>211020901</v>
      </c>
      <c r="AT561" s="10" t="s">
        <v>445</v>
      </c>
      <c r="AU561" s="11">
        <v>1</v>
      </c>
      <c r="AX561" s="11">
        <f ca="1">IFERROR(OFFSET(ITEM_RES!$A$1,MATCH(AY561,ITEM_RES!$J:$J,0)-1,0),0)</f>
        <v>0</v>
      </c>
      <c r="BC561" s="11">
        <f ca="1">IFERROR(OFFSET(ITEM_RES!$A$1,MATCH(BD561,ITEM_RES!$J:$J,0)-1,0),0)</f>
        <v>0</v>
      </c>
      <c r="BH561" s="11">
        <f ca="1">IFERROR(OFFSET(ITEM_RES!$A$1,MATCH(BI561,ITEM_RES!$J:$J,0)-1,0),0)</f>
        <v>0</v>
      </c>
      <c r="BM561" s="11">
        <f ca="1">IFERROR(OFFSET(ITEM_RES!$A$1,MATCH(BN561,ITEM_RES!$J:$J,0)-1,0),0)</f>
        <v>0</v>
      </c>
    </row>
    <row r="562" spans="1:68" x14ac:dyDescent="0.3">
      <c r="A562" s="14">
        <f t="shared" si="151"/>
        <v>115040018</v>
      </c>
      <c r="B562" s="13">
        <v>11</v>
      </c>
      <c r="C562" s="12">
        <f t="shared" si="152"/>
        <v>5</v>
      </c>
      <c r="D562" s="13">
        <v>4</v>
      </c>
      <c r="E562" s="13">
        <v>0</v>
      </c>
      <c r="F562" s="12">
        <f t="shared" si="153"/>
        <v>18</v>
      </c>
      <c r="H562" s="9">
        <v>5</v>
      </c>
      <c r="I562" s="9">
        <v>18</v>
      </c>
      <c r="K562" s="9" t="s">
        <v>1085</v>
      </c>
      <c r="M562" s="9">
        <v>0</v>
      </c>
      <c r="N562" s="9">
        <v>15</v>
      </c>
      <c r="O562" s="9" t="s">
        <v>1104</v>
      </c>
      <c r="S562" s="9">
        <v>5555</v>
      </c>
      <c r="V562" s="9">
        <f ca="1">IFERROR(OFFSET(ITEM_RES!$A$5,MATCH(BUILDING!U562,ITEM_RES!$J$5:$J$229,0)-1,0),0)</f>
        <v>0</v>
      </c>
      <c r="Y562" s="9">
        <f ca="1">IFERROR(OFFSET(ITEM_RES!$A$5,MATCH(BUILDING!X562,ITEM_RES!$J$5:$J$229,0)-1,0),0)</f>
        <v>0</v>
      </c>
      <c r="AA562" s="9" t="s">
        <v>365</v>
      </c>
      <c r="AB562" s="9">
        <v>18</v>
      </c>
      <c r="AD562" s="11">
        <f ca="1">IFERROR(OFFSET(MANOR_LEVEL!$B$1,MATCH(AE562-1,MANOR_LEVEL!$A:$A,0)-1,0),0)</f>
        <v>32640</v>
      </c>
      <c r="AE562" s="56">
        <v>7</v>
      </c>
      <c r="AG562" s="56">
        <f t="shared" ca="1" si="158"/>
        <v>1050</v>
      </c>
      <c r="AH562" s="10">
        <f ca="1">AM562+AO562+(IFERROR(OFFSET(ITEM_RES!$S$1,MATCH(AS562,ITEM_RES!$A:$A,0)-1,0),0)*AU562+IFERROR(OFFSET(ITEM_RES!$S$1,MATCH(AX562,ITEM_RES!$A:$A,0)-1,0),0)*AZ562+IFERROR(OFFSET(ITEM_RES!$S$1,MATCH(BC562,ITEM_RES!$A:$A,0)-1,0),0)*BE562+IFERROR(OFFSET(ITEM_RES!$S$1,MATCH(BH562,ITEM_RES!$A:$A,0)-1,0),0)*BJ562+IFERROR(OFFSET(ITEM_RES!$S$1,MATCH(BM562,ITEM_RES!$A:$A,0)-1,0),0)*BO562)/1000</f>
        <v>1050.2</v>
      </c>
      <c r="AI562" s="182">
        <f t="shared" ca="1" si="156"/>
        <v>1900</v>
      </c>
      <c r="AK562" s="11">
        <f t="shared" si="157"/>
        <v>90</v>
      </c>
      <c r="AL562" s="10">
        <v>90</v>
      </c>
      <c r="AM562" s="11">
        <f t="shared" si="154"/>
        <v>1050</v>
      </c>
      <c r="AN562" s="10">
        <v>1050</v>
      </c>
      <c r="AO562" s="11">
        <f t="shared" si="154"/>
        <v>0</v>
      </c>
      <c r="AP562" s="10">
        <v>0</v>
      </c>
      <c r="AQ562" s="56">
        <f t="shared" si="159"/>
        <v>1</v>
      </c>
      <c r="AS562" s="11">
        <f ca="1">IFERROR(OFFSET(ITEM_RES!$A$1,MATCH(AT562,ITEM_RES!$J:$J,0)-1,0),0)</f>
        <v>211020901</v>
      </c>
      <c r="AT562" s="10" t="s">
        <v>445</v>
      </c>
      <c r="AU562" s="11">
        <v>1</v>
      </c>
      <c r="AX562" s="11">
        <f ca="1">IFERROR(OFFSET(ITEM_RES!$A$1,MATCH(AY562,ITEM_RES!$J:$J,0)-1,0),0)</f>
        <v>0</v>
      </c>
      <c r="BC562" s="11">
        <f ca="1">IFERROR(OFFSET(ITEM_RES!$A$1,MATCH(BD562,ITEM_RES!$J:$J,0)-1,0),0)</f>
        <v>0</v>
      </c>
      <c r="BH562" s="11">
        <f ca="1">IFERROR(OFFSET(ITEM_RES!$A$1,MATCH(BI562,ITEM_RES!$J:$J,0)-1,0),0)</f>
        <v>0</v>
      </c>
      <c r="BM562" s="11">
        <f ca="1">IFERROR(OFFSET(ITEM_RES!$A$1,MATCH(BN562,ITEM_RES!$J:$J,0)-1,0),0)</f>
        <v>0</v>
      </c>
    </row>
    <row r="563" spans="1:68" x14ac:dyDescent="0.3">
      <c r="A563" s="14">
        <f t="shared" si="151"/>
        <v>115040019</v>
      </c>
      <c r="B563" s="13">
        <v>11</v>
      </c>
      <c r="C563" s="12">
        <f t="shared" si="152"/>
        <v>5</v>
      </c>
      <c r="D563" s="13">
        <v>4</v>
      </c>
      <c r="E563" s="13">
        <v>0</v>
      </c>
      <c r="F563" s="12">
        <f t="shared" si="153"/>
        <v>19</v>
      </c>
      <c r="H563" s="9">
        <v>5</v>
      </c>
      <c r="I563" s="9">
        <v>19</v>
      </c>
      <c r="K563" s="9" t="s">
        <v>1085</v>
      </c>
      <c r="M563" s="9">
        <v>0</v>
      </c>
      <c r="N563" s="9">
        <v>15</v>
      </c>
      <c r="O563" s="9" t="s">
        <v>1104</v>
      </c>
      <c r="S563" s="9">
        <v>5555</v>
      </c>
      <c r="V563" s="9">
        <f ca="1">IFERROR(OFFSET(ITEM_RES!$A$5,MATCH(BUILDING!U563,ITEM_RES!$J$5:$J$229,0)-1,0),0)</f>
        <v>0</v>
      </c>
      <c r="Y563" s="9">
        <f ca="1">IFERROR(OFFSET(ITEM_RES!$A$5,MATCH(BUILDING!X563,ITEM_RES!$J$5:$J$229,0)-1,0),0)</f>
        <v>0</v>
      </c>
      <c r="AA563" s="9" t="s">
        <v>365</v>
      </c>
      <c r="AB563" s="9">
        <v>19</v>
      </c>
      <c r="AD563" s="11">
        <f ca="1">IFERROR(OFFSET(MANOR_LEVEL!$B$1,MATCH(AE563-1,MANOR_LEVEL!$A:$A,0)-1,0),0)</f>
        <v>32640</v>
      </c>
      <c r="AE563" s="56">
        <v>7</v>
      </c>
      <c r="AG563" s="56">
        <f t="shared" ca="1" si="158"/>
        <v>1250</v>
      </c>
      <c r="AH563" s="10">
        <f ca="1">AM563+AO563+(IFERROR(OFFSET(ITEM_RES!$S$1,MATCH(AS563,ITEM_RES!$A:$A,0)-1,0),0)*AU563+IFERROR(OFFSET(ITEM_RES!$S$1,MATCH(AX563,ITEM_RES!$A:$A,0)-1,0),0)*AZ563+IFERROR(OFFSET(ITEM_RES!$S$1,MATCH(BC563,ITEM_RES!$A:$A,0)-1,0),0)*BE563+IFERROR(OFFSET(ITEM_RES!$S$1,MATCH(BH563,ITEM_RES!$A:$A,0)-1,0),0)*BJ563+IFERROR(OFFSET(ITEM_RES!$S$1,MATCH(BM563,ITEM_RES!$A:$A,0)-1,0),0)*BO563)/1000</f>
        <v>1250.2</v>
      </c>
      <c r="AI563" s="182">
        <f t="shared" ca="1" si="156"/>
        <v>2300</v>
      </c>
      <c r="AK563" s="11">
        <f t="shared" si="157"/>
        <v>95</v>
      </c>
      <c r="AL563" s="10">
        <v>95</v>
      </c>
      <c r="AM563" s="11">
        <f t="shared" si="154"/>
        <v>1250</v>
      </c>
      <c r="AN563" s="10">
        <v>1250</v>
      </c>
      <c r="AO563" s="11">
        <f t="shared" si="154"/>
        <v>0</v>
      </c>
      <c r="AP563" s="10">
        <v>0</v>
      </c>
      <c r="AQ563" s="56">
        <f t="shared" si="159"/>
        <v>1</v>
      </c>
      <c r="AS563" s="11">
        <f ca="1">IFERROR(OFFSET(ITEM_RES!$A$1,MATCH(AT563,ITEM_RES!$J:$J,0)-1,0),0)</f>
        <v>211020901</v>
      </c>
      <c r="AT563" s="10" t="s">
        <v>445</v>
      </c>
      <c r="AU563" s="11">
        <v>1</v>
      </c>
      <c r="AX563" s="11">
        <f ca="1">IFERROR(OFFSET(ITEM_RES!$A$1,MATCH(AY563,ITEM_RES!$J:$J,0)-1,0),0)</f>
        <v>0</v>
      </c>
      <c r="BC563" s="11">
        <f ca="1">IFERROR(OFFSET(ITEM_RES!$A$1,MATCH(BD563,ITEM_RES!$J:$J,0)-1,0),0)</f>
        <v>0</v>
      </c>
      <c r="BH563" s="11">
        <f ca="1">IFERROR(OFFSET(ITEM_RES!$A$1,MATCH(BI563,ITEM_RES!$J:$J,0)-1,0),0)</f>
        <v>0</v>
      </c>
      <c r="BM563" s="11">
        <f ca="1">IFERROR(OFFSET(ITEM_RES!$A$1,MATCH(BN563,ITEM_RES!$J:$J,0)-1,0),0)</f>
        <v>0</v>
      </c>
    </row>
    <row r="564" spans="1:68" ht="17.25" thickBot="1" x14ac:dyDescent="0.35">
      <c r="A564" s="14">
        <f t="shared" si="151"/>
        <v>115040020</v>
      </c>
      <c r="B564" s="13">
        <v>11</v>
      </c>
      <c r="C564" s="12">
        <f t="shared" si="152"/>
        <v>5</v>
      </c>
      <c r="D564" s="13">
        <v>4</v>
      </c>
      <c r="E564" s="13">
        <v>0</v>
      </c>
      <c r="F564" s="12">
        <f t="shared" si="153"/>
        <v>20</v>
      </c>
      <c r="H564" s="9">
        <v>5</v>
      </c>
      <c r="I564" s="9">
        <v>20</v>
      </c>
      <c r="K564" s="9" t="s">
        <v>1085</v>
      </c>
      <c r="M564" s="9">
        <v>0</v>
      </c>
      <c r="N564" s="9">
        <v>15</v>
      </c>
      <c r="O564" s="9" t="s">
        <v>1104</v>
      </c>
      <c r="S564" s="9">
        <v>5555</v>
      </c>
      <c r="V564" s="9">
        <f ca="1">IFERROR(OFFSET(ITEM_RES!$A$5,MATCH(BUILDING!U564,ITEM_RES!$J$5:$J$229,0)-1,0),0)</f>
        <v>0</v>
      </c>
      <c r="Y564" s="9">
        <f ca="1">IFERROR(OFFSET(ITEM_RES!$A$5,MATCH(BUILDING!X564,ITEM_RES!$J$5:$J$229,0)-1,0),0)</f>
        <v>0</v>
      </c>
      <c r="AA564" s="9" t="s">
        <v>365</v>
      </c>
      <c r="AB564" s="9">
        <v>20</v>
      </c>
      <c r="AD564" s="11">
        <f ca="1">IFERROR(OFFSET(MANOR_LEVEL!$B$1,MATCH(AE564-1,MANOR_LEVEL!$A:$A,0)-1,0),0)</f>
        <v>32640</v>
      </c>
      <c r="AE564" s="56">
        <v>7</v>
      </c>
      <c r="AG564" s="56">
        <f t="shared" ca="1" si="158"/>
        <v>1500</v>
      </c>
      <c r="AH564" s="10">
        <f ca="1">AM564+AO564+(IFERROR(OFFSET(ITEM_RES!$S$1,MATCH(AS564,ITEM_RES!$A:$A,0)-1,0),0)*AU564+IFERROR(OFFSET(ITEM_RES!$S$1,MATCH(AX564,ITEM_RES!$A:$A,0)-1,0),0)*AZ564+IFERROR(OFFSET(ITEM_RES!$S$1,MATCH(BC564,ITEM_RES!$A:$A,0)-1,0),0)*BE564+IFERROR(OFFSET(ITEM_RES!$S$1,MATCH(BH564,ITEM_RES!$A:$A,0)-1,0),0)*BJ564+IFERROR(OFFSET(ITEM_RES!$S$1,MATCH(BM564,ITEM_RES!$A:$A,0)-1,0),0)*BO564)/1000</f>
        <v>1500.2</v>
      </c>
      <c r="AI564" s="182">
        <f t="shared" ca="1" si="156"/>
        <v>2750</v>
      </c>
      <c r="AK564" s="11">
        <f t="shared" si="157"/>
        <v>100</v>
      </c>
      <c r="AL564" s="10">
        <v>100</v>
      </c>
      <c r="AM564" s="11">
        <f t="shared" si="154"/>
        <v>1500</v>
      </c>
      <c r="AN564" s="10">
        <v>1500</v>
      </c>
      <c r="AO564" s="11">
        <f t="shared" si="154"/>
        <v>0</v>
      </c>
      <c r="AP564" s="10">
        <v>0</v>
      </c>
      <c r="AQ564" s="56">
        <f t="shared" si="159"/>
        <v>1</v>
      </c>
      <c r="AS564" s="11">
        <f ca="1">IFERROR(OFFSET(ITEM_RES!$A$1,MATCH(AT564,ITEM_RES!$J:$J,0)-1,0),0)</f>
        <v>211020901</v>
      </c>
      <c r="AT564" s="10" t="s">
        <v>445</v>
      </c>
      <c r="AU564" s="11">
        <v>1</v>
      </c>
      <c r="AX564" s="11">
        <f ca="1">IFERROR(OFFSET(ITEM_RES!$A$1,MATCH(AY564,ITEM_RES!$J:$J,0)-1,0),0)</f>
        <v>0</v>
      </c>
      <c r="BC564" s="11">
        <f ca="1">IFERROR(OFFSET(ITEM_RES!$A$1,MATCH(BD564,ITEM_RES!$J:$J,0)-1,0),0)</f>
        <v>0</v>
      </c>
      <c r="BH564" s="11">
        <f ca="1">IFERROR(OFFSET(ITEM_RES!$A$1,MATCH(BI564,ITEM_RES!$J:$J,0)-1,0),0)</f>
        <v>0</v>
      </c>
      <c r="BM564" s="11">
        <f ca="1">IFERROR(OFFSET(ITEM_RES!$A$1,MATCH(BN564,ITEM_RES!$J:$J,0)-1,0),0)</f>
        <v>0</v>
      </c>
    </row>
    <row r="565" spans="1:68" s="15" customFormat="1" x14ac:dyDescent="0.3">
      <c r="A565" s="21"/>
      <c r="B565" s="20"/>
      <c r="C565" s="19"/>
      <c r="D565" s="20"/>
      <c r="E565" s="20"/>
      <c r="F565" s="19"/>
      <c r="G565" s="78"/>
      <c r="H565" s="16"/>
      <c r="I565" s="16"/>
      <c r="J565" s="78"/>
      <c r="K565" s="16"/>
      <c r="L565" s="16"/>
      <c r="M565" s="16"/>
      <c r="N565" s="16"/>
      <c r="O565" s="16"/>
      <c r="P565" s="17"/>
      <c r="Q565" s="17"/>
      <c r="R565" s="18"/>
      <c r="S565" s="16"/>
      <c r="T565" s="78"/>
      <c r="U565" s="86"/>
      <c r="V565" s="16"/>
      <c r="W565" s="18"/>
      <c r="X565" s="86"/>
      <c r="Y565" s="16"/>
      <c r="Z565" s="78"/>
      <c r="AA565" s="16"/>
      <c r="AB565" s="16"/>
      <c r="AC565" s="78"/>
      <c r="AD565" s="18"/>
      <c r="AE565" s="57"/>
      <c r="AF565" s="78"/>
      <c r="AG565" s="57"/>
      <c r="AH565" s="17"/>
      <c r="AI565" s="184"/>
      <c r="AJ565" s="78"/>
      <c r="AK565" s="18"/>
      <c r="AL565" s="17"/>
      <c r="AM565" s="18"/>
      <c r="AN565" s="17"/>
      <c r="AO565" s="18"/>
      <c r="AP565" s="17"/>
      <c r="AQ565" s="57"/>
      <c r="AR565" s="18"/>
      <c r="AS565" s="18"/>
      <c r="AT565" s="17"/>
      <c r="AU565" s="18"/>
      <c r="AV565" s="17"/>
      <c r="AW565" s="18"/>
      <c r="AX565" s="18"/>
      <c r="AY565" s="17"/>
      <c r="AZ565" s="18"/>
      <c r="BA565" s="17"/>
      <c r="BB565" s="18"/>
      <c r="BC565" s="18"/>
      <c r="BD565" s="17"/>
      <c r="BE565" s="18"/>
      <c r="BF565" s="17"/>
      <c r="BG565" s="18"/>
      <c r="BH565" s="18"/>
      <c r="BI565" s="17"/>
      <c r="BJ565" s="18"/>
      <c r="BK565" s="17"/>
      <c r="BL565" s="18"/>
      <c r="BM565" s="18"/>
      <c r="BN565" s="17"/>
      <c r="BO565" s="18"/>
      <c r="BP56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Y41" activePane="bottomRight" state="frozen"/>
      <selection pane="topRight" activeCell="K1" sqref="K1"/>
      <selection pane="bottomLeft" activeCell="A5" sqref="A5"/>
      <selection pane="bottomRight" activeCell="Y38" sqref="Y3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804</v>
      </c>
      <c r="L1" s="35" t="s">
        <v>592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592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803</v>
      </c>
      <c r="L2" s="35" t="s">
        <v>910</v>
      </c>
      <c r="O2" s="34" t="s">
        <v>62</v>
      </c>
      <c r="P2" s="35" t="s">
        <v>62</v>
      </c>
      <c r="Q2" s="35" t="s">
        <v>62</v>
      </c>
      <c r="R2" s="69"/>
      <c r="S2" s="34" t="s">
        <v>842</v>
      </c>
      <c r="U2" s="69"/>
      <c r="V2" s="1" t="s">
        <v>61</v>
      </c>
      <c r="W2" s="69"/>
      <c r="X2" s="101" t="s">
        <v>506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1351</v>
      </c>
      <c r="AH2" s="35" t="s">
        <v>1351</v>
      </c>
      <c r="AI2" s="35" t="s">
        <v>1351</v>
      </c>
      <c r="AJ2" s="35" t="s">
        <v>1351</v>
      </c>
      <c r="AK2" s="35" t="s">
        <v>1351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802</v>
      </c>
      <c r="L3" s="35" t="s">
        <v>906</v>
      </c>
      <c r="O3" s="34" t="s">
        <v>322</v>
      </c>
      <c r="P3" s="35" t="s">
        <v>347</v>
      </c>
      <c r="Q3" s="35" t="s">
        <v>324</v>
      </c>
      <c r="R3" s="69"/>
      <c r="S3" s="34" t="s">
        <v>421</v>
      </c>
      <c r="U3" s="69"/>
      <c r="V3" s="1" t="s">
        <v>336</v>
      </c>
      <c r="W3" s="69"/>
      <c r="X3" s="101" t="s">
        <v>1263</v>
      </c>
      <c r="Y3" s="1" t="s">
        <v>1264</v>
      </c>
      <c r="Z3" s="147" t="s">
        <v>1265</v>
      </c>
      <c r="AA3" s="147" t="s">
        <v>1261</v>
      </c>
      <c r="AB3" s="147" t="s">
        <v>1262</v>
      </c>
      <c r="AC3" s="1" t="s">
        <v>1266</v>
      </c>
      <c r="AD3" s="147" t="s">
        <v>1267</v>
      </c>
      <c r="AE3" s="1" t="s">
        <v>1268</v>
      </c>
      <c r="AF3" s="69"/>
      <c r="AG3" s="35" t="s">
        <v>1345</v>
      </c>
      <c r="AH3" s="35" t="s">
        <v>1346</v>
      </c>
      <c r="AI3" s="35" t="s">
        <v>1347</v>
      </c>
      <c r="AJ3" s="35" t="s">
        <v>1348</v>
      </c>
      <c r="AK3" s="35" t="s">
        <v>1350</v>
      </c>
    </row>
    <row r="4" spans="1:37" s="79" customFormat="1" ht="99.75" thickBot="1" x14ac:dyDescent="0.2">
      <c r="A4" s="79" t="s">
        <v>337</v>
      </c>
      <c r="B4" s="80" t="s">
        <v>414</v>
      </c>
      <c r="C4" s="80" t="s">
        <v>595</v>
      </c>
      <c r="D4" s="80" t="s">
        <v>596</v>
      </c>
      <c r="E4" s="80" t="s">
        <v>415</v>
      </c>
      <c r="F4" s="80" t="s">
        <v>416</v>
      </c>
      <c r="G4" s="70" t="s">
        <v>355</v>
      </c>
      <c r="H4" s="81" t="s">
        <v>344</v>
      </c>
      <c r="I4" s="70" t="s">
        <v>354</v>
      </c>
      <c r="J4" s="81" t="s">
        <v>412</v>
      </c>
      <c r="K4" s="81" t="s">
        <v>845</v>
      </c>
      <c r="L4" s="81" t="s">
        <v>909</v>
      </c>
      <c r="M4" s="82" t="s">
        <v>410</v>
      </c>
      <c r="N4" s="82" t="s">
        <v>411</v>
      </c>
      <c r="O4" s="79" t="s">
        <v>323</v>
      </c>
      <c r="P4" s="81" t="s">
        <v>348</v>
      </c>
      <c r="Q4" s="81" t="s">
        <v>325</v>
      </c>
      <c r="R4" s="70" t="s">
        <v>911</v>
      </c>
      <c r="S4" s="79" t="s">
        <v>907</v>
      </c>
      <c r="T4" s="80" t="s">
        <v>908</v>
      </c>
      <c r="U4" s="70" t="s">
        <v>346</v>
      </c>
      <c r="V4" s="2" t="s">
        <v>413</v>
      </c>
      <c r="W4" s="70" t="s">
        <v>884</v>
      </c>
      <c r="X4" s="191" t="s">
        <v>1352</v>
      </c>
      <c r="Y4" s="2" t="s">
        <v>883</v>
      </c>
      <c r="Z4" s="148" t="s">
        <v>1269</v>
      </c>
      <c r="AA4" s="148" t="s">
        <v>887</v>
      </c>
      <c r="AB4" s="148" t="s">
        <v>889</v>
      </c>
      <c r="AC4" s="2" t="s">
        <v>890</v>
      </c>
      <c r="AD4" s="148" t="s">
        <v>888</v>
      </c>
      <c r="AE4" s="2" t="s">
        <v>1270</v>
      </c>
      <c r="AF4" s="70" t="s">
        <v>1327</v>
      </c>
      <c r="AG4" s="81" t="s">
        <v>1341</v>
      </c>
      <c r="AH4" s="81" t="s">
        <v>1342</v>
      </c>
      <c r="AI4" s="81" t="s">
        <v>1343</v>
      </c>
      <c r="AJ4" s="81" t="s">
        <v>1344</v>
      </c>
      <c r="AK4" s="81" t="s">
        <v>1349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383</v>
      </c>
      <c r="K5" s="38" t="s">
        <v>1271</v>
      </c>
      <c r="L5" s="38">
        <v>1</v>
      </c>
      <c r="M5" s="39" t="s">
        <v>409</v>
      </c>
      <c r="N5" s="39" t="s">
        <v>406</v>
      </c>
      <c r="O5" s="37" t="s">
        <v>783</v>
      </c>
      <c r="P5" s="38"/>
      <c r="Q5" s="38" t="s">
        <v>712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384</v>
      </c>
      <c r="K6" s="62" t="s">
        <v>1272</v>
      </c>
      <c r="L6" s="62">
        <v>2</v>
      </c>
      <c r="M6" s="39" t="s">
        <v>409</v>
      </c>
      <c r="N6" s="39" t="s">
        <v>406</v>
      </c>
      <c r="O6" s="68" t="s">
        <v>784</v>
      </c>
      <c r="P6" s="62"/>
      <c r="Q6" s="38" t="s">
        <v>713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385</v>
      </c>
      <c r="K7" s="62" t="s">
        <v>1273</v>
      </c>
      <c r="L7" s="62">
        <v>3</v>
      </c>
      <c r="M7" s="39" t="s">
        <v>409</v>
      </c>
      <c r="N7" s="39" t="s">
        <v>406</v>
      </c>
      <c r="O7" s="68" t="s">
        <v>785</v>
      </c>
      <c r="P7" s="62"/>
      <c r="Q7" s="38" t="s">
        <v>714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450</v>
      </c>
      <c r="K8" s="62" t="s">
        <v>1274</v>
      </c>
      <c r="L8" s="62">
        <v>4</v>
      </c>
      <c r="M8" s="39" t="s">
        <v>441</v>
      </c>
      <c r="N8" s="39" t="s">
        <v>451</v>
      </c>
      <c r="O8" s="68" t="s">
        <v>786</v>
      </c>
      <c r="P8" s="62"/>
      <c r="Q8" s="38" t="s">
        <v>715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386</v>
      </c>
      <c r="K9" s="35" t="s">
        <v>1275</v>
      </c>
      <c r="L9" s="38">
        <v>5</v>
      </c>
      <c r="M9" s="39" t="s">
        <v>409</v>
      </c>
      <c r="N9" s="39" t="s">
        <v>406</v>
      </c>
      <c r="O9" s="68" t="s">
        <v>787</v>
      </c>
      <c r="P9" s="62"/>
      <c r="Q9" s="38" t="s">
        <v>716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531</v>
      </c>
      <c r="K10" s="35" t="s">
        <v>1276</v>
      </c>
      <c r="L10" s="62">
        <v>6</v>
      </c>
      <c r="M10" s="39" t="s">
        <v>409</v>
      </c>
      <c r="N10" s="39" t="s">
        <v>406</v>
      </c>
      <c r="O10" s="34" t="s">
        <v>788</v>
      </c>
      <c r="Q10" s="38" t="s">
        <v>717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449</v>
      </c>
      <c r="K11" s="35" t="s">
        <v>1277</v>
      </c>
      <c r="L11" s="62">
        <v>7</v>
      </c>
      <c r="M11" s="39" t="s">
        <v>406</v>
      </c>
      <c r="N11" s="39"/>
      <c r="O11" s="34" t="s">
        <v>789</v>
      </c>
      <c r="Q11" s="38" t="s">
        <v>718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405</v>
      </c>
      <c r="K12" s="62" t="s">
        <v>1278</v>
      </c>
      <c r="L12" s="62">
        <v>8</v>
      </c>
      <c r="M12" s="39" t="s">
        <v>406</v>
      </c>
      <c r="O12" s="34" t="s">
        <v>790</v>
      </c>
      <c r="Q12" s="38" t="s">
        <v>885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390</v>
      </c>
      <c r="K13" s="35" t="s">
        <v>1279</v>
      </c>
      <c r="L13" s="38">
        <v>9</v>
      </c>
      <c r="M13" s="36" t="s">
        <v>406</v>
      </c>
      <c r="O13" s="34" t="s">
        <v>791</v>
      </c>
      <c r="Q13" s="38" t="s">
        <v>719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392</v>
      </c>
      <c r="K14" s="35" t="s">
        <v>1280</v>
      </c>
      <c r="L14" s="62">
        <v>10</v>
      </c>
      <c r="M14" s="36" t="s">
        <v>406</v>
      </c>
      <c r="O14" s="34" t="s">
        <v>792</v>
      </c>
      <c r="Q14" s="38" t="s">
        <v>720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499</v>
      </c>
      <c r="K15" s="35" t="s">
        <v>1281</v>
      </c>
      <c r="L15" s="62">
        <v>15</v>
      </c>
      <c r="M15" s="36" t="s">
        <v>500</v>
      </c>
      <c r="N15" s="36" t="s">
        <v>501</v>
      </c>
      <c r="O15" s="34" t="s">
        <v>1107</v>
      </c>
      <c r="Q15" s="38" t="s">
        <v>721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395</v>
      </c>
      <c r="K16" s="35" t="s">
        <v>1282</v>
      </c>
      <c r="L16" s="35">
        <v>10</v>
      </c>
      <c r="M16" s="36" t="s">
        <v>406</v>
      </c>
      <c r="O16" s="34" t="s">
        <v>793</v>
      </c>
      <c r="Q16" s="38" t="s">
        <v>722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396</v>
      </c>
      <c r="K17" s="35" t="s">
        <v>1283</v>
      </c>
      <c r="L17" s="35">
        <v>5</v>
      </c>
      <c r="M17" s="36" t="s">
        <v>406</v>
      </c>
      <c r="O17" s="34" t="s">
        <v>794</v>
      </c>
      <c r="Q17" s="38" t="s">
        <v>723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397</v>
      </c>
      <c r="K18" s="35" t="s">
        <v>1284</v>
      </c>
      <c r="L18" s="35">
        <v>6</v>
      </c>
      <c r="M18" s="36" t="s">
        <v>406</v>
      </c>
      <c r="O18" s="34" t="s">
        <v>794</v>
      </c>
      <c r="Q18" s="38" t="s">
        <v>724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398</v>
      </c>
      <c r="K19" s="35" t="s">
        <v>1285</v>
      </c>
      <c r="L19" s="35">
        <v>7</v>
      </c>
      <c r="M19" s="36" t="s">
        <v>406</v>
      </c>
      <c r="O19" s="34" t="s">
        <v>794</v>
      </c>
      <c r="Q19" s="38" t="s">
        <v>725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453</v>
      </c>
      <c r="K20" s="35" t="s">
        <v>1286</v>
      </c>
      <c r="L20" s="35">
        <v>8</v>
      </c>
      <c r="M20" s="36" t="s">
        <v>451</v>
      </c>
      <c r="O20" s="34" t="s">
        <v>793</v>
      </c>
      <c r="Q20" s="38" t="s">
        <v>726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454</v>
      </c>
      <c r="K21" s="35" t="s">
        <v>1287</v>
      </c>
      <c r="L21" s="35">
        <v>9</v>
      </c>
      <c r="M21" s="36" t="s">
        <v>451</v>
      </c>
      <c r="O21" s="34" t="s">
        <v>793</v>
      </c>
      <c r="Q21" s="38" t="s">
        <v>727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455</v>
      </c>
      <c r="K22" s="35" t="s">
        <v>1288</v>
      </c>
      <c r="L22" s="35">
        <v>10</v>
      </c>
      <c r="M22" s="36" t="s">
        <v>451</v>
      </c>
      <c r="O22" s="34" t="s">
        <v>793</v>
      </c>
      <c r="Q22" s="38" t="s">
        <v>728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462</v>
      </c>
      <c r="K23" s="35" t="s">
        <v>1289</v>
      </c>
      <c r="L23" s="35">
        <v>11</v>
      </c>
      <c r="M23" s="36" t="s">
        <v>451</v>
      </c>
      <c r="O23" s="34" t="s">
        <v>793</v>
      </c>
      <c r="Q23" s="38" t="s">
        <v>729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456</v>
      </c>
      <c r="K24" s="35" t="s">
        <v>1290</v>
      </c>
      <c r="L24" s="35">
        <v>12</v>
      </c>
      <c r="M24" s="36" t="s">
        <v>451</v>
      </c>
      <c r="O24" s="34" t="s">
        <v>793</v>
      </c>
      <c r="Q24" s="38" t="s">
        <v>731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457</v>
      </c>
      <c r="K25" s="35" t="s">
        <v>1291</v>
      </c>
      <c r="L25" s="35">
        <v>13</v>
      </c>
      <c r="M25" s="36" t="s">
        <v>451</v>
      </c>
      <c r="O25" s="34" t="s">
        <v>793</v>
      </c>
      <c r="Q25" s="38" t="s">
        <v>730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458</v>
      </c>
      <c r="K26" s="35" t="s">
        <v>1292</v>
      </c>
      <c r="L26" s="35">
        <v>14</v>
      </c>
      <c r="M26" s="36" t="s">
        <v>451</v>
      </c>
      <c r="O26" s="34" t="s">
        <v>793</v>
      </c>
      <c r="Q26" s="38" t="s">
        <v>732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468</v>
      </c>
      <c r="K27" s="35" t="s">
        <v>1293</v>
      </c>
      <c r="L27" s="35">
        <v>15</v>
      </c>
      <c r="M27" s="36" t="s">
        <v>451</v>
      </c>
      <c r="O27" s="34" t="s">
        <v>793</v>
      </c>
      <c r="Q27" s="38" t="s">
        <v>733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472</v>
      </c>
      <c r="K28" s="35" t="s">
        <v>1294</v>
      </c>
      <c r="L28" s="35">
        <v>15</v>
      </c>
      <c r="M28" s="36" t="s">
        <v>451</v>
      </c>
      <c r="O28" s="34" t="s">
        <v>793</v>
      </c>
      <c r="Q28" s="38" t="s">
        <v>734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473</v>
      </c>
      <c r="K29" s="35" t="s">
        <v>1295</v>
      </c>
      <c r="L29" s="35">
        <v>15</v>
      </c>
      <c r="M29" s="36" t="s">
        <v>451</v>
      </c>
      <c r="O29" s="34" t="s">
        <v>793</v>
      </c>
      <c r="Q29" s="38" t="s">
        <v>735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477</v>
      </c>
      <c r="K30" s="35" t="s">
        <v>1296</v>
      </c>
      <c r="L30" s="35">
        <v>15</v>
      </c>
      <c r="M30" s="36" t="s">
        <v>451</v>
      </c>
      <c r="O30" s="34" t="s">
        <v>793</v>
      </c>
      <c r="Q30" s="38" t="s">
        <v>736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483</v>
      </c>
      <c r="K31" s="35" t="s">
        <v>1297</v>
      </c>
      <c r="L31" s="35">
        <v>15</v>
      </c>
      <c r="M31" s="36" t="s">
        <v>451</v>
      </c>
      <c r="O31" s="34" t="s">
        <v>793</v>
      </c>
      <c r="Q31" s="38" t="s">
        <v>737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479</v>
      </c>
      <c r="K32" s="35" t="s">
        <v>1298</v>
      </c>
      <c r="L32" s="35">
        <v>15</v>
      </c>
      <c r="M32" s="36" t="s">
        <v>451</v>
      </c>
      <c r="O32" s="34" t="s">
        <v>793</v>
      </c>
      <c r="Q32" s="38" t="s">
        <v>738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480</v>
      </c>
      <c r="K33" s="35" t="s">
        <v>1299</v>
      </c>
      <c r="L33" s="35">
        <v>15</v>
      </c>
      <c r="M33" s="36" t="s">
        <v>451</v>
      </c>
      <c r="O33" s="34" t="s">
        <v>793</v>
      </c>
      <c r="Q33" s="38" t="s">
        <v>739</v>
      </c>
      <c r="R33" s="87" t="s">
        <v>502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481</v>
      </c>
      <c r="K34" s="35" t="s">
        <v>1300</v>
      </c>
      <c r="L34" s="35">
        <v>15</v>
      </c>
      <c r="M34" s="36" t="s">
        <v>451</v>
      </c>
      <c r="O34" s="34" t="s">
        <v>793</v>
      </c>
      <c r="Q34" s="38" t="s">
        <v>740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489</v>
      </c>
      <c r="K35" s="35" t="s">
        <v>1301</v>
      </c>
      <c r="L35" s="35">
        <v>5</v>
      </c>
      <c r="M35" s="36" t="s">
        <v>498</v>
      </c>
      <c r="O35" s="34" t="s">
        <v>1086</v>
      </c>
      <c r="Q35" s="38" t="s">
        <v>741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490</v>
      </c>
      <c r="K36" s="35" t="s">
        <v>1302</v>
      </c>
      <c r="L36" s="35">
        <v>8</v>
      </c>
      <c r="M36" s="36" t="s">
        <v>498</v>
      </c>
      <c r="O36" s="34" t="s">
        <v>1087</v>
      </c>
      <c r="Q36" s="38" t="s">
        <v>741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491</v>
      </c>
      <c r="K37" s="35" t="s">
        <v>1303</v>
      </c>
      <c r="L37" s="35">
        <v>12</v>
      </c>
      <c r="M37" s="36" t="s">
        <v>498</v>
      </c>
      <c r="O37" s="34" t="s">
        <v>1088</v>
      </c>
      <c r="Q37" s="38" t="s">
        <v>741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399</v>
      </c>
      <c r="K38" s="35" t="s">
        <v>1304</v>
      </c>
      <c r="L38" s="35">
        <v>6</v>
      </c>
      <c r="M38" s="36" t="s">
        <v>406</v>
      </c>
      <c r="O38" s="34" t="s">
        <v>1089</v>
      </c>
      <c r="Q38" s="38" t="s">
        <v>742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400</v>
      </c>
      <c r="K39" s="35" t="s">
        <v>1305</v>
      </c>
      <c r="L39" s="35">
        <v>9</v>
      </c>
      <c r="M39" s="36" t="s">
        <v>406</v>
      </c>
      <c r="O39" s="34" t="s">
        <v>1090</v>
      </c>
      <c r="Q39" s="38" t="s">
        <v>743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401</v>
      </c>
      <c r="K40" s="35" t="s">
        <v>1306</v>
      </c>
      <c r="L40" s="35">
        <v>13</v>
      </c>
      <c r="M40" s="36" t="s">
        <v>406</v>
      </c>
      <c r="O40" s="34" t="s">
        <v>1091</v>
      </c>
      <c r="Q40" s="38" t="s">
        <v>744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402</v>
      </c>
      <c r="K41" s="35" t="s">
        <v>1307</v>
      </c>
      <c r="L41" s="35">
        <v>7</v>
      </c>
      <c r="M41" s="36" t="s">
        <v>406</v>
      </c>
      <c r="O41" s="34" t="s">
        <v>1092</v>
      </c>
      <c r="Q41" s="38" t="s">
        <v>745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403</v>
      </c>
      <c r="K42" s="35" t="s">
        <v>1308</v>
      </c>
      <c r="L42" s="35">
        <v>10</v>
      </c>
      <c r="M42" s="36" t="s">
        <v>406</v>
      </c>
      <c r="O42" s="34" t="s">
        <v>1093</v>
      </c>
      <c r="Q42" s="38" t="s">
        <v>746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404</v>
      </c>
      <c r="K43" s="35" t="s">
        <v>1309</v>
      </c>
      <c r="L43" s="35">
        <v>14</v>
      </c>
      <c r="M43" s="36" t="s">
        <v>406</v>
      </c>
      <c r="O43" s="34" t="s">
        <v>1094</v>
      </c>
      <c r="Q43" s="38" t="s">
        <v>747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492</v>
      </c>
      <c r="K44" s="35" t="s">
        <v>1310</v>
      </c>
      <c r="L44" s="35">
        <v>8</v>
      </c>
      <c r="M44" s="36" t="s">
        <v>406</v>
      </c>
      <c r="O44" s="34" t="s">
        <v>1095</v>
      </c>
      <c r="Q44" s="38" t="s">
        <v>748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493</v>
      </c>
      <c r="K45" s="35" t="s">
        <v>1311</v>
      </c>
      <c r="L45" s="35">
        <v>11</v>
      </c>
      <c r="M45" s="36" t="s">
        <v>406</v>
      </c>
      <c r="O45" s="34" t="s">
        <v>1096</v>
      </c>
      <c r="Q45" s="38" t="s">
        <v>749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494</v>
      </c>
      <c r="K46" s="35" t="s">
        <v>1312</v>
      </c>
      <c r="L46" s="35">
        <v>15</v>
      </c>
      <c r="M46" s="36" t="s">
        <v>406</v>
      </c>
      <c r="O46" s="34" t="s">
        <v>1097</v>
      </c>
      <c r="Q46" s="38" t="s">
        <v>750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495</v>
      </c>
      <c r="K47" s="35" t="s">
        <v>1313</v>
      </c>
      <c r="L47" s="35">
        <v>9</v>
      </c>
      <c r="M47" s="36" t="s">
        <v>406</v>
      </c>
      <c r="O47" s="34" t="s">
        <v>1098</v>
      </c>
      <c r="Q47" s="38" t="s">
        <v>751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496</v>
      </c>
      <c r="K48" s="35" t="s">
        <v>1314</v>
      </c>
      <c r="L48" s="35">
        <v>12</v>
      </c>
      <c r="M48" s="36" t="s">
        <v>406</v>
      </c>
      <c r="O48" s="34" t="s">
        <v>1099</v>
      </c>
      <c r="Q48" s="38" t="s">
        <v>752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497</v>
      </c>
      <c r="K49" s="35" t="s">
        <v>1315</v>
      </c>
      <c r="L49" s="35">
        <v>16</v>
      </c>
      <c r="M49" s="36" t="s">
        <v>406</v>
      </c>
      <c r="O49" s="34" t="s">
        <v>1100</v>
      </c>
      <c r="Q49" s="38" t="s">
        <v>753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1328</v>
      </c>
      <c r="K50" s="35" t="s">
        <v>1331</v>
      </c>
      <c r="L50" s="35">
        <v>10</v>
      </c>
      <c r="M50" s="36" t="s">
        <v>1334</v>
      </c>
      <c r="O50" s="34" t="s">
        <v>1335</v>
      </c>
      <c r="Q50" s="38" t="s">
        <v>1338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1329</v>
      </c>
      <c r="K51" s="35" t="s">
        <v>1332</v>
      </c>
      <c r="L51" s="35">
        <v>13</v>
      </c>
      <c r="M51" s="36" t="s">
        <v>1334</v>
      </c>
      <c r="O51" s="34" t="s">
        <v>1336</v>
      </c>
      <c r="Q51" s="38" t="s">
        <v>1339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1330</v>
      </c>
      <c r="K52" s="35" t="s">
        <v>1333</v>
      </c>
      <c r="L52" s="35">
        <v>17</v>
      </c>
      <c r="M52" s="36" t="s">
        <v>1334</v>
      </c>
      <c r="O52" s="34" t="s">
        <v>1337</v>
      </c>
      <c r="Q52" s="38" t="s">
        <v>1340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387</v>
      </c>
      <c r="K53" s="35" t="s">
        <v>1316</v>
      </c>
      <c r="L53" s="35">
        <v>10</v>
      </c>
      <c r="M53" s="36" t="s">
        <v>408</v>
      </c>
      <c r="O53" s="34" t="s">
        <v>795</v>
      </c>
      <c r="Q53" s="38" t="s">
        <v>754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389</v>
      </c>
      <c r="K54" s="35" t="s">
        <v>1317</v>
      </c>
      <c r="L54" s="35">
        <v>11</v>
      </c>
      <c r="M54" s="36" t="s">
        <v>408</v>
      </c>
      <c r="O54" s="34" t="s">
        <v>796</v>
      </c>
      <c r="Q54" s="38" t="s">
        <v>886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388</v>
      </c>
      <c r="K55" s="35" t="s">
        <v>1318</v>
      </c>
      <c r="L55" s="35">
        <v>12</v>
      </c>
      <c r="M55" s="36" t="s">
        <v>407</v>
      </c>
      <c r="O55" s="34" t="s">
        <v>797</v>
      </c>
      <c r="Q55" s="38" t="s">
        <v>755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391</v>
      </c>
      <c r="K56" s="35" t="s">
        <v>1319</v>
      </c>
      <c r="L56" s="35">
        <v>13</v>
      </c>
      <c r="M56" s="36" t="s">
        <v>407</v>
      </c>
      <c r="O56" s="34" t="s">
        <v>798</v>
      </c>
      <c r="Q56" s="38" t="s">
        <v>756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393</v>
      </c>
      <c r="K57" s="35" t="s">
        <v>1320</v>
      </c>
      <c r="L57" s="35">
        <v>14</v>
      </c>
      <c r="M57" s="36" t="s">
        <v>407</v>
      </c>
      <c r="O57" s="34" t="s">
        <v>799</v>
      </c>
      <c r="Q57" s="38" t="s">
        <v>757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394</v>
      </c>
      <c r="K58" s="35" t="s">
        <v>1321</v>
      </c>
      <c r="L58" s="35">
        <v>15</v>
      </c>
      <c r="M58" s="36" t="s">
        <v>407</v>
      </c>
      <c r="O58" s="34" t="s">
        <v>800</v>
      </c>
      <c r="Q58" s="38" t="s">
        <v>758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425</v>
      </c>
      <c r="K59" s="35" t="s">
        <v>1322</v>
      </c>
      <c r="L59" s="35">
        <v>16</v>
      </c>
      <c r="M59" s="36" t="s">
        <v>407</v>
      </c>
      <c r="O59" s="34" t="s">
        <v>801</v>
      </c>
      <c r="Q59" s="38" t="s">
        <v>759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C25" sqref="C25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575</v>
      </c>
      <c r="B3" s="38" t="s">
        <v>805</v>
      </c>
      <c r="C3" s="62" t="s">
        <v>806</v>
      </c>
      <c r="D3" s="62" t="s">
        <v>807</v>
      </c>
      <c r="E3" s="62" t="s">
        <v>808</v>
      </c>
      <c r="F3" s="35" t="s">
        <v>809</v>
      </c>
      <c r="G3" s="35" t="s">
        <v>810</v>
      </c>
      <c r="H3" s="35" t="s">
        <v>811</v>
      </c>
      <c r="I3" s="62" t="s">
        <v>812</v>
      </c>
      <c r="J3" s="35" t="s">
        <v>813</v>
      </c>
      <c r="K3" s="35" t="s">
        <v>814</v>
      </c>
      <c r="L3" s="35" t="s">
        <v>815</v>
      </c>
      <c r="M3" s="35" t="s">
        <v>816</v>
      </c>
      <c r="N3" s="35" t="s">
        <v>817</v>
      </c>
      <c r="O3" s="35" t="s">
        <v>818</v>
      </c>
      <c r="P3" s="35" t="s">
        <v>819</v>
      </c>
      <c r="Q3" s="35" t="s">
        <v>820</v>
      </c>
      <c r="R3" s="35" t="s">
        <v>821</v>
      </c>
      <c r="S3" s="35" t="s">
        <v>822</v>
      </c>
      <c r="T3" s="35" t="s">
        <v>823</v>
      </c>
      <c r="U3" s="35" t="s">
        <v>824</v>
      </c>
      <c r="V3" s="35" t="s">
        <v>825</v>
      </c>
      <c r="W3" s="35" t="s">
        <v>826</v>
      </c>
      <c r="X3" s="35" t="s">
        <v>827</v>
      </c>
      <c r="Y3" s="35" t="s">
        <v>828</v>
      </c>
      <c r="Z3" s="35" t="s">
        <v>829</v>
      </c>
      <c r="AA3" s="35" t="s">
        <v>830</v>
      </c>
      <c r="AB3" s="35" t="s">
        <v>831</v>
      </c>
      <c r="AC3" s="35" t="s">
        <v>832</v>
      </c>
      <c r="AD3" s="35" t="s">
        <v>833</v>
      </c>
      <c r="AE3" s="35" t="s">
        <v>834</v>
      </c>
      <c r="AF3" s="35" t="s">
        <v>891</v>
      </c>
      <c r="AG3" s="35" t="s">
        <v>892</v>
      </c>
      <c r="AH3" s="35" t="s">
        <v>893</v>
      </c>
      <c r="AI3" s="35" t="s">
        <v>894</v>
      </c>
      <c r="AJ3" s="35" t="s">
        <v>895</v>
      </c>
      <c r="AK3" s="35" t="s">
        <v>896</v>
      </c>
      <c r="AL3" s="35" t="s">
        <v>897</v>
      </c>
      <c r="AM3" s="35" t="s">
        <v>898</v>
      </c>
      <c r="AN3" s="35" t="s">
        <v>899</v>
      </c>
      <c r="AO3" s="35" t="s">
        <v>900</v>
      </c>
      <c r="AP3" s="35" t="s">
        <v>901</v>
      </c>
      <c r="AQ3" s="35" t="s">
        <v>902</v>
      </c>
      <c r="AR3" s="35" t="s">
        <v>903</v>
      </c>
      <c r="AS3" s="35" t="s">
        <v>904</v>
      </c>
      <c r="AT3" s="35" t="s">
        <v>905</v>
      </c>
      <c r="AU3" s="35" t="s">
        <v>835</v>
      </c>
      <c r="AV3" s="35" t="s">
        <v>836</v>
      </c>
      <c r="AW3" s="35" t="s">
        <v>837</v>
      </c>
      <c r="AX3" s="35" t="s">
        <v>838</v>
      </c>
      <c r="AY3" s="35" t="s">
        <v>839</v>
      </c>
      <c r="AZ3" s="35" t="s">
        <v>840</v>
      </c>
      <c r="BA3" s="35" t="s">
        <v>841</v>
      </c>
    </row>
    <row r="4" spans="1:53" ht="18" customHeight="1" thickBot="1" x14ac:dyDescent="0.2">
      <c r="A4" s="89" t="s">
        <v>560</v>
      </c>
      <c r="B4" s="38" t="s">
        <v>383</v>
      </c>
      <c r="C4" s="62" t="s">
        <v>384</v>
      </c>
      <c r="D4" s="62" t="s">
        <v>385</v>
      </c>
      <c r="E4" s="62" t="s">
        <v>448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499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453</v>
      </c>
      <c r="R4" s="35" t="s">
        <v>454</v>
      </c>
      <c r="S4" s="35" t="s">
        <v>455</v>
      </c>
      <c r="T4" s="35" t="s">
        <v>462</v>
      </c>
      <c r="U4" s="35" t="s">
        <v>456</v>
      </c>
      <c r="V4" s="35" t="s">
        <v>457</v>
      </c>
      <c r="W4" s="35" t="s">
        <v>458</v>
      </c>
      <c r="X4" s="35" t="s">
        <v>468</v>
      </c>
      <c r="Y4" s="35" t="s">
        <v>470</v>
      </c>
      <c r="Z4" s="35" t="s">
        <v>471</v>
      </c>
      <c r="AA4" s="35" t="s">
        <v>477</v>
      </c>
      <c r="AB4" s="35" t="s">
        <v>483</v>
      </c>
      <c r="AC4" s="35" t="s">
        <v>479</v>
      </c>
      <c r="AD4" s="35" t="s">
        <v>480</v>
      </c>
      <c r="AE4" s="35" t="s">
        <v>481</v>
      </c>
      <c r="AF4" s="35" t="s">
        <v>489</v>
      </c>
      <c r="AG4" s="35" t="s">
        <v>490</v>
      </c>
      <c r="AH4" s="35" t="s">
        <v>491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492</v>
      </c>
      <c r="AP4" s="35" t="s">
        <v>493</v>
      </c>
      <c r="AQ4" s="35" t="s">
        <v>494</v>
      </c>
      <c r="AR4" s="35" t="s">
        <v>495</v>
      </c>
      <c r="AS4" s="35" t="s">
        <v>496</v>
      </c>
      <c r="AT4" s="35" t="s">
        <v>497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U5" s="113">
        <v>0</v>
      </c>
      <c r="AV5" s="113">
        <v>0</v>
      </c>
      <c r="AW5" s="113">
        <v>0</v>
      </c>
      <c r="AX5" s="113">
        <v>0</v>
      </c>
      <c r="AY5" s="113">
        <v>0</v>
      </c>
      <c r="AZ5" s="113">
        <v>0</v>
      </c>
      <c r="BA5" s="113">
        <v>0</v>
      </c>
    </row>
    <row r="6" spans="1:53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</row>
    <row r="7" spans="1:53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</row>
    <row r="8" spans="1:53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</row>
    <row r="9" spans="1:53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</row>
    <row r="10" spans="1:53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</row>
    <row r="11" spans="1:53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</row>
    <row r="12" spans="1:53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</row>
    <row r="13" spans="1:53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</row>
    <row r="14" spans="1:53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</row>
    <row r="15" spans="1:53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U15" s="94">
        <v>9000</v>
      </c>
      <c r="AV15" s="94">
        <v>9000</v>
      </c>
      <c r="AW15" s="94">
        <v>9000</v>
      </c>
      <c r="AX15" s="94">
        <v>9000</v>
      </c>
      <c r="AY15" s="94">
        <v>9000</v>
      </c>
      <c r="AZ15" s="94">
        <v>9000</v>
      </c>
      <c r="BA15" s="94">
        <v>9000</v>
      </c>
    </row>
    <row r="16" spans="1:53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U16" s="94">
        <v>12000</v>
      </c>
      <c r="AV16" s="94">
        <v>12000</v>
      </c>
      <c r="AW16" s="94">
        <v>12000</v>
      </c>
      <c r="AX16" s="94">
        <v>12000</v>
      </c>
      <c r="AY16" s="94">
        <v>12000</v>
      </c>
      <c r="AZ16" s="94">
        <v>12000</v>
      </c>
      <c r="BA16" s="94">
        <v>12000</v>
      </c>
    </row>
    <row r="17" spans="1:53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U17" s="94">
        <v>15000</v>
      </c>
      <c r="AV17" s="94">
        <v>15000</v>
      </c>
      <c r="AW17" s="94">
        <v>15000</v>
      </c>
      <c r="AX17" s="94">
        <v>15000</v>
      </c>
      <c r="AY17" s="94">
        <v>15000</v>
      </c>
      <c r="AZ17" s="94">
        <v>15000</v>
      </c>
      <c r="BA17" s="94">
        <v>15000</v>
      </c>
    </row>
    <row r="18" spans="1:53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U18" s="94">
        <v>18000</v>
      </c>
      <c r="AV18" s="94">
        <v>18000</v>
      </c>
      <c r="AW18" s="94">
        <v>18000</v>
      </c>
      <c r="AX18" s="94">
        <v>18000</v>
      </c>
      <c r="AY18" s="94">
        <v>18000</v>
      </c>
      <c r="AZ18" s="94">
        <v>18000</v>
      </c>
      <c r="BA18" s="94">
        <v>18000</v>
      </c>
    </row>
    <row r="19" spans="1:53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U19" s="94">
        <v>21000</v>
      </c>
      <c r="AV19" s="94">
        <v>21000</v>
      </c>
      <c r="AW19" s="94">
        <v>21000</v>
      </c>
      <c r="AX19" s="94">
        <v>21000</v>
      </c>
      <c r="AY19" s="94">
        <v>21000</v>
      </c>
      <c r="AZ19" s="94">
        <v>21000</v>
      </c>
      <c r="BA19" s="94">
        <v>21000</v>
      </c>
    </row>
    <row r="20" spans="1:53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U20" s="94">
        <v>24000</v>
      </c>
      <c r="AV20" s="94">
        <v>24000</v>
      </c>
      <c r="AW20" s="94">
        <v>24000</v>
      </c>
      <c r="AX20" s="94">
        <v>24000</v>
      </c>
      <c r="AY20" s="94">
        <v>24000</v>
      </c>
      <c r="AZ20" s="94">
        <v>24000</v>
      </c>
      <c r="BA20" s="94">
        <v>24000</v>
      </c>
    </row>
    <row r="21" spans="1:53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U21" s="94">
        <v>27000</v>
      </c>
      <c r="AV21" s="94">
        <v>27000</v>
      </c>
      <c r="AW21" s="94">
        <v>27000</v>
      </c>
      <c r="AX21" s="94">
        <v>27000</v>
      </c>
      <c r="AY21" s="94">
        <v>27000</v>
      </c>
      <c r="AZ21" s="94">
        <v>27000</v>
      </c>
      <c r="BA21" s="94">
        <v>27000</v>
      </c>
    </row>
    <row r="22" spans="1:53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U22" s="94">
        <v>30000</v>
      </c>
      <c r="AV22" s="94">
        <v>30000</v>
      </c>
      <c r="AW22" s="94">
        <v>30000</v>
      </c>
      <c r="AX22" s="94">
        <v>30000</v>
      </c>
      <c r="AY22" s="94">
        <v>30000</v>
      </c>
      <c r="AZ22" s="94">
        <v>30000</v>
      </c>
      <c r="BA22" s="94">
        <v>30000</v>
      </c>
    </row>
    <row r="23" spans="1:53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U23" s="94">
        <v>33000</v>
      </c>
      <c r="AV23" s="94">
        <v>33000</v>
      </c>
      <c r="AW23" s="94">
        <v>33000</v>
      </c>
      <c r="AX23" s="94">
        <v>33000</v>
      </c>
      <c r="AY23" s="94">
        <v>33000</v>
      </c>
      <c r="AZ23" s="94">
        <v>33000</v>
      </c>
      <c r="BA23" s="94">
        <v>33000</v>
      </c>
    </row>
    <row r="24" spans="1:53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U24" s="94">
        <v>36000</v>
      </c>
      <c r="AV24" s="94">
        <v>36000</v>
      </c>
      <c r="AW24" s="94">
        <v>36000</v>
      </c>
      <c r="AX24" s="94">
        <v>36000</v>
      </c>
      <c r="AY24" s="94">
        <v>36000</v>
      </c>
      <c r="AZ24" s="94">
        <v>36000</v>
      </c>
      <c r="BA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568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564</v>
      </c>
    </row>
    <row r="4" spans="1:2" ht="17.25" thickBot="1" x14ac:dyDescent="0.2">
      <c r="A4" s="58" t="s">
        <v>562</v>
      </c>
      <c r="B4" s="58" t="s">
        <v>563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665</v>
      </c>
      <c r="B3" s="56" t="s">
        <v>559</v>
      </c>
    </row>
    <row r="4" spans="1:2" ht="17.25" thickBot="1" x14ac:dyDescent="0.2">
      <c r="A4" s="58" t="s">
        <v>560</v>
      </c>
      <c r="B4" s="58" t="s">
        <v>561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775</v>
      </c>
      <c r="B1" s="94" t="s">
        <v>776</v>
      </c>
      <c r="C1" s="142" t="s">
        <v>776</v>
      </c>
      <c r="D1" s="94" t="s">
        <v>776</v>
      </c>
      <c r="E1" s="142" t="s">
        <v>776</v>
      </c>
      <c r="F1" s="94" t="s">
        <v>776</v>
      </c>
    </row>
    <row r="2" spans="1:6" x14ac:dyDescent="0.15">
      <c r="A2" s="101" t="s">
        <v>777</v>
      </c>
      <c r="B2" s="94" t="s">
        <v>777</v>
      </c>
      <c r="C2" s="142" t="s">
        <v>777</v>
      </c>
      <c r="D2" s="94" t="s">
        <v>777</v>
      </c>
      <c r="E2" s="142" t="s">
        <v>777</v>
      </c>
      <c r="F2" s="94" t="s">
        <v>777</v>
      </c>
    </row>
    <row r="3" spans="1:6" x14ac:dyDescent="0.15">
      <c r="A3" s="101" t="s">
        <v>778</v>
      </c>
      <c r="B3" s="94" t="s">
        <v>771</v>
      </c>
      <c r="C3" s="142" t="s">
        <v>772</v>
      </c>
      <c r="D3" s="94" t="s">
        <v>769</v>
      </c>
      <c r="E3" s="142" t="s">
        <v>770</v>
      </c>
      <c r="F3" s="94" t="s">
        <v>768</v>
      </c>
    </row>
    <row r="4" spans="1:6" ht="22.5" customHeight="1" thickBot="1" x14ac:dyDescent="0.2">
      <c r="A4" s="101" t="s">
        <v>774</v>
      </c>
      <c r="B4" s="94" t="s">
        <v>779</v>
      </c>
      <c r="C4" s="142" t="s">
        <v>780</v>
      </c>
      <c r="D4" s="94" t="s">
        <v>781</v>
      </c>
      <c r="E4" s="142" t="s">
        <v>773</v>
      </c>
      <c r="F4" s="94" t="s">
        <v>782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592</v>
      </c>
      <c r="J1" s="126" t="s">
        <v>622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803</v>
      </c>
      <c r="J2" s="126" t="s">
        <v>617</v>
      </c>
      <c r="L2" s="126" t="s">
        <v>617</v>
      </c>
      <c r="M2" s="126" t="s">
        <v>617</v>
      </c>
      <c r="O2" s="126" t="s">
        <v>617</v>
      </c>
      <c r="Q2" s="126" t="s">
        <v>617</v>
      </c>
      <c r="R2" s="126" t="s">
        <v>617</v>
      </c>
      <c r="S2" s="126" t="s">
        <v>617</v>
      </c>
      <c r="U2" s="126" t="s">
        <v>617</v>
      </c>
      <c r="V2" s="126" t="s">
        <v>617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878</v>
      </c>
      <c r="J3" s="126" t="s">
        <v>623</v>
      </c>
      <c r="L3" s="126" t="s">
        <v>624</v>
      </c>
      <c r="M3" s="126" t="s">
        <v>625</v>
      </c>
      <c r="O3" s="126" t="s">
        <v>626</v>
      </c>
      <c r="Q3" s="126" t="s">
        <v>627</v>
      </c>
      <c r="R3" s="126" t="s">
        <v>628</v>
      </c>
      <c r="S3" s="126" t="s">
        <v>629</v>
      </c>
      <c r="U3" s="126" t="s">
        <v>630</v>
      </c>
      <c r="V3" s="126" t="s">
        <v>631</v>
      </c>
    </row>
    <row r="4" spans="1:22" ht="55.5" customHeight="1" thickBot="1" x14ac:dyDescent="0.35">
      <c r="A4" s="88" t="s">
        <v>600</v>
      </c>
      <c r="B4" s="90" t="s">
        <v>598</v>
      </c>
      <c r="C4" s="106" t="s">
        <v>599</v>
      </c>
      <c r="D4" s="90"/>
      <c r="E4" s="90"/>
      <c r="F4" s="106" t="s">
        <v>621</v>
      </c>
      <c r="G4" s="132" t="s">
        <v>601</v>
      </c>
      <c r="H4" s="89"/>
      <c r="I4" s="90" t="s">
        <v>602</v>
      </c>
      <c r="J4" s="89" t="s">
        <v>603</v>
      </c>
      <c r="K4" s="132" t="s">
        <v>655</v>
      </c>
      <c r="L4" s="89" t="s">
        <v>656</v>
      </c>
      <c r="M4" s="89" t="s">
        <v>657</v>
      </c>
      <c r="N4" s="132" t="s">
        <v>645</v>
      </c>
      <c r="O4" s="89" t="s">
        <v>604</v>
      </c>
      <c r="P4" s="132" t="s">
        <v>649</v>
      </c>
      <c r="Q4" s="89" t="s">
        <v>620</v>
      </c>
      <c r="R4" s="89" t="s">
        <v>618</v>
      </c>
      <c r="S4" s="89" t="s">
        <v>619</v>
      </c>
      <c r="T4" s="132" t="s">
        <v>605</v>
      </c>
      <c r="U4" s="89" t="s">
        <v>618</v>
      </c>
      <c r="V4" s="89" t="s">
        <v>619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606</v>
      </c>
      <c r="H5" s="128"/>
      <c r="J5" s="128">
        <v>100</v>
      </c>
      <c r="K5" s="135"/>
      <c r="L5" s="128"/>
      <c r="M5" s="128"/>
      <c r="N5" s="137" t="s">
        <v>646</v>
      </c>
      <c r="O5" s="128">
        <v>50</v>
      </c>
      <c r="P5" s="137" t="s">
        <v>651</v>
      </c>
      <c r="Q5" s="128"/>
      <c r="R5" s="128">
        <v>2000</v>
      </c>
      <c r="S5" s="128">
        <v>200</v>
      </c>
      <c r="T5" s="135" t="s">
        <v>652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607</v>
      </c>
      <c r="I6" s="125" t="s">
        <v>632</v>
      </c>
      <c r="J6" s="126">
        <v>50</v>
      </c>
      <c r="N6" s="138" t="s">
        <v>647</v>
      </c>
      <c r="O6" s="126">
        <v>200</v>
      </c>
      <c r="P6" s="136" t="s">
        <v>650</v>
      </c>
      <c r="R6" s="126">
        <v>2000</v>
      </c>
      <c r="S6" s="126">
        <v>200</v>
      </c>
      <c r="T6" s="131" t="s">
        <v>654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608</v>
      </c>
      <c r="I7" s="125" t="s">
        <v>632</v>
      </c>
      <c r="J7" s="126">
        <v>30</v>
      </c>
      <c r="N7" s="138" t="s">
        <v>648</v>
      </c>
      <c r="O7" s="126">
        <v>200</v>
      </c>
      <c r="P7" s="136" t="s">
        <v>650</v>
      </c>
      <c r="R7" s="126">
        <v>2000</v>
      </c>
      <c r="S7" s="126">
        <v>200</v>
      </c>
      <c r="T7" s="131" t="s">
        <v>653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609</v>
      </c>
      <c r="H8" s="146" t="s">
        <v>879</v>
      </c>
      <c r="I8" s="125" t="s">
        <v>633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610</v>
      </c>
      <c r="H9" s="146" t="s">
        <v>880</v>
      </c>
      <c r="I9" s="125" t="s">
        <v>634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611</v>
      </c>
      <c r="J10" s="126">
        <v>50</v>
      </c>
      <c r="K10" s="136" t="s">
        <v>640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612</v>
      </c>
      <c r="J11" s="126">
        <v>50</v>
      </c>
      <c r="K11" s="136" t="s">
        <v>640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613</v>
      </c>
      <c r="I12" s="125" t="s">
        <v>635</v>
      </c>
      <c r="J12" s="126">
        <v>50</v>
      </c>
      <c r="K12" s="136" t="s">
        <v>641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614</v>
      </c>
      <c r="I13" s="125" t="s">
        <v>636</v>
      </c>
      <c r="J13" s="126">
        <v>50</v>
      </c>
      <c r="K13" s="136" t="s">
        <v>1110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615</v>
      </c>
      <c r="I14" s="125" t="s">
        <v>637</v>
      </c>
      <c r="J14" s="126">
        <v>50</v>
      </c>
      <c r="K14" s="136" t="s">
        <v>1111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616</v>
      </c>
      <c r="I15" s="125" t="s">
        <v>639</v>
      </c>
      <c r="J15" s="126">
        <v>50</v>
      </c>
      <c r="K15" s="136" t="s">
        <v>644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638</v>
      </c>
      <c r="I16" s="125" t="s">
        <v>639</v>
      </c>
      <c r="J16" s="126">
        <v>50</v>
      </c>
      <c r="K16" s="136" t="s">
        <v>643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1244</v>
      </c>
      <c r="B1" s="13"/>
      <c r="C1" s="12"/>
      <c r="D1" s="13"/>
      <c r="E1" s="13"/>
      <c r="F1" s="12"/>
      <c r="G1" s="56" t="s">
        <v>1245</v>
      </c>
      <c r="H1" s="56" t="s">
        <v>1245</v>
      </c>
      <c r="I1" s="56" t="s">
        <v>1245</v>
      </c>
      <c r="J1" s="56" t="s">
        <v>1245</v>
      </c>
      <c r="K1" s="56" t="s">
        <v>1245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1246</v>
      </c>
      <c r="B3" s="13"/>
      <c r="C3" s="12"/>
      <c r="D3" s="13"/>
      <c r="E3" s="13"/>
      <c r="F3" s="12"/>
      <c r="G3" s="56" t="s">
        <v>1247</v>
      </c>
      <c r="H3" s="56" t="s">
        <v>1248</v>
      </c>
      <c r="I3" s="56" t="s">
        <v>1249</v>
      </c>
      <c r="J3" s="56" t="s">
        <v>1250</v>
      </c>
      <c r="K3" s="56" t="s">
        <v>1251</v>
      </c>
      <c r="L3" s="10"/>
      <c r="M3" s="10"/>
    </row>
    <row r="4" spans="1:23" s="187" customFormat="1" ht="57.75" customHeight="1" thickBot="1" x14ac:dyDescent="0.2">
      <c r="A4" s="97" t="s">
        <v>1252</v>
      </c>
      <c r="B4" s="109" t="s">
        <v>1253</v>
      </c>
      <c r="C4" s="110"/>
      <c r="D4" s="109"/>
      <c r="E4" s="109"/>
      <c r="F4" s="110"/>
      <c r="G4" s="92" t="s">
        <v>1254</v>
      </c>
      <c r="H4" s="92" t="s">
        <v>1255</v>
      </c>
      <c r="I4" s="92" t="s">
        <v>1256</v>
      </c>
      <c r="J4" s="92" t="s">
        <v>1257</v>
      </c>
      <c r="K4" s="92" t="s">
        <v>1258</v>
      </c>
      <c r="L4" s="93" t="s">
        <v>1259</v>
      </c>
      <c r="M4" s="93" t="s">
        <v>1260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569</v>
      </c>
      <c r="B1" s="13"/>
      <c r="C1" s="12"/>
      <c r="D1" s="13"/>
      <c r="E1" s="13"/>
      <c r="F1" s="12"/>
      <c r="G1" s="56" t="s">
        <v>804</v>
      </c>
      <c r="H1" s="56" t="s">
        <v>592</v>
      </c>
      <c r="I1" s="56" t="s">
        <v>804</v>
      </c>
      <c r="J1" s="56" t="s">
        <v>592</v>
      </c>
      <c r="K1" s="56" t="s">
        <v>592</v>
      </c>
      <c r="L1" s="164" t="s">
        <v>804</v>
      </c>
      <c r="M1" s="10"/>
      <c r="N1" s="56" t="s">
        <v>804</v>
      </c>
      <c r="O1" s="56" t="s">
        <v>804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1052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592</v>
      </c>
      <c r="AJ1" s="56" t="s">
        <v>592</v>
      </c>
      <c r="AK1" s="56" t="s">
        <v>592</v>
      </c>
      <c r="AL1" s="56" t="s">
        <v>592</v>
      </c>
      <c r="AM1" s="56" t="s">
        <v>592</v>
      </c>
      <c r="AN1" s="56" t="s">
        <v>592</v>
      </c>
      <c r="AO1" s="56" t="s">
        <v>1356</v>
      </c>
      <c r="AP1" s="56" t="s">
        <v>1356</v>
      </c>
      <c r="AQ1" s="171"/>
      <c r="AR1" s="56" t="s">
        <v>592</v>
      </c>
      <c r="AS1" s="56" t="s">
        <v>592</v>
      </c>
      <c r="AT1" s="56" t="s">
        <v>592</v>
      </c>
      <c r="AU1" s="56" t="s">
        <v>592</v>
      </c>
      <c r="AV1" s="56" t="s">
        <v>592</v>
      </c>
      <c r="AW1" s="56" t="s">
        <v>592</v>
      </c>
      <c r="AX1" s="56" t="s">
        <v>592</v>
      </c>
      <c r="AY1" s="56" t="s">
        <v>1356</v>
      </c>
      <c r="AZ1" s="171"/>
      <c r="BA1" s="56" t="s">
        <v>592</v>
      </c>
      <c r="BB1" s="56" t="s">
        <v>592</v>
      </c>
      <c r="BC1" s="56" t="s">
        <v>1118</v>
      </c>
      <c r="BD1" s="171"/>
      <c r="BE1" s="56" t="s">
        <v>592</v>
      </c>
      <c r="BF1" s="10"/>
      <c r="BG1" s="56" t="s">
        <v>592</v>
      </c>
      <c r="BH1" s="56" t="s">
        <v>592</v>
      </c>
      <c r="BI1" s="56" t="s">
        <v>592</v>
      </c>
      <c r="BJ1" s="56" t="s">
        <v>592</v>
      </c>
      <c r="BK1" s="56" t="s">
        <v>592</v>
      </c>
      <c r="BL1" s="56" t="s">
        <v>592</v>
      </c>
      <c r="BM1" s="56" t="s">
        <v>592</v>
      </c>
      <c r="BN1" s="56" t="s">
        <v>592</v>
      </c>
      <c r="BO1" s="56" t="s">
        <v>592</v>
      </c>
      <c r="BP1" s="56" t="s">
        <v>592</v>
      </c>
      <c r="BQ1" s="56" t="s">
        <v>592</v>
      </c>
      <c r="BR1" s="10"/>
      <c r="BS1" s="56" t="s">
        <v>592</v>
      </c>
      <c r="BT1" s="56" t="s">
        <v>592</v>
      </c>
      <c r="BU1" s="56" t="s">
        <v>592</v>
      </c>
      <c r="BV1" s="56" t="s">
        <v>592</v>
      </c>
      <c r="BW1" s="56" t="s">
        <v>592</v>
      </c>
      <c r="BX1" s="56" t="s">
        <v>592</v>
      </c>
      <c r="BY1" s="56" t="s">
        <v>592</v>
      </c>
      <c r="BZ1" s="56" t="s">
        <v>592</v>
      </c>
      <c r="CA1" s="56" t="s">
        <v>592</v>
      </c>
      <c r="CB1" s="56" t="s">
        <v>592</v>
      </c>
      <c r="CC1" s="56" t="s">
        <v>592</v>
      </c>
      <c r="CD1" s="56" t="s">
        <v>592</v>
      </c>
      <c r="CE1" s="56" t="s">
        <v>592</v>
      </c>
      <c r="CF1" s="56" t="s">
        <v>592</v>
      </c>
      <c r="CG1" s="56" t="s">
        <v>592</v>
      </c>
      <c r="CH1" s="56" t="s">
        <v>592</v>
      </c>
      <c r="CI1" s="56" t="s">
        <v>592</v>
      </c>
      <c r="CJ1" s="56" t="s">
        <v>592</v>
      </c>
      <c r="CK1" s="56" t="s">
        <v>592</v>
      </c>
      <c r="CL1" s="10"/>
      <c r="CM1" s="56" t="s">
        <v>592</v>
      </c>
      <c r="CN1" s="56" t="s">
        <v>592</v>
      </c>
      <c r="CO1" s="56" t="s">
        <v>592</v>
      </c>
      <c r="CP1" s="56" t="s">
        <v>592</v>
      </c>
      <c r="CQ1" s="56" t="s">
        <v>592</v>
      </c>
      <c r="CR1" s="56" t="s">
        <v>592</v>
      </c>
      <c r="CS1" s="56" t="s">
        <v>592</v>
      </c>
      <c r="CT1" s="56" t="s">
        <v>592</v>
      </c>
      <c r="CU1" s="56" t="s">
        <v>592</v>
      </c>
      <c r="CV1" s="56" t="s">
        <v>592</v>
      </c>
      <c r="CW1" s="56" t="s">
        <v>592</v>
      </c>
      <c r="CX1" s="56" t="s">
        <v>592</v>
      </c>
      <c r="CY1" s="56" t="s">
        <v>592</v>
      </c>
      <c r="CZ1" s="56" t="s">
        <v>592</v>
      </c>
      <c r="DA1" s="56" t="s">
        <v>592</v>
      </c>
      <c r="DB1" s="10"/>
      <c r="DC1" s="56" t="s">
        <v>592</v>
      </c>
      <c r="DD1" s="56" t="s">
        <v>592</v>
      </c>
      <c r="DE1" s="56" t="s">
        <v>592</v>
      </c>
      <c r="DF1" s="56" t="s">
        <v>592</v>
      </c>
      <c r="DG1" s="56" t="s">
        <v>592</v>
      </c>
      <c r="DH1" s="56" t="s">
        <v>592</v>
      </c>
      <c r="DI1" s="56" t="s">
        <v>592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803</v>
      </c>
      <c r="H2" s="56" t="s">
        <v>1027</v>
      </c>
      <c r="I2" s="56" t="s">
        <v>803</v>
      </c>
      <c r="J2" s="56" t="s">
        <v>484</v>
      </c>
      <c r="K2" s="56" t="s">
        <v>484</v>
      </c>
      <c r="L2" s="164" t="s">
        <v>842</v>
      </c>
      <c r="M2" s="10"/>
      <c r="N2" s="56" t="s">
        <v>803</v>
      </c>
      <c r="O2" s="56" t="s">
        <v>842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1051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1355</v>
      </c>
      <c r="AP2" s="56" t="s">
        <v>1355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1355</v>
      </c>
      <c r="AZ2" s="171"/>
      <c r="BA2" s="56" t="s">
        <v>61</v>
      </c>
      <c r="BB2" s="56" t="s">
        <v>61</v>
      </c>
      <c r="BC2" s="56" t="s">
        <v>1117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575</v>
      </c>
      <c r="B3" s="13"/>
      <c r="C3" s="12"/>
      <c r="D3" s="13"/>
      <c r="E3" s="13"/>
      <c r="F3" s="12"/>
      <c r="G3" s="56" t="s">
        <v>851</v>
      </c>
      <c r="H3" s="56" t="s">
        <v>1026</v>
      </c>
      <c r="I3" s="56" t="s">
        <v>854</v>
      </c>
      <c r="J3" s="56" t="s">
        <v>1038</v>
      </c>
      <c r="K3" s="56" t="s">
        <v>1039</v>
      </c>
      <c r="L3" s="164" t="s">
        <v>871</v>
      </c>
      <c r="M3" s="10"/>
      <c r="N3" s="56" t="s">
        <v>844</v>
      </c>
      <c r="O3" s="56" t="s">
        <v>863</v>
      </c>
      <c r="P3" s="161"/>
      <c r="Q3" s="177"/>
      <c r="R3" s="167"/>
      <c r="S3" s="56" t="s">
        <v>1043</v>
      </c>
      <c r="T3" s="56"/>
      <c r="U3" s="56"/>
      <c r="V3" s="161"/>
      <c r="W3" s="177"/>
      <c r="X3" s="171"/>
      <c r="Y3" s="10"/>
      <c r="Z3" s="56" t="s">
        <v>1050</v>
      </c>
      <c r="AA3" s="56" t="s">
        <v>846</v>
      </c>
      <c r="AB3" s="56" t="s">
        <v>847</v>
      </c>
      <c r="AC3" s="56" t="s">
        <v>848</v>
      </c>
      <c r="AD3" s="56" t="s">
        <v>849</v>
      </c>
      <c r="AE3" s="173"/>
      <c r="AF3" s="56" t="s">
        <v>1323</v>
      </c>
      <c r="AG3" s="56" t="s">
        <v>1324</v>
      </c>
      <c r="AH3" s="171"/>
      <c r="AI3" s="38" t="s">
        <v>912</v>
      </c>
      <c r="AJ3" s="62" t="s">
        <v>913</v>
      </c>
      <c r="AK3" s="62" t="s">
        <v>914</v>
      </c>
      <c r="AL3" s="62" t="s">
        <v>915</v>
      </c>
      <c r="AM3" s="62" t="s">
        <v>916</v>
      </c>
      <c r="AN3" s="62" t="s">
        <v>917</v>
      </c>
      <c r="AO3" s="62" t="s">
        <v>1360</v>
      </c>
      <c r="AP3" s="62" t="s">
        <v>1354</v>
      </c>
      <c r="AQ3" s="171"/>
      <c r="AR3" s="38" t="s">
        <v>918</v>
      </c>
      <c r="AS3" s="62" t="s">
        <v>919</v>
      </c>
      <c r="AT3" s="62" t="s">
        <v>920</v>
      </c>
      <c r="AU3" s="62" t="s">
        <v>921</v>
      </c>
      <c r="AV3" s="62" t="s">
        <v>922</v>
      </c>
      <c r="AW3" s="62" t="s">
        <v>923</v>
      </c>
      <c r="AX3" s="62" t="s">
        <v>1361</v>
      </c>
      <c r="AY3" s="62" t="s">
        <v>1358</v>
      </c>
      <c r="AZ3" s="171"/>
      <c r="BA3" s="38" t="s">
        <v>962</v>
      </c>
      <c r="BB3" s="62" t="s">
        <v>881</v>
      </c>
      <c r="BC3" s="62" t="s">
        <v>1115</v>
      </c>
      <c r="BD3" s="171"/>
      <c r="BE3" s="38" t="s">
        <v>860</v>
      </c>
      <c r="BF3" s="10"/>
      <c r="BG3" s="38" t="s">
        <v>1271</v>
      </c>
      <c r="BH3" s="62" t="s">
        <v>1272</v>
      </c>
      <c r="BI3" s="62" t="s">
        <v>1273</v>
      </c>
      <c r="BJ3" s="62" t="s">
        <v>1274</v>
      </c>
      <c r="BK3" s="35" t="s">
        <v>1275</v>
      </c>
      <c r="BL3" s="35" t="s">
        <v>1276</v>
      </c>
      <c r="BM3" s="35" t="s">
        <v>1277</v>
      </c>
      <c r="BN3" s="62" t="s">
        <v>1278</v>
      </c>
      <c r="BO3" s="35" t="s">
        <v>1279</v>
      </c>
      <c r="BP3" s="35" t="s">
        <v>1280</v>
      </c>
      <c r="BQ3" s="35" t="s">
        <v>1281</v>
      </c>
      <c r="BR3" s="36"/>
      <c r="BS3" s="35" t="s">
        <v>1282</v>
      </c>
      <c r="BT3" s="35" t="s">
        <v>1283</v>
      </c>
      <c r="BU3" s="35" t="s">
        <v>1284</v>
      </c>
      <c r="BV3" s="35" t="s">
        <v>1285</v>
      </c>
      <c r="BW3" s="35" t="s">
        <v>1286</v>
      </c>
      <c r="BX3" s="35" t="s">
        <v>1287</v>
      </c>
      <c r="BY3" s="35" t="s">
        <v>1288</v>
      </c>
      <c r="BZ3" s="35" t="s">
        <v>1289</v>
      </c>
      <c r="CA3" s="35" t="s">
        <v>1290</v>
      </c>
      <c r="CB3" s="35" t="s">
        <v>1291</v>
      </c>
      <c r="CC3" s="35" t="s">
        <v>1292</v>
      </c>
      <c r="CD3" s="35" t="s">
        <v>1293</v>
      </c>
      <c r="CE3" s="35" t="s">
        <v>1294</v>
      </c>
      <c r="CF3" s="35" t="s">
        <v>1295</v>
      </c>
      <c r="CG3" s="35" t="s">
        <v>1296</v>
      </c>
      <c r="CH3" s="35" t="s">
        <v>1297</v>
      </c>
      <c r="CI3" s="35" t="s">
        <v>1298</v>
      </c>
      <c r="CJ3" s="35" t="s">
        <v>1299</v>
      </c>
      <c r="CK3" s="35" t="s">
        <v>1300</v>
      </c>
      <c r="CL3" s="36"/>
      <c r="CM3" s="35" t="s">
        <v>1301</v>
      </c>
      <c r="CN3" s="35" t="s">
        <v>1302</v>
      </c>
      <c r="CO3" s="35" t="s">
        <v>1303</v>
      </c>
      <c r="CP3" s="35" t="s">
        <v>1304</v>
      </c>
      <c r="CQ3" s="35" t="s">
        <v>1305</v>
      </c>
      <c r="CR3" s="35" t="s">
        <v>1306</v>
      </c>
      <c r="CS3" s="35" t="s">
        <v>1307</v>
      </c>
      <c r="CT3" s="35" t="s">
        <v>1308</v>
      </c>
      <c r="CU3" s="35" t="s">
        <v>1309</v>
      </c>
      <c r="CV3" s="35" t="s">
        <v>1310</v>
      </c>
      <c r="CW3" s="35" t="s">
        <v>1311</v>
      </c>
      <c r="CX3" s="35" t="s">
        <v>1312</v>
      </c>
      <c r="CY3" s="35" t="s">
        <v>1313</v>
      </c>
      <c r="CZ3" s="35" t="s">
        <v>1314</v>
      </c>
      <c r="DA3" s="35" t="s">
        <v>1315</v>
      </c>
      <c r="DB3" s="36"/>
      <c r="DC3" s="35" t="s">
        <v>1316</v>
      </c>
      <c r="DD3" s="35" t="s">
        <v>1317</v>
      </c>
      <c r="DE3" s="35" t="s">
        <v>1318</v>
      </c>
      <c r="DF3" s="35" t="s">
        <v>1319</v>
      </c>
      <c r="DG3" s="35" t="s">
        <v>1320</v>
      </c>
      <c r="DH3" s="35" t="s">
        <v>1321</v>
      </c>
      <c r="DI3" s="35" t="s">
        <v>1322</v>
      </c>
    </row>
    <row r="4" spans="1:113" s="95" customFormat="1" ht="118.5" customHeight="1" thickBot="1" x14ac:dyDescent="0.2">
      <c r="A4" s="97" t="s">
        <v>575</v>
      </c>
      <c r="B4" s="109" t="s">
        <v>594</v>
      </c>
      <c r="C4" s="110"/>
      <c r="D4" s="109" t="s">
        <v>941</v>
      </c>
      <c r="E4" s="109" t="s">
        <v>942</v>
      </c>
      <c r="F4" s="110"/>
      <c r="G4" s="58" t="s">
        <v>852</v>
      </c>
      <c r="H4" s="58" t="s">
        <v>1028</v>
      </c>
      <c r="I4" s="58" t="s">
        <v>1120</v>
      </c>
      <c r="J4" s="58" t="s">
        <v>1121</v>
      </c>
      <c r="K4" s="58" t="s">
        <v>1122</v>
      </c>
      <c r="L4" s="165" t="s">
        <v>870</v>
      </c>
      <c r="M4" s="145" t="s">
        <v>853</v>
      </c>
      <c r="N4" s="92" t="s">
        <v>843</v>
      </c>
      <c r="O4" s="56" t="s">
        <v>1029</v>
      </c>
      <c r="P4" s="161" t="s">
        <v>1071</v>
      </c>
      <c r="Q4" s="177" t="s">
        <v>1044</v>
      </c>
      <c r="R4" s="167" t="s">
        <v>1047</v>
      </c>
      <c r="S4" s="56" t="s">
        <v>1048</v>
      </c>
      <c r="T4" s="56" t="s">
        <v>1065</v>
      </c>
      <c r="U4" s="56" t="s">
        <v>1066</v>
      </c>
      <c r="V4" s="161" t="s">
        <v>1062</v>
      </c>
      <c r="W4" s="177" t="s">
        <v>1045</v>
      </c>
      <c r="X4" s="171" t="s">
        <v>859</v>
      </c>
      <c r="Y4" s="10" t="s">
        <v>850</v>
      </c>
      <c r="Z4" s="56" t="s">
        <v>1049</v>
      </c>
      <c r="AA4" s="56" t="s">
        <v>943</v>
      </c>
      <c r="AB4" s="56" t="s">
        <v>944</v>
      </c>
      <c r="AC4" s="56" t="s">
        <v>945</v>
      </c>
      <c r="AD4" s="56" t="s">
        <v>946</v>
      </c>
      <c r="AE4" s="174" t="s">
        <v>1046</v>
      </c>
      <c r="AF4" s="56" t="s">
        <v>947</v>
      </c>
      <c r="AG4" s="56" t="s">
        <v>948</v>
      </c>
      <c r="AH4" s="176" t="s">
        <v>1030</v>
      </c>
      <c r="AI4" s="38" t="s">
        <v>949</v>
      </c>
      <c r="AJ4" s="62" t="s">
        <v>950</v>
      </c>
      <c r="AK4" s="62" t="s">
        <v>951</v>
      </c>
      <c r="AL4" s="62" t="s">
        <v>952</v>
      </c>
      <c r="AM4" s="62" t="s">
        <v>953</v>
      </c>
      <c r="AN4" s="62" t="s">
        <v>954</v>
      </c>
      <c r="AO4" s="62" t="s">
        <v>1359</v>
      </c>
      <c r="AP4" s="62" t="s">
        <v>1353</v>
      </c>
      <c r="AQ4" s="171" t="s">
        <v>955</v>
      </c>
      <c r="AR4" s="38" t="s">
        <v>956</v>
      </c>
      <c r="AS4" s="62" t="s">
        <v>957</v>
      </c>
      <c r="AT4" s="62" t="s">
        <v>958</v>
      </c>
      <c r="AU4" s="62" t="s">
        <v>959</v>
      </c>
      <c r="AV4" s="62" t="s">
        <v>960</v>
      </c>
      <c r="AW4" s="62" t="s">
        <v>961</v>
      </c>
      <c r="AX4" s="62" t="s">
        <v>966</v>
      </c>
      <c r="AY4" s="62" t="s">
        <v>1357</v>
      </c>
      <c r="AZ4" s="171" t="s">
        <v>882</v>
      </c>
      <c r="BA4" s="38" t="s">
        <v>963</v>
      </c>
      <c r="BB4" s="62" t="s">
        <v>964</v>
      </c>
      <c r="BC4" s="62" t="s">
        <v>1116</v>
      </c>
      <c r="BD4" s="171" t="s">
        <v>924</v>
      </c>
      <c r="BE4" s="38" t="s">
        <v>967</v>
      </c>
      <c r="BF4" s="10" t="s">
        <v>1056</v>
      </c>
      <c r="BG4" s="38" t="s">
        <v>968</v>
      </c>
      <c r="BH4" s="62" t="s">
        <v>969</v>
      </c>
      <c r="BI4" s="62" t="s">
        <v>970</v>
      </c>
      <c r="BJ4" s="62" t="s">
        <v>971</v>
      </c>
      <c r="BK4" s="35" t="s">
        <v>972</v>
      </c>
      <c r="BL4" s="35" t="s">
        <v>973</v>
      </c>
      <c r="BM4" s="35" t="s">
        <v>974</v>
      </c>
      <c r="BN4" s="62" t="s">
        <v>975</v>
      </c>
      <c r="BO4" s="35" t="s">
        <v>976</v>
      </c>
      <c r="BP4" s="35" t="s">
        <v>977</v>
      </c>
      <c r="BQ4" s="35" t="s">
        <v>978</v>
      </c>
      <c r="BR4" s="36" t="s">
        <v>1055</v>
      </c>
      <c r="BS4" s="35" t="s">
        <v>979</v>
      </c>
      <c r="BT4" s="35" t="s">
        <v>980</v>
      </c>
      <c r="BU4" s="35" t="s">
        <v>981</v>
      </c>
      <c r="BV4" s="35" t="s">
        <v>982</v>
      </c>
      <c r="BW4" s="35" t="s">
        <v>983</v>
      </c>
      <c r="BX4" s="35" t="s">
        <v>984</v>
      </c>
      <c r="BY4" s="35" t="s">
        <v>985</v>
      </c>
      <c r="BZ4" s="35" t="s">
        <v>986</v>
      </c>
      <c r="CA4" s="35" t="s">
        <v>987</v>
      </c>
      <c r="CB4" s="35" t="s">
        <v>988</v>
      </c>
      <c r="CC4" s="35" t="s">
        <v>989</v>
      </c>
      <c r="CD4" s="35" t="s">
        <v>990</v>
      </c>
      <c r="CE4" s="35" t="s">
        <v>991</v>
      </c>
      <c r="CF4" s="35" t="s">
        <v>992</v>
      </c>
      <c r="CG4" s="35" t="s">
        <v>993</v>
      </c>
      <c r="CH4" s="35" t="s">
        <v>994</v>
      </c>
      <c r="CI4" s="35" t="s">
        <v>995</v>
      </c>
      <c r="CJ4" s="35" t="s">
        <v>996</v>
      </c>
      <c r="CK4" s="35" t="s">
        <v>997</v>
      </c>
      <c r="CL4" s="36" t="s">
        <v>1054</v>
      </c>
      <c r="CM4" s="35" t="s">
        <v>998</v>
      </c>
      <c r="CN4" s="35" t="s">
        <v>999</v>
      </c>
      <c r="CO4" s="35" t="s">
        <v>1000</v>
      </c>
      <c r="CP4" s="35" t="s">
        <v>1001</v>
      </c>
      <c r="CQ4" s="35" t="s">
        <v>1002</v>
      </c>
      <c r="CR4" s="35" t="s">
        <v>1003</v>
      </c>
      <c r="CS4" s="35" t="s">
        <v>1004</v>
      </c>
      <c r="CT4" s="35" t="s">
        <v>1005</v>
      </c>
      <c r="CU4" s="35" t="s">
        <v>1019</v>
      </c>
      <c r="CV4" s="35" t="s">
        <v>1018</v>
      </c>
      <c r="CW4" s="35" t="s">
        <v>1017</v>
      </c>
      <c r="CX4" s="35" t="s">
        <v>1016</v>
      </c>
      <c r="CY4" s="35" t="s">
        <v>1015</v>
      </c>
      <c r="CZ4" s="35" t="s">
        <v>1014</v>
      </c>
      <c r="DA4" s="35" t="s">
        <v>1013</v>
      </c>
      <c r="DB4" s="36" t="s">
        <v>1053</v>
      </c>
      <c r="DC4" s="35" t="s">
        <v>1012</v>
      </c>
      <c r="DD4" s="35" t="s">
        <v>1011</v>
      </c>
      <c r="DE4" s="35" t="s">
        <v>1010</v>
      </c>
      <c r="DF4" s="35" t="s">
        <v>1009</v>
      </c>
      <c r="DG4" s="35" t="s">
        <v>1008</v>
      </c>
      <c r="DH4" s="35" t="s">
        <v>1007</v>
      </c>
      <c r="DI4" s="35" t="s">
        <v>1006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925</v>
      </c>
      <c r="H5" s="57">
        <v>1</v>
      </c>
      <c r="I5" s="57" t="s">
        <v>1119</v>
      </c>
      <c r="J5" s="57" t="s">
        <v>1136</v>
      </c>
      <c r="K5" s="57" t="s">
        <v>1150</v>
      </c>
      <c r="L5" s="166">
        <v>360</v>
      </c>
      <c r="M5" s="17" t="s">
        <v>1023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855</v>
      </c>
      <c r="H6" s="56">
        <v>3</v>
      </c>
      <c r="I6" s="56" t="s">
        <v>1119</v>
      </c>
      <c r="J6" s="56" t="s">
        <v>1136</v>
      </c>
      <c r="L6" s="164">
        <v>360</v>
      </c>
      <c r="M6" s="10" t="s">
        <v>1024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856</v>
      </c>
      <c r="H7" s="56">
        <v>5</v>
      </c>
      <c r="I7" s="56" t="s">
        <v>1119</v>
      </c>
      <c r="J7" s="56" t="s">
        <v>1136</v>
      </c>
      <c r="L7" s="164">
        <v>360</v>
      </c>
      <c r="M7" s="156" t="s">
        <v>1025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926</v>
      </c>
      <c r="H8" s="56">
        <v>1</v>
      </c>
      <c r="I8" s="56" t="s">
        <v>1125</v>
      </c>
      <c r="J8" s="56" t="s">
        <v>1137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927</v>
      </c>
      <c r="H9" s="56">
        <v>3</v>
      </c>
      <c r="I9" s="56" t="s">
        <v>1123</v>
      </c>
      <c r="J9" s="56" t="s">
        <v>1137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928</v>
      </c>
      <c r="H10" s="56">
        <v>5</v>
      </c>
      <c r="I10" s="56" t="s">
        <v>1123</v>
      </c>
      <c r="J10" s="56" t="s">
        <v>1137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929</v>
      </c>
      <c r="H11" s="56">
        <v>1</v>
      </c>
      <c r="I11" s="56" t="s">
        <v>1124</v>
      </c>
      <c r="J11" s="56" t="s">
        <v>1138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857</v>
      </c>
      <c r="H12" s="56">
        <v>3</v>
      </c>
      <c r="I12" s="56" t="s">
        <v>1124</v>
      </c>
      <c r="J12" s="56" t="s">
        <v>1138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858</v>
      </c>
      <c r="H13" s="56">
        <v>5</v>
      </c>
      <c r="I13" s="56" t="s">
        <v>1124</v>
      </c>
      <c r="J13" s="56" t="s">
        <v>1138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1020</v>
      </c>
      <c r="H25" s="57">
        <v>1</v>
      </c>
      <c r="I25" s="57" t="s">
        <v>1126</v>
      </c>
      <c r="J25" s="57" t="s">
        <v>1139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1021</v>
      </c>
      <c r="H26" s="56">
        <v>3</v>
      </c>
      <c r="I26" s="56" t="s">
        <v>1126</v>
      </c>
      <c r="J26" s="56" t="s">
        <v>1139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1022</v>
      </c>
      <c r="H27" s="56">
        <v>5</v>
      </c>
      <c r="I27" s="56" t="s">
        <v>1126</v>
      </c>
      <c r="J27" s="56" t="s">
        <v>1139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1034</v>
      </c>
      <c r="H28" s="56">
        <v>1</v>
      </c>
      <c r="I28" s="56" t="s">
        <v>1141</v>
      </c>
      <c r="J28" s="56" t="s">
        <v>1140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1035</v>
      </c>
      <c r="H29" s="56">
        <v>3</v>
      </c>
      <c r="I29" s="56" t="s">
        <v>1141</v>
      </c>
      <c r="J29" s="56" t="s">
        <v>1140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1036</v>
      </c>
      <c r="H30" s="56">
        <v>5</v>
      </c>
      <c r="I30" s="56" t="s">
        <v>1141</v>
      </c>
      <c r="J30" s="56" t="s">
        <v>1140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864</v>
      </c>
      <c r="H45" s="57">
        <v>1</v>
      </c>
      <c r="I45" s="57" t="s">
        <v>1127</v>
      </c>
      <c r="J45" s="57" t="s">
        <v>1142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865</v>
      </c>
      <c r="H46" s="56">
        <v>3</v>
      </c>
      <c r="I46" s="56" t="s">
        <v>1127</v>
      </c>
      <c r="J46" s="56" t="s">
        <v>1142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866</v>
      </c>
      <c r="H47" s="56">
        <v>5</v>
      </c>
      <c r="I47" s="56" t="s">
        <v>1127</v>
      </c>
      <c r="J47" s="56" t="s">
        <v>1142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867</v>
      </c>
      <c r="H48" s="56">
        <v>1</v>
      </c>
      <c r="I48" s="56" t="s">
        <v>1128</v>
      </c>
      <c r="J48" s="56" t="s">
        <v>1144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868</v>
      </c>
      <c r="H49" s="56">
        <v>3</v>
      </c>
      <c r="I49" s="56" t="s">
        <v>1128</v>
      </c>
      <c r="J49" s="56" t="s">
        <v>1144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869</v>
      </c>
      <c r="H50" s="56">
        <v>5</v>
      </c>
      <c r="I50" s="56" t="s">
        <v>1128</v>
      </c>
      <c r="J50" s="56" t="s">
        <v>1144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930</v>
      </c>
      <c r="H51" s="56">
        <v>1</v>
      </c>
      <c r="I51" s="56" t="s">
        <v>1129</v>
      </c>
      <c r="J51" s="56" t="s">
        <v>1143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931</v>
      </c>
      <c r="H52" s="56">
        <v>3</v>
      </c>
      <c r="I52" s="56" t="s">
        <v>1129</v>
      </c>
      <c r="J52" s="56" t="s">
        <v>1143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932</v>
      </c>
      <c r="H53" s="56">
        <v>5</v>
      </c>
      <c r="I53" s="56" t="s">
        <v>1129</v>
      </c>
      <c r="J53" s="56" t="s">
        <v>1143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1040</v>
      </c>
      <c r="H54" s="56">
        <v>1</v>
      </c>
      <c r="I54" s="56" t="s">
        <v>1130</v>
      </c>
      <c r="J54" s="56" t="s">
        <v>1145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1041</v>
      </c>
      <c r="H55" s="56">
        <v>3</v>
      </c>
      <c r="I55" s="56" t="s">
        <v>1130</v>
      </c>
      <c r="J55" s="56" t="s">
        <v>1145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1042</v>
      </c>
      <c r="H56" s="56">
        <v>5</v>
      </c>
      <c r="I56" s="56" t="s">
        <v>1130</v>
      </c>
      <c r="J56" s="56" t="s">
        <v>1145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1131</v>
      </c>
      <c r="H57" s="56">
        <v>1</v>
      </c>
      <c r="I57" s="56" t="s">
        <v>1132</v>
      </c>
      <c r="J57" s="56" t="s">
        <v>1146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933</v>
      </c>
      <c r="H58" s="56">
        <v>3</v>
      </c>
      <c r="I58" s="56" t="s">
        <v>1132</v>
      </c>
      <c r="J58" s="56" t="s">
        <v>1146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934</v>
      </c>
      <c r="H59" s="56">
        <v>5</v>
      </c>
      <c r="I59" s="56" t="s">
        <v>1132</v>
      </c>
      <c r="J59" s="56" t="s">
        <v>1146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872</v>
      </c>
      <c r="H60" s="56">
        <v>1</v>
      </c>
      <c r="I60" s="56" t="s">
        <v>1133</v>
      </c>
      <c r="J60" s="56" t="s">
        <v>1147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873</v>
      </c>
      <c r="H61" s="56">
        <v>3</v>
      </c>
      <c r="I61" s="56" t="s">
        <v>1133</v>
      </c>
      <c r="J61" s="56" t="s">
        <v>1147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874</v>
      </c>
      <c r="H62" s="56">
        <v>5</v>
      </c>
      <c r="I62" s="56" t="s">
        <v>1133</v>
      </c>
      <c r="J62" s="56" t="s">
        <v>1147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935</v>
      </c>
      <c r="H63" s="56">
        <v>1</v>
      </c>
      <c r="I63" s="56" t="s">
        <v>1134</v>
      </c>
      <c r="J63" s="56" t="s">
        <v>1148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936</v>
      </c>
      <c r="H64" s="56">
        <v>3</v>
      </c>
      <c r="I64" s="56" t="s">
        <v>1134</v>
      </c>
      <c r="J64" s="56" t="s">
        <v>1148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937</v>
      </c>
      <c r="H65" s="56">
        <v>5</v>
      </c>
      <c r="I65" s="56" t="s">
        <v>1134</v>
      </c>
      <c r="J65" s="56" t="s">
        <v>1148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1031</v>
      </c>
      <c r="H66" s="56">
        <v>1</v>
      </c>
      <c r="I66" s="56" t="s">
        <v>1135</v>
      </c>
      <c r="J66" s="56" t="s">
        <v>1149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1032</v>
      </c>
      <c r="H67" s="56">
        <v>3</v>
      </c>
      <c r="I67" s="56" t="s">
        <v>1135</v>
      </c>
      <c r="J67" s="56" t="s">
        <v>1149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1033</v>
      </c>
      <c r="H68" s="56">
        <v>5</v>
      </c>
      <c r="I68" s="56" t="s">
        <v>1135</v>
      </c>
      <c r="J68" s="56" t="s">
        <v>1149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875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1063</v>
      </c>
      <c r="S85" s="57">
        <v>100</v>
      </c>
      <c r="T85" s="57" t="s">
        <v>1067</v>
      </c>
      <c r="U85" s="57" t="s">
        <v>1068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876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1064</v>
      </c>
      <c r="S86" s="56">
        <v>200</v>
      </c>
      <c r="T86" s="56" t="s">
        <v>1067</v>
      </c>
      <c r="U86" s="56" t="s">
        <v>1069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877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1064</v>
      </c>
      <c r="S87" s="56">
        <v>300</v>
      </c>
      <c r="T87" s="56" t="s">
        <v>1067</v>
      </c>
      <c r="U87" s="56" t="s">
        <v>1070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938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1064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939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1064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940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1064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569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575</v>
      </c>
      <c r="I3" s="56" t="s">
        <v>584</v>
      </c>
      <c r="J3" s="56" t="s">
        <v>585</v>
      </c>
      <c r="K3" s="56" t="s">
        <v>586</v>
      </c>
      <c r="L3" s="56" t="s">
        <v>591</v>
      </c>
      <c r="M3" s="56" t="s">
        <v>597</v>
      </c>
    </row>
    <row r="4" spans="1:24" s="102" customFormat="1" ht="64.5" customHeight="1" thickBot="1" x14ac:dyDescent="0.2">
      <c r="A4" s="97" t="s">
        <v>572</v>
      </c>
      <c r="B4" s="90" t="s">
        <v>670</v>
      </c>
      <c r="C4" s="106"/>
      <c r="D4" s="90"/>
      <c r="E4" s="90"/>
      <c r="F4" s="106"/>
      <c r="G4" s="93" t="s">
        <v>576</v>
      </c>
      <c r="H4" s="93" t="s">
        <v>580</v>
      </c>
      <c r="I4" s="92" t="s">
        <v>660</v>
      </c>
      <c r="J4" s="92" t="s">
        <v>661</v>
      </c>
      <c r="K4" s="92" t="s">
        <v>662</v>
      </c>
      <c r="L4" s="92" t="s">
        <v>589</v>
      </c>
      <c r="M4" s="92" t="s">
        <v>667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577</v>
      </c>
      <c r="H5" s="11" t="s">
        <v>578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1326</v>
      </c>
      <c r="H6" s="11" t="s">
        <v>1325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581</v>
      </c>
      <c r="H7" s="11" t="s">
        <v>590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579</v>
      </c>
      <c r="H8" s="11" t="s">
        <v>583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582</v>
      </c>
      <c r="H9" s="11" t="s">
        <v>664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675</v>
      </c>
      <c r="H10" s="11" t="s">
        <v>642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658</v>
      </c>
      <c r="H11" s="10" t="s">
        <v>663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659</v>
      </c>
      <c r="H12" s="10" t="s">
        <v>663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666</v>
      </c>
      <c r="H13" s="10" t="s">
        <v>668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672</v>
      </c>
      <c r="H14" s="10" t="s">
        <v>673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677</v>
      </c>
      <c r="H15" s="10" t="s">
        <v>671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678</v>
      </c>
      <c r="H16" s="10" t="s">
        <v>676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679</v>
      </c>
      <c r="H17" s="10" t="s">
        <v>680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861</v>
      </c>
      <c r="H18" s="10" t="s">
        <v>862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1057</v>
      </c>
      <c r="H19" s="158" t="s">
        <v>1037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2018-09-06T09:50:13Z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