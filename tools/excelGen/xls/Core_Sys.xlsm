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7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T6" i="30" l="1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A215" i="9" s="1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05" i="9" s="1"/>
  <c r="A206" i="9" l="1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44" i="9"/>
  <c r="X443" i="9"/>
  <c r="X442" i="9"/>
  <c r="X441" i="9"/>
  <c r="X440" i="9"/>
  <c r="X439" i="9"/>
  <c r="X438" i="9"/>
  <c r="X437" i="9"/>
  <c r="X436" i="9"/>
  <c r="X435" i="9"/>
  <c r="X434" i="9"/>
  <c r="X433" i="9"/>
  <c r="X432" i="9"/>
  <c r="X431" i="9"/>
  <c r="X430" i="9"/>
  <c r="X429" i="9"/>
  <c r="X428" i="9"/>
  <c r="X427" i="9"/>
  <c r="X426" i="9"/>
  <c r="X425" i="9"/>
  <c r="X384" i="9"/>
  <c r="X383" i="9"/>
  <c r="X382" i="9"/>
  <c r="X381" i="9"/>
  <c r="X380" i="9"/>
  <c r="X379" i="9"/>
  <c r="X378" i="9"/>
  <c r="X377" i="9"/>
  <c r="X376" i="9"/>
  <c r="X375" i="9"/>
  <c r="X374" i="9"/>
  <c r="X373" i="9"/>
  <c r="X372" i="9"/>
  <c r="X371" i="9"/>
  <c r="X370" i="9"/>
  <c r="X369" i="9"/>
  <c r="X368" i="9"/>
  <c r="X367" i="9"/>
  <c r="X366" i="9"/>
  <c r="X36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304" i="9"/>
  <c r="X303" i="9"/>
  <c r="X302" i="9"/>
  <c r="X301" i="9"/>
  <c r="X300" i="9"/>
  <c r="X299" i="9"/>
  <c r="X298" i="9"/>
  <c r="X297" i="9"/>
  <c r="X296" i="9"/>
  <c r="X295" i="9"/>
  <c r="X294" i="9"/>
  <c r="X293" i="9"/>
  <c r="X292" i="9"/>
  <c r="X291" i="9"/>
  <c r="X290" i="9"/>
  <c r="X289" i="9"/>
  <c r="X288" i="9"/>
  <c r="X287" i="9"/>
  <c r="X286" i="9"/>
  <c r="X28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285" i="9" l="1"/>
  <c r="AS286" i="9"/>
  <c r="AS287" i="9"/>
  <c r="AS288" i="9"/>
  <c r="AS289" i="9"/>
  <c r="AS290" i="9"/>
  <c r="AS291" i="9"/>
  <c r="AS292" i="9"/>
  <c r="AS293" i="9"/>
  <c r="AS294" i="9"/>
  <c r="AS295" i="9"/>
  <c r="AS296" i="9"/>
  <c r="AS297" i="9"/>
  <c r="AS298" i="9"/>
  <c r="AS299" i="9"/>
  <c r="AS300" i="9"/>
  <c r="AS301" i="9"/>
  <c r="AS302" i="9"/>
  <c r="AS303" i="9"/>
  <c r="AS304" i="9"/>
  <c r="AS305" i="9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285" i="9"/>
  <c r="BO286" i="9"/>
  <c r="BO287" i="9"/>
  <c r="BO288" i="9"/>
  <c r="BO289" i="9"/>
  <c r="BO290" i="9"/>
  <c r="BO291" i="9"/>
  <c r="BO292" i="9"/>
  <c r="BO293" i="9"/>
  <c r="BO294" i="9"/>
  <c r="BO295" i="9"/>
  <c r="BO296" i="9"/>
  <c r="BO297" i="9"/>
  <c r="BO298" i="9"/>
  <c r="BO299" i="9"/>
  <c r="BO300" i="9"/>
  <c r="BO301" i="9"/>
  <c r="BO302" i="9"/>
  <c r="BO303" i="9"/>
  <c r="BO30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298" i="9" s="1"/>
  <c r="F25" i="30"/>
  <c r="A25" i="30" s="1"/>
  <c r="BJ332" i="9" s="1"/>
  <c r="A26" i="30"/>
  <c r="BJ351" i="9" s="1"/>
  <c r="A27" i="30"/>
  <c r="BJ415" i="9" s="1"/>
  <c r="A28" i="30"/>
  <c r="BJ437" i="9" s="1"/>
  <c r="A34" i="30"/>
  <c r="F20" i="30"/>
  <c r="A20" i="30" s="1"/>
  <c r="BJ14" i="9" s="1"/>
  <c r="A29" i="30"/>
  <c r="BJ456" i="9" s="1"/>
  <c r="A30" i="30"/>
  <c r="BJ474" i="9" s="1"/>
  <c r="A32" i="30"/>
  <c r="BJ53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7" i="9"/>
  <c r="BJ458" i="9"/>
  <c r="BJ459" i="9"/>
  <c r="BJ460" i="9"/>
  <c r="BJ461" i="9"/>
  <c r="BJ462" i="9"/>
  <c r="BJ463" i="9"/>
  <c r="BJ464" i="9"/>
  <c r="BJ466" i="9"/>
  <c r="BJ467" i="9"/>
  <c r="BJ468" i="9"/>
  <c r="BJ469" i="9"/>
  <c r="BJ470" i="9"/>
  <c r="BJ471" i="9"/>
  <c r="BJ472" i="9"/>
  <c r="BJ473" i="9"/>
  <c r="BJ475" i="9"/>
  <c r="BJ476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2" i="9"/>
  <c r="BJ533" i="9"/>
  <c r="BJ534" i="9"/>
  <c r="BJ535" i="9"/>
  <c r="BJ537" i="9"/>
  <c r="BJ538" i="9"/>
  <c r="BJ539" i="9"/>
  <c r="BJ540" i="9"/>
  <c r="BJ541" i="9"/>
  <c r="BJ542" i="9"/>
  <c r="BJ543" i="9"/>
  <c r="BJ54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85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425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5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304" i="9"/>
  <c r="AQ303" i="9"/>
  <c r="AQ302" i="9"/>
  <c r="AQ301" i="9"/>
  <c r="AQ300" i="9"/>
  <c r="AQ299" i="9"/>
  <c r="AQ298" i="9"/>
  <c r="AQ297" i="9"/>
  <c r="AQ296" i="9"/>
  <c r="AQ295" i="9"/>
  <c r="AQ294" i="9"/>
  <c r="AQ293" i="9"/>
  <c r="AQ292" i="9"/>
  <c r="AQ291" i="9"/>
  <c r="AQ290" i="9"/>
  <c r="AQ289" i="9"/>
  <c r="AQ288" i="9"/>
  <c r="AQ287" i="9"/>
  <c r="AQ286" i="9"/>
  <c r="AQ28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39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66" i="9"/>
  <c r="AZ374" i="9"/>
  <c r="AZ382" i="9"/>
  <c r="AZ19" i="9"/>
  <c r="AZ11" i="9"/>
  <c r="AZ35" i="9"/>
  <c r="AZ52" i="9"/>
  <c r="AZ376" i="9"/>
  <c r="AZ17" i="9"/>
  <c r="AZ36" i="9"/>
  <c r="AZ53" i="9"/>
  <c r="AZ369" i="9"/>
  <c r="AZ24" i="9"/>
  <c r="AZ8" i="9"/>
  <c r="AZ37" i="9"/>
  <c r="AZ54" i="9"/>
  <c r="AZ378" i="9"/>
  <c r="AZ23" i="9"/>
  <c r="AZ7" i="9"/>
  <c r="AZ49" i="9"/>
  <c r="AZ373" i="9"/>
  <c r="AZ12" i="9"/>
  <c r="AZ33" i="9"/>
  <c r="AZ43" i="9"/>
  <c r="AZ51" i="9"/>
  <c r="AZ59" i="9"/>
  <c r="AZ367" i="9"/>
  <c r="AZ375" i="9"/>
  <c r="AZ383" i="9"/>
  <c r="AZ18" i="9"/>
  <c r="AZ44" i="9"/>
  <c r="AZ60" i="9"/>
  <c r="AZ368" i="9"/>
  <c r="AZ384" i="9"/>
  <c r="AZ9" i="9"/>
  <c r="AZ25" i="9"/>
  <c r="AZ45" i="9"/>
  <c r="AZ61" i="9"/>
  <c r="AZ377" i="9"/>
  <c r="AZ16" i="9"/>
  <c r="AZ27" i="9"/>
  <c r="AZ46" i="9"/>
  <c r="AZ62" i="9"/>
  <c r="AZ370" i="9"/>
  <c r="AZ15" i="9"/>
  <c r="AZ30" i="9"/>
  <c r="AZ57" i="9"/>
  <c r="AZ381" i="9"/>
  <c r="AZ20" i="9"/>
  <c r="AZ28" i="9"/>
  <c r="AZ38" i="9"/>
  <c r="AZ47" i="9"/>
  <c r="AZ55" i="9"/>
  <c r="AZ63" i="9"/>
  <c r="AZ371" i="9"/>
  <c r="AZ379" i="9"/>
  <c r="AZ22" i="9"/>
  <c r="AZ14" i="9"/>
  <c r="AZ6" i="9"/>
  <c r="AZ29" i="9"/>
  <c r="AZ39" i="9"/>
  <c r="AZ48" i="9"/>
  <c r="AZ56" i="9"/>
  <c r="AZ64" i="9"/>
  <c r="AZ372" i="9"/>
  <c r="AZ380" i="9"/>
  <c r="AZ21" i="9"/>
  <c r="AZ13" i="9"/>
  <c r="AZ5" i="9"/>
  <c r="AZ41" i="9"/>
  <c r="AZ365" i="9"/>
  <c r="BJ512" i="9"/>
  <c r="BJ272" i="9"/>
  <c r="BJ31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BE185" i="9" l="1"/>
  <c r="BE205" i="9"/>
  <c r="X417" i="9"/>
  <c r="X409" i="9"/>
  <c r="AA369" i="9"/>
  <c r="AA377" i="9"/>
  <c r="X423" i="9"/>
  <c r="X407" i="9"/>
  <c r="AA379" i="9"/>
  <c r="AA365" i="9"/>
  <c r="AA381" i="9"/>
  <c r="X412" i="9"/>
  <c r="AA374" i="9"/>
  <c r="AA375" i="9"/>
  <c r="X410" i="9"/>
  <c r="AA368" i="9"/>
  <c r="X424" i="9"/>
  <c r="X416" i="9"/>
  <c r="X408" i="9"/>
  <c r="AA370" i="9"/>
  <c r="AA378" i="9"/>
  <c r="X415" i="9"/>
  <c r="AA371" i="9"/>
  <c r="AA382" i="9"/>
  <c r="X419" i="9"/>
  <c r="AA367" i="9"/>
  <c r="AA376" i="9"/>
  <c r="X422" i="9"/>
  <c r="X414" i="9"/>
  <c r="X406" i="9"/>
  <c r="AA372" i="9"/>
  <c r="AA380" i="9"/>
  <c r="X421" i="9"/>
  <c r="X413" i="9"/>
  <c r="X405" i="9"/>
  <c r="AA373" i="9"/>
  <c r="X420" i="9"/>
  <c r="AA366" i="9"/>
  <c r="X411" i="9"/>
  <c r="AA383" i="9"/>
  <c r="X418" i="9"/>
  <c r="AA384" i="9"/>
  <c r="AZ223" i="9"/>
  <c r="AZ224" i="9"/>
  <c r="AA385" i="9"/>
  <c r="AA393" i="9"/>
  <c r="AA401" i="9"/>
  <c r="AA387" i="9"/>
  <c r="AA403" i="9"/>
  <c r="AA389" i="9"/>
  <c r="AA390" i="9"/>
  <c r="AA399" i="9"/>
  <c r="AA400" i="9"/>
  <c r="AA386" i="9"/>
  <c r="AA394" i="9"/>
  <c r="AA402" i="9"/>
  <c r="AA395" i="9"/>
  <c r="AA388" i="9"/>
  <c r="AA396" i="9"/>
  <c r="AA404" i="9"/>
  <c r="AA397" i="9"/>
  <c r="AA398" i="9"/>
  <c r="AA391" i="9"/>
  <c r="AA392" i="9"/>
  <c r="AA409" i="9"/>
  <c r="AA417" i="9"/>
  <c r="AA420" i="9"/>
  <c r="AA405" i="9"/>
  <c r="AA406" i="9"/>
  <c r="AA415" i="9"/>
  <c r="AA408" i="9"/>
  <c r="AA410" i="9"/>
  <c r="AA418" i="9"/>
  <c r="AA412" i="9"/>
  <c r="AA421" i="9"/>
  <c r="AA414" i="9"/>
  <c r="AA424" i="9"/>
  <c r="AA411" i="9"/>
  <c r="AA419" i="9"/>
  <c r="AA413" i="9"/>
  <c r="AA422" i="9"/>
  <c r="AA407" i="9"/>
  <c r="AA423" i="9"/>
  <c r="AA416" i="9"/>
  <c r="AZ220" i="9"/>
  <c r="AU223" i="9"/>
  <c r="AZ217" i="9"/>
  <c r="AU224" i="9"/>
  <c r="AZ216" i="9"/>
  <c r="AZ221" i="9"/>
  <c r="AZ218" i="9"/>
  <c r="AZ219" i="9"/>
  <c r="AZ222" i="9"/>
  <c r="AA358" i="9"/>
  <c r="AA351" i="9"/>
  <c r="AA359" i="9"/>
  <c r="AA362" i="9"/>
  <c r="AA363" i="9"/>
  <c r="AA357" i="9"/>
  <c r="AA350" i="9"/>
  <c r="AA352" i="9"/>
  <c r="AA360" i="9"/>
  <c r="AA354" i="9"/>
  <c r="AA347" i="9"/>
  <c r="AA356" i="9"/>
  <c r="AA349" i="9"/>
  <c r="AA345" i="9"/>
  <c r="AA353" i="9"/>
  <c r="AA361" i="9"/>
  <c r="AA346" i="9"/>
  <c r="AA355" i="9"/>
  <c r="AA348" i="9"/>
  <c r="AA364" i="9"/>
  <c r="AA329" i="9"/>
  <c r="AA337" i="9"/>
  <c r="AA331" i="9"/>
  <c r="AA332" i="9"/>
  <c r="AA333" i="9"/>
  <c r="AA326" i="9"/>
  <c r="AA343" i="9"/>
  <c r="AA328" i="9"/>
  <c r="AA330" i="9"/>
  <c r="AA338" i="9"/>
  <c r="AA339" i="9"/>
  <c r="AA340" i="9"/>
  <c r="AA325" i="9"/>
  <c r="AA342" i="9"/>
  <c r="AA335" i="9"/>
  <c r="AA344" i="9"/>
  <c r="AA341" i="9"/>
  <c r="AA334" i="9"/>
  <c r="AA327" i="9"/>
  <c r="AA33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J212" i="9" s="1"/>
  <c r="AI212" i="9" s="1"/>
  <c r="AU206" i="9"/>
  <c r="AJ206" i="9" s="1"/>
  <c r="AI206" i="9" s="1"/>
  <c r="AU219" i="9"/>
  <c r="AU213" i="9"/>
  <c r="AU208" i="9"/>
  <c r="AU209" i="9"/>
  <c r="AJ209" i="9" s="1"/>
  <c r="AI209" i="9" s="1"/>
  <c r="AU221" i="9"/>
  <c r="AJ221" i="9" s="1"/>
  <c r="AI221" i="9" s="1"/>
  <c r="AU211" i="9"/>
  <c r="AJ211" i="9" s="1"/>
  <c r="AI211" i="9" s="1"/>
  <c r="AU218" i="9"/>
  <c r="AU207" i="9"/>
  <c r="AJ207" i="9" s="1"/>
  <c r="AI207" i="9" s="1"/>
  <c r="AU215" i="9"/>
  <c r="AJ215" i="9" s="1"/>
  <c r="AI215" i="9" s="1"/>
  <c r="AU210" i="9"/>
  <c r="AU205" i="9"/>
  <c r="AU216" i="9"/>
  <c r="AJ216" i="9" s="1"/>
  <c r="AI216" i="9" s="1"/>
  <c r="AU220" i="9"/>
  <c r="AU214" i="9"/>
  <c r="X357" i="9"/>
  <c r="X349" i="9"/>
  <c r="X354" i="9"/>
  <c r="X353" i="9"/>
  <c r="X350" i="9"/>
  <c r="X364" i="9"/>
  <c r="X356" i="9"/>
  <c r="X348" i="9"/>
  <c r="X346" i="9"/>
  <c r="X361" i="9"/>
  <c r="X352" i="9"/>
  <c r="X359" i="9"/>
  <c r="X358" i="9"/>
  <c r="X363" i="9"/>
  <c r="X355" i="9"/>
  <c r="X347" i="9"/>
  <c r="X362" i="9"/>
  <c r="X345" i="9"/>
  <c r="X360" i="9"/>
  <c r="X351" i="9"/>
  <c r="X341" i="9"/>
  <c r="X333" i="9"/>
  <c r="X325" i="9"/>
  <c r="X339" i="9"/>
  <c r="X328" i="9"/>
  <c r="X343" i="9"/>
  <c r="X342" i="9"/>
  <c r="X340" i="9"/>
  <c r="X332" i="9"/>
  <c r="X331" i="9"/>
  <c r="X336" i="9"/>
  <c r="X327" i="9"/>
  <c r="X334" i="9"/>
  <c r="X338" i="9"/>
  <c r="X330" i="9"/>
  <c r="X337" i="9"/>
  <c r="X329" i="9"/>
  <c r="X344" i="9"/>
  <c r="X335" i="9"/>
  <c r="X32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01" i="9"/>
  <c r="X393" i="9"/>
  <c r="X385" i="9"/>
  <c r="X399" i="9"/>
  <c r="X388" i="9"/>
  <c r="X387" i="9"/>
  <c r="X394" i="9"/>
  <c r="X400" i="9"/>
  <c r="X392" i="9"/>
  <c r="X391" i="9"/>
  <c r="X396" i="9"/>
  <c r="X395" i="9"/>
  <c r="X398" i="9"/>
  <c r="X390" i="9"/>
  <c r="X397" i="9"/>
  <c r="X389" i="9"/>
  <c r="X404" i="9"/>
  <c r="X403" i="9"/>
  <c r="X402" i="9"/>
  <c r="X38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J204" i="9" s="1"/>
  <c r="AI204" i="9" s="1"/>
  <c r="AU195" i="9"/>
  <c r="AJ195" i="9" s="1"/>
  <c r="AI195" i="9" s="1"/>
  <c r="AU187" i="9"/>
  <c r="AJ187" i="9" s="1"/>
  <c r="AI187" i="9" s="1"/>
  <c r="AU201" i="9"/>
  <c r="AU193" i="9"/>
  <c r="AJ193" i="9" s="1"/>
  <c r="AI193" i="9" s="1"/>
  <c r="AU185" i="9"/>
  <c r="AU200" i="9"/>
  <c r="AU198" i="9"/>
  <c r="AJ198" i="9" s="1"/>
  <c r="AI198" i="9" s="1"/>
  <c r="AU196" i="9"/>
  <c r="AJ196" i="9" s="1"/>
  <c r="AI196" i="9" s="1"/>
  <c r="AU190" i="9"/>
  <c r="AJ190" i="9" s="1"/>
  <c r="AI190" i="9" s="1"/>
  <c r="AU188" i="9"/>
  <c r="AU202" i="9"/>
  <c r="AU194" i="9"/>
  <c r="AU186" i="9"/>
  <c r="AU197" i="9"/>
  <c r="AU189" i="9"/>
  <c r="AJ189" i="9" s="1"/>
  <c r="AI189" i="9" s="1"/>
  <c r="AU199" i="9"/>
  <c r="AU191" i="9"/>
  <c r="AJ191" i="9" s="1"/>
  <c r="AI191" i="9" s="1"/>
  <c r="AU192" i="9"/>
  <c r="AZ203" i="9"/>
  <c r="AZ204" i="9"/>
  <c r="AZ79" i="9"/>
  <c r="AZ81" i="9"/>
  <c r="AZ80" i="9"/>
  <c r="AZ82" i="9"/>
  <c r="AZ83" i="9"/>
  <c r="AZ84" i="9"/>
  <c r="AZ78" i="9"/>
  <c r="AU379" i="9"/>
  <c r="AJ379" i="9" s="1"/>
  <c r="AI379" i="9" s="1"/>
  <c r="AU381" i="9"/>
  <c r="AJ381" i="9" s="1"/>
  <c r="AI381" i="9" s="1"/>
  <c r="AU383" i="9"/>
  <c r="AJ383" i="9" s="1"/>
  <c r="AI383" i="9" s="1"/>
  <c r="AU380" i="9"/>
  <c r="AJ380" i="9" s="1"/>
  <c r="AI380" i="9" s="1"/>
  <c r="AU384" i="9"/>
  <c r="AJ384" i="9" s="1"/>
  <c r="AI384" i="9" s="1"/>
  <c r="AU38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285" i="9"/>
  <c r="BE325" i="9"/>
  <c r="BE365" i="9"/>
  <c r="BE385" i="9"/>
  <c r="BE425" i="9"/>
  <c r="BE465" i="9"/>
  <c r="BE505" i="9"/>
  <c r="BE5" i="9"/>
  <c r="BE25" i="9"/>
  <c r="BE65" i="9"/>
  <c r="BE105" i="9"/>
  <c r="BE145" i="9"/>
  <c r="BE225" i="9"/>
  <c r="BE265" i="9"/>
  <c r="BE305" i="9"/>
  <c r="BE345" i="9"/>
  <c r="BE405" i="9"/>
  <c r="BE445" i="9"/>
  <c r="BE485" i="9"/>
  <c r="BE52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485" i="9"/>
  <c r="BJ465" i="9"/>
  <c r="BJ50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29" i="9"/>
  <c r="AZ337" i="9"/>
  <c r="AZ345" i="9"/>
  <c r="AZ353" i="9"/>
  <c r="AZ361" i="9"/>
  <c r="AZ389" i="9"/>
  <c r="AZ397" i="9"/>
  <c r="AZ330" i="9"/>
  <c r="AZ338" i="9"/>
  <c r="AZ346" i="9"/>
  <c r="AZ354" i="9"/>
  <c r="AZ362" i="9"/>
  <c r="AZ390" i="9"/>
  <c r="AZ398" i="9"/>
  <c r="AZ331" i="9"/>
  <c r="AZ339" i="9"/>
  <c r="AZ347" i="9"/>
  <c r="AZ355" i="9"/>
  <c r="AZ363" i="9"/>
  <c r="AZ391" i="9"/>
  <c r="AZ399" i="9"/>
  <c r="AZ332" i="9"/>
  <c r="AZ340" i="9"/>
  <c r="AZ348" i="9"/>
  <c r="AZ356" i="9"/>
  <c r="AZ364" i="9"/>
  <c r="AZ392" i="9"/>
  <c r="AZ400" i="9"/>
  <c r="AZ325" i="9"/>
  <c r="AZ333" i="9"/>
  <c r="AZ341" i="9"/>
  <c r="AZ349" i="9"/>
  <c r="AZ357" i="9"/>
  <c r="AZ385" i="9"/>
  <c r="AZ393" i="9"/>
  <c r="AZ401" i="9"/>
  <c r="AZ326" i="9"/>
  <c r="AZ334" i="9"/>
  <c r="AZ342" i="9"/>
  <c r="AZ350" i="9"/>
  <c r="AZ358" i="9"/>
  <c r="AZ386" i="9"/>
  <c r="AZ394" i="9"/>
  <c r="AZ402" i="9"/>
  <c r="AZ327" i="9"/>
  <c r="AZ335" i="9"/>
  <c r="AZ343" i="9"/>
  <c r="AZ351" i="9"/>
  <c r="AZ359" i="9"/>
  <c r="AZ387" i="9"/>
  <c r="AZ395" i="9"/>
  <c r="AZ403" i="9"/>
  <c r="AZ360" i="9"/>
  <c r="AZ388" i="9"/>
  <c r="AZ396" i="9"/>
  <c r="AZ404" i="9"/>
  <c r="AZ328" i="9"/>
  <c r="AZ336" i="9"/>
  <c r="AZ344" i="9"/>
  <c r="AZ352" i="9"/>
  <c r="AZ405" i="9"/>
  <c r="AZ413" i="9"/>
  <c r="AZ421" i="9"/>
  <c r="AZ406" i="9"/>
  <c r="AZ414" i="9"/>
  <c r="AZ422" i="9"/>
  <c r="AZ407" i="9"/>
  <c r="AZ415" i="9"/>
  <c r="AZ423" i="9"/>
  <c r="AZ408" i="9"/>
  <c r="AZ416" i="9"/>
  <c r="AZ424" i="9"/>
  <c r="AZ409" i="9"/>
  <c r="AZ417" i="9"/>
  <c r="AZ410" i="9"/>
  <c r="AZ411" i="9"/>
  <c r="AZ419" i="9"/>
  <c r="AZ412" i="9"/>
  <c r="AZ420" i="9"/>
  <c r="AU127" i="9"/>
  <c r="AU135" i="9"/>
  <c r="AU143" i="9"/>
  <c r="AU327" i="9"/>
  <c r="AU335" i="9"/>
  <c r="AU343" i="9"/>
  <c r="AU435" i="9"/>
  <c r="AU443" i="9"/>
  <c r="AU130" i="9"/>
  <c r="AU338" i="9"/>
  <c r="AU128" i="9"/>
  <c r="AU136" i="9"/>
  <c r="AU144" i="9"/>
  <c r="AU328" i="9"/>
  <c r="AU336" i="9"/>
  <c r="AJ336" i="9" s="1"/>
  <c r="AI336" i="9" s="1"/>
  <c r="AU344" i="9"/>
  <c r="AU436" i="9"/>
  <c r="AJ436" i="9" s="1"/>
  <c r="AI436" i="9" s="1"/>
  <c r="AU444" i="9"/>
  <c r="AJ444" i="9" s="1"/>
  <c r="AI444" i="9" s="1"/>
  <c r="AU330" i="9"/>
  <c r="AU129" i="9"/>
  <c r="AU137" i="9"/>
  <c r="AU329" i="9"/>
  <c r="AU337" i="9"/>
  <c r="AU437" i="9"/>
  <c r="AU138" i="9"/>
  <c r="AU438" i="9"/>
  <c r="AJ438" i="9" s="1"/>
  <c r="AI438" i="9" s="1"/>
  <c r="AU131" i="9"/>
  <c r="AU139" i="9"/>
  <c r="AU331" i="9"/>
  <c r="AU339" i="9"/>
  <c r="AU439" i="9"/>
  <c r="AU126" i="9"/>
  <c r="AU340" i="9"/>
  <c r="AU442" i="9"/>
  <c r="AJ442" i="9" s="1"/>
  <c r="AI442" i="9" s="1"/>
  <c r="AU134" i="9"/>
  <c r="AU432" i="9"/>
  <c r="AU326" i="9"/>
  <c r="AU433" i="9"/>
  <c r="AJ433" i="9" s="1"/>
  <c r="AI433" i="9" s="1"/>
  <c r="AU334" i="9"/>
  <c r="AJ334" i="9" s="1"/>
  <c r="AI334" i="9" s="1"/>
  <c r="AU132" i="9"/>
  <c r="AU341" i="9"/>
  <c r="AU133" i="9"/>
  <c r="AU342" i="9"/>
  <c r="AU325" i="9"/>
  <c r="AU140" i="9"/>
  <c r="AU141" i="9"/>
  <c r="AU332" i="9"/>
  <c r="AJ332" i="9" s="1"/>
  <c r="AI332" i="9" s="1"/>
  <c r="AU434" i="9"/>
  <c r="AU142" i="9"/>
  <c r="AU333" i="9"/>
  <c r="AU440" i="9"/>
  <c r="AJ440" i="9" s="1"/>
  <c r="AI440" i="9" s="1"/>
  <c r="AU125" i="9"/>
  <c r="AU441" i="9"/>
  <c r="AU151" i="9"/>
  <c r="AU159" i="9"/>
  <c r="AU167" i="9"/>
  <c r="AU175" i="9"/>
  <c r="AU183" i="9"/>
  <c r="AU231" i="9"/>
  <c r="AU239" i="9"/>
  <c r="AU247" i="9"/>
  <c r="AU255" i="9"/>
  <c r="AJ255" i="9" s="1"/>
  <c r="AI255" i="9" s="1"/>
  <c r="AU263" i="9"/>
  <c r="AJ263" i="9" s="1"/>
  <c r="AI263" i="9" s="1"/>
  <c r="AU271" i="9"/>
  <c r="AU279" i="9"/>
  <c r="AU287" i="9"/>
  <c r="AU295" i="9"/>
  <c r="AJ295" i="9" s="1"/>
  <c r="AI295" i="9" s="1"/>
  <c r="AU303" i="9"/>
  <c r="AU311" i="9"/>
  <c r="AU319" i="9"/>
  <c r="AJ319" i="9" s="1"/>
  <c r="AI319" i="9" s="1"/>
  <c r="AU451" i="9"/>
  <c r="AU459" i="9"/>
  <c r="AU467" i="9"/>
  <c r="AJ467" i="9" s="1"/>
  <c r="AI467" i="9" s="1"/>
  <c r="AU475" i="9"/>
  <c r="AU483" i="9"/>
  <c r="AJ483" i="9" s="1"/>
  <c r="AI483" i="9" s="1"/>
  <c r="AU491" i="9"/>
  <c r="AU499" i="9"/>
  <c r="AU507" i="9"/>
  <c r="AJ507" i="9" s="1"/>
  <c r="AI507" i="9" s="1"/>
  <c r="AU515" i="9"/>
  <c r="AU523" i="9"/>
  <c r="AU531" i="9"/>
  <c r="AJ531" i="9" s="1"/>
  <c r="AI531" i="9" s="1"/>
  <c r="AU539" i="9"/>
  <c r="AU154" i="9"/>
  <c r="AU178" i="9"/>
  <c r="AU242" i="9"/>
  <c r="AU266" i="9"/>
  <c r="AU290" i="9"/>
  <c r="AU314" i="9"/>
  <c r="AU454" i="9"/>
  <c r="AJ454" i="9" s="1"/>
  <c r="AI454" i="9" s="1"/>
  <c r="AU478" i="9"/>
  <c r="AJ478" i="9" s="1"/>
  <c r="AI478" i="9" s="1"/>
  <c r="AU502" i="9"/>
  <c r="AJ502" i="9" s="1"/>
  <c r="AI502" i="9" s="1"/>
  <c r="AU52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288" i="9"/>
  <c r="AJ288" i="9" s="1"/>
  <c r="AI288" i="9" s="1"/>
  <c r="AU296" i="9"/>
  <c r="AJ296" i="9" s="1"/>
  <c r="AI296" i="9" s="1"/>
  <c r="AU304" i="9"/>
  <c r="AJ304" i="9" s="1"/>
  <c r="AI304" i="9" s="1"/>
  <c r="AU312" i="9"/>
  <c r="AJ312" i="9" s="1"/>
  <c r="AI312" i="9" s="1"/>
  <c r="AU320" i="9"/>
  <c r="AU452" i="9"/>
  <c r="AJ452" i="9" s="1"/>
  <c r="AI452" i="9" s="1"/>
  <c r="AU460" i="9"/>
  <c r="AU468" i="9"/>
  <c r="AU476" i="9"/>
  <c r="AJ476" i="9" s="1"/>
  <c r="AI476" i="9" s="1"/>
  <c r="AU484" i="9"/>
  <c r="AJ484" i="9" s="1"/>
  <c r="AI484" i="9" s="1"/>
  <c r="AU492" i="9"/>
  <c r="AJ492" i="9" s="1"/>
  <c r="AI492" i="9" s="1"/>
  <c r="AU500" i="9"/>
  <c r="AJ500" i="9" s="1"/>
  <c r="AI500" i="9" s="1"/>
  <c r="AU508" i="9"/>
  <c r="AJ508" i="9" s="1"/>
  <c r="AI508" i="9" s="1"/>
  <c r="AU516" i="9"/>
  <c r="AJ516" i="9" s="1"/>
  <c r="AI516" i="9" s="1"/>
  <c r="AU524" i="9"/>
  <c r="AJ524" i="9" s="1"/>
  <c r="AI524" i="9" s="1"/>
  <c r="AU532" i="9"/>
  <c r="AU540" i="9"/>
  <c r="AJ540" i="9" s="1"/>
  <c r="AI540" i="9" s="1"/>
  <c r="AU146" i="9"/>
  <c r="AU170" i="9"/>
  <c r="AU234" i="9"/>
  <c r="AU258" i="9"/>
  <c r="AU282" i="9"/>
  <c r="AU306" i="9"/>
  <c r="AU446" i="9"/>
  <c r="AU462" i="9"/>
  <c r="AJ462" i="9" s="1"/>
  <c r="AI462" i="9" s="1"/>
  <c r="AU486" i="9"/>
  <c r="AJ486" i="9" s="1"/>
  <c r="AI486" i="9" s="1"/>
  <c r="AU510" i="9"/>
  <c r="AJ510" i="9" s="1"/>
  <c r="AI510" i="9" s="1"/>
  <c r="AU534" i="9"/>
  <c r="AU145" i="9"/>
  <c r="AU153" i="9"/>
  <c r="AU161" i="9"/>
  <c r="AU169" i="9"/>
  <c r="AU177" i="9"/>
  <c r="AU225" i="9"/>
  <c r="AU233" i="9"/>
  <c r="AU241" i="9"/>
  <c r="AU249" i="9"/>
  <c r="AU257" i="9"/>
  <c r="AJ257" i="9" s="1"/>
  <c r="AI257" i="9" s="1"/>
  <c r="AU265" i="9"/>
  <c r="AU273" i="9"/>
  <c r="AU281" i="9"/>
  <c r="AU289" i="9"/>
  <c r="AJ289" i="9" s="1"/>
  <c r="AI289" i="9" s="1"/>
  <c r="AU297" i="9"/>
  <c r="AJ297" i="9" s="1"/>
  <c r="AI297" i="9" s="1"/>
  <c r="AU305" i="9"/>
  <c r="AU313" i="9"/>
  <c r="AJ313" i="9" s="1"/>
  <c r="AI313" i="9" s="1"/>
  <c r="AU321" i="9"/>
  <c r="AU445" i="9"/>
  <c r="AJ445" i="9" s="1"/>
  <c r="AI445" i="9" s="1"/>
  <c r="AU453" i="9"/>
  <c r="AU461" i="9"/>
  <c r="AU469" i="9"/>
  <c r="AJ469" i="9" s="1"/>
  <c r="AI469" i="9" s="1"/>
  <c r="AU477" i="9"/>
  <c r="AU485" i="9"/>
  <c r="AU493" i="9"/>
  <c r="AU501" i="9"/>
  <c r="AU509" i="9"/>
  <c r="AU517" i="9"/>
  <c r="AU525" i="9"/>
  <c r="AU533" i="9"/>
  <c r="AJ533" i="9" s="1"/>
  <c r="AI533" i="9" s="1"/>
  <c r="AU541" i="9"/>
  <c r="AJ541" i="9" s="1"/>
  <c r="AI541" i="9" s="1"/>
  <c r="AU162" i="9"/>
  <c r="AU226" i="9"/>
  <c r="AU250" i="9"/>
  <c r="AU274" i="9"/>
  <c r="AU298" i="9"/>
  <c r="AU322" i="9"/>
  <c r="AJ322" i="9" s="1"/>
  <c r="AI322" i="9" s="1"/>
  <c r="AU470" i="9"/>
  <c r="AJ470" i="9" s="1"/>
  <c r="AI470" i="9" s="1"/>
  <c r="AU494" i="9"/>
  <c r="AJ494" i="9" s="1"/>
  <c r="AI494" i="9" s="1"/>
  <c r="AU518" i="9"/>
  <c r="AJ518" i="9" s="1"/>
  <c r="AI518" i="9" s="1"/>
  <c r="AU147" i="9"/>
  <c r="AU155" i="9"/>
  <c r="AU163" i="9"/>
  <c r="AU171" i="9"/>
  <c r="AU179" i="9"/>
  <c r="AU227" i="9"/>
  <c r="AU235" i="9"/>
  <c r="AU243" i="9"/>
  <c r="AU251" i="9"/>
  <c r="AU259" i="9"/>
  <c r="AJ259" i="9" s="1"/>
  <c r="AI259" i="9" s="1"/>
  <c r="AU267" i="9"/>
  <c r="AU275" i="9"/>
  <c r="AU283" i="9"/>
  <c r="AU291" i="9"/>
  <c r="AJ291" i="9" s="1"/>
  <c r="AI291" i="9" s="1"/>
  <c r="AU299" i="9"/>
  <c r="AJ299" i="9" s="1"/>
  <c r="AI299" i="9" s="1"/>
  <c r="AU307" i="9"/>
  <c r="AJ307" i="9" s="1"/>
  <c r="AI307" i="9" s="1"/>
  <c r="AU315" i="9"/>
  <c r="AU323" i="9"/>
  <c r="AU447" i="9"/>
  <c r="AU455" i="9"/>
  <c r="AU463" i="9"/>
  <c r="AJ463" i="9" s="1"/>
  <c r="AI463" i="9" s="1"/>
  <c r="AU471" i="9"/>
  <c r="AJ471" i="9" s="1"/>
  <c r="AI471" i="9" s="1"/>
  <c r="AU479" i="9"/>
  <c r="AJ479" i="9" s="1"/>
  <c r="AI479" i="9" s="1"/>
  <c r="AU487" i="9"/>
  <c r="AJ487" i="9" s="1"/>
  <c r="AI487" i="9" s="1"/>
  <c r="AU495" i="9"/>
  <c r="AU503" i="9"/>
  <c r="AU511" i="9"/>
  <c r="AJ511" i="9" s="1"/>
  <c r="AI511" i="9" s="1"/>
  <c r="AU519" i="9"/>
  <c r="AU527" i="9"/>
  <c r="AJ527" i="9" s="1"/>
  <c r="AI527" i="9" s="1"/>
  <c r="AU535" i="9"/>
  <c r="AJ535" i="9" s="1"/>
  <c r="AI535" i="9" s="1"/>
  <c r="AU543" i="9"/>
  <c r="AJ543" i="9" s="1"/>
  <c r="AI543" i="9" s="1"/>
  <c r="AU149" i="9"/>
  <c r="AU172" i="9"/>
  <c r="AU230" i="9"/>
  <c r="AU253" i="9"/>
  <c r="AJ253" i="9" s="1"/>
  <c r="AI253" i="9" s="1"/>
  <c r="AU276" i="9"/>
  <c r="AU294" i="9"/>
  <c r="AU317" i="9"/>
  <c r="AJ317" i="9" s="1"/>
  <c r="AI317" i="9" s="1"/>
  <c r="AU465" i="9"/>
  <c r="AU488" i="9"/>
  <c r="AJ488" i="9" s="1"/>
  <c r="AI488" i="9" s="1"/>
  <c r="AU506" i="9"/>
  <c r="AU529" i="9"/>
  <c r="AU238" i="9"/>
  <c r="AU302" i="9"/>
  <c r="AU514" i="9"/>
  <c r="AJ514" i="9" s="1"/>
  <c r="AI514" i="9" s="1"/>
  <c r="AU158" i="9"/>
  <c r="AU262" i="9"/>
  <c r="AU497" i="9"/>
  <c r="AU505" i="9"/>
  <c r="AU150" i="9"/>
  <c r="AU173" i="9"/>
  <c r="AU236" i="9"/>
  <c r="AU254" i="9"/>
  <c r="AU277" i="9"/>
  <c r="AU300" i="9"/>
  <c r="AJ300" i="9" s="1"/>
  <c r="AI300" i="9" s="1"/>
  <c r="AU318" i="9"/>
  <c r="AU448" i="9"/>
  <c r="AU466" i="9"/>
  <c r="AU489" i="9"/>
  <c r="AU512" i="9"/>
  <c r="AU530" i="9"/>
  <c r="AU180" i="9"/>
  <c r="AU284" i="9"/>
  <c r="AU473" i="9"/>
  <c r="AJ473" i="9" s="1"/>
  <c r="AI473" i="9" s="1"/>
  <c r="AU537" i="9"/>
  <c r="AU181" i="9"/>
  <c r="AU285" i="9"/>
  <c r="AU474" i="9"/>
  <c r="AU538" i="9"/>
  <c r="AU316" i="9"/>
  <c r="AU482" i="9"/>
  <c r="AU156" i="9"/>
  <c r="AU174" i="9"/>
  <c r="AU237" i="9"/>
  <c r="AU260" i="9"/>
  <c r="AJ260" i="9" s="1"/>
  <c r="AI260" i="9" s="1"/>
  <c r="AU278" i="9"/>
  <c r="AU301" i="9"/>
  <c r="AJ301" i="9" s="1"/>
  <c r="AI301" i="9" s="1"/>
  <c r="AU324" i="9"/>
  <c r="AJ324" i="9" s="1"/>
  <c r="AI324" i="9" s="1"/>
  <c r="AU449" i="9"/>
  <c r="AJ449" i="9" s="1"/>
  <c r="AI449" i="9" s="1"/>
  <c r="AU472" i="9"/>
  <c r="AU490" i="9"/>
  <c r="AU513" i="9"/>
  <c r="AU536" i="9"/>
  <c r="AU157" i="9"/>
  <c r="AU261" i="9"/>
  <c r="AU450" i="9"/>
  <c r="AJ450" i="9" s="1"/>
  <c r="AI450" i="9" s="1"/>
  <c r="AU496" i="9"/>
  <c r="AJ496" i="9" s="1"/>
  <c r="AI496" i="9" s="1"/>
  <c r="AU244" i="9"/>
  <c r="AU308" i="9"/>
  <c r="AU456" i="9"/>
  <c r="AJ456" i="9" s="1"/>
  <c r="AI456" i="9" s="1"/>
  <c r="AU520" i="9"/>
  <c r="AU464" i="9"/>
  <c r="AJ464" i="9" s="1"/>
  <c r="AI464" i="9" s="1"/>
  <c r="AU164" i="9"/>
  <c r="AU182" i="9"/>
  <c r="AU245" i="9"/>
  <c r="AU268" i="9"/>
  <c r="AU286" i="9"/>
  <c r="AU309" i="9"/>
  <c r="AU457" i="9"/>
  <c r="AU480" i="9"/>
  <c r="AU498" i="9"/>
  <c r="AJ498" i="9" s="1"/>
  <c r="AI498" i="9" s="1"/>
  <c r="AU521" i="9"/>
  <c r="AJ521" i="9" s="1"/>
  <c r="AI521" i="9" s="1"/>
  <c r="AU542" i="9"/>
  <c r="AU165" i="9"/>
  <c r="AU228" i="9"/>
  <c r="AU246" i="9"/>
  <c r="AU269" i="9"/>
  <c r="AU292" i="9"/>
  <c r="AU310" i="9"/>
  <c r="AJ310" i="9" s="1"/>
  <c r="AI310" i="9" s="1"/>
  <c r="AU458" i="9"/>
  <c r="AJ458" i="9" s="1"/>
  <c r="AI458" i="9" s="1"/>
  <c r="AU481" i="9"/>
  <c r="AU504" i="9"/>
  <c r="AJ504" i="9" s="1"/>
  <c r="AI504" i="9" s="1"/>
  <c r="AU522" i="9"/>
  <c r="AJ522" i="9" s="1"/>
  <c r="AI522" i="9" s="1"/>
  <c r="AU544" i="9"/>
  <c r="AJ544" i="9" s="1"/>
  <c r="AI544" i="9" s="1"/>
  <c r="AU148" i="9"/>
  <c r="AU166" i="9"/>
  <c r="AU229" i="9"/>
  <c r="AU252" i="9"/>
  <c r="AU270" i="9"/>
  <c r="AU293" i="9"/>
  <c r="AU528" i="9"/>
  <c r="AU87" i="9"/>
  <c r="AU95" i="9"/>
  <c r="AU103" i="9"/>
  <c r="AU111" i="9"/>
  <c r="AU119" i="9"/>
  <c r="AU411" i="9"/>
  <c r="AU419" i="9"/>
  <c r="AU106" i="9"/>
  <c r="AU406" i="9"/>
  <c r="AU88" i="9"/>
  <c r="AU96" i="9"/>
  <c r="AU104" i="9"/>
  <c r="AU112" i="9"/>
  <c r="AU120" i="9"/>
  <c r="AU412" i="9"/>
  <c r="AU420" i="9"/>
  <c r="AU98" i="9"/>
  <c r="AU122" i="9"/>
  <c r="AU422" i="9"/>
  <c r="AU89" i="9"/>
  <c r="AU97" i="9"/>
  <c r="AU105" i="9"/>
  <c r="AU113" i="9"/>
  <c r="AU121" i="9"/>
  <c r="AU405" i="9"/>
  <c r="AU413" i="9"/>
  <c r="AU421" i="9"/>
  <c r="AU90" i="9"/>
  <c r="AU114" i="9"/>
  <c r="AU414" i="9"/>
  <c r="AU91" i="9"/>
  <c r="AU99" i="9"/>
  <c r="AU107" i="9"/>
  <c r="AU115" i="9"/>
  <c r="AU123" i="9"/>
  <c r="AU407" i="9"/>
  <c r="AU415" i="9"/>
  <c r="AU423" i="9"/>
  <c r="AU85" i="9"/>
  <c r="AU108" i="9"/>
  <c r="AU424" i="9"/>
  <c r="AU94" i="9"/>
  <c r="AU86" i="9"/>
  <c r="AU109" i="9"/>
  <c r="AU116" i="9"/>
  <c r="AU117" i="9"/>
  <c r="AU410" i="9"/>
  <c r="AJ410" i="9" s="1"/>
  <c r="AI410" i="9" s="1"/>
  <c r="AU92" i="9"/>
  <c r="AU110" i="9"/>
  <c r="AU408" i="9"/>
  <c r="AU93" i="9"/>
  <c r="AU409" i="9"/>
  <c r="AU100" i="9"/>
  <c r="AU118" i="9"/>
  <c r="AU416" i="9"/>
  <c r="AU101" i="9"/>
  <c r="AU124" i="9"/>
  <c r="AU417" i="9"/>
  <c r="AU102" i="9"/>
  <c r="AU418" i="9"/>
  <c r="AJ418" i="9" s="1"/>
  <c r="AI418" i="9" s="1"/>
  <c r="AU351" i="9"/>
  <c r="AU359" i="9"/>
  <c r="AU387" i="9"/>
  <c r="AU395" i="9"/>
  <c r="AU403" i="9"/>
  <c r="AJ403" i="9" s="1"/>
  <c r="AI403" i="9" s="1"/>
  <c r="AU427" i="9"/>
  <c r="AU430" i="9"/>
  <c r="AU352" i="9"/>
  <c r="AU360" i="9"/>
  <c r="AU388" i="9"/>
  <c r="AU396" i="9"/>
  <c r="AU404" i="9"/>
  <c r="AU428" i="9"/>
  <c r="AJ428" i="9" s="1"/>
  <c r="AI428" i="9" s="1"/>
  <c r="AU354" i="9"/>
  <c r="AU345" i="9"/>
  <c r="AU353" i="9"/>
  <c r="AU361" i="9"/>
  <c r="AU389" i="9"/>
  <c r="AU397" i="9"/>
  <c r="AU429" i="9"/>
  <c r="AJ429" i="9" s="1"/>
  <c r="AI429" i="9" s="1"/>
  <c r="AU346" i="9"/>
  <c r="AU362" i="9"/>
  <c r="AU390" i="9"/>
  <c r="AU398" i="9"/>
  <c r="AU347" i="9"/>
  <c r="AJ347" i="9" s="1"/>
  <c r="AI347" i="9" s="1"/>
  <c r="AU355" i="9"/>
  <c r="AJ355" i="9" s="1"/>
  <c r="AI355" i="9" s="1"/>
  <c r="AU363" i="9"/>
  <c r="AU391" i="9"/>
  <c r="AJ391" i="9" s="1"/>
  <c r="AI391" i="9" s="1"/>
  <c r="AU399" i="9"/>
  <c r="AJ399" i="9" s="1"/>
  <c r="AI399" i="9" s="1"/>
  <c r="AU431" i="9"/>
  <c r="AU358" i="9"/>
  <c r="AU401" i="9"/>
  <c r="AU364" i="9"/>
  <c r="AU402" i="9"/>
  <c r="AU425" i="9"/>
  <c r="AU348" i="9"/>
  <c r="AU349" i="9"/>
  <c r="AU385" i="9"/>
  <c r="AJ385" i="9" s="1"/>
  <c r="AI385" i="9" s="1"/>
  <c r="AU426" i="9"/>
  <c r="AU386" i="9"/>
  <c r="AU392" i="9"/>
  <c r="AU357" i="9"/>
  <c r="AU350" i="9"/>
  <c r="AU393" i="9"/>
  <c r="AU356" i="9"/>
  <c r="AU394" i="9"/>
  <c r="AU400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J261" i="9" l="1"/>
  <c r="AI261" i="9" s="1"/>
  <c r="AJ199" i="9"/>
  <c r="AI199" i="9" s="1"/>
  <c r="AJ285" i="9"/>
  <c r="AI285" i="9" s="1"/>
  <c r="AJ405" i="9"/>
  <c r="AI405" i="9" s="1"/>
  <c r="AJ329" i="9"/>
  <c r="AI329" i="9" s="1"/>
  <c r="AJ328" i="9"/>
  <c r="AI328" i="9" s="1"/>
  <c r="AJ224" i="9"/>
  <c r="AI224" i="9" s="1"/>
  <c r="AJ485" i="9"/>
  <c r="AI485" i="9" s="1"/>
  <c r="AJ256" i="9"/>
  <c r="AI256" i="9" s="1"/>
  <c r="AJ248" i="9"/>
  <c r="AI248" i="9" s="1"/>
  <c r="AJ264" i="9"/>
  <c r="AI264" i="9" s="1"/>
  <c r="AJ249" i="9"/>
  <c r="AI249" i="9" s="1"/>
  <c r="AJ247" i="9"/>
  <c r="AI247" i="9" s="1"/>
  <c r="AJ262" i="9"/>
  <c r="AI262" i="9" s="1"/>
  <c r="AJ246" i="9"/>
  <c r="AI246" i="9" s="1"/>
  <c r="AJ250" i="9"/>
  <c r="AI250" i="9" s="1"/>
  <c r="AJ251" i="9"/>
  <c r="AI251" i="9" s="1"/>
  <c r="AJ258" i="9"/>
  <c r="AI258" i="9" s="1"/>
  <c r="AJ252" i="9"/>
  <c r="AI252" i="9" s="1"/>
  <c r="AJ254" i="9"/>
  <c r="AI254" i="9" s="1"/>
  <c r="AJ341" i="9"/>
  <c r="AI341" i="9" s="1"/>
  <c r="AJ340" i="9"/>
  <c r="AI340" i="9" s="1"/>
  <c r="AJ387" i="9"/>
  <c r="AI387" i="9" s="1"/>
  <c r="AJ401" i="9"/>
  <c r="AI401" i="9" s="1"/>
  <c r="AJ353" i="9"/>
  <c r="AI353" i="9" s="1"/>
  <c r="AJ352" i="9"/>
  <c r="AI352" i="9" s="1"/>
  <c r="AJ404" i="9"/>
  <c r="AI404" i="9" s="1"/>
  <c r="AJ420" i="9"/>
  <c r="AI420" i="9" s="1"/>
  <c r="AJ331" i="9"/>
  <c r="AI331" i="9" s="1"/>
  <c r="AJ205" i="9"/>
  <c r="AI205" i="9" s="1"/>
  <c r="AJ343" i="9"/>
  <c r="AI343" i="9" s="1"/>
  <c r="AJ397" i="9"/>
  <c r="AI397" i="9" s="1"/>
  <c r="AJ396" i="9"/>
  <c r="AI396" i="9" s="1"/>
  <c r="AJ416" i="9"/>
  <c r="AI416" i="9" s="1"/>
  <c r="AJ305" i="9"/>
  <c r="AI305" i="9" s="1"/>
  <c r="AJ185" i="9"/>
  <c r="AI185" i="9" s="1"/>
  <c r="AJ406" i="9"/>
  <c r="AI406" i="9" s="1"/>
  <c r="AJ339" i="9"/>
  <c r="AI339" i="9" s="1"/>
  <c r="AJ245" i="9"/>
  <c r="AI245" i="9" s="1"/>
  <c r="AJ342" i="9"/>
  <c r="AI342" i="9" s="1"/>
  <c r="AJ424" i="9"/>
  <c r="AI424" i="9" s="1"/>
  <c r="AJ219" i="9"/>
  <c r="AI219" i="9" s="1"/>
  <c r="AJ386" i="9"/>
  <c r="AI386" i="9" s="1"/>
  <c r="AJ393" i="9"/>
  <c r="AI393" i="9" s="1"/>
  <c r="AJ395" i="9"/>
  <c r="AI395" i="9" s="1"/>
  <c r="AJ505" i="9"/>
  <c r="AI505" i="9" s="1"/>
  <c r="AJ223" i="9"/>
  <c r="AI223" i="9" s="1"/>
  <c r="AJ357" i="9"/>
  <c r="AI357" i="9" s="1"/>
  <c r="AJ359" i="9"/>
  <c r="AI359" i="9" s="1"/>
  <c r="AJ414" i="9"/>
  <c r="AI414" i="9" s="1"/>
  <c r="AJ218" i="9"/>
  <c r="AI218" i="9" s="1"/>
  <c r="AJ407" i="9"/>
  <c r="AI407" i="9" s="1"/>
  <c r="AJ220" i="9"/>
  <c r="AI220" i="9" s="1"/>
  <c r="AJ222" i="9"/>
  <c r="AI222" i="9" s="1"/>
  <c r="AJ409" i="9"/>
  <c r="AI409" i="9" s="1"/>
  <c r="AJ203" i="9"/>
  <c r="AI203" i="9" s="1"/>
  <c r="AJ362" i="9"/>
  <c r="AI362" i="9" s="1"/>
  <c r="AJ427" i="9"/>
  <c r="AI427" i="9" s="1"/>
  <c r="AJ408" i="9"/>
  <c r="AI408" i="9" s="1"/>
  <c r="AJ536" i="9"/>
  <c r="AI536" i="9" s="1"/>
  <c r="AJ447" i="9"/>
  <c r="AI447" i="9" s="1"/>
  <c r="AJ290" i="9"/>
  <c r="AI290" i="9" s="1"/>
  <c r="AJ435" i="9"/>
  <c r="AI435" i="9" s="1"/>
  <c r="AJ208" i="9"/>
  <c r="AI208" i="9" s="1"/>
  <c r="AJ349" i="9"/>
  <c r="AI349" i="9" s="1"/>
  <c r="AJ309" i="9"/>
  <c r="AI309" i="9" s="1"/>
  <c r="AJ513" i="9"/>
  <c r="AI513" i="9" s="1"/>
  <c r="AJ466" i="9"/>
  <c r="AI466" i="9" s="1"/>
  <c r="AJ529" i="9"/>
  <c r="AI529" i="9" s="1"/>
  <c r="AJ323" i="9"/>
  <c r="AI323" i="9" s="1"/>
  <c r="AJ308" i="9"/>
  <c r="AI308" i="9" s="1"/>
  <c r="AJ490" i="9"/>
  <c r="AI490" i="9" s="1"/>
  <c r="AJ350" i="9"/>
  <c r="AI350" i="9" s="1"/>
  <c r="AJ425" i="9"/>
  <c r="AI425" i="9" s="1"/>
  <c r="AJ363" i="9"/>
  <c r="AI363" i="9" s="1"/>
  <c r="AJ412" i="9"/>
  <c r="AI412" i="9" s="1"/>
  <c r="AJ419" i="9"/>
  <c r="AI419" i="9" s="1"/>
  <c r="AJ293" i="9"/>
  <c r="AI293" i="9" s="1"/>
  <c r="AJ472" i="9"/>
  <c r="AI472" i="9" s="1"/>
  <c r="AJ318" i="9"/>
  <c r="AI318" i="9" s="1"/>
  <c r="AJ497" i="9"/>
  <c r="AI497" i="9" s="1"/>
  <c r="AJ534" i="9"/>
  <c r="AI534" i="9" s="1"/>
  <c r="AJ526" i="9"/>
  <c r="AI526" i="9" s="1"/>
  <c r="AJ491" i="9"/>
  <c r="AI491" i="9" s="1"/>
  <c r="AJ303" i="9"/>
  <c r="AI303" i="9" s="1"/>
  <c r="AJ325" i="9"/>
  <c r="AI325" i="9" s="1"/>
  <c r="AJ432" i="9"/>
  <c r="AI432" i="9" s="1"/>
  <c r="AJ327" i="9"/>
  <c r="AI327" i="9" s="1"/>
  <c r="AJ186" i="9"/>
  <c r="AI186" i="9" s="1"/>
  <c r="AJ520" i="9"/>
  <c r="AI520" i="9" s="1"/>
  <c r="AJ460" i="9"/>
  <c r="AI460" i="9" s="1"/>
  <c r="AJ439" i="9"/>
  <c r="AI439" i="9" s="1"/>
  <c r="AJ501" i="9"/>
  <c r="AI501" i="9" s="1"/>
  <c r="AJ321" i="9"/>
  <c r="AI321" i="9" s="1"/>
  <c r="AJ348" i="9"/>
  <c r="AI348" i="9" s="1"/>
  <c r="AJ493" i="9"/>
  <c r="AI493" i="9" s="1"/>
  <c r="AJ320" i="9"/>
  <c r="AI320" i="9" s="1"/>
  <c r="AJ311" i="9"/>
  <c r="AI311" i="9" s="1"/>
  <c r="AJ441" i="9"/>
  <c r="AI441" i="9" s="1"/>
  <c r="AJ335" i="9"/>
  <c r="AI335" i="9" s="1"/>
  <c r="AJ200" i="9"/>
  <c r="AI200" i="9" s="1"/>
  <c r="AJ402" i="9"/>
  <c r="AI402" i="9" s="1"/>
  <c r="AJ423" i="9"/>
  <c r="AI423" i="9" s="1"/>
  <c r="AJ542" i="9"/>
  <c r="AI542" i="9" s="1"/>
  <c r="AJ482" i="9"/>
  <c r="AI482" i="9" s="1"/>
  <c r="AJ413" i="9"/>
  <c r="AI413" i="9" s="1"/>
  <c r="AJ457" i="9"/>
  <c r="AI457" i="9" s="1"/>
  <c r="AJ356" i="9"/>
  <c r="AI356" i="9" s="1"/>
  <c r="AJ346" i="9"/>
  <c r="AI346" i="9" s="1"/>
  <c r="AJ210" i="9"/>
  <c r="AI210" i="9" s="1"/>
  <c r="AJ213" i="9"/>
  <c r="AI213" i="9" s="1"/>
  <c r="AJ528" i="9"/>
  <c r="AI528" i="9" s="1"/>
  <c r="AJ286" i="9"/>
  <c r="AI286" i="9" s="1"/>
  <c r="AJ537" i="9"/>
  <c r="AI537" i="9" s="1"/>
  <c r="AJ448" i="9"/>
  <c r="AI448" i="9" s="1"/>
  <c r="AJ506" i="9"/>
  <c r="AI506" i="9" s="1"/>
  <c r="AJ495" i="9"/>
  <c r="AI495" i="9" s="1"/>
  <c r="AJ315" i="9"/>
  <c r="AI315" i="9" s="1"/>
  <c r="AJ499" i="9"/>
  <c r="AI499" i="9" s="1"/>
  <c r="AJ326" i="9"/>
  <c r="AI326" i="9" s="1"/>
  <c r="AJ197" i="9"/>
  <c r="AI197" i="9" s="1"/>
  <c r="AJ389" i="9"/>
  <c r="AI389" i="9" s="1"/>
  <c r="AJ388" i="9"/>
  <c r="AI388" i="9" s="1"/>
  <c r="AJ411" i="9"/>
  <c r="AI411" i="9" s="1"/>
  <c r="AJ481" i="9"/>
  <c r="AI481" i="9" s="1"/>
  <c r="AJ465" i="9"/>
  <c r="AI465" i="9" s="1"/>
  <c r="AJ477" i="9"/>
  <c r="AI477" i="9" s="1"/>
  <c r="AJ330" i="9"/>
  <c r="AI330" i="9" s="1"/>
  <c r="AJ194" i="9"/>
  <c r="AI194" i="9" s="1"/>
  <c r="AJ392" i="9"/>
  <c r="AI392" i="9" s="1"/>
  <c r="AJ364" i="9"/>
  <c r="AI364" i="9" s="1"/>
  <c r="AJ361" i="9"/>
  <c r="AI361" i="9" s="1"/>
  <c r="AJ360" i="9"/>
  <c r="AI360" i="9" s="1"/>
  <c r="AJ351" i="9"/>
  <c r="AI351" i="9" s="1"/>
  <c r="AJ415" i="9"/>
  <c r="AI415" i="9" s="1"/>
  <c r="AJ316" i="9"/>
  <c r="AI316" i="9" s="1"/>
  <c r="AJ539" i="9"/>
  <c r="AI539" i="9" s="1"/>
  <c r="AJ475" i="9"/>
  <c r="AI475" i="9" s="1"/>
  <c r="AJ287" i="9"/>
  <c r="AI287" i="9" s="1"/>
  <c r="AJ333" i="9"/>
  <c r="AI333" i="9" s="1"/>
  <c r="AJ338" i="9"/>
  <c r="AI338" i="9" s="1"/>
  <c r="AJ202" i="9"/>
  <c r="AI202" i="9" s="1"/>
  <c r="AJ201" i="9"/>
  <c r="AI201" i="9" s="1"/>
  <c r="AJ214" i="9"/>
  <c r="AI214" i="9" s="1"/>
  <c r="AJ217" i="9"/>
  <c r="AI217" i="9" s="1"/>
  <c r="AJ394" i="9"/>
  <c r="AI394" i="9" s="1"/>
  <c r="AJ431" i="9"/>
  <c r="AI431" i="9" s="1"/>
  <c r="AJ354" i="9"/>
  <c r="AI354" i="9" s="1"/>
  <c r="AJ417" i="9"/>
  <c r="AI417" i="9" s="1"/>
  <c r="AJ489" i="9"/>
  <c r="AI489" i="9" s="1"/>
  <c r="AJ509" i="9"/>
  <c r="AI509" i="9" s="1"/>
  <c r="AJ306" i="9"/>
  <c r="AI306" i="9" s="1"/>
  <c r="AJ515" i="9"/>
  <c r="AI515" i="9" s="1"/>
  <c r="AJ451" i="9"/>
  <c r="AI451" i="9" s="1"/>
  <c r="AJ337" i="9"/>
  <c r="AI337" i="9" s="1"/>
  <c r="AJ503" i="9"/>
  <c r="AI503" i="9" s="1"/>
  <c r="AJ398" i="9"/>
  <c r="AI398" i="9" s="1"/>
  <c r="AJ538" i="9"/>
  <c r="AI538" i="9" s="1"/>
  <c r="AJ530" i="9"/>
  <c r="AI530" i="9" s="1"/>
  <c r="AJ294" i="9"/>
  <c r="AI294" i="9" s="1"/>
  <c r="AJ525" i="9"/>
  <c r="AI525" i="9" s="1"/>
  <c r="AJ461" i="9"/>
  <c r="AI461" i="9" s="1"/>
  <c r="AJ192" i="9"/>
  <c r="AI192" i="9" s="1"/>
  <c r="AJ188" i="9"/>
  <c r="AI188" i="9" s="1"/>
  <c r="AJ400" i="9"/>
  <c r="AI400" i="9" s="1"/>
  <c r="AJ426" i="9"/>
  <c r="AI426" i="9" s="1"/>
  <c r="AJ358" i="9"/>
  <c r="AI358" i="9" s="1"/>
  <c r="AJ390" i="9"/>
  <c r="AI390" i="9" s="1"/>
  <c r="AJ345" i="9"/>
  <c r="AI345" i="9" s="1"/>
  <c r="AJ430" i="9"/>
  <c r="AI430" i="9" s="1"/>
  <c r="AJ421" i="9"/>
  <c r="AI421" i="9" s="1"/>
  <c r="AJ422" i="9"/>
  <c r="AI422" i="9" s="1"/>
  <c r="AJ292" i="9"/>
  <c r="AI292" i="9" s="1"/>
  <c r="AJ480" i="9"/>
  <c r="AI480" i="9" s="1"/>
  <c r="AJ474" i="9"/>
  <c r="AI474" i="9" s="1"/>
  <c r="AJ512" i="9"/>
  <c r="AI512" i="9" s="1"/>
  <c r="AJ302" i="9"/>
  <c r="AI302" i="9" s="1"/>
  <c r="AJ519" i="9"/>
  <c r="AI519" i="9" s="1"/>
  <c r="AJ455" i="9"/>
  <c r="AI455" i="9" s="1"/>
  <c r="AJ298" i="9"/>
  <c r="AI298" i="9" s="1"/>
  <c r="AJ517" i="9"/>
  <c r="AI517" i="9" s="1"/>
  <c r="AJ453" i="9"/>
  <c r="AI453" i="9" s="1"/>
  <c r="AJ446" i="9"/>
  <c r="AI446" i="9" s="1"/>
  <c r="AJ532" i="9"/>
  <c r="AI532" i="9" s="1"/>
  <c r="AJ468" i="9"/>
  <c r="AI468" i="9" s="1"/>
  <c r="AJ314" i="9"/>
  <c r="AI314" i="9" s="1"/>
  <c r="AJ523" i="9"/>
  <c r="AI523" i="9" s="1"/>
  <c r="AJ459" i="9"/>
  <c r="AI459" i="9" s="1"/>
  <c r="AJ434" i="9"/>
  <c r="AI434" i="9" s="1"/>
  <c r="AJ437" i="9"/>
  <c r="AI437" i="9" s="1"/>
  <c r="AJ344" i="9"/>
  <c r="AI344" i="9" s="1"/>
  <c r="AJ443" i="9"/>
  <c r="AI443" i="9" s="1"/>
  <c r="AJ382" i="9"/>
  <c r="AI382" i="9" s="1"/>
  <c r="AK429" i="9"/>
  <c r="AK508" i="9"/>
  <c r="AK381" i="9"/>
  <c r="AK216" i="9"/>
  <c r="AK385" i="9"/>
  <c r="AK285" i="9"/>
  <c r="AK313" i="9"/>
  <c r="AK450" i="9"/>
  <c r="AK301" i="9"/>
  <c r="AK544" i="9"/>
  <c r="AK300" i="9"/>
  <c r="AK511" i="9"/>
  <c r="AK484" i="9"/>
  <c r="AK296" i="9"/>
  <c r="AK380" i="9"/>
  <c r="AK191" i="9"/>
  <c r="AK196" i="9"/>
  <c r="AK212" i="9"/>
  <c r="AK445" i="9"/>
  <c r="AK384" i="9"/>
  <c r="AK207" i="9"/>
  <c r="AK488" i="9"/>
  <c r="AK522" i="9"/>
  <c r="AK471" i="9"/>
  <c r="AK470" i="9"/>
  <c r="AK487" i="9"/>
  <c r="AK297" i="9"/>
  <c r="AK479" i="9"/>
  <c r="AK464" i="9"/>
  <c r="AK463" i="9"/>
  <c r="AK541" i="9"/>
  <c r="AK289" i="9"/>
  <c r="AK190" i="9"/>
  <c r="A318" i="9"/>
  <c r="AK260" i="9"/>
  <c r="AK261" i="9"/>
  <c r="AS262" i="9"/>
  <c r="AS246" i="9"/>
  <c r="AS254" i="9"/>
  <c r="AS260" i="9"/>
  <c r="A425" i="9"/>
  <c r="A409" i="9"/>
  <c r="A36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73" i="9"/>
  <c r="AS249" i="9"/>
  <c r="AS255" i="9"/>
  <c r="AS259" i="9"/>
  <c r="A489" i="9"/>
  <c r="A300" i="9"/>
  <c r="A537" i="9"/>
  <c r="A317" i="9"/>
  <c r="A490" i="9"/>
  <c r="A513" i="9"/>
  <c r="A381" i="9"/>
  <c r="A359" i="9"/>
  <c r="A385" i="9"/>
  <c r="A34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24" i="9"/>
  <c r="A500" i="9"/>
  <c r="A476" i="9"/>
  <c r="A460" i="9"/>
  <c r="A444" i="9"/>
  <c r="A420" i="9"/>
  <c r="A396" i="9"/>
  <c r="A384" i="9"/>
  <c r="A360" i="9"/>
  <c r="A344" i="9"/>
  <c r="A320" i="9"/>
  <c r="A499" i="9"/>
  <c r="A475" i="9"/>
  <c r="A451" i="9"/>
  <c r="A427" i="9"/>
  <c r="A387" i="9"/>
  <c r="A383" i="9"/>
  <c r="A327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40" i="9"/>
  <c r="A516" i="9"/>
  <c r="A492" i="9"/>
  <c r="A468" i="9"/>
  <c r="A436" i="9"/>
  <c r="A404" i="9"/>
  <c r="A388" i="9"/>
  <c r="A376" i="9"/>
  <c r="A352" i="9"/>
  <c r="A328" i="9"/>
  <c r="A523" i="9"/>
  <c r="A483" i="9"/>
  <c r="A459" i="9"/>
  <c r="A419" i="9"/>
  <c r="A395" i="9"/>
  <c r="A375" i="9"/>
  <c r="A343" i="9"/>
  <c r="A311" i="9"/>
  <c r="A532" i="9"/>
  <c r="A508" i="9"/>
  <c r="A484" i="9"/>
  <c r="A452" i="9"/>
  <c r="A428" i="9"/>
  <c r="A412" i="9"/>
  <c r="A368" i="9"/>
  <c r="A336" i="9"/>
  <c r="A312" i="9"/>
  <c r="A539" i="9"/>
  <c r="A515" i="9"/>
  <c r="A491" i="9"/>
  <c r="A435" i="9"/>
  <c r="A411" i="9"/>
  <c r="A367" i="9"/>
  <c r="A351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35" i="9"/>
  <c r="A511" i="9"/>
  <c r="A487" i="9"/>
  <c r="A463" i="9"/>
  <c r="A423" i="9"/>
  <c r="A399" i="9"/>
  <c r="A379" i="9"/>
  <c r="A355" i="9"/>
  <c r="A331" i="9"/>
  <c r="A307" i="9"/>
  <c r="A526" i="9"/>
  <c r="A502" i="9"/>
  <c r="A478" i="9"/>
  <c r="A454" i="9"/>
  <c r="A430" i="9"/>
  <c r="A406" i="9"/>
  <c r="A362" i="9"/>
  <c r="A330" i="9"/>
  <c r="A314" i="9"/>
  <c r="A543" i="9"/>
  <c r="A527" i="9"/>
  <c r="A503" i="9"/>
  <c r="A471" i="9"/>
  <c r="A455" i="9"/>
  <c r="A439" i="9"/>
  <c r="A407" i="9"/>
  <c r="A371" i="9"/>
  <c r="A347" i="9"/>
  <c r="A323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19" i="9"/>
  <c r="A495" i="9"/>
  <c r="A479" i="9"/>
  <c r="A447" i="9"/>
  <c r="A431" i="9"/>
  <c r="A415" i="9"/>
  <c r="A391" i="9"/>
  <c r="A363" i="9"/>
  <c r="A339" i="9"/>
  <c r="A315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AK468" i="9" l="1"/>
  <c r="AK194" i="9"/>
  <c r="AK320" i="9"/>
  <c r="AK533" i="9"/>
  <c r="AK391" i="9"/>
  <c r="AK215" i="9"/>
  <c r="AK528" i="9"/>
  <c r="AK543" i="9"/>
  <c r="AK494" i="9"/>
  <c r="AK319" i="9"/>
  <c r="AK208" i="9"/>
  <c r="AK204" i="9"/>
  <c r="AK485" i="9"/>
  <c r="AK446" i="9"/>
  <c r="AK531" i="9"/>
  <c r="AK510" i="9"/>
  <c r="AK478" i="9"/>
  <c r="AK499" i="9"/>
  <c r="AK348" i="9"/>
  <c r="AK433" i="9"/>
  <c r="AK472" i="9"/>
  <c r="AK308" i="9"/>
  <c r="AK436" i="9"/>
  <c r="AK410" i="9"/>
  <c r="AK224" i="9"/>
  <c r="AK383" i="9"/>
  <c r="AK516" i="9"/>
  <c r="AK198" i="9"/>
  <c r="AK187" i="9"/>
  <c r="AK444" i="9"/>
  <c r="AK307" i="9"/>
  <c r="AK454" i="9"/>
  <c r="AK211" i="9"/>
  <c r="AK291" i="9"/>
  <c r="AK340" i="9"/>
  <c r="AK263" i="9"/>
  <c r="AK518" i="9"/>
  <c r="AK399" i="9"/>
  <c r="AK419" i="9"/>
  <c r="AK221" i="9"/>
  <c r="AK332" i="9"/>
  <c r="AK459" i="9"/>
  <c r="AK298" i="9"/>
  <c r="AK189" i="9"/>
  <c r="AK504" i="9"/>
  <c r="AK355" i="9"/>
  <c r="AK334" i="9"/>
  <c r="AK411" i="9"/>
  <c r="AK507" i="9"/>
  <c r="AK356" i="9"/>
  <c r="AK335" i="9"/>
  <c r="AK440" i="9"/>
  <c r="AK492" i="9"/>
  <c r="AK467" i="9"/>
  <c r="AK536" i="9"/>
  <c r="AK185" i="9"/>
  <c r="AK255" i="9"/>
  <c r="AK405" i="9"/>
  <c r="AK540" i="9"/>
  <c r="AK498" i="9"/>
  <c r="AK256" i="9"/>
  <c r="AK295" i="9"/>
  <c r="AK489" i="9"/>
  <c r="AK403" i="9"/>
  <c r="AK205" i="9"/>
  <c r="AK292" i="9"/>
  <c r="AK418" i="9"/>
  <c r="AK347" i="9"/>
  <c r="AK304" i="9"/>
  <c r="AK524" i="9"/>
  <c r="AK456" i="9"/>
  <c r="AK193" i="9"/>
  <c r="AK337" i="9"/>
  <c r="AK288" i="9"/>
  <c r="AK449" i="9"/>
  <c r="AK457" i="9"/>
  <c r="AK442" i="9"/>
  <c r="AK527" i="9"/>
  <c r="AK514" i="9"/>
  <c r="AK404" i="9"/>
  <c r="AK253" i="9"/>
  <c r="AK264" i="9"/>
  <c r="AK345" i="9"/>
  <c r="AK483" i="9"/>
  <c r="AK512" i="9"/>
  <c r="AK438" i="9"/>
  <c r="AK322" i="9"/>
  <c r="AK324" i="9"/>
  <c r="AK434" i="9"/>
  <c r="AK496" i="9"/>
  <c r="AK501" i="9"/>
  <c r="AK314" i="9"/>
  <c r="AK519" i="9"/>
  <c r="AK430" i="9"/>
  <c r="AK462" i="9"/>
  <c r="AK451" i="9"/>
  <c r="AK476" i="9"/>
  <c r="AK311" i="9"/>
  <c r="AK521" i="9"/>
  <c r="AK535" i="9"/>
  <c r="AK425" i="9"/>
  <c r="AK310" i="9"/>
  <c r="AK428" i="9"/>
  <c r="AK258" i="9"/>
  <c r="AK406" i="9"/>
  <c r="AK486" i="9"/>
  <c r="AK481" i="9"/>
  <c r="AK259" i="9"/>
  <c r="AK257" i="9"/>
  <c r="AK329" i="9"/>
  <c r="AK248" i="9"/>
  <c r="AK330" i="9"/>
  <c r="AK254" i="9"/>
  <c r="AK328" i="9"/>
  <c r="AK342" i="9"/>
  <c r="AK202" i="9"/>
  <c r="AK416" i="9"/>
  <c r="AK247" i="9"/>
  <c r="AK359" i="9"/>
  <c r="AK353" i="9"/>
  <c r="AK262" i="9"/>
  <c r="AK401" i="9"/>
  <c r="AK387" i="9"/>
  <c r="AK250" i="9"/>
  <c r="AK393" i="9"/>
  <c r="AK252" i="9"/>
  <c r="AK251" i="9"/>
  <c r="AK246" i="9"/>
  <c r="AK249" i="9"/>
  <c r="AK386" i="9"/>
  <c r="AK339" i="9"/>
  <c r="AK532" i="9"/>
  <c r="AK219" i="9"/>
  <c r="AK245" i="9"/>
  <c r="AK424" i="9"/>
  <c r="AK290" i="9"/>
  <c r="AK421" i="9"/>
  <c r="AK389" i="9"/>
  <c r="AK420" i="9"/>
  <c r="AK414" i="9"/>
  <c r="AK397" i="9"/>
  <c r="AK362" i="9"/>
  <c r="AK343" i="9"/>
  <c r="AK344" i="9"/>
  <c r="AK206" i="9"/>
  <c r="AK390" i="9"/>
  <c r="AK336" i="9"/>
  <c r="AK542" i="9"/>
  <c r="AK426" i="9"/>
  <c r="AK539" i="9"/>
  <c r="AK455" i="9"/>
  <c r="AK354" i="9"/>
  <c r="AK287" i="9"/>
  <c r="AK394" i="9"/>
  <c r="AK210" i="9"/>
  <c r="AK323" i="9"/>
  <c r="AK326" i="9"/>
  <c r="AK303" i="9"/>
  <c r="AK493" i="9"/>
  <c r="AK491" i="9"/>
  <c r="AK448" i="9"/>
  <c r="AK302" i="9"/>
  <c r="AK413" i="9"/>
  <c r="AK361" i="9"/>
  <c r="AK327" i="9"/>
  <c r="AK529" i="9"/>
  <c r="AK197" i="9"/>
  <c r="AK417" i="9"/>
  <c r="AK338" i="9"/>
  <c r="AK214" i="9"/>
  <c r="AK294" i="9"/>
  <c r="AK408" i="9"/>
  <c r="AK358" i="9"/>
  <c r="AK402" i="9"/>
  <c r="AK201" i="9"/>
  <c r="AK523" i="9"/>
  <c r="AK453" i="9"/>
  <c r="AK443" i="9"/>
  <c r="AK497" i="9"/>
  <c r="AK482" i="9"/>
  <c r="AK321" i="9"/>
  <c r="AK223" i="9"/>
  <c r="AK534" i="9"/>
  <c r="AK477" i="9"/>
  <c r="AK318" i="9"/>
  <c r="AK422" i="9"/>
  <c r="AK218" i="9"/>
  <c r="AK350" i="9"/>
  <c r="AK517" i="9"/>
  <c r="AK200" i="9"/>
  <c r="AK325" i="9"/>
  <c r="AK441" i="9"/>
  <c r="AK480" i="9"/>
  <c r="AK286" i="9"/>
  <c r="AK299" i="9"/>
  <c r="AK460" i="9"/>
  <c r="AK364" i="9"/>
  <c r="AK363" i="9"/>
  <c r="AK409" i="9"/>
  <c r="AK509" i="9"/>
  <c r="AK213" i="9"/>
  <c r="AK435" i="9"/>
  <c r="AK475" i="9"/>
  <c r="AK357" i="9"/>
  <c r="AK530" i="9"/>
  <c r="AK309" i="9"/>
  <c r="AK439" i="9"/>
  <c r="AK515" i="9"/>
  <c r="AK186" i="9"/>
  <c r="AK427" i="9"/>
  <c r="AK538" i="9"/>
  <c r="AK351" i="9"/>
  <c r="AK432" i="9"/>
  <c r="AK316" i="9"/>
  <c r="AK431" i="9"/>
  <c r="AK395" i="9"/>
  <c r="AK537" i="9"/>
  <c r="AK452" i="9"/>
  <c r="AK490" i="9"/>
  <c r="AK195" i="9"/>
  <c r="AK500" i="9"/>
  <c r="AK458" i="9"/>
  <c r="AK349" i="9"/>
  <c r="AK461" i="9"/>
  <c r="AK209" i="9"/>
  <c r="AK188" i="9"/>
  <c r="AK495" i="9"/>
  <c r="AK360" i="9"/>
  <c r="AK400" i="9"/>
  <c r="AK315" i="9"/>
  <c r="AK513" i="9"/>
  <c r="AK312" i="9"/>
  <c r="AK473" i="9"/>
  <c r="AK382" i="9"/>
  <c r="AK474" i="9"/>
  <c r="AK423" i="9"/>
  <c r="AK317" i="9"/>
  <c r="AK437" i="9"/>
  <c r="AK503" i="9"/>
  <c r="AK469" i="9"/>
  <c r="AK520" i="9"/>
  <c r="AK502" i="9"/>
  <c r="AK447" i="9"/>
  <c r="AK346" i="9"/>
  <c r="AK293" i="9"/>
  <c r="AK192" i="9"/>
  <c r="AK352" i="9"/>
  <c r="AK525" i="9"/>
  <c r="AK526" i="9"/>
  <c r="AK412" i="9"/>
  <c r="AK305" i="9"/>
  <c r="AK306" i="9"/>
  <c r="AK398" i="9"/>
  <c r="AK333" i="9"/>
  <c r="AK220" i="9"/>
  <c r="AK407" i="9"/>
  <c r="AK217" i="9"/>
  <c r="AK199" i="9"/>
  <c r="AK506" i="9"/>
  <c r="AK505" i="9"/>
  <c r="AK396" i="9"/>
  <c r="AK222" i="9"/>
  <c r="AK388" i="9"/>
  <c r="AK331" i="9"/>
  <c r="AK465" i="9"/>
  <c r="AK466" i="9"/>
  <c r="AK415" i="9"/>
  <c r="AK203" i="9"/>
  <c r="AK392" i="9"/>
  <c r="AK341" i="9"/>
  <c r="C21" i="9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J284" i="9" s="1"/>
  <c r="AI284" i="9" s="1"/>
  <c r="AM284" i="9"/>
  <c r="F284" i="9"/>
  <c r="C284" i="9"/>
  <c r="BQ283" i="9"/>
  <c r="AJ283" i="9" s="1"/>
  <c r="AI283" i="9" s="1"/>
  <c r="AM283" i="9"/>
  <c r="F283" i="9"/>
  <c r="C283" i="9"/>
  <c r="BQ282" i="9"/>
  <c r="AJ282" i="9" s="1"/>
  <c r="AI282" i="9" s="1"/>
  <c r="AM282" i="9"/>
  <c r="F282" i="9"/>
  <c r="C282" i="9"/>
  <c r="BQ281" i="9"/>
  <c r="AJ281" i="9" s="1"/>
  <c r="AI281" i="9" s="1"/>
  <c r="AM281" i="9"/>
  <c r="F281" i="9"/>
  <c r="C281" i="9"/>
  <c r="BQ280" i="9"/>
  <c r="AJ280" i="9" s="1"/>
  <c r="AI280" i="9" s="1"/>
  <c r="AM280" i="9"/>
  <c r="F280" i="9"/>
  <c r="C280" i="9"/>
  <c r="BQ279" i="9"/>
  <c r="AJ279" i="9" s="1"/>
  <c r="AI279" i="9" s="1"/>
  <c r="AM279" i="9"/>
  <c r="F279" i="9"/>
  <c r="C279" i="9"/>
  <c r="BQ278" i="9"/>
  <c r="AJ278" i="9" s="1"/>
  <c r="AI278" i="9" s="1"/>
  <c r="AM278" i="9"/>
  <c r="F278" i="9"/>
  <c r="C278" i="9"/>
  <c r="BQ277" i="9"/>
  <c r="AJ277" i="9" s="1"/>
  <c r="AI277" i="9" s="1"/>
  <c r="AM277" i="9"/>
  <c r="F277" i="9"/>
  <c r="C277" i="9"/>
  <c r="BQ276" i="9"/>
  <c r="AJ276" i="9" s="1"/>
  <c r="AI276" i="9" s="1"/>
  <c r="AM276" i="9"/>
  <c r="F276" i="9"/>
  <c r="C276" i="9"/>
  <c r="BQ275" i="9"/>
  <c r="AJ275" i="9" s="1"/>
  <c r="AI275" i="9" s="1"/>
  <c r="AM275" i="9"/>
  <c r="F275" i="9"/>
  <c r="C275" i="9"/>
  <c r="BQ274" i="9"/>
  <c r="AJ274" i="9" s="1"/>
  <c r="AI274" i="9" s="1"/>
  <c r="AM274" i="9"/>
  <c r="F274" i="9"/>
  <c r="C274" i="9"/>
  <c r="BQ273" i="9"/>
  <c r="AJ273" i="9" s="1"/>
  <c r="AI273" i="9" s="1"/>
  <c r="AM273" i="9"/>
  <c r="F273" i="9"/>
  <c r="C273" i="9"/>
  <c r="BQ272" i="9"/>
  <c r="AJ272" i="9" s="1"/>
  <c r="AI272" i="9" s="1"/>
  <c r="AM272" i="9"/>
  <c r="F272" i="9"/>
  <c r="C272" i="9"/>
  <c r="BQ271" i="9"/>
  <c r="AJ271" i="9" s="1"/>
  <c r="AI271" i="9" s="1"/>
  <c r="AM271" i="9"/>
  <c r="F271" i="9"/>
  <c r="C271" i="9"/>
  <c r="BQ270" i="9"/>
  <c r="AJ270" i="9" s="1"/>
  <c r="AI270" i="9" s="1"/>
  <c r="AM270" i="9"/>
  <c r="F270" i="9"/>
  <c r="C270" i="9"/>
  <c r="BQ269" i="9"/>
  <c r="AJ269" i="9" s="1"/>
  <c r="AI269" i="9" s="1"/>
  <c r="AM269" i="9"/>
  <c r="F269" i="9"/>
  <c r="C269" i="9"/>
  <c r="BQ268" i="9"/>
  <c r="AJ268" i="9" s="1"/>
  <c r="AI268" i="9" s="1"/>
  <c r="AM268" i="9"/>
  <c r="F268" i="9"/>
  <c r="C268" i="9"/>
  <c r="BQ267" i="9"/>
  <c r="AJ267" i="9" s="1"/>
  <c r="AI267" i="9" s="1"/>
  <c r="AM267" i="9"/>
  <c r="F267" i="9"/>
  <c r="C267" i="9"/>
  <c r="BQ266" i="9"/>
  <c r="AJ266" i="9" s="1"/>
  <c r="AI266" i="9" s="1"/>
  <c r="AM266" i="9"/>
  <c r="F266" i="9"/>
  <c r="C266" i="9"/>
  <c r="BQ265" i="9"/>
  <c r="AJ265" i="9" s="1"/>
  <c r="AI265" i="9" s="1"/>
  <c r="AM265" i="9"/>
  <c r="F265" i="9"/>
  <c r="C265" i="9"/>
  <c r="BQ244" i="9"/>
  <c r="AJ244" i="9" s="1"/>
  <c r="AI244" i="9" s="1"/>
  <c r="AM244" i="9"/>
  <c r="F244" i="9"/>
  <c r="C244" i="9"/>
  <c r="BQ243" i="9"/>
  <c r="AJ243" i="9" s="1"/>
  <c r="AI243" i="9" s="1"/>
  <c r="AM243" i="9"/>
  <c r="F243" i="9"/>
  <c r="C243" i="9"/>
  <c r="BQ242" i="9"/>
  <c r="AJ242" i="9" s="1"/>
  <c r="AI242" i="9" s="1"/>
  <c r="AM242" i="9"/>
  <c r="F242" i="9"/>
  <c r="C242" i="9"/>
  <c r="BQ241" i="9"/>
  <c r="AJ241" i="9" s="1"/>
  <c r="AI241" i="9" s="1"/>
  <c r="AM241" i="9"/>
  <c r="F241" i="9"/>
  <c r="C241" i="9"/>
  <c r="BQ240" i="9"/>
  <c r="AJ240" i="9" s="1"/>
  <c r="AI240" i="9" s="1"/>
  <c r="AM240" i="9"/>
  <c r="F240" i="9"/>
  <c r="C240" i="9"/>
  <c r="BQ239" i="9"/>
  <c r="AJ239" i="9" s="1"/>
  <c r="AI239" i="9" s="1"/>
  <c r="AM239" i="9"/>
  <c r="F239" i="9"/>
  <c r="C239" i="9"/>
  <c r="BQ238" i="9"/>
  <c r="AJ238" i="9" s="1"/>
  <c r="AI238" i="9" s="1"/>
  <c r="AM238" i="9"/>
  <c r="F238" i="9"/>
  <c r="C238" i="9"/>
  <c r="BQ237" i="9"/>
  <c r="AJ237" i="9" s="1"/>
  <c r="AI237" i="9" s="1"/>
  <c r="AM237" i="9"/>
  <c r="F237" i="9"/>
  <c r="C237" i="9"/>
  <c r="BQ236" i="9"/>
  <c r="AJ236" i="9" s="1"/>
  <c r="AI236" i="9" s="1"/>
  <c r="AM236" i="9"/>
  <c r="F236" i="9"/>
  <c r="C236" i="9"/>
  <c r="BQ235" i="9"/>
  <c r="AJ235" i="9" s="1"/>
  <c r="AI235" i="9" s="1"/>
  <c r="AM235" i="9"/>
  <c r="F235" i="9"/>
  <c r="C235" i="9"/>
  <c r="BQ234" i="9"/>
  <c r="AJ234" i="9" s="1"/>
  <c r="AI234" i="9" s="1"/>
  <c r="AM234" i="9"/>
  <c r="F234" i="9"/>
  <c r="C234" i="9"/>
  <c r="BQ233" i="9"/>
  <c r="AJ233" i="9" s="1"/>
  <c r="AI233" i="9" s="1"/>
  <c r="AM233" i="9"/>
  <c r="F233" i="9"/>
  <c r="C233" i="9"/>
  <c r="BQ232" i="9"/>
  <c r="AJ232" i="9" s="1"/>
  <c r="AI232" i="9" s="1"/>
  <c r="AM232" i="9"/>
  <c r="F232" i="9"/>
  <c r="C232" i="9"/>
  <c r="BQ231" i="9"/>
  <c r="AJ231" i="9" s="1"/>
  <c r="AI231" i="9" s="1"/>
  <c r="AM231" i="9"/>
  <c r="F231" i="9"/>
  <c r="C231" i="9"/>
  <c r="BQ230" i="9"/>
  <c r="AJ230" i="9" s="1"/>
  <c r="AI230" i="9" s="1"/>
  <c r="AM230" i="9"/>
  <c r="F230" i="9"/>
  <c r="C230" i="9"/>
  <c r="BQ229" i="9"/>
  <c r="AJ229" i="9" s="1"/>
  <c r="AI229" i="9" s="1"/>
  <c r="AM229" i="9"/>
  <c r="F229" i="9"/>
  <c r="C229" i="9"/>
  <c r="BQ228" i="9"/>
  <c r="AJ228" i="9" s="1"/>
  <c r="AI228" i="9" s="1"/>
  <c r="AM228" i="9"/>
  <c r="F228" i="9"/>
  <c r="C228" i="9"/>
  <c r="BQ227" i="9"/>
  <c r="AJ227" i="9" s="1"/>
  <c r="AI227" i="9" s="1"/>
  <c r="AM227" i="9"/>
  <c r="F227" i="9"/>
  <c r="C227" i="9"/>
  <c r="BQ226" i="9"/>
  <c r="AJ226" i="9" s="1"/>
  <c r="AI226" i="9" s="1"/>
  <c r="AM226" i="9"/>
  <c r="F226" i="9"/>
  <c r="C226" i="9"/>
  <c r="BQ225" i="9"/>
  <c r="AJ225" i="9" s="1"/>
  <c r="AI225" i="9" s="1"/>
  <c r="AM225" i="9"/>
  <c r="F225" i="9"/>
  <c r="C225" i="9"/>
  <c r="BQ184" i="9"/>
  <c r="AJ184" i="9" s="1"/>
  <c r="AI184" i="9" s="1"/>
  <c r="AM184" i="9"/>
  <c r="F184" i="9"/>
  <c r="C184" i="9"/>
  <c r="BQ183" i="9"/>
  <c r="AJ183" i="9" s="1"/>
  <c r="AI183" i="9" s="1"/>
  <c r="AM183" i="9"/>
  <c r="F183" i="9"/>
  <c r="C183" i="9"/>
  <c r="BQ182" i="9"/>
  <c r="AJ182" i="9" s="1"/>
  <c r="AI182" i="9" s="1"/>
  <c r="AM182" i="9"/>
  <c r="F182" i="9"/>
  <c r="C182" i="9"/>
  <c r="BQ181" i="9"/>
  <c r="AJ181" i="9" s="1"/>
  <c r="AI181" i="9" s="1"/>
  <c r="AM181" i="9"/>
  <c r="F181" i="9"/>
  <c r="C181" i="9"/>
  <c r="BQ180" i="9"/>
  <c r="AJ180" i="9" s="1"/>
  <c r="AI180" i="9" s="1"/>
  <c r="AM180" i="9"/>
  <c r="F180" i="9"/>
  <c r="C180" i="9"/>
  <c r="BQ179" i="9"/>
  <c r="AJ179" i="9" s="1"/>
  <c r="AI179" i="9" s="1"/>
  <c r="AM179" i="9"/>
  <c r="F179" i="9"/>
  <c r="C179" i="9"/>
  <c r="BQ178" i="9"/>
  <c r="AJ178" i="9" s="1"/>
  <c r="AI178" i="9" s="1"/>
  <c r="AM178" i="9"/>
  <c r="F178" i="9"/>
  <c r="C178" i="9"/>
  <c r="BQ177" i="9"/>
  <c r="AJ177" i="9" s="1"/>
  <c r="AI177" i="9" s="1"/>
  <c r="AM177" i="9"/>
  <c r="F177" i="9"/>
  <c r="C177" i="9"/>
  <c r="BQ176" i="9"/>
  <c r="AJ176" i="9" s="1"/>
  <c r="AI176" i="9" s="1"/>
  <c r="AM176" i="9"/>
  <c r="F176" i="9"/>
  <c r="C176" i="9"/>
  <c r="BQ175" i="9"/>
  <c r="AJ175" i="9" s="1"/>
  <c r="AI175" i="9" s="1"/>
  <c r="AM175" i="9"/>
  <c r="F175" i="9"/>
  <c r="C175" i="9"/>
  <c r="BQ174" i="9"/>
  <c r="AJ174" i="9" s="1"/>
  <c r="AI174" i="9" s="1"/>
  <c r="AM174" i="9"/>
  <c r="F174" i="9"/>
  <c r="C174" i="9"/>
  <c r="BQ173" i="9"/>
  <c r="AJ173" i="9" s="1"/>
  <c r="AI173" i="9" s="1"/>
  <c r="AM173" i="9"/>
  <c r="F173" i="9"/>
  <c r="C173" i="9"/>
  <c r="BQ172" i="9"/>
  <c r="AJ172" i="9" s="1"/>
  <c r="AI172" i="9" s="1"/>
  <c r="AM172" i="9"/>
  <c r="F172" i="9"/>
  <c r="C172" i="9"/>
  <c r="BQ171" i="9"/>
  <c r="AJ171" i="9" s="1"/>
  <c r="AI171" i="9" s="1"/>
  <c r="AM171" i="9"/>
  <c r="F171" i="9"/>
  <c r="C171" i="9"/>
  <c r="BQ170" i="9"/>
  <c r="AJ170" i="9" s="1"/>
  <c r="AI170" i="9" s="1"/>
  <c r="AM170" i="9"/>
  <c r="F170" i="9"/>
  <c r="C170" i="9"/>
  <c r="BQ169" i="9"/>
  <c r="AJ169" i="9" s="1"/>
  <c r="AI169" i="9" s="1"/>
  <c r="AM169" i="9"/>
  <c r="F169" i="9"/>
  <c r="C169" i="9"/>
  <c r="BQ168" i="9"/>
  <c r="AJ168" i="9" s="1"/>
  <c r="AI168" i="9" s="1"/>
  <c r="AM168" i="9"/>
  <c r="F168" i="9"/>
  <c r="C168" i="9"/>
  <c r="BQ167" i="9"/>
  <c r="AJ167" i="9" s="1"/>
  <c r="AI167" i="9" s="1"/>
  <c r="AM167" i="9"/>
  <c r="F167" i="9"/>
  <c r="C167" i="9"/>
  <c r="BQ166" i="9"/>
  <c r="AJ166" i="9" s="1"/>
  <c r="AI166" i="9" s="1"/>
  <c r="AM166" i="9"/>
  <c r="F166" i="9"/>
  <c r="C166" i="9"/>
  <c r="BQ165" i="9"/>
  <c r="AJ165" i="9" s="1"/>
  <c r="AI165" i="9" s="1"/>
  <c r="AM165" i="9"/>
  <c r="F165" i="9"/>
  <c r="C165" i="9"/>
  <c r="BQ164" i="9"/>
  <c r="AJ164" i="9" s="1"/>
  <c r="AI164" i="9" s="1"/>
  <c r="AM164" i="9"/>
  <c r="F164" i="9"/>
  <c r="C164" i="9"/>
  <c r="BQ163" i="9"/>
  <c r="AJ163" i="9" s="1"/>
  <c r="AI163" i="9" s="1"/>
  <c r="AM163" i="9"/>
  <c r="F163" i="9"/>
  <c r="C163" i="9"/>
  <c r="BQ162" i="9"/>
  <c r="AJ162" i="9" s="1"/>
  <c r="AI162" i="9" s="1"/>
  <c r="AM162" i="9"/>
  <c r="F162" i="9"/>
  <c r="C162" i="9"/>
  <c r="BQ161" i="9"/>
  <c r="AJ161" i="9" s="1"/>
  <c r="AI161" i="9" s="1"/>
  <c r="AM161" i="9"/>
  <c r="F161" i="9"/>
  <c r="C161" i="9"/>
  <c r="BQ160" i="9"/>
  <c r="AJ160" i="9" s="1"/>
  <c r="AI160" i="9" s="1"/>
  <c r="AM160" i="9"/>
  <c r="F160" i="9"/>
  <c r="C160" i="9"/>
  <c r="BQ159" i="9"/>
  <c r="AJ159" i="9" s="1"/>
  <c r="AI159" i="9" s="1"/>
  <c r="AM159" i="9"/>
  <c r="F159" i="9"/>
  <c r="C159" i="9"/>
  <c r="BQ158" i="9"/>
  <c r="AJ158" i="9" s="1"/>
  <c r="AI158" i="9" s="1"/>
  <c r="AM158" i="9"/>
  <c r="F158" i="9"/>
  <c r="C158" i="9"/>
  <c r="BQ157" i="9"/>
  <c r="AJ157" i="9" s="1"/>
  <c r="AI157" i="9" s="1"/>
  <c r="AM157" i="9"/>
  <c r="F157" i="9"/>
  <c r="C157" i="9"/>
  <c r="BQ156" i="9"/>
  <c r="AJ156" i="9" s="1"/>
  <c r="AI156" i="9" s="1"/>
  <c r="AM156" i="9"/>
  <c r="F156" i="9"/>
  <c r="C156" i="9"/>
  <c r="BQ155" i="9"/>
  <c r="AJ155" i="9" s="1"/>
  <c r="AI155" i="9" s="1"/>
  <c r="AM155" i="9"/>
  <c r="F155" i="9"/>
  <c r="C155" i="9"/>
  <c r="BQ154" i="9"/>
  <c r="AJ154" i="9" s="1"/>
  <c r="AI154" i="9" s="1"/>
  <c r="AM154" i="9"/>
  <c r="F154" i="9"/>
  <c r="C154" i="9"/>
  <c r="BQ153" i="9"/>
  <c r="AJ153" i="9" s="1"/>
  <c r="AI153" i="9" s="1"/>
  <c r="AM153" i="9"/>
  <c r="F153" i="9"/>
  <c r="C153" i="9"/>
  <c r="BQ152" i="9"/>
  <c r="AJ152" i="9" s="1"/>
  <c r="AI152" i="9" s="1"/>
  <c r="AM152" i="9"/>
  <c r="F152" i="9"/>
  <c r="C152" i="9"/>
  <c r="BQ151" i="9"/>
  <c r="AJ151" i="9" s="1"/>
  <c r="AI151" i="9" s="1"/>
  <c r="AM151" i="9"/>
  <c r="F151" i="9"/>
  <c r="C151" i="9"/>
  <c r="BQ150" i="9"/>
  <c r="AJ150" i="9" s="1"/>
  <c r="AI150" i="9" s="1"/>
  <c r="AM150" i="9"/>
  <c r="F150" i="9"/>
  <c r="C150" i="9"/>
  <c r="BQ149" i="9"/>
  <c r="AJ149" i="9" s="1"/>
  <c r="AI149" i="9" s="1"/>
  <c r="AM149" i="9"/>
  <c r="F149" i="9"/>
  <c r="C149" i="9"/>
  <c r="BQ148" i="9"/>
  <c r="AJ148" i="9" s="1"/>
  <c r="AI148" i="9" s="1"/>
  <c r="AM148" i="9"/>
  <c r="F148" i="9"/>
  <c r="C148" i="9"/>
  <c r="BQ147" i="9"/>
  <c r="AJ147" i="9" s="1"/>
  <c r="AI147" i="9" s="1"/>
  <c r="AM147" i="9"/>
  <c r="F147" i="9"/>
  <c r="C147" i="9"/>
  <c r="BQ146" i="9"/>
  <c r="AJ146" i="9" s="1"/>
  <c r="AI146" i="9" s="1"/>
  <c r="AM146" i="9"/>
  <c r="F146" i="9"/>
  <c r="C146" i="9"/>
  <c r="BQ145" i="9"/>
  <c r="AJ145" i="9" s="1"/>
  <c r="AI145" i="9" s="1"/>
  <c r="AM145" i="9"/>
  <c r="F145" i="9"/>
  <c r="C145" i="9"/>
  <c r="BQ144" i="9"/>
  <c r="AJ144" i="9" s="1"/>
  <c r="AI144" i="9" s="1"/>
  <c r="AM144" i="9"/>
  <c r="F144" i="9"/>
  <c r="C144" i="9"/>
  <c r="BQ143" i="9"/>
  <c r="AJ143" i="9" s="1"/>
  <c r="AI143" i="9" s="1"/>
  <c r="AM143" i="9"/>
  <c r="F143" i="9"/>
  <c r="C143" i="9"/>
  <c r="BQ142" i="9"/>
  <c r="AJ142" i="9" s="1"/>
  <c r="AI142" i="9" s="1"/>
  <c r="AM142" i="9"/>
  <c r="F142" i="9"/>
  <c r="C142" i="9"/>
  <c r="BQ141" i="9"/>
  <c r="AJ141" i="9" s="1"/>
  <c r="AI141" i="9" s="1"/>
  <c r="AM141" i="9"/>
  <c r="F141" i="9"/>
  <c r="C141" i="9"/>
  <c r="BQ140" i="9"/>
  <c r="AJ140" i="9" s="1"/>
  <c r="AI140" i="9" s="1"/>
  <c r="AM140" i="9"/>
  <c r="F140" i="9"/>
  <c r="C140" i="9"/>
  <c r="BQ139" i="9"/>
  <c r="AJ139" i="9" s="1"/>
  <c r="AI139" i="9" s="1"/>
  <c r="AM139" i="9"/>
  <c r="F139" i="9"/>
  <c r="C139" i="9"/>
  <c r="BQ138" i="9"/>
  <c r="AJ138" i="9" s="1"/>
  <c r="AI138" i="9" s="1"/>
  <c r="AM138" i="9"/>
  <c r="F138" i="9"/>
  <c r="C138" i="9"/>
  <c r="BQ137" i="9"/>
  <c r="AJ137" i="9" s="1"/>
  <c r="AI137" i="9" s="1"/>
  <c r="AM137" i="9"/>
  <c r="F137" i="9"/>
  <c r="C137" i="9"/>
  <c r="BQ136" i="9"/>
  <c r="AJ136" i="9" s="1"/>
  <c r="AI136" i="9" s="1"/>
  <c r="AM136" i="9"/>
  <c r="F136" i="9"/>
  <c r="C136" i="9"/>
  <c r="BQ135" i="9"/>
  <c r="AJ135" i="9" s="1"/>
  <c r="AI135" i="9" s="1"/>
  <c r="AM135" i="9"/>
  <c r="F135" i="9"/>
  <c r="C135" i="9"/>
  <c r="BQ134" i="9"/>
  <c r="AJ134" i="9" s="1"/>
  <c r="AI134" i="9" s="1"/>
  <c r="AM134" i="9"/>
  <c r="F134" i="9"/>
  <c r="C134" i="9"/>
  <c r="BQ133" i="9"/>
  <c r="AJ133" i="9" s="1"/>
  <c r="AI133" i="9" s="1"/>
  <c r="AM133" i="9"/>
  <c r="F133" i="9"/>
  <c r="C133" i="9"/>
  <c r="BQ132" i="9"/>
  <c r="AJ132" i="9" s="1"/>
  <c r="AI132" i="9" s="1"/>
  <c r="AM132" i="9"/>
  <c r="F132" i="9"/>
  <c r="C132" i="9"/>
  <c r="BQ131" i="9"/>
  <c r="AJ131" i="9" s="1"/>
  <c r="AI131" i="9" s="1"/>
  <c r="AM131" i="9"/>
  <c r="F131" i="9"/>
  <c r="C131" i="9"/>
  <c r="BQ130" i="9"/>
  <c r="AJ130" i="9" s="1"/>
  <c r="AI130" i="9" s="1"/>
  <c r="AM130" i="9"/>
  <c r="F130" i="9"/>
  <c r="C130" i="9"/>
  <c r="BQ129" i="9"/>
  <c r="AJ129" i="9" s="1"/>
  <c r="AI129" i="9" s="1"/>
  <c r="AM129" i="9"/>
  <c r="F129" i="9"/>
  <c r="C129" i="9"/>
  <c r="BQ128" i="9"/>
  <c r="AJ128" i="9" s="1"/>
  <c r="AI128" i="9" s="1"/>
  <c r="AM128" i="9"/>
  <c r="F128" i="9"/>
  <c r="C128" i="9"/>
  <c r="BQ127" i="9"/>
  <c r="AJ127" i="9" s="1"/>
  <c r="AI127" i="9" s="1"/>
  <c r="AM127" i="9"/>
  <c r="F127" i="9"/>
  <c r="C127" i="9"/>
  <c r="BQ126" i="9"/>
  <c r="AJ126" i="9" s="1"/>
  <c r="AI126" i="9" s="1"/>
  <c r="AM126" i="9"/>
  <c r="F126" i="9"/>
  <c r="C126" i="9"/>
  <c r="BQ125" i="9"/>
  <c r="AJ125" i="9" s="1"/>
  <c r="AI125" i="9" s="1"/>
  <c r="AM125" i="9"/>
  <c r="F125" i="9"/>
  <c r="C125" i="9"/>
  <c r="BQ124" i="9"/>
  <c r="AJ124" i="9" s="1"/>
  <c r="AI124" i="9" s="1"/>
  <c r="AM124" i="9"/>
  <c r="F124" i="9"/>
  <c r="C124" i="9"/>
  <c r="BQ123" i="9"/>
  <c r="AJ123" i="9" s="1"/>
  <c r="AI123" i="9" s="1"/>
  <c r="AM123" i="9"/>
  <c r="F123" i="9"/>
  <c r="C123" i="9"/>
  <c r="BQ122" i="9"/>
  <c r="AJ122" i="9" s="1"/>
  <c r="AI122" i="9" s="1"/>
  <c r="AM122" i="9"/>
  <c r="F122" i="9"/>
  <c r="C122" i="9"/>
  <c r="BQ121" i="9"/>
  <c r="AJ121" i="9" s="1"/>
  <c r="AI121" i="9" s="1"/>
  <c r="AM121" i="9"/>
  <c r="F121" i="9"/>
  <c r="C121" i="9"/>
  <c r="BQ120" i="9"/>
  <c r="AJ120" i="9" s="1"/>
  <c r="AI120" i="9" s="1"/>
  <c r="AM120" i="9"/>
  <c r="F120" i="9"/>
  <c r="C120" i="9"/>
  <c r="BQ119" i="9"/>
  <c r="AJ119" i="9" s="1"/>
  <c r="AI119" i="9" s="1"/>
  <c r="AM119" i="9"/>
  <c r="F119" i="9"/>
  <c r="C119" i="9"/>
  <c r="BQ118" i="9"/>
  <c r="AJ118" i="9" s="1"/>
  <c r="AI118" i="9" s="1"/>
  <c r="AM118" i="9"/>
  <c r="F118" i="9"/>
  <c r="C118" i="9"/>
  <c r="BQ117" i="9"/>
  <c r="AJ117" i="9" s="1"/>
  <c r="AI117" i="9" s="1"/>
  <c r="AM117" i="9"/>
  <c r="F117" i="9"/>
  <c r="C117" i="9"/>
  <c r="BQ116" i="9"/>
  <c r="AJ116" i="9" s="1"/>
  <c r="AI116" i="9" s="1"/>
  <c r="AM116" i="9"/>
  <c r="F116" i="9"/>
  <c r="C116" i="9"/>
  <c r="BQ115" i="9"/>
  <c r="AJ115" i="9" s="1"/>
  <c r="AI115" i="9" s="1"/>
  <c r="AM115" i="9"/>
  <c r="F115" i="9"/>
  <c r="C115" i="9"/>
  <c r="BQ114" i="9"/>
  <c r="AJ114" i="9" s="1"/>
  <c r="AI114" i="9" s="1"/>
  <c r="AM114" i="9"/>
  <c r="F114" i="9"/>
  <c r="C114" i="9"/>
  <c r="BQ113" i="9"/>
  <c r="AJ113" i="9" s="1"/>
  <c r="AI113" i="9" s="1"/>
  <c r="AM113" i="9"/>
  <c r="F113" i="9"/>
  <c r="C113" i="9"/>
  <c r="BQ112" i="9"/>
  <c r="AJ112" i="9" s="1"/>
  <c r="AI112" i="9" s="1"/>
  <c r="AM112" i="9"/>
  <c r="F112" i="9"/>
  <c r="C112" i="9"/>
  <c r="BQ111" i="9"/>
  <c r="AJ111" i="9" s="1"/>
  <c r="AI111" i="9" s="1"/>
  <c r="AM111" i="9"/>
  <c r="F111" i="9"/>
  <c r="C111" i="9"/>
  <c r="BQ110" i="9"/>
  <c r="AJ110" i="9" s="1"/>
  <c r="AI110" i="9" s="1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J105" i="9" l="1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K90" i="9"/>
  <c r="AK92" i="9"/>
  <c r="AK94" i="9"/>
  <c r="AK96" i="9"/>
  <c r="AK100" i="9"/>
  <c r="AK102" i="9"/>
  <c r="AK104" i="9"/>
  <c r="AK108" i="9"/>
  <c r="AK110" i="9"/>
  <c r="AK114" i="9"/>
  <c r="AK116" i="9"/>
  <c r="AK122" i="9"/>
  <c r="AK124" i="9"/>
  <c r="AK128" i="9"/>
  <c r="AK130" i="9"/>
  <c r="AK132" i="9"/>
  <c r="AK134" i="9"/>
  <c r="AK136" i="9"/>
  <c r="AK137" i="9"/>
  <c r="AK140" i="9"/>
  <c r="AK142" i="9"/>
  <c r="AK144" i="9"/>
  <c r="AK148" i="9"/>
  <c r="AK150" i="9"/>
  <c r="AK152" i="9"/>
  <c r="AK154" i="9"/>
  <c r="AK156" i="9"/>
  <c r="AK158" i="9"/>
  <c r="AK160" i="9"/>
  <c r="AK162" i="9"/>
  <c r="AK164" i="9"/>
  <c r="AK168" i="9"/>
  <c r="AK170" i="9"/>
  <c r="AK172" i="9"/>
  <c r="AK174" i="9"/>
  <c r="AK180" i="9"/>
  <c r="AK182" i="9"/>
  <c r="AK184" i="9"/>
  <c r="AK228" i="9"/>
  <c r="AK230" i="9"/>
  <c r="AK232" i="9"/>
  <c r="AK234" i="9"/>
  <c r="AK236" i="9"/>
  <c r="AK238" i="9"/>
  <c r="AK240" i="9"/>
  <c r="AK242" i="9"/>
  <c r="AK244" i="9"/>
  <c r="AK268" i="9"/>
  <c r="AK272" i="9"/>
  <c r="AK274" i="9"/>
  <c r="AK276" i="9"/>
  <c r="AK278" i="9"/>
  <c r="AK280" i="9"/>
  <c r="AK284" i="9"/>
  <c r="AK269" i="9"/>
  <c r="AK270" i="9"/>
  <c r="AK265" i="9"/>
  <c r="AK266" i="9"/>
  <c r="AK267" i="9"/>
  <c r="AK271" i="9"/>
  <c r="AK273" i="9"/>
  <c r="AK275" i="9"/>
  <c r="AK277" i="9"/>
  <c r="AK279" i="9"/>
  <c r="AK281" i="9"/>
  <c r="AK282" i="9"/>
  <c r="AK283" i="9"/>
  <c r="AK86" i="9"/>
  <c r="AK85" i="9"/>
  <c r="AK97" i="9"/>
  <c r="AK98" i="9"/>
  <c r="AK226" i="9"/>
  <c r="AK225" i="9"/>
  <c r="AK117" i="9"/>
  <c r="AK118" i="9"/>
  <c r="AK126" i="9"/>
  <c r="AK125" i="9"/>
  <c r="AK145" i="9"/>
  <c r="AK146" i="9"/>
  <c r="AK166" i="9"/>
  <c r="AK165" i="9"/>
  <c r="AK87" i="9"/>
  <c r="AK88" i="9"/>
  <c r="AK89" i="9"/>
  <c r="AK91" i="9"/>
  <c r="AK93" i="9"/>
  <c r="AK95" i="9"/>
  <c r="AK99" i="9"/>
  <c r="AK101" i="9"/>
  <c r="AK103" i="9"/>
  <c r="AK107" i="9"/>
  <c r="AK109" i="9"/>
  <c r="AK111" i="9"/>
  <c r="AK112" i="9"/>
  <c r="AK113" i="9"/>
  <c r="AK115" i="9"/>
  <c r="AK119" i="9"/>
  <c r="AK120" i="9"/>
  <c r="AK121" i="9"/>
  <c r="AK123" i="9"/>
  <c r="AK127" i="9"/>
  <c r="AK129" i="9"/>
  <c r="AK131" i="9"/>
  <c r="AK133" i="9"/>
  <c r="AK135" i="9"/>
  <c r="AK138" i="9"/>
  <c r="AK139" i="9"/>
  <c r="AK141" i="9"/>
  <c r="AK143" i="9"/>
  <c r="AK147" i="9"/>
  <c r="AK149" i="9"/>
  <c r="AK151" i="9"/>
  <c r="AK153" i="9"/>
  <c r="AK155" i="9"/>
  <c r="AK157" i="9"/>
  <c r="AK159" i="9"/>
  <c r="AK161" i="9"/>
  <c r="AK163" i="9"/>
  <c r="AK167" i="9"/>
  <c r="AK169" i="9"/>
  <c r="AK171" i="9"/>
  <c r="AK173" i="9"/>
  <c r="AK175" i="9"/>
  <c r="AK176" i="9"/>
  <c r="AK177" i="9"/>
  <c r="AK178" i="9"/>
  <c r="AK179" i="9"/>
  <c r="AK181" i="9"/>
  <c r="AK183" i="9"/>
  <c r="AK227" i="9"/>
  <c r="AK229" i="9"/>
  <c r="AK231" i="9"/>
  <c r="AK233" i="9"/>
  <c r="AK235" i="9"/>
  <c r="AK237" i="9"/>
  <c r="AK239" i="9"/>
  <c r="AK241" i="9"/>
  <c r="AK243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67" i="9"/>
  <c r="AU375" i="9"/>
  <c r="AJ375" i="9" s="1"/>
  <c r="AI375" i="9" s="1"/>
  <c r="AU368" i="9"/>
  <c r="AJ368" i="9" s="1"/>
  <c r="AI368" i="9" s="1"/>
  <c r="AU376" i="9"/>
  <c r="AU369" i="9"/>
  <c r="AU377" i="9"/>
  <c r="AJ377" i="9" s="1"/>
  <c r="AI377" i="9" s="1"/>
  <c r="AU370" i="9"/>
  <c r="AU378" i="9"/>
  <c r="AU371" i="9"/>
  <c r="AJ371" i="9" s="1"/>
  <c r="AI371" i="9" s="1"/>
  <c r="AU372" i="9"/>
  <c r="AJ372" i="9" s="1"/>
  <c r="AI372" i="9" s="1"/>
  <c r="AU365" i="9"/>
  <c r="AJ365" i="9" s="1"/>
  <c r="AI365" i="9" s="1"/>
  <c r="AU366" i="9"/>
  <c r="AU373" i="9"/>
  <c r="AU37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I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J6" i="9" s="1"/>
  <c r="AI6" i="9" s="1"/>
  <c r="AU14" i="9"/>
  <c r="AJ14" i="9" s="1"/>
  <c r="AI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I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5" i="9" l="1"/>
  <c r="AK51" i="9"/>
  <c r="AK105" i="9"/>
  <c r="AK106" i="9"/>
  <c r="AK44" i="9"/>
  <c r="AJ57" i="9"/>
  <c r="AI57" i="9" s="1"/>
  <c r="AJ60" i="9"/>
  <c r="AI60" i="9" s="1"/>
  <c r="AJ369" i="9"/>
  <c r="AI369" i="9" s="1"/>
  <c r="AJ62" i="9"/>
  <c r="AI62" i="9" s="1"/>
  <c r="AJ55" i="9"/>
  <c r="AI55" i="9" s="1"/>
  <c r="AJ68" i="9"/>
  <c r="AI68" i="9" s="1"/>
  <c r="AJ59" i="9"/>
  <c r="AI59" i="9" s="1"/>
  <c r="AJ366" i="9"/>
  <c r="AI366" i="9" s="1"/>
  <c r="AJ376" i="9"/>
  <c r="AI376" i="9" s="1"/>
  <c r="AJ71" i="9"/>
  <c r="AI71" i="9" s="1"/>
  <c r="AJ76" i="9"/>
  <c r="AI76" i="9" s="1"/>
  <c r="AJ77" i="9"/>
  <c r="AI77" i="9" s="1"/>
  <c r="AJ74" i="9"/>
  <c r="AI74" i="9" s="1"/>
  <c r="AJ374" i="9"/>
  <c r="AI374" i="9" s="1"/>
  <c r="AJ38" i="9"/>
  <c r="AI38" i="9" s="1"/>
  <c r="AJ63" i="9"/>
  <c r="AI63" i="9" s="1"/>
  <c r="AJ27" i="9"/>
  <c r="AI27" i="9" s="1"/>
  <c r="AJ46" i="9"/>
  <c r="AI46" i="9" s="1"/>
  <c r="AJ30" i="9"/>
  <c r="AI30" i="9" s="1"/>
  <c r="AJ47" i="9"/>
  <c r="AI47" i="9" s="1"/>
  <c r="AJ53" i="9"/>
  <c r="AI53" i="9" s="1"/>
  <c r="AJ378" i="9"/>
  <c r="AI378" i="9" s="1"/>
  <c r="AJ39" i="9"/>
  <c r="AI39" i="9" s="1"/>
  <c r="AJ45" i="9"/>
  <c r="AI45" i="9" s="1"/>
  <c r="AJ370" i="9"/>
  <c r="AI370" i="9" s="1"/>
  <c r="AJ80" i="9"/>
  <c r="AI80" i="9" s="1"/>
  <c r="AJ373" i="9"/>
  <c r="AI373" i="9" s="1"/>
  <c r="AJ69" i="9"/>
  <c r="AI69" i="9" s="1"/>
  <c r="AJ32" i="9"/>
  <c r="AI32" i="9" s="1"/>
  <c r="AJ54" i="9"/>
  <c r="AI54" i="9" s="1"/>
  <c r="AJ66" i="9"/>
  <c r="AI66" i="9" s="1"/>
  <c r="AJ29" i="9"/>
  <c r="AI29" i="9" s="1"/>
  <c r="AJ25" i="9"/>
  <c r="AJ36" i="9"/>
  <c r="AI36" i="9" s="1"/>
  <c r="AJ49" i="9"/>
  <c r="AI49" i="9" s="1"/>
  <c r="AJ34" i="9"/>
  <c r="AI34" i="9" s="1"/>
  <c r="AJ78" i="9"/>
  <c r="AI78" i="9" s="1"/>
  <c r="AJ28" i="9"/>
  <c r="AI28" i="9" s="1"/>
  <c r="AJ42" i="9"/>
  <c r="AI42" i="9" s="1"/>
  <c r="AJ52" i="9"/>
  <c r="AI52" i="9" s="1"/>
  <c r="AJ48" i="9"/>
  <c r="AI48" i="9" s="1"/>
  <c r="AJ41" i="9"/>
  <c r="AI41" i="9" s="1"/>
  <c r="AJ367" i="9"/>
  <c r="AI367" i="9" s="1"/>
  <c r="AK82" i="9"/>
  <c r="AK365" i="9"/>
  <c r="AK84" i="9"/>
  <c r="AK65" i="9"/>
  <c r="AK83" i="9"/>
  <c r="AK73" i="9"/>
  <c r="AK372" i="9"/>
  <c r="AJ22" i="9"/>
  <c r="AI22" i="9" s="1"/>
  <c r="AJ10" i="9"/>
  <c r="AI10" i="9" s="1"/>
  <c r="AJ11" i="9"/>
  <c r="AI11" i="9" s="1"/>
  <c r="AJ19" i="9"/>
  <c r="AI19" i="9" s="1"/>
  <c r="AJ18" i="9"/>
  <c r="AI18" i="9" s="1"/>
  <c r="AJ16" i="9"/>
  <c r="AI16" i="9" s="1"/>
  <c r="AJ20" i="9"/>
  <c r="AI20" i="9" s="1"/>
  <c r="AJ7" i="9"/>
  <c r="AI7" i="9" s="1"/>
  <c r="AJ15" i="9"/>
  <c r="AI15" i="9" s="1"/>
  <c r="AJ17" i="9"/>
  <c r="AI17" i="9" s="1"/>
  <c r="AJ23" i="9"/>
  <c r="AI23" i="9" s="1"/>
  <c r="AJ13" i="9"/>
  <c r="AI13" i="9" s="1"/>
  <c r="AJ8" i="9"/>
  <c r="AI8" i="9" s="1"/>
  <c r="AJ12" i="9"/>
  <c r="AI12" i="9" s="1"/>
  <c r="AK6" i="9"/>
  <c r="AK7" i="9" l="1"/>
  <c r="AK21" i="9"/>
  <c r="AK9" i="9"/>
  <c r="AK24" i="9"/>
  <c r="AK14" i="9"/>
  <c r="AK10" i="9"/>
  <c r="AK15" i="9"/>
  <c r="AK22" i="9"/>
  <c r="AK61" i="9"/>
  <c r="AK371" i="9"/>
  <c r="AK376" i="9"/>
  <c r="AK58" i="9"/>
  <c r="AK64" i="9"/>
  <c r="AK366" i="9"/>
  <c r="AK72" i="9"/>
  <c r="AK379" i="9"/>
  <c r="AK68" i="9"/>
  <c r="AK79" i="9"/>
  <c r="AK75" i="9"/>
  <c r="AK56" i="9"/>
  <c r="AK80" i="9"/>
  <c r="AK70" i="9"/>
  <c r="AK67" i="9"/>
  <c r="AK59" i="9"/>
  <c r="AK375" i="9"/>
  <c r="AK368" i="9"/>
  <c r="AK373" i="9"/>
  <c r="AK76" i="9"/>
  <c r="AK369" i="9"/>
  <c r="AK36" i="9"/>
  <c r="AK32" i="9"/>
  <c r="AK35" i="9"/>
  <c r="AK31" i="9"/>
  <c r="AK41" i="9"/>
  <c r="AK27" i="9"/>
  <c r="AK43" i="9"/>
  <c r="AK40" i="9"/>
  <c r="AK38" i="9"/>
  <c r="AK25" i="9"/>
  <c r="AI25" i="9"/>
  <c r="AK28" i="9"/>
  <c r="AK57" i="9"/>
  <c r="AK53" i="9"/>
  <c r="AK39" i="9"/>
  <c r="AK48" i="9"/>
  <c r="AK63" i="9"/>
  <c r="AK77" i="9"/>
  <c r="AK37" i="9"/>
  <c r="AK30" i="9"/>
  <c r="AK370" i="9"/>
  <c r="AK74" i="9"/>
  <c r="AK71" i="9"/>
  <c r="AK377" i="9"/>
  <c r="AK26" i="9"/>
  <c r="AK367" i="9"/>
  <c r="AK47" i="9"/>
  <c r="AK78" i="9"/>
  <c r="AK60" i="9"/>
  <c r="AK378" i="9"/>
  <c r="AK54" i="9"/>
  <c r="AK49" i="9"/>
  <c r="AK33" i="9"/>
  <c r="AK69" i="9"/>
  <c r="AK374" i="9"/>
  <c r="AK34" i="9"/>
  <c r="AK42" i="9"/>
  <c r="AK29" i="9"/>
  <c r="AK55" i="9"/>
  <c r="AK81" i="9"/>
  <c r="AK52" i="9"/>
  <c r="AK66" i="9"/>
  <c r="AK50" i="9"/>
  <c r="AK46" i="9"/>
  <c r="AK62" i="9"/>
  <c r="AK45" i="9"/>
  <c r="AK13" i="9"/>
  <c r="AK20" i="9"/>
  <c r="AK18" i="9"/>
  <c r="AK17" i="9"/>
  <c r="AK19" i="9"/>
  <c r="AK12" i="9"/>
  <c r="AK8" i="9"/>
  <c r="AK23" i="9"/>
  <c r="AK11" i="9"/>
  <c r="AK16" i="9"/>
</calcChain>
</file>

<file path=xl/sharedStrings.xml><?xml version="1.0" encoding="utf-8"?>
<sst xmlns="http://schemas.openxmlformats.org/spreadsheetml/2006/main" count="5603" uniqueCount="1160">
  <si>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</si>
  <si>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</si>
  <si>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</si>
  <si>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</si>
  <si>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</si>
  <si>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</si>
  <si>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</si>
  <si>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</si>
  <si>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</si>
  <si>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</si>
  <si>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</si>
  <si>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</si>
  <si>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</si>
  <si>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</si>
  <si>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</si>
  <si>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</si>
  <si>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</si>
  <si>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</si>
  <si>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</si>
  <si>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</si>
  <si>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</si>
  <si>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</si>
  <si>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</si>
  <si>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</si>
  <si>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</si>
  <si>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</si>
  <si>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</si>
  <si>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</si>
  <si>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</si>
  <si>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</si>
  <si>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</si>
  <si>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</si>
  <si>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</si>
  <si>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</si>
  <si>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</si>
  <si>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</si>
  <si>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</si>
  <si>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</si>
  <si>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</si>
  <si>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</si>
  <si>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</si>
  <si>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</si>
  <si>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</si>
  <si>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</si>
  <si>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</si>
  <si>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</si>
  <si>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</si>
  <si>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</si>
  <si>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</si>
  <si>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</si>
  <si>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</si>
  <si>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</si>
  <si>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</si>
  <si>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</si>
  <si>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</si>
  <si>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</si>
  <si>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</si>
  <si>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</si>
  <si>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</si>
  <si>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</si>
  <si>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</si>
  <si>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</si>
  <si>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</si>
  <si>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</si>
  <si>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</si>
  <si>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</si>
  <si>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</si>
  <si>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</si>
  <si>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</si>
  <si>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</si>
  <si>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</si>
  <si>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</si>
  <si>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</si>
  <si>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</si>
  <si>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</si>
  <si>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</si>
  <si>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</si>
  <si>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</si>
  <si>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</si>
  <si>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</si>
  <si>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</si>
  <si>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</si>
  <si>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</si>
  <si>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</si>
  <si>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</si>
  <si>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</si>
  <si>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</si>
  <si>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</si>
  <si>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</si>
  <si>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</si>
  <si>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</si>
  <si>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</si>
  <si>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</si>
  <si>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</si>
  <si>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</si>
  <si>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</si>
  <si>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</si>
  <si>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</si>
  <si>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</si>
  <si>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</si>
  <si>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</si>
  <si>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</si>
  <si>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</si>
  <si>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</si>
  <si>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</si>
  <si>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</si>
  <si>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</si>
  <si>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</si>
  <si>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</si>
  <si>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</si>
  <si>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</si>
  <si>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</si>
  <si>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</si>
  <si>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</si>
  <si>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</si>
  <si>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</si>
  <si>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</si>
  <si>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</si>
  <si>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</si>
  <si>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</si>
  <si>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</si>
  <si>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</si>
  <si>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</si>
  <si>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</si>
  <si>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</si>
  <si>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</si>
  <si>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</si>
  <si>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</si>
  <si>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</si>
  <si>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</si>
  <si>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</si>
  <si>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</si>
  <si>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</si>
  <si>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</si>
  <si>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</si>
  <si>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</si>
  <si>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</si>
  <si>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</si>
  <si>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</si>
  <si>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</si>
  <si>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</si>
  <si>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</si>
  <si>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</si>
  <si>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</si>
  <si>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</si>
  <si>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</si>
  <si>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</si>
  <si>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</si>
  <si>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</si>
  <si>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</si>
  <si>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</si>
  <si>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</si>
  <si>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</si>
  <si>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</si>
  <si>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</si>
  <si>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</si>
  <si>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</si>
  <si>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</si>
  <si>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</si>
  <si>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</si>
  <si>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</si>
  <si>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</si>
  <si>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</si>
  <si>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</si>
  <si>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</si>
  <si>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</si>
  <si>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</si>
  <si>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</si>
  <si>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</si>
  <si>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</si>
  <si>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</si>
  <si>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</si>
  <si>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</si>
  <si>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</si>
  <si>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</si>
  <si>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</si>
  <si>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</si>
  <si>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</si>
  <si>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</si>
  <si>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</si>
  <si>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</si>
  <si>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</si>
  <si>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</si>
  <si>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</si>
  <si>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</si>
  <si>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</si>
  <si>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</si>
  <si>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</si>
  <si>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</si>
  <si>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</si>
  <si>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</si>
  <si>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</si>
  <si>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</si>
  <si>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</si>
  <si>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</si>
  <si>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</si>
  <si>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</si>
  <si>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</si>
  <si>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</si>
  <si>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</si>
  <si>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</si>
  <si>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</si>
  <si>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</si>
  <si>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</si>
  <si>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</si>
  <si>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</si>
  <si>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</si>
  <si>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</si>
  <si>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</si>
  <si>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</si>
  <si>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</si>
  <si>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</si>
  <si>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</si>
  <si>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</si>
  <si>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</si>
  <si>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</si>
  <si>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</si>
  <si>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</si>
  <si>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</si>
  <si>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</si>
  <si>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</si>
  <si>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</si>
  <si>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</si>
  <si>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</si>
  <si>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</si>
  <si>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</si>
  <si>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</si>
  <si>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</si>
  <si>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</si>
  <si>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</si>
  <si>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</si>
  <si>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</si>
  <si>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</si>
  <si>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</si>
  <si>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</si>
  <si>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</si>
  <si>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</si>
  <si>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</si>
  <si>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</si>
  <si>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</si>
  <si>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</si>
  <si>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</si>
  <si>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</si>
  <si>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</si>
  <si>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</si>
  <si>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</si>
  <si>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</si>
  <si>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</si>
  <si>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</si>
  <si>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</si>
  <si>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</si>
  <si>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</si>
  <si>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</si>
  <si>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</si>
  <si>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</si>
  <si>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</si>
  <si>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</si>
  <si>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</si>
  <si>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</si>
  <si>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</si>
  <si>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</si>
  <si>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</si>
  <si>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</si>
  <si>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</si>
  <si>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</si>
  <si>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</si>
  <si>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</si>
  <si>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</si>
  <si>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</si>
  <si>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</si>
  <si>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</si>
  <si>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</si>
  <si>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</si>
  <si>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</si>
  <si>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</si>
  <si>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</si>
  <si>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</si>
  <si>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</si>
  <si>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</si>
  <si>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</si>
  <si>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</si>
  <si>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</si>
  <si>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</si>
  <si>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</si>
  <si>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</si>
  <si>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</si>
  <si>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</si>
  <si>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</si>
  <si>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</si>
  <si>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</si>
  <si>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</si>
  <si>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</si>
  <si>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</si>
  <si>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</si>
  <si>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</si>
  <si>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</si>
  <si>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</si>
  <si>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</si>
  <si>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</si>
  <si>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</si>
  <si>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</si>
  <si>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</si>
  <si>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</si>
  <si>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</si>
  <si>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</si>
  <si>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</si>
  <si>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</si>
  <si>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</si>
  <si>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</si>
  <si>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</si>
  <si>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</si>
  <si>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</si>
  <si>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</si>
  <si>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</si>
  <si>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</si>
  <si>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</si>
  <si>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</si>
  <si>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</si>
  <si>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</si>
  <si>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</si>
  <si>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</si>
  <si>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</si>
  <si>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</si>
  <si>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</si>
  <si>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</si>
  <si>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</si>
  <si>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</si>
  <si>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</si>
  <si>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</si>
  <si>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</si>
  <si>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</si>
  <si>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</si>
  <si>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</si>
  <si>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</si>
  <si>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</si>
  <si>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</si>
  <si>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</si>
  <si>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</si>
  <si>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</si>
  <si>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</si>
  <si>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</si>
  <si>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</si>
  <si>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</si>
  <si>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</si>
  <si>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</si>
  <si>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</si>
  <si>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</si>
  <si>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</si>
  <si>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</si>
  <si>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</si>
  <si>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</si>
  <si>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</si>
  <si>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</si>
  <si>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</si>
  <si>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</si>
  <si>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</si>
  <si>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</si>
  <si>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</si>
  <si>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</si>
  <si>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</si>
  <si>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</si>
  <si>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</si>
  <si>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MG42撕布机</t>
  </si>
  <si>
    <t>M134速射机枪</t>
  </si>
  <si>
    <t>马克沁重机枪</t>
    <phoneticPr fontId="13" type="noConversion"/>
  </si>
  <si>
    <t>马克沁重机枪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</si>
  <si>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</si>
  <si>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</si>
  <si>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</si>
  <si>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</si>
  <si>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GAU-8</t>
    <phoneticPr fontId="13" type="noConversion"/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</si>
  <si>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</si>
  <si>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</si>
  <si>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</si>
  <si>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MG42撕布机</t>
    <phoneticPr fontId="13" type="noConversion"/>
  </si>
  <si>
    <t>M134速射机枪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</si>
  <si>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</si>
  <si>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</si>
  <si>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</si>
  <si>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</si>
  <si>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</si>
  <si>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</si>
  <si>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</si>
  <si>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</si>
  <si>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</si>
  <si>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</si>
  <si>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</si>
  <si>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</si>
  <si>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</si>
  <si>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</si>
  <si>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</si>
  <si>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</si>
  <si>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</si>
  <si>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</si>
  <si>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</si>
  <si>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</si>
  <si>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</si>
  <si>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</si>
  <si>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</si>
  <si>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</si>
  <si>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</si>
  <si>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</si>
  <si>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</si>
  <si>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</si>
  <si>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</si>
  <si>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</si>
  <si>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</si>
  <si>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</si>
  <si>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</si>
  <si>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</si>
  <si>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</si>
  <si>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</si>
  <si>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</si>
  <si>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</si>
  <si>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</si>
  <si>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</si>
  <si>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</si>
  <si>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</si>
  <si>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</si>
  <si>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</si>
  <si>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</si>
  <si>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</si>
  <si>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</si>
  <si>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</si>
  <si>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</si>
  <si>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</si>
  <si>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</si>
  <si>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</si>
  <si>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</si>
  <si>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</si>
  <si>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</si>
  <si>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</si>
  <si>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</si>
  <si>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</si>
  <si>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</si>
  <si>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</si>
  <si>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</si>
  <si>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</si>
  <si>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</si>
  <si>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</si>
  <si>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</si>
  <si>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</si>
  <si>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</si>
  <si>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</si>
  <si>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</si>
  <si>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</si>
  <si>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</si>
  <si>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</si>
  <si>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</si>
  <si>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</si>
  <si>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</si>
  <si>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铁木</t>
  </si>
  <si>
    <t>铁木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</si>
  <si>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</si>
  <si>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</si>
  <si>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</si>
  <si>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</si>
  <si>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</si>
  <si>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</si>
  <si>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</si>
  <si>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</si>
  <si>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松木板</t>
    <phoneticPr fontId="13" type="noConversion"/>
  </si>
  <si>
    <t>铁木板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</si>
  <si>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</si>
  <si>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</si>
  <si>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</si>
  <si>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</si>
  <si>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</si>
  <si>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</si>
  <si>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</si>
  <si>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</si>
  <si>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</si>
  <si>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</si>
  <si>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</si>
  <si>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</si>
  <si>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</si>
  <si>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</si>
  <si>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</si>
  <si>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</si>
  <si>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</si>
  <si>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</si>
  <si>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</si>
  <si>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</si>
  <si>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</si>
  <si>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</si>
  <si>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</si>
  <si>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</si>
  <si>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</si>
  <si>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</si>
  <si>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</si>
  <si>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</si>
  <si>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</si>
  <si>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</si>
  <si>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</si>
  <si>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</si>
  <si>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</si>
  <si>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</si>
  <si>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</si>
  <si>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</si>
  <si>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</si>
  <si>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</si>
  <si>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</si>
  <si>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</si>
  <si>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</si>
  <si>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</si>
  <si>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</si>
  <si>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</si>
  <si>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</si>
  <si>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</si>
  <si>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</si>
  <si>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</si>
  <si>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</si>
  <si>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</si>
  <si>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</si>
  <si>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</si>
  <si>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</si>
  <si>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</si>
  <si>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</si>
  <si>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</si>
  <si>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</si>
  <si>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</si>
  <si>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</si>
  <si>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</si>
  <si>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</si>
  <si>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</si>
  <si>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</si>
  <si>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</si>
  <si>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</si>
  <si>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</si>
  <si>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</si>
  <si>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</si>
  <si>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</si>
  <si>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</si>
  <si>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</si>
  <si>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</si>
  <si>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</si>
  <si>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</si>
  <si>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</si>
  <si>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</si>
  <si>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</si>
  <si>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</si>
  <si>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</si>
  <si>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</si>
  <si>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</si>
  <si>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</si>
  <si>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</si>
  <si>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</si>
  <si>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</si>
  <si>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</si>
  <si>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</si>
  <si>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</si>
  <si>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</si>
  <si>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</si>
  <si>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</si>
  <si>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</si>
  <si>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</si>
  <si>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</si>
  <si>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</si>
  <si>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</si>
  <si>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</si>
  <si>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</si>
  <si>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</si>
  <si>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</si>
  <si>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</si>
  <si>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</si>
  <si>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</si>
  <si>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</si>
  <si>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</si>
  <si>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</si>
  <si>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</si>
  <si>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</si>
  <si>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</si>
  <si>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</si>
  <si>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</si>
  <si>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</si>
  <si>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</si>
  <si>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</si>
  <si>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</si>
  <si>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</si>
  <si>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</si>
  <si>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</si>
  <si>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</si>
  <si>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</si>
  <si>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</si>
  <si>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</si>
  <si>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</si>
  <si>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</si>
  <si>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</si>
  <si>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</si>
  <si>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</si>
  <si>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</si>
  <si>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</si>
  <si>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</si>
  <si>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</si>
  <si>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</si>
  <si>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</si>
  <si>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</si>
  <si>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</si>
  <si>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</si>
  <si>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1/n+[（（个人总贡献+k1）/（庄园内所有玩家总贡献+nk））-1/n]*k2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</si>
  <si>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</si>
  <si>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</si>
  <si>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</si>
  <si>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</si>
  <si>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</si>
  <si>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</si>
  <si>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</si>
  <si>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</si>
  <si>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</si>
  <si>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</si>
  <si>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</si>
  <si>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</si>
  <si>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</si>
  <si>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</si>
  <si>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</si>
  <si>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</si>
  <si>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</si>
  <si>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</si>
  <si>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</si>
  <si>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</si>
  <si>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</si>
  <si>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</si>
  <si>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</si>
  <si>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</si>
  <si>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</si>
  <si>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</si>
  <si>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</si>
  <si>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</si>
  <si>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</si>
  <si>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</si>
  <si>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</si>
  <si>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</si>
  <si>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</si>
  <si>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</si>
  <si>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</si>
  <si>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</si>
  <si>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</si>
  <si>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</si>
  <si>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</si>
  <si>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</si>
  <si>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</si>
  <si>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</si>
  <si>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</si>
  <si>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</si>
  <si>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</si>
  <si>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</si>
  <si>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</si>
  <si>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</si>
  <si>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</si>
  <si>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</si>
  <si>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</si>
  <si>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</si>
  <si>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</si>
  <si>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</si>
  <si>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</si>
  <si>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</si>
  <si>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</si>
  <si>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</si>
  <si>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</si>
  <si>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</si>
  <si>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</si>
  <si>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</si>
  <si>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</si>
  <si>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</si>
  <si>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</si>
  <si>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</si>
  <si>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</si>
  <si>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</si>
  <si>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初始+健康k1</t>
    <phoneticPr fontId="13" type="noConversion"/>
  </si>
  <si>
    <t>ATK我-k1DEF敌</t>
    <phoneticPr fontId="13" type="noConversion"/>
  </si>
  <si>
    <t>初始+心情k1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</si>
  <si>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</si>
  <si>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</si>
  <si>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</si>
  <si>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</si>
  <si>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</si>
  <si>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</si>
  <si>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</si>
  <si>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</si>
  <si>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</si>
  <si>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</si>
  <si>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</si>
  <si>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</si>
  <si>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</si>
  <si>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</si>
  <si>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</si>
  <si>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</si>
  <si>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</si>
  <si>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</si>
  <si>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</si>
  <si>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</si>
  <si>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</si>
  <si>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</si>
  <si>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</si>
  <si>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</si>
  <si>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</si>
  <si>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</si>
  <si>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</si>
  <si>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</si>
  <si>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</si>
  <si>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</si>
  <si>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</si>
  <si>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</si>
  <si>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</si>
  <si>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</si>
  <si>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</si>
  <si>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</si>
  <si>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</si>
  <si>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</si>
  <si>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</si>
  <si>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</si>
  <si>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</si>
  <si>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</si>
  <si>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</si>
  <si>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</si>
  <si>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</si>
  <si>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</si>
  <si>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</si>
  <si>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</si>
  <si>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</si>
  <si>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</si>
  <si>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</si>
  <si>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</si>
  <si>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</si>
  <si>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</si>
  <si>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</si>
  <si>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</si>
  <si>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</si>
  <si>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</si>
  <si>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</si>
  <si>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</si>
  <si>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</si>
  <si>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</si>
  <si>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</si>
  <si>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</si>
  <si>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</si>
  <si>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</si>
  <si>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</si>
  <si>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</si>
  <si>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</si>
  <si>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</si>
  <si>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</si>
  <si>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</si>
  <si>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</si>
  <si>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</si>
  <si>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</si>
  <si>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</si>
  <si>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</si>
  <si>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</si>
  <si>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</si>
  <si>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</si>
  <si>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</si>
  <si>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</si>
  <si>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</si>
  <si>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</si>
  <si>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</si>
  <si>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</si>
  <si>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</si>
  <si>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</si>
  <si>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</si>
  <si>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</si>
  <si>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</si>
  <si>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</si>
  <si>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</si>
  <si>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</si>
  <si>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</si>
  <si>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</si>
  <si>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</si>
  <si>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</si>
  <si>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</si>
  <si>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</si>
  <si>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</si>
  <si>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</si>
  <si>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</si>
  <si>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</si>
  <si>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</si>
  <si>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</si>
  <si>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</si>
  <si>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</si>
  <si>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</si>
  <si>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</si>
  <si>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</si>
  <si>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</si>
  <si>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</si>
  <si>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</si>
  <si>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</si>
  <si>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</si>
  <si>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</si>
  <si>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</si>
  <si>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</si>
  <si>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</si>
  <si>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</si>
  <si>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</si>
  <si>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</si>
  <si>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</si>
  <si>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</si>
  <si>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</si>
  <si>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</si>
  <si>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</si>
  <si>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</si>
  <si>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</si>
  <si>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</si>
  <si>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</si>
  <si>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</si>
  <si>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</si>
  <si>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</si>
  <si>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</si>
  <si>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</si>
  <si>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</si>
  <si>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</si>
  <si>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</si>
  <si>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</si>
  <si>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</si>
  <si>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</si>
  <si>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</si>
  <si>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</si>
  <si>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</si>
  <si>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</si>
  <si>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</si>
  <si>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</si>
  <si>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</si>
  <si>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</si>
  <si>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</si>
  <si>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</si>
  <si>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</si>
  <si>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</si>
  <si>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</si>
  <si>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</si>
  <si>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</si>
  <si>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</si>
  <si>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</si>
  <si>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</si>
  <si>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aidkit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</si>
  <si>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</si>
  <si>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</si>
  <si>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</si>
  <si>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</si>
  <si>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</si>
  <si>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</si>
  <si>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</si>
  <si>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</si>
  <si>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</si>
  <si>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</si>
  <si>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</si>
  <si>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</si>
  <si>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</si>
  <si>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</si>
  <si>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</si>
  <si>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</si>
  <si>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</si>
  <si>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</si>
  <si>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</si>
  <si>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</si>
  <si>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</si>
  <si>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</si>
  <si>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</si>
  <si>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</si>
  <si>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</si>
  <si>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</si>
  <si>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</si>
  <si>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</si>
  <si>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</si>
  <si>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</si>
  <si>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</si>
  <si>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</si>
  <si>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</si>
  <si>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</si>
  <si>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</si>
  <si>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</si>
  <si>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</si>
  <si>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</si>
  <si>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</si>
  <si>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</si>
  <si>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</si>
  <si>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</si>
  <si>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</si>
  <si>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</si>
  <si>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</si>
  <si>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</si>
  <si>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</si>
  <si>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</si>
  <si>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</si>
  <si>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</si>
  <si>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</si>
  <si>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</si>
  <si>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</si>
  <si>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</si>
  <si>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</si>
  <si>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</si>
  <si>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</si>
  <si>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</si>
  <si>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</si>
  <si>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</si>
  <si>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事件描述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</si>
  <si>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</si>
  <si>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</si>
  <si>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</si>
  <si>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</si>
  <si>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</si>
  <si>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</si>
  <si>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</si>
  <si>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</si>
  <si>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</si>
  <si>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</si>
  <si>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</si>
  <si>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</si>
  <si>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</si>
  <si>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</si>
  <si>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</si>
  <si>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</si>
  <si>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</si>
  <si>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</si>
  <si>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</si>
  <si>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</si>
  <si>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</si>
  <si>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</si>
  <si>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</si>
  <si>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</si>
  <si>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</si>
  <si>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</si>
  <si>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</si>
  <si>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</si>
  <si>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</si>
  <si>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</si>
  <si>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</si>
  <si>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</si>
  <si>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</si>
  <si>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</si>
  <si>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</si>
  <si>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</si>
  <si>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</si>
  <si>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</si>
  <si>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</si>
  <si>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</si>
  <si>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</si>
  <si>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</si>
  <si>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</si>
  <si>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</si>
  <si>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</si>
  <si>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</si>
  <si>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</si>
  <si>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</si>
  <si>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</si>
  <si>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</si>
  <si>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</si>
  <si>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</si>
  <si>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</si>
  <si>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</si>
  <si>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</si>
  <si>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</si>
  <si>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</si>
  <si>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</si>
  <si>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</si>
  <si>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</si>
  <si>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</si>
  <si>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</si>
  <si>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</si>
  <si>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</si>
  <si>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</si>
  <si>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</si>
  <si>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</si>
  <si>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</si>
  <si>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</si>
  <si>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</si>
  <si>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</si>
  <si>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</si>
  <si>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</si>
  <si>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</si>
  <si>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</si>
  <si>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</si>
  <si>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</si>
  <si>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</si>
  <si>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</si>
  <si>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</si>
  <si>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</si>
  <si>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</si>
  <si>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</si>
  <si>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</si>
  <si>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临时容量key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</si>
  <si>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</si>
  <si>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</si>
  <si>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</si>
  <si>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</si>
  <si>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</si>
  <si>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</si>
  <si>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</si>
  <si>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</si>
  <si>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</si>
  <si>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</si>
  <si>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</si>
  <si>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</si>
  <si>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</si>
  <si>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</si>
  <si>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</si>
  <si>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</si>
  <si>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</si>
  <si>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</si>
  <si>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</si>
  <si>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</si>
  <si>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</si>
  <si>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</si>
  <si>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</si>
  <si>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</si>
  <si>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</si>
  <si>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</si>
  <si>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</si>
  <si>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</si>
  <si>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太阳电磁暴Ⅰ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</si>
  <si>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</si>
  <si>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</si>
  <si>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</si>
  <si>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</si>
  <si>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</si>
  <si>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</si>
  <si>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</si>
  <si>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</si>
  <si>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</si>
  <si>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</si>
  <si>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</si>
  <si>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</si>
  <si>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</si>
  <si>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</si>
  <si>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</si>
  <si>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</si>
  <si>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</si>
  <si>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</si>
  <si>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</si>
  <si>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</si>
  <si>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</si>
  <si>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</si>
  <si>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</si>
  <si>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</si>
  <si>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</si>
  <si>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</si>
  <si>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</si>
  <si>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</si>
  <si>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</si>
  <si>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</si>
  <si>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</si>
  <si>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</si>
  <si>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</si>
  <si>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</si>
  <si>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</si>
  <si>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</si>
  <si>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</si>
  <si>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</si>
  <si>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</si>
  <si>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</si>
  <si>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</si>
  <si>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</si>
  <si>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</si>
  <si>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</si>
  <si>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</si>
  <si>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</si>
  <si>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</si>
  <si>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</si>
  <si>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</si>
  <si>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</si>
  <si>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</si>
  <si>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</si>
  <si>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</si>
  <si>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</si>
  <si>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</si>
  <si>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</si>
  <si>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</si>
  <si>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</si>
  <si>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</si>
  <si>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</si>
  <si>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</si>
  <si>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</si>
  <si>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</si>
  <si>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</si>
  <si>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</si>
  <si>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</si>
  <si>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</si>
  <si>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</si>
  <si>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</si>
  <si>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</si>
  <si>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</si>
  <si>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</si>
  <si>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</si>
  <si>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</si>
  <si>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</si>
  <si>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</si>
  <si>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</si>
  <si>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</si>
  <si>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</si>
  <si>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</si>
  <si>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</si>
  <si>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</si>
  <si>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</si>
  <si>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</si>
  <si>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</si>
  <si>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</si>
  <si>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</si>
  <si>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</si>
  <si>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</si>
  <si>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</si>
  <si>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</si>
  <si>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</si>
  <si>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</si>
  <si>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</si>
  <si>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</si>
  <si>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</si>
  <si>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</si>
  <si>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</si>
  <si>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</si>
  <si>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</si>
  <si>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</si>
  <si>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</si>
  <si>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</si>
  <si>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</si>
  <si>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</si>
  <si>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</si>
  <si>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</si>
  <si>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</si>
  <si>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事件新闻描述</t>
    <phoneticPr fontId="13" type="noConversion"/>
  </si>
  <si>
    <t>event_news</t>
    <phoneticPr fontId="13" type="noConversion"/>
  </si>
  <si>
    <t>event_newsdetail</t>
    <phoneticPr fontId="13" type="noConversion"/>
  </si>
  <si>
    <t>大量僵尸在庄园周边集结</t>
    <phoneticPr fontId="13" type="noConversion"/>
  </si>
  <si>
    <t>事件新闻后果</t>
    <phoneticPr fontId="13" type="noConversion"/>
  </si>
  <si>
    <t>有可能会影响到僵尸的强度、武器的价格</t>
    <phoneticPr fontId="13" type="noConversion"/>
  </si>
  <si>
    <t>幸存者电台警示：将有大量..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</si>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</sst>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80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6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80" fontId="5" fillId="8" borderId="0" xfId="1" applyNumberFormat="1" applyFont="1" applyFill="1" applyBorder="1" applyAlignment="1">
      <alignment horizontal="center" vertical="center"/>
    </xf>
    <xf numFmtId="180" fontId="5" fillId="8" borderId="0" xfId="1" applyNumberFormat="1" applyFont="1" applyFill="1" applyBorder="1" applyAlignment="1">
      <alignment horizontal="center" vertical="center" wrapText="1"/>
    </xf>
    <xf numFmtId="180" fontId="5" fillId="8" borderId="1" xfId="1" applyNumberFormat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586</v>
      </c>
    </row>
    <row r="16" spans="1:7" x14ac:dyDescent="0.15">
      <c r="B16" s="44">
        <v>2</v>
      </c>
      <c r="D16" s="44" t="s">
        <v>258</v>
      </c>
      <c r="F16" s="44" t="s">
        <v>587</v>
      </c>
    </row>
    <row r="17" spans="2:6" x14ac:dyDescent="0.15">
      <c r="B17" s="44">
        <v>3</v>
      </c>
      <c r="D17" s="44" t="s">
        <v>257</v>
      </c>
      <c r="F17" s="44" t="s">
        <v>697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617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499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45"/>
  <sheetViews>
    <sheetView topLeftCell="AC1" zoomScaleNormal="100" workbookViewId="0">
      <selection activeCell="AI5" sqref="AI5:AI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9" bestFit="1" customWidth="1"/>
    <col min="33" max="33" width="21.125" style="10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1141</v>
      </c>
      <c r="M1" s="9" t="s">
        <v>844</v>
      </c>
      <c r="N1" s="9" t="s">
        <v>614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9" t="s">
        <v>60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1142</v>
      </c>
      <c r="M2" s="9" t="s">
        <v>843</v>
      </c>
      <c r="N2" s="9" t="s">
        <v>495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495</v>
      </c>
      <c r="X2" s="9" t="s">
        <v>517</v>
      </c>
      <c r="Y2" s="11" t="s">
        <v>61</v>
      </c>
      <c r="AA2" s="9" t="s">
        <v>517</v>
      </c>
      <c r="AC2" s="9" t="s">
        <v>62</v>
      </c>
      <c r="AD2" s="9" t="s">
        <v>61</v>
      </c>
      <c r="AF2" s="9" t="s">
        <v>61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1143</v>
      </c>
      <c r="M3" s="9" t="s">
        <v>977</v>
      </c>
      <c r="N3" s="9" t="s">
        <v>979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497</v>
      </c>
      <c r="X3" s="9" t="s">
        <v>544</v>
      </c>
      <c r="Y3" s="11" t="s">
        <v>568</v>
      </c>
      <c r="AA3" s="9" t="s">
        <v>518</v>
      </c>
      <c r="AC3" s="9" t="s">
        <v>335</v>
      </c>
      <c r="AD3" s="9" t="s">
        <v>340</v>
      </c>
      <c r="AF3" s="9" t="s">
        <v>425</v>
      </c>
      <c r="AI3" s="56" t="s">
        <v>449</v>
      </c>
      <c r="AM3" s="31" t="s">
        <v>246</v>
      </c>
      <c r="AN3" s="30"/>
      <c r="AO3" s="31" t="s">
        <v>427</v>
      </c>
      <c r="AP3" s="30"/>
      <c r="AQ3" s="31" t="s">
        <v>498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569</v>
      </c>
      <c r="I4" s="27" t="s">
        <v>239</v>
      </c>
      <c r="J4" s="78" t="s">
        <v>354</v>
      </c>
      <c r="K4" s="27" t="s">
        <v>240</v>
      </c>
      <c r="L4" s="27" t="s">
        <v>1144</v>
      </c>
      <c r="M4" s="27" t="s">
        <v>978</v>
      </c>
      <c r="N4" s="27" t="s">
        <v>978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496</v>
      </c>
      <c r="V4" s="78" t="s">
        <v>566</v>
      </c>
      <c r="W4" s="86" t="s">
        <v>548</v>
      </c>
      <c r="X4" s="27" t="s">
        <v>546</v>
      </c>
      <c r="Y4" s="89" t="s">
        <v>576</v>
      </c>
      <c r="Z4" s="86" t="s">
        <v>547</v>
      </c>
      <c r="AA4" s="27" t="s">
        <v>545</v>
      </c>
      <c r="AB4" s="78" t="s">
        <v>565</v>
      </c>
      <c r="AC4" s="27" t="s">
        <v>334</v>
      </c>
      <c r="AD4" s="27" t="s">
        <v>339</v>
      </c>
      <c r="AE4" s="78" t="s">
        <v>424</v>
      </c>
      <c r="AF4" s="27" t="s">
        <v>604</v>
      </c>
      <c r="AG4" s="91" t="s">
        <v>1159</v>
      </c>
      <c r="AH4" s="78" t="s">
        <v>567</v>
      </c>
      <c r="AI4" s="90" t="s">
        <v>702</v>
      </c>
      <c r="AJ4" s="91" t="s">
        <v>1158</v>
      </c>
      <c r="AK4" s="184" t="s">
        <v>603</v>
      </c>
      <c r="AL4" s="78" t="s">
        <v>171</v>
      </c>
      <c r="AM4" s="66" t="s">
        <v>318</v>
      </c>
      <c r="AN4" s="65" t="s">
        <v>1156</v>
      </c>
      <c r="AO4" s="66" t="s">
        <v>426</v>
      </c>
      <c r="AP4" s="65" t="s">
        <v>1155</v>
      </c>
      <c r="AQ4" s="66" t="s">
        <v>433</v>
      </c>
      <c r="AR4" s="65" t="s">
        <v>1157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577</v>
      </c>
      <c r="L5" s="16">
        <v>1</v>
      </c>
      <c r="M5" s="16" t="s">
        <v>997</v>
      </c>
      <c r="N5" s="16" t="s">
        <v>996</v>
      </c>
      <c r="O5" s="16">
        <v>1</v>
      </c>
      <c r="P5" s="16">
        <v>15</v>
      </c>
      <c r="Q5" s="16" t="s">
        <v>790</v>
      </c>
      <c r="R5" s="17"/>
      <c r="S5" s="17"/>
      <c r="T5" s="18"/>
      <c r="U5" s="16" t="s">
        <v>714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549</v>
      </c>
      <c r="AA5" s="16">
        <f ca="1">IFERROR(OFFSET(ITEM_RES!$A$5,MATCH(BUILDING!Z5,ITEM_RES!$J$5:$J$226,0)-1,0),0)</f>
        <v>211010101</v>
      </c>
      <c r="AB5" s="79"/>
      <c r="AC5" s="16" t="s">
        <v>519</v>
      </c>
      <c r="AD5" s="16">
        <v>1</v>
      </c>
      <c r="AE5" s="79"/>
      <c r="AF5" s="16">
        <v>0</v>
      </c>
      <c r="AG5" s="17">
        <v>1</v>
      </c>
      <c r="AH5" s="79"/>
      <c r="AI5" s="57">
        <f t="shared" ref="AI5:AI24" ca="1" si="3">ROUND(AJ5,0)</f>
        <v>111</v>
      </c>
      <c r="AJ5" s="181">
        <f ca="1">AO5+AQ5+(IFERROR(OFFSET(ITEM_RES!$T$1,MATCH(AU5,ITEM_RES!$A:$A,0)-1,0),0)*AW5+IFERROR(OFFSET(ITEM_RES!$T$1,MATCH(AZ5,ITEM_RES!$A:$A,0)-1,0),0)*BB5+IFERROR(OFFSET(ITEM_RES!$T$1,MATCH(BE5,ITEM_RES!$A:$A,0)-1,0),0)*BG5+IFERROR(OFFSET(ITEM_RES!$T$1,MATCH(BJ5,ITEM_RES!$A:$A,0)-1,0),0)*BL5+IFERROR(OFFSET(ITEM_RES!$T$1,MATCH(BO5,ITEM_RES!$A:$A,0)-1,0),0)*BQ5)/1000</f>
        <v>110.75</v>
      </c>
      <c r="AK5" s="185">
        <f ca="1">ROUND(AJ5,0)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434</v>
      </c>
      <c r="AW5" s="18">
        <v>25</v>
      </c>
      <c r="AX5" s="17"/>
      <c r="AY5" s="18"/>
      <c r="AZ5" s="18">
        <f ca="1">IFERROR(OFFSET(ITEM_RES!$A$1,MATCH(BA5,ITEM_RES!$J:$J,0)-1,0),0)</f>
        <v>211020101</v>
      </c>
      <c r="BA5" s="17" t="s">
        <v>457</v>
      </c>
      <c r="BB5" s="18">
        <v>25</v>
      </c>
      <c r="BC5" s="17"/>
      <c r="BD5" s="18"/>
      <c r="BE5" s="18">
        <f ca="1">IFERROR(OFFSET(ITEM_RES!$A$1,MATCH(BF5,ITEM_RES!$J:$J,0)-1,0),0)</f>
        <v>213010101</v>
      </c>
      <c r="BF5" s="17" t="s">
        <v>463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577</v>
      </c>
      <c r="M6" s="9" t="s">
        <v>959</v>
      </c>
      <c r="N6" s="9" t="s">
        <v>980</v>
      </c>
      <c r="O6" s="9">
        <v>1</v>
      </c>
      <c r="P6" s="9">
        <v>15</v>
      </c>
      <c r="Q6" s="9" t="s">
        <v>790</v>
      </c>
      <c r="U6" s="9" t="s">
        <v>709</v>
      </c>
      <c r="X6" s="9">
        <f ca="1">IFERROR(OFFSET(ITEM_RES!$A$5,MATCH(BUILDING!W6,ITEM_RES!$J$5:$J$226,0)-1,0),0)</f>
        <v>0</v>
      </c>
      <c r="Z6" s="85" t="s">
        <v>549</v>
      </c>
      <c r="AA6" s="9">
        <f ca="1">IFERROR(OFFSET(ITEM_RES!$A$5,MATCH(BUILDING!Z6,ITEM_RES!$J$5:$J$226,0)-1,0),0)</f>
        <v>211010101</v>
      </c>
      <c r="AC6" s="9" t="s">
        <v>519</v>
      </c>
      <c r="AD6" s="9">
        <v>2</v>
      </c>
      <c r="AF6" s="9">
        <v>200</v>
      </c>
      <c r="AG6" s="10">
        <v>2</v>
      </c>
      <c r="AI6" s="56">
        <f t="shared" ca="1" si="3"/>
        <v>22</v>
      </c>
      <c r="AJ6" s="10">
        <f ca="1">AO6+AQ6+(IFERROR(OFFSET(ITEM_RES!$T$1,MATCH(AU6,ITEM_RES!$A:$A,0)-1,0),0)*AW6+IFERROR(OFFSET(ITEM_RES!$T$1,MATCH(AZ6,ITEM_RES!$A:$A,0)-1,0),0)*BB6+IFERROR(OFFSET(ITEM_RES!$T$1,MATCH(BE6,ITEM_RES!$A:$A,0)-1,0),0)*BG6+IFERROR(OFFSET(ITEM_RES!$T$1,MATCH(BJ6,ITEM_RES!$A:$A,0)-1,0),0)*BL6+IFERROR(OFFSET(ITEM_RES!$T$1,MATCH(BO6,ITEM_RES!$A:$A,0)-1,0),0)*BQ6)/1000</f>
        <v>21.5</v>
      </c>
      <c r="AK6" s="183">
        <f t="shared" ref="AK6:AK24" ca="1" si="6">AJ5+AJ6</f>
        <v>132.25</v>
      </c>
      <c r="AM6" s="11">
        <f t="shared" si="4"/>
        <v>10</v>
      </c>
      <c r="AN6" s="10">
        <v>10</v>
      </c>
      <c r="AO6" s="11">
        <f t="shared" ref="AO6:AQ89" si="7">ROUND(AP6,0)</f>
        <v>10</v>
      </c>
      <c r="AP6" s="10">
        <v>10</v>
      </c>
      <c r="AQ6" s="11">
        <f t="shared" si="7"/>
        <v>10</v>
      </c>
      <c r="AR6" s="10">
        <v>10</v>
      </c>
      <c r="AS6" s="56">
        <f t="shared" ref="AS6:AS69" si="8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434</v>
      </c>
      <c r="AW6" s="11">
        <v>50</v>
      </c>
      <c r="AZ6" s="11">
        <f ca="1">IFERROR(OFFSET(ITEM_RES!$A$1,MATCH(BA6,ITEM_RES!$J:$J,0)-1,0),0)</f>
        <v>211020101</v>
      </c>
      <c r="BA6" s="10" t="s">
        <v>457</v>
      </c>
      <c r="BB6" s="11">
        <v>50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577</v>
      </c>
      <c r="M7" s="9" t="s">
        <v>959</v>
      </c>
      <c r="N7" s="9" t="s">
        <v>980</v>
      </c>
      <c r="O7" s="9">
        <v>1</v>
      </c>
      <c r="P7" s="9">
        <v>15</v>
      </c>
      <c r="Q7" s="9" t="s">
        <v>790</v>
      </c>
      <c r="U7" s="9" t="s">
        <v>709</v>
      </c>
      <c r="X7" s="9">
        <f ca="1">IFERROR(OFFSET(ITEM_RES!$A$5,MATCH(BUILDING!W7,ITEM_RES!$J$5:$J$226,0)-1,0),0)</f>
        <v>0</v>
      </c>
      <c r="Z7" s="85" t="s">
        <v>549</v>
      </c>
      <c r="AA7" s="9">
        <f ca="1">IFERROR(OFFSET(ITEM_RES!$A$5,MATCH(BUILDING!Z7,ITEM_RES!$J$5:$J$226,0)-1,0),0)</f>
        <v>211010101</v>
      </c>
      <c r="AC7" s="9" t="s">
        <v>519</v>
      </c>
      <c r="AD7" s="9">
        <v>3</v>
      </c>
      <c r="AF7" s="9">
        <v>600</v>
      </c>
      <c r="AG7" s="10">
        <v>3</v>
      </c>
      <c r="AI7" s="56">
        <f t="shared" ca="1" si="3"/>
        <v>32</v>
      </c>
      <c r="AJ7" s="182">
        <f ca="1">AO7+AQ7+(IFERROR(OFFSET(ITEM_RES!$T$1,MATCH(AU7,ITEM_RES!$A:$A,0)-1,0),0)*AW7+IFERROR(OFFSET(ITEM_RES!$T$1,MATCH(AZ7,ITEM_RES!$A:$A,0)-1,0),0)*BB7+IFERROR(OFFSET(ITEM_RES!$T$1,MATCH(BE7,ITEM_RES!$A:$A,0)-1,0),0)*BG7+IFERROR(OFFSET(ITEM_RES!$T$1,MATCH(BJ7,ITEM_RES!$A:$A,0)-1,0),0)*BL7+IFERROR(OFFSET(ITEM_RES!$T$1,MATCH(BO7,ITEM_RES!$A:$A,0)-1,0),0)*BQ7)/1000</f>
        <v>32.25</v>
      </c>
      <c r="AK7" s="183">
        <f t="shared" ca="1" si="6"/>
        <v>53.75</v>
      </c>
      <c r="AM7" s="11">
        <f t="shared" si="4"/>
        <v>15</v>
      </c>
      <c r="AN7" s="10">
        <v>15</v>
      </c>
      <c r="AO7" s="11">
        <f t="shared" si="7"/>
        <v>15</v>
      </c>
      <c r="AP7" s="10">
        <v>15</v>
      </c>
      <c r="AQ7" s="11">
        <f t="shared" si="7"/>
        <v>15</v>
      </c>
      <c r="AR7" s="10">
        <v>15</v>
      </c>
      <c r="AS7" s="56">
        <f t="shared" si="8"/>
        <v>2</v>
      </c>
      <c r="AU7" s="11">
        <f ca="1">IFERROR(OFFSET(ITEM_RES!$A$1,MATCH(AV7,ITEM_RES!$J:$J,0)-1,0),0)</f>
        <v>211010501</v>
      </c>
      <c r="AV7" s="10" t="s">
        <v>434</v>
      </c>
      <c r="AW7" s="11">
        <v>75</v>
      </c>
      <c r="AZ7" s="11">
        <f ca="1">IFERROR(OFFSET(ITEM_RES!$A$1,MATCH(BA7,ITEM_RES!$J:$J,0)-1,0),0)</f>
        <v>211020101</v>
      </c>
      <c r="BA7" s="10" t="s">
        <v>457</v>
      </c>
      <c r="BB7" s="11">
        <v>75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577</v>
      </c>
      <c r="M8" s="9" t="s">
        <v>959</v>
      </c>
      <c r="N8" s="9" t="s">
        <v>980</v>
      </c>
      <c r="O8" s="9">
        <v>1</v>
      </c>
      <c r="P8" s="9">
        <v>15</v>
      </c>
      <c r="Q8" s="9" t="s">
        <v>790</v>
      </c>
      <c r="U8" s="9" t="s">
        <v>710</v>
      </c>
      <c r="X8" s="9">
        <f ca="1">IFERROR(OFFSET(ITEM_RES!$A$5,MATCH(BUILDING!W8,ITEM_RES!$J$5:$J$226,0)-1,0),0)</f>
        <v>0</v>
      </c>
      <c r="Z8" s="85" t="s">
        <v>549</v>
      </c>
      <c r="AA8" s="9">
        <f ca="1">IFERROR(OFFSET(ITEM_RES!$A$5,MATCH(BUILDING!Z8,ITEM_RES!$J$5:$J$226,0)-1,0),0)</f>
        <v>211010101</v>
      </c>
      <c r="AC8" s="9" t="s">
        <v>519</v>
      </c>
      <c r="AD8" s="9">
        <v>4</v>
      </c>
      <c r="AF8" s="9">
        <v>1000</v>
      </c>
      <c r="AG8" s="10">
        <v>4</v>
      </c>
      <c r="AI8" s="56">
        <f t="shared" ca="1" si="3"/>
        <v>54</v>
      </c>
      <c r="AJ8" s="10">
        <f ca="1">AO8+AQ8+(IFERROR(OFFSET(ITEM_RES!$T$1,MATCH(AU8,ITEM_RES!$A:$A,0)-1,0),0)*AW8+IFERROR(OFFSET(ITEM_RES!$T$1,MATCH(AZ8,ITEM_RES!$A:$A,0)-1,0),0)*BB8+IFERROR(OFFSET(ITEM_RES!$T$1,MATCH(BE8,ITEM_RES!$A:$A,0)-1,0),0)*BG8+IFERROR(OFFSET(ITEM_RES!$T$1,MATCH(BJ8,ITEM_RES!$A:$A,0)-1,0),0)*BL8+IFERROR(OFFSET(ITEM_RES!$T$1,MATCH(BO8,ITEM_RES!$A:$A,0)-1,0),0)*BQ8)/1000</f>
        <v>53.75</v>
      </c>
      <c r="AK8" s="183">
        <f t="shared" ca="1" si="6"/>
        <v>86</v>
      </c>
      <c r="AM8" s="11">
        <f t="shared" si="4"/>
        <v>20</v>
      </c>
      <c r="AN8" s="10">
        <v>20</v>
      </c>
      <c r="AO8" s="11">
        <f t="shared" si="7"/>
        <v>25</v>
      </c>
      <c r="AP8" s="10">
        <v>25</v>
      </c>
      <c r="AQ8" s="11">
        <f t="shared" si="7"/>
        <v>25</v>
      </c>
      <c r="AR8" s="10">
        <v>25</v>
      </c>
      <c r="AS8" s="56">
        <f t="shared" si="8"/>
        <v>2</v>
      </c>
      <c r="AU8" s="11">
        <f ca="1">IFERROR(OFFSET(ITEM_RES!$A$1,MATCH(AV8,ITEM_RES!$J:$J,0)-1,0),0)</f>
        <v>211010501</v>
      </c>
      <c r="AV8" s="10" t="s">
        <v>434</v>
      </c>
      <c r="AW8" s="11">
        <v>125</v>
      </c>
      <c r="AZ8" s="11">
        <f ca="1">IFERROR(OFFSET(ITEM_RES!$A$1,MATCH(BA8,ITEM_RES!$J:$J,0)-1,0),0)</f>
        <v>211020101</v>
      </c>
      <c r="BA8" s="10" t="s">
        <v>457</v>
      </c>
      <c r="BB8" s="11">
        <v>125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577</v>
      </c>
      <c r="M9" s="9" t="s">
        <v>959</v>
      </c>
      <c r="N9" s="9" t="s">
        <v>980</v>
      </c>
      <c r="O9" s="9">
        <v>1</v>
      </c>
      <c r="P9" s="9">
        <v>15</v>
      </c>
      <c r="Q9" s="9" t="s">
        <v>790</v>
      </c>
      <c r="U9" s="9" t="s">
        <v>710</v>
      </c>
      <c r="X9" s="9">
        <f ca="1">IFERROR(OFFSET(ITEM_RES!$A$5,MATCH(BUILDING!W9,ITEM_RES!$J$5:$J$226,0)-1,0),0)</f>
        <v>0</v>
      </c>
      <c r="Z9" s="85" t="s">
        <v>549</v>
      </c>
      <c r="AA9" s="9">
        <f ca="1">IFERROR(OFFSET(ITEM_RES!$A$5,MATCH(BUILDING!Z9,ITEM_RES!$J$5:$J$226,0)-1,0),0)</f>
        <v>211010101</v>
      </c>
      <c r="AC9" s="9" t="s">
        <v>519</v>
      </c>
      <c r="AD9" s="9">
        <v>5</v>
      </c>
      <c r="AF9" s="9">
        <v>1600</v>
      </c>
      <c r="AG9" s="10">
        <v>5</v>
      </c>
      <c r="AI9" s="56">
        <f t="shared" ca="1" si="3"/>
        <v>86</v>
      </c>
      <c r="AJ9" s="10">
        <f ca="1">AO9+AQ9+(IFERROR(OFFSET(ITEM_RES!$T$1,MATCH(AU9,ITEM_RES!$A:$A,0)-1,0),0)*AW9+IFERROR(OFFSET(ITEM_RES!$T$1,MATCH(AZ9,ITEM_RES!$A:$A,0)-1,0),0)*BB9+IFERROR(OFFSET(ITEM_RES!$T$1,MATCH(BE9,ITEM_RES!$A:$A,0)-1,0),0)*BG9+IFERROR(OFFSET(ITEM_RES!$T$1,MATCH(BJ9,ITEM_RES!$A:$A,0)-1,0),0)*BL9+IFERROR(OFFSET(ITEM_RES!$T$1,MATCH(BO9,ITEM_RES!$A:$A,0)-1,0),0)*BQ9)/1000</f>
        <v>86</v>
      </c>
      <c r="AK9" s="183">
        <f t="shared" ca="1" si="6"/>
        <v>139.75</v>
      </c>
      <c r="AM9" s="11">
        <f t="shared" si="4"/>
        <v>25</v>
      </c>
      <c r="AN9" s="10">
        <v>25</v>
      </c>
      <c r="AO9" s="11">
        <f t="shared" si="7"/>
        <v>40</v>
      </c>
      <c r="AP9" s="10">
        <v>40</v>
      </c>
      <c r="AQ9" s="11">
        <f t="shared" si="7"/>
        <v>40</v>
      </c>
      <c r="AR9" s="10">
        <v>40</v>
      </c>
      <c r="AS9" s="56">
        <f t="shared" si="8"/>
        <v>2</v>
      </c>
      <c r="AU9" s="11">
        <f ca="1">IFERROR(OFFSET(ITEM_RES!$A$1,MATCH(AV9,ITEM_RES!$J:$J,0)-1,0),0)</f>
        <v>211010501</v>
      </c>
      <c r="AV9" s="10" t="s">
        <v>434</v>
      </c>
      <c r="AW9" s="11">
        <v>200</v>
      </c>
      <c r="AZ9" s="11">
        <f ca="1">IFERROR(OFFSET(ITEM_RES!$A$1,MATCH(BA9,ITEM_RES!$J:$J,0)-1,0),0)</f>
        <v>211020101</v>
      </c>
      <c r="BA9" s="10" t="s">
        <v>457</v>
      </c>
      <c r="BB9" s="11">
        <v>200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577</v>
      </c>
      <c r="M10" s="9" t="s">
        <v>959</v>
      </c>
      <c r="N10" s="9" t="s">
        <v>980</v>
      </c>
      <c r="O10" s="9">
        <v>1</v>
      </c>
      <c r="P10" s="9">
        <v>15</v>
      </c>
      <c r="Q10" s="9" t="s">
        <v>790</v>
      </c>
      <c r="U10" s="9" t="s">
        <v>710</v>
      </c>
      <c r="X10" s="9">
        <f ca="1">IFERROR(OFFSET(ITEM_RES!$A$5,MATCH(BUILDING!W10,ITEM_RES!$J$5:$J$226,0)-1,0),0)</f>
        <v>0</v>
      </c>
      <c r="Z10" s="85" t="s">
        <v>549</v>
      </c>
      <c r="AA10" s="9">
        <f ca="1">IFERROR(OFFSET(ITEM_RES!$A$5,MATCH(BUILDING!Z10,ITEM_RES!$J$5:$J$226,0)-1,0),0)</f>
        <v>211010101</v>
      </c>
      <c r="AC10" s="9" t="s">
        <v>519</v>
      </c>
      <c r="AD10" s="9">
        <v>6</v>
      </c>
      <c r="AF10" s="9">
        <v>2000</v>
      </c>
      <c r="AG10" s="10">
        <v>6</v>
      </c>
      <c r="AI10" s="56">
        <f t="shared" ca="1" si="3"/>
        <v>108</v>
      </c>
      <c r="AJ10" s="10">
        <f ca="1">AO10+AQ10+(IFERROR(OFFSET(ITEM_RES!$T$1,MATCH(AU10,ITEM_RES!$A:$A,0)-1,0),0)*AW10+IFERROR(OFFSET(ITEM_RES!$T$1,MATCH(AZ10,ITEM_RES!$A:$A,0)-1,0),0)*BB10+IFERROR(OFFSET(ITEM_RES!$T$1,MATCH(BE10,ITEM_RES!$A:$A,0)-1,0),0)*BG10+IFERROR(OFFSET(ITEM_RES!$T$1,MATCH(BJ10,ITEM_RES!$A:$A,0)-1,0),0)*BL10+IFERROR(OFFSET(ITEM_RES!$T$1,MATCH(BO10,ITEM_RES!$A:$A,0)-1,0),0)*BQ10)/1000</f>
        <v>107.5</v>
      </c>
      <c r="AK10" s="183">
        <f t="shared" ca="1" si="6"/>
        <v>193.5</v>
      </c>
      <c r="AM10" s="11">
        <f t="shared" si="4"/>
        <v>30</v>
      </c>
      <c r="AN10" s="10">
        <v>30</v>
      </c>
      <c r="AO10" s="11">
        <f t="shared" si="7"/>
        <v>50</v>
      </c>
      <c r="AP10" s="10">
        <v>50</v>
      </c>
      <c r="AQ10" s="11">
        <f t="shared" si="7"/>
        <v>50</v>
      </c>
      <c r="AR10" s="10">
        <v>50</v>
      </c>
      <c r="AS10" s="56">
        <f t="shared" si="8"/>
        <v>2</v>
      </c>
      <c r="AU10" s="11">
        <f ca="1">IFERROR(OFFSET(ITEM_RES!$A$1,MATCH(AV10,ITEM_RES!$J:$J,0)-1,0),0)</f>
        <v>211010501</v>
      </c>
      <c r="AV10" s="10" t="s">
        <v>434</v>
      </c>
      <c r="AW10" s="11">
        <v>250</v>
      </c>
      <c r="AZ10" s="11">
        <f ca="1">IFERROR(OFFSET(ITEM_RES!$A$1,MATCH(BA10,ITEM_RES!$J:$J,0)-1,0),0)</f>
        <v>211020101</v>
      </c>
      <c r="BA10" s="10" t="s">
        <v>457</v>
      </c>
      <c r="BB10" s="11">
        <v>250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577</v>
      </c>
      <c r="M11" s="9" t="s">
        <v>959</v>
      </c>
      <c r="N11" s="9" t="s">
        <v>980</v>
      </c>
      <c r="O11" s="9">
        <v>1</v>
      </c>
      <c r="P11" s="9">
        <v>15</v>
      </c>
      <c r="Q11" s="9" t="s">
        <v>790</v>
      </c>
      <c r="U11" s="9" t="s">
        <v>710</v>
      </c>
      <c r="X11" s="9">
        <f ca="1">IFERROR(OFFSET(ITEM_RES!$A$5,MATCH(BUILDING!W11,ITEM_RES!$J$5:$J$226,0)-1,0),0)</f>
        <v>0</v>
      </c>
      <c r="Z11" s="85" t="s">
        <v>549</v>
      </c>
      <c r="AA11" s="9">
        <f ca="1">IFERROR(OFFSET(ITEM_RES!$A$5,MATCH(BUILDING!Z11,ITEM_RES!$J$5:$J$226,0)-1,0),0)</f>
        <v>211010101</v>
      </c>
      <c r="AC11" s="9" t="s">
        <v>519</v>
      </c>
      <c r="AD11" s="9">
        <v>7</v>
      </c>
      <c r="AF11" s="9">
        <v>4000</v>
      </c>
      <c r="AG11" s="10">
        <v>7</v>
      </c>
      <c r="AI11" s="56">
        <f t="shared" ca="1" si="3"/>
        <v>215</v>
      </c>
      <c r="AJ11" s="10">
        <f ca="1">AO11+AQ11+(IFERROR(OFFSET(ITEM_RES!$T$1,MATCH(AU11,ITEM_RES!$A:$A,0)-1,0),0)*AW11+IFERROR(OFFSET(ITEM_RES!$T$1,MATCH(AZ11,ITEM_RES!$A:$A,0)-1,0),0)*BB11+IFERROR(OFFSET(ITEM_RES!$T$1,MATCH(BE11,ITEM_RES!$A:$A,0)-1,0),0)*BG11+IFERROR(OFFSET(ITEM_RES!$T$1,MATCH(BJ11,ITEM_RES!$A:$A,0)-1,0),0)*BL11+IFERROR(OFFSET(ITEM_RES!$T$1,MATCH(BO11,ITEM_RES!$A:$A,0)-1,0),0)*BQ11)/1000</f>
        <v>215</v>
      </c>
      <c r="AK11" s="183">
        <f t="shared" ca="1" si="6"/>
        <v>322.5</v>
      </c>
      <c r="AM11" s="11">
        <f t="shared" si="4"/>
        <v>35</v>
      </c>
      <c r="AN11" s="10">
        <v>35</v>
      </c>
      <c r="AO11" s="11">
        <f t="shared" si="7"/>
        <v>100</v>
      </c>
      <c r="AP11" s="10">
        <v>100</v>
      </c>
      <c r="AQ11" s="11">
        <f t="shared" si="7"/>
        <v>100</v>
      </c>
      <c r="AR11" s="10">
        <v>100</v>
      </c>
      <c r="AS11" s="56">
        <f t="shared" si="8"/>
        <v>2</v>
      </c>
      <c r="AU11" s="11">
        <f ca="1">IFERROR(OFFSET(ITEM_RES!$A$1,MATCH(AV11,ITEM_RES!$J:$J,0)-1,0),0)</f>
        <v>211010501</v>
      </c>
      <c r="AV11" s="10" t="s">
        <v>434</v>
      </c>
      <c r="AW11" s="11">
        <v>500</v>
      </c>
      <c r="AZ11" s="11">
        <f ca="1">IFERROR(OFFSET(ITEM_RES!$A$1,MATCH(BA11,ITEM_RES!$J:$J,0)-1,0),0)</f>
        <v>211020101</v>
      </c>
      <c r="BA11" s="10" t="s">
        <v>457</v>
      </c>
      <c r="BB11" s="11">
        <v>500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577</v>
      </c>
      <c r="M12" s="9" t="s">
        <v>959</v>
      </c>
      <c r="N12" s="9" t="s">
        <v>980</v>
      </c>
      <c r="O12" s="9">
        <v>1</v>
      </c>
      <c r="P12" s="9">
        <v>15</v>
      </c>
      <c r="Q12" s="9" t="s">
        <v>790</v>
      </c>
      <c r="U12" s="9" t="s">
        <v>710</v>
      </c>
      <c r="X12" s="9">
        <f ca="1">IFERROR(OFFSET(ITEM_RES!$A$5,MATCH(BUILDING!W12,ITEM_RES!$J$5:$J$226,0)-1,0),0)</f>
        <v>0</v>
      </c>
      <c r="Z12" s="85" t="s">
        <v>549</v>
      </c>
      <c r="AA12" s="9">
        <f ca="1">IFERROR(OFFSET(ITEM_RES!$A$5,MATCH(BUILDING!Z12,ITEM_RES!$J$5:$J$226,0)-1,0),0)</f>
        <v>211010101</v>
      </c>
      <c r="AC12" s="9" t="s">
        <v>519</v>
      </c>
      <c r="AD12" s="9">
        <v>8</v>
      </c>
      <c r="AF12" s="9">
        <v>4000</v>
      </c>
      <c r="AG12" s="10">
        <v>8</v>
      </c>
      <c r="AI12" s="56">
        <f t="shared" ca="1" si="3"/>
        <v>215</v>
      </c>
      <c r="AJ12" s="10">
        <f ca="1">AO12+AQ12+(IFERROR(OFFSET(ITEM_RES!$T$1,MATCH(AU12,ITEM_RES!$A:$A,0)-1,0),0)*AW12+IFERROR(OFFSET(ITEM_RES!$T$1,MATCH(AZ12,ITEM_RES!$A:$A,0)-1,0),0)*BB12+IFERROR(OFFSET(ITEM_RES!$T$1,MATCH(BE12,ITEM_RES!$A:$A,0)-1,0),0)*BG12+IFERROR(OFFSET(ITEM_RES!$T$1,MATCH(BJ12,ITEM_RES!$A:$A,0)-1,0),0)*BL12+IFERROR(OFFSET(ITEM_RES!$T$1,MATCH(BO12,ITEM_RES!$A:$A,0)-1,0),0)*BQ12)/1000</f>
        <v>215</v>
      </c>
      <c r="AK12" s="183">
        <f t="shared" ca="1" si="6"/>
        <v>430</v>
      </c>
      <c r="AM12" s="11">
        <f t="shared" si="4"/>
        <v>40</v>
      </c>
      <c r="AN12" s="10">
        <v>40</v>
      </c>
      <c r="AO12" s="11">
        <f t="shared" si="7"/>
        <v>100</v>
      </c>
      <c r="AP12" s="10">
        <v>100</v>
      </c>
      <c r="AQ12" s="11">
        <f t="shared" si="7"/>
        <v>100</v>
      </c>
      <c r="AR12" s="10">
        <v>100</v>
      </c>
      <c r="AS12" s="56">
        <f t="shared" si="8"/>
        <v>2</v>
      </c>
      <c r="AU12" s="11">
        <f ca="1">IFERROR(OFFSET(ITEM_RES!$A$1,MATCH(AV12,ITEM_RES!$J:$J,0)-1,0),0)</f>
        <v>211010501</v>
      </c>
      <c r="AV12" s="10" t="s">
        <v>434</v>
      </c>
      <c r="AW12" s="11">
        <v>500</v>
      </c>
      <c r="AZ12" s="11">
        <f ca="1">IFERROR(OFFSET(ITEM_RES!$A$1,MATCH(BA12,ITEM_RES!$J:$J,0)-1,0),0)</f>
        <v>211020101</v>
      </c>
      <c r="BA12" s="10" t="s">
        <v>457</v>
      </c>
      <c r="BB12" s="11">
        <v>500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577</v>
      </c>
      <c r="M13" s="9" t="s">
        <v>959</v>
      </c>
      <c r="N13" s="9" t="s">
        <v>980</v>
      </c>
      <c r="O13" s="9">
        <v>1</v>
      </c>
      <c r="P13" s="9">
        <v>15</v>
      </c>
      <c r="Q13" s="9" t="s">
        <v>790</v>
      </c>
      <c r="U13" s="9" t="s">
        <v>711</v>
      </c>
      <c r="X13" s="9">
        <f ca="1">IFERROR(OFFSET(ITEM_RES!$A$5,MATCH(BUILDING!W13,ITEM_RES!$J$5:$J$226,0)-1,0),0)</f>
        <v>0</v>
      </c>
      <c r="Z13" s="85" t="s">
        <v>549</v>
      </c>
      <c r="AA13" s="9">
        <f ca="1">IFERROR(OFFSET(ITEM_RES!$A$5,MATCH(BUILDING!Z13,ITEM_RES!$J$5:$J$226,0)-1,0),0)</f>
        <v>211010101</v>
      </c>
      <c r="AC13" s="9" t="s">
        <v>519</v>
      </c>
      <c r="AD13" s="9">
        <v>9</v>
      </c>
      <c r="AF13" s="9">
        <v>6000</v>
      </c>
      <c r="AG13" s="10">
        <v>9</v>
      </c>
      <c r="AI13" s="56">
        <f t="shared" ca="1" si="3"/>
        <v>323</v>
      </c>
      <c r="AJ13" s="10">
        <f ca="1">AO13+AQ13+(IFERROR(OFFSET(ITEM_RES!$T$1,MATCH(AU13,ITEM_RES!$A:$A,0)-1,0),0)*AW13+IFERROR(OFFSET(ITEM_RES!$T$1,MATCH(AZ13,ITEM_RES!$A:$A,0)-1,0),0)*BB13+IFERROR(OFFSET(ITEM_RES!$T$1,MATCH(BE13,ITEM_RES!$A:$A,0)-1,0),0)*BG13+IFERROR(OFFSET(ITEM_RES!$T$1,MATCH(BJ13,ITEM_RES!$A:$A,0)-1,0),0)*BL13+IFERROR(OFFSET(ITEM_RES!$T$1,MATCH(BO13,ITEM_RES!$A:$A,0)-1,0),0)*BQ13)/1000</f>
        <v>322.5</v>
      </c>
      <c r="AK13" s="183">
        <f t="shared" ca="1" si="6"/>
        <v>537.5</v>
      </c>
      <c r="AM13" s="11">
        <f t="shared" si="4"/>
        <v>45</v>
      </c>
      <c r="AN13" s="10">
        <v>45</v>
      </c>
      <c r="AO13" s="11">
        <f t="shared" si="7"/>
        <v>150</v>
      </c>
      <c r="AP13" s="10">
        <v>150</v>
      </c>
      <c r="AQ13" s="11">
        <f t="shared" si="7"/>
        <v>150</v>
      </c>
      <c r="AR13" s="10">
        <v>150</v>
      </c>
      <c r="AS13" s="56">
        <f t="shared" si="8"/>
        <v>2</v>
      </c>
      <c r="AU13" s="11">
        <f ca="1">IFERROR(OFFSET(ITEM_RES!$A$1,MATCH(AV13,ITEM_RES!$J:$J,0)-1,0),0)</f>
        <v>211010501</v>
      </c>
      <c r="AV13" s="10" t="s">
        <v>434</v>
      </c>
      <c r="AW13" s="11">
        <v>750</v>
      </c>
      <c r="AZ13" s="11">
        <f ca="1">IFERROR(OFFSET(ITEM_RES!$A$1,MATCH(BA13,ITEM_RES!$J:$J,0)-1,0),0)</f>
        <v>211020101</v>
      </c>
      <c r="BA13" s="10" t="s">
        <v>457</v>
      </c>
      <c r="BB13" s="11">
        <v>750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577</v>
      </c>
      <c r="M14" s="9" t="s">
        <v>959</v>
      </c>
      <c r="N14" s="9" t="s">
        <v>980</v>
      </c>
      <c r="O14" s="9">
        <v>1</v>
      </c>
      <c r="P14" s="9">
        <v>15</v>
      </c>
      <c r="Q14" s="9" t="s">
        <v>790</v>
      </c>
      <c r="U14" s="9" t="s">
        <v>711</v>
      </c>
      <c r="X14" s="9">
        <f ca="1">IFERROR(OFFSET(ITEM_RES!$A$5,MATCH(BUILDING!W14,ITEM_RES!$J$5:$J$226,0)-1,0),0)</f>
        <v>0</v>
      </c>
      <c r="Z14" s="85" t="s">
        <v>549</v>
      </c>
      <c r="AA14" s="9">
        <f ca="1">IFERROR(OFFSET(ITEM_RES!$A$5,MATCH(BUILDING!Z14,ITEM_RES!$J$5:$J$226,0)-1,0),0)</f>
        <v>211010101</v>
      </c>
      <c r="AC14" s="9" t="s">
        <v>519</v>
      </c>
      <c r="AD14" s="9">
        <v>10</v>
      </c>
      <c r="AF14" s="9">
        <v>8000</v>
      </c>
      <c r="AG14" s="10">
        <v>10</v>
      </c>
      <c r="AI14" s="56">
        <f t="shared" ca="1" si="3"/>
        <v>530</v>
      </c>
      <c r="AJ14" s="10">
        <f ca="1">AO14+AQ14+(IFERROR(OFFSET(ITEM_RES!$T$1,MATCH(AU14,ITEM_RES!$A:$A,0)-1,0),0)*AW14+IFERROR(OFFSET(ITEM_RES!$T$1,MATCH(AZ14,ITEM_RES!$A:$A,0)-1,0),0)*BB14+IFERROR(OFFSET(ITEM_RES!$T$1,MATCH(BE14,ITEM_RES!$A:$A,0)-1,0),0)*BG14+IFERROR(OFFSET(ITEM_RES!$T$1,MATCH(BJ14,ITEM_RES!$A:$A,0)-1,0),0)*BL14+IFERROR(OFFSET(ITEM_RES!$T$1,MATCH(BO14,ITEM_RES!$A:$A,0)-1,0),0)*BQ14)/1000</f>
        <v>530</v>
      </c>
      <c r="AK14" s="183">
        <f t="shared" ca="1" si="6"/>
        <v>852.5</v>
      </c>
      <c r="AM14" s="11">
        <f t="shared" si="4"/>
        <v>50</v>
      </c>
      <c r="AN14" s="10">
        <v>50</v>
      </c>
      <c r="AO14" s="11">
        <f t="shared" si="7"/>
        <v>200</v>
      </c>
      <c r="AP14" s="10">
        <v>200</v>
      </c>
      <c r="AQ14" s="11">
        <f t="shared" si="7"/>
        <v>200</v>
      </c>
      <c r="AR14" s="10">
        <v>200</v>
      </c>
      <c r="AS14" s="56">
        <f t="shared" si="8"/>
        <v>3</v>
      </c>
      <c r="AU14" s="11">
        <f ca="1">IFERROR(OFFSET(ITEM_RES!$A$1,MATCH(AV14,ITEM_RES!$J:$J,0)-1,0),0)</f>
        <v>211010501</v>
      </c>
      <c r="AV14" s="10" t="s">
        <v>434</v>
      </c>
      <c r="AW14" s="11">
        <v>1000</v>
      </c>
      <c r="AZ14" s="11">
        <f ca="1">IFERROR(OFFSET(ITEM_RES!$A$1,MATCH(BA14,ITEM_RES!$J:$J,0)-1,0),0)</f>
        <v>211020101</v>
      </c>
      <c r="BA14" s="10" t="s">
        <v>457</v>
      </c>
      <c r="BB14" s="11">
        <v>1000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470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577</v>
      </c>
      <c r="M15" s="9" t="s">
        <v>959</v>
      </c>
      <c r="N15" s="9" t="s">
        <v>980</v>
      </c>
      <c r="O15" s="9">
        <v>1</v>
      </c>
      <c r="P15" s="9">
        <v>15</v>
      </c>
      <c r="Q15" s="9" t="s">
        <v>790</v>
      </c>
      <c r="U15" s="9" t="s">
        <v>711</v>
      </c>
      <c r="X15" s="9">
        <f ca="1">IFERROR(OFFSET(ITEM_RES!$A$5,MATCH(BUILDING!W15,ITEM_RES!$J$5:$J$226,0)-1,0),0)</f>
        <v>0</v>
      </c>
      <c r="Z15" s="85" t="s">
        <v>549</v>
      </c>
      <c r="AA15" s="9">
        <f ca="1">IFERROR(OFFSET(ITEM_RES!$A$5,MATCH(BUILDING!Z15,ITEM_RES!$J$5:$J$226,0)-1,0),0)</f>
        <v>211010101</v>
      </c>
      <c r="AC15" s="9" t="s">
        <v>519</v>
      </c>
      <c r="AD15" s="9">
        <v>11</v>
      </c>
      <c r="AF15" s="9">
        <v>10000</v>
      </c>
      <c r="AG15" s="10">
        <v>11</v>
      </c>
      <c r="AI15" s="56">
        <f t="shared" ca="1" si="3"/>
        <v>538</v>
      </c>
      <c r="AJ15" s="10">
        <f ca="1">AO15+AQ15+(IFERROR(OFFSET(ITEM_RES!$T$1,MATCH(AU15,ITEM_RES!$A:$A,0)-1,0),0)*AW15+IFERROR(OFFSET(ITEM_RES!$T$1,MATCH(AZ15,ITEM_RES!$A:$A,0)-1,0),0)*BB15+IFERROR(OFFSET(ITEM_RES!$T$1,MATCH(BE15,ITEM_RES!$A:$A,0)-1,0),0)*BG15+IFERROR(OFFSET(ITEM_RES!$T$1,MATCH(BJ15,ITEM_RES!$A:$A,0)-1,0),0)*BL15+IFERROR(OFFSET(ITEM_RES!$T$1,MATCH(BO15,ITEM_RES!$A:$A,0)-1,0),0)*BQ15)/1000</f>
        <v>537.5</v>
      </c>
      <c r="AK15" s="183">
        <f t="shared" ca="1" si="6"/>
        <v>1067.5</v>
      </c>
      <c r="AM15" s="11">
        <f t="shared" si="4"/>
        <v>55</v>
      </c>
      <c r="AN15" s="10">
        <v>55</v>
      </c>
      <c r="AO15" s="11">
        <f t="shared" si="7"/>
        <v>250</v>
      </c>
      <c r="AP15" s="10">
        <v>250</v>
      </c>
      <c r="AQ15" s="11">
        <f t="shared" si="7"/>
        <v>250</v>
      </c>
      <c r="AR15" s="10">
        <v>250</v>
      </c>
      <c r="AS15" s="56">
        <f t="shared" si="8"/>
        <v>2</v>
      </c>
      <c r="AU15" s="11">
        <f ca="1">IFERROR(OFFSET(ITEM_RES!$A$1,MATCH(AV15,ITEM_RES!$J:$J,0)-1,0),0)</f>
        <v>211010501</v>
      </c>
      <c r="AV15" s="10" t="s">
        <v>434</v>
      </c>
      <c r="AW15" s="11">
        <v>1250</v>
      </c>
      <c r="AZ15" s="11">
        <f ca="1">IFERROR(OFFSET(ITEM_RES!$A$1,MATCH(BA15,ITEM_RES!$J:$J,0)-1,0),0)</f>
        <v>211020101</v>
      </c>
      <c r="BA15" s="10" t="s">
        <v>457</v>
      </c>
      <c r="BB15" s="11">
        <v>1250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577</v>
      </c>
      <c r="M16" s="9" t="s">
        <v>959</v>
      </c>
      <c r="N16" s="9" t="s">
        <v>980</v>
      </c>
      <c r="O16" s="9">
        <v>1</v>
      </c>
      <c r="P16" s="9">
        <v>15</v>
      </c>
      <c r="Q16" s="9" t="s">
        <v>790</v>
      </c>
      <c r="U16" s="9" t="s">
        <v>711</v>
      </c>
      <c r="X16" s="9">
        <f ca="1">IFERROR(OFFSET(ITEM_RES!$A$5,MATCH(BUILDING!W16,ITEM_RES!$J$5:$J$226,0)-1,0),0)</f>
        <v>0</v>
      </c>
      <c r="Z16" s="85" t="s">
        <v>549</v>
      </c>
      <c r="AA16" s="9">
        <f ca="1">IFERROR(OFFSET(ITEM_RES!$A$5,MATCH(BUILDING!Z16,ITEM_RES!$J$5:$J$226,0)-1,0),0)</f>
        <v>211010101</v>
      </c>
      <c r="AC16" s="9" t="s">
        <v>519</v>
      </c>
      <c r="AD16" s="9">
        <v>12</v>
      </c>
      <c r="AF16" s="9">
        <v>12000</v>
      </c>
      <c r="AG16" s="10">
        <v>12</v>
      </c>
      <c r="AI16" s="56">
        <f t="shared" ca="1" si="3"/>
        <v>645</v>
      </c>
      <c r="AJ16" s="10">
        <f ca="1">AO16+AQ16+(IFERROR(OFFSET(ITEM_RES!$T$1,MATCH(AU16,ITEM_RES!$A:$A,0)-1,0),0)*AW16+IFERROR(OFFSET(ITEM_RES!$T$1,MATCH(AZ16,ITEM_RES!$A:$A,0)-1,0),0)*BB16+IFERROR(OFFSET(ITEM_RES!$T$1,MATCH(BE16,ITEM_RES!$A:$A,0)-1,0),0)*BG16+IFERROR(OFFSET(ITEM_RES!$T$1,MATCH(BJ16,ITEM_RES!$A:$A,0)-1,0),0)*BL16+IFERROR(OFFSET(ITEM_RES!$T$1,MATCH(BO16,ITEM_RES!$A:$A,0)-1,0),0)*BQ16)/1000</f>
        <v>645</v>
      </c>
      <c r="AK16" s="183">
        <f t="shared" ca="1" si="6"/>
        <v>1182.5</v>
      </c>
      <c r="AM16" s="11">
        <f t="shared" si="4"/>
        <v>60</v>
      </c>
      <c r="AN16" s="10">
        <v>60</v>
      </c>
      <c r="AO16" s="11">
        <f t="shared" si="7"/>
        <v>300</v>
      </c>
      <c r="AP16" s="10">
        <v>300</v>
      </c>
      <c r="AQ16" s="11">
        <f t="shared" si="7"/>
        <v>300</v>
      </c>
      <c r="AR16" s="10">
        <v>300</v>
      </c>
      <c r="AS16" s="56">
        <f t="shared" si="8"/>
        <v>2</v>
      </c>
      <c r="AU16" s="11">
        <f ca="1">IFERROR(OFFSET(ITEM_RES!$A$1,MATCH(AV16,ITEM_RES!$J:$J,0)-1,0),0)</f>
        <v>211010501</v>
      </c>
      <c r="AV16" s="10" t="s">
        <v>434</v>
      </c>
      <c r="AW16" s="11">
        <v>1500</v>
      </c>
      <c r="AZ16" s="11">
        <f ca="1">IFERROR(OFFSET(ITEM_RES!$A$1,MATCH(BA16,ITEM_RES!$J:$J,0)-1,0),0)</f>
        <v>211020101</v>
      </c>
      <c r="BA16" s="10" t="s">
        <v>457</v>
      </c>
      <c r="BB16" s="11">
        <v>1500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577</v>
      </c>
      <c r="M17" s="9" t="s">
        <v>959</v>
      </c>
      <c r="N17" s="9" t="s">
        <v>980</v>
      </c>
      <c r="O17" s="9">
        <v>1</v>
      </c>
      <c r="P17" s="9">
        <v>15</v>
      </c>
      <c r="Q17" s="9" t="s">
        <v>790</v>
      </c>
      <c r="U17" s="9" t="s">
        <v>711</v>
      </c>
      <c r="X17" s="9">
        <f ca="1">IFERROR(OFFSET(ITEM_RES!$A$5,MATCH(BUILDING!W17,ITEM_RES!$J$5:$J$226,0)-1,0),0)</f>
        <v>0</v>
      </c>
      <c r="Z17" s="85" t="s">
        <v>549</v>
      </c>
      <c r="AA17" s="9">
        <f ca="1">IFERROR(OFFSET(ITEM_RES!$A$5,MATCH(BUILDING!Z17,ITEM_RES!$J$5:$J$226,0)-1,0),0)</f>
        <v>211010101</v>
      </c>
      <c r="AC17" s="9" t="s">
        <v>519</v>
      </c>
      <c r="AD17" s="9">
        <v>13</v>
      </c>
      <c r="AF17" s="9">
        <v>14000</v>
      </c>
      <c r="AG17" s="10">
        <v>13</v>
      </c>
      <c r="AI17" s="56">
        <f t="shared" ca="1" si="3"/>
        <v>753</v>
      </c>
      <c r="AJ17" s="10">
        <f ca="1">AO17+AQ17+(IFERROR(OFFSET(ITEM_RES!$T$1,MATCH(AU17,ITEM_RES!$A:$A,0)-1,0),0)*AW17+IFERROR(OFFSET(ITEM_RES!$T$1,MATCH(AZ17,ITEM_RES!$A:$A,0)-1,0),0)*BB17+IFERROR(OFFSET(ITEM_RES!$T$1,MATCH(BE17,ITEM_RES!$A:$A,0)-1,0),0)*BG17+IFERROR(OFFSET(ITEM_RES!$T$1,MATCH(BJ17,ITEM_RES!$A:$A,0)-1,0),0)*BL17+IFERROR(OFFSET(ITEM_RES!$T$1,MATCH(BO17,ITEM_RES!$A:$A,0)-1,0),0)*BQ17)/1000</f>
        <v>752.5</v>
      </c>
      <c r="AK17" s="183">
        <f t="shared" ca="1" si="6"/>
        <v>1397.5</v>
      </c>
      <c r="AM17" s="11">
        <f t="shared" si="4"/>
        <v>65</v>
      </c>
      <c r="AN17" s="10">
        <v>65</v>
      </c>
      <c r="AO17" s="11">
        <f t="shared" si="7"/>
        <v>350</v>
      </c>
      <c r="AP17" s="10">
        <v>350</v>
      </c>
      <c r="AQ17" s="11">
        <f t="shared" si="7"/>
        <v>350</v>
      </c>
      <c r="AR17" s="10">
        <v>350</v>
      </c>
      <c r="AS17" s="56">
        <f t="shared" si="8"/>
        <v>2</v>
      </c>
      <c r="AU17" s="11">
        <f ca="1">IFERROR(OFFSET(ITEM_RES!$A$1,MATCH(AV17,ITEM_RES!$J:$J,0)-1,0),0)</f>
        <v>211010501</v>
      </c>
      <c r="AV17" s="10" t="s">
        <v>434</v>
      </c>
      <c r="AW17" s="11">
        <v>1750</v>
      </c>
      <c r="AZ17" s="11">
        <f ca="1">IFERROR(OFFSET(ITEM_RES!$A$1,MATCH(BA17,ITEM_RES!$J:$J,0)-1,0),0)</f>
        <v>211020101</v>
      </c>
      <c r="BA17" s="10" t="s">
        <v>457</v>
      </c>
      <c r="BB17" s="11">
        <v>1750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577</v>
      </c>
      <c r="M18" s="9" t="s">
        <v>959</v>
      </c>
      <c r="N18" s="9" t="s">
        <v>980</v>
      </c>
      <c r="O18" s="9">
        <v>1</v>
      </c>
      <c r="P18" s="9">
        <v>15</v>
      </c>
      <c r="Q18" s="9" t="s">
        <v>790</v>
      </c>
      <c r="U18" s="9" t="s">
        <v>711</v>
      </c>
      <c r="X18" s="9">
        <f ca="1">IFERROR(OFFSET(ITEM_RES!$A$5,MATCH(BUILDING!W18,ITEM_RES!$J$5:$J$226,0)-1,0),0)</f>
        <v>0</v>
      </c>
      <c r="Z18" s="85" t="s">
        <v>549</v>
      </c>
      <c r="AA18" s="9">
        <f ca="1">IFERROR(OFFSET(ITEM_RES!$A$5,MATCH(BUILDING!Z18,ITEM_RES!$J$5:$J$226,0)-1,0),0)</f>
        <v>211010101</v>
      </c>
      <c r="AC18" s="9" t="s">
        <v>519</v>
      </c>
      <c r="AD18" s="9">
        <v>14</v>
      </c>
      <c r="AF18" s="9">
        <v>18000</v>
      </c>
      <c r="AG18" s="10">
        <v>14</v>
      </c>
      <c r="AI18" s="56">
        <f t="shared" ca="1" si="3"/>
        <v>968</v>
      </c>
      <c r="AJ18" s="10">
        <f ca="1">AO18+AQ18+(IFERROR(OFFSET(ITEM_RES!$T$1,MATCH(AU18,ITEM_RES!$A:$A,0)-1,0),0)*AW18+IFERROR(OFFSET(ITEM_RES!$T$1,MATCH(AZ18,ITEM_RES!$A:$A,0)-1,0),0)*BB18+IFERROR(OFFSET(ITEM_RES!$T$1,MATCH(BE18,ITEM_RES!$A:$A,0)-1,0),0)*BG18+IFERROR(OFFSET(ITEM_RES!$T$1,MATCH(BJ18,ITEM_RES!$A:$A,0)-1,0),0)*BL18+IFERROR(OFFSET(ITEM_RES!$T$1,MATCH(BO18,ITEM_RES!$A:$A,0)-1,0),0)*BQ18)/1000</f>
        <v>967.5</v>
      </c>
      <c r="AK18" s="183">
        <f t="shared" ca="1" si="6"/>
        <v>1720</v>
      </c>
      <c r="AM18" s="11">
        <f t="shared" si="4"/>
        <v>70</v>
      </c>
      <c r="AN18" s="10">
        <v>70</v>
      </c>
      <c r="AO18" s="11">
        <f t="shared" si="7"/>
        <v>450</v>
      </c>
      <c r="AP18" s="10">
        <v>450</v>
      </c>
      <c r="AQ18" s="11">
        <f t="shared" si="7"/>
        <v>450</v>
      </c>
      <c r="AR18" s="10">
        <v>450</v>
      </c>
      <c r="AS18" s="56">
        <f t="shared" si="8"/>
        <v>2</v>
      </c>
      <c r="AU18" s="11">
        <f ca="1">IFERROR(OFFSET(ITEM_RES!$A$1,MATCH(AV18,ITEM_RES!$J:$J,0)-1,0),0)</f>
        <v>211010501</v>
      </c>
      <c r="AV18" s="10" t="s">
        <v>434</v>
      </c>
      <c r="AW18" s="11">
        <v>2250</v>
      </c>
      <c r="AZ18" s="11">
        <f ca="1">IFERROR(OFFSET(ITEM_RES!$A$1,MATCH(BA18,ITEM_RES!$J:$J,0)-1,0),0)</f>
        <v>211020101</v>
      </c>
      <c r="BA18" s="10" t="s">
        <v>457</v>
      </c>
      <c r="BB18" s="11">
        <v>2250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577</v>
      </c>
      <c r="M19" s="9" t="s">
        <v>959</v>
      </c>
      <c r="N19" s="9" t="s">
        <v>980</v>
      </c>
      <c r="O19" s="9">
        <v>1</v>
      </c>
      <c r="P19" s="9">
        <v>15</v>
      </c>
      <c r="Q19" s="9" t="s">
        <v>790</v>
      </c>
      <c r="U19" s="9" t="s">
        <v>711</v>
      </c>
      <c r="X19" s="9">
        <f ca="1">IFERROR(OFFSET(ITEM_RES!$A$5,MATCH(BUILDING!W19,ITEM_RES!$J$5:$J$226,0)-1,0),0)</f>
        <v>0</v>
      </c>
      <c r="Z19" s="85" t="s">
        <v>549</v>
      </c>
      <c r="AA19" s="9">
        <f ca="1">IFERROR(OFFSET(ITEM_RES!$A$5,MATCH(BUILDING!Z19,ITEM_RES!$J$5:$J$226,0)-1,0),0)</f>
        <v>211010101</v>
      </c>
      <c r="AC19" s="9" t="s">
        <v>519</v>
      </c>
      <c r="AD19" s="9">
        <v>15</v>
      </c>
      <c r="AF19" s="9">
        <v>22000</v>
      </c>
      <c r="AG19" s="10">
        <v>15</v>
      </c>
      <c r="AI19" s="56">
        <f t="shared" ca="1" si="3"/>
        <v>1183</v>
      </c>
      <c r="AJ19" s="10">
        <f ca="1">AO19+AQ19+(IFERROR(OFFSET(ITEM_RES!$T$1,MATCH(AU19,ITEM_RES!$A:$A,0)-1,0),0)*AW19+IFERROR(OFFSET(ITEM_RES!$T$1,MATCH(AZ19,ITEM_RES!$A:$A,0)-1,0),0)*BB19+IFERROR(OFFSET(ITEM_RES!$T$1,MATCH(BE19,ITEM_RES!$A:$A,0)-1,0),0)*BG19+IFERROR(OFFSET(ITEM_RES!$T$1,MATCH(BJ19,ITEM_RES!$A:$A,0)-1,0),0)*BL19+IFERROR(OFFSET(ITEM_RES!$T$1,MATCH(BO19,ITEM_RES!$A:$A,0)-1,0),0)*BQ19)/1000</f>
        <v>1182.5</v>
      </c>
      <c r="AK19" s="183">
        <f t="shared" ca="1" si="6"/>
        <v>2150</v>
      </c>
      <c r="AM19" s="11">
        <f t="shared" si="4"/>
        <v>75</v>
      </c>
      <c r="AN19" s="10">
        <v>75</v>
      </c>
      <c r="AO19" s="11">
        <f t="shared" si="7"/>
        <v>550</v>
      </c>
      <c r="AP19" s="10">
        <v>550</v>
      </c>
      <c r="AQ19" s="11">
        <f t="shared" si="7"/>
        <v>550</v>
      </c>
      <c r="AR19" s="10">
        <v>550</v>
      </c>
      <c r="AS19" s="56">
        <f t="shared" si="8"/>
        <v>2</v>
      </c>
      <c r="AU19" s="11">
        <f ca="1">IFERROR(OFFSET(ITEM_RES!$A$1,MATCH(AV19,ITEM_RES!$J:$J,0)-1,0),0)</f>
        <v>211010501</v>
      </c>
      <c r="AV19" s="10" t="s">
        <v>434</v>
      </c>
      <c r="AW19" s="11">
        <v>2750</v>
      </c>
      <c r="AZ19" s="11">
        <f ca="1">IFERROR(OFFSET(ITEM_RES!$A$1,MATCH(BA19,ITEM_RES!$J:$J,0)-1,0),0)</f>
        <v>211020101</v>
      </c>
      <c r="BA19" s="10" t="s">
        <v>457</v>
      </c>
      <c r="BB19" s="11">
        <v>2750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577</v>
      </c>
      <c r="M20" s="9" t="s">
        <v>959</v>
      </c>
      <c r="N20" s="9" t="s">
        <v>980</v>
      </c>
      <c r="O20" s="9">
        <v>0</v>
      </c>
      <c r="P20" s="9">
        <v>15</v>
      </c>
      <c r="Q20" s="9" t="s">
        <v>790</v>
      </c>
      <c r="U20" s="9" t="s">
        <v>712</v>
      </c>
      <c r="X20" s="9">
        <f ca="1">IFERROR(OFFSET(ITEM_RES!$A$5,MATCH(BUILDING!W20,ITEM_RES!$J$5:$J$226,0)-1,0),0)</f>
        <v>0</v>
      </c>
      <c r="Z20" s="85" t="s">
        <v>549</v>
      </c>
      <c r="AA20" s="9">
        <f ca="1">IFERROR(OFFSET(ITEM_RES!$A$5,MATCH(BUILDING!Z20,ITEM_RES!$J$5:$J$226,0)-1,0),0)</f>
        <v>211010101</v>
      </c>
      <c r="AC20" s="9" t="s">
        <v>519</v>
      </c>
      <c r="AD20" s="9">
        <v>16</v>
      </c>
      <c r="AF20" s="9">
        <v>28000</v>
      </c>
      <c r="AG20" s="10">
        <v>16</v>
      </c>
      <c r="AI20" s="56">
        <f t="shared" ca="1" si="3"/>
        <v>1540</v>
      </c>
      <c r="AJ20" s="10">
        <f ca="1">AO20+AQ20+(IFERROR(OFFSET(ITEM_RES!$T$1,MATCH(AU20,ITEM_RES!$A:$A,0)-1,0),0)*AW20+IFERROR(OFFSET(ITEM_RES!$T$1,MATCH(AZ20,ITEM_RES!$A:$A,0)-1,0),0)*BB20+IFERROR(OFFSET(ITEM_RES!$T$1,MATCH(BE20,ITEM_RES!$A:$A,0)-1,0),0)*BG20+IFERROR(OFFSET(ITEM_RES!$T$1,MATCH(BJ20,ITEM_RES!$A:$A,0)-1,0),0)*BL20+IFERROR(OFFSET(ITEM_RES!$T$1,MATCH(BO20,ITEM_RES!$A:$A,0)-1,0),0)*BQ20)/1000</f>
        <v>1540</v>
      </c>
      <c r="AK20" s="183">
        <f t="shared" ca="1" si="6"/>
        <v>2722.5</v>
      </c>
      <c r="AM20" s="11">
        <f t="shared" si="4"/>
        <v>80</v>
      </c>
      <c r="AN20" s="10">
        <v>80</v>
      </c>
      <c r="AO20" s="11">
        <f t="shared" si="7"/>
        <v>700</v>
      </c>
      <c r="AP20" s="10">
        <v>700</v>
      </c>
      <c r="AQ20" s="11">
        <f t="shared" si="7"/>
        <v>700</v>
      </c>
      <c r="AR20" s="10">
        <v>700</v>
      </c>
      <c r="AS20" s="56">
        <f t="shared" si="8"/>
        <v>2</v>
      </c>
      <c r="AU20" s="11">
        <f ca="1">IFERROR(OFFSET(ITEM_RES!$A$1,MATCH(AV20,ITEM_RES!$J:$J,0)-1,0),0)</f>
        <v>211010601</v>
      </c>
      <c r="AV20" s="10" t="s">
        <v>450</v>
      </c>
      <c r="AW20" s="11">
        <v>3500</v>
      </c>
      <c r="AZ20" s="11">
        <f ca="1">IFERROR(OFFSET(ITEM_RES!$A$1,MATCH(BA20,ITEM_RES!$J:$J,0)-1,0),0)</f>
        <v>211020101</v>
      </c>
      <c r="BA20" s="10" t="s">
        <v>457</v>
      </c>
      <c r="BB20" s="11">
        <v>3500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577</v>
      </c>
      <c r="M21" s="9" t="s">
        <v>959</v>
      </c>
      <c r="N21" s="9" t="s">
        <v>980</v>
      </c>
      <c r="O21" s="9">
        <v>0</v>
      </c>
      <c r="P21" s="9">
        <v>15</v>
      </c>
      <c r="Q21" s="9" t="s">
        <v>790</v>
      </c>
      <c r="U21" s="9" t="s">
        <v>712</v>
      </c>
      <c r="X21" s="9">
        <f ca="1">IFERROR(OFFSET(ITEM_RES!$A$5,MATCH(BUILDING!W21,ITEM_RES!$J$5:$J$226,0)-1,0),0)</f>
        <v>0</v>
      </c>
      <c r="Z21" s="85" t="s">
        <v>549</v>
      </c>
      <c r="AA21" s="9">
        <f ca="1">IFERROR(OFFSET(ITEM_RES!$A$5,MATCH(BUILDING!Z21,ITEM_RES!$J$5:$J$226,0)-1,0),0)</f>
        <v>211010101</v>
      </c>
      <c r="AC21" s="9" t="s">
        <v>519</v>
      </c>
      <c r="AD21" s="9">
        <v>17</v>
      </c>
      <c r="AF21" s="9">
        <v>34000</v>
      </c>
      <c r="AG21" s="10">
        <v>17</v>
      </c>
      <c r="AI21" s="56">
        <f t="shared" ca="1" si="3"/>
        <v>1870</v>
      </c>
      <c r="AJ21" s="10">
        <f ca="1">AO21+AQ21+(IFERROR(OFFSET(ITEM_RES!$T$1,MATCH(AU21,ITEM_RES!$A:$A,0)-1,0),0)*AW21+IFERROR(OFFSET(ITEM_RES!$T$1,MATCH(AZ21,ITEM_RES!$A:$A,0)-1,0),0)*BB21+IFERROR(OFFSET(ITEM_RES!$T$1,MATCH(BE21,ITEM_RES!$A:$A,0)-1,0),0)*BG21+IFERROR(OFFSET(ITEM_RES!$T$1,MATCH(BJ21,ITEM_RES!$A:$A,0)-1,0),0)*BL21+IFERROR(OFFSET(ITEM_RES!$T$1,MATCH(BO21,ITEM_RES!$A:$A,0)-1,0),0)*BQ21)/1000</f>
        <v>1870</v>
      </c>
      <c r="AK21" s="183">
        <f t="shared" ca="1" si="6"/>
        <v>3410</v>
      </c>
      <c r="AM21" s="11">
        <f t="shared" si="4"/>
        <v>85</v>
      </c>
      <c r="AN21" s="10">
        <v>85</v>
      </c>
      <c r="AO21" s="11">
        <f t="shared" si="7"/>
        <v>850</v>
      </c>
      <c r="AP21" s="10">
        <v>850</v>
      </c>
      <c r="AQ21" s="11">
        <f t="shared" si="7"/>
        <v>850</v>
      </c>
      <c r="AR21" s="10">
        <v>850</v>
      </c>
      <c r="AS21" s="56">
        <f t="shared" si="8"/>
        <v>2</v>
      </c>
      <c r="AU21" s="11">
        <f ca="1">IFERROR(OFFSET(ITEM_RES!$A$1,MATCH(AV21,ITEM_RES!$J:$J,0)-1,0),0)</f>
        <v>211010601</v>
      </c>
      <c r="AV21" s="10" t="s">
        <v>450</v>
      </c>
      <c r="AW21" s="11">
        <v>4250</v>
      </c>
      <c r="AZ21" s="11">
        <f ca="1">IFERROR(OFFSET(ITEM_RES!$A$1,MATCH(BA21,ITEM_RES!$J:$J,0)-1,0),0)</f>
        <v>211020101</v>
      </c>
      <c r="BA21" s="10" t="s">
        <v>457</v>
      </c>
      <c r="BB21" s="11">
        <v>4250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577</v>
      </c>
      <c r="M22" s="9" t="s">
        <v>959</v>
      </c>
      <c r="N22" s="9" t="s">
        <v>980</v>
      </c>
      <c r="O22" s="9">
        <v>0</v>
      </c>
      <c r="P22" s="9">
        <v>15</v>
      </c>
      <c r="Q22" s="9" t="s">
        <v>790</v>
      </c>
      <c r="U22" s="9" t="s">
        <v>712</v>
      </c>
      <c r="X22" s="9">
        <f ca="1">IFERROR(OFFSET(ITEM_RES!$A$5,MATCH(BUILDING!W22,ITEM_RES!$J$5:$J$226,0)-1,0),0)</f>
        <v>0</v>
      </c>
      <c r="Z22" s="85" t="s">
        <v>549</v>
      </c>
      <c r="AA22" s="9">
        <f ca="1">IFERROR(OFFSET(ITEM_RES!$A$5,MATCH(BUILDING!Z22,ITEM_RES!$J$5:$J$226,0)-1,0),0)</f>
        <v>211010101</v>
      </c>
      <c r="AC22" s="9" t="s">
        <v>519</v>
      </c>
      <c r="AD22" s="9">
        <v>18</v>
      </c>
      <c r="AF22" s="9">
        <v>42000</v>
      </c>
      <c r="AG22" s="10">
        <v>18</v>
      </c>
      <c r="AI22" s="56">
        <f t="shared" ca="1" si="3"/>
        <v>2310</v>
      </c>
      <c r="AJ22" s="10">
        <f ca="1">AO22+AQ22+(IFERROR(OFFSET(ITEM_RES!$T$1,MATCH(AU22,ITEM_RES!$A:$A,0)-1,0),0)*AW22+IFERROR(OFFSET(ITEM_RES!$T$1,MATCH(AZ22,ITEM_RES!$A:$A,0)-1,0),0)*BB22+IFERROR(OFFSET(ITEM_RES!$T$1,MATCH(BE22,ITEM_RES!$A:$A,0)-1,0),0)*BG22+IFERROR(OFFSET(ITEM_RES!$T$1,MATCH(BJ22,ITEM_RES!$A:$A,0)-1,0),0)*BL22+IFERROR(OFFSET(ITEM_RES!$T$1,MATCH(BO22,ITEM_RES!$A:$A,0)-1,0),0)*BQ22)/1000</f>
        <v>2310</v>
      </c>
      <c r="AK22" s="183">
        <f t="shared" ca="1" si="6"/>
        <v>4180</v>
      </c>
      <c r="AM22" s="11">
        <f t="shared" si="4"/>
        <v>90</v>
      </c>
      <c r="AN22" s="10">
        <v>90</v>
      </c>
      <c r="AO22" s="11">
        <f t="shared" si="7"/>
        <v>1050</v>
      </c>
      <c r="AP22" s="10">
        <v>1050</v>
      </c>
      <c r="AQ22" s="11">
        <f t="shared" si="7"/>
        <v>1050</v>
      </c>
      <c r="AR22" s="10">
        <v>1050</v>
      </c>
      <c r="AS22" s="56">
        <f t="shared" si="8"/>
        <v>2</v>
      </c>
      <c r="AU22" s="11">
        <f ca="1">IFERROR(OFFSET(ITEM_RES!$A$1,MATCH(AV22,ITEM_RES!$J:$J,0)-1,0),0)</f>
        <v>211010601</v>
      </c>
      <c r="AV22" s="10" t="s">
        <v>450</v>
      </c>
      <c r="AW22" s="11">
        <v>5250</v>
      </c>
      <c r="AZ22" s="11">
        <f ca="1">IFERROR(OFFSET(ITEM_RES!$A$1,MATCH(BA22,ITEM_RES!$J:$J,0)-1,0),0)</f>
        <v>211020101</v>
      </c>
      <c r="BA22" s="10" t="s">
        <v>457</v>
      </c>
      <c r="BB22" s="11">
        <v>5250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577</v>
      </c>
      <c r="M23" s="9" t="s">
        <v>959</v>
      </c>
      <c r="N23" s="9" t="s">
        <v>980</v>
      </c>
      <c r="O23" s="9">
        <v>0</v>
      </c>
      <c r="P23" s="9">
        <v>15</v>
      </c>
      <c r="Q23" s="9" t="s">
        <v>790</v>
      </c>
      <c r="U23" s="9" t="s">
        <v>712</v>
      </c>
      <c r="X23" s="9">
        <f ca="1">IFERROR(OFFSET(ITEM_RES!$A$5,MATCH(BUILDING!W23,ITEM_RES!$J$5:$J$226,0)-1,0),0)</f>
        <v>0</v>
      </c>
      <c r="Z23" s="85" t="s">
        <v>549</v>
      </c>
      <c r="AA23" s="9">
        <f ca="1">IFERROR(OFFSET(ITEM_RES!$A$5,MATCH(BUILDING!Z23,ITEM_RES!$J$5:$J$226,0)-1,0),0)</f>
        <v>211010101</v>
      </c>
      <c r="AC23" s="9" t="s">
        <v>519</v>
      </c>
      <c r="AD23" s="9">
        <v>19</v>
      </c>
      <c r="AF23" s="9">
        <v>50000</v>
      </c>
      <c r="AG23" s="10">
        <v>19</v>
      </c>
      <c r="AI23" s="56">
        <f t="shared" ca="1" si="3"/>
        <v>2750</v>
      </c>
      <c r="AJ23" s="10">
        <f ca="1">AO23+AQ23+(IFERROR(OFFSET(ITEM_RES!$T$1,MATCH(AU23,ITEM_RES!$A:$A,0)-1,0),0)*AW23+IFERROR(OFFSET(ITEM_RES!$T$1,MATCH(AZ23,ITEM_RES!$A:$A,0)-1,0),0)*BB23+IFERROR(OFFSET(ITEM_RES!$T$1,MATCH(BE23,ITEM_RES!$A:$A,0)-1,0),0)*BG23+IFERROR(OFFSET(ITEM_RES!$T$1,MATCH(BJ23,ITEM_RES!$A:$A,0)-1,0),0)*BL23+IFERROR(OFFSET(ITEM_RES!$T$1,MATCH(BO23,ITEM_RES!$A:$A,0)-1,0),0)*BQ23)/1000</f>
        <v>2750</v>
      </c>
      <c r="AK23" s="183">
        <f t="shared" ca="1" si="6"/>
        <v>5060</v>
      </c>
      <c r="AM23" s="11">
        <f t="shared" si="4"/>
        <v>95</v>
      </c>
      <c r="AN23" s="10">
        <v>95</v>
      </c>
      <c r="AO23" s="11">
        <f t="shared" si="7"/>
        <v>1250</v>
      </c>
      <c r="AP23" s="10">
        <v>1250</v>
      </c>
      <c r="AQ23" s="11">
        <f t="shared" si="7"/>
        <v>1250</v>
      </c>
      <c r="AR23" s="10">
        <v>1250</v>
      </c>
      <c r="AS23" s="56">
        <f t="shared" si="8"/>
        <v>2</v>
      </c>
      <c r="AU23" s="11">
        <f ca="1">IFERROR(OFFSET(ITEM_RES!$A$1,MATCH(AV23,ITEM_RES!$J:$J,0)-1,0),0)</f>
        <v>211010601</v>
      </c>
      <c r="AV23" s="10" t="s">
        <v>450</v>
      </c>
      <c r="AW23" s="11">
        <v>6250</v>
      </c>
      <c r="AZ23" s="11">
        <f ca="1">IFERROR(OFFSET(ITEM_RES!$A$1,MATCH(BA23,ITEM_RES!$J:$J,0)-1,0),0)</f>
        <v>211020101</v>
      </c>
      <c r="BA23" s="10" t="s">
        <v>457</v>
      </c>
      <c r="BB23" s="11">
        <v>6250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577</v>
      </c>
      <c r="M24" s="9" t="s">
        <v>959</v>
      </c>
      <c r="N24" s="9" t="s">
        <v>980</v>
      </c>
      <c r="O24" s="9">
        <v>0</v>
      </c>
      <c r="P24" s="9">
        <v>15</v>
      </c>
      <c r="Q24" s="9" t="s">
        <v>790</v>
      </c>
      <c r="U24" s="9" t="s">
        <v>713</v>
      </c>
      <c r="X24" s="9">
        <f ca="1">IFERROR(OFFSET(ITEM_RES!$A$5,MATCH(BUILDING!W24,ITEM_RES!$J$5:$J$226,0)-1,0),0)</f>
        <v>0</v>
      </c>
      <c r="Z24" s="85" t="s">
        <v>549</v>
      </c>
      <c r="AA24" s="9">
        <f ca="1">IFERROR(OFFSET(ITEM_RES!$A$5,MATCH(BUILDING!Z24,ITEM_RES!$J$5:$J$226,0)-1,0),0)</f>
        <v>211010101</v>
      </c>
      <c r="AC24" s="9" t="s">
        <v>519</v>
      </c>
      <c r="AD24" s="9">
        <v>20</v>
      </c>
      <c r="AF24" s="9">
        <v>60000</v>
      </c>
      <c r="AG24" s="10">
        <v>20</v>
      </c>
      <c r="AI24" s="56">
        <f t="shared" ca="1" si="3"/>
        <v>3300</v>
      </c>
      <c r="AJ24" s="10">
        <f ca="1">AO24+AQ24+(IFERROR(OFFSET(ITEM_RES!$T$1,MATCH(AU24,ITEM_RES!$A:$A,0)-1,0),0)*AW24+IFERROR(OFFSET(ITEM_RES!$T$1,MATCH(AZ24,ITEM_RES!$A:$A,0)-1,0),0)*BB24+IFERROR(OFFSET(ITEM_RES!$T$1,MATCH(BE24,ITEM_RES!$A:$A,0)-1,0),0)*BG24+IFERROR(OFFSET(ITEM_RES!$T$1,MATCH(BJ24,ITEM_RES!$A:$A,0)-1,0),0)*BL24+IFERROR(OFFSET(ITEM_RES!$T$1,MATCH(BO24,ITEM_RES!$A:$A,0)-1,0),0)*BQ24)/1000</f>
        <v>3300</v>
      </c>
      <c r="AK24" s="183">
        <f t="shared" ca="1" si="6"/>
        <v>6050</v>
      </c>
      <c r="AM24" s="11">
        <f t="shared" si="4"/>
        <v>100</v>
      </c>
      <c r="AN24" s="10">
        <v>100</v>
      </c>
      <c r="AO24" s="11">
        <f t="shared" si="7"/>
        <v>1500</v>
      </c>
      <c r="AP24" s="10">
        <v>1500</v>
      </c>
      <c r="AQ24" s="11">
        <f t="shared" si="7"/>
        <v>1500</v>
      </c>
      <c r="AR24" s="10">
        <v>1500</v>
      </c>
      <c r="AS24" s="56">
        <f t="shared" si="8"/>
        <v>2</v>
      </c>
      <c r="AU24" s="11">
        <f ca="1">IFERROR(OFFSET(ITEM_RES!$A$1,MATCH(AV24,ITEM_RES!$J:$J,0)-1,0),0)</f>
        <v>211010601</v>
      </c>
      <c r="AV24" s="10" t="s">
        <v>450</v>
      </c>
      <c r="AW24" s="11">
        <v>7500</v>
      </c>
      <c r="AZ24" s="11">
        <f ca="1">IFERROR(OFFSET(ITEM_RES!$A$1,MATCH(BA24,ITEM_RES!$J:$J,0)-1,0),0)</f>
        <v>211020101</v>
      </c>
      <c r="BA24" s="10" t="s">
        <v>457</v>
      </c>
      <c r="BB24" s="11">
        <v>7500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578</v>
      </c>
      <c r="L25" s="16">
        <v>1</v>
      </c>
      <c r="M25" s="16" t="s">
        <v>960</v>
      </c>
      <c r="N25" s="16" t="s">
        <v>981</v>
      </c>
      <c r="O25" s="16">
        <v>1</v>
      </c>
      <c r="P25" s="16">
        <v>15</v>
      </c>
      <c r="Q25" s="16" t="s">
        <v>792</v>
      </c>
      <c r="R25" s="17"/>
      <c r="S25" s="17"/>
      <c r="T25" s="18"/>
      <c r="U25" s="16" t="s">
        <v>715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550</v>
      </c>
      <c r="AA25" s="16">
        <f ca="1">IFERROR(OFFSET(ITEM_RES!$A$5,MATCH(BUILDING!Z25,ITEM_RES!$J$5:$J$226,0)-1,0),0)</f>
        <v>211010201</v>
      </c>
      <c r="AB25" s="79"/>
      <c r="AC25" s="16" t="s">
        <v>520</v>
      </c>
      <c r="AD25" s="16">
        <v>1</v>
      </c>
      <c r="AE25" s="79"/>
      <c r="AF25" s="16">
        <v>0</v>
      </c>
      <c r="AG25" s="17"/>
      <c r="AH25" s="79"/>
      <c r="AI25" s="57">
        <f ca="1">ROUND(AJ25,0)</f>
        <v>111</v>
      </c>
      <c r="AJ25" s="17">
        <f ca="1">AO25+AQ25+(IFERROR(OFFSET(ITEM_RES!$T$1,MATCH(AU25,ITEM_RES!$A:$A,0)-1,0),0)*AW25+IFERROR(OFFSET(ITEM_RES!$T$1,MATCH(AZ25,ITEM_RES!$A:$A,0)-1,0),0)*BB25+IFERROR(OFFSET(ITEM_RES!$T$1,MATCH(BE25,ITEM_RES!$A:$A,0)-1,0),0)*BG25+IFERROR(OFFSET(ITEM_RES!$T$1,MATCH(BJ25,ITEM_RES!$A:$A,0)-1,0),0)*BL25+IFERROR(OFFSET(ITEM_RES!$T$1,MATCH(BO25,ITEM_RES!$A:$A,0)-1,0),0)*BQ25)/1000</f>
        <v>110.75</v>
      </c>
      <c r="AK25" s="185">
        <f ca="1">AJ25</f>
        <v>110.75</v>
      </c>
      <c r="AL25" s="79"/>
      <c r="AM25" s="18">
        <f t="shared" si="4"/>
        <v>5</v>
      </c>
      <c r="AN25" s="17">
        <v>5</v>
      </c>
      <c r="AO25" s="18">
        <f t="shared" si="7"/>
        <v>5</v>
      </c>
      <c r="AP25" s="17">
        <v>5</v>
      </c>
      <c r="AQ25" s="18">
        <f t="shared" si="7"/>
        <v>5</v>
      </c>
      <c r="AR25" s="17">
        <v>5</v>
      </c>
      <c r="AS25" s="57">
        <f t="shared" si="8"/>
        <v>3</v>
      </c>
      <c r="AT25" s="18"/>
      <c r="AU25" s="18">
        <f ca="1">IFERROR(OFFSET(ITEM_RES!$A$1,MATCH(AV25,ITEM_RES!$J:$J,0)-1,0),0)</f>
        <v>211010501</v>
      </c>
      <c r="AV25" s="17" t="s">
        <v>435</v>
      </c>
      <c r="AW25" s="18">
        <v>25</v>
      </c>
      <c r="AX25" s="17"/>
      <c r="AY25" s="18"/>
      <c r="AZ25" s="18">
        <f ca="1">IFERROR(OFFSET(ITEM_RES!$A$1,MATCH(BA25,ITEM_RES!$J:$J,0)-1,0),0)</f>
        <v>211020101</v>
      </c>
      <c r="BA25" s="17" t="s">
        <v>457</v>
      </c>
      <c r="BB25" s="18">
        <v>25</v>
      </c>
      <c r="BC25" s="17"/>
      <c r="BD25" s="18"/>
      <c r="BE25" s="18">
        <f ca="1">IFERROR(OFFSET(ITEM_RES!$A$1,MATCH(BF25,ITEM_RES!$J:$J,0)-1,0),0)</f>
        <v>213010101</v>
      </c>
      <c r="BF25" s="17" t="s">
        <v>463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960</v>
      </c>
      <c r="N26" s="9" t="s">
        <v>981</v>
      </c>
      <c r="O26" s="9">
        <v>1</v>
      </c>
      <c r="P26" s="9">
        <v>15</v>
      </c>
      <c r="Q26" s="9" t="s">
        <v>792</v>
      </c>
      <c r="U26" s="9" t="s">
        <v>715</v>
      </c>
      <c r="X26" s="9">
        <f ca="1">IFERROR(OFFSET(ITEM_RES!$A$5,MATCH(BUILDING!W26,ITEM_RES!$J$5:$J$226,0)-1,0),0)</f>
        <v>0</v>
      </c>
      <c r="Z26" s="85" t="s">
        <v>550</v>
      </c>
      <c r="AA26" s="9">
        <f ca="1">IFERROR(OFFSET(ITEM_RES!$A$5,MATCH(BUILDING!Z26,ITEM_RES!$J$5:$J$226,0)-1,0),0)</f>
        <v>211010201</v>
      </c>
      <c r="AC26" s="9" t="s">
        <v>520</v>
      </c>
      <c r="AD26" s="9">
        <v>2</v>
      </c>
      <c r="AF26" s="9">
        <v>200</v>
      </c>
      <c r="AI26" s="56">
        <f t="shared" ref="AI26:AI89" ca="1" si="9">ROUND(AJ26,0)</f>
        <v>22</v>
      </c>
      <c r="AJ26" s="10">
        <f ca="1">AO26+AQ26+(IFERROR(OFFSET(ITEM_RES!$T$1,MATCH(AU26,ITEM_RES!$A:$A,0)-1,0),0)*AW26+IFERROR(OFFSET(ITEM_RES!$T$1,MATCH(AZ26,ITEM_RES!$A:$A,0)-1,0),0)*BB26+IFERROR(OFFSET(ITEM_RES!$T$1,MATCH(BE26,ITEM_RES!$A:$A,0)-1,0),0)*BG26+IFERROR(OFFSET(ITEM_RES!$T$1,MATCH(BJ26,ITEM_RES!$A:$A,0)-1,0),0)*BL26+IFERROR(OFFSET(ITEM_RES!$T$1,MATCH(BO26,ITEM_RES!$A:$A,0)-1,0),0)*BQ26)/1000</f>
        <v>21.5</v>
      </c>
      <c r="AK26" s="183">
        <f t="shared" ref="AK26:AK44" ca="1" si="10">AJ25+AJ26</f>
        <v>132.25</v>
      </c>
      <c r="AM26" s="11">
        <f t="shared" si="4"/>
        <v>10</v>
      </c>
      <c r="AN26" s="10">
        <v>10</v>
      </c>
      <c r="AO26" s="11">
        <f t="shared" si="7"/>
        <v>10</v>
      </c>
      <c r="AP26" s="10">
        <v>10</v>
      </c>
      <c r="AQ26" s="11">
        <f t="shared" si="7"/>
        <v>10</v>
      </c>
      <c r="AR26" s="10">
        <v>10</v>
      </c>
      <c r="AS26" s="56">
        <f t="shared" si="8"/>
        <v>2</v>
      </c>
      <c r="AU26" s="11">
        <f ca="1">IFERROR(OFFSET(ITEM_RES!$A$1,MATCH(AV26,ITEM_RES!$J:$J,0)-1,0),0)</f>
        <v>211010501</v>
      </c>
      <c r="AV26" s="10" t="s">
        <v>435</v>
      </c>
      <c r="AW26" s="11">
        <v>50</v>
      </c>
      <c r="AZ26" s="11">
        <f ca="1">IFERROR(OFFSET(ITEM_RES!$A$1,MATCH(BA26,ITEM_RES!$J:$J,0)-1,0),0)</f>
        <v>211020101</v>
      </c>
      <c r="BA26" s="10" t="s">
        <v>457</v>
      </c>
      <c r="BB26" s="11">
        <v>50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960</v>
      </c>
      <c r="N27" s="9" t="s">
        <v>981</v>
      </c>
      <c r="O27" s="9">
        <v>1</v>
      </c>
      <c r="P27" s="9">
        <v>15</v>
      </c>
      <c r="Q27" s="9" t="s">
        <v>792</v>
      </c>
      <c r="U27" s="9" t="s">
        <v>715</v>
      </c>
      <c r="X27" s="9">
        <f ca="1">IFERROR(OFFSET(ITEM_RES!$A$5,MATCH(BUILDING!W27,ITEM_RES!$J$5:$J$226,0)-1,0),0)</f>
        <v>0</v>
      </c>
      <c r="Z27" s="85" t="s">
        <v>550</v>
      </c>
      <c r="AA27" s="9">
        <f ca="1">IFERROR(OFFSET(ITEM_RES!$A$5,MATCH(BUILDING!Z27,ITEM_RES!$J$5:$J$226,0)-1,0),0)</f>
        <v>211010201</v>
      </c>
      <c r="AC27" s="9" t="s">
        <v>520</v>
      </c>
      <c r="AD27" s="9">
        <v>3</v>
      </c>
      <c r="AF27" s="9">
        <v>600</v>
      </c>
      <c r="AI27" s="56">
        <f t="shared" ca="1" si="9"/>
        <v>32</v>
      </c>
      <c r="AJ27" s="10">
        <f ca="1">AO27+AQ27+(IFERROR(OFFSET(ITEM_RES!$T$1,MATCH(AU27,ITEM_RES!$A:$A,0)-1,0),0)*AW27+IFERROR(OFFSET(ITEM_RES!$T$1,MATCH(AZ27,ITEM_RES!$A:$A,0)-1,0),0)*BB27+IFERROR(OFFSET(ITEM_RES!$T$1,MATCH(BE27,ITEM_RES!$A:$A,0)-1,0),0)*BG27+IFERROR(OFFSET(ITEM_RES!$T$1,MATCH(BJ27,ITEM_RES!$A:$A,0)-1,0),0)*BL27+IFERROR(OFFSET(ITEM_RES!$T$1,MATCH(BO27,ITEM_RES!$A:$A,0)-1,0),0)*BQ27)/1000</f>
        <v>32.25</v>
      </c>
      <c r="AK27" s="183">
        <f t="shared" ca="1" si="10"/>
        <v>53.75</v>
      </c>
      <c r="AM27" s="11">
        <f t="shared" si="4"/>
        <v>15</v>
      </c>
      <c r="AN27" s="10">
        <v>15</v>
      </c>
      <c r="AO27" s="11">
        <f t="shared" si="7"/>
        <v>15</v>
      </c>
      <c r="AP27" s="10">
        <v>15</v>
      </c>
      <c r="AQ27" s="11">
        <f t="shared" si="7"/>
        <v>15</v>
      </c>
      <c r="AR27" s="10">
        <v>15</v>
      </c>
      <c r="AS27" s="56">
        <f t="shared" si="8"/>
        <v>2</v>
      </c>
      <c r="AU27" s="11">
        <f ca="1">IFERROR(OFFSET(ITEM_RES!$A$1,MATCH(AV27,ITEM_RES!$J:$J,0)-1,0),0)</f>
        <v>211010501</v>
      </c>
      <c r="AV27" s="10" t="s">
        <v>435</v>
      </c>
      <c r="AW27" s="11">
        <v>75</v>
      </c>
      <c r="AZ27" s="11">
        <f ca="1">IFERROR(OFFSET(ITEM_RES!$A$1,MATCH(BA27,ITEM_RES!$J:$J,0)-1,0),0)</f>
        <v>211020101</v>
      </c>
      <c r="BA27" s="10" t="s">
        <v>457</v>
      </c>
      <c r="BB27" s="11">
        <v>75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960</v>
      </c>
      <c r="N28" s="9" t="s">
        <v>981</v>
      </c>
      <c r="O28" s="9">
        <v>1</v>
      </c>
      <c r="P28" s="9">
        <v>15</v>
      </c>
      <c r="Q28" s="9" t="s">
        <v>792</v>
      </c>
      <c r="U28" s="9" t="s">
        <v>715</v>
      </c>
      <c r="X28" s="9">
        <f ca="1">IFERROR(OFFSET(ITEM_RES!$A$5,MATCH(BUILDING!W28,ITEM_RES!$J$5:$J$226,0)-1,0),0)</f>
        <v>0</v>
      </c>
      <c r="Z28" s="85" t="s">
        <v>550</v>
      </c>
      <c r="AA28" s="9">
        <f ca="1">IFERROR(OFFSET(ITEM_RES!$A$5,MATCH(BUILDING!Z28,ITEM_RES!$J$5:$J$226,0)-1,0),0)</f>
        <v>211010201</v>
      </c>
      <c r="AC28" s="9" t="s">
        <v>520</v>
      </c>
      <c r="AD28" s="9">
        <v>4</v>
      </c>
      <c r="AF28" s="9">
        <v>1000</v>
      </c>
      <c r="AI28" s="56">
        <f t="shared" ca="1" si="9"/>
        <v>54</v>
      </c>
      <c r="AJ28" s="10">
        <f ca="1">AO28+AQ28+(IFERROR(OFFSET(ITEM_RES!$T$1,MATCH(AU28,ITEM_RES!$A:$A,0)-1,0),0)*AW28+IFERROR(OFFSET(ITEM_RES!$T$1,MATCH(AZ28,ITEM_RES!$A:$A,0)-1,0),0)*BB28+IFERROR(OFFSET(ITEM_RES!$T$1,MATCH(BE28,ITEM_RES!$A:$A,0)-1,0),0)*BG28+IFERROR(OFFSET(ITEM_RES!$T$1,MATCH(BJ28,ITEM_RES!$A:$A,0)-1,0),0)*BL28+IFERROR(OFFSET(ITEM_RES!$T$1,MATCH(BO28,ITEM_RES!$A:$A,0)-1,0),0)*BQ28)/1000</f>
        <v>53.75</v>
      </c>
      <c r="AK28" s="183">
        <f t="shared" ca="1" si="10"/>
        <v>86</v>
      </c>
      <c r="AM28" s="11">
        <f t="shared" si="4"/>
        <v>20</v>
      </c>
      <c r="AN28" s="10">
        <v>20</v>
      </c>
      <c r="AO28" s="11">
        <f t="shared" si="7"/>
        <v>25</v>
      </c>
      <c r="AP28" s="10">
        <v>25</v>
      </c>
      <c r="AQ28" s="11">
        <f t="shared" si="7"/>
        <v>25</v>
      </c>
      <c r="AR28" s="10">
        <v>25</v>
      </c>
      <c r="AS28" s="56">
        <f t="shared" si="8"/>
        <v>2</v>
      </c>
      <c r="AU28" s="11">
        <f ca="1">IFERROR(OFFSET(ITEM_RES!$A$1,MATCH(AV28,ITEM_RES!$J:$J,0)-1,0),0)</f>
        <v>211010501</v>
      </c>
      <c r="AV28" s="10" t="s">
        <v>435</v>
      </c>
      <c r="AW28" s="11">
        <v>125</v>
      </c>
      <c r="AZ28" s="11">
        <f ca="1">IFERROR(OFFSET(ITEM_RES!$A$1,MATCH(BA28,ITEM_RES!$J:$J,0)-1,0),0)</f>
        <v>211020101</v>
      </c>
      <c r="BA28" s="10" t="s">
        <v>457</v>
      </c>
      <c r="BB28" s="11">
        <v>125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960</v>
      </c>
      <c r="N29" s="9" t="s">
        <v>981</v>
      </c>
      <c r="O29" s="9">
        <v>1</v>
      </c>
      <c r="P29" s="9">
        <v>15</v>
      </c>
      <c r="Q29" s="9" t="s">
        <v>792</v>
      </c>
      <c r="U29" s="9" t="s">
        <v>715</v>
      </c>
      <c r="X29" s="9">
        <f ca="1">IFERROR(OFFSET(ITEM_RES!$A$5,MATCH(BUILDING!W29,ITEM_RES!$J$5:$J$226,0)-1,0),0)</f>
        <v>0</v>
      </c>
      <c r="Z29" s="85" t="s">
        <v>550</v>
      </c>
      <c r="AA29" s="9">
        <f ca="1">IFERROR(OFFSET(ITEM_RES!$A$5,MATCH(BUILDING!Z29,ITEM_RES!$J$5:$J$226,0)-1,0),0)</f>
        <v>211010201</v>
      </c>
      <c r="AC29" s="9" t="s">
        <v>520</v>
      </c>
      <c r="AD29" s="9">
        <v>5</v>
      </c>
      <c r="AF29" s="9">
        <v>1600</v>
      </c>
      <c r="AI29" s="56">
        <f t="shared" ca="1" si="9"/>
        <v>86</v>
      </c>
      <c r="AJ29" s="10">
        <f ca="1">AO29+AQ29+(IFERROR(OFFSET(ITEM_RES!$T$1,MATCH(AU29,ITEM_RES!$A:$A,0)-1,0),0)*AW29+IFERROR(OFFSET(ITEM_RES!$T$1,MATCH(AZ29,ITEM_RES!$A:$A,0)-1,0),0)*BB29+IFERROR(OFFSET(ITEM_RES!$T$1,MATCH(BE29,ITEM_RES!$A:$A,0)-1,0),0)*BG29+IFERROR(OFFSET(ITEM_RES!$T$1,MATCH(BJ29,ITEM_RES!$A:$A,0)-1,0),0)*BL29+IFERROR(OFFSET(ITEM_RES!$T$1,MATCH(BO29,ITEM_RES!$A:$A,0)-1,0),0)*BQ29)/1000</f>
        <v>86</v>
      </c>
      <c r="AK29" s="183">
        <f t="shared" ca="1" si="10"/>
        <v>139.75</v>
      </c>
      <c r="AM29" s="11">
        <f t="shared" si="4"/>
        <v>25</v>
      </c>
      <c r="AN29" s="10">
        <v>25</v>
      </c>
      <c r="AO29" s="11">
        <f t="shared" si="7"/>
        <v>40</v>
      </c>
      <c r="AP29" s="10">
        <v>40</v>
      </c>
      <c r="AQ29" s="11">
        <f t="shared" si="7"/>
        <v>40</v>
      </c>
      <c r="AR29" s="10">
        <v>40</v>
      </c>
      <c r="AS29" s="56">
        <f t="shared" si="8"/>
        <v>2</v>
      </c>
      <c r="AU29" s="11">
        <f ca="1">IFERROR(OFFSET(ITEM_RES!$A$1,MATCH(AV29,ITEM_RES!$J:$J,0)-1,0),0)</f>
        <v>211010501</v>
      </c>
      <c r="AV29" s="10" t="s">
        <v>435</v>
      </c>
      <c r="AW29" s="11">
        <v>200</v>
      </c>
      <c r="AZ29" s="11">
        <f ca="1">IFERROR(OFFSET(ITEM_RES!$A$1,MATCH(BA29,ITEM_RES!$J:$J,0)-1,0),0)</f>
        <v>211020101</v>
      </c>
      <c r="BA29" s="10" t="s">
        <v>457</v>
      </c>
      <c r="BB29" s="11">
        <v>200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960</v>
      </c>
      <c r="N30" s="9" t="s">
        <v>981</v>
      </c>
      <c r="O30" s="9">
        <v>1</v>
      </c>
      <c r="P30" s="9">
        <v>15</v>
      </c>
      <c r="Q30" s="9" t="s">
        <v>792</v>
      </c>
      <c r="U30" s="9" t="s">
        <v>715</v>
      </c>
      <c r="X30" s="9">
        <f ca="1">IFERROR(OFFSET(ITEM_RES!$A$5,MATCH(BUILDING!W30,ITEM_RES!$J$5:$J$226,0)-1,0),0)</f>
        <v>0</v>
      </c>
      <c r="Z30" s="85" t="s">
        <v>550</v>
      </c>
      <c r="AA30" s="9">
        <f ca="1">IFERROR(OFFSET(ITEM_RES!$A$5,MATCH(BUILDING!Z30,ITEM_RES!$J$5:$J$226,0)-1,0),0)</f>
        <v>211010201</v>
      </c>
      <c r="AC30" s="9" t="s">
        <v>520</v>
      </c>
      <c r="AD30" s="9">
        <v>6</v>
      </c>
      <c r="AF30" s="9">
        <v>2000</v>
      </c>
      <c r="AI30" s="56">
        <f t="shared" ca="1" si="9"/>
        <v>108</v>
      </c>
      <c r="AJ30" s="10">
        <f ca="1">AO30+AQ30+(IFERROR(OFFSET(ITEM_RES!$T$1,MATCH(AU30,ITEM_RES!$A:$A,0)-1,0),0)*AW30+IFERROR(OFFSET(ITEM_RES!$T$1,MATCH(AZ30,ITEM_RES!$A:$A,0)-1,0),0)*BB30+IFERROR(OFFSET(ITEM_RES!$T$1,MATCH(BE30,ITEM_RES!$A:$A,0)-1,0),0)*BG30+IFERROR(OFFSET(ITEM_RES!$T$1,MATCH(BJ30,ITEM_RES!$A:$A,0)-1,0),0)*BL30+IFERROR(OFFSET(ITEM_RES!$T$1,MATCH(BO30,ITEM_RES!$A:$A,0)-1,0),0)*BQ30)/1000</f>
        <v>107.5</v>
      </c>
      <c r="AK30" s="183">
        <f t="shared" ca="1" si="10"/>
        <v>193.5</v>
      </c>
      <c r="AM30" s="11">
        <f t="shared" si="4"/>
        <v>30</v>
      </c>
      <c r="AN30" s="10">
        <v>30</v>
      </c>
      <c r="AO30" s="11">
        <f t="shared" si="7"/>
        <v>50</v>
      </c>
      <c r="AP30" s="10">
        <v>50</v>
      </c>
      <c r="AQ30" s="11">
        <f t="shared" si="7"/>
        <v>50</v>
      </c>
      <c r="AR30" s="10">
        <v>50</v>
      </c>
      <c r="AS30" s="56">
        <f t="shared" si="8"/>
        <v>2</v>
      </c>
      <c r="AU30" s="11">
        <f ca="1">IFERROR(OFFSET(ITEM_RES!$A$1,MATCH(AV30,ITEM_RES!$J:$J,0)-1,0),0)</f>
        <v>211010501</v>
      </c>
      <c r="AV30" s="10" t="s">
        <v>435</v>
      </c>
      <c r="AW30" s="11">
        <v>250</v>
      </c>
      <c r="AZ30" s="11">
        <f ca="1">IFERROR(OFFSET(ITEM_RES!$A$1,MATCH(BA30,ITEM_RES!$J:$J,0)-1,0),0)</f>
        <v>211020101</v>
      </c>
      <c r="BA30" s="10" t="s">
        <v>457</v>
      </c>
      <c r="BB30" s="11">
        <v>250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960</v>
      </c>
      <c r="N31" s="9" t="s">
        <v>981</v>
      </c>
      <c r="O31" s="9">
        <v>1</v>
      </c>
      <c r="P31" s="9">
        <v>15</v>
      </c>
      <c r="Q31" s="9" t="s">
        <v>792</v>
      </c>
      <c r="U31" s="9" t="s">
        <v>715</v>
      </c>
      <c r="X31" s="9">
        <f ca="1">IFERROR(OFFSET(ITEM_RES!$A$5,MATCH(BUILDING!W31,ITEM_RES!$J$5:$J$226,0)-1,0),0)</f>
        <v>0</v>
      </c>
      <c r="Z31" s="85" t="s">
        <v>550</v>
      </c>
      <c r="AA31" s="9">
        <f ca="1">IFERROR(OFFSET(ITEM_RES!$A$5,MATCH(BUILDING!Z31,ITEM_RES!$J$5:$J$226,0)-1,0),0)</f>
        <v>211010201</v>
      </c>
      <c r="AC31" s="9" t="s">
        <v>520</v>
      </c>
      <c r="AD31" s="9">
        <v>7</v>
      </c>
      <c r="AF31" s="9">
        <v>4000</v>
      </c>
      <c r="AI31" s="56">
        <f t="shared" ca="1" si="9"/>
        <v>215</v>
      </c>
      <c r="AJ31" s="10">
        <f ca="1">AO31+AQ31+(IFERROR(OFFSET(ITEM_RES!$T$1,MATCH(AU31,ITEM_RES!$A:$A,0)-1,0),0)*AW31+IFERROR(OFFSET(ITEM_RES!$T$1,MATCH(AZ31,ITEM_RES!$A:$A,0)-1,0),0)*BB31+IFERROR(OFFSET(ITEM_RES!$T$1,MATCH(BE31,ITEM_RES!$A:$A,0)-1,0),0)*BG31+IFERROR(OFFSET(ITEM_RES!$T$1,MATCH(BJ31,ITEM_RES!$A:$A,0)-1,0),0)*BL31+IFERROR(OFFSET(ITEM_RES!$T$1,MATCH(BO31,ITEM_RES!$A:$A,0)-1,0),0)*BQ31)/1000</f>
        <v>215</v>
      </c>
      <c r="AK31" s="183">
        <f t="shared" ca="1" si="10"/>
        <v>322.5</v>
      </c>
      <c r="AM31" s="11">
        <f t="shared" si="4"/>
        <v>35</v>
      </c>
      <c r="AN31" s="10">
        <v>35</v>
      </c>
      <c r="AO31" s="11">
        <f t="shared" si="7"/>
        <v>100</v>
      </c>
      <c r="AP31" s="10">
        <v>100</v>
      </c>
      <c r="AQ31" s="11">
        <f t="shared" si="7"/>
        <v>100</v>
      </c>
      <c r="AR31" s="10">
        <v>100</v>
      </c>
      <c r="AS31" s="56">
        <f t="shared" si="8"/>
        <v>2</v>
      </c>
      <c r="AU31" s="11">
        <f ca="1">IFERROR(OFFSET(ITEM_RES!$A$1,MATCH(AV31,ITEM_RES!$J:$J,0)-1,0),0)</f>
        <v>211010501</v>
      </c>
      <c r="AV31" s="10" t="s">
        <v>435</v>
      </c>
      <c r="AW31" s="11">
        <v>500</v>
      </c>
      <c r="AZ31" s="11">
        <f ca="1">IFERROR(OFFSET(ITEM_RES!$A$1,MATCH(BA31,ITEM_RES!$J:$J,0)-1,0),0)</f>
        <v>211020101</v>
      </c>
      <c r="BA31" s="10" t="s">
        <v>457</v>
      </c>
      <c r="BB31" s="11">
        <v>500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960</v>
      </c>
      <c r="N32" s="9" t="s">
        <v>981</v>
      </c>
      <c r="O32" s="9">
        <v>1</v>
      </c>
      <c r="P32" s="9">
        <v>15</v>
      </c>
      <c r="Q32" s="9" t="s">
        <v>792</v>
      </c>
      <c r="U32" s="9" t="s">
        <v>715</v>
      </c>
      <c r="X32" s="9">
        <f ca="1">IFERROR(OFFSET(ITEM_RES!$A$5,MATCH(BUILDING!W32,ITEM_RES!$J$5:$J$226,0)-1,0),0)</f>
        <v>0</v>
      </c>
      <c r="Z32" s="85" t="s">
        <v>550</v>
      </c>
      <c r="AA32" s="9">
        <f ca="1">IFERROR(OFFSET(ITEM_RES!$A$5,MATCH(BUILDING!Z32,ITEM_RES!$J$5:$J$226,0)-1,0),0)</f>
        <v>211010201</v>
      </c>
      <c r="AC32" s="9" t="s">
        <v>520</v>
      </c>
      <c r="AD32" s="9">
        <v>8</v>
      </c>
      <c r="AF32" s="9">
        <v>4000</v>
      </c>
      <c r="AI32" s="56">
        <f t="shared" ca="1" si="9"/>
        <v>215</v>
      </c>
      <c r="AJ32" s="10">
        <f ca="1">AO32+AQ32+(IFERROR(OFFSET(ITEM_RES!$T$1,MATCH(AU32,ITEM_RES!$A:$A,0)-1,0),0)*AW32+IFERROR(OFFSET(ITEM_RES!$T$1,MATCH(AZ32,ITEM_RES!$A:$A,0)-1,0),0)*BB32+IFERROR(OFFSET(ITEM_RES!$T$1,MATCH(BE32,ITEM_RES!$A:$A,0)-1,0),0)*BG32+IFERROR(OFFSET(ITEM_RES!$T$1,MATCH(BJ32,ITEM_RES!$A:$A,0)-1,0),0)*BL32+IFERROR(OFFSET(ITEM_RES!$T$1,MATCH(BO32,ITEM_RES!$A:$A,0)-1,0),0)*BQ32)/1000</f>
        <v>215</v>
      </c>
      <c r="AK32" s="183">
        <f t="shared" ca="1" si="10"/>
        <v>430</v>
      </c>
      <c r="AM32" s="11">
        <f t="shared" si="4"/>
        <v>40</v>
      </c>
      <c r="AN32" s="10">
        <v>40</v>
      </c>
      <c r="AO32" s="11">
        <f t="shared" si="7"/>
        <v>100</v>
      </c>
      <c r="AP32" s="10">
        <v>100</v>
      </c>
      <c r="AQ32" s="11">
        <f t="shared" si="7"/>
        <v>100</v>
      </c>
      <c r="AR32" s="10">
        <v>100</v>
      </c>
      <c r="AS32" s="56">
        <f t="shared" si="8"/>
        <v>2</v>
      </c>
      <c r="AU32" s="11">
        <f ca="1">IFERROR(OFFSET(ITEM_RES!$A$1,MATCH(AV32,ITEM_RES!$J:$J,0)-1,0),0)</f>
        <v>211010501</v>
      </c>
      <c r="AV32" s="10" t="s">
        <v>435</v>
      </c>
      <c r="AW32" s="11">
        <v>500</v>
      </c>
      <c r="AZ32" s="11">
        <f ca="1">IFERROR(OFFSET(ITEM_RES!$A$1,MATCH(BA32,ITEM_RES!$J:$J,0)-1,0),0)</f>
        <v>211020101</v>
      </c>
      <c r="BA32" s="10" t="s">
        <v>457</v>
      </c>
      <c r="BB32" s="11">
        <v>500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960</v>
      </c>
      <c r="N33" s="9" t="s">
        <v>981</v>
      </c>
      <c r="O33" s="9">
        <v>1</v>
      </c>
      <c r="P33" s="9">
        <v>15</v>
      </c>
      <c r="Q33" s="9" t="s">
        <v>792</v>
      </c>
      <c r="U33" s="9" t="s">
        <v>715</v>
      </c>
      <c r="X33" s="9">
        <f ca="1">IFERROR(OFFSET(ITEM_RES!$A$5,MATCH(BUILDING!W33,ITEM_RES!$J$5:$J$226,0)-1,0),0)</f>
        <v>0</v>
      </c>
      <c r="Z33" s="85" t="s">
        <v>550</v>
      </c>
      <c r="AA33" s="9">
        <f ca="1">IFERROR(OFFSET(ITEM_RES!$A$5,MATCH(BUILDING!Z33,ITEM_RES!$J$5:$J$226,0)-1,0),0)</f>
        <v>211010201</v>
      </c>
      <c r="AC33" s="9" t="s">
        <v>520</v>
      </c>
      <c r="AD33" s="9">
        <v>9</v>
      </c>
      <c r="AF33" s="9">
        <v>6000</v>
      </c>
      <c r="AI33" s="56">
        <f t="shared" ca="1" si="9"/>
        <v>323</v>
      </c>
      <c r="AJ33" s="10">
        <f ca="1">AO33+AQ33+(IFERROR(OFFSET(ITEM_RES!$T$1,MATCH(AU33,ITEM_RES!$A:$A,0)-1,0),0)*AW33+IFERROR(OFFSET(ITEM_RES!$T$1,MATCH(AZ33,ITEM_RES!$A:$A,0)-1,0),0)*BB33+IFERROR(OFFSET(ITEM_RES!$T$1,MATCH(BE33,ITEM_RES!$A:$A,0)-1,0),0)*BG33+IFERROR(OFFSET(ITEM_RES!$T$1,MATCH(BJ33,ITEM_RES!$A:$A,0)-1,0),0)*BL33+IFERROR(OFFSET(ITEM_RES!$T$1,MATCH(BO33,ITEM_RES!$A:$A,0)-1,0),0)*BQ33)/1000</f>
        <v>322.5</v>
      </c>
      <c r="AK33" s="183">
        <f t="shared" ca="1" si="10"/>
        <v>537.5</v>
      </c>
      <c r="AM33" s="11">
        <f t="shared" si="4"/>
        <v>45</v>
      </c>
      <c r="AN33" s="10">
        <v>45</v>
      </c>
      <c r="AO33" s="11">
        <f t="shared" si="7"/>
        <v>150</v>
      </c>
      <c r="AP33" s="10">
        <v>150</v>
      </c>
      <c r="AQ33" s="11">
        <f t="shared" si="7"/>
        <v>150</v>
      </c>
      <c r="AR33" s="10">
        <v>150</v>
      </c>
      <c r="AS33" s="56">
        <f t="shared" si="8"/>
        <v>2</v>
      </c>
      <c r="AU33" s="11">
        <f ca="1">IFERROR(OFFSET(ITEM_RES!$A$1,MATCH(AV33,ITEM_RES!$J:$J,0)-1,0),0)</f>
        <v>211010501</v>
      </c>
      <c r="AV33" s="10" t="s">
        <v>435</v>
      </c>
      <c r="AW33" s="11">
        <v>750</v>
      </c>
      <c r="AZ33" s="11">
        <f ca="1">IFERROR(OFFSET(ITEM_RES!$A$1,MATCH(BA33,ITEM_RES!$J:$J,0)-1,0),0)</f>
        <v>211020101</v>
      </c>
      <c r="BA33" s="10" t="s">
        <v>457</v>
      </c>
      <c r="BB33" s="11">
        <v>750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960</v>
      </c>
      <c r="N34" s="9" t="s">
        <v>981</v>
      </c>
      <c r="O34" s="9">
        <v>1</v>
      </c>
      <c r="P34" s="9">
        <v>15</v>
      </c>
      <c r="Q34" s="9" t="s">
        <v>792</v>
      </c>
      <c r="U34" s="9" t="s">
        <v>715</v>
      </c>
      <c r="X34" s="9">
        <f ca="1">IFERROR(OFFSET(ITEM_RES!$A$5,MATCH(BUILDING!W34,ITEM_RES!$J$5:$J$226,0)-1,0),0)</f>
        <v>0</v>
      </c>
      <c r="Z34" s="85" t="s">
        <v>550</v>
      </c>
      <c r="AA34" s="9">
        <f ca="1">IFERROR(OFFSET(ITEM_RES!$A$5,MATCH(BUILDING!Z34,ITEM_RES!$J$5:$J$226,0)-1,0),0)</f>
        <v>211010201</v>
      </c>
      <c r="AC34" s="9" t="s">
        <v>520</v>
      </c>
      <c r="AD34" s="9">
        <v>10</v>
      </c>
      <c r="AF34" s="9">
        <v>8000</v>
      </c>
      <c r="AI34" s="56">
        <f t="shared" ca="1" si="9"/>
        <v>430</v>
      </c>
      <c r="AJ34" s="10">
        <f ca="1">AO34+AQ34+(IFERROR(OFFSET(ITEM_RES!$T$1,MATCH(AU34,ITEM_RES!$A:$A,0)-1,0),0)*AW34+IFERROR(OFFSET(ITEM_RES!$T$1,MATCH(AZ34,ITEM_RES!$A:$A,0)-1,0),0)*BB34+IFERROR(OFFSET(ITEM_RES!$T$1,MATCH(BE34,ITEM_RES!$A:$A,0)-1,0),0)*BG34+IFERROR(OFFSET(ITEM_RES!$T$1,MATCH(BJ34,ITEM_RES!$A:$A,0)-1,0),0)*BL34+IFERROR(OFFSET(ITEM_RES!$T$1,MATCH(BO34,ITEM_RES!$A:$A,0)-1,0),0)*BQ34)/1000</f>
        <v>430</v>
      </c>
      <c r="AK34" s="183">
        <f t="shared" ca="1" si="10"/>
        <v>752.5</v>
      </c>
      <c r="AM34" s="11">
        <f t="shared" si="4"/>
        <v>50</v>
      </c>
      <c r="AN34" s="10">
        <v>50</v>
      </c>
      <c r="AO34" s="11">
        <f t="shared" si="7"/>
        <v>200</v>
      </c>
      <c r="AP34" s="10">
        <v>200</v>
      </c>
      <c r="AQ34" s="11">
        <f t="shared" si="7"/>
        <v>200</v>
      </c>
      <c r="AR34" s="10">
        <v>200</v>
      </c>
      <c r="AS34" s="56">
        <f t="shared" si="8"/>
        <v>2</v>
      </c>
      <c r="AU34" s="11">
        <f ca="1">IFERROR(OFFSET(ITEM_RES!$A$1,MATCH(AV34,ITEM_RES!$J:$J,0)-1,0),0)</f>
        <v>211010501</v>
      </c>
      <c r="AV34" s="10" t="s">
        <v>435</v>
      </c>
      <c r="AW34" s="11">
        <v>1000</v>
      </c>
      <c r="AZ34" s="11">
        <f ca="1">IFERROR(OFFSET(ITEM_RES!$A$1,MATCH(BA34,ITEM_RES!$J:$J,0)-1,0),0)</f>
        <v>211020101</v>
      </c>
      <c r="BA34" s="10" t="s">
        <v>457</v>
      </c>
      <c r="BB34" s="11">
        <v>1000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M35" s="9" t="s">
        <v>960</v>
      </c>
      <c r="N35" s="9" t="s">
        <v>981</v>
      </c>
      <c r="O35" s="9">
        <v>1</v>
      </c>
      <c r="P35" s="9">
        <v>15</v>
      </c>
      <c r="Q35" s="9" t="s">
        <v>792</v>
      </c>
      <c r="U35" s="9" t="s">
        <v>715</v>
      </c>
      <c r="X35" s="9">
        <f ca="1">IFERROR(OFFSET(ITEM_RES!$A$5,MATCH(BUILDING!W35,ITEM_RES!$J$5:$J$226,0)-1,0),0)</f>
        <v>0</v>
      </c>
      <c r="Z35" s="85" t="s">
        <v>550</v>
      </c>
      <c r="AA35" s="9">
        <f ca="1">IFERROR(OFFSET(ITEM_RES!$A$5,MATCH(BUILDING!Z35,ITEM_RES!$J$5:$J$226,0)-1,0),0)</f>
        <v>211010201</v>
      </c>
      <c r="AC35" s="9" t="s">
        <v>520</v>
      </c>
      <c r="AD35" s="9">
        <v>11</v>
      </c>
      <c r="AF35" s="9">
        <v>10000</v>
      </c>
      <c r="AI35" s="56">
        <f t="shared" ca="1" si="9"/>
        <v>538</v>
      </c>
      <c r="AJ35" s="10">
        <f ca="1">AO35+AQ35+(IFERROR(OFFSET(ITEM_RES!$T$1,MATCH(AU35,ITEM_RES!$A:$A,0)-1,0),0)*AW35+IFERROR(OFFSET(ITEM_RES!$T$1,MATCH(AZ35,ITEM_RES!$A:$A,0)-1,0),0)*BB35+IFERROR(OFFSET(ITEM_RES!$T$1,MATCH(BE35,ITEM_RES!$A:$A,0)-1,0),0)*BG35+IFERROR(OFFSET(ITEM_RES!$T$1,MATCH(BJ35,ITEM_RES!$A:$A,0)-1,0),0)*BL35+IFERROR(OFFSET(ITEM_RES!$T$1,MATCH(BO35,ITEM_RES!$A:$A,0)-1,0),0)*BQ35)/1000</f>
        <v>537.5</v>
      </c>
      <c r="AK35" s="183">
        <f t="shared" ca="1" si="10"/>
        <v>967.5</v>
      </c>
      <c r="AM35" s="11">
        <f t="shared" si="4"/>
        <v>55</v>
      </c>
      <c r="AN35" s="10">
        <v>55</v>
      </c>
      <c r="AO35" s="11">
        <f t="shared" si="7"/>
        <v>250</v>
      </c>
      <c r="AP35" s="10">
        <v>250</v>
      </c>
      <c r="AQ35" s="11">
        <f t="shared" si="7"/>
        <v>250</v>
      </c>
      <c r="AR35" s="10">
        <v>250</v>
      </c>
      <c r="AS35" s="56">
        <f t="shared" si="8"/>
        <v>2</v>
      </c>
      <c r="AU35" s="11">
        <f ca="1">IFERROR(OFFSET(ITEM_RES!$A$1,MATCH(AV35,ITEM_RES!$J:$J,0)-1,0),0)</f>
        <v>211010501</v>
      </c>
      <c r="AV35" s="10" t="s">
        <v>435</v>
      </c>
      <c r="AW35" s="11">
        <v>1250</v>
      </c>
      <c r="AZ35" s="11">
        <f ca="1">IFERROR(OFFSET(ITEM_RES!$A$1,MATCH(BA35,ITEM_RES!$J:$J,0)-1,0),0)</f>
        <v>211020101</v>
      </c>
      <c r="BA35" s="10" t="s">
        <v>457</v>
      </c>
      <c r="BB35" s="11">
        <v>1250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960</v>
      </c>
      <c r="N36" s="9" t="s">
        <v>981</v>
      </c>
      <c r="O36" s="9">
        <v>1</v>
      </c>
      <c r="P36" s="9">
        <v>15</v>
      </c>
      <c r="Q36" s="9" t="s">
        <v>792</v>
      </c>
      <c r="U36" s="9" t="s">
        <v>715</v>
      </c>
      <c r="X36" s="9">
        <f ca="1">IFERROR(OFFSET(ITEM_RES!$A$5,MATCH(BUILDING!W36,ITEM_RES!$J$5:$J$226,0)-1,0),0)</f>
        <v>0</v>
      </c>
      <c r="Z36" s="85" t="s">
        <v>550</v>
      </c>
      <c r="AA36" s="9">
        <f ca="1">IFERROR(OFFSET(ITEM_RES!$A$5,MATCH(BUILDING!Z36,ITEM_RES!$J$5:$J$226,0)-1,0),0)</f>
        <v>211010201</v>
      </c>
      <c r="AC36" s="9" t="s">
        <v>520</v>
      </c>
      <c r="AD36" s="9">
        <v>12</v>
      </c>
      <c r="AF36" s="9">
        <v>12000</v>
      </c>
      <c r="AI36" s="56">
        <f t="shared" ca="1" si="9"/>
        <v>645</v>
      </c>
      <c r="AJ36" s="10">
        <f ca="1">AO36+AQ36+(IFERROR(OFFSET(ITEM_RES!$T$1,MATCH(AU36,ITEM_RES!$A:$A,0)-1,0),0)*AW36+IFERROR(OFFSET(ITEM_RES!$T$1,MATCH(AZ36,ITEM_RES!$A:$A,0)-1,0),0)*BB36+IFERROR(OFFSET(ITEM_RES!$T$1,MATCH(BE36,ITEM_RES!$A:$A,0)-1,0),0)*BG36+IFERROR(OFFSET(ITEM_RES!$T$1,MATCH(BJ36,ITEM_RES!$A:$A,0)-1,0),0)*BL36+IFERROR(OFFSET(ITEM_RES!$T$1,MATCH(BO36,ITEM_RES!$A:$A,0)-1,0),0)*BQ36)/1000</f>
        <v>645</v>
      </c>
      <c r="AK36" s="183">
        <f t="shared" ca="1" si="10"/>
        <v>1182.5</v>
      </c>
      <c r="AM36" s="11">
        <f t="shared" si="4"/>
        <v>60</v>
      </c>
      <c r="AN36" s="10">
        <v>60</v>
      </c>
      <c r="AO36" s="11">
        <f t="shared" si="7"/>
        <v>300</v>
      </c>
      <c r="AP36" s="10">
        <v>300</v>
      </c>
      <c r="AQ36" s="11">
        <f t="shared" si="7"/>
        <v>300</v>
      </c>
      <c r="AR36" s="10">
        <v>300</v>
      </c>
      <c r="AS36" s="56">
        <f t="shared" si="8"/>
        <v>2</v>
      </c>
      <c r="AU36" s="11">
        <f ca="1">IFERROR(OFFSET(ITEM_RES!$A$1,MATCH(AV36,ITEM_RES!$J:$J,0)-1,0),0)</f>
        <v>211010501</v>
      </c>
      <c r="AV36" s="10" t="s">
        <v>435</v>
      </c>
      <c r="AW36" s="11">
        <v>1500</v>
      </c>
      <c r="AZ36" s="11">
        <f ca="1">IFERROR(OFFSET(ITEM_RES!$A$1,MATCH(BA36,ITEM_RES!$J:$J,0)-1,0),0)</f>
        <v>211020101</v>
      </c>
      <c r="BA36" s="10" t="s">
        <v>457</v>
      </c>
      <c r="BB36" s="11">
        <v>1500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960</v>
      </c>
      <c r="N37" s="9" t="s">
        <v>981</v>
      </c>
      <c r="O37" s="9">
        <v>1</v>
      </c>
      <c r="P37" s="9">
        <v>15</v>
      </c>
      <c r="Q37" s="9" t="s">
        <v>792</v>
      </c>
      <c r="U37" s="9" t="s">
        <v>715</v>
      </c>
      <c r="X37" s="9">
        <f ca="1">IFERROR(OFFSET(ITEM_RES!$A$5,MATCH(BUILDING!W37,ITEM_RES!$J$5:$J$226,0)-1,0),0)</f>
        <v>0</v>
      </c>
      <c r="Z37" s="85" t="s">
        <v>550</v>
      </c>
      <c r="AA37" s="9">
        <f ca="1">IFERROR(OFFSET(ITEM_RES!$A$5,MATCH(BUILDING!Z37,ITEM_RES!$J$5:$J$226,0)-1,0),0)</f>
        <v>211010201</v>
      </c>
      <c r="AC37" s="9" t="s">
        <v>520</v>
      </c>
      <c r="AD37" s="9">
        <v>13</v>
      </c>
      <c r="AF37" s="9">
        <v>14000</v>
      </c>
      <c r="AI37" s="56">
        <f t="shared" ca="1" si="9"/>
        <v>753</v>
      </c>
      <c r="AJ37" s="10">
        <f ca="1">AO37+AQ37+(IFERROR(OFFSET(ITEM_RES!$T$1,MATCH(AU37,ITEM_RES!$A:$A,0)-1,0),0)*AW37+IFERROR(OFFSET(ITEM_RES!$T$1,MATCH(AZ37,ITEM_RES!$A:$A,0)-1,0),0)*BB37+IFERROR(OFFSET(ITEM_RES!$T$1,MATCH(BE37,ITEM_RES!$A:$A,0)-1,0),0)*BG37+IFERROR(OFFSET(ITEM_RES!$T$1,MATCH(BJ37,ITEM_RES!$A:$A,0)-1,0),0)*BL37+IFERROR(OFFSET(ITEM_RES!$T$1,MATCH(BO37,ITEM_RES!$A:$A,0)-1,0),0)*BQ37)/1000</f>
        <v>752.5</v>
      </c>
      <c r="AK37" s="183">
        <f t="shared" ca="1" si="10"/>
        <v>1397.5</v>
      </c>
      <c r="AM37" s="11">
        <f t="shared" si="4"/>
        <v>65</v>
      </c>
      <c r="AN37" s="10">
        <v>65</v>
      </c>
      <c r="AO37" s="11">
        <f t="shared" si="7"/>
        <v>350</v>
      </c>
      <c r="AP37" s="10">
        <v>350</v>
      </c>
      <c r="AQ37" s="11">
        <f t="shared" si="7"/>
        <v>350</v>
      </c>
      <c r="AR37" s="10">
        <v>350</v>
      </c>
      <c r="AS37" s="56">
        <f t="shared" si="8"/>
        <v>2</v>
      </c>
      <c r="AU37" s="11">
        <f ca="1">IFERROR(OFFSET(ITEM_RES!$A$1,MATCH(AV37,ITEM_RES!$J:$J,0)-1,0),0)</f>
        <v>211010501</v>
      </c>
      <c r="AV37" s="10" t="s">
        <v>435</v>
      </c>
      <c r="AW37" s="11">
        <v>1750</v>
      </c>
      <c r="AZ37" s="11">
        <f ca="1">IFERROR(OFFSET(ITEM_RES!$A$1,MATCH(BA37,ITEM_RES!$J:$J,0)-1,0),0)</f>
        <v>211020101</v>
      </c>
      <c r="BA37" s="10" t="s">
        <v>457</v>
      </c>
      <c r="BB37" s="11">
        <v>1750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960</v>
      </c>
      <c r="N38" s="9" t="s">
        <v>981</v>
      </c>
      <c r="O38" s="9">
        <v>1</v>
      </c>
      <c r="P38" s="9">
        <v>15</v>
      </c>
      <c r="Q38" s="9" t="s">
        <v>792</v>
      </c>
      <c r="U38" s="9" t="s">
        <v>715</v>
      </c>
      <c r="X38" s="9">
        <f ca="1">IFERROR(OFFSET(ITEM_RES!$A$5,MATCH(BUILDING!W38,ITEM_RES!$J$5:$J$226,0)-1,0),0)</f>
        <v>0</v>
      </c>
      <c r="Z38" s="85" t="s">
        <v>550</v>
      </c>
      <c r="AA38" s="9">
        <f ca="1">IFERROR(OFFSET(ITEM_RES!$A$5,MATCH(BUILDING!Z38,ITEM_RES!$J$5:$J$226,0)-1,0),0)</f>
        <v>211010201</v>
      </c>
      <c r="AC38" s="9" t="s">
        <v>520</v>
      </c>
      <c r="AD38" s="9">
        <v>14</v>
      </c>
      <c r="AF38" s="9">
        <v>18000</v>
      </c>
      <c r="AI38" s="56">
        <f t="shared" ca="1" si="9"/>
        <v>968</v>
      </c>
      <c r="AJ38" s="10">
        <f ca="1">AO38+AQ38+(IFERROR(OFFSET(ITEM_RES!$T$1,MATCH(AU38,ITEM_RES!$A:$A,0)-1,0),0)*AW38+IFERROR(OFFSET(ITEM_RES!$T$1,MATCH(AZ38,ITEM_RES!$A:$A,0)-1,0),0)*BB38+IFERROR(OFFSET(ITEM_RES!$T$1,MATCH(BE38,ITEM_RES!$A:$A,0)-1,0),0)*BG38+IFERROR(OFFSET(ITEM_RES!$T$1,MATCH(BJ38,ITEM_RES!$A:$A,0)-1,0),0)*BL38+IFERROR(OFFSET(ITEM_RES!$T$1,MATCH(BO38,ITEM_RES!$A:$A,0)-1,0),0)*BQ38)/1000</f>
        <v>967.5</v>
      </c>
      <c r="AK38" s="183">
        <f t="shared" ca="1" si="10"/>
        <v>1720</v>
      </c>
      <c r="AM38" s="11">
        <f t="shared" si="4"/>
        <v>70</v>
      </c>
      <c r="AN38" s="10">
        <v>70</v>
      </c>
      <c r="AO38" s="11">
        <f t="shared" si="7"/>
        <v>450</v>
      </c>
      <c r="AP38" s="10">
        <v>450</v>
      </c>
      <c r="AQ38" s="11">
        <f t="shared" si="7"/>
        <v>450</v>
      </c>
      <c r="AR38" s="10">
        <v>450</v>
      </c>
      <c r="AS38" s="56">
        <f t="shared" si="8"/>
        <v>2</v>
      </c>
      <c r="AU38" s="11">
        <f ca="1">IFERROR(OFFSET(ITEM_RES!$A$1,MATCH(AV38,ITEM_RES!$J:$J,0)-1,0),0)</f>
        <v>211010501</v>
      </c>
      <c r="AV38" s="10" t="s">
        <v>435</v>
      </c>
      <c r="AW38" s="11">
        <v>2250</v>
      </c>
      <c r="AZ38" s="11">
        <f ca="1">IFERROR(OFFSET(ITEM_RES!$A$1,MATCH(BA38,ITEM_RES!$J:$J,0)-1,0),0)</f>
        <v>211020101</v>
      </c>
      <c r="BA38" s="10" t="s">
        <v>457</v>
      </c>
      <c r="BB38" s="11">
        <v>2250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960</v>
      </c>
      <c r="N39" s="9" t="s">
        <v>981</v>
      </c>
      <c r="O39" s="9">
        <v>1</v>
      </c>
      <c r="P39" s="9">
        <v>15</v>
      </c>
      <c r="Q39" s="9" t="s">
        <v>792</v>
      </c>
      <c r="U39" s="9" t="s">
        <v>715</v>
      </c>
      <c r="X39" s="9">
        <f ca="1">IFERROR(OFFSET(ITEM_RES!$A$5,MATCH(BUILDING!W39,ITEM_RES!$J$5:$J$226,0)-1,0),0)</f>
        <v>0</v>
      </c>
      <c r="Z39" s="85" t="s">
        <v>550</v>
      </c>
      <c r="AA39" s="9">
        <f ca="1">IFERROR(OFFSET(ITEM_RES!$A$5,MATCH(BUILDING!Z39,ITEM_RES!$J$5:$J$226,0)-1,0),0)</f>
        <v>211010201</v>
      </c>
      <c r="AC39" s="9" t="s">
        <v>520</v>
      </c>
      <c r="AD39" s="9">
        <v>15</v>
      </c>
      <c r="AF39" s="9">
        <v>22000</v>
      </c>
      <c r="AI39" s="56">
        <f t="shared" ca="1" si="9"/>
        <v>1210</v>
      </c>
      <c r="AJ39" s="10">
        <f ca="1">AO39+AQ39+(IFERROR(OFFSET(ITEM_RES!$T$1,MATCH(AU39,ITEM_RES!$A:$A,0)-1,0),0)*AW39+IFERROR(OFFSET(ITEM_RES!$T$1,MATCH(AZ39,ITEM_RES!$A:$A,0)-1,0),0)*BB39+IFERROR(OFFSET(ITEM_RES!$T$1,MATCH(BE39,ITEM_RES!$A:$A,0)-1,0),0)*BG39+IFERROR(OFFSET(ITEM_RES!$T$1,MATCH(BJ39,ITEM_RES!$A:$A,0)-1,0),0)*BL39+IFERROR(OFFSET(ITEM_RES!$T$1,MATCH(BO39,ITEM_RES!$A:$A,0)-1,0),0)*BQ39)/1000</f>
        <v>1210</v>
      </c>
      <c r="AK39" s="183">
        <f t="shared" ca="1" si="10"/>
        <v>2177.5</v>
      </c>
      <c r="AM39" s="11">
        <f t="shared" si="4"/>
        <v>75</v>
      </c>
      <c r="AN39" s="10">
        <v>75</v>
      </c>
      <c r="AO39" s="11">
        <f t="shared" si="7"/>
        <v>550</v>
      </c>
      <c r="AP39" s="10">
        <v>550</v>
      </c>
      <c r="AQ39" s="11">
        <f t="shared" si="7"/>
        <v>550</v>
      </c>
      <c r="AR39" s="10">
        <v>550</v>
      </c>
      <c r="AS39" s="56">
        <f t="shared" si="8"/>
        <v>2</v>
      </c>
      <c r="AU39" s="11">
        <f ca="1">IFERROR(OFFSET(ITEM_RES!$A$1,MATCH(AV39,ITEM_RES!$J:$J,0)-1,0),0)</f>
        <v>211010601</v>
      </c>
      <c r="AV39" s="10" t="s">
        <v>450</v>
      </c>
      <c r="AW39" s="11">
        <v>2750</v>
      </c>
      <c r="AZ39" s="11">
        <f ca="1">IFERROR(OFFSET(ITEM_RES!$A$1,MATCH(BA39,ITEM_RES!$J:$J,0)-1,0),0)</f>
        <v>211020101</v>
      </c>
      <c r="BA39" s="10" t="s">
        <v>457</v>
      </c>
      <c r="BB39" s="11">
        <v>2750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960</v>
      </c>
      <c r="N40" s="9" t="s">
        <v>981</v>
      </c>
      <c r="O40" s="9">
        <v>0</v>
      </c>
      <c r="P40" s="9">
        <v>15</v>
      </c>
      <c r="Q40" s="9" t="s">
        <v>792</v>
      </c>
      <c r="U40" s="9" t="s">
        <v>715</v>
      </c>
      <c r="X40" s="9">
        <f ca="1">IFERROR(OFFSET(ITEM_RES!$A$5,MATCH(BUILDING!W40,ITEM_RES!$J$5:$J$226,0)-1,0),0)</f>
        <v>0</v>
      </c>
      <c r="Z40" s="85" t="s">
        <v>550</v>
      </c>
      <c r="AA40" s="9">
        <f ca="1">IFERROR(OFFSET(ITEM_RES!$A$5,MATCH(BUILDING!Z40,ITEM_RES!$J$5:$J$226,0)-1,0),0)</f>
        <v>211010201</v>
      </c>
      <c r="AC40" s="9" t="s">
        <v>520</v>
      </c>
      <c r="AD40" s="9">
        <v>16</v>
      </c>
      <c r="AF40" s="9">
        <v>28000</v>
      </c>
      <c r="AI40" s="56">
        <f t="shared" ca="1" si="9"/>
        <v>1540</v>
      </c>
      <c r="AJ40" s="10">
        <f ca="1">AO40+AQ40+(IFERROR(OFFSET(ITEM_RES!$T$1,MATCH(AU40,ITEM_RES!$A:$A,0)-1,0),0)*AW40+IFERROR(OFFSET(ITEM_RES!$T$1,MATCH(AZ40,ITEM_RES!$A:$A,0)-1,0),0)*BB40+IFERROR(OFFSET(ITEM_RES!$T$1,MATCH(BE40,ITEM_RES!$A:$A,0)-1,0),0)*BG40+IFERROR(OFFSET(ITEM_RES!$T$1,MATCH(BJ40,ITEM_RES!$A:$A,0)-1,0),0)*BL40+IFERROR(OFFSET(ITEM_RES!$T$1,MATCH(BO40,ITEM_RES!$A:$A,0)-1,0),0)*BQ40)/1000</f>
        <v>1540</v>
      </c>
      <c r="AK40" s="183">
        <f t="shared" ca="1" si="10"/>
        <v>2750</v>
      </c>
      <c r="AM40" s="11">
        <f t="shared" si="4"/>
        <v>80</v>
      </c>
      <c r="AN40" s="10">
        <v>80</v>
      </c>
      <c r="AO40" s="11">
        <f t="shared" si="7"/>
        <v>700</v>
      </c>
      <c r="AP40" s="10">
        <v>700</v>
      </c>
      <c r="AQ40" s="11">
        <f t="shared" si="7"/>
        <v>700</v>
      </c>
      <c r="AR40" s="10">
        <v>700</v>
      </c>
      <c r="AS40" s="56">
        <f t="shared" si="8"/>
        <v>2</v>
      </c>
      <c r="AU40" s="11">
        <f ca="1">IFERROR(OFFSET(ITEM_RES!$A$1,MATCH(AV40,ITEM_RES!$J:$J,0)-1,0),0)</f>
        <v>211010601</v>
      </c>
      <c r="AV40" s="10" t="s">
        <v>450</v>
      </c>
      <c r="AW40" s="11">
        <v>3500</v>
      </c>
      <c r="AZ40" s="11">
        <f ca="1">IFERROR(OFFSET(ITEM_RES!$A$1,MATCH(BA40,ITEM_RES!$J:$J,0)-1,0),0)</f>
        <v>211020101</v>
      </c>
      <c r="BA40" s="10" t="s">
        <v>457</v>
      </c>
      <c r="BB40" s="11">
        <v>3500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960</v>
      </c>
      <c r="N41" s="9" t="s">
        <v>981</v>
      </c>
      <c r="O41" s="9">
        <v>0</v>
      </c>
      <c r="P41" s="9">
        <v>15</v>
      </c>
      <c r="Q41" s="9" t="s">
        <v>792</v>
      </c>
      <c r="U41" s="9" t="s">
        <v>715</v>
      </c>
      <c r="X41" s="9">
        <f ca="1">IFERROR(OFFSET(ITEM_RES!$A$5,MATCH(BUILDING!W41,ITEM_RES!$J$5:$J$226,0)-1,0),0)</f>
        <v>0</v>
      </c>
      <c r="Z41" s="85" t="s">
        <v>550</v>
      </c>
      <c r="AA41" s="9">
        <f ca="1">IFERROR(OFFSET(ITEM_RES!$A$5,MATCH(BUILDING!Z41,ITEM_RES!$J$5:$J$226,0)-1,0),0)</f>
        <v>211010201</v>
      </c>
      <c r="AC41" s="9" t="s">
        <v>520</v>
      </c>
      <c r="AD41" s="9">
        <v>17</v>
      </c>
      <c r="AF41" s="9">
        <v>34000</v>
      </c>
      <c r="AI41" s="56">
        <f t="shared" ca="1" si="9"/>
        <v>1870</v>
      </c>
      <c r="AJ41" s="10">
        <f ca="1">AO41+AQ41+(IFERROR(OFFSET(ITEM_RES!$T$1,MATCH(AU41,ITEM_RES!$A:$A,0)-1,0),0)*AW41+IFERROR(OFFSET(ITEM_RES!$T$1,MATCH(AZ41,ITEM_RES!$A:$A,0)-1,0),0)*BB41+IFERROR(OFFSET(ITEM_RES!$T$1,MATCH(BE41,ITEM_RES!$A:$A,0)-1,0),0)*BG41+IFERROR(OFFSET(ITEM_RES!$T$1,MATCH(BJ41,ITEM_RES!$A:$A,0)-1,0),0)*BL41+IFERROR(OFFSET(ITEM_RES!$T$1,MATCH(BO41,ITEM_RES!$A:$A,0)-1,0),0)*BQ41)/1000</f>
        <v>1870</v>
      </c>
      <c r="AK41" s="183">
        <f t="shared" ca="1" si="10"/>
        <v>3410</v>
      </c>
      <c r="AM41" s="11">
        <f t="shared" si="4"/>
        <v>85</v>
      </c>
      <c r="AN41" s="10">
        <v>85</v>
      </c>
      <c r="AO41" s="11">
        <f t="shared" si="7"/>
        <v>850</v>
      </c>
      <c r="AP41" s="10">
        <v>850</v>
      </c>
      <c r="AQ41" s="11">
        <f t="shared" si="7"/>
        <v>850</v>
      </c>
      <c r="AR41" s="10">
        <v>850</v>
      </c>
      <c r="AS41" s="56">
        <f t="shared" si="8"/>
        <v>2</v>
      </c>
      <c r="AU41" s="11">
        <f ca="1">IFERROR(OFFSET(ITEM_RES!$A$1,MATCH(AV41,ITEM_RES!$J:$J,0)-1,0),0)</f>
        <v>211010601</v>
      </c>
      <c r="AV41" s="10" t="s">
        <v>450</v>
      </c>
      <c r="AW41" s="11">
        <v>4250</v>
      </c>
      <c r="AZ41" s="11">
        <f ca="1">IFERROR(OFFSET(ITEM_RES!$A$1,MATCH(BA41,ITEM_RES!$J:$J,0)-1,0),0)</f>
        <v>211020101</v>
      </c>
      <c r="BA41" s="10" t="s">
        <v>457</v>
      </c>
      <c r="BB41" s="11">
        <v>4250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960</v>
      </c>
      <c r="N42" s="9" t="s">
        <v>981</v>
      </c>
      <c r="O42" s="9">
        <v>0</v>
      </c>
      <c r="P42" s="9">
        <v>15</v>
      </c>
      <c r="Q42" s="9" t="s">
        <v>792</v>
      </c>
      <c r="U42" s="9" t="s">
        <v>715</v>
      </c>
      <c r="X42" s="9">
        <f ca="1">IFERROR(OFFSET(ITEM_RES!$A$5,MATCH(BUILDING!W42,ITEM_RES!$J$5:$J$226,0)-1,0),0)</f>
        <v>0</v>
      </c>
      <c r="Z42" s="85" t="s">
        <v>550</v>
      </c>
      <c r="AA42" s="9">
        <f ca="1">IFERROR(OFFSET(ITEM_RES!$A$5,MATCH(BUILDING!Z42,ITEM_RES!$J$5:$J$226,0)-1,0),0)</f>
        <v>211010201</v>
      </c>
      <c r="AC42" s="9" t="s">
        <v>520</v>
      </c>
      <c r="AD42" s="9">
        <v>18</v>
      </c>
      <c r="AF42" s="9">
        <v>42000</v>
      </c>
      <c r="AI42" s="56">
        <f t="shared" ca="1" si="9"/>
        <v>2310</v>
      </c>
      <c r="AJ42" s="10">
        <f ca="1">AO42+AQ42+(IFERROR(OFFSET(ITEM_RES!$T$1,MATCH(AU42,ITEM_RES!$A:$A,0)-1,0),0)*AW42+IFERROR(OFFSET(ITEM_RES!$T$1,MATCH(AZ42,ITEM_RES!$A:$A,0)-1,0),0)*BB42+IFERROR(OFFSET(ITEM_RES!$T$1,MATCH(BE42,ITEM_RES!$A:$A,0)-1,0),0)*BG42+IFERROR(OFFSET(ITEM_RES!$T$1,MATCH(BJ42,ITEM_RES!$A:$A,0)-1,0),0)*BL42+IFERROR(OFFSET(ITEM_RES!$T$1,MATCH(BO42,ITEM_RES!$A:$A,0)-1,0),0)*BQ42)/1000</f>
        <v>2310</v>
      </c>
      <c r="AK42" s="183">
        <f t="shared" ca="1" si="10"/>
        <v>4180</v>
      </c>
      <c r="AM42" s="11">
        <f t="shared" si="4"/>
        <v>90</v>
      </c>
      <c r="AN42" s="10">
        <v>90</v>
      </c>
      <c r="AO42" s="11">
        <f t="shared" si="7"/>
        <v>1050</v>
      </c>
      <c r="AP42" s="10">
        <v>1050</v>
      </c>
      <c r="AQ42" s="11">
        <f t="shared" si="7"/>
        <v>1050</v>
      </c>
      <c r="AR42" s="10">
        <v>1050</v>
      </c>
      <c r="AS42" s="56">
        <f t="shared" si="8"/>
        <v>2</v>
      </c>
      <c r="AU42" s="11">
        <f ca="1">IFERROR(OFFSET(ITEM_RES!$A$1,MATCH(AV42,ITEM_RES!$J:$J,0)-1,0),0)</f>
        <v>211010601</v>
      </c>
      <c r="AV42" s="10" t="s">
        <v>450</v>
      </c>
      <c r="AW42" s="11">
        <v>5250</v>
      </c>
      <c r="AZ42" s="11">
        <f ca="1">IFERROR(OFFSET(ITEM_RES!$A$1,MATCH(BA42,ITEM_RES!$J:$J,0)-1,0),0)</f>
        <v>211020101</v>
      </c>
      <c r="BA42" s="10" t="s">
        <v>457</v>
      </c>
      <c r="BB42" s="11">
        <v>5250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960</v>
      </c>
      <c r="N43" s="9" t="s">
        <v>981</v>
      </c>
      <c r="O43" s="9">
        <v>0</v>
      </c>
      <c r="P43" s="9">
        <v>15</v>
      </c>
      <c r="Q43" s="9" t="s">
        <v>792</v>
      </c>
      <c r="U43" s="9" t="s">
        <v>715</v>
      </c>
      <c r="X43" s="9">
        <f ca="1">IFERROR(OFFSET(ITEM_RES!$A$5,MATCH(BUILDING!W43,ITEM_RES!$J$5:$J$226,0)-1,0),0)</f>
        <v>0</v>
      </c>
      <c r="Z43" s="85" t="s">
        <v>550</v>
      </c>
      <c r="AA43" s="9">
        <f ca="1">IFERROR(OFFSET(ITEM_RES!$A$5,MATCH(BUILDING!Z43,ITEM_RES!$J$5:$J$226,0)-1,0),0)</f>
        <v>211010201</v>
      </c>
      <c r="AC43" s="9" t="s">
        <v>520</v>
      </c>
      <c r="AD43" s="9">
        <v>19</v>
      </c>
      <c r="AF43" s="9">
        <v>50000</v>
      </c>
      <c r="AI43" s="56">
        <f t="shared" ca="1" si="9"/>
        <v>2750</v>
      </c>
      <c r="AJ43" s="10">
        <f ca="1">AO43+AQ43+(IFERROR(OFFSET(ITEM_RES!$T$1,MATCH(AU43,ITEM_RES!$A:$A,0)-1,0),0)*AW43+IFERROR(OFFSET(ITEM_RES!$T$1,MATCH(AZ43,ITEM_RES!$A:$A,0)-1,0),0)*BB43+IFERROR(OFFSET(ITEM_RES!$T$1,MATCH(BE43,ITEM_RES!$A:$A,0)-1,0),0)*BG43+IFERROR(OFFSET(ITEM_RES!$T$1,MATCH(BJ43,ITEM_RES!$A:$A,0)-1,0),0)*BL43+IFERROR(OFFSET(ITEM_RES!$T$1,MATCH(BO43,ITEM_RES!$A:$A,0)-1,0),0)*BQ43)/1000</f>
        <v>2750</v>
      </c>
      <c r="AK43" s="183">
        <f t="shared" ca="1" si="10"/>
        <v>5060</v>
      </c>
      <c r="AM43" s="11">
        <f t="shared" si="4"/>
        <v>95</v>
      </c>
      <c r="AN43" s="10">
        <v>95</v>
      </c>
      <c r="AO43" s="11">
        <f t="shared" si="7"/>
        <v>1250</v>
      </c>
      <c r="AP43" s="10">
        <v>1250</v>
      </c>
      <c r="AQ43" s="11">
        <f t="shared" si="7"/>
        <v>1250</v>
      </c>
      <c r="AR43" s="10">
        <v>1250</v>
      </c>
      <c r="AS43" s="56">
        <f t="shared" si="8"/>
        <v>2</v>
      </c>
      <c r="AU43" s="11">
        <f ca="1">IFERROR(OFFSET(ITEM_RES!$A$1,MATCH(AV43,ITEM_RES!$J:$J,0)-1,0),0)</f>
        <v>211010601</v>
      </c>
      <c r="AV43" s="10" t="s">
        <v>450</v>
      </c>
      <c r="AW43" s="11">
        <v>6250</v>
      </c>
      <c r="AZ43" s="11">
        <f ca="1">IFERROR(OFFSET(ITEM_RES!$A$1,MATCH(BA43,ITEM_RES!$J:$J,0)-1,0),0)</f>
        <v>211020101</v>
      </c>
      <c r="BA43" s="10" t="s">
        <v>457</v>
      </c>
      <c r="BB43" s="11">
        <v>6250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960</v>
      </c>
      <c r="N44" s="9" t="s">
        <v>981</v>
      </c>
      <c r="O44" s="9">
        <v>0</v>
      </c>
      <c r="P44" s="9">
        <v>15</v>
      </c>
      <c r="Q44" s="9" t="s">
        <v>792</v>
      </c>
      <c r="U44" s="9" t="s">
        <v>715</v>
      </c>
      <c r="X44" s="9">
        <f ca="1">IFERROR(OFFSET(ITEM_RES!$A$5,MATCH(BUILDING!W44,ITEM_RES!$J$5:$J$226,0)-1,0),0)</f>
        <v>0</v>
      </c>
      <c r="Z44" s="85" t="s">
        <v>550</v>
      </c>
      <c r="AA44" s="9">
        <f ca="1">IFERROR(OFFSET(ITEM_RES!$A$5,MATCH(BUILDING!Z44,ITEM_RES!$J$5:$J$226,0)-1,0),0)</f>
        <v>211010201</v>
      </c>
      <c r="AC44" s="9" t="s">
        <v>520</v>
      </c>
      <c r="AD44" s="9">
        <v>20</v>
      </c>
      <c r="AF44" s="9">
        <v>60000</v>
      </c>
      <c r="AI44" s="56">
        <f t="shared" ca="1" si="9"/>
        <v>3300</v>
      </c>
      <c r="AJ44" s="10">
        <f ca="1">AO44+AQ44+(IFERROR(OFFSET(ITEM_RES!$T$1,MATCH(AU44,ITEM_RES!$A:$A,0)-1,0),0)*AW44+IFERROR(OFFSET(ITEM_RES!$T$1,MATCH(AZ44,ITEM_RES!$A:$A,0)-1,0),0)*BB44+IFERROR(OFFSET(ITEM_RES!$T$1,MATCH(BE44,ITEM_RES!$A:$A,0)-1,0),0)*BG44+IFERROR(OFFSET(ITEM_RES!$T$1,MATCH(BJ44,ITEM_RES!$A:$A,0)-1,0),0)*BL44+IFERROR(OFFSET(ITEM_RES!$T$1,MATCH(BO44,ITEM_RES!$A:$A,0)-1,0),0)*BQ44)/1000</f>
        <v>3300</v>
      </c>
      <c r="AK44" s="183">
        <f t="shared" ca="1" si="10"/>
        <v>6050</v>
      </c>
      <c r="AM44" s="11">
        <f t="shared" si="4"/>
        <v>100</v>
      </c>
      <c r="AN44" s="10">
        <v>100</v>
      </c>
      <c r="AO44" s="11">
        <f t="shared" si="7"/>
        <v>1500</v>
      </c>
      <c r="AP44" s="10">
        <v>1500</v>
      </c>
      <c r="AQ44" s="11">
        <f t="shared" si="7"/>
        <v>1500</v>
      </c>
      <c r="AR44" s="10">
        <v>1500</v>
      </c>
      <c r="AS44" s="56">
        <f t="shared" si="8"/>
        <v>2</v>
      </c>
      <c r="AU44" s="11">
        <f ca="1">IFERROR(OFFSET(ITEM_RES!$A$1,MATCH(AV44,ITEM_RES!$J:$J,0)-1,0),0)</f>
        <v>211010601</v>
      </c>
      <c r="AV44" s="10" t="s">
        <v>450</v>
      </c>
      <c r="AW44" s="11">
        <v>7500</v>
      </c>
      <c r="AZ44" s="11">
        <f ca="1">IFERROR(OFFSET(ITEM_RES!$A$1,MATCH(BA44,ITEM_RES!$J:$J,0)-1,0),0)</f>
        <v>211020101</v>
      </c>
      <c r="BA44" s="10" t="s">
        <v>457</v>
      </c>
      <c r="BB44" s="11">
        <v>7500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2</v>
      </c>
      <c r="M45" s="16" t="s">
        <v>961</v>
      </c>
      <c r="N45" s="16" t="s">
        <v>982</v>
      </c>
      <c r="O45" s="16">
        <v>1</v>
      </c>
      <c r="P45" s="16">
        <v>15</v>
      </c>
      <c r="Q45" s="16" t="s">
        <v>791</v>
      </c>
      <c r="R45" s="17"/>
      <c r="S45" s="17"/>
      <c r="T45" s="18"/>
      <c r="U45" s="16" t="s">
        <v>716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551</v>
      </c>
      <c r="AA45" s="16">
        <f ca="1">IFERROR(OFFSET(ITEM_RES!$A$5,MATCH(BUILDING!Z45,ITEM_RES!$J$5:$J$226,0)-1,0),0)</f>
        <v>211010301</v>
      </c>
      <c r="AB45" s="79"/>
      <c r="AC45" s="16" t="s">
        <v>521</v>
      </c>
      <c r="AD45" s="16">
        <v>1</v>
      </c>
      <c r="AE45" s="79"/>
      <c r="AF45" s="16">
        <v>0</v>
      </c>
      <c r="AG45" s="17"/>
      <c r="AH45" s="79"/>
      <c r="AI45" s="57">
        <f t="shared" ca="1" si="9"/>
        <v>111</v>
      </c>
      <c r="AJ45" s="17">
        <f ca="1">AO45+AQ45+(IFERROR(OFFSET(ITEM_RES!$T$1,MATCH(AU45,ITEM_RES!$A:$A,0)-1,0),0)*AW45+IFERROR(OFFSET(ITEM_RES!$T$1,MATCH(AZ45,ITEM_RES!$A:$A,0)-1,0),0)*BB45+IFERROR(OFFSET(ITEM_RES!$T$1,MATCH(BE45,ITEM_RES!$A:$A,0)-1,0),0)*BG45+IFERROR(OFFSET(ITEM_RES!$T$1,MATCH(BJ45,ITEM_RES!$A:$A,0)-1,0),0)*BL45+IFERROR(OFFSET(ITEM_RES!$T$1,MATCH(BO45,ITEM_RES!$A:$A,0)-1,0),0)*BQ45)/1000</f>
        <v>110.75</v>
      </c>
      <c r="AK45" s="185">
        <f ca="1">AJ45</f>
        <v>110.75</v>
      </c>
      <c r="AL45" s="79"/>
      <c r="AM45" s="18">
        <f t="shared" si="4"/>
        <v>5</v>
      </c>
      <c r="AN45" s="17">
        <v>5</v>
      </c>
      <c r="AO45" s="18">
        <f t="shared" si="7"/>
        <v>5</v>
      </c>
      <c r="AP45" s="17">
        <v>5</v>
      </c>
      <c r="AQ45" s="18">
        <f t="shared" si="7"/>
        <v>5</v>
      </c>
      <c r="AR45" s="17">
        <v>5</v>
      </c>
      <c r="AS45" s="57">
        <f t="shared" si="8"/>
        <v>3</v>
      </c>
      <c r="AT45" s="18"/>
      <c r="AU45" s="18">
        <f ca="1">IFERROR(OFFSET(ITEM_RES!$A$1,MATCH(AV45,ITEM_RES!$J:$J,0)-1,0),0)</f>
        <v>211010501</v>
      </c>
      <c r="AV45" s="17" t="s">
        <v>436</v>
      </c>
      <c r="AW45" s="18">
        <v>25</v>
      </c>
      <c r="AX45" s="17"/>
      <c r="AY45" s="18"/>
      <c r="AZ45" s="18">
        <f ca="1">IFERROR(OFFSET(ITEM_RES!$A$1,MATCH(BA45,ITEM_RES!$J:$J,0)-1,0),0)</f>
        <v>211020101</v>
      </c>
      <c r="BA45" s="17" t="s">
        <v>457</v>
      </c>
      <c r="BB45" s="18">
        <v>25</v>
      </c>
      <c r="BC45" s="17"/>
      <c r="BD45" s="18"/>
      <c r="BE45" s="18">
        <f ca="1">IFERROR(OFFSET(ITEM_RES!$A$1,MATCH(BF45,ITEM_RES!$J:$J,0)-1,0),0)</f>
        <v>213010101</v>
      </c>
      <c r="BF45" s="17" t="s">
        <v>463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961</v>
      </c>
      <c r="N46" s="9" t="s">
        <v>982</v>
      </c>
      <c r="O46" s="9">
        <v>1</v>
      </c>
      <c r="P46" s="9">
        <v>15</v>
      </c>
      <c r="Q46" s="9" t="s">
        <v>791</v>
      </c>
      <c r="U46" s="9" t="s">
        <v>716</v>
      </c>
      <c r="X46" s="9">
        <f ca="1">IFERROR(OFFSET(ITEM_RES!$A$5,MATCH(BUILDING!W46,ITEM_RES!$J$5:$J$226,0)-1,0),0)</f>
        <v>0</v>
      </c>
      <c r="Z46" s="85" t="s">
        <v>551</v>
      </c>
      <c r="AA46" s="9">
        <f ca="1">IFERROR(OFFSET(ITEM_RES!$A$5,MATCH(BUILDING!Z46,ITEM_RES!$J$5:$J$226,0)-1,0),0)</f>
        <v>211010301</v>
      </c>
      <c r="AC46" s="9" t="s">
        <v>521</v>
      </c>
      <c r="AD46" s="9">
        <v>2</v>
      </c>
      <c r="AF46" s="9">
        <v>800</v>
      </c>
      <c r="AI46" s="56">
        <f t="shared" ca="1" si="9"/>
        <v>22</v>
      </c>
      <c r="AJ46" s="10">
        <f ca="1">AO46+AQ46+(IFERROR(OFFSET(ITEM_RES!$T$1,MATCH(AU46,ITEM_RES!$A:$A,0)-1,0),0)*AW46+IFERROR(OFFSET(ITEM_RES!$T$1,MATCH(AZ46,ITEM_RES!$A:$A,0)-1,0),0)*BB46+IFERROR(OFFSET(ITEM_RES!$T$1,MATCH(BE46,ITEM_RES!$A:$A,0)-1,0),0)*BG46+IFERROR(OFFSET(ITEM_RES!$T$1,MATCH(BJ46,ITEM_RES!$A:$A,0)-1,0),0)*BL46+IFERROR(OFFSET(ITEM_RES!$T$1,MATCH(BO46,ITEM_RES!$A:$A,0)-1,0),0)*BQ46)/1000</f>
        <v>21.5</v>
      </c>
      <c r="AK46" s="183">
        <f t="shared" ref="AK46:AK64" ca="1" si="11">AJ45+AJ46</f>
        <v>132.25</v>
      </c>
      <c r="AM46" s="11">
        <f t="shared" si="4"/>
        <v>10</v>
      </c>
      <c r="AN46" s="10">
        <v>10</v>
      </c>
      <c r="AO46" s="11">
        <f t="shared" si="7"/>
        <v>10</v>
      </c>
      <c r="AP46" s="10">
        <v>10</v>
      </c>
      <c r="AQ46" s="11">
        <f t="shared" si="7"/>
        <v>10</v>
      </c>
      <c r="AR46" s="10">
        <v>10</v>
      </c>
      <c r="AS46" s="56">
        <f t="shared" si="8"/>
        <v>2</v>
      </c>
      <c r="AU46" s="11">
        <f ca="1">IFERROR(OFFSET(ITEM_RES!$A$1,MATCH(AV46,ITEM_RES!$J:$J,0)-1,0),0)</f>
        <v>211010501</v>
      </c>
      <c r="AV46" s="10" t="s">
        <v>436</v>
      </c>
      <c r="AW46" s="11">
        <v>50</v>
      </c>
      <c r="AZ46" s="11">
        <f ca="1">IFERROR(OFFSET(ITEM_RES!$A$1,MATCH(BA46,ITEM_RES!$J:$J,0)-1,0),0)</f>
        <v>211020101</v>
      </c>
      <c r="BA46" s="10" t="s">
        <v>457</v>
      </c>
      <c r="BB46" s="11">
        <v>50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961</v>
      </c>
      <c r="N47" s="9" t="s">
        <v>982</v>
      </c>
      <c r="O47" s="9">
        <v>1</v>
      </c>
      <c r="P47" s="9">
        <v>15</v>
      </c>
      <c r="Q47" s="9" t="s">
        <v>791</v>
      </c>
      <c r="U47" s="9" t="s">
        <v>716</v>
      </c>
      <c r="X47" s="9">
        <f ca="1">IFERROR(OFFSET(ITEM_RES!$A$5,MATCH(BUILDING!W47,ITEM_RES!$J$5:$J$226,0)-1,0),0)</f>
        <v>0</v>
      </c>
      <c r="Z47" s="85" t="s">
        <v>551</v>
      </c>
      <c r="AA47" s="9">
        <f ca="1">IFERROR(OFFSET(ITEM_RES!$A$5,MATCH(BUILDING!Z47,ITEM_RES!$J$5:$J$226,0)-1,0),0)</f>
        <v>211010301</v>
      </c>
      <c r="AC47" s="9" t="s">
        <v>521</v>
      </c>
      <c r="AD47" s="9">
        <v>3</v>
      </c>
      <c r="AF47" s="9">
        <v>1200</v>
      </c>
      <c r="AI47" s="56">
        <f t="shared" ca="1" si="9"/>
        <v>32</v>
      </c>
      <c r="AJ47" s="10">
        <f ca="1">AO47+AQ47+(IFERROR(OFFSET(ITEM_RES!$T$1,MATCH(AU47,ITEM_RES!$A:$A,0)-1,0),0)*AW47+IFERROR(OFFSET(ITEM_RES!$T$1,MATCH(AZ47,ITEM_RES!$A:$A,0)-1,0),0)*BB47+IFERROR(OFFSET(ITEM_RES!$T$1,MATCH(BE47,ITEM_RES!$A:$A,0)-1,0),0)*BG47+IFERROR(OFFSET(ITEM_RES!$T$1,MATCH(BJ47,ITEM_RES!$A:$A,0)-1,0),0)*BL47+IFERROR(OFFSET(ITEM_RES!$T$1,MATCH(BO47,ITEM_RES!$A:$A,0)-1,0),0)*BQ47)/1000</f>
        <v>32.25</v>
      </c>
      <c r="AK47" s="183">
        <f t="shared" ca="1" si="11"/>
        <v>53.75</v>
      </c>
      <c r="AM47" s="11">
        <f t="shared" si="4"/>
        <v>15</v>
      </c>
      <c r="AN47" s="10">
        <v>15</v>
      </c>
      <c r="AO47" s="11">
        <f t="shared" si="7"/>
        <v>15</v>
      </c>
      <c r="AP47" s="10">
        <v>15</v>
      </c>
      <c r="AQ47" s="11">
        <f t="shared" si="7"/>
        <v>15</v>
      </c>
      <c r="AR47" s="10">
        <v>15</v>
      </c>
      <c r="AS47" s="56">
        <f t="shared" si="8"/>
        <v>2</v>
      </c>
      <c r="AU47" s="11">
        <f ca="1">IFERROR(OFFSET(ITEM_RES!$A$1,MATCH(AV47,ITEM_RES!$J:$J,0)-1,0),0)</f>
        <v>211010501</v>
      </c>
      <c r="AV47" s="10" t="s">
        <v>436</v>
      </c>
      <c r="AW47" s="11">
        <v>75</v>
      </c>
      <c r="AZ47" s="11">
        <f ca="1">IFERROR(OFFSET(ITEM_RES!$A$1,MATCH(BA47,ITEM_RES!$J:$J,0)-1,0),0)</f>
        <v>211020101</v>
      </c>
      <c r="BA47" s="10" t="s">
        <v>457</v>
      </c>
      <c r="BB47" s="11">
        <v>75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961</v>
      </c>
      <c r="N48" s="9" t="s">
        <v>982</v>
      </c>
      <c r="O48" s="9">
        <v>1</v>
      </c>
      <c r="P48" s="9">
        <v>15</v>
      </c>
      <c r="Q48" s="9" t="s">
        <v>791</v>
      </c>
      <c r="U48" s="9" t="s">
        <v>716</v>
      </c>
      <c r="X48" s="9">
        <f ca="1">IFERROR(OFFSET(ITEM_RES!$A$5,MATCH(BUILDING!W48,ITEM_RES!$J$5:$J$226,0)-1,0),0)</f>
        <v>0</v>
      </c>
      <c r="Z48" s="85" t="s">
        <v>551</v>
      </c>
      <c r="AA48" s="9">
        <f ca="1">IFERROR(OFFSET(ITEM_RES!$A$5,MATCH(BUILDING!Z48,ITEM_RES!$J$5:$J$226,0)-1,0),0)</f>
        <v>211010301</v>
      </c>
      <c r="AC48" s="9" t="s">
        <v>521</v>
      </c>
      <c r="AD48" s="9">
        <v>4</v>
      </c>
      <c r="AF48" s="9">
        <v>2000</v>
      </c>
      <c r="AI48" s="56">
        <f t="shared" ca="1" si="9"/>
        <v>54</v>
      </c>
      <c r="AJ48" s="10">
        <f ca="1">AO48+AQ48+(IFERROR(OFFSET(ITEM_RES!$T$1,MATCH(AU48,ITEM_RES!$A:$A,0)-1,0),0)*AW48+IFERROR(OFFSET(ITEM_RES!$T$1,MATCH(AZ48,ITEM_RES!$A:$A,0)-1,0),0)*BB48+IFERROR(OFFSET(ITEM_RES!$T$1,MATCH(BE48,ITEM_RES!$A:$A,0)-1,0),0)*BG48+IFERROR(OFFSET(ITEM_RES!$T$1,MATCH(BJ48,ITEM_RES!$A:$A,0)-1,0),0)*BL48+IFERROR(OFFSET(ITEM_RES!$T$1,MATCH(BO48,ITEM_RES!$A:$A,0)-1,0),0)*BQ48)/1000</f>
        <v>53.75</v>
      </c>
      <c r="AK48" s="183">
        <f t="shared" ca="1" si="11"/>
        <v>86</v>
      </c>
      <c r="AM48" s="11">
        <f t="shared" si="4"/>
        <v>20</v>
      </c>
      <c r="AN48" s="10">
        <v>20</v>
      </c>
      <c r="AO48" s="11">
        <f t="shared" si="7"/>
        <v>25</v>
      </c>
      <c r="AP48" s="10">
        <v>25</v>
      </c>
      <c r="AQ48" s="11">
        <f t="shared" si="7"/>
        <v>25</v>
      </c>
      <c r="AR48" s="10">
        <v>25</v>
      </c>
      <c r="AS48" s="56">
        <f t="shared" si="8"/>
        <v>2</v>
      </c>
      <c r="AU48" s="11">
        <f ca="1">IFERROR(OFFSET(ITEM_RES!$A$1,MATCH(AV48,ITEM_RES!$J:$J,0)-1,0),0)</f>
        <v>211010501</v>
      </c>
      <c r="AV48" s="10" t="s">
        <v>436</v>
      </c>
      <c r="AW48" s="11">
        <v>125</v>
      </c>
      <c r="AZ48" s="11">
        <f ca="1">IFERROR(OFFSET(ITEM_RES!$A$1,MATCH(BA48,ITEM_RES!$J:$J,0)-1,0),0)</f>
        <v>211020101</v>
      </c>
      <c r="BA48" s="10" t="s">
        <v>457</v>
      </c>
      <c r="BB48" s="11">
        <v>125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961</v>
      </c>
      <c r="N49" s="9" t="s">
        <v>982</v>
      </c>
      <c r="O49" s="9">
        <v>1</v>
      </c>
      <c r="P49" s="9">
        <v>15</v>
      </c>
      <c r="Q49" s="9" t="s">
        <v>791</v>
      </c>
      <c r="U49" s="9" t="s">
        <v>716</v>
      </c>
      <c r="X49" s="9">
        <f ca="1">IFERROR(OFFSET(ITEM_RES!$A$5,MATCH(BUILDING!W49,ITEM_RES!$J$5:$J$226,0)-1,0),0)</f>
        <v>0</v>
      </c>
      <c r="Z49" s="85" t="s">
        <v>551</v>
      </c>
      <c r="AA49" s="9">
        <f ca="1">IFERROR(OFFSET(ITEM_RES!$A$5,MATCH(BUILDING!Z49,ITEM_RES!$J$5:$J$226,0)-1,0),0)</f>
        <v>211010301</v>
      </c>
      <c r="AC49" s="9" t="s">
        <v>521</v>
      </c>
      <c r="AD49" s="9">
        <v>5</v>
      </c>
      <c r="AF49" s="9">
        <v>3200</v>
      </c>
      <c r="AI49" s="56">
        <f t="shared" ca="1" si="9"/>
        <v>86</v>
      </c>
      <c r="AJ49" s="10">
        <f ca="1">AO49+AQ49+(IFERROR(OFFSET(ITEM_RES!$T$1,MATCH(AU49,ITEM_RES!$A:$A,0)-1,0),0)*AW49+IFERROR(OFFSET(ITEM_RES!$T$1,MATCH(AZ49,ITEM_RES!$A:$A,0)-1,0),0)*BB49+IFERROR(OFFSET(ITEM_RES!$T$1,MATCH(BE49,ITEM_RES!$A:$A,0)-1,0),0)*BG49+IFERROR(OFFSET(ITEM_RES!$T$1,MATCH(BJ49,ITEM_RES!$A:$A,0)-1,0),0)*BL49+IFERROR(OFFSET(ITEM_RES!$T$1,MATCH(BO49,ITEM_RES!$A:$A,0)-1,0),0)*BQ49)/1000</f>
        <v>86</v>
      </c>
      <c r="AK49" s="183">
        <f t="shared" ca="1" si="11"/>
        <v>139.75</v>
      </c>
      <c r="AM49" s="11">
        <f t="shared" si="4"/>
        <v>25</v>
      </c>
      <c r="AN49" s="10">
        <v>25</v>
      </c>
      <c r="AO49" s="11">
        <f t="shared" si="7"/>
        <v>40</v>
      </c>
      <c r="AP49" s="10">
        <v>40</v>
      </c>
      <c r="AQ49" s="11">
        <f t="shared" si="7"/>
        <v>40</v>
      </c>
      <c r="AR49" s="10">
        <v>40</v>
      </c>
      <c r="AS49" s="56">
        <f t="shared" si="8"/>
        <v>2</v>
      </c>
      <c r="AU49" s="11">
        <f ca="1">IFERROR(OFFSET(ITEM_RES!$A$1,MATCH(AV49,ITEM_RES!$J:$J,0)-1,0),0)</f>
        <v>211010501</v>
      </c>
      <c r="AV49" s="10" t="s">
        <v>436</v>
      </c>
      <c r="AW49" s="11">
        <v>200</v>
      </c>
      <c r="AZ49" s="11">
        <f ca="1">IFERROR(OFFSET(ITEM_RES!$A$1,MATCH(BA49,ITEM_RES!$J:$J,0)-1,0),0)</f>
        <v>211020101</v>
      </c>
      <c r="BA49" s="10" t="s">
        <v>457</v>
      </c>
      <c r="BB49" s="11">
        <v>200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961</v>
      </c>
      <c r="N50" s="9" t="s">
        <v>982</v>
      </c>
      <c r="O50" s="9">
        <v>1</v>
      </c>
      <c r="P50" s="9">
        <v>15</v>
      </c>
      <c r="Q50" s="9" t="s">
        <v>791</v>
      </c>
      <c r="U50" s="9" t="s">
        <v>716</v>
      </c>
      <c r="X50" s="9">
        <f ca="1">IFERROR(OFFSET(ITEM_RES!$A$5,MATCH(BUILDING!W50,ITEM_RES!$J$5:$J$226,0)-1,0),0)</f>
        <v>0</v>
      </c>
      <c r="Z50" s="85" t="s">
        <v>551</v>
      </c>
      <c r="AA50" s="9">
        <f ca="1">IFERROR(OFFSET(ITEM_RES!$A$5,MATCH(BUILDING!Z50,ITEM_RES!$J$5:$J$226,0)-1,0),0)</f>
        <v>211010301</v>
      </c>
      <c r="AC50" s="9" t="s">
        <v>521</v>
      </c>
      <c r="AD50" s="9">
        <v>6</v>
      </c>
      <c r="AF50" s="9">
        <v>4000</v>
      </c>
      <c r="AI50" s="56">
        <f t="shared" ca="1" si="9"/>
        <v>108</v>
      </c>
      <c r="AJ50" s="10">
        <f ca="1">AO50+AQ50+(IFERROR(OFFSET(ITEM_RES!$T$1,MATCH(AU50,ITEM_RES!$A:$A,0)-1,0),0)*AW50+IFERROR(OFFSET(ITEM_RES!$T$1,MATCH(AZ50,ITEM_RES!$A:$A,0)-1,0),0)*BB50+IFERROR(OFFSET(ITEM_RES!$T$1,MATCH(BE50,ITEM_RES!$A:$A,0)-1,0),0)*BG50+IFERROR(OFFSET(ITEM_RES!$T$1,MATCH(BJ50,ITEM_RES!$A:$A,0)-1,0),0)*BL50+IFERROR(OFFSET(ITEM_RES!$T$1,MATCH(BO50,ITEM_RES!$A:$A,0)-1,0),0)*BQ50)/1000</f>
        <v>107.5</v>
      </c>
      <c r="AK50" s="183">
        <f t="shared" ca="1" si="11"/>
        <v>193.5</v>
      </c>
      <c r="AM50" s="11">
        <f t="shared" si="4"/>
        <v>30</v>
      </c>
      <c r="AN50" s="10">
        <v>30</v>
      </c>
      <c r="AO50" s="11">
        <f t="shared" si="7"/>
        <v>50</v>
      </c>
      <c r="AP50" s="10">
        <v>50</v>
      </c>
      <c r="AQ50" s="11">
        <f t="shared" si="7"/>
        <v>50</v>
      </c>
      <c r="AR50" s="10">
        <v>50</v>
      </c>
      <c r="AS50" s="56">
        <f t="shared" si="8"/>
        <v>2</v>
      </c>
      <c r="AU50" s="11">
        <f ca="1">IFERROR(OFFSET(ITEM_RES!$A$1,MATCH(AV50,ITEM_RES!$J:$J,0)-1,0),0)</f>
        <v>211010501</v>
      </c>
      <c r="AV50" s="10" t="s">
        <v>436</v>
      </c>
      <c r="AW50" s="11">
        <v>250</v>
      </c>
      <c r="AZ50" s="11">
        <f ca="1">IFERROR(OFFSET(ITEM_RES!$A$1,MATCH(BA50,ITEM_RES!$J:$J,0)-1,0),0)</f>
        <v>211020101</v>
      </c>
      <c r="BA50" s="10" t="s">
        <v>457</v>
      </c>
      <c r="BB50" s="11">
        <v>250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961</v>
      </c>
      <c r="N51" s="9" t="s">
        <v>982</v>
      </c>
      <c r="O51" s="9">
        <v>1</v>
      </c>
      <c r="P51" s="9">
        <v>15</v>
      </c>
      <c r="Q51" s="9" t="s">
        <v>791</v>
      </c>
      <c r="U51" s="9" t="s">
        <v>716</v>
      </c>
      <c r="X51" s="9">
        <f ca="1">IFERROR(OFFSET(ITEM_RES!$A$5,MATCH(BUILDING!W51,ITEM_RES!$J$5:$J$226,0)-1,0),0)</f>
        <v>0</v>
      </c>
      <c r="Z51" s="85" t="s">
        <v>551</v>
      </c>
      <c r="AA51" s="9">
        <f ca="1">IFERROR(OFFSET(ITEM_RES!$A$5,MATCH(BUILDING!Z51,ITEM_RES!$J$5:$J$226,0)-1,0),0)</f>
        <v>211010301</v>
      </c>
      <c r="AC51" s="9" t="s">
        <v>521</v>
      </c>
      <c r="AD51" s="9">
        <v>7</v>
      </c>
      <c r="AF51" s="9">
        <v>8000</v>
      </c>
      <c r="AI51" s="56">
        <f t="shared" ca="1" si="9"/>
        <v>215</v>
      </c>
      <c r="AJ51" s="10">
        <f ca="1">AO51+AQ51+(IFERROR(OFFSET(ITEM_RES!$T$1,MATCH(AU51,ITEM_RES!$A:$A,0)-1,0),0)*AW51+IFERROR(OFFSET(ITEM_RES!$T$1,MATCH(AZ51,ITEM_RES!$A:$A,0)-1,0),0)*BB51+IFERROR(OFFSET(ITEM_RES!$T$1,MATCH(BE51,ITEM_RES!$A:$A,0)-1,0),0)*BG51+IFERROR(OFFSET(ITEM_RES!$T$1,MATCH(BJ51,ITEM_RES!$A:$A,0)-1,0),0)*BL51+IFERROR(OFFSET(ITEM_RES!$T$1,MATCH(BO51,ITEM_RES!$A:$A,0)-1,0),0)*BQ51)/1000</f>
        <v>215</v>
      </c>
      <c r="AK51" s="183">
        <f t="shared" ca="1" si="11"/>
        <v>322.5</v>
      </c>
      <c r="AM51" s="11">
        <f t="shared" si="4"/>
        <v>35</v>
      </c>
      <c r="AN51" s="10">
        <v>35</v>
      </c>
      <c r="AO51" s="11">
        <f t="shared" si="7"/>
        <v>100</v>
      </c>
      <c r="AP51" s="10">
        <v>100</v>
      </c>
      <c r="AQ51" s="11">
        <f t="shared" si="7"/>
        <v>100</v>
      </c>
      <c r="AR51" s="10">
        <v>100</v>
      </c>
      <c r="AS51" s="56">
        <f t="shared" si="8"/>
        <v>2</v>
      </c>
      <c r="AU51" s="11">
        <f ca="1">IFERROR(OFFSET(ITEM_RES!$A$1,MATCH(AV51,ITEM_RES!$J:$J,0)-1,0),0)</f>
        <v>211010501</v>
      </c>
      <c r="AV51" s="10" t="s">
        <v>436</v>
      </c>
      <c r="AW51" s="11">
        <v>500</v>
      </c>
      <c r="AZ51" s="11">
        <f ca="1">IFERROR(OFFSET(ITEM_RES!$A$1,MATCH(BA51,ITEM_RES!$J:$J,0)-1,0),0)</f>
        <v>211020101</v>
      </c>
      <c r="BA51" s="10" t="s">
        <v>457</v>
      </c>
      <c r="BB51" s="11">
        <v>500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961</v>
      </c>
      <c r="N52" s="9" t="s">
        <v>982</v>
      </c>
      <c r="O52" s="9">
        <v>1</v>
      </c>
      <c r="P52" s="9">
        <v>15</v>
      </c>
      <c r="Q52" s="9" t="s">
        <v>791</v>
      </c>
      <c r="U52" s="9" t="s">
        <v>716</v>
      </c>
      <c r="X52" s="9">
        <f ca="1">IFERROR(OFFSET(ITEM_RES!$A$5,MATCH(BUILDING!W52,ITEM_RES!$J$5:$J$226,0)-1,0),0)</f>
        <v>0</v>
      </c>
      <c r="Z52" s="85" t="s">
        <v>551</v>
      </c>
      <c r="AA52" s="9">
        <f ca="1">IFERROR(OFFSET(ITEM_RES!$A$5,MATCH(BUILDING!Z52,ITEM_RES!$J$5:$J$226,0)-1,0),0)</f>
        <v>211010301</v>
      </c>
      <c r="AC52" s="9" t="s">
        <v>521</v>
      </c>
      <c r="AD52" s="9">
        <v>8</v>
      </c>
      <c r="AF52" s="9">
        <v>8000</v>
      </c>
      <c r="AI52" s="56">
        <f t="shared" ca="1" si="9"/>
        <v>215</v>
      </c>
      <c r="AJ52" s="10">
        <f ca="1">AO52+AQ52+(IFERROR(OFFSET(ITEM_RES!$T$1,MATCH(AU52,ITEM_RES!$A:$A,0)-1,0),0)*AW52+IFERROR(OFFSET(ITEM_RES!$T$1,MATCH(AZ52,ITEM_RES!$A:$A,0)-1,0),0)*BB52+IFERROR(OFFSET(ITEM_RES!$T$1,MATCH(BE52,ITEM_RES!$A:$A,0)-1,0),0)*BG52+IFERROR(OFFSET(ITEM_RES!$T$1,MATCH(BJ52,ITEM_RES!$A:$A,0)-1,0),0)*BL52+IFERROR(OFFSET(ITEM_RES!$T$1,MATCH(BO52,ITEM_RES!$A:$A,0)-1,0),0)*BQ52)/1000</f>
        <v>215</v>
      </c>
      <c r="AK52" s="183">
        <f t="shared" ca="1" si="11"/>
        <v>430</v>
      </c>
      <c r="AM52" s="11">
        <f t="shared" si="4"/>
        <v>40</v>
      </c>
      <c r="AN52" s="10">
        <v>40</v>
      </c>
      <c r="AO52" s="11">
        <f t="shared" si="7"/>
        <v>100</v>
      </c>
      <c r="AP52" s="10">
        <v>100</v>
      </c>
      <c r="AQ52" s="11">
        <f t="shared" si="7"/>
        <v>100</v>
      </c>
      <c r="AR52" s="10">
        <v>100</v>
      </c>
      <c r="AS52" s="56">
        <f t="shared" si="8"/>
        <v>2</v>
      </c>
      <c r="AU52" s="11">
        <f ca="1">IFERROR(OFFSET(ITEM_RES!$A$1,MATCH(AV52,ITEM_RES!$J:$J,0)-1,0),0)</f>
        <v>211010501</v>
      </c>
      <c r="AV52" s="10" t="s">
        <v>436</v>
      </c>
      <c r="AW52" s="11">
        <v>500</v>
      </c>
      <c r="AZ52" s="11">
        <f ca="1">IFERROR(OFFSET(ITEM_RES!$A$1,MATCH(BA52,ITEM_RES!$J:$J,0)-1,0),0)</f>
        <v>211020101</v>
      </c>
      <c r="BA52" s="10" t="s">
        <v>457</v>
      </c>
      <c r="BB52" s="11">
        <v>500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M53" s="9" t="s">
        <v>961</v>
      </c>
      <c r="N53" s="9" t="s">
        <v>982</v>
      </c>
      <c r="O53" s="9">
        <v>1</v>
      </c>
      <c r="P53" s="9">
        <v>15</v>
      </c>
      <c r="Q53" s="9" t="s">
        <v>791</v>
      </c>
      <c r="U53" s="9" t="s">
        <v>716</v>
      </c>
      <c r="X53" s="9">
        <f ca="1">IFERROR(OFFSET(ITEM_RES!$A$5,MATCH(BUILDING!W53,ITEM_RES!$J$5:$J$226,0)-1,0),0)</f>
        <v>0</v>
      </c>
      <c r="Z53" s="85" t="s">
        <v>551</v>
      </c>
      <c r="AA53" s="9">
        <f ca="1">IFERROR(OFFSET(ITEM_RES!$A$5,MATCH(BUILDING!Z53,ITEM_RES!$J$5:$J$226,0)-1,0),0)</f>
        <v>211010301</v>
      </c>
      <c r="AC53" s="9" t="s">
        <v>521</v>
      </c>
      <c r="AD53" s="9">
        <v>9</v>
      </c>
      <c r="AF53" s="9">
        <v>12000</v>
      </c>
      <c r="AI53" s="56">
        <f t="shared" ca="1" si="9"/>
        <v>323</v>
      </c>
      <c r="AJ53" s="10">
        <f ca="1">AO53+AQ53+(IFERROR(OFFSET(ITEM_RES!$T$1,MATCH(AU53,ITEM_RES!$A:$A,0)-1,0),0)*AW53+IFERROR(OFFSET(ITEM_RES!$T$1,MATCH(AZ53,ITEM_RES!$A:$A,0)-1,0),0)*BB53+IFERROR(OFFSET(ITEM_RES!$T$1,MATCH(BE53,ITEM_RES!$A:$A,0)-1,0),0)*BG53+IFERROR(OFFSET(ITEM_RES!$T$1,MATCH(BJ53,ITEM_RES!$A:$A,0)-1,0),0)*BL53+IFERROR(OFFSET(ITEM_RES!$T$1,MATCH(BO53,ITEM_RES!$A:$A,0)-1,0),0)*BQ53)/1000</f>
        <v>322.5</v>
      </c>
      <c r="AK53" s="183">
        <f t="shared" ca="1" si="11"/>
        <v>537.5</v>
      </c>
      <c r="AM53" s="11">
        <f t="shared" si="4"/>
        <v>45</v>
      </c>
      <c r="AN53" s="10">
        <v>45</v>
      </c>
      <c r="AO53" s="11">
        <f t="shared" si="7"/>
        <v>150</v>
      </c>
      <c r="AP53" s="10">
        <v>150</v>
      </c>
      <c r="AQ53" s="11">
        <f t="shared" si="7"/>
        <v>150</v>
      </c>
      <c r="AR53" s="10">
        <v>150</v>
      </c>
      <c r="AS53" s="56">
        <f t="shared" si="8"/>
        <v>2</v>
      </c>
      <c r="AU53" s="11">
        <f ca="1">IFERROR(OFFSET(ITEM_RES!$A$1,MATCH(AV53,ITEM_RES!$J:$J,0)-1,0),0)</f>
        <v>211010501</v>
      </c>
      <c r="AV53" s="10" t="s">
        <v>436</v>
      </c>
      <c r="AW53" s="11">
        <v>750</v>
      </c>
      <c r="AZ53" s="11">
        <f ca="1">IFERROR(OFFSET(ITEM_RES!$A$1,MATCH(BA53,ITEM_RES!$J:$J,0)-1,0),0)</f>
        <v>211020101</v>
      </c>
      <c r="BA53" s="10" t="s">
        <v>457</v>
      </c>
      <c r="BB53" s="11">
        <v>750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961</v>
      </c>
      <c r="N54" s="9" t="s">
        <v>982</v>
      </c>
      <c r="O54" s="9">
        <v>1</v>
      </c>
      <c r="P54" s="9">
        <v>15</v>
      </c>
      <c r="Q54" s="9" t="s">
        <v>791</v>
      </c>
      <c r="U54" s="9" t="s">
        <v>716</v>
      </c>
      <c r="X54" s="9">
        <f ca="1">IFERROR(OFFSET(ITEM_RES!$A$5,MATCH(BUILDING!W54,ITEM_RES!$J$5:$J$226,0)-1,0),0)</f>
        <v>0</v>
      </c>
      <c r="Z54" s="85" t="s">
        <v>551</v>
      </c>
      <c r="AA54" s="9">
        <f ca="1">IFERROR(OFFSET(ITEM_RES!$A$5,MATCH(BUILDING!Z54,ITEM_RES!$J$5:$J$226,0)-1,0),0)</f>
        <v>211010301</v>
      </c>
      <c r="AC54" s="9" t="s">
        <v>521</v>
      </c>
      <c r="AD54" s="9">
        <v>10</v>
      </c>
      <c r="AF54" s="9">
        <v>16000</v>
      </c>
      <c r="AI54" s="56">
        <f t="shared" ca="1" si="9"/>
        <v>430</v>
      </c>
      <c r="AJ54" s="10">
        <f ca="1">AO54+AQ54+(IFERROR(OFFSET(ITEM_RES!$T$1,MATCH(AU54,ITEM_RES!$A:$A,0)-1,0),0)*AW54+IFERROR(OFFSET(ITEM_RES!$T$1,MATCH(AZ54,ITEM_RES!$A:$A,0)-1,0),0)*BB54+IFERROR(OFFSET(ITEM_RES!$T$1,MATCH(BE54,ITEM_RES!$A:$A,0)-1,0),0)*BG54+IFERROR(OFFSET(ITEM_RES!$T$1,MATCH(BJ54,ITEM_RES!$A:$A,0)-1,0),0)*BL54+IFERROR(OFFSET(ITEM_RES!$T$1,MATCH(BO54,ITEM_RES!$A:$A,0)-1,0),0)*BQ54)/1000</f>
        <v>430</v>
      </c>
      <c r="AK54" s="183">
        <f t="shared" ca="1" si="11"/>
        <v>752.5</v>
      </c>
      <c r="AM54" s="11">
        <f t="shared" si="4"/>
        <v>50</v>
      </c>
      <c r="AN54" s="10">
        <v>50</v>
      </c>
      <c r="AO54" s="11">
        <f t="shared" si="7"/>
        <v>200</v>
      </c>
      <c r="AP54" s="10">
        <v>200</v>
      </c>
      <c r="AQ54" s="11">
        <f t="shared" si="7"/>
        <v>200</v>
      </c>
      <c r="AR54" s="10">
        <v>200</v>
      </c>
      <c r="AS54" s="56">
        <f t="shared" si="8"/>
        <v>2</v>
      </c>
      <c r="AU54" s="11">
        <f ca="1">IFERROR(OFFSET(ITEM_RES!$A$1,MATCH(AV54,ITEM_RES!$J:$J,0)-1,0),0)</f>
        <v>211010501</v>
      </c>
      <c r="AV54" s="10" t="s">
        <v>436</v>
      </c>
      <c r="AW54" s="11">
        <v>1000</v>
      </c>
      <c r="AZ54" s="11">
        <f ca="1">IFERROR(OFFSET(ITEM_RES!$A$1,MATCH(BA54,ITEM_RES!$J:$J,0)-1,0),0)</f>
        <v>211020101</v>
      </c>
      <c r="BA54" s="10" t="s">
        <v>457</v>
      </c>
      <c r="BB54" s="11">
        <v>1000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961</v>
      </c>
      <c r="N55" s="9" t="s">
        <v>982</v>
      </c>
      <c r="O55" s="9">
        <v>1</v>
      </c>
      <c r="P55" s="9">
        <v>15</v>
      </c>
      <c r="Q55" s="9" t="s">
        <v>791</v>
      </c>
      <c r="U55" s="9" t="s">
        <v>716</v>
      </c>
      <c r="X55" s="9">
        <f ca="1">IFERROR(OFFSET(ITEM_RES!$A$5,MATCH(BUILDING!W55,ITEM_RES!$J$5:$J$226,0)-1,0),0)</f>
        <v>0</v>
      </c>
      <c r="Z55" s="85" t="s">
        <v>551</v>
      </c>
      <c r="AA55" s="9">
        <f ca="1">IFERROR(OFFSET(ITEM_RES!$A$5,MATCH(BUILDING!Z55,ITEM_RES!$J$5:$J$226,0)-1,0),0)</f>
        <v>211010301</v>
      </c>
      <c r="AC55" s="9" t="s">
        <v>521</v>
      </c>
      <c r="AD55" s="9">
        <v>11</v>
      </c>
      <c r="AF55" s="9">
        <v>20000</v>
      </c>
      <c r="AI55" s="56">
        <f t="shared" ca="1" si="9"/>
        <v>538</v>
      </c>
      <c r="AJ55" s="10">
        <f ca="1">AO55+AQ55+(IFERROR(OFFSET(ITEM_RES!$T$1,MATCH(AU55,ITEM_RES!$A:$A,0)-1,0),0)*AW55+IFERROR(OFFSET(ITEM_RES!$T$1,MATCH(AZ55,ITEM_RES!$A:$A,0)-1,0),0)*BB55+IFERROR(OFFSET(ITEM_RES!$T$1,MATCH(BE55,ITEM_RES!$A:$A,0)-1,0),0)*BG55+IFERROR(OFFSET(ITEM_RES!$T$1,MATCH(BJ55,ITEM_RES!$A:$A,0)-1,0),0)*BL55+IFERROR(OFFSET(ITEM_RES!$T$1,MATCH(BO55,ITEM_RES!$A:$A,0)-1,0),0)*BQ55)/1000</f>
        <v>537.5</v>
      </c>
      <c r="AK55" s="183">
        <f t="shared" ca="1" si="11"/>
        <v>967.5</v>
      </c>
      <c r="AM55" s="11">
        <f t="shared" si="4"/>
        <v>55</v>
      </c>
      <c r="AN55" s="10">
        <v>55</v>
      </c>
      <c r="AO55" s="11">
        <f t="shared" si="7"/>
        <v>250</v>
      </c>
      <c r="AP55" s="10">
        <v>250</v>
      </c>
      <c r="AQ55" s="11">
        <f t="shared" si="7"/>
        <v>250</v>
      </c>
      <c r="AR55" s="10">
        <v>250</v>
      </c>
      <c r="AS55" s="56">
        <f t="shared" si="8"/>
        <v>2</v>
      </c>
      <c r="AU55" s="11">
        <f ca="1">IFERROR(OFFSET(ITEM_RES!$A$1,MATCH(AV55,ITEM_RES!$J:$J,0)-1,0),0)</f>
        <v>211010501</v>
      </c>
      <c r="AV55" s="10" t="s">
        <v>436</v>
      </c>
      <c r="AW55" s="11">
        <v>1250</v>
      </c>
      <c r="AZ55" s="11">
        <f ca="1">IFERROR(OFFSET(ITEM_RES!$A$1,MATCH(BA55,ITEM_RES!$J:$J,0)-1,0),0)</f>
        <v>211020101</v>
      </c>
      <c r="BA55" s="10" t="s">
        <v>457</v>
      </c>
      <c r="BB55" s="11">
        <v>1250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961</v>
      </c>
      <c r="N56" s="9" t="s">
        <v>982</v>
      </c>
      <c r="O56" s="9">
        <v>1</v>
      </c>
      <c r="P56" s="9">
        <v>15</v>
      </c>
      <c r="Q56" s="9" t="s">
        <v>791</v>
      </c>
      <c r="U56" s="9" t="s">
        <v>716</v>
      </c>
      <c r="X56" s="9">
        <f ca="1">IFERROR(OFFSET(ITEM_RES!$A$5,MATCH(BUILDING!W56,ITEM_RES!$J$5:$J$226,0)-1,0),0)</f>
        <v>0</v>
      </c>
      <c r="Z56" s="85" t="s">
        <v>551</v>
      </c>
      <c r="AA56" s="9">
        <f ca="1">IFERROR(OFFSET(ITEM_RES!$A$5,MATCH(BUILDING!Z56,ITEM_RES!$J$5:$J$226,0)-1,0),0)</f>
        <v>211010301</v>
      </c>
      <c r="AC56" s="9" t="s">
        <v>521</v>
      </c>
      <c r="AD56" s="9">
        <v>12</v>
      </c>
      <c r="AF56" s="9">
        <v>24000</v>
      </c>
      <c r="AI56" s="56">
        <f t="shared" ca="1" si="9"/>
        <v>645</v>
      </c>
      <c r="AJ56" s="10">
        <f ca="1">AO56+AQ56+(IFERROR(OFFSET(ITEM_RES!$T$1,MATCH(AU56,ITEM_RES!$A:$A,0)-1,0),0)*AW56+IFERROR(OFFSET(ITEM_RES!$T$1,MATCH(AZ56,ITEM_RES!$A:$A,0)-1,0),0)*BB56+IFERROR(OFFSET(ITEM_RES!$T$1,MATCH(BE56,ITEM_RES!$A:$A,0)-1,0),0)*BG56+IFERROR(OFFSET(ITEM_RES!$T$1,MATCH(BJ56,ITEM_RES!$A:$A,0)-1,0),0)*BL56+IFERROR(OFFSET(ITEM_RES!$T$1,MATCH(BO56,ITEM_RES!$A:$A,0)-1,0),0)*BQ56)/1000</f>
        <v>645</v>
      </c>
      <c r="AK56" s="183">
        <f t="shared" ca="1" si="11"/>
        <v>1182.5</v>
      </c>
      <c r="AM56" s="11">
        <f t="shared" si="4"/>
        <v>60</v>
      </c>
      <c r="AN56" s="10">
        <v>60</v>
      </c>
      <c r="AO56" s="11">
        <f t="shared" si="7"/>
        <v>300</v>
      </c>
      <c r="AP56" s="10">
        <v>300</v>
      </c>
      <c r="AQ56" s="11">
        <f t="shared" si="7"/>
        <v>300</v>
      </c>
      <c r="AR56" s="10">
        <v>300</v>
      </c>
      <c r="AS56" s="56">
        <f t="shared" si="8"/>
        <v>2</v>
      </c>
      <c r="AU56" s="11">
        <f ca="1">IFERROR(OFFSET(ITEM_RES!$A$1,MATCH(AV56,ITEM_RES!$J:$J,0)-1,0),0)</f>
        <v>211010501</v>
      </c>
      <c r="AV56" s="10" t="s">
        <v>436</v>
      </c>
      <c r="AW56" s="11">
        <v>1500</v>
      </c>
      <c r="AZ56" s="11">
        <f ca="1">IFERROR(OFFSET(ITEM_RES!$A$1,MATCH(BA56,ITEM_RES!$J:$J,0)-1,0),0)</f>
        <v>211020101</v>
      </c>
      <c r="BA56" s="10" t="s">
        <v>457</v>
      </c>
      <c r="BB56" s="11">
        <v>1500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961</v>
      </c>
      <c r="N57" s="9" t="s">
        <v>982</v>
      </c>
      <c r="O57" s="9">
        <v>1</v>
      </c>
      <c r="P57" s="9">
        <v>15</v>
      </c>
      <c r="Q57" s="9" t="s">
        <v>791</v>
      </c>
      <c r="U57" s="9" t="s">
        <v>716</v>
      </c>
      <c r="X57" s="9">
        <f ca="1">IFERROR(OFFSET(ITEM_RES!$A$5,MATCH(BUILDING!W57,ITEM_RES!$J$5:$J$226,0)-1,0),0)</f>
        <v>0</v>
      </c>
      <c r="Z57" s="85" t="s">
        <v>551</v>
      </c>
      <c r="AA57" s="9">
        <f ca="1">IFERROR(OFFSET(ITEM_RES!$A$5,MATCH(BUILDING!Z57,ITEM_RES!$J$5:$J$226,0)-1,0),0)</f>
        <v>211010301</v>
      </c>
      <c r="AC57" s="9" t="s">
        <v>521</v>
      </c>
      <c r="AD57" s="9">
        <v>13</v>
      </c>
      <c r="AF57" s="9">
        <v>28000</v>
      </c>
      <c r="AI57" s="56">
        <f t="shared" ca="1" si="9"/>
        <v>753</v>
      </c>
      <c r="AJ57" s="10">
        <f ca="1">AO57+AQ57+(IFERROR(OFFSET(ITEM_RES!$T$1,MATCH(AU57,ITEM_RES!$A:$A,0)-1,0),0)*AW57+IFERROR(OFFSET(ITEM_RES!$T$1,MATCH(AZ57,ITEM_RES!$A:$A,0)-1,0),0)*BB57+IFERROR(OFFSET(ITEM_RES!$T$1,MATCH(BE57,ITEM_RES!$A:$A,0)-1,0),0)*BG57+IFERROR(OFFSET(ITEM_RES!$T$1,MATCH(BJ57,ITEM_RES!$A:$A,0)-1,0),0)*BL57+IFERROR(OFFSET(ITEM_RES!$T$1,MATCH(BO57,ITEM_RES!$A:$A,0)-1,0),0)*BQ57)/1000</f>
        <v>752.5</v>
      </c>
      <c r="AK57" s="183">
        <f t="shared" ca="1" si="11"/>
        <v>1397.5</v>
      </c>
      <c r="AM57" s="11">
        <f t="shared" si="4"/>
        <v>65</v>
      </c>
      <c r="AN57" s="10">
        <v>65</v>
      </c>
      <c r="AO57" s="11">
        <f t="shared" si="7"/>
        <v>350</v>
      </c>
      <c r="AP57" s="10">
        <v>350</v>
      </c>
      <c r="AQ57" s="11">
        <f t="shared" si="7"/>
        <v>350</v>
      </c>
      <c r="AR57" s="10">
        <v>350</v>
      </c>
      <c r="AS57" s="56">
        <f t="shared" si="8"/>
        <v>2</v>
      </c>
      <c r="AU57" s="11">
        <f ca="1">IFERROR(OFFSET(ITEM_RES!$A$1,MATCH(AV57,ITEM_RES!$J:$J,0)-1,0),0)</f>
        <v>211010501</v>
      </c>
      <c r="AV57" s="10" t="s">
        <v>436</v>
      </c>
      <c r="AW57" s="11">
        <v>1750</v>
      </c>
      <c r="AZ57" s="11">
        <f ca="1">IFERROR(OFFSET(ITEM_RES!$A$1,MATCH(BA57,ITEM_RES!$J:$J,0)-1,0),0)</f>
        <v>211020101</v>
      </c>
      <c r="BA57" s="10" t="s">
        <v>457</v>
      </c>
      <c r="BB57" s="11">
        <v>1750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961</v>
      </c>
      <c r="N58" s="9" t="s">
        <v>982</v>
      </c>
      <c r="O58" s="9">
        <v>1</v>
      </c>
      <c r="P58" s="9">
        <v>15</v>
      </c>
      <c r="Q58" s="9" t="s">
        <v>791</v>
      </c>
      <c r="U58" s="9" t="s">
        <v>716</v>
      </c>
      <c r="X58" s="9">
        <f ca="1">IFERROR(OFFSET(ITEM_RES!$A$5,MATCH(BUILDING!W58,ITEM_RES!$J$5:$J$226,0)-1,0),0)</f>
        <v>0</v>
      </c>
      <c r="Z58" s="85" t="s">
        <v>551</v>
      </c>
      <c r="AA58" s="9">
        <f ca="1">IFERROR(OFFSET(ITEM_RES!$A$5,MATCH(BUILDING!Z58,ITEM_RES!$J$5:$J$226,0)-1,0),0)</f>
        <v>211010301</v>
      </c>
      <c r="AC58" s="9" t="s">
        <v>521</v>
      </c>
      <c r="AD58" s="9">
        <v>14</v>
      </c>
      <c r="AF58" s="9">
        <v>36000</v>
      </c>
      <c r="AI58" s="56">
        <f t="shared" ca="1" si="9"/>
        <v>990</v>
      </c>
      <c r="AJ58" s="10">
        <f ca="1">AO58+AQ58+(IFERROR(OFFSET(ITEM_RES!$T$1,MATCH(AU58,ITEM_RES!$A:$A,0)-1,0),0)*AW58+IFERROR(OFFSET(ITEM_RES!$T$1,MATCH(AZ58,ITEM_RES!$A:$A,0)-1,0),0)*BB58+IFERROR(OFFSET(ITEM_RES!$T$1,MATCH(BE58,ITEM_RES!$A:$A,0)-1,0),0)*BG58+IFERROR(OFFSET(ITEM_RES!$T$1,MATCH(BJ58,ITEM_RES!$A:$A,0)-1,0),0)*BL58+IFERROR(OFFSET(ITEM_RES!$T$1,MATCH(BO58,ITEM_RES!$A:$A,0)-1,0),0)*BQ58)/1000</f>
        <v>990</v>
      </c>
      <c r="AK58" s="183">
        <f t="shared" ca="1" si="11"/>
        <v>1742.5</v>
      </c>
      <c r="AM58" s="11">
        <f t="shared" si="4"/>
        <v>70</v>
      </c>
      <c r="AN58" s="10">
        <v>70</v>
      </c>
      <c r="AO58" s="11">
        <f t="shared" si="7"/>
        <v>450</v>
      </c>
      <c r="AP58" s="10">
        <v>450</v>
      </c>
      <c r="AQ58" s="11">
        <f t="shared" si="7"/>
        <v>450</v>
      </c>
      <c r="AR58" s="10">
        <v>450</v>
      </c>
      <c r="AS58" s="56">
        <f t="shared" si="8"/>
        <v>2</v>
      </c>
      <c r="AU58" s="11">
        <f ca="1">IFERROR(OFFSET(ITEM_RES!$A$1,MATCH(AV58,ITEM_RES!$J:$J,0)-1,0),0)</f>
        <v>211010601</v>
      </c>
      <c r="AV58" s="10" t="s">
        <v>450</v>
      </c>
      <c r="AW58" s="11">
        <v>2250</v>
      </c>
      <c r="AZ58" s="11">
        <f ca="1">IFERROR(OFFSET(ITEM_RES!$A$1,MATCH(BA58,ITEM_RES!$J:$J,0)-1,0),0)</f>
        <v>211020101</v>
      </c>
      <c r="BA58" s="10" t="s">
        <v>457</v>
      </c>
      <c r="BB58" s="11">
        <v>2250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961</v>
      </c>
      <c r="N59" s="9" t="s">
        <v>982</v>
      </c>
      <c r="O59" s="9">
        <v>1</v>
      </c>
      <c r="P59" s="9">
        <v>15</v>
      </c>
      <c r="Q59" s="9" t="s">
        <v>791</v>
      </c>
      <c r="U59" s="9" t="s">
        <v>716</v>
      </c>
      <c r="X59" s="9">
        <f ca="1">IFERROR(OFFSET(ITEM_RES!$A$5,MATCH(BUILDING!W59,ITEM_RES!$J$5:$J$226,0)-1,0),0)</f>
        <v>0</v>
      </c>
      <c r="Z59" s="85" t="s">
        <v>551</v>
      </c>
      <c r="AA59" s="9">
        <f ca="1">IFERROR(OFFSET(ITEM_RES!$A$5,MATCH(BUILDING!Z59,ITEM_RES!$J$5:$J$226,0)-1,0),0)</f>
        <v>211010301</v>
      </c>
      <c r="AC59" s="9" t="s">
        <v>521</v>
      </c>
      <c r="AD59" s="9">
        <v>15</v>
      </c>
      <c r="AF59" s="9">
        <v>44000</v>
      </c>
      <c r="AI59" s="56">
        <f t="shared" ca="1" si="9"/>
        <v>1210</v>
      </c>
      <c r="AJ59" s="10">
        <f ca="1">AO59+AQ59+(IFERROR(OFFSET(ITEM_RES!$T$1,MATCH(AU59,ITEM_RES!$A:$A,0)-1,0),0)*AW59+IFERROR(OFFSET(ITEM_RES!$T$1,MATCH(AZ59,ITEM_RES!$A:$A,0)-1,0),0)*BB59+IFERROR(OFFSET(ITEM_RES!$T$1,MATCH(BE59,ITEM_RES!$A:$A,0)-1,0),0)*BG59+IFERROR(OFFSET(ITEM_RES!$T$1,MATCH(BJ59,ITEM_RES!$A:$A,0)-1,0),0)*BL59+IFERROR(OFFSET(ITEM_RES!$T$1,MATCH(BO59,ITEM_RES!$A:$A,0)-1,0),0)*BQ59)/1000</f>
        <v>1210</v>
      </c>
      <c r="AK59" s="183">
        <f t="shared" ca="1" si="11"/>
        <v>2200</v>
      </c>
      <c r="AM59" s="11">
        <f t="shared" si="4"/>
        <v>75</v>
      </c>
      <c r="AN59" s="10">
        <v>75</v>
      </c>
      <c r="AO59" s="11">
        <f t="shared" si="7"/>
        <v>550</v>
      </c>
      <c r="AP59" s="10">
        <v>550</v>
      </c>
      <c r="AQ59" s="11">
        <f t="shared" si="7"/>
        <v>550</v>
      </c>
      <c r="AR59" s="10">
        <v>550</v>
      </c>
      <c r="AS59" s="56">
        <f t="shared" si="8"/>
        <v>2</v>
      </c>
      <c r="AU59" s="11">
        <f ca="1">IFERROR(OFFSET(ITEM_RES!$A$1,MATCH(AV59,ITEM_RES!$J:$J,0)-1,0),0)</f>
        <v>211010601</v>
      </c>
      <c r="AV59" s="10" t="s">
        <v>450</v>
      </c>
      <c r="AW59" s="11">
        <v>2750</v>
      </c>
      <c r="AZ59" s="11">
        <f ca="1">IFERROR(OFFSET(ITEM_RES!$A$1,MATCH(BA59,ITEM_RES!$J:$J,0)-1,0),0)</f>
        <v>211020101</v>
      </c>
      <c r="BA59" s="10" t="s">
        <v>457</v>
      </c>
      <c r="BB59" s="11">
        <v>2750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961</v>
      </c>
      <c r="N60" s="9" t="s">
        <v>982</v>
      </c>
      <c r="O60" s="9">
        <v>0</v>
      </c>
      <c r="P60" s="9">
        <v>15</v>
      </c>
      <c r="Q60" s="9" t="s">
        <v>791</v>
      </c>
      <c r="U60" s="9" t="s">
        <v>716</v>
      </c>
      <c r="X60" s="9">
        <f ca="1">IFERROR(OFFSET(ITEM_RES!$A$5,MATCH(BUILDING!W60,ITEM_RES!$J$5:$J$226,0)-1,0),0)</f>
        <v>0</v>
      </c>
      <c r="Z60" s="85" t="s">
        <v>551</v>
      </c>
      <c r="AA60" s="9">
        <f ca="1">IFERROR(OFFSET(ITEM_RES!$A$5,MATCH(BUILDING!Z60,ITEM_RES!$J$5:$J$226,0)-1,0),0)</f>
        <v>211010301</v>
      </c>
      <c r="AC60" s="9" t="s">
        <v>521</v>
      </c>
      <c r="AD60" s="9">
        <v>16</v>
      </c>
      <c r="AF60" s="9">
        <v>56000</v>
      </c>
      <c r="AI60" s="56">
        <f t="shared" ca="1" si="9"/>
        <v>1540</v>
      </c>
      <c r="AJ60" s="10">
        <f ca="1">AO60+AQ60+(IFERROR(OFFSET(ITEM_RES!$T$1,MATCH(AU60,ITEM_RES!$A:$A,0)-1,0),0)*AW60+IFERROR(OFFSET(ITEM_RES!$T$1,MATCH(AZ60,ITEM_RES!$A:$A,0)-1,0),0)*BB60+IFERROR(OFFSET(ITEM_RES!$T$1,MATCH(BE60,ITEM_RES!$A:$A,0)-1,0),0)*BG60+IFERROR(OFFSET(ITEM_RES!$T$1,MATCH(BJ60,ITEM_RES!$A:$A,0)-1,0),0)*BL60+IFERROR(OFFSET(ITEM_RES!$T$1,MATCH(BO60,ITEM_RES!$A:$A,0)-1,0),0)*BQ60)/1000</f>
        <v>1540</v>
      </c>
      <c r="AK60" s="183">
        <f t="shared" ca="1" si="11"/>
        <v>2750</v>
      </c>
      <c r="AM60" s="11">
        <f t="shared" si="4"/>
        <v>80</v>
      </c>
      <c r="AN60" s="10">
        <v>80</v>
      </c>
      <c r="AO60" s="11">
        <f t="shared" si="7"/>
        <v>700</v>
      </c>
      <c r="AP60" s="10">
        <v>700</v>
      </c>
      <c r="AQ60" s="11">
        <f t="shared" si="7"/>
        <v>700</v>
      </c>
      <c r="AR60" s="10">
        <v>700</v>
      </c>
      <c r="AS60" s="56">
        <f t="shared" si="8"/>
        <v>2</v>
      </c>
      <c r="AU60" s="11">
        <f ca="1">IFERROR(OFFSET(ITEM_RES!$A$1,MATCH(AV60,ITEM_RES!$J:$J,0)-1,0),0)</f>
        <v>211010601</v>
      </c>
      <c r="AV60" s="10" t="s">
        <v>450</v>
      </c>
      <c r="AW60" s="11">
        <v>3500</v>
      </c>
      <c r="AZ60" s="11">
        <f ca="1">IFERROR(OFFSET(ITEM_RES!$A$1,MATCH(BA60,ITEM_RES!$J:$J,0)-1,0),0)</f>
        <v>211020101</v>
      </c>
      <c r="BA60" s="10" t="s">
        <v>457</v>
      </c>
      <c r="BB60" s="11">
        <v>3500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961</v>
      </c>
      <c r="N61" s="9" t="s">
        <v>982</v>
      </c>
      <c r="O61" s="9">
        <v>0</v>
      </c>
      <c r="P61" s="9">
        <v>15</v>
      </c>
      <c r="Q61" s="9" t="s">
        <v>791</v>
      </c>
      <c r="U61" s="9" t="s">
        <v>716</v>
      </c>
      <c r="X61" s="9">
        <f ca="1">IFERROR(OFFSET(ITEM_RES!$A$5,MATCH(BUILDING!W61,ITEM_RES!$J$5:$J$226,0)-1,0),0)</f>
        <v>0</v>
      </c>
      <c r="Z61" s="85" t="s">
        <v>551</v>
      </c>
      <c r="AA61" s="9">
        <f ca="1">IFERROR(OFFSET(ITEM_RES!$A$5,MATCH(BUILDING!Z61,ITEM_RES!$J$5:$J$226,0)-1,0),0)</f>
        <v>211010301</v>
      </c>
      <c r="AC61" s="9" t="s">
        <v>521</v>
      </c>
      <c r="AD61" s="9">
        <v>17</v>
      </c>
      <c r="AF61" s="9">
        <v>68000</v>
      </c>
      <c r="AI61" s="56">
        <f t="shared" ca="1" si="9"/>
        <v>1870</v>
      </c>
      <c r="AJ61" s="10">
        <f ca="1">AO61+AQ61+(IFERROR(OFFSET(ITEM_RES!$T$1,MATCH(AU61,ITEM_RES!$A:$A,0)-1,0),0)*AW61+IFERROR(OFFSET(ITEM_RES!$T$1,MATCH(AZ61,ITEM_RES!$A:$A,0)-1,0),0)*BB61+IFERROR(OFFSET(ITEM_RES!$T$1,MATCH(BE61,ITEM_RES!$A:$A,0)-1,0),0)*BG61+IFERROR(OFFSET(ITEM_RES!$T$1,MATCH(BJ61,ITEM_RES!$A:$A,0)-1,0),0)*BL61+IFERROR(OFFSET(ITEM_RES!$T$1,MATCH(BO61,ITEM_RES!$A:$A,0)-1,0),0)*BQ61)/1000</f>
        <v>1870</v>
      </c>
      <c r="AK61" s="183">
        <f t="shared" ca="1" si="11"/>
        <v>3410</v>
      </c>
      <c r="AM61" s="11">
        <f t="shared" si="4"/>
        <v>85</v>
      </c>
      <c r="AN61" s="10">
        <v>85</v>
      </c>
      <c r="AO61" s="11">
        <f t="shared" si="7"/>
        <v>850</v>
      </c>
      <c r="AP61" s="10">
        <v>850</v>
      </c>
      <c r="AQ61" s="11">
        <f t="shared" si="7"/>
        <v>850</v>
      </c>
      <c r="AR61" s="10">
        <v>850</v>
      </c>
      <c r="AS61" s="56">
        <f t="shared" si="8"/>
        <v>2</v>
      </c>
      <c r="AU61" s="11">
        <f ca="1">IFERROR(OFFSET(ITEM_RES!$A$1,MATCH(AV61,ITEM_RES!$J:$J,0)-1,0),0)</f>
        <v>211010601</v>
      </c>
      <c r="AV61" s="10" t="s">
        <v>450</v>
      </c>
      <c r="AW61" s="11">
        <v>4250</v>
      </c>
      <c r="AZ61" s="11">
        <f ca="1">IFERROR(OFFSET(ITEM_RES!$A$1,MATCH(BA61,ITEM_RES!$J:$J,0)-1,0),0)</f>
        <v>211020101</v>
      </c>
      <c r="BA61" s="10" t="s">
        <v>457</v>
      </c>
      <c r="BB61" s="11">
        <v>4250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961</v>
      </c>
      <c r="N62" s="9" t="s">
        <v>982</v>
      </c>
      <c r="O62" s="9">
        <v>0</v>
      </c>
      <c r="P62" s="9">
        <v>15</v>
      </c>
      <c r="Q62" s="9" t="s">
        <v>791</v>
      </c>
      <c r="U62" s="9" t="s">
        <v>716</v>
      </c>
      <c r="X62" s="9">
        <f ca="1">IFERROR(OFFSET(ITEM_RES!$A$5,MATCH(BUILDING!W62,ITEM_RES!$J$5:$J$226,0)-1,0),0)</f>
        <v>0</v>
      </c>
      <c r="Z62" s="85" t="s">
        <v>551</v>
      </c>
      <c r="AA62" s="9">
        <f ca="1">IFERROR(OFFSET(ITEM_RES!$A$5,MATCH(BUILDING!Z62,ITEM_RES!$J$5:$J$226,0)-1,0),0)</f>
        <v>211010301</v>
      </c>
      <c r="AC62" s="9" t="s">
        <v>521</v>
      </c>
      <c r="AD62" s="9">
        <v>18</v>
      </c>
      <c r="AF62" s="9">
        <v>84000</v>
      </c>
      <c r="AI62" s="56">
        <f t="shared" ca="1" si="9"/>
        <v>2310</v>
      </c>
      <c r="AJ62" s="10">
        <f ca="1">AO62+AQ62+(IFERROR(OFFSET(ITEM_RES!$T$1,MATCH(AU62,ITEM_RES!$A:$A,0)-1,0),0)*AW62+IFERROR(OFFSET(ITEM_RES!$T$1,MATCH(AZ62,ITEM_RES!$A:$A,0)-1,0),0)*BB62+IFERROR(OFFSET(ITEM_RES!$T$1,MATCH(BE62,ITEM_RES!$A:$A,0)-1,0),0)*BG62+IFERROR(OFFSET(ITEM_RES!$T$1,MATCH(BJ62,ITEM_RES!$A:$A,0)-1,0),0)*BL62+IFERROR(OFFSET(ITEM_RES!$T$1,MATCH(BO62,ITEM_RES!$A:$A,0)-1,0),0)*BQ62)/1000</f>
        <v>2310</v>
      </c>
      <c r="AK62" s="183">
        <f t="shared" ca="1" si="11"/>
        <v>4180</v>
      </c>
      <c r="AM62" s="11">
        <f t="shared" si="4"/>
        <v>90</v>
      </c>
      <c r="AN62" s="10">
        <v>90</v>
      </c>
      <c r="AO62" s="11">
        <f t="shared" si="7"/>
        <v>1050</v>
      </c>
      <c r="AP62" s="10">
        <v>1050</v>
      </c>
      <c r="AQ62" s="11">
        <f t="shared" si="7"/>
        <v>1050</v>
      </c>
      <c r="AR62" s="10">
        <v>1050</v>
      </c>
      <c r="AS62" s="56">
        <f t="shared" si="8"/>
        <v>2</v>
      </c>
      <c r="AU62" s="11">
        <f ca="1">IFERROR(OFFSET(ITEM_RES!$A$1,MATCH(AV62,ITEM_RES!$J:$J,0)-1,0),0)</f>
        <v>211010601</v>
      </c>
      <c r="AV62" s="10" t="s">
        <v>450</v>
      </c>
      <c r="AW62" s="11">
        <v>5250</v>
      </c>
      <c r="AZ62" s="11">
        <f ca="1">IFERROR(OFFSET(ITEM_RES!$A$1,MATCH(BA62,ITEM_RES!$J:$J,0)-1,0),0)</f>
        <v>211020101</v>
      </c>
      <c r="BA62" s="10" t="s">
        <v>457</v>
      </c>
      <c r="BB62" s="11">
        <v>5250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961</v>
      </c>
      <c r="N63" s="9" t="s">
        <v>982</v>
      </c>
      <c r="O63" s="9">
        <v>0</v>
      </c>
      <c r="P63" s="9">
        <v>15</v>
      </c>
      <c r="Q63" s="9" t="s">
        <v>791</v>
      </c>
      <c r="U63" s="9" t="s">
        <v>716</v>
      </c>
      <c r="X63" s="9">
        <f ca="1">IFERROR(OFFSET(ITEM_RES!$A$5,MATCH(BUILDING!W63,ITEM_RES!$J$5:$J$226,0)-1,0),0)</f>
        <v>0</v>
      </c>
      <c r="Z63" s="85" t="s">
        <v>551</v>
      </c>
      <c r="AA63" s="9">
        <f ca="1">IFERROR(OFFSET(ITEM_RES!$A$5,MATCH(BUILDING!Z63,ITEM_RES!$J$5:$J$226,0)-1,0),0)</f>
        <v>211010301</v>
      </c>
      <c r="AC63" s="9" t="s">
        <v>521</v>
      </c>
      <c r="AD63" s="9">
        <v>19</v>
      </c>
      <c r="AF63" s="9">
        <v>100000</v>
      </c>
      <c r="AI63" s="56">
        <f t="shared" ca="1" si="9"/>
        <v>2750</v>
      </c>
      <c r="AJ63" s="10">
        <f ca="1">AO63+AQ63+(IFERROR(OFFSET(ITEM_RES!$T$1,MATCH(AU63,ITEM_RES!$A:$A,0)-1,0),0)*AW63+IFERROR(OFFSET(ITEM_RES!$T$1,MATCH(AZ63,ITEM_RES!$A:$A,0)-1,0),0)*BB63+IFERROR(OFFSET(ITEM_RES!$T$1,MATCH(BE63,ITEM_RES!$A:$A,0)-1,0),0)*BG63+IFERROR(OFFSET(ITEM_RES!$T$1,MATCH(BJ63,ITEM_RES!$A:$A,0)-1,0),0)*BL63+IFERROR(OFFSET(ITEM_RES!$T$1,MATCH(BO63,ITEM_RES!$A:$A,0)-1,0),0)*BQ63)/1000</f>
        <v>2750</v>
      </c>
      <c r="AK63" s="183">
        <f t="shared" ca="1" si="11"/>
        <v>5060</v>
      </c>
      <c r="AM63" s="11">
        <f t="shared" si="4"/>
        <v>95</v>
      </c>
      <c r="AN63" s="10">
        <v>95</v>
      </c>
      <c r="AO63" s="11">
        <f t="shared" si="7"/>
        <v>1250</v>
      </c>
      <c r="AP63" s="10">
        <v>1250</v>
      </c>
      <c r="AQ63" s="11">
        <f t="shared" si="7"/>
        <v>1250</v>
      </c>
      <c r="AR63" s="10">
        <v>1250</v>
      </c>
      <c r="AS63" s="56">
        <f t="shared" si="8"/>
        <v>2</v>
      </c>
      <c r="AU63" s="11">
        <f ca="1">IFERROR(OFFSET(ITEM_RES!$A$1,MATCH(AV63,ITEM_RES!$J:$J,0)-1,0),0)</f>
        <v>211010601</v>
      </c>
      <c r="AV63" s="10" t="s">
        <v>450</v>
      </c>
      <c r="AW63" s="11">
        <v>6250</v>
      </c>
      <c r="AZ63" s="11">
        <f ca="1">IFERROR(OFFSET(ITEM_RES!$A$1,MATCH(BA63,ITEM_RES!$J:$J,0)-1,0),0)</f>
        <v>211020101</v>
      </c>
      <c r="BA63" s="10" t="s">
        <v>457</v>
      </c>
      <c r="BB63" s="11">
        <v>6250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961</v>
      </c>
      <c r="N64" s="9" t="s">
        <v>982</v>
      </c>
      <c r="O64" s="9">
        <v>0</v>
      </c>
      <c r="P64" s="9">
        <v>15</v>
      </c>
      <c r="Q64" s="9" t="s">
        <v>791</v>
      </c>
      <c r="U64" s="9" t="s">
        <v>716</v>
      </c>
      <c r="X64" s="9">
        <f ca="1">IFERROR(OFFSET(ITEM_RES!$A$5,MATCH(BUILDING!W64,ITEM_RES!$J$5:$J$226,0)-1,0),0)</f>
        <v>0</v>
      </c>
      <c r="Z64" s="85" t="s">
        <v>551</v>
      </c>
      <c r="AA64" s="9">
        <f ca="1">IFERROR(OFFSET(ITEM_RES!$A$5,MATCH(BUILDING!Z64,ITEM_RES!$J$5:$J$226,0)-1,0),0)</f>
        <v>211010301</v>
      </c>
      <c r="AC64" s="9" t="s">
        <v>521</v>
      </c>
      <c r="AD64" s="9">
        <v>20</v>
      </c>
      <c r="AF64" s="9">
        <v>120000</v>
      </c>
      <c r="AI64" s="56">
        <f t="shared" ca="1" si="9"/>
        <v>3300</v>
      </c>
      <c r="AJ64" s="10">
        <f ca="1">AO64+AQ64+(IFERROR(OFFSET(ITEM_RES!$T$1,MATCH(AU64,ITEM_RES!$A:$A,0)-1,0),0)*AW64+IFERROR(OFFSET(ITEM_RES!$T$1,MATCH(AZ64,ITEM_RES!$A:$A,0)-1,0),0)*BB64+IFERROR(OFFSET(ITEM_RES!$T$1,MATCH(BE64,ITEM_RES!$A:$A,0)-1,0),0)*BG64+IFERROR(OFFSET(ITEM_RES!$T$1,MATCH(BJ64,ITEM_RES!$A:$A,0)-1,0),0)*BL64+IFERROR(OFFSET(ITEM_RES!$T$1,MATCH(BO64,ITEM_RES!$A:$A,0)-1,0),0)*BQ64)/1000</f>
        <v>3300</v>
      </c>
      <c r="AK64" s="183">
        <f t="shared" ca="1" si="11"/>
        <v>6050</v>
      </c>
      <c r="AM64" s="11">
        <f t="shared" si="4"/>
        <v>100</v>
      </c>
      <c r="AN64" s="10">
        <v>100</v>
      </c>
      <c r="AO64" s="11">
        <f t="shared" si="7"/>
        <v>1500</v>
      </c>
      <c r="AP64" s="10">
        <v>1500</v>
      </c>
      <c r="AQ64" s="11">
        <f t="shared" si="7"/>
        <v>1500</v>
      </c>
      <c r="AR64" s="10">
        <v>1500</v>
      </c>
      <c r="AS64" s="56">
        <f t="shared" si="8"/>
        <v>2</v>
      </c>
      <c r="AU64" s="11">
        <f ca="1">IFERROR(OFFSET(ITEM_RES!$A$1,MATCH(AV64,ITEM_RES!$J:$J,0)-1,0),0)</f>
        <v>211010601</v>
      </c>
      <c r="AV64" s="10" t="s">
        <v>450</v>
      </c>
      <c r="AW64" s="11">
        <v>7500</v>
      </c>
      <c r="AZ64" s="11">
        <f ca="1">IFERROR(OFFSET(ITEM_RES!$A$1,MATCH(BA64,ITEM_RES!$J:$J,0)-1,0),0)</f>
        <v>211020101</v>
      </c>
      <c r="BA64" s="10" t="s">
        <v>457</v>
      </c>
      <c r="BB64" s="11">
        <v>7500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447</v>
      </c>
      <c r="L65" s="16">
        <v>2</v>
      </c>
      <c r="M65" s="16" t="s">
        <v>962</v>
      </c>
      <c r="N65" s="16" t="s">
        <v>983</v>
      </c>
      <c r="O65" s="16">
        <v>1</v>
      </c>
      <c r="P65" s="16">
        <v>15</v>
      </c>
      <c r="Q65" s="16"/>
      <c r="R65" s="17"/>
      <c r="S65" s="17"/>
      <c r="T65" s="18"/>
      <c r="U65" s="16" t="s">
        <v>717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552</v>
      </c>
      <c r="AA65" s="16">
        <f ca="1">IFERROR(OFFSET(ITEM_RES!$A$5,MATCH(BUILDING!Z65,ITEM_RES!$J$5:$J$226,0)-1,0),0)</f>
        <v>211020101</v>
      </c>
      <c r="AB65" s="79"/>
      <c r="AC65" s="16" t="s">
        <v>522</v>
      </c>
      <c r="AD65" s="16">
        <v>1</v>
      </c>
      <c r="AE65" s="79"/>
      <c r="AF65" s="16">
        <v>400</v>
      </c>
      <c r="AG65" s="17"/>
      <c r="AH65" s="79"/>
      <c r="AI65" s="57">
        <f t="shared" ca="1" si="9"/>
        <v>113</v>
      </c>
      <c r="AJ65" s="17">
        <f ca="1">AO65+AQ65+(IFERROR(OFFSET(ITEM_RES!$T$1,MATCH(AU65,ITEM_RES!$A:$A,0)-1,0),0)*AW65+IFERROR(OFFSET(ITEM_RES!$T$1,MATCH(AZ65,ITEM_RES!$A:$A,0)-1,0),0)*BB65+IFERROR(OFFSET(ITEM_RES!$T$1,MATCH(BE65,ITEM_RES!$A:$A,0)-1,0),0)*BG65+IFERROR(OFFSET(ITEM_RES!$T$1,MATCH(BJ65,ITEM_RES!$A:$A,0)-1,0),0)*BL65+IFERROR(OFFSET(ITEM_RES!$T$1,MATCH(BO65,ITEM_RES!$A:$A,0)-1,0),0)*BQ65)/1000</f>
        <v>112.75</v>
      </c>
      <c r="AK65" s="185">
        <f ca="1">AJ65</f>
        <v>112.75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8"/>
        <v>3</v>
      </c>
      <c r="AT65" s="18"/>
      <c r="AU65" s="18">
        <f ca="1">IFERROR(OFFSET(ITEM_RES!$A$1,MATCH(AV65,ITEM_RES!$J:$J,0)-1,0),0)</f>
        <v>211010501</v>
      </c>
      <c r="AV65" s="17" t="s">
        <v>434</v>
      </c>
      <c r="AW65" s="18">
        <v>25</v>
      </c>
      <c r="AX65" s="17"/>
      <c r="AY65" s="18"/>
      <c r="AZ65" s="18">
        <f ca="1">IFERROR(OFFSET(ITEM_RES!$A$1,MATCH(BA65,ITEM_RES!$J:$J,0)-1,0),0)</f>
        <v>211020801</v>
      </c>
      <c r="BA65" s="17" t="s">
        <v>444</v>
      </c>
      <c r="BB65" s="18">
        <v>25</v>
      </c>
      <c r="BC65" s="17"/>
      <c r="BD65" s="18"/>
      <c r="BE65" s="18">
        <f ca="1">IFERROR(OFFSET(ITEM_RES!$A$1,MATCH(BF65,ITEM_RES!$J:$J,0)-1,0),0)</f>
        <v>213010101</v>
      </c>
      <c r="BF65" s="17" t="s">
        <v>463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447</v>
      </c>
      <c r="M66" s="9" t="s">
        <v>962</v>
      </c>
      <c r="N66" s="9" t="s">
        <v>983</v>
      </c>
      <c r="O66" s="9">
        <v>1</v>
      </c>
      <c r="P66" s="9">
        <v>15</v>
      </c>
      <c r="U66" s="9" t="s">
        <v>717</v>
      </c>
      <c r="X66" s="9">
        <f ca="1">IFERROR(OFFSET(ITEM_RES!$A$5,MATCH(BUILDING!W66,ITEM_RES!$J$5:$J$226,0)-1,0),0)</f>
        <v>0</v>
      </c>
      <c r="Z66" s="85" t="s">
        <v>552</v>
      </c>
      <c r="AA66" s="9">
        <f ca="1">IFERROR(OFFSET(ITEM_RES!$A$5,MATCH(BUILDING!Z66,ITEM_RES!$J$5:$J$226,0)-1,0),0)</f>
        <v>211020101</v>
      </c>
      <c r="AC66" s="9" t="s">
        <v>522</v>
      </c>
      <c r="AD66" s="9">
        <v>2</v>
      </c>
      <c r="AF66" s="9">
        <v>800</v>
      </c>
      <c r="AI66" s="56">
        <f t="shared" ca="1" si="9"/>
        <v>26</v>
      </c>
      <c r="AJ66" s="10">
        <f ca="1">AO66+AQ66+(IFERROR(OFFSET(ITEM_RES!$T$1,MATCH(AU66,ITEM_RES!$A:$A,0)-1,0),0)*AW66+IFERROR(OFFSET(ITEM_RES!$T$1,MATCH(AZ66,ITEM_RES!$A:$A,0)-1,0),0)*BB66+IFERROR(OFFSET(ITEM_RES!$T$1,MATCH(BE66,ITEM_RES!$A:$A,0)-1,0),0)*BG66+IFERROR(OFFSET(ITEM_RES!$T$1,MATCH(BJ66,ITEM_RES!$A:$A,0)-1,0),0)*BL66+IFERROR(OFFSET(ITEM_RES!$T$1,MATCH(BO66,ITEM_RES!$A:$A,0)-1,0),0)*BQ66)/1000</f>
        <v>25.5</v>
      </c>
      <c r="AK66" s="183">
        <f t="shared" ref="AK66:AK84" ca="1" si="17">AJ65+AJ66</f>
        <v>138.25</v>
      </c>
      <c r="AM66" s="11">
        <f t="shared" si="4"/>
        <v>10</v>
      </c>
      <c r="AN66" s="10">
        <v>10</v>
      </c>
      <c r="AO66" s="11">
        <f t="shared" ref="AO66" si="18">ROUND(AP66,0)</f>
        <v>10</v>
      </c>
      <c r="AP66" s="10">
        <v>10</v>
      </c>
      <c r="AQ66" s="11">
        <f t="shared" ref="AQ66" si="19">ROUND(AR66,0)</f>
        <v>10</v>
      </c>
      <c r="AR66" s="10">
        <v>10</v>
      </c>
      <c r="AS66" s="56">
        <f t="shared" si="8"/>
        <v>2</v>
      </c>
      <c r="AU66" s="11">
        <f ca="1">IFERROR(OFFSET(ITEM_RES!$A$1,MATCH(AV66,ITEM_RES!$J:$J,0)-1,0),0)</f>
        <v>211010501</v>
      </c>
      <c r="AV66" s="10" t="s">
        <v>436</v>
      </c>
      <c r="AW66" s="11">
        <v>50</v>
      </c>
      <c r="AZ66" s="11">
        <f ca="1">IFERROR(OFFSET(ITEM_RES!$A$1,MATCH(BA66,ITEM_RES!$J:$J,0)-1,0),0)</f>
        <v>211020801</v>
      </c>
      <c r="BA66" s="10" t="s">
        <v>444</v>
      </c>
      <c r="BB66" s="11">
        <v>50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447</v>
      </c>
      <c r="M67" s="9" t="s">
        <v>962</v>
      </c>
      <c r="N67" s="9" t="s">
        <v>983</v>
      </c>
      <c r="O67" s="9">
        <v>1</v>
      </c>
      <c r="P67" s="9">
        <v>15</v>
      </c>
      <c r="U67" s="9" t="s">
        <v>717</v>
      </c>
      <c r="X67" s="9">
        <f ca="1">IFERROR(OFFSET(ITEM_RES!$A$5,MATCH(BUILDING!W67,ITEM_RES!$J$5:$J$226,0)-1,0),0)</f>
        <v>0</v>
      </c>
      <c r="Z67" s="85" t="s">
        <v>552</v>
      </c>
      <c r="AA67" s="9">
        <f ca="1">IFERROR(OFFSET(ITEM_RES!$A$5,MATCH(BUILDING!Z67,ITEM_RES!$J$5:$J$226,0)-1,0),0)</f>
        <v>211020101</v>
      </c>
      <c r="AC67" s="9" t="s">
        <v>522</v>
      </c>
      <c r="AD67" s="9">
        <v>3</v>
      </c>
      <c r="AF67" s="9">
        <v>1200</v>
      </c>
      <c r="AI67" s="56">
        <f t="shared" ca="1" si="9"/>
        <v>38</v>
      </c>
      <c r="AJ67" s="10">
        <f ca="1">AO67+AQ67+(IFERROR(OFFSET(ITEM_RES!$T$1,MATCH(AU67,ITEM_RES!$A:$A,0)-1,0),0)*AW67+IFERROR(OFFSET(ITEM_RES!$T$1,MATCH(AZ67,ITEM_RES!$A:$A,0)-1,0),0)*BB67+IFERROR(OFFSET(ITEM_RES!$T$1,MATCH(BE67,ITEM_RES!$A:$A,0)-1,0),0)*BG67+IFERROR(OFFSET(ITEM_RES!$T$1,MATCH(BJ67,ITEM_RES!$A:$A,0)-1,0),0)*BL67+IFERROR(OFFSET(ITEM_RES!$T$1,MATCH(BO67,ITEM_RES!$A:$A,0)-1,0),0)*BQ67)/1000</f>
        <v>38.25</v>
      </c>
      <c r="AK67" s="183">
        <f t="shared" ca="1" si="17"/>
        <v>63.75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8"/>
        <v>2</v>
      </c>
      <c r="AU67" s="11">
        <f ca="1">IFERROR(OFFSET(ITEM_RES!$A$1,MATCH(AV67,ITEM_RES!$J:$J,0)-1,0),0)</f>
        <v>211010501</v>
      </c>
      <c r="AV67" s="10" t="s">
        <v>436</v>
      </c>
      <c r="AW67" s="11">
        <v>75</v>
      </c>
      <c r="AZ67" s="11">
        <f ca="1">IFERROR(OFFSET(ITEM_RES!$A$1,MATCH(BA67,ITEM_RES!$J:$J,0)-1,0),0)</f>
        <v>211020801</v>
      </c>
      <c r="BA67" s="10" t="s">
        <v>444</v>
      </c>
      <c r="BB67" s="11">
        <v>75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447</v>
      </c>
      <c r="M68" s="9" t="s">
        <v>962</v>
      </c>
      <c r="N68" s="9" t="s">
        <v>983</v>
      </c>
      <c r="O68" s="9">
        <v>1</v>
      </c>
      <c r="P68" s="9">
        <v>15</v>
      </c>
      <c r="U68" s="9" t="s">
        <v>717</v>
      </c>
      <c r="X68" s="9">
        <f ca="1">IFERROR(OFFSET(ITEM_RES!$A$5,MATCH(BUILDING!W68,ITEM_RES!$J$5:$J$226,0)-1,0),0)</f>
        <v>0</v>
      </c>
      <c r="Z68" s="85" t="s">
        <v>552</v>
      </c>
      <c r="AA68" s="9">
        <f ca="1">IFERROR(OFFSET(ITEM_RES!$A$5,MATCH(BUILDING!Z68,ITEM_RES!$J$5:$J$226,0)-1,0),0)</f>
        <v>211020101</v>
      </c>
      <c r="AC68" s="9" t="s">
        <v>522</v>
      </c>
      <c r="AD68" s="9">
        <v>4</v>
      </c>
      <c r="AF68" s="9">
        <v>2000</v>
      </c>
      <c r="AI68" s="56">
        <f t="shared" ca="1" si="9"/>
        <v>64</v>
      </c>
      <c r="AJ68" s="10">
        <f ca="1">AO68+AQ68+(IFERROR(OFFSET(ITEM_RES!$T$1,MATCH(AU68,ITEM_RES!$A:$A,0)-1,0),0)*AW68+IFERROR(OFFSET(ITEM_RES!$T$1,MATCH(AZ68,ITEM_RES!$A:$A,0)-1,0),0)*BB68+IFERROR(OFFSET(ITEM_RES!$T$1,MATCH(BE68,ITEM_RES!$A:$A,0)-1,0),0)*BG68+IFERROR(OFFSET(ITEM_RES!$T$1,MATCH(BJ68,ITEM_RES!$A:$A,0)-1,0),0)*BL68+IFERROR(OFFSET(ITEM_RES!$T$1,MATCH(BO68,ITEM_RES!$A:$A,0)-1,0),0)*BQ68)/1000</f>
        <v>63.75</v>
      </c>
      <c r="AK68" s="183">
        <f t="shared" ca="1" si="17"/>
        <v>102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8"/>
        <v>2</v>
      </c>
      <c r="AU68" s="11">
        <f ca="1">IFERROR(OFFSET(ITEM_RES!$A$1,MATCH(AV68,ITEM_RES!$J:$J,0)-1,0),0)</f>
        <v>211010501</v>
      </c>
      <c r="AV68" s="10" t="s">
        <v>436</v>
      </c>
      <c r="AW68" s="11">
        <v>125</v>
      </c>
      <c r="AZ68" s="11">
        <f ca="1">IFERROR(OFFSET(ITEM_RES!$A$1,MATCH(BA68,ITEM_RES!$J:$J,0)-1,0),0)</f>
        <v>211020801</v>
      </c>
      <c r="BA68" s="10" t="s">
        <v>444</v>
      </c>
      <c r="BB68" s="11">
        <v>125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447</v>
      </c>
      <c r="M69" s="9" t="s">
        <v>962</v>
      </c>
      <c r="N69" s="9" t="s">
        <v>983</v>
      </c>
      <c r="O69" s="9">
        <v>1</v>
      </c>
      <c r="P69" s="9">
        <v>15</v>
      </c>
      <c r="U69" s="9" t="s">
        <v>717</v>
      </c>
      <c r="X69" s="9">
        <f ca="1">IFERROR(OFFSET(ITEM_RES!$A$5,MATCH(BUILDING!W69,ITEM_RES!$J$5:$J$226,0)-1,0),0)</f>
        <v>0</v>
      </c>
      <c r="Z69" s="85" t="s">
        <v>552</v>
      </c>
      <c r="AA69" s="9">
        <f ca="1">IFERROR(OFFSET(ITEM_RES!$A$5,MATCH(BUILDING!Z69,ITEM_RES!$J$5:$J$226,0)-1,0),0)</f>
        <v>211020101</v>
      </c>
      <c r="AC69" s="9" t="s">
        <v>522</v>
      </c>
      <c r="AD69" s="9">
        <v>5</v>
      </c>
      <c r="AF69" s="9">
        <v>3200</v>
      </c>
      <c r="AI69" s="56">
        <f t="shared" ca="1" si="9"/>
        <v>102</v>
      </c>
      <c r="AJ69" s="10">
        <f ca="1">AO69+AQ69+(IFERROR(OFFSET(ITEM_RES!$T$1,MATCH(AU69,ITEM_RES!$A:$A,0)-1,0),0)*AW69+IFERROR(OFFSET(ITEM_RES!$T$1,MATCH(AZ69,ITEM_RES!$A:$A,0)-1,0),0)*BB69+IFERROR(OFFSET(ITEM_RES!$T$1,MATCH(BE69,ITEM_RES!$A:$A,0)-1,0),0)*BG69+IFERROR(OFFSET(ITEM_RES!$T$1,MATCH(BJ69,ITEM_RES!$A:$A,0)-1,0),0)*BL69+IFERROR(OFFSET(ITEM_RES!$T$1,MATCH(BO69,ITEM_RES!$A:$A,0)-1,0),0)*BQ69)/1000</f>
        <v>102</v>
      </c>
      <c r="AK69" s="183">
        <f t="shared" ca="1" si="17"/>
        <v>165.75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8"/>
        <v>2</v>
      </c>
      <c r="AU69" s="11">
        <f ca="1">IFERROR(OFFSET(ITEM_RES!$A$1,MATCH(AV69,ITEM_RES!$J:$J,0)-1,0),0)</f>
        <v>211010501</v>
      </c>
      <c r="AV69" s="10" t="s">
        <v>436</v>
      </c>
      <c r="AW69" s="11">
        <v>200</v>
      </c>
      <c r="AZ69" s="11">
        <f ca="1">IFERROR(OFFSET(ITEM_RES!$A$1,MATCH(BA69,ITEM_RES!$J:$J,0)-1,0),0)</f>
        <v>211020801</v>
      </c>
      <c r="BA69" s="10" t="s">
        <v>444</v>
      </c>
      <c r="BB69" s="11">
        <v>200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447</v>
      </c>
      <c r="M70" s="9" t="s">
        <v>962</v>
      </c>
      <c r="N70" s="9" t="s">
        <v>983</v>
      </c>
      <c r="O70" s="9">
        <v>1</v>
      </c>
      <c r="P70" s="9">
        <v>15</v>
      </c>
      <c r="U70" s="9" t="s">
        <v>717</v>
      </c>
      <c r="X70" s="9">
        <f ca="1">IFERROR(OFFSET(ITEM_RES!$A$5,MATCH(BUILDING!W70,ITEM_RES!$J$5:$J$226,0)-1,0),0)</f>
        <v>0</v>
      </c>
      <c r="Z70" s="85" t="s">
        <v>552</v>
      </c>
      <c r="AA70" s="9">
        <f ca="1">IFERROR(OFFSET(ITEM_RES!$A$5,MATCH(BUILDING!Z70,ITEM_RES!$J$5:$J$226,0)-1,0),0)</f>
        <v>211020101</v>
      </c>
      <c r="AC70" s="9" t="s">
        <v>522</v>
      </c>
      <c r="AD70" s="9">
        <v>6</v>
      </c>
      <c r="AF70" s="9">
        <v>4000</v>
      </c>
      <c r="AI70" s="56">
        <f t="shared" ca="1" si="9"/>
        <v>128</v>
      </c>
      <c r="AJ70" s="10">
        <f ca="1">AO70+AQ70+(IFERROR(OFFSET(ITEM_RES!$T$1,MATCH(AU70,ITEM_RES!$A:$A,0)-1,0),0)*AW70+IFERROR(OFFSET(ITEM_RES!$T$1,MATCH(AZ70,ITEM_RES!$A:$A,0)-1,0),0)*BB70+IFERROR(OFFSET(ITEM_RES!$T$1,MATCH(BE70,ITEM_RES!$A:$A,0)-1,0),0)*BG70+IFERROR(OFFSET(ITEM_RES!$T$1,MATCH(BJ70,ITEM_RES!$A:$A,0)-1,0),0)*BL70+IFERROR(OFFSET(ITEM_RES!$T$1,MATCH(BO70,ITEM_RES!$A:$A,0)-1,0),0)*BQ70)/1000</f>
        <v>127.5</v>
      </c>
      <c r="AK70" s="183">
        <f t="shared" ca="1" si="17"/>
        <v>229.5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436</v>
      </c>
      <c r="AW70" s="11">
        <v>250</v>
      </c>
      <c r="AZ70" s="11">
        <f ca="1">IFERROR(OFFSET(ITEM_RES!$A$1,MATCH(BA70,ITEM_RES!$J:$J,0)-1,0),0)</f>
        <v>211020801</v>
      </c>
      <c r="BA70" s="10" t="s">
        <v>444</v>
      </c>
      <c r="BB70" s="11">
        <v>250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447</v>
      </c>
      <c r="M71" s="9" t="s">
        <v>962</v>
      </c>
      <c r="N71" s="9" t="s">
        <v>983</v>
      </c>
      <c r="O71" s="9">
        <v>1</v>
      </c>
      <c r="P71" s="9">
        <v>15</v>
      </c>
      <c r="U71" s="9" t="s">
        <v>717</v>
      </c>
      <c r="X71" s="9">
        <f ca="1">IFERROR(OFFSET(ITEM_RES!$A$5,MATCH(BUILDING!W71,ITEM_RES!$J$5:$J$226,0)-1,0),0)</f>
        <v>0</v>
      </c>
      <c r="Z71" s="85" t="s">
        <v>552</v>
      </c>
      <c r="AA71" s="9">
        <f ca="1">IFERROR(OFFSET(ITEM_RES!$A$5,MATCH(BUILDING!Z71,ITEM_RES!$J$5:$J$226,0)-1,0),0)</f>
        <v>211020101</v>
      </c>
      <c r="AC71" s="9" t="s">
        <v>522</v>
      </c>
      <c r="AD71" s="9">
        <v>7</v>
      </c>
      <c r="AF71" s="9">
        <v>8000</v>
      </c>
      <c r="AI71" s="56">
        <f t="shared" ca="1" si="9"/>
        <v>255</v>
      </c>
      <c r="AJ71" s="10">
        <f ca="1">AO71+AQ71+(IFERROR(OFFSET(ITEM_RES!$T$1,MATCH(AU71,ITEM_RES!$A:$A,0)-1,0),0)*AW71+IFERROR(OFFSET(ITEM_RES!$T$1,MATCH(AZ71,ITEM_RES!$A:$A,0)-1,0),0)*BB71+IFERROR(OFFSET(ITEM_RES!$T$1,MATCH(BE71,ITEM_RES!$A:$A,0)-1,0),0)*BG71+IFERROR(OFFSET(ITEM_RES!$T$1,MATCH(BJ71,ITEM_RES!$A:$A,0)-1,0),0)*BL71+IFERROR(OFFSET(ITEM_RES!$T$1,MATCH(BO71,ITEM_RES!$A:$A,0)-1,0),0)*BQ71)/1000</f>
        <v>255</v>
      </c>
      <c r="AK71" s="183">
        <f t="shared" ca="1" si="17"/>
        <v>382.5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436</v>
      </c>
      <c r="AW71" s="11">
        <v>500</v>
      </c>
      <c r="AZ71" s="11">
        <f ca="1">IFERROR(OFFSET(ITEM_RES!$A$1,MATCH(BA71,ITEM_RES!$J:$J,0)-1,0),0)</f>
        <v>211020801</v>
      </c>
      <c r="BA71" s="10" t="s">
        <v>444</v>
      </c>
      <c r="BB71" s="11">
        <v>500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447</v>
      </c>
      <c r="M72" s="9" t="s">
        <v>962</v>
      </c>
      <c r="N72" s="9" t="s">
        <v>983</v>
      </c>
      <c r="O72" s="9">
        <v>1</v>
      </c>
      <c r="P72" s="9">
        <v>15</v>
      </c>
      <c r="U72" s="9" t="s">
        <v>717</v>
      </c>
      <c r="X72" s="9">
        <f ca="1">IFERROR(OFFSET(ITEM_RES!$A$5,MATCH(BUILDING!W72,ITEM_RES!$J$5:$J$226,0)-1,0),0)</f>
        <v>0</v>
      </c>
      <c r="Z72" s="85" t="s">
        <v>552</v>
      </c>
      <c r="AA72" s="9">
        <f ca="1">IFERROR(OFFSET(ITEM_RES!$A$5,MATCH(BUILDING!Z72,ITEM_RES!$J$5:$J$226,0)-1,0),0)</f>
        <v>211020101</v>
      </c>
      <c r="AC72" s="9" t="s">
        <v>522</v>
      </c>
      <c r="AD72" s="9">
        <v>8</v>
      </c>
      <c r="AF72" s="9">
        <v>8000</v>
      </c>
      <c r="AI72" s="56">
        <f t="shared" ca="1" si="9"/>
        <v>255</v>
      </c>
      <c r="AJ72" s="10">
        <f ca="1">AO72+AQ72+(IFERROR(OFFSET(ITEM_RES!$T$1,MATCH(AU72,ITEM_RES!$A:$A,0)-1,0),0)*AW72+IFERROR(OFFSET(ITEM_RES!$T$1,MATCH(AZ72,ITEM_RES!$A:$A,0)-1,0),0)*BB72+IFERROR(OFFSET(ITEM_RES!$T$1,MATCH(BE72,ITEM_RES!$A:$A,0)-1,0),0)*BG72+IFERROR(OFFSET(ITEM_RES!$T$1,MATCH(BJ72,ITEM_RES!$A:$A,0)-1,0),0)*BL72+IFERROR(OFFSET(ITEM_RES!$T$1,MATCH(BO72,ITEM_RES!$A:$A,0)-1,0),0)*BQ72)/1000</f>
        <v>255</v>
      </c>
      <c r="AK72" s="183">
        <f t="shared" ca="1" si="17"/>
        <v>510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436</v>
      </c>
      <c r="AW72" s="11">
        <v>500</v>
      </c>
      <c r="AZ72" s="11">
        <f ca="1">IFERROR(OFFSET(ITEM_RES!$A$1,MATCH(BA72,ITEM_RES!$J:$J,0)-1,0),0)</f>
        <v>211020801</v>
      </c>
      <c r="BA72" s="10" t="s">
        <v>444</v>
      </c>
      <c r="BB72" s="11">
        <v>500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447</v>
      </c>
      <c r="M73" s="9" t="s">
        <v>962</v>
      </c>
      <c r="N73" s="9" t="s">
        <v>983</v>
      </c>
      <c r="O73" s="9">
        <v>1</v>
      </c>
      <c r="P73" s="9">
        <v>15</v>
      </c>
      <c r="U73" s="9" t="s">
        <v>717</v>
      </c>
      <c r="X73" s="9">
        <f ca="1">IFERROR(OFFSET(ITEM_RES!$A$5,MATCH(BUILDING!W73,ITEM_RES!$J$5:$J$226,0)-1,0),0)</f>
        <v>0</v>
      </c>
      <c r="Z73" s="85" t="s">
        <v>552</v>
      </c>
      <c r="AA73" s="9">
        <f ca="1">IFERROR(OFFSET(ITEM_RES!$A$5,MATCH(BUILDING!Z73,ITEM_RES!$J$5:$J$226,0)-1,0),0)</f>
        <v>211020101</v>
      </c>
      <c r="AC73" s="9" t="s">
        <v>522</v>
      </c>
      <c r="AD73" s="9">
        <v>9</v>
      </c>
      <c r="AF73" s="9">
        <v>12000</v>
      </c>
      <c r="AI73" s="56">
        <f t="shared" ca="1" si="9"/>
        <v>383</v>
      </c>
      <c r="AJ73" s="10">
        <f ca="1">AO73+AQ73+(IFERROR(OFFSET(ITEM_RES!$T$1,MATCH(AU73,ITEM_RES!$A:$A,0)-1,0),0)*AW73+IFERROR(OFFSET(ITEM_RES!$T$1,MATCH(AZ73,ITEM_RES!$A:$A,0)-1,0),0)*BB73+IFERROR(OFFSET(ITEM_RES!$T$1,MATCH(BE73,ITEM_RES!$A:$A,0)-1,0),0)*BG73+IFERROR(OFFSET(ITEM_RES!$T$1,MATCH(BJ73,ITEM_RES!$A:$A,0)-1,0),0)*BL73+IFERROR(OFFSET(ITEM_RES!$T$1,MATCH(BO73,ITEM_RES!$A:$A,0)-1,0),0)*BQ73)/1000</f>
        <v>382.5</v>
      </c>
      <c r="AK73" s="183">
        <f t="shared" ca="1" si="17"/>
        <v>637.5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436</v>
      </c>
      <c r="AW73" s="11">
        <v>750</v>
      </c>
      <c r="AZ73" s="11">
        <f ca="1">IFERROR(OFFSET(ITEM_RES!$A$1,MATCH(BA73,ITEM_RES!$J:$J,0)-1,0),0)</f>
        <v>211020801</v>
      </c>
      <c r="BA73" s="10" t="s">
        <v>444</v>
      </c>
      <c r="BB73" s="11">
        <v>750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447</v>
      </c>
      <c r="M74" s="9" t="s">
        <v>962</v>
      </c>
      <c r="N74" s="9" t="s">
        <v>983</v>
      </c>
      <c r="O74" s="9">
        <v>1</v>
      </c>
      <c r="P74" s="9">
        <v>15</v>
      </c>
      <c r="U74" s="9" t="s">
        <v>717</v>
      </c>
      <c r="X74" s="9">
        <f ca="1">IFERROR(OFFSET(ITEM_RES!$A$5,MATCH(BUILDING!W74,ITEM_RES!$J$5:$J$226,0)-1,0),0)</f>
        <v>0</v>
      </c>
      <c r="Z74" s="85" t="s">
        <v>552</v>
      </c>
      <c r="AA74" s="9">
        <f ca="1">IFERROR(OFFSET(ITEM_RES!$A$5,MATCH(BUILDING!Z74,ITEM_RES!$J$5:$J$226,0)-1,0),0)</f>
        <v>211020101</v>
      </c>
      <c r="AC74" s="9" t="s">
        <v>522</v>
      </c>
      <c r="AD74" s="9">
        <v>10</v>
      </c>
      <c r="AF74" s="9">
        <v>16000</v>
      </c>
      <c r="AI74" s="56">
        <f t="shared" ca="1" si="9"/>
        <v>510</v>
      </c>
      <c r="AJ74" s="10">
        <f ca="1">AO74+AQ74+(IFERROR(OFFSET(ITEM_RES!$T$1,MATCH(AU74,ITEM_RES!$A:$A,0)-1,0),0)*AW74+IFERROR(OFFSET(ITEM_RES!$T$1,MATCH(AZ74,ITEM_RES!$A:$A,0)-1,0),0)*BB74+IFERROR(OFFSET(ITEM_RES!$T$1,MATCH(BE74,ITEM_RES!$A:$A,0)-1,0),0)*BG74+IFERROR(OFFSET(ITEM_RES!$T$1,MATCH(BJ74,ITEM_RES!$A:$A,0)-1,0),0)*BL74+IFERROR(OFFSET(ITEM_RES!$T$1,MATCH(BO74,ITEM_RES!$A:$A,0)-1,0),0)*BQ74)/1000</f>
        <v>510</v>
      </c>
      <c r="AK74" s="183">
        <f t="shared" ca="1" si="17"/>
        <v>892.5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436</v>
      </c>
      <c r="AW74" s="11">
        <v>1000</v>
      </c>
      <c r="AZ74" s="11">
        <f ca="1">IFERROR(OFFSET(ITEM_RES!$A$1,MATCH(BA74,ITEM_RES!$J:$J,0)-1,0),0)</f>
        <v>211020801</v>
      </c>
      <c r="BA74" s="10" t="s">
        <v>444</v>
      </c>
      <c r="BB74" s="11">
        <v>1000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447</v>
      </c>
      <c r="M75" s="9" t="s">
        <v>962</v>
      </c>
      <c r="N75" s="9" t="s">
        <v>983</v>
      </c>
      <c r="O75" s="9">
        <v>1</v>
      </c>
      <c r="P75" s="9">
        <v>15</v>
      </c>
      <c r="U75" s="9" t="s">
        <v>717</v>
      </c>
      <c r="X75" s="9">
        <f ca="1">IFERROR(OFFSET(ITEM_RES!$A$5,MATCH(BUILDING!W75,ITEM_RES!$J$5:$J$226,0)-1,0),0)</f>
        <v>0</v>
      </c>
      <c r="Z75" s="85" t="s">
        <v>552</v>
      </c>
      <c r="AA75" s="9">
        <f ca="1">IFERROR(OFFSET(ITEM_RES!$A$5,MATCH(BUILDING!Z75,ITEM_RES!$J$5:$J$226,0)-1,0),0)</f>
        <v>211020101</v>
      </c>
      <c r="AC75" s="9" t="s">
        <v>522</v>
      </c>
      <c r="AD75" s="9">
        <v>11</v>
      </c>
      <c r="AF75" s="9">
        <v>20000</v>
      </c>
      <c r="AI75" s="56">
        <f t="shared" ca="1" si="9"/>
        <v>738</v>
      </c>
      <c r="AJ75" s="10">
        <f ca="1">AO75+AQ75+(IFERROR(OFFSET(ITEM_RES!$T$1,MATCH(AU75,ITEM_RES!$A:$A,0)-1,0),0)*AW75+IFERROR(OFFSET(ITEM_RES!$T$1,MATCH(AZ75,ITEM_RES!$A:$A,0)-1,0),0)*BB75+IFERROR(OFFSET(ITEM_RES!$T$1,MATCH(BE75,ITEM_RES!$A:$A,0)-1,0),0)*BG75+IFERROR(OFFSET(ITEM_RES!$T$1,MATCH(BJ75,ITEM_RES!$A:$A,0)-1,0),0)*BL75+IFERROR(OFFSET(ITEM_RES!$T$1,MATCH(BO75,ITEM_RES!$A:$A,0)-1,0),0)*BQ75)/1000</f>
        <v>737.5</v>
      </c>
      <c r="AK75" s="183">
        <f t="shared" ca="1" si="17"/>
        <v>1247.5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436</v>
      </c>
      <c r="AW75" s="11">
        <v>1250</v>
      </c>
      <c r="AZ75" s="11">
        <f ca="1">IFERROR(OFFSET(ITEM_RES!$A$1,MATCH(BA75,ITEM_RES!$J:$J,0)-1,0),0)</f>
        <v>211020801</v>
      </c>
      <c r="BA75" s="10" t="s">
        <v>444</v>
      </c>
      <c r="BB75" s="11">
        <v>1250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471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447</v>
      </c>
      <c r="M76" s="9" t="s">
        <v>962</v>
      </c>
      <c r="N76" s="9" t="s">
        <v>983</v>
      </c>
      <c r="O76" s="9">
        <v>1</v>
      </c>
      <c r="P76" s="9">
        <v>15</v>
      </c>
      <c r="U76" s="9" t="s">
        <v>717</v>
      </c>
      <c r="X76" s="9">
        <f ca="1">IFERROR(OFFSET(ITEM_RES!$A$5,MATCH(BUILDING!W76,ITEM_RES!$J$5:$J$226,0)-1,0),0)</f>
        <v>0</v>
      </c>
      <c r="Z76" s="85" t="s">
        <v>552</v>
      </c>
      <c r="AA76" s="9">
        <f ca="1">IFERROR(OFFSET(ITEM_RES!$A$5,MATCH(BUILDING!Z76,ITEM_RES!$J$5:$J$226,0)-1,0),0)</f>
        <v>211020101</v>
      </c>
      <c r="AC76" s="9" t="s">
        <v>522</v>
      </c>
      <c r="AD76" s="9">
        <v>12</v>
      </c>
      <c r="AF76" s="9">
        <v>24000</v>
      </c>
      <c r="AI76" s="56">
        <f t="shared" ca="1" si="9"/>
        <v>765</v>
      </c>
      <c r="AJ76" s="10">
        <f ca="1">AO76+AQ76+(IFERROR(OFFSET(ITEM_RES!$T$1,MATCH(AU76,ITEM_RES!$A:$A,0)-1,0),0)*AW76+IFERROR(OFFSET(ITEM_RES!$T$1,MATCH(AZ76,ITEM_RES!$A:$A,0)-1,0),0)*BB76+IFERROR(OFFSET(ITEM_RES!$T$1,MATCH(BE76,ITEM_RES!$A:$A,0)-1,0),0)*BG76+IFERROR(OFFSET(ITEM_RES!$T$1,MATCH(BJ76,ITEM_RES!$A:$A,0)-1,0),0)*BL76+IFERROR(OFFSET(ITEM_RES!$T$1,MATCH(BO76,ITEM_RES!$A:$A,0)-1,0),0)*BQ76)/1000</f>
        <v>765</v>
      </c>
      <c r="AK76" s="183">
        <f t="shared" ca="1" si="17"/>
        <v>1502.5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436</v>
      </c>
      <c r="AW76" s="11">
        <v>1500</v>
      </c>
      <c r="AZ76" s="11">
        <f ca="1">IFERROR(OFFSET(ITEM_RES!$A$1,MATCH(BA76,ITEM_RES!$J:$J,0)-1,0),0)</f>
        <v>211020801</v>
      </c>
      <c r="BA76" s="10" t="s">
        <v>444</v>
      </c>
      <c r="BB76" s="11">
        <v>1500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447</v>
      </c>
      <c r="M77" s="9" t="s">
        <v>962</v>
      </c>
      <c r="N77" s="9" t="s">
        <v>983</v>
      </c>
      <c r="O77" s="9">
        <v>1</v>
      </c>
      <c r="P77" s="9">
        <v>15</v>
      </c>
      <c r="U77" s="9" t="s">
        <v>717</v>
      </c>
      <c r="X77" s="9">
        <f ca="1">IFERROR(OFFSET(ITEM_RES!$A$5,MATCH(BUILDING!W77,ITEM_RES!$J$5:$J$226,0)-1,0),0)</f>
        <v>0</v>
      </c>
      <c r="Z77" s="85" t="s">
        <v>552</v>
      </c>
      <c r="AA77" s="9">
        <f ca="1">IFERROR(OFFSET(ITEM_RES!$A$5,MATCH(BUILDING!Z77,ITEM_RES!$J$5:$J$226,0)-1,0),0)</f>
        <v>211020101</v>
      </c>
      <c r="AC77" s="9" t="s">
        <v>522</v>
      </c>
      <c r="AD77" s="9">
        <v>13</v>
      </c>
      <c r="AF77" s="9">
        <v>28000</v>
      </c>
      <c r="AI77" s="56">
        <f t="shared" ca="1" si="9"/>
        <v>893</v>
      </c>
      <c r="AJ77" s="10">
        <f ca="1">AO77+AQ77+(IFERROR(OFFSET(ITEM_RES!$T$1,MATCH(AU77,ITEM_RES!$A:$A,0)-1,0),0)*AW77+IFERROR(OFFSET(ITEM_RES!$T$1,MATCH(AZ77,ITEM_RES!$A:$A,0)-1,0),0)*BB77+IFERROR(OFFSET(ITEM_RES!$T$1,MATCH(BE77,ITEM_RES!$A:$A,0)-1,0),0)*BG77+IFERROR(OFFSET(ITEM_RES!$T$1,MATCH(BJ77,ITEM_RES!$A:$A,0)-1,0),0)*BL77+IFERROR(OFFSET(ITEM_RES!$T$1,MATCH(BO77,ITEM_RES!$A:$A,0)-1,0),0)*BQ77)/1000</f>
        <v>892.5</v>
      </c>
      <c r="AK77" s="183">
        <f t="shared" ca="1" si="17"/>
        <v>1657.5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436</v>
      </c>
      <c r="AW77" s="11">
        <v>1750</v>
      </c>
      <c r="AZ77" s="11">
        <f ca="1">IFERROR(OFFSET(ITEM_RES!$A$1,MATCH(BA77,ITEM_RES!$J:$J,0)-1,0),0)</f>
        <v>211020801</v>
      </c>
      <c r="BA77" s="10" t="s">
        <v>444</v>
      </c>
      <c r="BB77" s="11">
        <v>1750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447</v>
      </c>
      <c r="M78" s="9" t="s">
        <v>962</v>
      </c>
      <c r="N78" s="9" t="s">
        <v>983</v>
      </c>
      <c r="O78" s="9">
        <v>1</v>
      </c>
      <c r="P78" s="9">
        <v>15</v>
      </c>
      <c r="U78" s="9" t="s">
        <v>717</v>
      </c>
      <c r="X78" s="9">
        <f ca="1">IFERROR(OFFSET(ITEM_RES!$A$5,MATCH(BUILDING!W78,ITEM_RES!$J$5:$J$226,0)-1,0),0)</f>
        <v>0</v>
      </c>
      <c r="Z78" s="85" t="s">
        <v>552</v>
      </c>
      <c r="AA78" s="9">
        <f ca="1">IFERROR(OFFSET(ITEM_RES!$A$5,MATCH(BUILDING!Z78,ITEM_RES!$J$5:$J$226,0)-1,0),0)</f>
        <v>211020101</v>
      </c>
      <c r="AC78" s="9" t="s">
        <v>522</v>
      </c>
      <c r="AD78" s="9">
        <v>14</v>
      </c>
      <c r="AF78" s="9">
        <v>36000</v>
      </c>
      <c r="AI78" s="56">
        <f t="shared" ca="1" si="9"/>
        <v>1373</v>
      </c>
      <c r="AJ78" s="10">
        <f ca="1">AO78+AQ78+(IFERROR(OFFSET(ITEM_RES!$T$1,MATCH(AU78,ITEM_RES!$A:$A,0)-1,0),0)*AW78+IFERROR(OFFSET(ITEM_RES!$T$1,MATCH(AZ78,ITEM_RES!$A:$A,0)-1,0),0)*BB78+IFERROR(OFFSET(ITEM_RES!$T$1,MATCH(BE78,ITEM_RES!$A:$A,0)-1,0),0)*BG78+IFERROR(OFFSET(ITEM_RES!$T$1,MATCH(BJ78,ITEM_RES!$A:$A,0)-1,0),0)*BL78+IFERROR(OFFSET(ITEM_RES!$T$1,MATCH(BO78,ITEM_RES!$A:$A,0)-1,0),0)*BQ78)/1000</f>
        <v>1372.5</v>
      </c>
      <c r="AK78" s="183">
        <f t="shared" ca="1" si="17"/>
        <v>2265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211010501</v>
      </c>
      <c r="AV78" s="10" t="s">
        <v>436</v>
      </c>
      <c r="AW78" s="11">
        <v>2250</v>
      </c>
      <c r="AZ78" s="11">
        <f ca="1">IFERROR(OFFSET(ITEM_RES!$A$1,MATCH(BA78,ITEM_RES!$J:$J,0)-1,0),0)</f>
        <v>211020901</v>
      </c>
      <c r="BA78" s="10" t="s">
        <v>454</v>
      </c>
      <c r="BB78" s="11">
        <v>2250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447</v>
      </c>
      <c r="M79" s="9" t="s">
        <v>962</v>
      </c>
      <c r="N79" s="9" t="s">
        <v>983</v>
      </c>
      <c r="O79" s="9">
        <v>1</v>
      </c>
      <c r="P79" s="9">
        <v>15</v>
      </c>
      <c r="U79" s="9" t="s">
        <v>717</v>
      </c>
      <c r="X79" s="9">
        <f ca="1">IFERROR(OFFSET(ITEM_RES!$A$5,MATCH(BUILDING!W79,ITEM_RES!$J$5:$J$226,0)-1,0),0)</f>
        <v>0</v>
      </c>
      <c r="Z79" s="85" t="s">
        <v>552</v>
      </c>
      <c r="AA79" s="9">
        <f ca="1">IFERROR(OFFSET(ITEM_RES!$A$5,MATCH(BUILDING!Z79,ITEM_RES!$J$5:$J$226,0)-1,0),0)</f>
        <v>211020101</v>
      </c>
      <c r="AC79" s="9" t="s">
        <v>522</v>
      </c>
      <c r="AD79" s="9">
        <v>15</v>
      </c>
      <c r="AF79" s="9">
        <v>44000</v>
      </c>
      <c r="AI79" s="56">
        <f t="shared" ca="1" si="9"/>
        <v>1678</v>
      </c>
      <c r="AJ79" s="10">
        <f ca="1">AO79+AQ79+(IFERROR(OFFSET(ITEM_RES!$T$1,MATCH(AU79,ITEM_RES!$A:$A,0)-1,0),0)*AW79+IFERROR(OFFSET(ITEM_RES!$T$1,MATCH(AZ79,ITEM_RES!$A:$A,0)-1,0),0)*BB79+IFERROR(OFFSET(ITEM_RES!$T$1,MATCH(BE79,ITEM_RES!$A:$A,0)-1,0),0)*BG79+IFERROR(OFFSET(ITEM_RES!$T$1,MATCH(BJ79,ITEM_RES!$A:$A,0)-1,0),0)*BL79+IFERROR(OFFSET(ITEM_RES!$T$1,MATCH(BO79,ITEM_RES!$A:$A,0)-1,0),0)*BQ79)/1000</f>
        <v>1677.5</v>
      </c>
      <c r="AK79" s="183">
        <f t="shared" ca="1" si="17"/>
        <v>3050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211010501</v>
      </c>
      <c r="AV79" s="10" t="s">
        <v>436</v>
      </c>
      <c r="AW79" s="11">
        <v>2750</v>
      </c>
      <c r="AZ79" s="11">
        <f ca="1">IFERROR(OFFSET(ITEM_RES!$A$1,MATCH(BA79,ITEM_RES!$J:$J,0)-1,0),0)</f>
        <v>211020901</v>
      </c>
      <c r="BA79" s="10" t="s">
        <v>454</v>
      </c>
      <c r="BB79" s="11">
        <v>2750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447</v>
      </c>
      <c r="M80" s="9" t="s">
        <v>962</v>
      </c>
      <c r="N80" s="9" t="s">
        <v>983</v>
      </c>
      <c r="O80" s="9">
        <v>0</v>
      </c>
      <c r="P80" s="9">
        <v>15</v>
      </c>
      <c r="U80" s="9" t="s">
        <v>717</v>
      </c>
      <c r="X80" s="9">
        <f ca="1">IFERROR(OFFSET(ITEM_RES!$A$5,MATCH(BUILDING!W80,ITEM_RES!$J$5:$J$226,0)-1,0),0)</f>
        <v>0</v>
      </c>
      <c r="Z80" s="85" t="s">
        <v>552</v>
      </c>
      <c r="AA80" s="9">
        <f ca="1">IFERROR(OFFSET(ITEM_RES!$A$5,MATCH(BUILDING!Z80,ITEM_RES!$J$5:$J$226,0)-1,0),0)</f>
        <v>211020101</v>
      </c>
      <c r="AC80" s="9" t="s">
        <v>522</v>
      </c>
      <c r="AD80" s="9">
        <v>16</v>
      </c>
      <c r="AF80" s="9">
        <v>56000</v>
      </c>
      <c r="AI80" s="56">
        <f t="shared" ca="1" si="9"/>
        <v>2135</v>
      </c>
      <c r="AJ80" s="10">
        <f ca="1">AO80+AQ80+(IFERROR(OFFSET(ITEM_RES!$T$1,MATCH(AU80,ITEM_RES!$A:$A,0)-1,0),0)*AW80+IFERROR(OFFSET(ITEM_RES!$T$1,MATCH(AZ80,ITEM_RES!$A:$A,0)-1,0),0)*BB80+IFERROR(OFFSET(ITEM_RES!$T$1,MATCH(BE80,ITEM_RES!$A:$A,0)-1,0),0)*BG80+IFERROR(OFFSET(ITEM_RES!$T$1,MATCH(BJ80,ITEM_RES!$A:$A,0)-1,0),0)*BL80+IFERROR(OFFSET(ITEM_RES!$T$1,MATCH(BO80,ITEM_RES!$A:$A,0)-1,0),0)*BQ80)/1000</f>
        <v>2135</v>
      </c>
      <c r="AK80" s="183">
        <f t="shared" ca="1" si="17"/>
        <v>3812.5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211010501</v>
      </c>
      <c r="AV80" s="10" t="s">
        <v>436</v>
      </c>
      <c r="AW80" s="11">
        <v>3500</v>
      </c>
      <c r="AZ80" s="11">
        <f ca="1">IFERROR(OFFSET(ITEM_RES!$A$1,MATCH(BA80,ITEM_RES!$J:$J,0)-1,0),0)</f>
        <v>211020901</v>
      </c>
      <c r="BA80" s="10" t="s">
        <v>454</v>
      </c>
      <c r="BB80" s="11">
        <v>3500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447</v>
      </c>
      <c r="M81" s="9" t="s">
        <v>962</v>
      </c>
      <c r="N81" s="9" t="s">
        <v>983</v>
      </c>
      <c r="O81" s="9">
        <v>0</v>
      </c>
      <c r="P81" s="9">
        <v>15</v>
      </c>
      <c r="U81" s="9" t="s">
        <v>717</v>
      </c>
      <c r="X81" s="9">
        <f ca="1">IFERROR(OFFSET(ITEM_RES!$A$5,MATCH(BUILDING!W81,ITEM_RES!$J$5:$J$226,0)-1,0),0)</f>
        <v>0</v>
      </c>
      <c r="Z81" s="85" t="s">
        <v>552</v>
      </c>
      <c r="AA81" s="9">
        <f ca="1">IFERROR(OFFSET(ITEM_RES!$A$5,MATCH(BUILDING!Z81,ITEM_RES!$J$5:$J$226,0)-1,0),0)</f>
        <v>211020101</v>
      </c>
      <c r="AC81" s="9" t="s">
        <v>522</v>
      </c>
      <c r="AD81" s="9">
        <v>17</v>
      </c>
      <c r="AF81" s="9">
        <v>68000</v>
      </c>
      <c r="AI81" s="56">
        <f t="shared" ca="1" si="9"/>
        <v>2593</v>
      </c>
      <c r="AJ81" s="10">
        <f ca="1">AO81+AQ81+(IFERROR(OFFSET(ITEM_RES!$T$1,MATCH(AU81,ITEM_RES!$A:$A,0)-1,0),0)*AW81+IFERROR(OFFSET(ITEM_RES!$T$1,MATCH(AZ81,ITEM_RES!$A:$A,0)-1,0),0)*BB81+IFERROR(OFFSET(ITEM_RES!$T$1,MATCH(BE81,ITEM_RES!$A:$A,0)-1,0),0)*BG81+IFERROR(OFFSET(ITEM_RES!$T$1,MATCH(BJ81,ITEM_RES!$A:$A,0)-1,0),0)*BL81+IFERROR(OFFSET(ITEM_RES!$T$1,MATCH(BO81,ITEM_RES!$A:$A,0)-1,0),0)*BQ81)/1000</f>
        <v>2592.5</v>
      </c>
      <c r="AK81" s="183">
        <f t="shared" ca="1" si="17"/>
        <v>4727.5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211010501</v>
      </c>
      <c r="AV81" s="10" t="s">
        <v>436</v>
      </c>
      <c r="AW81" s="11">
        <v>4250</v>
      </c>
      <c r="AZ81" s="11">
        <f ca="1">IFERROR(OFFSET(ITEM_RES!$A$1,MATCH(BA81,ITEM_RES!$J:$J,0)-1,0),0)</f>
        <v>211020901</v>
      </c>
      <c r="BA81" s="10" t="s">
        <v>454</v>
      </c>
      <c r="BB81" s="11">
        <v>4250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447</v>
      </c>
      <c r="M82" s="9" t="s">
        <v>962</v>
      </c>
      <c r="N82" s="9" t="s">
        <v>983</v>
      </c>
      <c r="O82" s="9">
        <v>0</v>
      </c>
      <c r="P82" s="9">
        <v>15</v>
      </c>
      <c r="U82" s="9" t="s">
        <v>717</v>
      </c>
      <c r="X82" s="9">
        <f ca="1">IFERROR(OFFSET(ITEM_RES!$A$5,MATCH(BUILDING!W82,ITEM_RES!$J$5:$J$226,0)-1,0),0)</f>
        <v>0</v>
      </c>
      <c r="Z82" s="85" t="s">
        <v>552</v>
      </c>
      <c r="AA82" s="9">
        <f ca="1">IFERROR(OFFSET(ITEM_RES!$A$5,MATCH(BUILDING!Z82,ITEM_RES!$J$5:$J$226,0)-1,0),0)</f>
        <v>211020101</v>
      </c>
      <c r="AC82" s="9" t="s">
        <v>522</v>
      </c>
      <c r="AD82" s="9">
        <v>18</v>
      </c>
      <c r="AF82" s="9">
        <v>84000</v>
      </c>
      <c r="AI82" s="56">
        <f t="shared" ca="1" si="9"/>
        <v>3203</v>
      </c>
      <c r="AJ82" s="10">
        <f ca="1">AO82+AQ82+(IFERROR(OFFSET(ITEM_RES!$T$1,MATCH(AU82,ITEM_RES!$A:$A,0)-1,0),0)*AW82+IFERROR(OFFSET(ITEM_RES!$T$1,MATCH(AZ82,ITEM_RES!$A:$A,0)-1,0),0)*BB82+IFERROR(OFFSET(ITEM_RES!$T$1,MATCH(BE82,ITEM_RES!$A:$A,0)-1,0),0)*BG82+IFERROR(OFFSET(ITEM_RES!$T$1,MATCH(BJ82,ITEM_RES!$A:$A,0)-1,0),0)*BL82+IFERROR(OFFSET(ITEM_RES!$T$1,MATCH(BO82,ITEM_RES!$A:$A,0)-1,0),0)*BQ82)/1000</f>
        <v>3202.5</v>
      </c>
      <c r="AK82" s="183">
        <f t="shared" ca="1" si="17"/>
        <v>5795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211010501</v>
      </c>
      <c r="AV82" s="10" t="s">
        <v>436</v>
      </c>
      <c r="AW82" s="11">
        <v>5250</v>
      </c>
      <c r="AZ82" s="11">
        <f ca="1">IFERROR(OFFSET(ITEM_RES!$A$1,MATCH(BA82,ITEM_RES!$J:$J,0)-1,0),0)</f>
        <v>211020901</v>
      </c>
      <c r="BA82" s="10" t="s">
        <v>454</v>
      </c>
      <c r="BB82" s="11">
        <v>5250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447</v>
      </c>
      <c r="M83" s="9" t="s">
        <v>962</v>
      </c>
      <c r="N83" s="9" t="s">
        <v>983</v>
      </c>
      <c r="O83" s="9">
        <v>0</v>
      </c>
      <c r="P83" s="9">
        <v>15</v>
      </c>
      <c r="U83" s="9" t="s">
        <v>717</v>
      </c>
      <c r="X83" s="9">
        <f ca="1">IFERROR(OFFSET(ITEM_RES!$A$5,MATCH(BUILDING!W83,ITEM_RES!$J$5:$J$226,0)-1,0),0)</f>
        <v>0</v>
      </c>
      <c r="Z83" s="85" t="s">
        <v>552</v>
      </c>
      <c r="AA83" s="9">
        <f ca="1">IFERROR(OFFSET(ITEM_RES!$A$5,MATCH(BUILDING!Z83,ITEM_RES!$J$5:$J$226,0)-1,0),0)</f>
        <v>211020101</v>
      </c>
      <c r="AC83" s="9" t="s">
        <v>522</v>
      </c>
      <c r="AD83" s="9">
        <v>19</v>
      </c>
      <c r="AF83" s="9">
        <v>100000</v>
      </c>
      <c r="AI83" s="56">
        <f t="shared" ca="1" si="9"/>
        <v>3813</v>
      </c>
      <c r="AJ83" s="10">
        <f ca="1">AO83+AQ83+(IFERROR(OFFSET(ITEM_RES!$T$1,MATCH(AU83,ITEM_RES!$A:$A,0)-1,0),0)*AW83+IFERROR(OFFSET(ITEM_RES!$T$1,MATCH(AZ83,ITEM_RES!$A:$A,0)-1,0),0)*BB83+IFERROR(OFFSET(ITEM_RES!$T$1,MATCH(BE83,ITEM_RES!$A:$A,0)-1,0),0)*BG83+IFERROR(OFFSET(ITEM_RES!$T$1,MATCH(BJ83,ITEM_RES!$A:$A,0)-1,0),0)*BL83+IFERROR(OFFSET(ITEM_RES!$T$1,MATCH(BO83,ITEM_RES!$A:$A,0)-1,0),0)*BQ83)/1000</f>
        <v>3812.5</v>
      </c>
      <c r="AK83" s="183">
        <f t="shared" ca="1" si="17"/>
        <v>7015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211010501</v>
      </c>
      <c r="AV83" s="10" t="s">
        <v>436</v>
      </c>
      <c r="AW83" s="11">
        <v>6250</v>
      </c>
      <c r="AZ83" s="11">
        <f ca="1">IFERROR(OFFSET(ITEM_RES!$A$1,MATCH(BA83,ITEM_RES!$J:$J,0)-1,0),0)</f>
        <v>211020901</v>
      </c>
      <c r="BA83" s="10" t="s">
        <v>454</v>
      </c>
      <c r="BB83" s="11">
        <v>6250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447</v>
      </c>
      <c r="M84" s="9" t="s">
        <v>962</v>
      </c>
      <c r="N84" s="9" t="s">
        <v>983</v>
      </c>
      <c r="O84" s="9">
        <v>0</v>
      </c>
      <c r="P84" s="9">
        <v>15</v>
      </c>
      <c r="U84" s="9" t="s">
        <v>717</v>
      </c>
      <c r="X84" s="9">
        <f ca="1">IFERROR(OFFSET(ITEM_RES!$A$5,MATCH(BUILDING!W84,ITEM_RES!$J$5:$J$226,0)-1,0),0)</f>
        <v>0</v>
      </c>
      <c r="Z84" s="85" t="s">
        <v>552</v>
      </c>
      <c r="AA84" s="9">
        <f ca="1">IFERROR(OFFSET(ITEM_RES!$A$5,MATCH(BUILDING!Z84,ITEM_RES!$J$5:$J$226,0)-1,0),0)</f>
        <v>211020101</v>
      </c>
      <c r="AC84" s="9" t="s">
        <v>522</v>
      </c>
      <c r="AD84" s="9">
        <v>20</v>
      </c>
      <c r="AF84" s="9">
        <v>120000</v>
      </c>
      <c r="AI84" s="56">
        <f t="shared" ca="1" si="9"/>
        <v>4575</v>
      </c>
      <c r="AJ84" s="10">
        <f ca="1">AO84+AQ84+(IFERROR(OFFSET(ITEM_RES!$T$1,MATCH(AU84,ITEM_RES!$A:$A,0)-1,0),0)*AW84+IFERROR(OFFSET(ITEM_RES!$T$1,MATCH(AZ84,ITEM_RES!$A:$A,0)-1,0),0)*BB84+IFERROR(OFFSET(ITEM_RES!$T$1,MATCH(BE84,ITEM_RES!$A:$A,0)-1,0),0)*BG84+IFERROR(OFFSET(ITEM_RES!$T$1,MATCH(BJ84,ITEM_RES!$A:$A,0)-1,0),0)*BL84+IFERROR(OFFSET(ITEM_RES!$T$1,MATCH(BO84,ITEM_RES!$A:$A,0)-1,0),0)*BQ84)/1000</f>
        <v>4575</v>
      </c>
      <c r="AK84" s="183">
        <f t="shared" ca="1" si="17"/>
        <v>8387.5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211010501</v>
      </c>
      <c r="AV84" s="10" t="s">
        <v>434</v>
      </c>
      <c r="AW84" s="11">
        <v>7500</v>
      </c>
      <c r="AZ84" s="11">
        <f ca="1">IFERROR(OFFSET(ITEM_RES!$A$1,MATCH(BA84,ITEM_RES!$J:$J,0)-1,0),0)</f>
        <v>211020901</v>
      </c>
      <c r="BA84" s="10" t="s">
        <v>454</v>
      </c>
      <c r="BB84" s="11">
        <v>7500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67">
        <v>2</v>
      </c>
      <c r="M85" s="67" t="s">
        <v>963</v>
      </c>
      <c r="N85" s="67" t="s">
        <v>984</v>
      </c>
      <c r="O85" s="16">
        <v>1</v>
      </c>
      <c r="P85" s="16">
        <v>15</v>
      </c>
      <c r="Q85" s="16" t="s">
        <v>806</v>
      </c>
      <c r="R85" s="17"/>
      <c r="S85" s="17"/>
      <c r="T85" s="18"/>
      <c r="U85" s="16" t="s">
        <v>739</v>
      </c>
      <c r="V85" s="79"/>
      <c r="W85" s="87" t="s">
        <v>554</v>
      </c>
      <c r="X85" s="16">
        <f ca="1">IFERROR(OFFSET(ITEM_RES!$A$5,MATCH(BUILDING!W85,ITEM_RES!$J$5:$J$226,0)-1,0),0)</f>
        <v>211021101</v>
      </c>
      <c r="Y85" s="18">
        <v>100</v>
      </c>
      <c r="Z85" s="87" t="s">
        <v>553</v>
      </c>
      <c r="AA85" s="16">
        <f ca="1">IFERROR(OFFSET(ITEM_RES!$A$5,MATCH(BUILDING!Z85,ITEM_RES!$J$5:$J$226,0)-1,0),0)</f>
        <v>211010401</v>
      </c>
      <c r="AB85" s="79"/>
      <c r="AC85" s="16" t="s">
        <v>523</v>
      </c>
      <c r="AD85" s="16">
        <v>1</v>
      </c>
      <c r="AE85" s="79"/>
      <c r="AF85" s="16">
        <v>0</v>
      </c>
      <c r="AG85" s="17"/>
      <c r="AH85" s="79"/>
      <c r="AI85" s="57">
        <f t="shared" ca="1" si="9"/>
        <v>111</v>
      </c>
      <c r="AJ85" s="17">
        <f ca="1">AO85+AQ85+(IFERROR(OFFSET(ITEM_RES!$T$1,MATCH(AU85,ITEM_RES!$A:$A,0)-1,0),0)*AW85+IFERROR(OFFSET(ITEM_RES!$T$1,MATCH(AZ85,ITEM_RES!$A:$A,0)-1,0),0)*BB85+IFERROR(OFFSET(ITEM_RES!$T$1,MATCH(BE85,ITEM_RES!$A:$A,0)-1,0),0)*BG85+IFERROR(OFFSET(ITEM_RES!$T$1,MATCH(BJ85,ITEM_RES!$A:$A,0)-1,0),0)*BL85+IFERROR(OFFSET(ITEM_RES!$T$1,MATCH(BO85,ITEM_RES!$A:$A,0)-1,0),0)*BQ85)/1000</f>
        <v>110.5</v>
      </c>
      <c r="AK85" s="185">
        <f ca="1">AJ85</f>
        <v>110.5</v>
      </c>
      <c r="AL85" s="79"/>
      <c r="AM85" s="18">
        <f t="shared" si="24"/>
        <v>5</v>
      </c>
      <c r="AN85" s="17">
        <v>5</v>
      </c>
      <c r="AO85" s="18">
        <f t="shared" si="7"/>
        <v>5</v>
      </c>
      <c r="AP85" s="17">
        <v>5</v>
      </c>
      <c r="AQ85" s="18">
        <f t="shared" si="7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438</v>
      </c>
      <c r="AW85" s="18">
        <v>25</v>
      </c>
      <c r="AX85" s="17"/>
      <c r="AY85" s="18"/>
      <c r="AZ85" s="18">
        <f ca="1">IFERROR(OFFSET(ITEM_RES!$A$1,MATCH(BA85,ITEM_RES!$J:$J,0)-1,0),0)</f>
        <v>211020401</v>
      </c>
      <c r="BA85" s="17" t="s">
        <v>443</v>
      </c>
      <c r="BB85" s="18">
        <v>25</v>
      </c>
      <c r="BC85" s="17"/>
      <c r="BD85" s="18"/>
      <c r="BE85" s="18">
        <f ca="1">IFERROR(OFFSET(ITEM_RES!$A$1,MATCH(BF85,ITEM_RES!$J:$J,0)-1,0),0)</f>
        <v>213010101</v>
      </c>
      <c r="BF85" s="17" t="s">
        <v>463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M86" s="9" t="s">
        <v>963</v>
      </c>
      <c r="N86" s="9" t="s">
        <v>984</v>
      </c>
      <c r="O86" s="9">
        <v>1</v>
      </c>
      <c r="P86" s="9">
        <v>15</v>
      </c>
      <c r="Q86" s="9" t="s">
        <v>806</v>
      </c>
      <c r="U86" s="9" t="s">
        <v>739</v>
      </c>
      <c r="W86" s="85" t="s">
        <v>554</v>
      </c>
      <c r="X86" s="9">
        <f ca="1">IFERROR(OFFSET(ITEM_RES!$A$5,MATCH(BUILDING!W86,ITEM_RES!$J$5:$J$226,0)-1,0),0)</f>
        <v>211021101</v>
      </c>
      <c r="Y86" s="11">
        <v>100</v>
      </c>
      <c r="Z86" s="85" t="s">
        <v>553</v>
      </c>
      <c r="AA86" s="9">
        <f ca="1">IFERROR(OFFSET(ITEM_RES!$A$5,MATCH(BUILDING!Z86,ITEM_RES!$J$5:$J$226,0)-1,0),0)</f>
        <v>211010401</v>
      </c>
      <c r="AC86" s="9" t="s">
        <v>523</v>
      </c>
      <c r="AD86" s="9">
        <v>2</v>
      </c>
      <c r="AF86" s="9">
        <v>800</v>
      </c>
      <c r="AI86" s="56">
        <f t="shared" ca="1" si="9"/>
        <v>21</v>
      </c>
      <c r="AJ86" s="10">
        <f ca="1">AO86+AQ86+(IFERROR(OFFSET(ITEM_RES!$T$1,MATCH(AU86,ITEM_RES!$A:$A,0)-1,0),0)*AW86+IFERROR(OFFSET(ITEM_RES!$T$1,MATCH(AZ86,ITEM_RES!$A:$A,0)-1,0),0)*BB86+IFERROR(OFFSET(ITEM_RES!$T$1,MATCH(BE86,ITEM_RES!$A:$A,0)-1,0),0)*BG86+IFERROR(OFFSET(ITEM_RES!$T$1,MATCH(BJ86,ITEM_RES!$A:$A,0)-1,0),0)*BL86+IFERROR(OFFSET(ITEM_RES!$T$1,MATCH(BO86,ITEM_RES!$A:$A,0)-1,0),0)*BQ86)/1000</f>
        <v>21</v>
      </c>
      <c r="AK86" s="183">
        <f t="shared" ref="AK86:AK104" ca="1" si="58">AJ85+AJ86</f>
        <v>131.5</v>
      </c>
      <c r="AM86" s="11">
        <f t="shared" si="24"/>
        <v>10</v>
      </c>
      <c r="AN86" s="10">
        <v>10</v>
      </c>
      <c r="AO86" s="11">
        <f t="shared" si="7"/>
        <v>10</v>
      </c>
      <c r="AP86" s="10">
        <v>10</v>
      </c>
      <c r="AQ86" s="11">
        <f t="shared" si="7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439</v>
      </c>
      <c r="AW86" s="11">
        <v>50</v>
      </c>
      <c r="AZ86" s="11">
        <f ca="1">IFERROR(OFFSET(ITEM_RES!$A$1,MATCH(BA86,ITEM_RES!$J:$J,0)-1,0),0)</f>
        <v>211020401</v>
      </c>
      <c r="BA86" s="10" t="s">
        <v>443</v>
      </c>
      <c r="BB86" s="11">
        <v>50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M87" s="9" t="s">
        <v>963</v>
      </c>
      <c r="N87" s="9" t="s">
        <v>984</v>
      </c>
      <c r="O87" s="9">
        <v>1</v>
      </c>
      <c r="P87" s="9">
        <v>15</v>
      </c>
      <c r="Q87" s="9" t="s">
        <v>806</v>
      </c>
      <c r="U87" s="9" t="s">
        <v>739</v>
      </c>
      <c r="W87" s="85" t="s">
        <v>554</v>
      </c>
      <c r="X87" s="9">
        <f ca="1">IFERROR(OFFSET(ITEM_RES!$A$5,MATCH(BUILDING!W87,ITEM_RES!$J$5:$J$226,0)-1,0),0)</f>
        <v>211021101</v>
      </c>
      <c r="Y87" s="11">
        <v>100</v>
      </c>
      <c r="Z87" s="85" t="s">
        <v>553</v>
      </c>
      <c r="AA87" s="9">
        <f ca="1">IFERROR(OFFSET(ITEM_RES!$A$5,MATCH(BUILDING!Z87,ITEM_RES!$J$5:$J$226,0)-1,0),0)</f>
        <v>211010401</v>
      </c>
      <c r="AC87" s="9" t="s">
        <v>523</v>
      </c>
      <c r="AD87" s="9">
        <v>3</v>
      </c>
      <c r="AF87" s="9">
        <v>1200</v>
      </c>
      <c r="AI87" s="56">
        <f t="shared" ca="1" si="9"/>
        <v>32</v>
      </c>
      <c r="AJ87" s="10">
        <f ca="1">AO87+AQ87+(IFERROR(OFFSET(ITEM_RES!$T$1,MATCH(AU87,ITEM_RES!$A:$A,0)-1,0),0)*AW87+IFERROR(OFFSET(ITEM_RES!$T$1,MATCH(AZ87,ITEM_RES!$A:$A,0)-1,0),0)*BB87+IFERROR(OFFSET(ITEM_RES!$T$1,MATCH(BE87,ITEM_RES!$A:$A,0)-1,0),0)*BG87+IFERROR(OFFSET(ITEM_RES!$T$1,MATCH(BJ87,ITEM_RES!$A:$A,0)-1,0),0)*BL87+IFERROR(OFFSET(ITEM_RES!$T$1,MATCH(BO87,ITEM_RES!$A:$A,0)-1,0),0)*BQ87)/1000</f>
        <v>31.5</v>
      </c>
      <c r="AK87" s="183">
        <f t="shared" ca="1" si="58"/>
        <v>52.5</v>
      </c>
      <c r="AM87" s="11">
        <f t="shared" si="24"/>
        <v>15</v>
      </c>
      <c r="AN87" s="10">
        <v>15</v>
      </c>
      <c r="AO87" s="11">
        <f t="shared" si="7"/>
        <v>15</v>
      </c>
      <c r="AP87" s="10">
        <v>15</v>
      </c>
      <c r="AQ87" s="11">
        <f t="shared" si="7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438</v>
      </c>
      <c r="AW87" s="11">
        <v>75</v>
      </c>
      <c r="AZ87" s="11">
        <f ca="1">IFERROR(OFFSET(ITEM_RES!$A$1,MATCH(BA87,ITEM_RES!$J:$J,0)-1,0),0)</f>
        <v>211020401</v>
      </c>
      <c r="BA87" s="10" t="s">
        <v>443</v>
      </c>
      <c r="BB87" s="11">
        <v>75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M88" s="9" t="s">
        <v>963</v>
      </c>
      <c r="N88" s="9" t="s">
        <v>984</v>
      </c>
      <c r="O88" s="9">
        <v>1</v>
      </c>
      <c r="P88" s="9">
        <v>15</v>
      </c>
      <c r="Q88" s="9" t="s">
        <v>806</v>
      </c>
      <c r="U88" s="9" t="s">
        <v>739</v>
      </c>
      <c r="W88" s="85" t="s">
        <v>554</v>
      </c>
      <c r="X88" s="9">
        <f ca="1">IFERROR(OFFSET(ITEM_RES!$A$5,MATCH(BUILDING!W88,ITEM_RES!$J$5:$J$226,0)-1,0),0)</f>
        <v>211021101</v>
      </c>
      <c r="Y88" s="11">
        <v>100</v>
      </c>
      <c r="Z88" s="85" t="s">
        <v>553</v>
      </c>
      <c r="AA88" s="9">
        <f ca="1">IFERROR(OFFSET(ITEM_RES!$A$5,MATCH(BUILDING!Z88,ITEM_RES!$J$5:$J$226,0)-1,0),0)</f>
        <v>211010401</v>
      </c>
      <c r="AC88" s="9" t="s">
        <v>523</v>
      </c>
      <c r="AD88" s="9">
        <v>4</v>
      </c>
      <c r="AF88" s="9">
        <v>2000</v>
      </c>
      <c r="AI88" s="56">
        <f t="shared" ca="1" si="9"/>
        <v>53</v>
      </c>
      <c r="AJ88" s="10">
        <f ca="1">AO88+AQ88+(IFERROR(OFFSET(ITEM_RES!$T$1,MATCH(AU88,ITEM_RES!$A:$A,0)-1,0),0)*AW88+IFERROR(OFFSET(ITEM_RES!$T$1,MATCH(AZ88,ITEM_RES!$A:$A,0)-1,0),0)*BB88+IFERROR(OFFSET(ITEM_RES!$T$1,MATCH(BE88,ITEM_RES!$A:$A,0)-1,0),0)*BG88+IFERROR(OFFSET(ITEM_RES!$T$1,MATCH(BJ88,ITEM_RES!$A:$A,0)-1,0),0)*BL88+IFERROR(OFFSET(ITEM_RES!$T$1,MATCH(BO88,ITEM_RES!$A:$A,0)-1,0),0)*BQ88)/1000</f>
        <v>52.5</v>
      </c>
      <c r="AK88" s="183">
        <f t="shared" ca="1" si="58"/>
        <v>84</v>
      </c>
      <c r="AM88" s="11">
        <f t="shared" si="24"/>
        <v>20</v>
      </c>
      <c r="AN88" s="10">
        <v>20</v>
      </c>
      <c r="AO88" s="11">
        <f t="shared" si="7"/>
        <v>25</v>
      </c>
      <c r="AP88" s="10">
        <v>25</v>
      </c>
      <c r="AQ88" s="11">
        <f t="shared" si="7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439</v>
      </c>
      <c r="AW88" s="11">
        <v>125</v>
      </c>
      <c r="AZ88" s="11">
        <f ca="1">IFERROR(OFFSET(ITEM_RES!$A$1,MATCH(BA88,ITEM_RES!$J:$J,0)-1,0),0)</f>
        <v>211020401</v>
      </c>
      <c r="BA88" s="10" t="s">
        <v>443</v>
      </c>
      <c r="BB88" s="11">
        <v>125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M89" s="9" t="s">
        <v>963</v>
      </c>
      <c r="N89" s="9" t="s">
        <v>984</v>
      </c>
      <c r="O89" s="9">
        <v>1</v>
      </c>
      <c r="P89" s="9">
        <v>15</v>
      </c>
      <c r="Q89" s="9" t="s">
        <v>806</v>
      </c>
      <c r="U89" s="9" t="s">
        <v>739</v>
      </c>
      <c r="W89" s="85" t="s">
        <v>554</v>
      </c>
      <c r="X89" s="9">
        <f ca="1">IFERROR(OFFSET(ITEM_RES!$A$5,MATCH(BUILDING!W89,ITEM_RES!$J$5:$J$226,0)-1,0),0)</f>
        <v>211021101</v>
      </c>
      <c r="Y89" s="11">
        <v>100</v>
      </c>
      <c r="Z89" s="85" t="s">
        <v>553</v>
      </c>
      <c r="AA89" s="9">
        <f ca="1">IFERROR(OFFSET(ITEM_RES!$A$5,MATCH(BUILDING!Z89,ITEM_RES!$J$5:$J$226,0)-1,0),0)</f>
        <v>211010401</v>
      </c>
      <c r="AC89" s="9" t="s">
        <v>523</v>
      </c>
      <c r="AD89" s="9">
        <v>5</v>
      </c>
      <c r="AF89" s="9">
        <v>3200</v>
      </c>
      <c r="AI89" s="56">
        <f t="shared" ca="1" si="9"/>
        <v>84</v>
      </c>
      <c r="AJ89" s="10">
        <f ca="1">AO89+AQ89+(IFERROR(OFFSET(ITEM_RES!$T$1,MATCH(AU89,ITEM_RES!$A:$A,0)-1,0),0)*AW89+IFERROR(OFFSET(ITEM_RES!$T$1,MATCH(AZ89,ITEM_RES!$A:$A,0)-1,0),0)*BB89+IFERROR(OFFSET(ITEM_RES!$T$1,MATCH(BE89,ITEM_RES!$A:$A,0)-1,0),0)*BG89+IFERROR(OFFSET(ITEM_RES!$T$1,MATCH(BJ89,ITEM_RES!$A:$A,0)-1,0),0)*BL89+IFERROR(OFFSET(ITEM_RES!$T$1,MATCH(BO89,ITEM_RES!$A:$A,0)-1,0),0)*BQ89)/1000</f>
        <v>84</v>
      </c>
      <c r="AK89" s="183">
        <f t="shared" ca="1" si="58"/>
        <v>136.5</v>
      </c>
      <c r="AM89" s="11">
        <f t="shared" si="24"/>
        <v>25</v>
      </c>
      <c r="AN89" s="10">
        <v>25</v>
      </c>
      <c r="AO89" s="11">
        <f t="shared" si="7"/>
        <v>40</v>
      </c>
      <c r="AP89" s="10">
        <v>40</v>
      </c>
      <c r="AQ89" s="11">
        <f t="shared" si="7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438</v>
      </c>
      <c r="AW89" s="11">
        <v>200</v>
      </c>
      <c r="AZ89" s="11">
        <f ca="1">IFERROR(OFFSET(ITEM_RES!$A$1,MATCH(BA89,ITEM_RES!$J:$J,0)-1,0),0)</f>
        <v>211020401</v>
      </c>
      <c r="BA89" s="10" t="s">
        <v>443</v>
      </c>
      <c r="BB89" s="11">
        <v>200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M90" s="9" t="s">
        <v>963</v>
      </c>
      <c r="N90" s="9" t="s">
        <v>984</v>
      </c>
      <c r="O90" s="9">
        <v>1</v>
      </c>
      <c r="P90" s="9">
        <v>15</v>
      </c>
      <c r="Q90" s="9" t="s">
        <v>806</v>
      </c>
      <c r="U90" s="9" t="s">
        <v>739</v>
      </c>
      <c r="W90" s="85" t="s">
        <v>554</v>
      </c>
      <c r="X90" s="9">
        <f ca="1">IFERROR(OFFSET(ITEM_RES!$A$5,MATCH(BUILDING!W90,ITEM_RES!$J$5:$J$226,0)-1,0),0)</f>
        <v>211021101</v>
      </c>
      <c r="Y90" s="11">
        <v>100</v>
      </c>
      <c r="Z90" s="85" t="s">
        <v>553</v>
      </c>
      <c r="AA90" s="9">
        <f ca="1">IFERROR(OFFSET(ITEM_RES!$A$5,MATCH(BUILDING!Z90,ITEM_RES!$J$5:$J$226,0)-1,0),0)</f>
        <v>211010401</v>
      </c>
      <c r="AC90" s="9" t="s">
        <v>523</v>
      </c>
      <c r="AD90" s="9">
        <v>6</v>
      </c>
      <c r="AF90" s="9">
        <v>4000</v>
      </c>
      <c r="AI90" s="56">
        <f t="shared" ref="AI90:AI153" ca="1" si="63">ROUND(AJ90,0)</f>
        <v>105</v>
      </c>
      <c r="AJ90" s="10">
        <f ca="1">AO90+AQ90+(IFERROR(OFFSET(ITEM_RES!$T$1,MATCH(AU90,ITEM_RES!$A:$A,0)-1,0),0)*AW90+IFERROR(OFFSET(ITEM_RES!$T$1,MATCH(AZ90,ITEM_RES!$A:$A,0)-1,0),0)*BB90+IFERROR(OFFSET(ITEM_RES!$T$1,MATCH(BE90,ITEM_RES!$A:$A,0)-1,0),0)*BG90+IFERROR(OFFSET(ITEM_RES!$T$1,MATCH(BJ90,ITEM_RES!$A:$A,0)-1,0),0)*BL90+IFERROR(OFFSET(ITEM_RES!$T$1,MATCH(BO90,ITEM_RES!$A:$A,0)-1,0),0)*BQ90)/1000</f>
        <v>105</v>
      </c>
      <c r="AK90" s="183">
        <f t="shared" ca="1" si="58"/>
        <v>189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439</v>
      </c>
      <c r="AW90" s="11">
        <v>250</v>
      </c>
      <c r="AZ90" s="11">
        <f ca="1">IFERROR(OFFSET(ITEM_RES!$A$1,MATCH(BA90,ITEM_RES!$J:$J,0)-1,0),0)</f>
        <v>211020401</v>
      </c>
      <c r="BA90" s="10" t="s">
        <v>443</v>
      </c>
      <c r="BB90" s="11">
        <v>250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M91" s="9" t="s">
        <v>963</v>
      </c>
      <c r="N91" s="9" t="s">
        <v>984</v>
      </c>
      <c r="O91" s="9">
        <v>1</v>
      </c>
      <c r="P91" s="9">
        <v>15</v>
      </c>
      <c r="Q91" s="9" t="s">
        <v>806</v>
      </c>
      <c r="U91" s="9" t="s">
        <v>739</v>
      </c>
      <c r="W91" s="85" t="s">
        <v>554</v>
      </c>
      <c r="X91" s="9">
        <f ca="1">IFERROR(OFFSET(ITEM_RES!$A$5,MATCH(BUILDING!W91,ITEM_RES!$J$5:$J$226,0)-1,0),0)</f>
        <v>211021101</v>
      </c>
      <c r="Y91" s="11">
        <v>100</v>
      </c>
      <c r="Z91" s="85" t="s">
        <v>553</v>
      </c>
      <c r="AA91" s="9">
        <f ca="1">IFERROR(OFFSET(ITEM_RES!$A$5,MATCH(BUILDING!Z91,ITEM_RES!$J$5:$J$226,0)-1,0),0)</f>
        <v>211010401</v>
      </c>
      <c r="AC91" s="9" t="s">
        <v>523</v>
      </c>
      <c r="AD91" s="9">
        <v>7</v>
      </c>
      <c r="AF91" s="9">
        <v>8000</v>
      </c>
      <c r="AI91" s="56">
        <f t="shared" ca="1" si="63"/>
        <v>210</v>
      </c>
      <c r="AJ91" s="10">
        <f ca="1">AO91+AQ91+(IFERROR(OFFSET(ITEM_RES!$T$1,MATCH(AU91,ITEM_RES!$A:$A,0)-1,0),0)*AW91+IFERROR(OFFSET(ITEM_RES!$T$1,MATCH(AZ91,ITEM_RES!$A:$A,0)-1,0),0)*BB91+IFERROR(OFFSET(ITEM_RES!$T$1,MATCH(BE91,ITEM_RES!$A:$A,0)-1,0),0)*BG91+IFERROR(OFFSET(ITEM_RES!$T$1,MATCH(BJ91,ITEM_RES!$A:$A,0)-1,0),0)*BL91+IFERROR(OFFSET(ITEM_RES!$T$1,MATCH(BO91,ITEM_RES!$A:$A,0)-1,0),0)*BQ91)/1000</f>
        <v>210</v>
      </c>
      <c r="AK91" s="183">
        <f t="shared" ca="1" si="58"/>
        <v>315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211020201</v>
      </c>
      <c r="AV91" s="10" t="s">
        <v>439</v>
      </c>
      <c r="AW91" s="11">
        <v>500</v>
      </c>
      <c r="AZ91" s="11">
        <f ca="1">IFERROR(OFFSET(ITEM_RES!$A$1,MATCH(BA91,ITEM_RES!$J:$J,0)-1,0),0)</f>
        <v>211020401</v>
      </c>
      <c r="BA91" s="10" t="s">
        <v>443</v>
      </c>
      <c r="BB91" s="11">
        <v>500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M92" s="9" t="s">
        <v>963</v>
      </c>
      <c r="N92" s="9" t="s">
        <v>984</v>
      </c>
      <c r="O92" s="9">
        <v>1</v>
      </c>
      <c r="P92" s="9">
        <v>15</v>
      </c>
      <c r="Q92" s="9" t="s">
        <v>806</v>
      </c>
      <c r="U92" s="9" t="s">
        <v>739</v>
      </c>
      <c r="W92" s="85" t="s">
        <v>554</v>
      </c>
      <c r="X92" s="9">
        <f ca="1">IFERROR(OFFSET(ITEM_RES!$A$5,MATCH(BUILDING!W92,ITEM_RES!$J$5:$J$226,0)-1,0),0)</f>
        <v>211021101</v>
      </c>
      <c r="Y92" s="11">
        <v>100</v>
      </c>
      <c r="Z92" s="85" t="s">
        <v>553</v>
      </c>
      <c r="AA92" s="9">
        <f ca="1">IFERROR(OFFSET(ITEM_RES!$A$5,MATCH(BUILDING!Z92,ITEM_RES!$J$5:$J$226,0)-1,0),0)</f>
        <v>211010401</v>
      </c>
      <c r="AC92" s="9" t="s">
        <v>523</v>
      </c>
      <c r="AD92" s="9">
        <v>8</v>
      </c>
      <c r="AF92" s="9">
        <v>8000</v>
      </c>
      <c r="AI92" s="56">
        <f t="shared" ca="1" si="63"/>
        <v>305</v>
      </c>
      <c r="AJ92" s="10">
        <f ca="1">AO92+AQ92+(IFERROR(OFFSET(ITEM_RES!$T$1,MATCH(AU92,ITEM_RES!$A:$A,0)-1,0),0)*AW92+IFERROR(OFFSET(ITEM_RES!$T$1,MATCH(AZ92,ITEM_RES!$A:$A,0)-1,0),0)*BB92+IFERROR(OFFSET(ITEM_RES!$T$1,MATCH(BE92,ITEM_RES!$A:$A,0)-1,0),0)*BG92+IFERROR(OFFSET(ITEM_RES!$T$1,MATCH(BJ92,ITEM_RES!$A:$A,0)-1,0),0)*BL92+IFERROR(OFFSET(ITEM_RES!$T$1,MATCH(BO92,ITEM_RES!$A:$A,0)-1,0),0)*BQ92)/1000</f>
        <v>305</v>
      </c>
      <c r="AK92" s="183">
        <f t="shared" ca="1" si="58"/>
        <v>515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211020301</v>
      </c>
      <c r="AV92" s="10" t="s">
        <v>461</v>
      </c>
      <c r="AW92" s="11">
        <v>500</v>
      </c>
      <c r="AZ92" s="11">
        <f ca="1">IFERROR(OFFSET(ITEM_RES!$A$1,MATCH(BA92,ITEM_RES!$J:$J,0)-1,0),0)</f>
        <v>211020401</v>
      </c>
      <c r="BA92" s="10" t="s">
        <v>443</v>
      </c>
      <c r="BB92" s="11">
        <v>500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M93" s="9" t="s">
        <v>963</v>
      </c>
      <c r="N93" s="9" t="s">
        <v>984</v>
      </c>
      <c r="O93" s="9">
        <v>1</v>
      </c>
      <c r="P93" s="9">
        <v>15</v>
      </c>
      <c r="Q93" s="9" t="s">
        <v>806</v>
      </c>
      <c r="U93" s="9" t="s">
        <v>739</v>
      </c>
      <c r="W93" s="85" t="s">
        <v>554</v>
      </c>
      <c r="X93" s="9">
        <f ca="1">IFERROR(OFFSET(ITEM_RES!$A$5,MATCH(BUILDING!W93,ITEM_RES!$J$5:$J$226,0)-1,0),0)</f>
        <v>211021101</v>
      </c>
      <c r="Y93" s="11">
        <v>100</v>
      </c>
      <c r="Z93" s="85" t="s">
        <v>553</v>
      </c>
      <c r="AA93" s="9">
        <f ca="1">IFERROR(OFFSET(ITEM_RES!$A$5,MATCH(BUILDING!Z93,ITEM_RES!$J$5:$J$226,0)-1,0),0)</f>
        <v>211010401</v>
      </c>
      <c r="AC93" s="9" t="s">
        <v>523</v>
      </c>
      <c r="AD93" s="9">
        <v>9</v>
      </c>
      <c r="AF93" s="9">
        <v>12000</v>
      </c>
      <c r="AI93" s="56">
        <f t="shared" ca="1" si="63"/>
        <v>458</v>
      </c>
      <c r="AJ93" s="10">
        <f ca="1">AO93+AQ93+(IFERROR(OFFSET(ITEM_RES!$T$1,MATCH(AU93,ITEM_RES!$A:$A,0)-1,0),0)*AW93+IFERROR(OFFSET(ITEM_RES!$T$1,MATCH(AZ93,ITEM_RES!$A:$A,0)-1,0),0)*BB93+IFERROR(OFFSET(ITEM_RES!$T$1,MATCH(BE93,ITEM_RES!$A:$A,0)-1,0),0)*BG93+IFERROR(OFFSET(ITEM_RES!$T$1,MATCH(BJ93,ITEM_RES!$A:$A,0)-1,0),0)*BL93+IFERROR(OFFSET(ITEM_RES!$T$1,MATCH(BO93,ITEM_RES!$A:$A,0)-1,0),0)*BQ93)/1000</f>
        <v>457.5</v>
      </c>
      <c r="AK93" s="183">
        <f t="shared" ca="1" si="58"/>
        <v>762.5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211020301</v>
      </c>
      <c r="AV93" s="10" t="s">
        <v>461</v>
      </c>
      <c r="AW93" s="11">
        <v>750</v>
      </c>
      <c r="AZ93" s="11">
        <f ca="1">IFERROR(OFFSET(ITEM_RES!$A$1,MATCH(BA93,ITEM_RES!$J:$J,0)-1,0),0)</f>
        <v>211020401</v>
      </c>
      <c r="BA93" s="10" t="s">
        <v>443</v>
      </c>
      <c r="BB93" s="11">
        <v>750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M94" s="9" t="s">
        <v>963</v>
      </c>
      <c r="N94" s="9" t="s">
        <v>984</v>
      </c>
      <c r="O94" s="9">
        <v>1</v>
      </c>
      <c r="P94" s="9">
        <v>15</v>
      </c>
      <c r="Q94" s="9" t="s">
        <v>806</v>
      </c>
      <c r="U94" s="9" t="s">
        <v>739</v>
      </c>
      <c r="W94" s="85" t="s">
        <v>554</v>
      </c>
      <c r="X94" s="9">
        <f ca="1">IFERROR(OFFSET(ITEM_RES!$A$5,MATCH(BUILDING!W94,ITEM_RES!$J$5:$J$226,0)-1,0),0)</f>
        <v>211021101</v>
      </c>
      <c r="Y94" s="11">
        <v>100</v>
      </c>
      <c r="Z94" s="85" t="s">
        <v>553</v>
      </c>
      <c r="AA94" s="9">
        <f ca="1">IFERROR(OFFSET(ITEM_RES!$A$5,MATCH(BUILDING!Z94,ITEM_RES!$J$5:$J$226,0)-1,0),0)</f>
        <v>211010401</v>
      </c>
      <c r="AC94" s="9" t="s">
        <v>523</v>
      </c>
      <c r="AD94" s="9">
        <v>10</v>
      </c>
      <c r="AF94" s="9">
        <v>16000</v>
      </c>
      <c r="AI94" s="56">
        <f t="shared" ca="1" si="63"/>
        <v>610</v>
      </c>
      <c r="AJ94" s="10">
        <f ca="1">AO94+AQ94+(IFERROR(OFFSET(ITEM_RES!$T$1,MATCH(AU94,ITEM_RES!$A:$A,0)-1,0),0)*AW94+IFERROR(OFFSET(ITEM_RES!$T$1,MATCH(AZ94,ITEM_RES!$A:$A,0)-1,0),0)*BB94+IFERROR(OFFSET(ITEM_RES!$T$1,MATCH(BE94,ITEM_RES!$A:$A,0)-1,0),0)*BG94+IFERROR(OFFSET(ITEM_RES!$T$1,MATCH(BJ94,ITEM_RES!$A:$A,0)-1,0),0)*BL94+IFERROR(OFFSET(ITEM_RES!$T$1,MATCH(BO94,ITEM_RES!$A:$A,0)-1,0),0)*BQ94)/1000</f>
        <v>610</v>
      </c>
      <c r="AK94" s="183">
        <f t="shared" ca="1" si="58"/>
        <v>1067.5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211020301</v>
      </c>
      <c r="AV94" s="10" t="s">
        <v>461</v>
      </c>
      <c r="AW94" s="11">
        <v>1000</v>
      </c>
      <c r="AZ94" s="11">
        <f ca="1">IFERROR(OFFSET(ITEM_RES!$A$1,MATCH(BA94,ITEM_RES!$J:$J,0)-1,0),0)</f>
        <v>211020401</v>
      </c>
      <c r="BA94" s="10" t="s">
        <v>443</v>
      </c>
      <c r="BB94" s="11">
        <v>1000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M95" s="9" t="s">
        <v>963</v>
      </c>
      <c r="N95" s="9" t="s">
        <v>984</v>
      </c>
      <c r="O95" s="9">
        <v>1</v>
      </c>
      <c r="P95" s="9">
        <v>15</v>
      </c>
      <c r="Q95" s="9" t="s">
        <v>806</v>
      </c>
      <c r="U95" s="9" t="s">
        <v>739</v>
      </c>
      <c r="W95" s="85" t="s">
        <v>554</v>
      </c>
      <c r="X95" s="9">
        <f ca="1">IFERROR(OFFSET(ITEM_RES!$A$5,MATCH(BUILDING!W95,ITEM_RES!$J$5:$J$226,0)-1,0),0)</f>
        <v>211021101</v>
      </c>
      <c r="Y95" s="11">
        <v>100</v>
      </c>
      <c r="Z95" s="85" t="s">
        <v>553</v>
      </c>
      <c r="AA95" s="9">
        <f ca="1">IFERROR(OFFSET(ITEM_RES!$A$5,MATCH(BUILDING!Z95,ITEM_RES!$J$5:$J$226,0)-1,0),0)</f>
        <v>211010401</v>
      </c>
      <c r="AC95" s="9" t="s">
        <v>523</v>
      </c>
      <c r="AD95" s="9">
        <v>11</v>
      </c>
      <c r="AF95" s="9">
        <v>20000</v>
      </c>
      <c r="AI95" s="56">
        <f t="shared" ca="1" si="63"/>
        <v>513</v>
      </c>
      <c r="AJ95" s="10">
        <f ca="1">AO95+AQ95+(IFERROR(OFFSET(ITEM_RES!$T$1,MATCH(AU95,ITEM_RES!$A:$A,0)-1,0),0)*AW95+IFERROR(OFFSET(ITEM_RES!$T$1,MATCH(AZ95,ITEM_RES!$A:$A,0)-1,0),0)*BB95+IFERROR(OFFSET(ITEM_RES!$T$1,MATCH(BE95,ITEM_RES!$A:$A,0)-1,0),0)*BG95+IFERROR(OFFSET(ITEM_RES!$T$1,MATCH(BJ95,ITEM_RES!$A:$A,0)-1,0),0)*BL95+IFERROR(OFFSET(ITEM_RES!$T$1,MATCH(BO95,ITEM_RES!$A:$A,0)-1,0),0)*BQ95)/1000</f>
        <v>512.5</v>
      </c>
      <c r="AK95" s="183">
        <f t="shared" ca="1" si="58"/>
        <v>1122.5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0</v>
      </c>
      <c r="AV95" s="10" t="s">
        <v>452</v>
      </c>
      <c r="AW95" s="11">
        <v>1250</v>
      </c>
      <c r="AZ95" s="11">
        <f ca="1">IFERROR(OFFSET(ITEM_RES!$A$1,MATCH(BA95,ITEM_RES!$J:$J,0)-1,0),0)</f>
        <v>211020401</v>
      </c>
      <c r="BA95" s="10" t="s">
        <v>443</v>
      </c>
      <c r="BB95" s="11">
        <v>1250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M96" s="9" t="s">
        <v>963</v>
      </c>
      <c r="N96" s="9" t="s">
        <v>984</v>
      </c>
      <c r="O96" s="9">
        <v>1</v>
      </c>
      <c r="P96" s="9">
        <v>15</v>
      </c>
      <c r="Q96" s="9" t="s">
        <v>806</v>
      </c>
      <c r="U96" s="9" t="s">
        <v>739</v>
      </c>
      <c r="W96" s="85" t="s">
        <v>554</v>
      </c>
      <c r="X96" s="9">
        <f ca="1">IFERROR(OFFSET(ITEM_RES!$A$5,MATCH(BUILDING!W96,ITEM_RES!$J$5:$J$226,0)-1,0),0)</f>
        <v>211021101</v>
      </c>
      <c r="Y96" s="11">
        <v>100</v>
      </c>
      <c r="Z96" s="85" t="s">
        <v>553</v>
      </c>
      <c r="AA96" s="9">
        <f ca="1">IFERROR(OFFSET(ITEM_RES!$A$5,MATCH(BUILDING!Z96,ITEM_RES!$J$5:$J$226,0)-1,0),0)</f>
        <v>211010401</v>
      </c>
      <c r="AC96" s="9" t="s">
        <v>523</v>
      </c>
      <c r="AD96" s="9">
        <v>12</v>
      </c>
      <c r="AF96" s="9">
        <v>24000</v>
      </c>
      <c r="AI96" s="56">
        <f t="shared" ca="1" si="63"/>
        <v>1115</v>
      </c>
      <c r="AJ96" s="10">
        <f ca="1">AO96+AQ96+(IFERROR(OFFSET(ITEM_RES!$T$1,MATCH(AU96,ITEM_RES!$A:$A,0)-1,0),0)*AW96+IFERROR(OFFSET(ITEM_RES!$T$1,MATCH(AZ96,ITEM_RES!$A:$A,0)-1,0),0)*BB96+IFERROR(OFFSET(ITEM_RES!$T$1,MATCH(BE96,ITEM_RES!$A:$A,0)-1,0),0)*BG96+IFERROR(OFFSET(ITEM_RES!$T$1,MATCH(BJ96,ITEM_RES!$A:$A,0)-1,0),0)*BL96+IFERROR(OFFSET(ITEM_RES!$T$1,MATCH(BO96,ITEM_RES!$A:$A,0)-1,0),0)*BQ96)/1000</f>
        <v>1115</v>
      </c>
      <c r="AK96" s="183">
        <f t="shared" ca="1" si="58"/>
        <v>1627.5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0</v>
      </c>
      <c r="AV96" s="10" t="s">
        <v>452</v>
      </c>
      <c r="AW96" s="11">
        <v>1500</v>
      </c>
      <c r="AZ96" s="11">
        <f ca="1">IFERROR(OFFSET(ITEM_RES!$A$1,MATCH(BA96,ITEM_RES!$J:$J,0)-1,0),0)</f>
        <v>211020401</v>
      </c>
      <c r="BA96" s="10" t="s">
        <v>443</v>
      </c>
      <c r="BB96" s="11">
        <v>1500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472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M97" s="9" t="s">
        <v>963</v>
      </c>
      <c r="N97" s="9" t="s">
        <v>984</v>
      </c>
      <c r="O97" s="9">
        <v>1</v>
      </c>
      <c r="P97" s="9">
        <v>15</v>
      </c>
      <c r="Q97" s="9" t="s">
        <v>806</v>
      </c>
      <c r="U97" s="9" t="s">
        <v>739</v>
      </c>
      <c r="W97" s="85" t="s">
        <v>554</v>
      </c>
      <c r="X97" s="9">
        <f ca="1">IFERROR(OFFSET(ITEM_RES!$A$5,MATCH(BUILDING!W97,ITEM_RES!$J$5:$J$226,0)-1,0),0)</f>
        <v>211021101</v>
      </c>
      <c r="Y97" s="11">
        <v>100</v>
      </c>
      <c r="Z97" s="85" t="s">
        <v>553</v>
      </c>
      <c r="AA97" s="9">
        <f ca="1">IFERROR(OFFSET(ITEM_RES!$A$5,MATCH(BUILDING!Z97,ITEM_RES!$J$5:$J$226,0)-1,0),0)</f>
        <v>211010401</v>
      </c>
      <c r="AC97" s="9" t="s">
        <v>523</v>
      </c>
      <c r="AD97" s="9">
        <v>13</v>
      </c>
      <c r="AF97" s="9">
        <v>28000</v>
      </c>
      <c r="AI97" s="56">
        <f t="shared" ca="1" si="63"/>
        <v>718</v>
      </c>
      <c r="AJ97" s="10">
        <f ca="1">AO97+AQ97+(IFERROR(OFFSET(ITEM_RES!$T$1,MATCH(AU97,ITEM_RES!$A:$A,0)-1,0),0)*AW97+IFERROR(OFFSET(ITEM_RES!$T$1,MATCH(AZ97,ITEM_RES!$A:$A,0)-1,0),0)*BB97+IFERROR(OFFSET(ITEM_RES!$T$1,MATCH(BE97,ITEM_RES!$A:$A,0)-1,0),0)*BG97+IFERROR(OFFSET(ITEM_RES!$T$1,MATCH(BJ97,ITEM_RES!$A:$A,0)-1,0),0)*BL97+IFERROR(OFFSET(ITEM_RES!$T$1,MATCH(BO97,ITEM_RES!$A:$A,0)-1,0),0)*BQ97)/1000</f>
        <v>717.5</v>
      </c>
      <c r="AK97" s="183">
        <f t="shared" ca="1" si="58"/>
        <v>1832.5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0</v>
      </c>
      <c r="AV97" s="10" t="s">
        <v>452</v>
      </c>
      <c r="AW97" s="11">
        <v>1750</v>
      </c>
      <c r="AZ97" s="11">
        <f ca="1">IFERROR(OFFSET(ITEM_RES!$A$1,MATCH(BA97,ITEM_RES!$J:$J,0)-1,0),0)</f>
        <v>211020401</v>
      </c>
      <c r="BA97" s="10" t="s">
        <v>443</v>
      </c>
      <c r="BB97" s="11">
        <v>1750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M98" s="9" t="s">
        <v>963</v>
      </c>
      <c r="N98" s="9" t="s">
        <v>984</v>
      </c>
      <c r="O98" s="9">
        <v>1</v>
      </c>
      <c r="P98" s="9">
        <v>15</v>
      </c>
      <c r="Q98" s="9" t="s">
        <v>806</v>
      </c>
      <c r="U98" s="9" t="s">
        <v>739</v>
      </c>
      <c r="W98" s="85" t="s">
        <v>554</v>
      </c>
      <c r="X98" s="9">
        <f ca="1">IFERROR(OFFSET(ITEM_RES!$A$5,MATCH(BUILDING!W98,ITEM_RES!$J$5:$J$226,0)-1,0),0)</f>
        <v>211021101</v>
      </c>
      <c r="Y98" s="11">
        <v>100</v>
      </c>
      <c r="Z98" s="85" t="s">
        <v>553</v>
      </c>
      <c r="AA98" s="9">
        <f ca="1">IFERROR(OFFSET(ITEM_RES!$A$5,MATCH(BUILDING!Z98,ITEM_RES!$J$5:$J$226,0)-1,0),0)</f>
        <v>211010401</v>
      </c>
      <c r="AC98" s="9" t="s">
        <v>523</v>
      </c>
      <c r="AD98" s="9">
        <v>14</v>
      </c>
      <c r="AF98" s="9">
        <v>36000</v>
      </c>
      <c r="AI98" s="56">
        <f t="shared" ca="1" si="63"/>
        <v>923</v>
      </c>
      <c r="AJ98" s="10">
        <f ca="1">AO98+AQ98+(IFERROR(OFFSET(ITEM_RES!$T$1,MATCH(AU98,ITEM_RES!$A:$A,0)-1,0),0)*AW98+IFERROR(OFFSET(ITEM_RES!$T$1,MATCH(AZ98,ITEM_RES!$A:$A,0)-1,0),0)*BB98+IFERROR(OFFSET(ITEM_RES!$T$1,MATCH(BE98,ITEM_RES!$A:$A,0)-1,0),0)*BG98+IFERROR(OFFSET(ITEM_RES!$T$1,MATCH(BJ98,ITEM_RES!$A:$A,0)-1,0),0)*BL98+IFERROR(OFFSET(ITEM_RES!$T$1,MATCH(BO98,ITEM_RES!$A:$A,0)-1,0),0)*BQ98)/1000</f>
        <v>922.5</v>
      </c>
      <c r="AK98" s="183">
        <f t="shared" ca="1" si="58"/>
        <v>1640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0</v>
      </c>
      <c r="AV98" s="10" t="s">
        <v>452</v>
      </c>
      <c r="AW98" s="11">
        <v>2250</v>
      </c>
      <c r="AZ98" s="11">
        <f ca="1">IFERROR(OFFSET(ITEM_RES!$A$1,MATCH(BA98,ITEM_RES!$J:$J,0)-1,0),0)</f>
        <v>211020401</v>
      </c>
      <c r="BA98" s="10" t="s">
        <v>443</v>
      </c>
      <c r="BB98" s="11">
        <v>2250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M99" s="9" t="s">
        <v>963</v>
      </c>
      <c r="N99" s="9" t="s">
        <v>984</v>
      </c>
      <c r="O99" s="9">
        <v>1</v>
      </c>
      <c r="P99" s="9">
        <v>15</v>
      </c>
      <c r="Q99" s="9" t="s">
        <v>806</v>
      </c>
      <c r="U99" s="9" t="s">
        <v>739</v>
      </c>
      <c r="W99" s="85" t="s">
        <v>554</v>
      </c>
      <c r="X99" s="9">
        <f ca="1">IFERROR(OFFSET(ITEM_RES!$A$5,MATCH(BUILDING!W99,ITEM_RES!$J$5:$J$226,0)-1,0),0)</f>
        <v>211021101</v>
      </c>
      <c r="Y99" s="11">
        <v>100</v>
      </c>
      <c r="Z99" s="85" t="s">
        <v>553</v>
      </c>
      <c r="AA99" s="9">
        <f ca="1">IFERROR(OFFSET(ITEM_RES!$A$5,MATCH(BUILDING!Z99,ITEM_RES!$J$5:$J$226,0)-1,0),0)</f>
        <v>211010401</v>
      </c>
      <c r="AC99" s="9" t="s">
        <v>523</v>
      </c>
      <c r="AD99" s="9">
        <v>15</v>
      </c>
      <c r="AF99" s="9">
        <v>44000</v>
      </c>
      <c r="AI99" s="56">
        <f t="shared" ca="1" si="63"/>
        <v>1650</v>
      </c>
      <c r="AJ99" s="10">
        <f ca="1">AO99+AQ99+(IFERROR(OFFSET(ITEM_RES!$T$1,MATCH(AU99,ITEM_RES!$A:$A,0)-1,0),0)*AW99+IFERROR(OFFSET(ITEM_RES!$T$1,MATCH(AZ99,ITEM_RES!$A:$A,0)-1,0),0)*BB99+IFERROR(OFFSET(ITEM_RES!$T$1,MATCH(BE99,ITEM_RES!$A:$A,0)-1,0),0)*BG99+IFERROR(OFFSET(ITEM_RES!$T$1,MATCH(BJ99,ITEM_RES!$A:$A,0)-1,0),0)*BL99+IFERROR(OFFSET(ITEM_RES!$T$1,MATCH(BO99,ITEM_RES!$A:$A,0)-1,0),0)*BQ99)/1000</f>
        <v>1650</v>
      </c>
      <c r="AK99" s="183">
        <f t="shared" ca="1" si="58"/>
        <v>2572.5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0</v>
      </c>
      <c r="AV99" s="10" t="s">
        <v>452</v>
      </c>
      <c r="AW99" s="11">
        <v>2750</v>
      </c>
      <c r="AZ99" s="11">
        <f ca="1">IFERROR(OFFSET(ITEM_RES!$A$1,MATCH(BA99,ITEM_RES!$J:$J,0)-1,0),0)</f>
        <v>211020501</v>
      </c>
      <c r="BA99" s="10" t="s">
        <v>440</v>
      </c>
      <c r="BB99" s="11">
        <v>2750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M100" s="9" t="s">
        <v>963</v>
      </c>
      <c r="N100" s="9" t="s">
        <v>984</v>
      </c>
      <c r="O100" s="9">
        <v>0</v>
      </c>
      <c r="P100" s="9">
        <v>15</v>
      </c>
      <c r="Q100" s="9" t="s">
        <v>806</v>
      </c>
      <c r="U100" s="9" t="s">
        <v>739</v>
      </c>
      <c r="W100" s="85" t="s">
        <v>554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553</v>
      </c>
      <c r="AA100" s="9">
        <f ca="1">IFERROR(OFFSET(ITEM_RES!$A$5,MATCH(BUILDING!Z100,ITEM_RES!$J$5:$J$226,0)-1,0),0)</f>
        <v>211010401</v>
      </c>
      <c r="AC100" s="9" t="s">
        <v>523</v>
      </c>
      <c r="AD100" s="9">
        <v>16</v>
      </c>
      <c r="AF100" s="9">
        <v>56000</v>
      </c>
      <c r="AI100" s="56">
        <f t="shared" ca="1" si="63"/>
        <v>2100</v>
      </c>
      <c r="AJ100" s="10">
        <f ca="1">AO100+AQ100+(IFERROR(OFFSET(ITEM_RES!$T$1,MATCH(AU100,ITEM_RES!$A:$A,0)-1,0),0)*AW100+IFERROR(OFFSET(ITEM_RES!$T$1,MATCH(AZ100,ITEM_RES!$A:$A,0)-1,0),0)*BB100+IFERROR(OFFSET(ITEM_RES!$T$1,MATCH(BE100,ITEM_RES!$A:$A,0)-1,0),0)*BG100+IFERROR(OFFSET(ITEM_RES!$T$1,MATCH(BJ100,ITEM_RES!$A:$A,0)-1,0),0)*BL100+IFERROR(OFFSET(ITEM_RES!$T$1,MATCH(BO100,ITEM_RES!$A:$A,0)-1,0),0)*BQ100)/1000</f>
        <v>2100</v>
      </c>
      <c r="AK100" s="183">
        <f t="shared" ca="1" si="58"/>
        <v>3750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0</v>
      </c>
      <c r="AV100" s="10" t="s">
        <v>452</v>
      </c>
      <c r="AW100" s="11">
        <v>3500</v>
      </c>
      <c r="AZ100" s="11">
        <f ca="1">IFERROR(OFFSET(ITEM_RES!$A$1,MATCH(BA100,ITEM_RES!$J:$J,0)-1,0),0)</f>
        <v>211020501</v>
      </c>
      <c r="BA100" s="10" t="s">
        <v>440</v>
      </c>
      <c r="BB100" s="11">
        <v>3500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M101" s="9" t="s">
        <v>963</v>
      </c>
      <c r="N101" s="9" t="s">
        <v>984</v>
      </c>
      <c r="O101" s="9">
        <v>0</v>
      </c>
      <c r="P101" s="9">
        <v>15</v>
      </c>
      <c r="Q101" s="9" t="s">
        <v>806</v>
      </c>
      <c r="U101" s="9" t="s">
        <v>739</v>
      </c>
      <c r="W101" s="85" t="s">
        <v>554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553</v>
      </c>
      <c r="AA101" s="9">
        <f ca="1">IFERROR(OFFSET(ITEM_RES!$A$5,MATCH(BUILDING!Z101,ITEM_RES!$J$5:$J$226,0)-1,0),0)</f>
        <v>211010401</v>
      </c>
      <c r="AC101" s="9" t="s">
        <v>523</v>
      </c>
      <c r="AD101" s="9">
        <v>17</v>
      </c>
      <c r="AF101" s="9">
        <v>68000</v>
      </c>
      <c r="AI101" s="56">
        <f t="shared" ca="1" si="63"/>
        <v>2550</v>
      </c>
      <c r="AJ101" s="10">
        <f ca="1">AO101+AQ101+(IFERROR(OFFSET(ITEM_RES!$T$1,MATCH(AU101,ITEM_RES!$A:$A,0)-1,0),0)*AW101+IFERROR(OFFSET(ITEM_RES!$T$1,MATCH(AZ101,ITEM_RES!$A:$A,0)-1,0),0)*BB101+IFERROR(OFFSET(ITEM_RES!$T$1,MATCH(BE101,ITEM_RES!$A:$A,0)-1,0),0)*BG101+IFERROR(OFFSET(ITEM_RES!$T$1,MATCH(BJ101,ITEM_RES!$A:$A,0)-1,0),0)*BL101+IFERROR(OFFSET(ITEM_RES!$T$1,MATCH(BO101,ITEM_RES!$A:$A,0)-1,0),0)*BQ101)/1000</f>
        <v>2550</v>
      </c>
      <c r="AK101" s="183">
        <f t="shared" ca="1" si="58"/>
        <v>4650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0</v>
      </c>
      <c r="AV101" s="10" t="s">
        <v>452</v>
      </c>
      <c r="AW101" s="11">
        <v>4250</v>
      </c>
      <c r="AZ101" s="11">
        <f ca="1">IFERROR(OFFSET(ITEM_RES!$A$1,MATCH(BA101,ITEM_RES!$J:$J,0)-1,0),0)</f>
        <v>211020501</v>
      </c>
      <c r="BA101" s="10" t="s">
        <v>440</v>
      </c>
      <c r="BB101" s="11">
        <v>4250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M102" s="9" t="s">
        <v>963</v>
      </c>
      <c r="N102" s="9" t="s">
        <v>984</v>
      </c>
      <c r="O102" s="9">
        <v>0</v>
      </c>
      <c r="P102" s="9">
        <v>15</v>
      </c>
      <c r="Q102" s="9" t="s">
        <v>806</v>
      </c>
      <c r="U102" s="9" t="s">
        <v>739</v>
      </c>
      <c r="W102" s="85" t="s">
        <v>554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553</v>
      </c>
      <c r="AA102" s="9">
        <f ca="1">IFERROR(OFFSET(ITEM_RES!$A$5,MATCH(BUILDING!Z102,ITEM_RES!$J$5:$J$226,0)-1,0),0)</f>
        <v>211010401</v>
      </c>
      <c r="AC102" s="9" t="s">
        <v>523</v>
      </c>
      <c r="AD102" s="9">
        <v>18</v>
      </c>
      <c r="AF102" s="9">
        <v>84000</v>
      </c>
      <c r="AI102" s="56">
        <f t="shared" ca="1" si="63"/>
        <v>3150</v>
      </c>
      <c r="AJ102" s="10">
        <f ca="1">AO102+AQ102+(IFERROR(OFFSET(ITEM_RES!$T$1,MATCH(AU102,ITEM_RES!$A:$A,0)-1,0),0)*AW102+IFERROR(OFFSET(ITEM_RES!$T$1,MATCH(AZ102,ITEM_RES!$A:$A,0)-1,0),0)*BB102+IFERROR(OFFSET(ITEM_RES!$T$1,MATCH(BE102,ITEM_RES!$A:$A,0)-1,0),0)*BG102+IFERROR(OFFSET(ITEM_RES!$T$1,MATCH(BJ102,ITEM_RES!$A:$A,0)-1,0),0)*BL102+IFERROR(OFFSET(ITEM_RES!$T$1,MATCH(BO102,ITEM_RES!$A:$A,0)-1,0),0)*BQ102)/1000</f>
        <v>3150</v>
      </c>
      <c r="AK102" s="183">
        <f t="shared" ca="1" si="58"/>
        <v>5700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0</v>
      </c>
      <c r="AV102" s="10" t="s">
        <v>462</v>
      </c>
      <c r="AW102" s="11">
        <v>5250</v>
      </c>
      <c r="AZ102" s="11">
        <f ca="1">IFERROR(OFFSET(ITEM_RES!$A$1,MATCH(BA102,ITEM_RES!$J:$J,0)-1,0),0)</f>
        <v>211020501</v>
      </c>
      <c r="BA102" s="10" t="s">
        <v>440</v>
      </c>
      <c r="BB102" s="11">
        <v>5250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M103" s="9" t="s">
        <v>963</v>
      </c>
      <c r="N103" s="9" t="s">
        <v>984</v>
      </c>
      <c r="O103" s="9">
        <v>0</v>
      </c>
      <c r="P103" s="9">
        <v>15</v>
      </c>
      <c r="Q103" s="9" t="s">
        <v>806</v>
      </c>
      <c r="U103" s="9" t="s">
        <v>739</v>
      </c>
      <c r="W103" s="85" t="s">
        <v>554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553</v>
      </c>
      <c r="AA103" s="9">
        <f ca="1">IFERROR(OFFSET(ITEM_RES!$A$5,MATCH(BUILDING!Z103,ITEM_RES!$J$5:$J$226,0)-1,0),0)</f>
        <v>211010401</v>
      </c>
      <c r="AC103" s="9" t="s">
        <v>523</v>
      </c>
      <c r="AD103" s="9">
        <v>19</v>
      </c>
      <c r="AF103" s="9">
        <v>100000</v>
      </c>
      <c r="AI103" s="56">
        <f t="shared" ca="1" si="63"/>
        <v>3750</v>
      </c>
      <c r="AJ103" s="10">
        <f ca="1">AO103+AQ103+(IFERROR(OFFSET(ITEM_RES!$T$1,MATCH(AU103,ITEM_RES!$A:$A,0)-1,0),0)*AW103+IFERROR(OFFSET(ITEM_RES!$T$1,MATCH(AZ103,ITEM_RES!$A:$A,0)-1,0),0)*BB103+IFERROR(OFFSET(ITEM_RES!$T$1,MATCH(BE103,ITEM_RES!$A:$A,0)-1,0),0)*BG103+IFERROR(OFFSET(ITEM_RES!$T$1,MATCH(BJ103,ITEM_RES!$A:$A,0)-1,0),0)*BL103+IFERROR(OFFSET(ITEM_RES!$T$1,MATCH(BO103,ITEM_RES!$A:$A,0)-1,0),0)*BQ103)/1000</f>
        <v>3750</v>
      </c>
      <c r="AK103" s="183">
        <f t="shared" ca="1" si="58"/>
        <v>6900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0</v>
      </c>
      <c r="AV103" s="10" t="s">
        <v>462</v>
      </c>
      <c r="AW103" s="11">
        <v>6250</v>
      </c>
      <c r="AZ103" s="11">
        <f ca="1">IFERROR(OFFSET(ITEM_RES!$A$1,MATCH(BA103,ITEM_RES!$J:$J,0)-1,0),0)</f>
        <v>211020501</v>
      </c>
      <c r="BA103" s="10" t="s">
        <v>440</v>
      </c>
      <c r="BB103" s="11">
        <v>6250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M104" s="9" t="s">
        <v>963</v>
      </c>
      <c r="N104" s="9" t="s">
        <v>984</v>
      </c>
      <c r="O104" s="9">
        <v>0</v>
      </c>
      <c r="P104" s="9">
        <v>15</v>
      </c>
      <c r="Q104" s="9" t="s">
        <v>806</v>
      </c>
      <c r="U104" s="9" t="s">
        <v>739</v>
      </c>
      <c r="W104" s="85" t="s">
        <v>554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553</v>
      </c>
      <c r="AA104" s="9">
        <f ca="1">IFERROR(OFFSET(ITEM_RES!$A$5,MATCH(BUILDING!Z104,ITEM_RES!$J$5:$J$226,0)-1,0),0)</f>
        <v>211010401</v>
      </c>
      <c r="AC104" s="9" t="s">
        <v>523</v>
      </c>
      <c r="AD104" s="9">
        <v>20</v>
      </c>
      <c r="AF104" s="9">
        <v>120000</v>
      </c>
      <c r="AI104" s="56">
        <f t="shared" ca="1" si="63"/>
        <v>4500</v>
      </c>
      <c r="AJ104" s="10">
        <f ca="1">AO104+AQ104+(IFERROR(OFFSET(ITEM_RES!$T$1,MATCH(AU104,ITEM_RES!$A:$A,0)-1,0),0)*AW104+IFERROR(OFFSET(ITEM_RES!$T$1,MATCH(AZ104,ITEM_RES!$A:$A,0)-1,0),0)*BB104+IFERROR(OFFSET(ITEM_RES!$T$1,MATCH(BE104,ITEM_RES!$A:$A,0)-1,0),0)*BG104+IFERROR(OFFSET(ITEM_RES!$T$1,MATCH(BJ104,ITEM_RES!$A:$A,0)-1,0),0)*BL104+IFERROR(OFFSET(ITEM_RES!$T$1,MATCH(BO104,ITEM_RES!$A:$A,0)-1,0),0)*BQ104)/1000</f>
        <v>4500</v>
      </c>
      <c r="AK104" s="183">
        <f t="shared" ca="1" si="58"/>
        <v>8250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0</v>
      </c>
      <c r="AV104" s="10" t="s">
        <v>462</v>
      </c>
      <c r="AW104" s="11">
        <v>7500</v>
      </c>
      <c r="AZ104" s="11">
        <f ca="1">IFERROR(OFFSET(ITEM_RES!$A$1,MATCH(BA104,ITEM_RES!$J:$J,0)-1,0),0)</f>
        <v>211020501</v>
      </c>
      <c r="BA104" s="10" t="s">
        <v>440</v>
      </c>
      <c r="BB104" s="11">
        <v>7500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803</v>
      </c>
      <c r="L105" s="67">
        <v>3</v>
      </c>
      <c r="M105" s="67" t="s">
        <v>964</v>
      </c>
      <c r="N105" s="67" t="s">
        <v>985</v>
      </c>
      <c r="O105" s="16">
        <v>1</v>
      </c>
      <c r="P105" s="16">
        <v>15</v>
      </c>
      <c r="Q105" s="16" t="s">
        <v>805</v>
      </c>
      <c r="R105" s="17"/>
      <c r="S105" s="17"/>
      <c r="T105" s="18"/>
      <c r="U105" s="16" t="s">
        <v>804</v>
      </c>
      <c r="V105" s="79"/>
      <c r="W105" s="87" t="s">
        <v>561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554</v>
      </c>
      <c r="AA105" s="16">
        <f ca="1">IFERROR(OFFSET(ITEM_RES!$A$5,MATCH(BUILDING!Z105,ITEM_RES!$J$5:$J$226,0)-1,0),0)</f>
        <v>211021101</v>
      </c>
      <c r="AB105" s="79"/>
      <c r="AC105" s="16" t="s">
        <v>524</v>
      </c>
      <c r="AD105" s="16">
        <v>1</v>
      </c>
      <c r="AE105" s="79"/>
      <c r="AF105" s="16">
        <v>0</v>
      </c>
      <c r="AG105" s="17"/>
      <c r="AH105" s="79"/>
      <c r="AI105" s="57">
        <f t="shared" ca="1" si="63"/>
        <v>111</v>
      </c>
      <c r="AJ105" s="17">
        <f ca="1">AO105+AQ105+(IFERROR(OFFSET(ITEM_RES!$T$1,MATCH(AU105,ITEM_RES!$A:$A,0)-1,0),0)*AW105+IFERROR(OFFSET(ITEM_RES!$T$1,MATCH(AZ105,ITEM_RES!$A:$A,0)-1,0),0)*BB105+IFERROR(OFFSET(ITEM_RES!$T$1,MATCH(BE105,ITEM_RES!$A:$A,0)-1,0),0)*BG105+IFERROR(OFFSET(ITEM_RES!$T$1,MATCH(BJ105,ITEM_RES!$A:$A,0)-1,0),0)*BL105+IFERROR(OFFSET(ITEM_RES!$T$1,MATCH(BO105,ITEM_RES!$A:$A,0)-1,0),0)*BQ105)/1000</f>
        <v>110.5</v>
      </c>
      <c r="AK105" s="185">
        <f ca="1">AJ105</f>
        <v>110.5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438</v>
      </c>
      <c r="AW105" s="18">
        <v>25</v>
      </c>
      <c r="AX105" s="17"/>
      <c r="AY105" s="18"/>
      <c r="AZ105" s="18">
        <f ca="1">IFERROR(OFFSET(ITEM_RES!$A$1,MATCH(BA105,ITEM_RES!$J:$J,0)-1,0),0)</f>
        <v>211020401</v>
      </c>
      <c r="BA105" s="17" t="s">
        <v>430</v>
      </c>
      <c r="BB105" s="18">
        <v>25</v>
      </c>
      <c r="BC105" s="17"/>
      <c r="BD105" s="18"/>
      <c r="BE105" s="18">
        <f ca="1">IFERROR(OFFSET(ITEM_RES!$A$1,MATCH(BF105,ITEM_RES!$J:$J,0)-1,0),0)</f>
        <v>213010101</v>
      </c>
      <c r="BF105" s="17" t="s">
        <v>463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803</v>
      </c>
      <c r="M106" s="9" t="s">
        <v>964</v>
      </c>
      <c r="N106" s="9" t="s">
        <v>985</v>
      </c>
      <c r="O106" s="9">
        <v>1</v>
      </c>
      <c r="P106" s="9">
        <v>15</v>
      </c>
      <c r="Q106" s="9" t="s">
        <v>805</v>
      </c>
      <c r="U106" s="9" t="s">
        <v>804</v>
      </c>
      <c r="W106" s="85" t="s">
        <v>412</v>
      </c>
      <c r="X106" s="9">
        <f ca="1">IFERROR(OFFSET(ITEM_RES!$A$5,MATCH(BUILDING!W106,ITEM_RES!$J$5:$J$226,0)-1,0),0)</f>
        <v>211021001</v>
      </c>
      <c r="Y106" s="11">
        <v>10</v>
      </c>
      <c r="Z106" s="85" t="s">
        <v>554</v>
      </c>
      <c r="AA106" s="9">
        <f ca="1">IFERROR(OFFSET(ITEM_RES!$A$5,MATCH(BUILDING!Z106,ITEM_RES!$J$5:$J$226,0)-1,0),0)</f>
        <v>211021101</v>
      </c>
      <c r="AC106" s="9" t="s">
        <v>524</v>
      </c>
      <c r="AD106" s="9">
        <v>2</v>
      </c>
      <c r="AF106" s="9">
        <v>800</v>
      </c>
      <c r="AI106" s="56">
        <f t="shared" ca="1" si="63"/>
        <v>21</v>
      </c>
      <c r="AJ106" s="10">
        <f ca="1">AO106+AQ106+(IFERROR(OFFSET(ITEM_RES!$T$1,MATCH(AU106,ITEM_RES!$A:$A,0)-1,0),0)*AW106+IFERROR(OFFSET(ITEM_RES!$T$1,MATCH(AZ106,ITEM_RES!$A:$A,0)-1,0),0)*BB106+IFERROR(OFFSET(ITEM_RES!$T$1,MATCH(BE106,ITEM_RES!$A:$A,0)-1,0),0)*BG106+IFERROR(OFFSET(ITEM_RES!$T$1,MATCH(BJ106,ITEM_RES!$A:$A,0)-1,0),0)*BL106+IFERROR(OFFSET(ITEM_RES!$T$1,MATCH(BO106,ITEM_RES!$A:$A,0)-1,0),0)*BQ106)/1000</f>
        <v>21</v>
      </c>
      <c r="AK106" s="183">
        <f t="shared" ref="AK106:AK124" ca="1" si="65">AJ105+AJ106</f>
        <v>131.5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439</v>
      </c>
      <c r="AW106" s="11">
        <v>50</v>
      </c>
      <c r="AZ106" s="11">
        <f ca="1">IFERROR(OFFSET(ITEM_RES!$A$1,MATCH(BA106,ITEM_RES!$J:$J,0)-1,0),0)</f>
        <v>211020401</v>
      </c>
      <c r="BA106" s="10" t="s">
        <v>430</v>
      </c>
      <c r="BB106" s="11">
        <v>50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803</v>
      </c>
      <c r="M107" s="9" t="s">
        <v>964</v>
      </c>
      <c r="N107" s="9" t="s">
        <v>985</v>
      </c>
      <c r="O107" s="9">
        <v>1</v>
      </c>
      <c r="P107" s="9">
        <v>15</v>
      </c>
      <c r="Q107" s="9" t="s">
        <v>805</v>
      </c>
      <c r="U107" s="9" t="s">
        <v>804</v>
      </c>
      <c r="W107" s="85" t="s">
        <v>412</v>
      </c>
      <c r="X107" s="9">
        <f ca="1">IFERROR(OFFSET(ITEM_RES!$A$5,MATCH(BUILDING!W107,ITEM_RES!$J$5:$J$226,0)-1,0),0)</f>
        <v>211021001</v>
      </c>
      <c r="Y107" s="11">
        <v>10</v>
      </c>
      <c r="Z107" s="85" t="s">
        <v>554</v>
      </c>
      <c r="AA107" s="9">
        <f ca="1">IFERROR(OFFSET(ITEM_RES!$A$5,MATCH(BUILDING!Z107,ITEM_RES!$J$5:$J$226,0)-1,0),0)</f>
        <v>211021101</v>
      </c>
      <c r="AC107" s="9" t="s">
        <v>524</v>
      </c>
      <c r="AD107" s="9">
        <v>3</v>
      </c>
      <c r="AF107" s="9">
        <v>1200</v>
      </c>
      <c r="AI107" s="56">
        <f t="shared" ca="1" si="63"/>
        <v>32</v>
      </c>
      <c r="AJ107" s="10">
        <f ca="1">AO107+AQ107+(IFERROR(OFFSET(ITEM_RES!$T$1,MATCH(AU107,ITEM_RES!$A:$A,0)-1,0),0)*AW107+IFERROR(OFFSET(ITEM_RES!$T$1,MATCH(AZ107,ITEM_RES!$A:$A,0)-1,0),0)*BB107+IFERROR(OFFSET(ITEM_RES!$T$1,MATCH(BE107,ITEM_RES!$A:$A,0)-1,0),0)*BG107+IFERROR(OFFSET(ITEM_RES!$T$1,MATCH(BJ107,ITEM_RES!$A:$A,0)-1,0),0)*BL107+IFERROR(OFFSET(ITEM_RES!$T$1,MATCH(BO107,ITEM_RES!$A:$A,0)-1,0),0)*BQ107)/1000</f>
        <v>31.5</v>
      </c>
      <c r="AK107" s="183">
        <f t="shared" ca="1" si="65"/>
        <v>52.5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438</v>
      </c>
      <c r="AW107" s="11">
        <v>75</v>
      </c>
      <c r="AZ107" s="11">
        <f ca="1">IFERROR(OFFSET(ITEM_RES!$A$1,MATCH(BA107,ITEM_RES!$J:$J,0)-1,0),0)</f>
        <v>211020401</v>
      </c>
      <c r="BA107" s="10" t="s">
        <v>430</v>
      </c>
      <c r="BB107" s="11">
        <v>75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803</v>
      </c>
      <c r="M108" s="9" t="s">
        <v>964</v>
      </c>
      <c r="N108" s="9" t="s">
        <v>985</v>
      </c>
      <c r="O108" s="9">
        <v>1</v>
      </c>
      <c r="P108" s="9">
        <v>15</v>
      </c>
      <c r="Q108" s="9" t="s">
        <v>805</v>
      </c>
      <c r="U108" s="9" t="s">
        <v>804</v>
      </c>
      <c r="W108" s="85" t="s">
        <v>412</v>
      </c>
      <c r="X108" s="9">
        <f ca="1">IFERROR(OFFSET(ITEM_RES!$A$5,MATCH(BUILDING!W108,ITEM_RES!$J$5:$J$226,0)-1,0),0)</f>
        <v>211021001</v>
      </c>
      <c r="Y108" s="11">
        <v>10</v>
      </c>
      <c r="Z108" s="85" t="s">
        <v>554</v>
      </c>
      <c r="AA108" s="9">
        <f ca="1">IFERROR(OFFSET(ITEM_RES!$A$5,MATCH(BUILDING!Z108,ITEM_RES!$J$5:$J$226,0)-1,0),0)</f>
        <v>211021101</v>
      </c>
      <c r="AC108" s="9" t="s">
        <v>524</v>
      </c>
      <c r="AD108" s="9">
        <v>4</v>
      </c>
      <c r="AF108" s="9">
        <v>2000</v>
      </c>
      <c r="AI108" s="56">
        <f t="shared" ca="1" si="63"/>
        <v>53</v>
      </c>
      <c r="AJ108" s="10">
        <f ca="1">AO108+AQ108+(IFERROR(OFFSET(ITEM_RES!$T$1,MATCH(AU108,ITEM_RES!$A:$A,0)-1,0),0)*AW108+IFERROR(OFFSET(ITEM_RES!$T$1,MATCH(AZ108,ITEM_RES!$A:$A,0)-1,0),0)*BB108+IFERROR(OFFSET(ITEM_RES!$T$1,MATCH(BE108,ITEM_RES!$A:$A,0)-1,0),0)*BG108+IFERROR(OFFSET(ITEM_RES!$T$1,MATCH(BJ108,ITEM_RES!$A:$A,0)-1,0),0)*BL108+IFERROR(OFFSET(ITEM_RES!$T$1,MATCH(BO108,ITEM_RES!$A:$A,0)-1,0),0)*BQ108)/1000</f>
        <v>52.5</v>
      </c>
      <c r="AK108" s="183">
        <f t="shared" ca="1" si="65"/>
        <v>84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439</v>
      </c>
      <c r="AW108" s="11">
        <v>125</v>
      </c>
      <c r="AZ108" s="11">
        <f ca="1">IFERROR(OFFSET(ITEM_RES!$A$1,MATCH(BA108,ITEM_RES!$J:$J,0)-1,0),0)</f>
        <v>211020401</v>
      </c>
      <c r="BA108" s="10" t="s">
        <v>430</v>
      </c>
      <c r="BB108" s="11">
        <v>125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803</v>
      </c>
      <c r="M109" s="9" t="s">
        <v>964</v>
      </c>
      <c r="N109" s="9" t="s">
        <v>985</v>
      </c>
      <c r="O109" s="9">
        <v>1</v>
      </c>
      <c r="P109" s="9">
        <v>15</v>
      </c>
      <c r="Q109" s="9" t="s">
        <v>805</v>
      </c>
      <c r="U109" s="9" t="s">
        <v>804</v>
      </c>
      <c r="W109" s="85" t="s">
        <v>412</v>
      </c>
      <c r="X109" s="9">
        <f ca="1">IFERROR(OFFSET(ITEM_RES!$A$5,MATCH(BUILDING!W109,ITEM_RES!$J$5:$J$226,0)-1,0),0)</f>
        <v>211021001</v>
      </c>
      <c r="Y109" s="11">
        <v>10</v>
      </c>
      <c r="Z109" s="85" t="s">
        <v>554</v>
      </c>
      <c r="AA109" s="9">
        <f ca="1">IFERROR(OFFSET(ITEM_RES!$A$5,MATCH(BUILDING!Z109,ITEM_RES!$J$5:$J$226,0)-1,0),0)</f>
        <v>211021101</v>
      </c>
      <c r="AC109" s="9" t="s">
        <v>524</v>
      </c>
      <c r="AD109" s="9">
        <v>5</v>
      </c>
      <c r="AF109" s="9">
        <v>3200</v>
      </c>
      <c r="AI109" s="56">
        <f t="shared" ca="1" si="63"/>
        <v>84</v>
      </c>
      <c r="AJ109" s="10">
        <f ca="1">AO109+AQ109+(IFERROR(OFFSET(ITEM_RES!$T$1,MATCH(AU109,ITEM_RES!$A:$A,0)-1,0),0)*AW109+IFERROR(OFFSET(ITEM_RES!$T$1,MATCH(AZ109,ITEM_RES!$A:$A,0)-1,0),0)*BB109+IFERROR(OFFSET(ITEM_RES!$T$1,MATCH(BE109,ITEM_RES!$A:$A,0)-1,0),0)*BG109+IFERROR(OFFSET(ITEM_RES!$T$1,MATCH(BJ109,ITEM_RES!$A:$A,0)-1,0),0)*BL109+IFERROR(OFFSET(ITEM_RES!$T$1,MATCH(BO109,ITEM_RES!$A:$A,0)-1,0),0)*BQ109)/1000</f>
        <v>84</v>
      </c>
      <c r="AK109" s="183">
        <f t="shared" ca="1" si="65"/>
        <v>136.5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438</v>
      </c>
      <c r="AW109" s="11">
        <v>200</v>
      </c>
      <c r="AZ109" s="11">
        <f ca="1">IFERROR(OFFSET(ITEM_RES!$A$1,MATCH(BA109,ITEM_RES!$J:$J,0)-1,0),0)</f>
        <v>211020401</v>
      </c>
      <c r="BA109" s="10" t="s">
        <v>430</v>
      </c>
      <c r="BB109" s="11">
        <v>200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803</v>
      </c>
      <c r="M110" s="9" t="s">
        <v>964</v>
      </c>
      <c r="N110" s="9" t="s">
        <v>985</v>
      </c>
      <c r="O110" s="9">
        <v>1</v>
      </c>
      <c r="P110" s="9">
        <v>15</v>
      </c>
      <c r="Q110" s="9" t="s">
        <v>805</v>
      </c>
      <c r="U110" s="9" t="s">
        <v>804</v>
      </c>
      <c r="W110" s="85" t="s">
        <v>412</v>
      </c>
      <c r="X110" s="9">
        <f ca="1">IFERROR(OFFSET(ITEM_RES!$A$5,MATCH(BUILDING!W110,ITEM_RES!$J$5:$J$226,0)-1,0),0)</f>
        <v>211021001</v>
      </c>
      <c r="Y110" s="11">
        <v>10</v>
      </c>
      <c r="Z110" s="85" t="s">
        <v>554</v>
      </c>
      <c r="AA110" s="9">
        <f ca="1">IFERROR(OFFSET(ITEM_RES!$A$5,MATCH(BUILDING!Z110,ITEM_RES!$J$5:$J$226,0)-1,0),0)</f>
        <v>211021101</v>
      </c>
      <c r="AC110" s="9" t="s">
        <v>524</v>
      </c>
      <c r="AD110" s="9">
        <v>6</v>
      </c>
      <c r="AF110" s="9">
        <v>4000</v>
      </c>
      <c r="AI110" s="56">
        <f t="shared" ca="1" si="63"/>
        <v>105</v>
      </c>
      <c r="AJ110" s="10">
        <f ca="1">AO110+AQ110+(IFERROR(OFFSET(ITEM_RES!$T$1,MATCH(AU110,ITEM_RES!$A:$A,0)-1,0),0)*AW110+IFERROR(OFFSET(ITEM_RES!$T$1,MATCH(AZ110,ITEM_RES!$A:$A,0)-1,0),0)*BB110+IFERROR(OFFSET(ITEM_RES!$T$1,MATCH(BE110,ITEM_RES!$A:$A,0)-1,0),0)*BG110+IFERROR(OFFSET(ITEM_RES!$T$1,MATCH(BJ110,ITEM_RES!$A:$A,0)-1,0),0)*BL110+IFERROR(OFFSET(ITEM_RES!$T$1,MATCH(BO110,ITEM_RES!$A:$A,0)-1,0),0)*BQ110)/1000</f>
        <v>105</v>
      </c>
      <c r="AK110" s="183">
        <f t="shared" ca="1" si="65"/>
        <v>189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439</v>
      </c>
      <c r="AW110" s="11">
        <v>250</v>
      </c>
      <c r="AZ110" s="11">
        <f ca="1">IFERROR(OFFSET(ITEM_RES!$A$1,MATCH(BA110,ITEM_RES!$J:$J,0)-1,0),0)</f>
        <v>211020401</v>
      </c>
      <c r="BA110" s="10" t="s">
        <v>430</v>
      </c>
      <c r="BB110" s="11">
        <v>250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803</v>
      </c>
      <c r="M111" s="9" t="s">
        <v>964</v>
      </c>
      <c r="N111" s="9" t="s">
        <v>985</v>
      </c>
      <c r="O111" s="9">
        <v>1</v>
      </c>
      <c r="P111" s="9">
        <v>15</v>
      </c>
      <c r="Q111" s="9" t="s">
        <v>805</v>
      </c>
      <c r="U111" s="9" t="s">
        <v>804</v>
      </c>
      <c r="W111" s="85" t="s">
        <v>412</v>
      </c>
      <c r="X111" s="9">
        <f ca="1">IFERROR(OFFSET(ITEM_RES!$A$5,MATCH(BUILDING!W111,ITEM_RES!$J$5:$J$226,0)-1,0),0)</f>
        <v>211021001</v>
      </c>
      <c r="Y111" s="11">
        <v>10</v>
      </c>
      <c r="Z111" s="85" t="s">
        <v>554</v>
      </c>
      <c r="AA111" s="9">
        <f ca="1">IFERROR(OFFSET(ITEM_RES!$A$5,MATCH(BUILDING!Z111,ITEM_RES!$J$5:$J$226,0)-1,0),0)</f>
        <v>211021101</v>
      </c>
      <c r="AC111" s="9" t="s">
        <v>524</v>
      </c>
      <c r="AD111" s="9">
        <v>7</v>
      </c>
      <c r="AF111" s="9">
        <v>8000</v>
      </c>
      <c r="AI111" s="56">
        <f t="shared" ca="1" si="63"/>
        <v>210</v>
      </c>
      <c r="AJ111" s="10">
        <f ca="1">AO111+AQ111+(IFERROR(OFFSET(ITEM_RES!$T$1,MATCH(AU111,ITEM_RES!$A:$A,0)-1,0),0)*AW111+IFERROR(OFFSET(ITEM_RES!$T$1,MATCH(AZ111,ITEM_RES!$A:$A,0)-1,0),0)*BB111+IFERROR(OFFSET(ITEM_RES!$T$1,MATCH(BE111,ITEM_RES!$A:$A,0)-1,0),0)*BG111+IFERROR(OFFSET(ITEM_RES!$T$1,MATCH(BJ111,ITEM_RES!$A:$A,0)-1,0),0)*BL111+IFERROR(OFFSET(ITEM_RES!$T$1,MATCH(BO111,ITEM_RES!$A:$A,0)-1,0),0)*BQ111)/1000</f>
        <v>210</v>
      </c>
      <c r="AK111" s="183">
        <f t="shared" ca="1" si="65"/>
        <v>315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438</v>
      </c>
      <c r="AW111" s="11">
        <v>500</v>
      </c>
      <c r="AZ111" s="11">
        <f ca="1">IFERROR(OFFSET(ITEM_RES!$A$1,MATCH(BA111,ITEM_RES!$J:$J,0)-1,0),0)</f>
        <v>211020401</v>
      </c>
      <c r="BA111" s="10" t="s">
        <v>430</v>
      </c>
      <c r="BB111" s="11">
        <v>500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803</v>
      </c>
      <c r="M112" s="9" t="s">
        <v>964</v>
      </c>
      <c r="N112" s="9" t="s">
        <v>985</v>
      </c>
      <c r="O112" s="9">
        <v>1</v>
      </c>
      <c r="P112" s="9">
        <v>15</v>
      </c>
      <c r="Q112" s="9" t="s">
        <v>805</v>
      </c>
      <c r="U112" s="9" t="s">
        <v>804</v>
      </c>
      <c r="W112" s="85" t="s">
        <v>412</v>
      </c>
      <c r="X112" s="9">
        <f ca="1">IFERROR(OFFSET(ITEM_RES!$A$5,MATCH(BUILDING!W112,ITEM_RES!$J$5:$J$226,0)-1,0),0)</f>
        <v>211021001</v>
      </c>
      <c r="Y112" s="11">
        <v>10</v>
      </c>
      <c r="Z112" s="85" t="s">
        <v>554</v>
      </c>
      <c r="AA112" s="9">
        <f ca="1">IFERROR(OFFSET(ITEM_RES!$A$5,MATCH(BUILDING!Z112,ITEM_RES!$J$5:$J$226,0)-1,0),0)</f>
        <v>211021101</v>
      </c>
      <c r="AC112" s="9" t="s">
        <v>524</v>
      </c>
      <c r="AD112" s="9">
        <v>8</v>
      </c>
      <c r="AF112" s="9">
        <v>8000</v>
      </c>
      <c r="AI112" s="56">
        <f t="shared" ca="1" si="63"/>
        <v>210</v>
      </c>
      <c r="AJ112" s="10">
        <f ca="1">AO112+AQ112+(IFERROR(OFFSET(ITEM_RES!$T$1,MATCH(AU112,ITEM_RES!$A:$A,0)-1,0),0)*AW112+IFERROR(OFFSET(ITEM_RES!$T$1,MATCH(AZ112,ITEM_RES!$A:$A,0)-1,0),0)*BB112+IFERROR(OFFSET(ITEM_RES!$T$1,MATCH(BE112,ITEM_RES!$A:$A,0)-1,0),0)*BG112+IFERROR(OFFSET(ITEM_RES!$T$1,MATCH(BJ112,ITEM_RES!$A:$A,0)-1,0),0)*BL112+IFERROR(OFFSET(ITEM_RES!$T$1,MATCH(BO112,ITEM_RES!$A:$A,0)-1,0),0)*BQ112)/1000</f>
        <v>210</v>
      </c>
      <c r="AK112" s="183">
        <f t="shared" ca="1" si="65"/>
        <v>420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439</v>
      </c>
      <c r="AW112" s="11">
        <v>500</v>
      </c>
      <c r="AZ112" s="11">
        <f ca="1">IFERROR(OFFSET(ITEM_RES!$A$1,MATCH(BA112,ITEM_RES!$J:$J,0)-1,0),0)</f>
        <v>211020401</v>
      </c>
      <c r="BA112" s="10" t="s">
        <v>430</v>
      </c>
      <c r="BB112" s="11">
        <v>500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803</v>
      </c>
      <c r="M113" s="9" t="s">
        <v>964</v>
      </c>
      <c r="N113" s="9" t="s">
        <v>985</v>
      </c>
      <c r="O113" s="9">
        <v>1</v>
      </c>
      <c r="P113" s="9">
        <v>15</v>
      </c>
      <c r="Q113" s="9" t="s">
        <v>805</v>
      </c>
      <c r="U113" s="9" t="s">
        <v>804</v>
      </c>
      <c r="W113" s="85" t="s">
        <v>412</v>
      </c>
      <c r="X113" s="9">
        <f ca="1">IFERROR(OFFSET(ITEM_RES!$A$5,MATCH(BUILDING!W113,ITEM_RES!$J$5:$J$226,0)-1,0),0)</f>
        <v>211021001</v>
      </c>
      <c r="Y113" s="11">
        <v>10</v>
      </c>
      <c r="Z113" s="85" t="s">
        <v>554</v>
      </c>
      <c r="AA113" s="9">
        <f ca="1">IFERROR(OFFSET(ITEM_RES!$A$5,MATCH(BUILDING!Z113,ITEM_RES!$J$5:$J$226,0)-1,0),0)</f>
        <v>211021101</v>
      </c>
      <c r="AC113" s="9" t="s">
        <v>524</v>
      </c>
      <c r="AD113" s="9">
        <v>9</v>
      </c>
      <c r="AF113" s="9">
        <v>12000</v>
      </c>
      <c r="AI113" s="56">
        <f t="shared" ca="1" si="63"/>
        <v>315</v>
      </c>
      <c r="AJ113" s="10">
        <f ca="1">AO113+AQ113+(IFERROR(OFFSET(ITEM_RES!$T$1,MATCH(AU113,ITEM_RES!$A:$A,0)-1,0),0)*AW113+IFERROR(OFFSET(ITEM_RES!$T$1,MATCH(AZ113,ITEM_RES!$A:$A,0)-1,0),0)*BB113+IFERROR(OFFSET(ITEM_RES!$T$1,MATCH(BE113,ITEM_RES!$A:$A,0)-1,0),0)*BG113+IFERROR(OFFSET(ITEM_RES!$T$1,MATCH(BJ113,ITEM_RES!$A:$A,0)-1,0),0)*BL113+IFERROR(OFFSET(ITEM_RES!$T$1,MATCH(BO113,ITEM_RES!$A:$A,0)-1,0),0)*BQ113)/1000</f>
        <v>315</v>
      </c>
      <c r="AK113" s="183">
        <f t="shared" ca="1" si="65"/>
        <v>525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438</v>
      </c>
      <c r="AW113" s="11">
        <v>750</v>
      </c>
      <c r="AZ113" s="11">
        <f ca="1">IFERROR(OFFSET(ITEM_RES!$A$1,MATCH(BA113,ITEM_RES!$J:$J,0)-1,0),0)</f>
        <v>211020401</v>
      </c>
      <c r="BA113" s="10" t="s">
        <v>430</v>
      </c>
      <c r="BB113" s="11">
        <v>750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803</v>
      </c>
      <c r="M114" s="9" t="s">
        <v>964</v>
      </c>
      <c r="N114" s="9" t="s">
        <v>985</v>
      </c>
      <c r="O114" s="9">
        <v>1</v>
      </c>
      <c r="P114" s="9">
        <v>15</v>
      </c>
      <c r="Q114" s="9" t="s">
        <v>805</v>
      </c>
      <c r="U114" s="9" t="s">
        <v>804</v>
      </c>
      <c r="W114" s="85" t="s">
        <v>412</v>
      </c>
      <c r="X114" s="9">
        <f ca="1">IFERROR(OFFSET(ITEM_RES!$A$5,MATCH(BUILDING!W114,ITEM_RES!$J$5:$J$226,0)-1,0),0)</f>
        <v>211021001</v>
      </c>
      <c r="Y114" s="11">
        <v>10</v>
      </c>
      <c r="Z114" s="85" t="s">
        <v>554</v>
      </c>
      <c r="AA114" s="9">
        <f ca="1">IFERROR(OFFSET(ITEM_RES!$A$5,MATCH(BUILDING!Z114,ITEM_RES!$J$5:$J$226,0)-1,0),0)</f>
        <v>211021101</v>
      </c>
      <c r="AC114" s="9" t="s">
        <v>524</v>
      </c>
      <c r="AD114" s="9">
        <v>10</v>
      </c>
      <c r="AF114" s="9">
        <v>16000</v>
      </c>
      <c r="AI114" s="56">
        <f t="shared" ca="1" si="63"/>
        <v>420</v>
      </c>
      <c r="AJ114" s="10">
        <f ca="1">AO114+AQ114+(IFERROR(OFFSET(ITEM_RES!$T$1,MATCH(AU114,ITEM_RES!$A:$A,0)-1,0),0)*AW114+IFERROR(OFFSET(ITEM_RES!$T$1,MATCH(AZ114,ITEM_RES!$A:$A,0)-1,0),0)*BB114+IFERROR(OFFSET(ITEM_RES!$T$1,MATCH(BE114,ITEM_RES!$A:$A,0)-1,0),0)*BG114+IFERROR(OFFSET(ITEM_RES!$T$1,MATCH(BJ114,ITEM_RES!$A:$A,0)-1,0),0)*BL114+IFERROR(OFFSET(ITEM_RES!$T$1,MATCH(BO114,ITEM_RES!$A:$A,0)-1,0),0)*BQ114)/1000</f>
        <v>420</v>
      </c>
      <c r="AK114" s="183">
        <f t="shared" ca="1" si="65"/>
        <v>735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439</v>
      </c>
      <c r="AW114" s="11">
        <v>1000</v>
      </c>
      <c r="AZ114" s="11">
        <f ca="1">IFERROR(OFFSET(ITEM_RES!$A$1,MATCH(BA114,ITEM_RES!$J:$J,0)-1,0),0)</f>
        <v>211020401</v>
      </c>
      <c r="BA114" s="10" t="s">
        <v>430</v>
      </c>
      <c r="BB114" s="11">
        <v>1000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803</v>
      </c>
      <c r="M115" s="9" t="s">
        <v>964</v>
      </c>
      <c r="N115" s="9" t="s">
        <v>985</v>
      </c>
      <c r="O115" s="9">
        <v>1</v>
      </c>
      <c r="P115" s="9">
        <v>15</v>
      </c>
      <c r="Q115" s="9" t="s">
        <v>805</v>
      </c>
      <c r="U115" s="9" t="s">
        <v>804</v>
      </c>
      <c r="W115" s="85" t="s">
        <v>412</v>
      </c>
      <c r="X115" s="9">
        <f ca="1">IFERROR(OFFSET(ITEM_RES!$A$5,MATCH(BUILDING!W115,ITEM_RES!$J$5:$J$226,0)-1,0),0)</f>
        <v>211021001</v>
      </c>
      <c r="Y115" s="11">
        <v>10</v>
      </c>
      <c r="Z115" s="85" t="s">
        <v>554</v>
      </c>
      <c r="AA115" s="9">
        <f ca="1">IFERROR(OFFSET(ITEM_RES!$A$5,MATCH(BUILDING!Z115,ITEM_RES!$J$5:$J$226,0)-1,0),0)</f>
        <v>211021101</v>
      </c>
      <c r="AC115" s="9" t="s">
        <v>524</v>
      </c>
      <c r="AD115" s="9">
        <v>11</v>
      </c>
      <c r="AF115" s="9">
        <v>20000</v>
      </c>
      <c r="AI115" s="56">
        <f t="shared" ca="1" si="63"/>
        <v>763</v>
      </c>
      <c r="AJ115" s="10">
        <f ca="1">AO115+AQ115+(IFERROR(OFFSET(ITEM_RES!$T$1,MATCH(AU115,ITEM_RES!$A:$A,0)-1,0),0)*AW115+IFERROR(OFFSET(ITEM_RES!$T$1,MATCH(AZ115,ITEM_RES!$A:$A,0)-1,0),0)*BB115+IFERROR(OFFSET(ITEM_RES!$T$1,MATCH(BE115,ITEM_RES!$A:$A,0)-1,0),0)*BG115+IFERROR(OFFSET(ITEM_RES!$T$1,MATCH(BJ115,ITEM_RES!$A:$A,0)-1,0),0)*BL115+IFERROR(OFFSET(ITEM_RES!$T$1,MATCH(BO115,ITEM_RES!$A:$A,0)-1,0),0)*BQ115)/1000</f>
        <v>762.5</v>
      </c>
      <c r="AK115" s="183">
        <f t="shared" ca="1" si="65"/>
        <v>1182.5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211020301</v>
      </c>
      <c r="AV115" s="10" t="s">
        <v>461</v>
      </c>
      <c r="AW115" s="11">
        <v>1250</v>
      </c>
      <c r="AZ115" s="11">
        <f ca="1">IFERROR(OFFSET(ITEM_RES!$A$1,MATCH(BA115,ITEM_RES!$J:$J,0)-1,0),0)</f>
        <v>211020401</v>
      </c>
      <c r="BA115" s="10" t="s">
        <v>430</v>
      </c>
      <c r="BB115" s="11">
        <v>1250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803</v>
      </c>
      <c r="M116" s="9" t="s">
        <v>964</v>
      </c>
      <c r="N116" s="9" t="s">
        <v>985</v>
      </c>
      <c r="O116" s="9">
        <v>1</v>
      </c>
      <c r="P116" s="9">
        <v>15</v>
      </c>
      <c r="Q116" s="9" t="s">
        <v>805</v>
      </c>
      <c r="U116" s="9" t="s">
        <v>804</v>
      </c>
      <c r="W116" s="85" t="s">
        <v>412</v>
      </c>
      <c r="X116" s="9">
        <f ca="1">IFERROR(OFFSET(ITEM_RES!$A$5,MATCH(BUILDING!W116,ITEM_RES!$J$5:$J$226,0)-1,0),0)</f>
        <v>211021001</v>
      </c>
      <c r="Y116" s="11">
        <v>10</v>
      </c>
      <c r="Z116" s="85" t="s">
        <v>554</v>
      </c>
      <c r="AA116" s="9">
        <f ca="1">IFERROR(OFFSET(ITEM_RES!$A$5,MATCH(BUILDING!Z116,ITEM_RES!$J$5:$J$226,0)-1,0),0)</f>
        <v>211021101</v>
      </c>
      <c r="AC116" s="9" t="s">
        <v>524</v>
      </c>
      <c r="AD116" s="9">
        <v>12</v>
      </c>
      <c r="AF116" s="9">
        <v>24000</v>
      </c>
      <c r="AI116" s="56">
        <f t="shared" ca="1" si="63"/>
        <v>915</v>
      </c>
      <c r="AJ116" s="10">
        <f ca="1">AO116+AQ116+(IFERROR(OFFSET(ITEM_RES!$T$1,MATCH(AU116,ITEM_RES!$A:$A,0)-1,0),0)*AW116+IFERROR(OFFSET(ITEM_RES!$T$1,MATCH(AZ116,ITEM_RES!$A:$A,0)-1,0),0)*BB116+IFERROR(OFFSET(ITEM_RES!$T$1,MATCH(BE116,ITEM_RES!$A:$A,0)-1,0),0)*BG116+IFERROR(OFFSET(ITEM_RES!$T$1,MATCH(BJ116,ITEM_RES!$A:$A,0)-1,0),0)*BL116+IFERROR(OFFSET(ITEM_RES!$T$1,MATCH(BO116,ITEM_RES!$A:$A,0)-1,0),0)*BQ116)/1000</f>
        <v>915</v>
      </c>
      <c r="AK116" s="183">
        <f t="shared" ca="1" si="65"/>
        <v>1677.5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211020301</v>
      </c>
      <c r="AV116" s="10" t="s">
        <v>461</v>
      </c>
      <c r="AW116" s="11">
        <v>1500</v>
      </c>
      <c r="AZ116" s="11">
        <f ca="1">IFERROR(OFFSET(ITEM_RES!$A$1,MATCH(BA116,ITEM_RES!$J:$J,0)-1,0),0)</f>
        <v>211020401</v>
      </c>
      <c r="BA116" s="10" t="s">
        <v>430</v>
      </c>
      <c r="BB116" s="11">
        <v>1500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803</v>
      </c>
      <c r="M117" s="9" t="s">
        <v>964</v>
      </c>
      <c r="N117" s="9" t="s">
        <v>985</v>
      </c>
      <c r="O117" s="9">
        <v>1</v>
      </c>
      <c r="P117" s="9">
        <v>15</v>
      </c>
      <c r="Q117" s="9" t="s">
        <v>805</v>
      </c>
      <c r="U117" s="9" t="s">
        <v>804</v>
      </c>
      <c r="W117" s="85" t="s">
        <v>412</v>
      </c>
      <c r="X117" s="9">
        <f ca="1">IFERROR(OFFSET(ITEM_RES!$A$5,MATCH(BUILDING!W117,ITEM_RES!$J$5:$J$226,0)-1,0),0)</f>
        <v>211021001</v>
      </c>
      <c r="Y117" s="11">
        <v>10</v>
      </c>
      <c r="Z117" s="85" t="s">
        <v>554</v>
      </c>
      <c r="AA117" s="9">
        <f ca="1">IFERROR(OFFSET(ITEM_RES!$A$5,MATCH(BUILDING!Z117,ITEM_RES!$J$5:$J$226,0)-1,0),0)</f>
        <v>211021101</v>
      </c>
      <c r="AC117" s="9" t="s">
        <v>524</v>
      </c>
      <c r="AD117" s="9">
        <v>13</v>
      </c>
      <c r="AF117" s="9">
        <v>28000</v>
      </c>
      <c r="AI117" s="56">
        <f t="shared" ca="1" si="63"/>
        <v>1068</v>
      </c>
      <c r="AJ117" s="10">
        <f ca="1">AO117+AQ117+(IFERROR(OFFSET(ITEM_RES!$T$1,MATCH(AU117,ITEM_RES!$A:$A,0)-1,0),0)*AW117+IFERROR(OFFSET(ITEM_RES!$T$1,MATCH(AZ117,ITEM_RES!$A:$A,0)-1,0),0)*BB117+IFERROR(OFFSET(ITEM_RES!$T$1,MATCH(BE117,ITEM_RES!$A:$A,0)-1,0),0)*BG117+IFERROR(OFFSET(ITEM_RES!$T$1,MATCH(BJ117,ITEM_RES!$A:$A,0)-1,0),0)*BL117+IFERROR(OFFSET(ITEM_RES!$T$1,MATCH(BO117,ITEM_RES!$A:$A,0)-1,0),0)*BQ117)/1000</f>
        <v>1067.5</v>
      </c>
      <c r="AK117" s="183">
        <f t="shared" ca="1" si="65"/>
        <v>1982.5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211020301</v>
      </c>
      <c r="AV117" s="10" t="s">
        <v>461</v>
      </c>
      <c r="AW117" s="11">
        <v>1750</v>
      </c>
      <c r="AZ117" s="11">
        <f ca="1">IFERROR(OFFSET(ITEM_RES!$A$1,MATCH(BA117,ITEM_RES!$J:$J,0)-1,0),0)</f>
        <v>211020401</v>
      </c>
      <c r="BA117" s="10" t="s">
        <v>430</v>
      </c>
      <c r="BB117" s="11">
        <v>1750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803</v>
      </c>
      <c r="M118" s="9" t="s">
        <v>964</v>
      </c>
      <c r="N118" s="9" t="s">
        <v>985</v>
      </c>
      <c r="O118" s="9">
        <v>1</v>
      </c>
      <c r="P118" s="9">
        <v>15</v>
      </c>
      <c r="Q118" s="9" t="s">
        <v>805</v>
      </c>
      <c r="U118" s="9" t="s">
        <v>804</v>
      </c>
      <c r="W118" s="85" t="s">
        <v>412</v>
      </c>
      <c r="X118" s="9">
        <f ca="1">IFERROR(OFFSET(ITEM_RES!$A$5,MATCH(BUILDING!W118,ITEM_RES!$J$5:$J$226,0)-1,0),0)</f>
        <v>211021001</v>
      </c>
      <c r="Y118" s="11">
        <v>10</v>
      </c>
      <c r="Z118" s="85" t="s">
        <v>554</v>
      </c>
      <c r="AA118" s="9">
        <f ca="1">IFERROR(OFFSET(ITEM_RES!$A$5,MATCH(BUILDING!Z118,ITEM_RES!$J$5:$J$226,0)-1,0),0)</f>
        <v>211021101</v>
      </c>
      <c r="AC118" s="9" t="s">
        <v>524</v>
      </c>
      <c r="AD118" s="9">
        <v>14</v>
      </c>
      <c r="AF118" s="9">
        <v>36000</v>
      </c>
      <c r="AI118" s="56">
        <f t="shared" ca="1" si="63"/>
        <v>1373</v>
      </c>
      <c r="AJ118" s="10">
        <f ca="1">AO118+AQ118+(IFERROR(OFFSET(ITEM_RES!$T$1,MATCH(AU118,ITEM_RES!$A:$A,0)-1,0),0)*AW118+IFERROR(OFFSET(ITEM_RES!$T$1,MATCH(AZ118,ITEM_RES!$A:$A,0)-1,0),0)*BB118+IFERROR(OFFSET(ITEM_RES!$T$1,MATCH(BE118,ITEM_RES!$A:$A,0)-1,0),0)*BG118+IFERROR(OFFSET(ITEM_RES!$T$1,MATCH(BJ118,ITEM_RES!$A:$A,0)-1,0),0)*BL118+IFERROR(OFFSET(ITEM_RES!$T$1,MATCH(BO118,ITEM_RES!$A:$A,0)-1,0),0)*BQ118)/1000</f>
        <v>1372.5</v>
      </c>
      <c r="AK118" s="183">
        <f t="shared" ca="1" si="65"/>
        <v>2440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211020301</v>
      </c>
      <c r="AV118" s="10" t="s">
        <v>461</v>
      </c>
      <c r="AW118" s="11">
        <v>2250</v>
      </c>
      <c r="AZ118" s="11">
        <f ca="1">IFERROR(OFFSET(ITEM_RES!$A$1,MATCH(BA118,ITEM_RES!$J:$J,0)-1,0),0)</f>
        <v>211020401</v>
      </c>
      <c r="BA118" s="10" t="s">
        <v>430</v>
      </c>
      <c r="BB118" s="11">
        <v>2250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803</v>
      </c>
      <c r="M119" s="9" t="s">
        <v>964</v>
      </c>
      <c r="N119" s="9" t="s">
        <v>985</v>
      </c>
      <c r="O119" s="9">
        <v>1</v>
      </c>
      <c r="P119" s="9">
        <v>15</v>
      </c>
      <c r="Q119" s="9" t="s">
        <v>805</v>
      </c>
      <c r="U119" s="9" t="s">
        <v>804</v>
      </c>
      <c r="W119" s="85" t="s">
        <v>412</v>
      </c>
      <c r="X119" s="9">
        <f ca="1">IFERROR(OFFSET(ITEM_RES!$A$5,MATCH(BUILDING!W119,ITEM_RES!$J$5:$J$226,0)-1,0),0)</f>
        <v>211021001</v>
      </c>
      <c r="Y119" s="11">
        <v>10</v>
      </c>
      <c r="Z119" s="85" t="s">
        <v>554</v>
      </c>
      <c r="AA119" s="9">
        <f ca="1">IFERROR(OFFSET(ITEM_RES!$A$5,MATCH(BUILDING!Z119,ITEM_RES!$J$5:$J$226,0)-1,0),0)</f>
        <v>211021101</v>
      </c>
      <c r="AC119" s="9" t="s">
        <v>524</v>
      </c>
      <c r="AD119" s="9">
        <v>15</v>
      </c>
      <c r="AF119" s="9">
        <v>44000</v>
      </c>
      <c r="AI119" s="56">
        <f t="shared" ca="1" si="63"/>
        <v>2200</v>
      </c>
      <c r="AJ119" s="10">
        <f ca="1">AO119+AQ119+(IFERROR(OFFSET(ITEM_RES!$T$1,MATCH(AU119,ITEM_RES!$A:$A,0)-1,0),0)*AW119+IFERROR(OFFSET(ITEM_RES!$T$1,MATCH(AZ119,ITEM_RES!$A:$A,0)-1,0),0)*BB119+IFERROR(OFFSET(ITEM_RES!$T$1,MATCH(BE119,ITEM_RES!$A:$A,0)-1,0),0)*BG119+IFERROR(OFFSET(ITEM_RES!$T$1,MATCH(BJ119,ITEM_RES!$A:$A,0)-1,0),0)*BL119+IFERROR(OFFSET(ITEM_RES!$T$1,MATCH(BO119,ITEM_RES!$A:$A,0)-1,0),0)*BQ119)/1000</f>
        <v>2200</v>
      </c>
      <c r="AK119" s="183">
        <f t="shared" ca="1" si="65"/>
        <v>3572.5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211020301</v>
      </c>
      <c r="AV119" s="10" t="s">
        <v>461</v>
      </c>
      <c r="AW119" s="11">
        <v>2750</v>
      </c>
      <c r="AZ119" s="11">
        <f ca="1">IFERROR(OFFSET(ITEM_RES!$A$1,MATCH(BA119,ITEM_RES!$J:$J,0)-1,0),0)</f>
        <v>211020501</v>
      </c>
      <c r="BA119" s="10" t="s">
        <v>431</v>
      </c>
      <c r="BB119" s="11">
        <v>2750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803</v>
      </c>
      <c r="M120" s="9" t="s">
        <v>964</v>
      </c>
      <c r="N120" s="9" t="s">
        <v>985</v>
      </c>
      <c r="O120" s="9">
        <v>0</v>
      </c>
      <c r="P120" s="9">
        <v>15</v>
      </c>
      <c r="Q120" s="9" t="s">
        <v>805</v>
      </c>
      <c r="U120" s="9" t="s">
        <v>804</v>
      </c>
      <c r="W120" s="85" t="s">
        <v>412</v>
      </c>
      <c r="X120" s="9">
        <f ca="1">IFERROR(OFFSET(ITEM_RES!$A$5,MATCH(BUILDING!W120,ITEM_RES!$J$5:$J$226,0)-1,0),0)</f>
        <v>211021001</v>
      </c>
      <c r="Y120" s="11">
        <v>10</v>
      </c>
      <c r="Z120" s="85" t="s">
        <v>554</v>
      </c>
      <c r="AA120" s="9">
        <f ca="1">IFERROR(OFFSET(ITEM_RES!$A$5,MATCH(BUILDING!Z120,ITEM_RES!$J$5:$J$226,0)-1,0),0)</f>
        <v>211021101</v>
      </c>
      <c r="AC120" s="9" t="s">
        <v>524</v>
      </c>
      <c r="AD120" s="9">
        <v>16</v>
      </c>
      <c r="AF120" s="9">
        <v>56000</v>
      </c>
      <c r="AI120" s="56">
        <f t="shared" ca="1" si="63"/>
        <v>2800</v>
      </c>
      <c r="AJ120" s="10">
        <f ca="1">AO120+AQ120+(IFERROR(OFFSET(ITEM_RES!$T$1,MATCH(AU120,ITEM_RES!$A:$A,0)-1,0),0)*AW120+IFERROR(OFFSET(ITEM_RES!$T$1,MATCH(AZ120,ITEM_RES!$A:$A,0)-1,0),0)*BB120+IFERROR(OFFSET(ITEM_RES!$T$1,MATCH(BE120,ITEM_RES!$A:$A,0)-1,0),0)*BG120+IFERROR(OFFSET(ITEM_RES!$T$1,MATCH(BJ120,ITEM_RES!$A:$A,0)-1,0),0)*BL120+IFERROR(OFFSET(ITEM_RES!$T$1,MATCH(BO120,ITEM_RES!$A:$A,0)-1,0),0)*BQ120)/1000</f>
        <v>2800</v>
      </c>
      <c r="AK120" s="183">
        <f t="shared" ca="1" si="65"/>
        <v>5000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211020301</v>
      </c>
      <c r="AV120" s="10" t="s">
        <v>461</v>
      </c>
      <c r="AW120" s="11">
        <v>3500</v>
      </c>
      <c r="AZ120" s="11">
        <f ca="1">IFERROR(OFFSET(ITEM_RES!$A$1,MATCH(BA120,ITEM_RES!$J:$J,0)-1,0),0)</f>
        <v>211020501</v>
      </c>
      <c r="BA120" s="10" t="s">
        <v>431</v>
      </c>
      <c r="BB120" s="11">
        <v>3500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803</v>
      </c>
      <c r="M121" s="9" t="s">
        <v>964</v>
      </c>
      <c r="N121" s="9" t="s">
        <v>985</v>
      </c>
      <c r="O121" s="9">
        <v>0</v>
      </c>
      <c r="P121" s="9">
        <v>15</v>
      </c>
      <c r="Q121" s="9" t="s">
        <v>805</v>
      </c>
      <c r="U121" s="9" t="s">
        <v>804</v>
      </c>
      <c r="W121" s="85" t="s">
        <v>412</v>
      </c>
      <c r="X121" s="9">
        <f ca="1">IFERROR(OFFSET(ITEM_RES!$A$5,MATCH(BUILDING!W121,ITEM_RES!$J$5:$J$226,0)-1,0),0)</f>
        <v>211021001</v>
      </c>
      <c r="Y121" s="11">
        <v>10</v>
      </c>
      <c r="Z121" s="85" t="s">
        <v>554</v>
      </c>
      <c r="AA121" s="9">
        <f ca="1">IFERROR(OFFSET(ITEM_RES!$A$5,MATCH(BUILDING!Z121,ITEM_RES!$J$5:$J$226,0)-1,0),0)</f>
        <v>211021101</v>
      </c>
      <c r="AC121" s="9" t="s">
        <v>524</v>
      </c>
      <c r="AD121" s="9">
        <v>17</v>
      </c>
      <c r="AF121" s="9">
        <v>68000</v>
      </c>
      <c r="AI121" s="56">
        <f t="shared" ca="1" si="63"/>
        <v>2550</v>
      </c>
      <c r="AJ121" s="10">
        <f ca="1">AO121+AQ121+(IFERROR(OFFSET(ITEM_RES!$T$1,MATCH(AU121,ITEM_RES!$A:$A,0)-1,0),0)*AW121+IFERROR(OFFSET(ITEM_RES!$T$1,MATCH(AZ121,ITEM_RES!$A:$A,0)-1,0),0)*BB121+IFERROR(OFFSET(ITEM_RES!$T$1,MATCH(BE121,ITEM_RES!$A:$A,0)-1,0),0)*BG121+IFERROR(OFFSET(ITEM_RES!$T$1,MATCH(BJ121,ITEM_RES!$A:$A,0)-1,0),0)*BL121+IFERROR(OFFSET(ITEM_RES!$T$1,MATCH(BO121,ITEM_RES!$A:$A,0)-1,0),0)*BQ121)/1000</f>
        <v>2550</v>
      </c>
      <c r="AK121" s="183">
        <f t="shared" ca="1" si="65"/>
        <v>5350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0</v>
      </c>
      <c r="AV121" s="10" t="s">
        <v>452</v>
      </c>
      <c r="AW121" s="11">
        <v>4250</v>
      </c>
      <c r="AZ121" s="11">
        <f ca="1">IFERROR(OFFSET(ITEM_RES!$A$1,MATCH(BA121,ITEM_RES!$J:$J,0)-1,0),0)</f>
        <v>211020501</v>
      </c>
      <c r="BA121" s="10" t="s">
        <v>431</v>
      </c>
      <c r="BB121" s="11">
        <v>4250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803</v>
      </c>
      <c r="M122" s="9" t="s">
        <v>964</v>
      </c>
      <c r="N122" s="9" t="s">
        <v>985</v>
      </c>
      <c r="O122" s="9">
        <v>0</v>
      </c>
      <c r="P122" s="9">
        <v>15</v>
      </c>
      <c r="Q122" s="9" t="s">
        <v>805</v>
      </c>
      <c r="U122" s="9" t="s">
        <v>804</v>
      </c>
      <c r="W122" s="85" t="s">
        <v>412</v>
      </c>
      <c r="X122" s="9">
        <f ca="1">IFERROR(OFFSET(ITEM_RES!$A$5,MATCH(BUILDING!W122,ITEM_RES!$J$5:$J$226,0)-1,0),0)</f>
        <v>211021001</v>
      </c>
      <c r="Y122" s="11">
        <v>10</v>
      </c>
      <c r="Z122" s="85" t="s">
        <v>554</v>
      </c>
      <c r="AA122" s="9">
        <f ca="1">IFERROR(OFFSET(ITEM_RES!$A$5,MATCH(BUILDING!Z122,ITEM_RES!$J$5:$J$226,0)-1,0),0)</f>
        <v>211021101</v>
      </c>
      <c r="AC122" s="9" t="s">
        <v>524</v>
      </c>
      <c r="AD122" s="9">
        <v>18</v>
      </c>
      <c r="AF122" s="9">
        <v>84000</v>
      </c>
      <c r="AI122" s="56">
        <f t="shared" ca="1" si="63"/>
        <v>3150</v>
      </c>
      <c r="AJ122" s="10">
        <f ca="1">AO122+AQ122+(IFERROR(OFFSET(ITEM_RES!$T$1,MATCH(AU122,ITEM_RES!$A:$A,0)-1,0),0)*AW122+IFERROR(OFFSET(ITEM_RES!$T$1,MATCH(AZ122,ITEM_RES!$A:$A,0)-1,0),0)*BB122+IFERROR(OFFSET(ITEM_RES!$T$1,MATCH(BE122,ITEM_RES!$A:$A,0)-1,0),0)*BG122+IFERROR(OFFSET(ITEM_RES!$T$1,MATCH(BJ122,ITEM_RES!$A:$A,0)-1,0),0)*BL122+IFERROR(OFFSET(ITEM_RES!$T$1,MATCH(BO122,ITEM_RES!$A:$A,0)-1,0),0)*BQ122)/1000</f>
        <v>3150</v>
      </c>
      <c r="AK122" s="183">
        <f t="shared" ca="1" si="65"/>
        <v>5700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0</v>
      </c>
      <c r="AV122" s="10" t="s">
        <v>462</v>
      </c>
      <c r="AW122" s="11">
        <v>5250</v>
      </c>
      <c r="AZ122" s="11">
        <f ca="1">IFERROR(OFFSET(ITEM_RES!$A$1,MATCH(BA122,ITEM_RES!$J:$J,0)-1,0),0)</f>
        <v>211020501</v>
      </c>
      <c r="BA122" s="10" t="s">
        <v>431</v>
      </c>
      <c r="BB122" s="11">
        <v>5250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803</v>
      </c>
      <c r="M123" s="9" t="s">
        <v>964</v>
      </c>
      <c r="N123" s="9" t="s">
        <v>985</v>
      </c>
      <c r="O123" s="9">
        <v>0</v>
      </c>
      <c r="P123" s="9">
        <v>15</v>
      </c>
      <c r="Q123" s="9" t="s">
        <v>805</v>
      </c>
      <c r="U123" s="9" t="s">
        <v>804</v>
      </c>
      <c r="W123" s="85" t="s">
        <v>412</v>
      </c>
      <c r="X123" s="9">
        <f ca="1">IFERROR(OFFSET(ITEM_RES!$A$5,MATCH(BUILDING!W123,ITEM_RES!$J$5:$J$226,0)-1,0),0)</f>
        <v>211021001</v>
      </c>
      <c r="Y123" s="11">
        <v>10</v>
      </c>
      <c r="Z123" s="85" t="s">
        <v>554</v>
      </c>
      <c r="AA123" s="9">
        <f ca="1">IFERROR(OFFSET(ITEM_RES!$A$5,MATCH(BUILDING!Z123,ITEM_RES!$J$5:$J$226,0)-1,0),0)</f>
        <v>211021101</v>
      </c>
      <c r="AC123" s="9" t="s">
        <v>524</v>
      </c>
      <c r="AD123" s="9">
        <v>19</v>
      </c>
      <c r="AF123" s="9">
        <v>100000</v>
      </c>
      <c r="AI123" s="56">
        <f t="shared" ca="1" si="63"/>
        <v>3750</v>
      </c>
      <c r="AJ123" s="10">
        <f ca="1">AO123+AQ123+(IFERROR(OFFSET(ITEM_RES!$T$1,MATCH(AU123,ITEM_RES!$A:$A,0)-1,0),0)*AW123+IFERROR(OFFSET(ITEM_RES!$T$1,MATCH(AZ123,ITEM_RES!$A:$A,0)-1,0),0)*BB123+IFERROR(OFFSET(ITEM_RES!$T$1,MATCH(BE123,ITEM_RES!$A:$A,0)-1,0),0)*BG123+IFERROR(OFFSET(ITEM_RES!$T$1,MATCH(BJ123,ITEM_RES!$A:$A,0)-1,0),0)*BL123+IFERROR(OFFSET(ITEM_RES!$T$1,MATCH(BO123,ITEM_RES!$A:$A,0)-1,0),0)*BQ123)/1000</f>
        <v>3750</v>
      </c>
      <c r="AK123" s="183">
        <f t="shared" ca="1" si="65"/>
        <v>6900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0</v>
      </c>
      <c r="AV123" s="10" t="s">
        <v>462</v>
      </c>
      <c r="AW123" s="11">
        <v>6250</v>
      </c>
      <c r="AZ123" s="11">
        <f ca="1">IFERROR(OFFSET(ITEM_RES!$A$1,MATCH(BA123,ITEM_RES!$J:$J,0)-1,0),0)</f>
        <v>211020501</v>
      </c>
      <c r="BA123" s="10" t="s">
        <v>431</v>
      </c>
      <c r="BB123" s="11">
        <v>6250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803</v>
      </c>
      <c r="M124" s="9" t="s">
        <v>964</v>
      </c>
      <c r="N124" s="9" t="s">
        <v>985</v>
      </c>
      <c r="O124" s="9">
        <v>0</v>
      </c>
      <c r="P124" s="9">
        <v>15</v>
      </c>
      <c r="Q124" s="9" t="s">
        <v>805</v>
      </c>
      <c r="U124" s="9" t="s">
        <v>804</v>
      </c>
      <c r="W124" s="85" t="s">
        <v>412</v>
      </c>
      <c r="X124" s="9">
        <f ca="1">IFERROR(OFFSET(ITEM_RES!$A$5,MATCH(BUILDING!W124,ITEM_RES!$J$5:$J$226,0)-1,0),0)</f>
        <v>211021001</v>
      </c>
      <c r="Y124" s="11">
        <v>10</v>
      </c>
      <c r="Z124" s="85" t="s">
        <v>554</v>
      </c>
      <c r="AA124" s="9">
        <f ca="1">IFERROR(OFFSET(ITEM_RES!$A$5,MATCH(BUILDING!Z124,ITEM_RES!$J$5:$J$226,0)-1,0),0)</f>
        <v>211021101</v>
      </c>
      <c r="AC124" s="9" t="s">
        <v>524</v>
      </c>
      <c r="AD124" s="9">
        <v>20</v>
      </c>
      <c r="AF124" s="9">
        <v>120000</v>
      </c>
      <c r="AI124" s="56">
        <f t="shared" ca="1" si="63"/>
        <v>4500</v>
      </c>
      <c r="AJ124" s="10">
        <f ca="1">AO124+AQ124+(IFERROR(OFFSET(ITEM_RES!$T$1,MATCH(AU124,ITEM_RES!$A:$A,0)-1,0),0)*AW124+IFERROR(OFFSET(ITEM_RES!$T$1,MATCH(AZ124,ITEM_RES!$A:$A,0)-1,0),0)*BB124+IFERROR(OFFSET(ITEM_RES!$T$1,MATCH(BE124,ITEM_RES!$A:$A,0)-1,0),0)*BG124+IFERROR(OFFSET(ITEM_RES!$T$1,MATCH(BJ124,ITEM_RES!$A:$A,0)-1,0),0)*BL124+IFERROR(OFFSET(ITEM_RES!$T$1,MATCH(BO124,ITEM_RES!$A:$A,0)-1,0),0)*BQ124)/1000</f>
        <v>4500</v>
      </c>
      <c r="AK124" s="183">
        <f t="shared" ca="1" si="65"/>
        <v>8250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0</v>
      </c>
      <c r="AV124" s="10" t="s">
        <v>462</v>
      </c>
      <c r="AW124" s="11">
        <v>7500</v>
      </c>
      <c r="AZ124" s="11">
        <f ca="1">IFERROR(OFFSET(ITEM_RES!$A$1,MATCH(BA124,ITEM_RES!$J:$J,0)-1,0),0)</f>
        <v>211020501</v>
      </c>
      <c r="BA124" s="10" t="s">
        <v>431</v>
      </c>
      <c r="BB124" s="11">
        <v>7500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3</v>
      </c>
      <c r="M125" s="16" t="s">
        <v>965</v>
      </c>
      <c r="N125" s="16" t="s">
        <v>986</v>
      </c>
      <c r="O125" s="16">
        <v>1</v>
      </c>
      <c r="P125" s="16">
        <v>15</v>
      </c>
      <c r="Q125" s="16" t="s">
        <v>802</v>
      </c>
      <c r="R125" s="17"/>
      <c r="S125" s="17"/>
      <c r="T125" s="18"/>
      <c r="U125" s="16" t="s">
        <v>718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555</v>
      </c>
      <c r="AA125" s="16">
        <f ca="1">IFERROR(OFFSET(ITEM_RES!$A$5,MATCH(BUILDING!Z125,ITEM_RES!$J$5:$J$226,0)-1,0),0)</f>
        <v>211010501</v>
      </c>
      <c r="AB125" s="79"/>
      <c r="AC125" s="16" t="s">
        <v>525</v>
      </c>
      <c r="AD125" s="16">
        <v>1</v>
      </c>
      <c r="AE125" s="79"/>
      <c r="AF125" s="16">
        <v>0</v>
      </c>
      <c r="AG125" s="17"/>
      <c r="AH125" s="79"/>
      <c r="AI125" s="57">
        <f t="shared" ca="1" si="63"/>
        <v>110</v>
      </c>
      <c r="AJ125" s="17">
        <f ca="1">AO125+AQ125+(IFERROR(OFFSET(ITEM_RES!$T$1,MATCH(AU125,ITEM_RES!$A:$A,0)-1,0),0)*AW125+IFERROR(OFFSET(ITEM_RES!$T$1,MATCH(AZ125,ITEM_RES!$A:$A,0)-1,0),0)*BB125+IFERROR(OFFSET(ITEM_RES!$T$1,MATCH(BE125,ITEM_RES!$A:$A,0)-1,0),0)*BG125+IFERROR(OFFSET(ITEM_RES!$T$1,MATCH(BJ125,ITEM_RES!$A:$A,0)-1,0),0)*BL125+IFERROR(OFFSET(ITEM_RES!$T$1,MATCH(BO125,ITEM_RES!$A:$A,0)-1,0),0)*BQ125)/1000</f>
        <v>110.25</v>
      </c>
      <c r="AK125" s="185">
        <f ca="1">AJ125</f>
        <v>110.25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2</v>
      </c>
      <c r="AT125" s="18"/>
      <c r="AU125" s="18">
        <f ca="1">IFERROR(OFFSET(ITEM_RES!$A$1,MATCH(AV125,ITEM_RES!$J:$J,0)-1,0),0)</f>
        <v>211020401</v>
      </c>
      <c r="AV125" s="17" t="s">
        <v>443</v>
      </c>
      <c r="AW125" s="18">
        <v>25</v>
      </c>
      <c r="AX125" s="17"/>
      <c r="AY125" s="18"/>
      <c r="AZ125" s="18">
        <f ca="1">IFERROR(OFFSET(ITEM_RES!$A$1,MATCH(BA125,ITEM_RES!$J:$J,0)-1,0),0)</f>
        <v>0</v>
      </c>
      <c r="BA125" s="17"/>
      <c r="BB125" s="18"/>
      <c r="BC125" s="17"/>
      <c r="BD125" s="18"/>
      <c r="BE125" s="18">
        <f ca="1">IFERROR(OFFSET(ITEM_RES!$A$1,MATCH(BF125,ITEM_RES!$J:$J,0)-1,0),0)</f>
        <v>213010101</v>
      </c>
      <c r="BF125" s="17" t="s">
        <v>463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965</v>
      </c>
      <c r="N126" s="9" t="s">
        <v>986</v>
      </c>
      <c r="O126" s="9">
        <v>1</v>
      </c>
      <c r="P126" s="9">
        <v>15</v>
      </c>
      <c r="Q126" s="9" t="s">
        <v>802</v>
      </c>
      <c r="U126" s="9" t="s">
        <v>718</v>
      </c>
      <c r="X126" s="9">
        <f ca="1">IFERROR(OFFSET(ITEM_RES!$A$5,MATCH(BUILDING!W126,ITEM_RES!$J$5:$J$226,0)-1,0),0)</f>
        <v>0</v>
      </c>
      <c r="Z126" s="85" t="s">
        <v>555</v>
      </c>
      <c r="AA126" s="9">
        <f ca="1">IFERROR(OFFSET(ITEM_RES!$A$5,MATCH(BUILDING!Z126,ITEM_RES!$J$5:$J$226,0)-1,0),0)</f>
        <v>211010501</v>
      </c>
      <c r="AC126" s="9" t="s">
        <v>525</v>
      </c>
      <c r="AD126" s="9">
        <v>2</v>
      </c>
      <c r="AF126" s="9">
        <v>200</v>
      </c>
      <c r="AI126" s="56">
        <f t="shared" ca="1" si="63"/>
        <v>21</v>
      </c>
      <c r="AJ126" s="10">
        <f ca="1">AO126+AQ126+(IFERROR(OFFSET(ITEM_RES!$T$1,MATCH(AU126,ITEM_RES!$A:$A,0)-1,0),0)*AW126+IFERROR(OFFSET(ITEM_RES!$T$1,MATCH(AZ126,ITEM_RES!$A:$A,0)-1,0),0)*BB126+IFERROR(OFFSET(ITEM_RES!$T$1,MATCH(BE126,ITEM_RES!$A:$A,0)-1,0),0)*BG126+IFERROR(OFFSET(ITEM_RES!$T$1,MATCH(BJ126,ITEM_RES!$A:$A,0)-1,0),0)*BL126+IFERROR(OFFSET(ITEM_RES!$T$1,MATCH(BO126,ITEM_RES!$A:$A,0)-1,0),0)*BQ126)/1000</f>
        <v>20.5</v>
      </c>
      <c r="AK126" s="183">
        <f t="shared" ref="AK126:AK144" ca="1" si="66">AJ125+AJ126</f>
        <v>130.75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1</v>
      </c>
      <c r="AU126" s="11">
        <f ca="1">IFERROR(OFFSET(ITEM_RES!$A$1,MATCH(AV126,ITEM_RES!$J:$J,0)-1,0),0)</f>
        <v>211020401</v>
      </c>
      <c r="AV126" s="10" t="s">
        <v>443</v>
      </c>
      <c r="AW126" s="11">
        <v>50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965</v>
      </c>
      <c r="N127" s="9" t="s">
        <v>986</v>
      </c>
      <c r="O127" s="9">
        <v>1</v>
      </c>
      <c r="P127" s="9">
        <v>15</v>
      </c>
      <c r="Q127" s="9" t="s">
        <v>802</v>
      </c>
      <c r="U127" s="9" t="s">
        <v>718</v>
      </c>
      <c r="X127" s="9">
        <f ca="1">IFERROR(OFFSET(ITEM_RES!$A$5,MATCH(BUILDING!W127,ITEM_RES!$J$5:$J$226,0)-1,0),0)</f>
        <v>0</v>
      </c>
      <c r="Z127" s="85" t="s">
        <v>555</v>
      </c>
      <c r="AA127" s="9">
        <f ca="1">IFERROR(OFFSET(ITEM_RES!$A$5,MATCH(BUILDING!Z127,ITEM_RES!$J$5:$J$226,0)-1,0),0)</f>
        <v>211010501</v>
      </c>
      <c r="AC127" s="9" t="s">
        <v>525</v>
      </c>
      <c r="AD127" s="9">
        <v>3</v>
      </c>
      <c r="AF127" s="9">
        <v>600</v>
      </c>
      <c r="AI127" s="56">
        <f t="shared" ca="1" si="63"/>
        <v>31</v>
      </c>
      <c r="AJ127" s="10">
        <f ca="1">AO127+AQ127+(IFERROR(OFFSET(ITEM_RES!$T$1,MATCH(AU127,ITEM_RES!$A:$A,0)-1,0),0)*AW127+IFERROR(OFFSET(ITEM_RES!$T$1,MATCH(AZ127,ITEM_RES!$A:$A,0)-1,0),0)*BB127+IFERROR(OFFSET(ITEM_RES!$T$1,MATCH(BE127,ITEM_RES!$A:$A,0)-1,0),0)*BG127+IFERROR(OFFSET(ITEM_RES!$T$1,MATCH(BJ127,ITEM_RES!$A:$A,0)-1,0),0)*BL127+IFERROR(OFFSET(ITEM_RES!$T$1,MATCH(BO127,ITEM_RES!$A:$A,0)-1,0),0)*BQ127)/1000</f>
        <v>30.75</v>
      </c>
      <c r="AK127" s="183">
        <f t="shared" ca="1" si="66"/>
        <v>51.25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1</v>
      </c>
      <c r="AU127" s="11">
        <f ca="1">IFERROR(OFFSET(ITEM_RES!$A$1,MATCH(AV127,ITEM_RES!$J:$J,0)-1,0),0)</f>
        <v>211020401</v>
      </c>
      <c r="AV127" s="10" t="s">
        <v>443</v>
      </c>
      <c r="AW127" s="11">
        <v>75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965</v>
      </c>
      <c r="N128" s="9" t="s">
        <v>986</v>
      </c>
      <c r="O128" s="9">
        <v>1</v>
      </c>
      <c r="P128" s="9">
        <v>15</v>
      </c>
      <c r="Q128" s="9" t="s">
        <v>802</v>
      </c>
      <c r="U128" s="9" t="s">
        <v>718</v>
      </c>
      <c r="X128" s="9">
        <f ca="1">IFERROR(OFFSET(ITEM_RES!$A$5,MATCH(BUILDING!W128,ITEM_RES!$J$5:$J$226,0)-1,0),0)</f>
        <v>0</v>
      </c>
      <c r="Z128" s="85" t="s">
        <v>555</v>
      </c>
      <c r="AA128" s="9">
        <f ca="1">IFERROR(OFFSET(ITEM_RES!$A$5,MATCH(BUILDING!Z128,ITEM_RES!$J$5:$J$226,0)-1,0),0)</f>
        <v>211010501</v>
      </c>
      <c r="AC128" s="9" t="s">
        <v>525</v>
      </c>
      <c r="AD128" s="9">
        <v>4</v>
      </c>
      <c r="AF128" s="9">
        <v>1000</v>
      </c>
      <c r="AI128" s="56">
        <f t="shared" ca="1" si="63"/>
        <v>51</v>
      </c>
      <c r="AJ128" s="10">
        <f ca="1">AO128+AQ128+(IFERROR(OFFSET(ITEM_RES!$T$1,MATCH(AU128,ITEM_RES!$A:$A,0)-1,0),0)*AW128+IFERROR(OFFSET(ITEM_RES!$T$1,MATCH(AZ128,ITEM_RES!$A:$A,0)-1,0),0)*BB128+IFERROR(OFFSET(ITEM_RES!$T$1,MATCH(BE128,ITEM_RES!$A:$A,0)-1,0),0)*BG128+IFERROR(OFFSET(ITEM_RES!$T$1,MATCH(BJ128,ITEM_RES!$A:$A,0)-1,0),0)*BL128+IFERROR(OFFSET(ITEM_RES!$T$1,MATCH(BO128,ITEM_RES!$A:$A,0)-1,0),0)*BQ128)/1000</f>
        <v>51.25</v>
      </c>
      <c r="AK128" s="183">
        <f t="shared" ca="1" si="66"/>
        <v>82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1</v>
      </c>
      <c r="AU128" s="11">
        <f ca="1">IFERROR(OFFSET(ITEM_RES!$A$1,MATCH(AV128,ITEM_RES!$J:$J,0)-1,0),0)</f>
        <v>211020401</v>
      </c>
      <c r="AV128" s="10" t="s">
        <v>443</v>
      </c>
      <c r="AW128" s="11">
        <v>125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965</v>
      </c>
      <c r="N129" s="9" t="s">
        <v>986</v>
      </c>
      <c r="O129" s="9">
        <v>1</v>
      </c>
      <c r="P129" s="9">
        <v>15</v>
      </c>
      <c r="Q129" s="9" t="s">
        <v>802</v>
      </c>
      <c r="U129" s="9" t="s">
        <v>718</v>
      </c>
      <c r="X129" s="9">
        <f ca="1">IFERROR(OFFSET(ITEM_RES!$A$5,MATCH(BUILDING!W129,ITEM_RES!$J$5:$J$226,0)-1,0),0)</f>
        <v>0</v>
      </c>
      <c r="Z129" s="85" t="s">
        <v>555</v>
      </c>
      <c r="AA129" s="9">
        <f ca="1">IFERROR(OFFSET(ITEM_RES!$A$5,MATCH(BUILDING!Z129,ITEM_RES!$J$5:$J$226,0)-1,0),0)</f>
        <v>211010501</v>
      </c>
      <c r="AC129" s="9" t="s">
        <v>525</v>
      </c>
      <c r="AD129" s="9">
        <v>5</v>
      </c>
      <c r="AF129" s="9">
        <v>1600</v>
      </c>
      <c r="AI129" s="56">
        <f t="shared" ca="1" si="63"/>
        <v>82</v>
      </c>
      <c r="AJ129" s="10">
        <f ca="1">AO129+AQ129+(IFERROR(OFFSET(ITEM_RES!$T$1,MATCH(AU129,ITEM_RES!$A:$A,0)-1,0),0)*AW129+IFERROR(OFFSET(ITEM_RES!$T$1,MATCH(AZ129,ITEM_RES!$A:$A,0)-1,0),0)*BB129+IFERROR(OFFSET(ITEM_RES!$T$1,MATCH(BE129,ITEM_RES!$A:$A,0)-1,0),0)*BG129+IFERROR(OFFSET(ITEM_RES!$T$1,MATCH(BJ129,ITEM_RES!$A:$A,0)-1,0),0)*BL129+IFERROR(OFFSET(ITEM_RES!$T$1,MATCH(BO129,ITEM_RES!$A:$A,0)-1,0),0)*BQ129)/1000</f>
        <v>82</v>
      </c>
      <c r="AK129" s="183">
        <f t="shared" ca="1" si="66"/>
        <v>133.25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1</v>
      </c>
      <c r="AU129" s="11">
        <f ca="1">IFERROR(OFFSET(ITEM_RES!$A$1,MATCH(AV129,ITEM_RES!$J:$J,0)-1,0),0)</f>
        <v>211020401</v>
      </c>
      <c r="AV129" s="10" t="s">
        <v>443</v>
      </c>
      <c r="AW129" s="11">
        <v>200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965</v>
      </c>
      <c r="N130" s="9" t="s">
        <v>986</v>
      </c>
      <c r="O130" s="9">
        <v>1</v>
      </c>
      <c r="P130" s="9">
        <v>15</v>
      </c>
      <c r="Q130" s="9" t="s">
        <v>802</v>
      </c>
      <c r="U130" s="9" t="s">
        <v>718</v>
      </c>
      <c r="X130" s="9">
        <f ca="1">IFERROR(OFFSET(ITEM_RES!$A$5,MATCH(BUILDING!W130,ITEM_RES!$J$5:$J$226,0)-1,0),0)</f>
        <v>0</v>
      </c>
      <c r="Z130" s="85" t="s">
        <v>555</v>
      </c>
      <c r="AA130" s="9">
        <f ca="1">IFERROR(OFFSET(ITEM_RES!$A$5,MATCH(BUILDING!Z130,ITEM_RES!$J$5:$J$226,0)-1,0),0)</f>
        <v>211010501</v>
      </c>
      <c r="AC130" s="9" t="s">
        <v>525</v>
      </c>
      <c r="AD130" s="9">
        <v>6</v>
      </c>
      <c r="AF130" s="9">
        <v>2000</v>
      </c>
      <c r="AI130" s="56">
        <f t="shared" ca="1" si="63"/>
        <v>103</v>
      </c>
      <c r="AJ130" s="10">
        <f ca="1">AO130+AQ130+(IFERROR(OFFSET(ITEM_RES!$T$1,MATCH(AU130,ITEM_RES!$A:$A,0)-1,0),0)*AW130+IFERROR(OFFSET(ITEM_RES!$T$1,MATCH(AZ130,ITEM_RES!$A:$A,0)-1,0),0)*BB130+IFERROR(OFFSET(ITEM_RES!$T$1,MATCH(BE130,ITEM_RES!$A:$A,0)-1,0),0)*BG130+IFERROR(OFFSET(ITEM_RES!$T$1,MATCH(BJ130,ITEM_RES!$A:$A,0)-1,0),0)*BL130+IFERROR(OFFSET(ITEM_RES!$T$1,MATCH(BO130,ITEM_RES!$A:$A,0)-1,0),0)*BQ130)/1000</f>
        <v>102.5</v>
      </c>
      <c r="AK130" s="183">
        <f t="shared" ca="1" si="66"/>
        <v>184.5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1</v>
      </c>
      <c r="AU130" s="11">
        <f ca="1">IFERROR(OFFSET(ITEM_RES!$A$1,MATCH(AV130,ITEM_RES!$J:$J,0)-1,0),0)</f>
        <v>211020401</v>
      </c>
      <c r="AV130" s="10" t="s">
        <v>443</v>
      </c>
      <c r="AW130" s="11">
        <v>250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965</v>
      </c>
      <c r="N131" s="9" t="s">
        <v>986</v>
      </c>
      <c r="O131" s="9">
        <v>1</v>
      </c>
      <c r="P131" s="9">
        <v>15</v>
      </c>
      <c r="Q131" s="9" t="s">
        <v>802</v>
      </c>
      <c r="U131" s="9" t="s">
        <v>718</v>
      </c>
      <c r="X131" s="9">
        <f ca="1">IFERROR(OFFSET(ITEM_RES!$A$5,MATCH(BUILDING!W131,ITEM_RES!$J$5:$J$226,0)-1,0),0)</f>
        <v>0</v>
      </c>
      <c r="Z131" s="85" t="s">
        <v>555</v>
      </c>
      <c r="AA131" s="9">
        <f ca="1">IFERROR(OFFSET(ITEM_RES!$A$5,MATCH(BUILDING!Z131,ITEM_RES!$J$5:$J$226,0)-1,0),0)</f>
        <v>211010501</v>
      </c>
      <c r="AC131" s="9" t="s">
        <v>525</v>
      </c>
      <c r="AD131" s="9">
        <v>7</v>
      </c>
      <c r="AF131" s="9">
        <v>4000</v>
      </c>
      <c r="AI131" s="56">
        <f t="shared" ca="1" si="63"/>
        <v>205</v>
      </c>
      <c r="AJ131" s="10">
        <f ca="1">AO131+AQ131+(IFERROR(OFFSET(ITEM_RES!$T$1,MATCH(AU131,ITEM_RES!$A:$A,0)-1,0),0)*AW131+IFERROR(OFFSET(ITEM_RES!$T$1,MATCH(AZ131,ITEM_RES!$A:$A,0)-1,0),0)*BB131+IFERROR(OFFSET(ITEM_RES!$T$1,MATCH(BE131,ITEM_RES!$A:$A,0)-1,0),0)*BG131+IFERROR(OFFSET(ITEM_RES!$T$1,MATCH(BJ131,ITEM_RES!$A:$A,0)-1,0),0)*BL131+IFERROR(OFFSET(ITEM_RES!$T$1,MATCH(BO131,ITEM_RES!$A:$A,0)-1,0),0)*BQ131)/1000</f>
        <v>205</v>
      </c>
      <c r="AK131" s="183">
        <f t="shared" ca="1" si="66"/>
        <v>307.5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1</v>
      </c>
      <c r="AU131" s="11">
        <f ca="1">IFERROR(OFFSET(ITEM_RES!$A$1,MATCH(AV131,ITEM_RES!$J:$J,0)-1,0),0)</f>
        <v>211020401</v>
      </c>
      <c r="AV131" s="10" t="s">
        <v>443</v>
      </c>
      <c r="AW131" s="11">
        <v>500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965</v>
      </c>
      <c r="N132" s="9" t="s">
        <v>986</v>
      </c>
      <c r="O132" s="9">
        <v>1</v>
      </c>
      <c r="P132" s="9">
        <v>15</v>
      </c>
      <c r="Q132" s="9" t="s">
        <v>802</v>
      </c>
      <c r="U132" s="9" t="s">
        <v>718</v>
      </c>
      <c r="X132" s="9">
        <f ca="1">IFERROR(OFFSET(ITEM_RES!$A$5,MATCH(BUILDING!W132,ITEM_RES!$J$5:$J$226,0)-1,0),0)</f>
        <v>0</v>
      </c>
      <c r="Z132" s="85" t="s">
        <v>555</v>
      </c>
      <c r="AA132" s="9">
        <f ca="1">IFERROR(OFFSET(ITEM_RES!$A$5,MATCH(BUILDING!Z132,ITEM_RES!$J$5:$J$226,0)-1,0),0)</f>
        <v>211010501</v>
      </c>
      <c r="AC132" s="9" t="s">
        <v>525</v>
      </c>
      <c r="AD132" s="9">
        <v>8</v>
      </c>
      <c r="AF132" s="9">
        <v>4000</v>
      </c>
      <c r="AI132" s="56">
        <f t="shared" ca="1" si="63"/>
        <v>205</v>
      </c>
      <c r="AJ132" s="10">
        <f ca="1">AO132+AQ132+(IFERROR(OFFSET(ITEM_RES!$T$1,MATCH(AU132,ITEM_RES!$A:$A,0)-1,0),0)*AW132+IFERROR(OFFSET(ITEM_RES!$T$1,MATCH(AZ132,ITEM_RES!$A:$A,0)-1,0),0)*BB132+IFERROR(OFFSET(ITEM_RES!$T$1,MATCH(BE132,ITEM_RES!$A:$A,0)-1,0),0)*BG132+IFERROR(OFFSET(ITEM_RES!$T$1,MATCH(BJ132,ITEM_RES!$A:$A,0)-1,0),0)*BL132+IFERROR(OFFSET(ITEM_RES!$T$1,MATCH(BO132,ITEM_RES!$A:$A,0)-1,0),0)*BQ132)/1000</f>
        <v>205</v>
      </c>
      <c r="AK132" s="183">
        <f t="shared" ca="1" si="66"/>
        <v>410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1</v>
      </c>
      <c r="AU132" s="11">
        <f ca="1">IFERROR(OFFSET(ITEM_RES!$A$1,MATCH(AV132,ITEM_RES!$J:$J,0)-1,0),0)</f>
        <v>211020401</v>
      </c>
      <c r="AV132" s="10" t="s">
        <v>443</v>
      </c>
      <c r="AW132" s="11">
        <v>500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965</v>
      </c>
      <c r="N133" s="9" t="s">
        <v>986</v>
      </c>
      <c r="O133" s="9">
        <v>1</v>
      </c>
      <c r="P133" s="9">
        <v>15</v>
      </c>
      <c r="Q133" s="9" t="s">
        <v>802</v>
      </c>
      <c r="U133" s="9" t="s">
        <v>718</v>
      </c>
      <c r="X133" s="9">
        <f ca="1">IFERROR(OFFSET(ITEM_RES!$A$5,MATCH(BUILDING!W133,ITEM_RES!$J$5:$J$226,0)-1,0),0)</f>
        <v>0</v>
      </c>
      <c r="Z133" s="85" t="s">
        <v>555</v>
      </c>
      <c r="AA133" s="9">
        <f ca="1">IFERROR(OFFSET(ITEM_RES!$A$5,MATCH(BUILDING!Z133,ITEM_RES!$J$5:$J$226,0)-1,0),0)</f>
        <v>211010501</v>
      </c>
      <c r="AC133" s="9" t="s">
        <v>525</v>
      </c>
      <c r="AD133" s="9">
        <v>9</v>
      </c>
      <c r="AF133" s="9">
        <v>6000</v>
      </c>
      <c r="AI133" s="56">
        <f t="shared" ca="1" si="63"/>
        <v>308</v>
      </c>
      <c r="AJ133" s="10">
        <f ca="1">AO133+AQ133+(IFERROR(OFFSET(ITEM_RES!$T$1,MATCH(AU133,ITEM_RES!$A:$A,0)-1,0),0)*AW133+IFERROR(OFFSET(ITEM_RES!$T$1,MATCH(AZ133,ITEM_RES!$A:$A,0)-1,0),0)*BB133+IFERROR(OFFSET(ITEM_RES!$T$1,MATCH(BE133,ITEM_RES!$A:$A,0)-1,0),0)*BG133+IFERROR(OFFSET(ITEM_RES!$T$1,MATCH(BJ133,ITEM_RES!$A:$A,0)-1,0),0)*BL133+IFERROR(OFFSET(ITEM_RES!$T$1,MATCH(BO133,ITEM_RES!$A:$A,0)-1,0),0)*BQ133)/1000</f>
        <v>307.5</v>
      </c>
      <c r="AK133" s="183">
        <f t="shared" ca="1" si="66"/>
        <v>512.5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1</v>
      </c>
      <c r="AU133" s="11">
        <f ca="1">IFERROR(OFFSET(ITEM_RES!$A$1,MATCH(AV133,ITEM_RES!$J:$J,0)-1,0),0)</f>
        <v>211020401</v>
      </c>
      <c r="AV133" s="10" t="s">
        <v>443</v>
      </c>
      <c r="AW133" s="11">
        <v>750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965</v>
      </c>
      <c r="N134" s="9" t="s">
        <v>986</v>
      </c>
      <c r="O134" s="9">
        <v>1</v>
      </c>
      <c r="P134" s="9">
        <v>15</v>
      </c>
      <c r="Q134" s="9" t="s">
        <v>802</v>
      </c>
      <c r="U134" s="9" t="s">
        <v>718</v>
      </c>
      <c r="X134" s="9">
        <f ca="1">IFERROR(OFFSET(ITEM_RES!$A$5,MATCH(BUILDING!W134,ITEM_RES!$J$5:$J$226,0)-1,0),0)</f>
        <v>0</v>
      </c>
      <c r="Z134" s="85" t="s">
        <v>555</v>
      </c>
      <c r="AA134" s="9">
        <f ca="1">IFERROR(OFFSET(ITEM_RES!$A$5,MATCH(BUILDING!Z134,ITEM_RES!$J$5:$J$226,0)-1,0),0)</f>
        <v>211010501</v>
      </c>
      <c r="AC134" s="9" t="s">
        <v>525</v>
      </c>
      <c r="AD134" s="9">
        <v>10</v>
      </c>
      <c r="AF134" s="9">
        <v>8000</v>
      </c>
      <c r="AI134" s="56">
        <f t="shared" ca="1" si="63"/>
        <v>410</v>
      </c>
      <c r="AJ134" s="10">
        <f ca="1">AO134+AQ134+(IFERROR(OFFSET(ITEM_RES!$T$1,MATCH(AU134,ITEM_RES!$A:$A,0)-1,0),0)*AW134+IFERROR(OFFSET(ITEM_RES!$T$1,MATCH(AZ134,ITEM_RES!$A:$A,0)-1,0),0)*BB134+IFERROR(OFFSET(ITEM_RES!$T$1,MATCH(BE134,ITEM_RES!$A:$A,0)-1,0),0)*BG134+IFERROR(OFFSET(ITEM_RES!$T$1,MATCH(BJ134,ITEM_RES!$A:$A,0)-1,0),0)*BL134+IFERROR(OFFSET(ITEM_RES!$T$1,MATCH(BO134,ITEM_RES!$A:$A,0)-1,0),0)*BQ134)/1000</f>
        <v>410</v>
      </c>
      <c r="AK134" s="183">
        <f t="shared" ca="1" si="66"/>
        <v>717.5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1</v>
      </c>
      <c r="AU134" s="11">
        <f ca="1">IFERROR(OFFSET(ITEM_RES!$A$1,MATCH(AV134,ITEM_RES!$J:$J,0)-1,0),0)</f>
        <v>211020401</v>
      </c>
      <c r="AV134" s="10" t="s">
        <v>443</v>
      </c>
      <c r="AW134" s="11">
        <v>1000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965</v>
      </c>
      <c r="N135" s="9" t="s">
        <v>986</v>
      </c>
      <c r="O135" s="9">
        <v>1</v>
      </c>
      <c r="P135" s="9">
        <v>15</v>
      </c>
      <c r="Q135" s="9" t="s">
        <v>802</v>
      </c>
      <c r="U135" s="9" t="s">
        <v>718</v>
      </c>
      <c r="X135" s="9">
        <f ca="1">IFERROR(OFFSET(ITEM_RES!$A$5,MATCH(BUILDING!W135,ITEM_RES!$J$5:$J$226,0)-1,0),0)</f>
        <v>0</v>
      </c>
      <c r="Z135" s="85" t="s">
        <v>555</v>
      </c>
      <c r="AA135" s="9">
        <f ca="1">IFERROR(OFFSET(ITEM_RES!$A$5,MATCH(BUILDING!Z135,ITEM_RES!$J$5:$J$226,0)-1,0),0)</f>
        <v>211010501</v>
      </c>
      <c r="AC135" s="9" t="s">
        <v>525</v>
      </c>
      <c r="AD135" s="9">
        <v>11</v>
      </c>
      <c r="AF135" s="9">
        <v>10000</v>
      </c>
      <c r="AI135" s="56">
        <f t="shared" ca="1" si="63"/>
        <v>750</v>
      </c>
      <c r="AJ135" s="10">
        <f ca="1">AO135+AQ135+(IFERROR(OFFSET(ITEM_RES!$T$1,MATCH(AU135,ITEM_RES!$A:$A,0)-1,0),0)*AW135+IFERROR(OFFSET(ITEM_RES!$T$1,MATCH(AZ135,ITEM_RES!$A:$A,0)-1,0),0)*BB135+IFERROR(OFFSET(ITEM_RES!$T$1,MATCH(BE135,ITEM_RES!$A:$A,0)-1,0),0)*BG135+IFERROR(OFFSET(ITEM_RES!$T$1,MATCH(BJ135,ITEM_RES!$A:$A,0)-1,0),0)*BL135+IFERROR(OFFSET(ITEM_RES!$T$1,MATCH(BO135,ITEM_RES!$A:$A,0)-1,0),0)*BQ135)/1000</f>
        <v>750</v>
      </c>
      <c r="AK135" s="183">
        <f t="shared" ca="1" si="66"/>
        <v>1160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1</v>
      </c>
      <c r="AU135" s="11">
        <f ca="1">IFERROR(OFFSET(ITEM_RES!$A$1,MATCH(AV135,ITEM_RES!$J:$J,0)-1,0),0)</f>
        <v>211020501</v>
      </c>
      <c r="AV135" s="10" t="s">
        <v>440</v>
      </c>
      <c r="AW135" s="11">
        <v>1250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965</v>
      </c>
      <c r="N136" s="9" t="s">
        <v>986</v>
      </c>
      <c r="O136" s="9">
        <v>1</v>
      </c>
      <c r="P136" s="9">
        <v>15</v>
      </c>
      <c r="Q136" s="9" t="s">
        <v>802</v>
      </c>
      <c r="U136" s="9" t="s">
        <v>718</v>
      </c>
      <c r="X136" s="9">
        <f ca="1">IFERROR(OFFSET(ITEM_RES!$A$5,MATCH(BUILDING!W136,ITEM_RES!$J$5:$J$226,0)-1,0),0)</f>
        <v>0</v>
      </c>
      <c r="Z136" s="85" t="s">
        <v>555</v>
      </c>
      <c r="AA136" s="9">
        <f ca="1">IFERROR(OFFSET(ITEM_RES!$A$5,MATCH(BUILDING!Z136,ITEM_RES!$J$5:$J$226,0)-1,0),0)</f>
        <v>211010501</v>
      </c>
      <c r="AC136" s="9" t="s">
        <v>525</v>
      </c>
      <c r="AD136" s="9">
        <v>12</v>
      </c>
      <c r="AF136" s="9">
        <v>12000</v>
      </c>
      <c r="AI136" s="56">
        <f t="shared" ca="1" si="63"/>
        <v>900</v>
      </c>
      <c r="AJ136" s="10">
        <f ca="1">AO136+AQ136+(IFERROR(OFFSET(ITEM_RES!$T$1,MATCH(AU136,ITEM_RES!$A:$A,0)-1,0),0)*AW136+IFERROR(OFFSET(ITEM_RES!$T$1,MATCH(AZ136,ITEM_RES!$A:$A,0)-1,0),0)*BB136+IFERROR(OFFSET(ITEM_RES!$T$1,MATCH(BE136,ITEM_RES!$A:$A,0)-1,0),0)*BG136+IFERROR(OFFSET(ITEM_RES!$T$1,MATCH(BJ136,ITEM_RES!$A:$A,0)-1,0),0)*BL136+IFERROR(OFFSET(ITEM_RES!$T$1,MATCH(BO136,ITEM_RES!$A:$A,0)-1,0),0)*BQ136)/1000</f>
        <v>900</v>
      </c>
      <c r="AK136" s="183">
        <f t="shared" ca="1" si="66"/>
        <v>1650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1</v>
      </c>
      <c r="AU136" s="11">
        <f ca="1">IFERROR(OFFSET(ITEM_RES!$A$1,MATCH(AV136,ITEM_RES!$J:$J,0)-1,0),0)</f>
        <v>211020501</v>
      </c>
      <c r="AV136" s="10" t="s">
        <v>440</v>
      </c>
      <c r="AW136" s="11">
        <v>1500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965</v>
      </c>
      <c r="N137" s="9" t="s">
        <v>986</v>
      </c>
      <c r="O137" s="9">
        <v>1</v>
      </c>
      <c r="P137" s="9">
        <v>15</v>
      </c>
      <c r="Q137" s="9" t="s">
        <v>802</v>
      </c>
      <c r="U137" s="9" t="s">
        <v>718</v>
      </c>
      <c r="X137" s="9">
        <f ca="1">IFERROR(OFFSET(ITEM_RES!$A$5,MATCH(BUILDING!W137,ITEM_RES!$J$5:$J$226,0)-1,0),0)</f>
        <v>0</v>
      </c>
      <c r="Z137" s="85" t="s">
        <v>555</v>
      </c>
      <c r="AA137" s="9">
        <f ca="1">IFERROR(OFFSET(ITEM_RES!$A$5,MATCH(BUILDING!Z137,ITEM_RES!$J$5:$J$226,0)-1,0),0)</f>
        <v>211010501</v>
      </c>
      <c r="AC137" s="9" t="s">
        <v>525</v>
      </c>
      <c r="AD137" s="9">
        <v>13</v>
      </c>
      <c r="AF137" s="9">
        <v>14000</v>
      </c>
      <c r="AI137" s="56">
        <f t="shared" ca="1" si="63"/>
        <v>1050</v>
      </c>
      <c r="AJ137" s="10">
        <f ca="1">AO137+AQ137+(IFERROR(OFFSET(ITEM_RES!$T$1,MATCH(AU137,ITEM_RES!$A:$A,0)-1,0),0)*AW137+IFERROR(OFFSET(ITEM_RES!$T$1,MATCH(AZ137,ITEM_RES!$A:$A,0)-1,0),0)*BB137+IFERROR(OFFSET(ITEM_RES!$T$1,MATCH(BE137,ITEM_RES!$A:$A,0)-1,0),0)*BG137+IFERROR(OFFSET(ITEM_RES!$T$1,MATCH(BJ137,ITEM_RES!$A:$A,0)-1,0),0)*BL137+IFERROR(OFFSET(ITEM_RES!$T$1,MATCH(BO137,ITEM_RES!$A:$A,0)-1,0),0)*BQ137)/1000</f>
        <v>1050</v>
      </c>
      <c r="AK137" s="183">
        <f t="shared" ca="1" si="66"/>
        <v>1950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1</v>
      </c>
      <c r="AU137" s="11">
        <f ca="1">IFERROR(OFFSET(ITEM_RES!$A$1,MATCH(AV137,ITEM_RES!$J:$J,0)-1,0),0)</f>
        <v>211020501</v>
      </c>
      <c r="AV137" s="10" t="s">
        <v>440</v>
      </c>
      <c r="AW137" s="11">
        <v>1750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965</v>
      </c>
      <c r="N138" s="9" t="s">
        <v>986</v>
      </c>
      <c r="O138" s="9">
        <v>1</v>
      </c>
      <c r="P138" s="9">
        <v>15</v>
      </c>
      <c r="Q138" s="9" t="s">
        <v>802</v>
      </c>
      <c r="U138" s="9" t="s">
        <v>718</v>
      </c>
      <c r="X138" s="9">
        <f ca="1">IFERROR(OFFSET(ITEM_RES!$A$5,MATCH(BUILDING!W138,ITEM_RES!$J$5:$J$226,0)-1,0),0)</f>
        <v>0</v>
      </c>
      <c r="Z138" s="85" t="s">
        <v>555</v>
      </c>
      <c r="AA138" s="9">
        <f ca="1">IFERROR(OFFSET(ITEM_RES!$A$5,MATCH(BUILDING!Z138,ITEM_RES!$J$5:$J$226,0)-1,0),0)</f>
        <v>211010501</v>
      </c>
      <c r="AC138" s="9" t="s">
        <v>525</v>
      </c>
      <c r="AD138" s="9">
        <v>14</v>
      </c>
      <c r="AF138" s="9">
        <v>18000</v>
      </c>
      <c r="AI138" s="56">
        <f t="shared" ca="1" si="63"/>
        <v>1350</v>
      </c>
      <c r="AJ138" s="10">
        <f ca="1">AO138+AQ138+(IFERROR(OFFSET(ITEM_RES!$T$1,MATCH(AU138,ITEM_RES!$A:$A,0)-1,0),0)*AW138+IFERROR(OFFSET(ITEM_RES!$T$1,MATCH(AZ138,ITEM_RES!$A:$A,0)-1,0),0)*BB138+IFERROR(OFFSET(ITEM_RES!$T$1,MATCH(BE138,ITEM_RES!$A:$A,0)-1,0),0)*BG138+IFERROR(OFFSET(ITEM_RES!$T$1,MATCH(BJ138,ITEM_RES!$A:$A,0)-1,0),0)*BL138+IFERROR(OFFSET(ITEM_RES!$T$1,MATCH(BO138,ITEM_RES!$A:$A,0)-1,0),0)*BQ138)/1000</f>
        <v>1350</v>
      </c>
      <c r="AK138" s="183">
        <f t="shared" ca="1" si="66"/>
        <v>2400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1</v>
      </c>
      <c r="AU138" s="11">
        <f ca="1">IFERROR(OFFSET(ITEM_RES!$A$1,MATCH(AV138,ITEM_RES!$J:$J,0)-1,0),0)</f>
        <v>211020501</v>
      </c>
      <c r="AV138" s="10" t="s">
        <v>440</v>
      </c>
      <c r="AW138" s="11">
        <v>2250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965</v>
      </c>
      <c r="N139" s="9" t="s">
        <v>986</v>
      </c>
      <c r="O139" s="9">
        <v>1</v>
      </c>
      <c r="P139" s="9">
        <v>15</v>
      </c>
      <c r="Q139" s="9" t="s">
        <v>802</v>
      </c>
      <c r="U139" s="9" t="s">
        <v>718</v>
      </c>
      <c r="X139" s="9">
        <f ca="1">IFERROR(OFFSET(ITEM_RES!$A$5,MATCH(BUILDING!W139,ITEM_RES!$J$5:$J$226,0)-1,0),0)</f>
        <v>0</v>
      </c>
      <c r="Z139" s="85" t="s">
        <v>555</v>
      </c>
      <c r="AA139" s="9">
        <f ca="1">IFERROR(OFFSET(ITEM_RES!$A$5,MATCH(BUILDING!Z139,ITEM_RES!$J$5:$J$226,0)-1,0),0)</f>
        <v>211010501</v>
      </c>
      <c r="AC139" s="9" t="s">
        <v>525</v>
      </c>
      <c r="AD139" s="9">
        <v>15</v>
      </c>
      <c r="AF139" s="9">
        <v>22000</v>
      </c>
      <c r="AI139" s="56">
        <f t="shared" ca="1" si="63"/>
        <v>1650</v>
      </c>
      <c r="AJ139" s="10">
        <f ca="1">AO139+AQ139+(IFERROR(OFFSET(ITEM_RES!$T$1,MATCH(AU139,ITEM_RES!$A:$A,0)-1,0),0)*AW139+IFERROR(OFFSET(ITEM_RES!$T$1,MATCH(AZ139,ITEM_RES!$A:$A,0)-1,0),0)*BB139+IFERROR(OFFSET(ITEM_RES!$T$1,MATCH(BE139,ITEM_RES!$A:$A,0)-1,0),0)*BG139+IFERROR(OFFSET(ITEM_RES!$T$1,MATCH(BJ139,ITEM_RES!$A:$A,0)-1,0),0)*BL139+IFERROR(OFFSET(ITEM_RES!$T$1,MATCH(BO139,ITEM_RES!$A:$A,0)-1,0),0)*BQ139)/1000</f>
        <v>1650</v>
      </c>
      <c r="AK139" s="183">
        <f t="shared" ca="1" si="66"/>
        <v>3000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1</v>
      </c>
      <c r="AU139" s="11">
        <f ca="1">IFERROR(OFFSET(ITEM_RES!$A$1,MATCH(AV139,ITEM_RES!$J:$J,0)-1,0),0)</f>
        <v>211020501</v>
      </c>
      <c r="AV139" s="10" t="s">
        <v>440</v>
      </c>
      <c r="AW139" s="11">
        <v>2750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965</v>
      </c>
      <c r="N140" s="9" t="s">
        <v>986</v>
      </c>
      <c r="O140" s="9">
        <v>0</v>
      </c>
      <c r="P140" s="9">
        <v>15</v>
      </c>
      <c r="Q140" s="9" t="s">
        <v>802</v>
      </c>
      <c r="U140" s="9" t="s">
        <v>718</v>
      </c>
      <c r="X140" s="9">
        <f ca="1">IFERROR(OFFSET(ITEM_RES!$A$5,MATCH(BUILDING!W140,ITEM_RES!$J$5:$J$226,0)-1,0),0)</f>
        <v>0</v>
      </c>
      <c r="Z140" s="85" t="s">
        <v>555</v>
      </c>
      <c r="AA140" s="9">
        <f ca="1">IFERROR(OFFSET(ITEM_RES!$A$5,MATCH(BUILDING!Z140,ITEM_RES!$J$5:$J$226,0)-1,0),0)</f>
        <v>211010501</v>
      </c>
      <c r="AC140" s="9" t="s">
        <v>525</v>
      </c>
      <c r="AD140" s="9">
        <v>16</v>
      </c>
      <c r="AF140" s="9">
        <v>28000</v>
      </c>
      <c r="AI140" s="56">
        <f t="shared" ca="1" si="63"/>
        <v>2100</v>
      </c>
      <c r="AJ140" s="10">
        <f ca="1">AO140+AQ140+(IFERROR(OFFSET(ITEM_RES!$T$1,MATCH(AU140,ITEM_RES!$A:$A,0)-1,0),0)*AW140+IFERROR(OFFSET(ITEM_RES!$T$1,MATCH(AZ140,ITEM_RES!$A:$A,0)-1,0),0)*BB140+IFERROR(OFFSET(ITEM_RES!$T$1,MATCH(BE140,ITEM_RES!$A:$A,0)-1,0),0)*BG140+IFERROR(OFFSET(ITEM_RES!$T$1,MATCH(BJ140,ITEM_RES!$A:$A,0)-1,0),0)*BL140+IFERROR(OFFSET(ITEM_RES!$T$1,MATCH(BO140,ITEM_RES!$A:$A,0)-1,0),0)*BQ140)/1000</f>
        <v>2100</v>
      </c>
      <c r="AK140" s="183">
        <f t="shared" ca="1" si="66"/>
        <v>3750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1</v>
      </c>
      <c r="AU140" s="11">
        <f ca="1">IFERROR(OFFSET(ITEM_RES!$A$1,MATCH(AV140,ITEM_RES!$J:$J,0)-1,0),0)</f>
        <v>211020501</v>
      </c>
      <c r="AV140" s="10" t="s">
        <v>440</v>
      </c>
      <c r="AW140" s="11">
        <v>3500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965</v>
      </c>
      <c r="N141" s="9" t="s">
        <v>986</v>
      </c>
      <c r="O141" s="9">
        <v>0</v>
      </c>
      <c r="P141" s="9">
        <v>15</v>
      </c>
      <c r="Q141" s="9" t="s">
        <v>802</v>
      </c>
      <c r="U141" s="9" t="s">
        <v>718</v>
      </c>
      <c r="X141" s="9">
        <f ca="1">IFERROR(OFFSET(ITEM_RES!$A$5,MATCH(BUILDING!W141,ITEM_RES!$J$5:$J$226,0)-1,0),0)</f>
        <v>0</v>
      </c>
      <c r="Z141" s="85" t="s">
        <v>555</v>
      </c>
      <c r="AA141" s="9">
        <f ca="1">IFERROR(OFFSET(ITEM_RES!$A$5,MATCH(BUILDING!Z141,ITEM_RES!$J$5:$J$226,0)-1,0),0)</f>
        <v>211010501</v>
      </c>
      <c r="AC141" s="9" t="s">
        <v>525</v>
      </c>
      <c r="AD141" s="9">
        <v>17</v>
      </c>
      <c r="AF141" s="9">
        <v>34000</v>
      </c>
      <c r="AI141" s="56">
        <f t="shared" ca="1" si="63"/>
        <v>2550</v>
      </c>
      <c r="AJ141" s="10">
        <f ca="1">AO141+AQ141+(IFERROR(OFFSET(ITEM_RES!$T$1,MATCH(AU141,ITEM_RES!$A:$A,0)-1,0),0)*AW141+IFERROR(OFFSET(ITEM_RES!$T$1,MATCH(AZ141,ITEM_RES!$A:$A,0)-1,0),0)*BB141+IFERROR(OFFSET(ITEM_RES!$T$1,MATCH(BE141,ITEM_RES!$A:$A,0)-1,0),0)*BG141+IFERROR(OFFSET(ITEM_RES!$T$1,MATCH(BJ141,ITEM_RES!$A:$A,0)-1,0),0)*BL141+IFERROR(OFFSET(ITEM_RES!$T$1,MATCH(BO141,ITEM_RES!$A:$A,0)-1,0),0)*BQ141)/1000</f>
        <v>2550</v>
      </c>
      <c r="AK141" s="183">
        <f t="shared" ca="1" si="66"/>
        <v>4650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1</v>
      </c>
      <c r="AU141" s="11">
        <f ca="1">IFERROR(OFFSET(ITEM_RES!$A$1,MATCH(AV141,ITEM_RES!$J:$J,0)-1,0),0)</f>
        <v>211020501</v>
      </c>
      <c r="AV141" s="10" t="s">
        <v>440</v>
      </c>
      <c r="AW141" s="11">
        <v>4250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965</v>
      </c>
      <c r="N142" s="9" t="s">
        <v>986</v>
      </c>
      <c r="O142" s="9">
        <v>0</v>
      </c>
      <c r="P142" s="9">
        <v>15</v>
      </c>
      <c r="Q142" s="9" t="s">
        <v>802</v>
      </c>
      <c r="U142" s="9" t="s">
        <v>718</v>
      </c>
      <c r="X142" s="9">
        <f ca="1">IFERROR(OFFSET(ITEM_RES!$A$5,MATCH(BUILDING!W142,ITEM_RES!$J$5:$J$226,0)-1,0),0)</f>
        <v>0</v>
      </c>
      <c r="Z142" s="85" t="s">
        <v>555</v>
      </c>
      <c r="AA142" s="9">
        <f ca="1">IFERROR(OFFSET(ITEM_RES!$A$5,MATCH(BUILDING!Z142,ITEM_RES!$J$5:$J$226,0)-1,0),0)</f>
        <v>211010501</v>
      </c>
      <c r="AC142" s="9" t="s">
        <v>525</v>
      </c>
      <c r="AD142" s="9">
        <v>18</v>
      </c>
      <c r="AF142" s="9">
        <v>42000</v>
      </c>
      <c r="AI142" s="56">
        <f t="shared" ca="1" si="63"/>
        <v>3150</v>
      </c>
      <c r="AJ142" s="10">
        <f ca="1">AO142+AQ142+(IFERROR(OFFSET(ITEM_RES!$T$1,MATCH(AU142,ITEM_RES!$A:$A,0)-1,0),0)*AW142+IFERROR(OFFSET(ITEM_RES!$T$1,MATCH(AZ142,ITEM_RES!$A:$A,0)-1,0),0)*BB142+IFERROR(OFFSET(ITEM_RES!$T$1,MATCH(BE142,ITEM_RES!$A:$A,0)-1,0),0)*BG142+IFERROR(OFFSET(ITEM_RES!$T$1,MATCH(BJ142,ITEM_RES!$A:$A,0)-1,0),0)*BL142+IFERROR(OFFSET(ITEM_RES!$T$1,MATCH(BO142,ITEM_RES!$A:$A,0)-1,0),0)*BQ142)/1000</f>
        <v>3150</v>
      </c>
      <c r="AK142" s="183">
        <f t="shared" ca="1" si="66"/>
        <v>5700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1</v>
      </c>
      <c r="AU142" s="11">
        <f ca="1">IFERROR(OFFSET(ITEM_RES!$A$1,MATCH(AV142,ITEM_RES!$J:$J,0)-1,0),0)</f>
        <v>211020501</v>
      </c>
      <c r="AV142" s="10" t="s">
        <v>440</v>
      </c>
      <c r="AW142" s="11">
        <v>5250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965</v>
      </c>
      <c r="N143" s="9" t="s">
        <v>986</v>
      </c>
      <c r="O143" s="9">
        <v>0</v>
      </c>
      <c r="P143" s="9">
        <v>15</v>
      </c>
      <c r="Q143" s="9" t="s">
        <v>802</v>
      </c>
      <c r="U143" s="9" t="s">
        <v>718</v>
      </c>
      <c r="X143" s="9">
        <f ca="1">IFERROR(OFFSET(ITEM_RES!$A$5,MATCH(BUILDING!W143,ITEM_RES!$J$5:$J$226,0)-1,0),0)</f>
        <v>0</v>
      </c>
      <c r="Z143" s="85" t="s">
        <v>555</v>
      </c>
      <c r="AA143" s="9">
        <f ca="1">IFERROR(OFFSET(ITEM_RES!$A$5,MATCH(BUILDING!Z143,ITEM_RES!$J$5:$J$226,0)-1,0),0)</f>
        <v>211010501</v>
      </c>
      <c r="AC143" s="9" t="s">
        <v>525</v>
      </c>
      <c r="AD143" s="9">
        <v>19</v>
      </c>
      <c r="AF143" s="9">
        <v>50000</v>
      </c>
      <c r="AI143" s="56">
        <f t="shared" ca="1" si="63"/>
        <v>3750</v>
      </c>
      <c r="AJ143" s="10">
        <f ca="1">AO143+AQ143+(IFERROR(OFFSET(ITEM_RES!$T$1,MATCH(AU143,ITEM_RES!$A:$A,0)-1,0),0)*AW143+IFERROR(OFFSET(ITEM_RES!$T$1,MATCH(AZ143,ITEM_RES!$A:$A,0)-1,0),0)*BB143+IFERROR(OFFSET(ITEM_RES!$T$1,MATCH(BE143,ITEM_RES!$A:$A,0)-1,0),0)*BG143+IFERROR(OFFSET(ITEM_RES!$T$1,MATCH(BJ143,ITEM_RES!$A:$A,0)-1,0),0)*BL143+IFERROR(OFFSET(ITEM_RES!$T$1,MATCH(BO143,ITEM_RES!$A:$A,0)-1,0),0)*BQ143)/1000</f>
        <v>3750</v>
      </c>
      <c r="AK143" s="183">
        <f t="shared" ca="1" si="66"/>
        <v>6900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1</v>
      </c>
      <c r="AU143" s="11">
        <f ca="1">IFERROR(OFFSET(ITEM_RES!$A$1,MATCH(AV143,ITEM_RES!$J:$J,0)-1,0),0)</f>
        <v>211020501</v>
      </c>
      <c r="AV143" s="10" t="s">
        <v>440</v>
      </c>
      <c r="AW143" s="11">
        <v>6250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965</v>
      </c>
      <c r="N144" s="9" t="s">
        <v>986</v>
      </c>
      <c r="O144" s="9">
        <v>0</v>
      </c>
      <c r="P144" s="9">
        <v>15</v>
      </c>
      <c r="Q144" s="9" t="s">
        <v>802</v>
      </c>
      <c r="U144" s="9" t="s">
        <v>718</v>
      </c>
      <c r="X144" s="9">
        <f ca="1">IFERROR(OFFSET(ITEM_RES!$A$5,MATCH(BUILDING!W144,ITEM_RES!$J$5:$J$226,0)-1,0),0)</f>
        <v>0</v>
      </c>
      <c r="Z144" s="85" t="s">
        <v>555</v>
      </c>
      <c r="AA144" s="9">
        <f ca="1">IFERROR(OFFSET(ITEM_RES!$A$5,MATCH(BUILDING!Z144,ITEM_RES!$J$5:$J$226,0)-1,0),0)</f>
        <v>211010501</v>
      </c>
      <c r="AC144" s="9" t="s">
        <v>525</v>
      </c>
      <c r="AD144" s="9">
        <v>20</v>
      </c>
      <c r="AF144" s="9">
        <v>60000</v>
      </c>
      <c r="AI144" s="56">
        <f t="shared" ca="1" si="63"/>
        <v>4500</v>
      </c>
      <c r="AJ144" s="10">
        <f ca="1">AO144+AQ144+(IFERROR(OFFSET(ITEM_RES!$T$1,MATCH(AU144,ITEM_RES!$A:$A,0)-1,0),0)*AW144+IFERROR(OFFSET(ITEM_RES!$T$1,MATCH(AZ144,ITEM_RES!$A:$A,0)-1,0),0)*BB144+IFERROR(OFFSET(ITEM_RES!$T$1,MATCH(BE144,ITEM_RES!$A:$A,0)-1,0),0)*BG144+IFERROR(OFFSET(ITEM_RES!$T$1,MATCH(BJ144,ITEM_RES!$A:$A,0)-1,0),0)*BL144+IFERROR(OFFSET(ITEM_RES!$T$1,MATCH(BO144,ITEM_RES!$A:$A,0)-1,0),0)*BQ144)/1000</f>
        <v>4500</v>
      </c>
      <c r="AK144" s="183">
        <f t="shared" ca="1" si="66"/>
        <v>8250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1</v>
      </c>
      <c r="AU144" s="11">
        <f ca="1">IFERROR(OFFSET(ITEM_RES!$A$1,MATCH(AV144,ITEM_RES!$J:$J,0)-1,0),0)</f>
        <v>211020501</v>
      </c>
      <c r="AV144" s="10" t="s">
        <v>440</v>
      </c>
      <c r="AW144" s="11">
        <v>7500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3</v>
      </c>
      <c r="M145" s="16" t="s">
        <v>966</v>
      </c>
      <c r="N145" s="16" t="s">
        <v>987</v>
      </c>
      <c r="O145" s="16">
        <v>1</v>
      </c>
      <c r="P145" s="16">
        <v>15</v>
      </c>
      <c r="Q145" s="16" t="s">
        <v>801</v>
      </c>
      <c r="R145" s="17"/>
      <c r="S145" s="17"/>
      <c r="T145" s="18"/>
      <c r="U145" s="16" t="s">
        <v>738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555</v>
      </c>
      <c r="AA145" s="16">
        <f ca="1">IFERROR(OFFSET(ITEM_RES!$A$5,MATCH(BUILDING!Z145,ITEM_RES!$J$5:$J$226,0)-1,0),0)</f>
        <v>211010501</v>
      </c>
      <c r="AB145" s="79"/>
      <c r="AC145" s="16" t="s">
        <v>526</v>
      </c>
      <c r="AD145" s="16">
        <v>1</v>
      </c>
      <c r="AE145" s="79"/>
      <c r="AF145" s="16">
        <v>0</v>
      </c>
      <c r="AG145" s="17"/>
      <c r="AH145" s="79"/>
      <c r="AI145" s="57">
        <f t="shared" ca="1" si="63"/>
        <v>113</v>
      </c>
      <c r="AJ145" s="17">
        <f ca="1">AO145+AQ145+(IFERROR(OFFSET(ITEM_RES!$T$1,MATCH(AU145,ITEM_RES!$A:$A,0)-1,0),0)*AW145+IFERROR(OFFSET(ITEM_RES!$T$1,MATCH(AZ145,ITEM_RES!$A:$A,0)-1,0),0)*BB145+IFERROR(OFFSET(ITEM_RES!$T$1,MATCH(BE145,ITEM_RES!$A:$A,0)-1,0),0)*BG145+IFERROR(OFFSET(ITEM_RES!$T$1,MATCH(BJ145,ITEM_RES!$A:$A,0)-1,0),0)*BL145+IFERROR(OFFSET(ITEM_RES!$T$1,MATCH(BO145,ITEM_RES!$A:$A,0)-1,0),0)*BQ145)/1000</f>
        <v>112.5</v>
      </c>
      <c r="AK145" s="185">
        <f ca="1">AJ145</f>
        <v>112.5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2</v>
      </c>
      <c r="AT145" s="18"/>
      <c r="AU145" s="18">
        <f ca="1">IFERROR(OFFSET(ITEM_RES!$A$1,MATCH(AV145,ITEM_RES!$J:$J,0)-1,0),0)</f>
        <v>211020801</v>
      </c>
      <c r="AV145" s="17" t="s">
        <v>441</v>
      </c>
      <c r="AW145" s="18">
        <v>25</v>
      </c>
      <c r="AX145" s="17"/>
      <c r="AY145" s="18"/>
      <c r="AZ145" s="18">
        <f ca="1">IFERROR(OFFSET(ITEM_RES!$A$1,MATCH(BA145,ITEM_RES!$J:$J,0)-1,0),0)</f>
        <v>0</v>
      </c>
      <c r="BA145" s="17"/>
      <c r="BB145" s="18"/>
      <c r="BC145" s="17"/>
      <c r="BD145" s="18"/>
      <c r="BE145" s="18">
        <f ca="1">IFERROR(OFFSET(ITEM_RES!$A$1,MATCH(BF145,ITEM_RES!$J:$J,0)-1,0),0)</f>
        <v>213010101</v>
      </c>
      <c r="BF145" s="17" t="s">
        <v>463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966</v>
      </c>
      <c r="N146" s="9" t="s">
        <v>987</v>
      </c>
      <c r="O146" s="9">
        <v>1</v>
      </c>
      <c r="P146" s="9">
        <v>15</v>
      </c>
      <c r="Q146" s="9" t="s">
        <v>801</v>
      </c>
      <c r="U146" s="9" t="s">
        <v>738</v>
      </c>
      <c r="X146" s="9">
        <f ca="1">IFERROR(OFFSET(ITEM_RES!$A$5,MATCH(BUILDING!W146,ITEM_RES!$J$5:$J$226,0)-1,0),0)</f>
        <v>0</v>
      </c>
      <c r="Z146" s="85" t="s">
        <v>555</v>
      </c>
      <c r="AA146" s="9">
        <f ca="1">IFERROR(OFFSET(ITEM_RES!$A$5,MATCH(BUILDING!Z146,ITEM_RES!$J$5:$J$226,0)-1,0),0)</f>
        <v>211010501</v>
      </c>
      <c r="AC146" s="9" t="s">
        <v>526</v>
      </c>
      <c r="AD146" s="9">
        <v>2</v>
      </c>
      <c r="AF146" s="9">
        <v>800</v>
      </c>
      <c r="AI146" s="56">
        <f t="shared" ca="1" si="63"/>
        <v>25</v>
      </c>
      <c r="AJ146" s="10">
        <f ca="1">AO146+AQ146+(IFERROR(OFFSET(ITEM_RES!$T$1,MATCH(AU146,ITEM_RES!$A:$A,0)-1,0),0)*AW146+IFERROR(OFFSET(ITEM_RES!$T$1,MATCH(AZ146,ITEM_RES!$A:$A,0)-1,0),0)*BB146+IFERROR(OFFSET(ITEM_RES!$T$1,MATCH(BE146,ITEM_RES!$A:$A,0)-1,0),0)*BG146+IFERROR(OFFSET(ITEM_RES!$T$1,MATCH(BJ146,ITEM_RES!$A:$A,0)-1,0),0)*BL146+IFERROR(OFFSET(ITEM_RES!$T$1,MATCH(BO146,ITEM_RES!$A:$A,0)-1,0),0)*BQ146)/1000</f>
        <v>25</v>
      </c>
      <c r="AK146" s="183">
        <f t="shared" ref="AK146:AK164" ca="1" si="69">AJ145+AJ146</f>
        <v>137.5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1</v>
      </c>
      <c r="AU146" s="11">
        <f ca="1">IFERROR(OFFSET(ITEM_RES!$A$1,MATCH(AV146,ITEM_RES!$J:$J,0)-1,0),0)</f>
        <v>211020801</v>
      </c>
      <c r="AV146" s="10" t="s">
        <v>441</v>
      </c>
      <c r="AW146" s="11">
        <v>50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966</v>
      </c>
      <c r="N147" s="9" t="s">
        <v>987</v>
      </c>
      <c r="O147" s="9">
        <v>1</v>
      </c>
      <c r="P147" s="9">
        <v>15</v>
      </c>
      <c r="Q147" s="9" t="s">
        <v>801</v>
      </c>
      <c r="U147" s="9" t="s">
        <v>738</v>
      </c>
      <c r="X147" s="9">
        <f ca="1">IFERROR(OFFSET(ITEM_RES!$A$5,MATCH(BUILDING!W147,ITEM_RES!$J$5:$J$226,0)-1,0),0)</f>
        <v>0</v>
      </c>
      <c r="Z147" s="85" t="s">
        <v>555</v>
      </c>
      <c r="AA147" s="9">
        <f ca="1">IFERROR(OFFSET(ITEM_RES!$A$5,MATCH(BUILDING!Z147,ITEM_RES!$J$5:$J$226,0)-1,0),0)</f>
        <v>211010501</v>
      </c>
      <c r="AC147" s="9" t="s">
        <v>526</v>
      </c>
      <c r="AD147" s="9">
        <v>3</v>
      </c>
      <c r="AF147" s="9">
        <v>1200</v>
      </c>
      <c r="AI147" s="56">
        <f t="shared" ca="1" si="63"/>
        <v>38</v>
      </c>
      <c r="AJ147" s="10">
        <f ca="1">AO147+AQ147+(IFERROR(OFFSET(ITEM_RES!$T$1,MATCH(AU147,ITEM_RES!$A:$A,0)-1,0),0)*AW147+IFERROR(OFFSET(ITEM_RES!$T$1,MATCH(AZ147,ITEM_RES!$A:$A,0)-1,0),0)*BB147+IFERROR(OFFSET(ITEM_RES!$T$1,MATCH(BE147,ITEM_RES!$A:$A,0)-1,0),0)*BG147+IFERROR(OFFSET(ITEM_RES!$T$1,MATCH(BJ147,ITEM_RES!$A:$A,0)-1,0),0)*BL147+IFERROR(OFFSET(ITEM_RES!$T$1,MATCH(BO147,ITEM_RES!$A:$A,0)-1,0),0)*BQ147)/1000</f>
        <v>37.5</v>
      </c>
      <c r="AK147" s="183">
        <f t="shared" ca="1" si="69"/>
        <v>62.5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1</v>
      </c>
      <c r="AU147" s="11">
        <f ca="1">IFERROR(OFFSET(ITEM_RES!$A$1,MATCH(AV147,ITEM_RES!$J:$J,0)-1,0),0)</f>
        <v>211020801</v>
      </c>
      <c r="AV147" s="10" t="s">
        <v>441</v>
      </c>
      <c r="AW147" s="11">
        <v>75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966</v>
      </c>
      <c r="N148" s="9" t="s">
        <v>987</v>
      </c>
      <c r="O148" s="9">
        <v>1</v>
      </c>
      <c r="P148" s="9">
        <v>15</v>
      </c>
      <c r="Q148" s="9" t="s">
        <v>801</v>
      </c>
      <c r="U148" s="9" t="s">
        <v>738</v>
      </c>
      <c r="X148" s="9">
        <f ca="1">IFERROR(OFFSET(ITEM_RES!$A$5,MATCH(BUILDING!W148,ITEM_RES!$J$5:$J$226,0)-1,0),0)</f>
        <v>0</v>
      </c>
      <c r="Z148" s="85" t="s">
        <v>555</v>
      </c>
      <c r="AA148" s="9">
        <f ca="1">IFERROR(OFFSET(ITEM_RES!$A$5,MATCH(BUILDING!Z148,ITEM_RES!$J$5:$J$226,0)-1,0),0)</f>
        <v>211010501</v>
      </c>
      <c r="AC148" s="9" t="s">
        <v>526</v>
      </c>
      <c r="AD148" s="9">
        <v>4</v>
      </c>
      <c r="AF148" s="9">
        <v>2000</v>
      </c>
      <c r="AI148" s="56">
        <f t="shared" ca="1" si="63"/>
        <v>63</v>
      </c>
      <c r="AJ148" s="10">
        <f ca="1">AO148+AQ148+(IFERROR(OFFSET(ITEM_RES!$T$1,MATCH(AU148,ITEM_RES!$A:$A,0)-1,0),0)*AW148+IFERROR(OFFSET(ITEM_RES!$T$1,MATCH(AZ148,ITEM_RES!$A:$A,0)-1,0),0)*BB148+IFERROR(OFFSET(ITEM_RES!$T$1,MATCH(BE148,ITEM_RES!$A:$A,0)-1,0),0)*BG148+IFERROR(OFFSET(ITEM_RES!$T$1,MATCH(BJ148,ITEM_RES!$A:$A,0)-1,0),0)*BL148+IFERROR(OFFSET(ITEM_RES!$T$1,MATCH(BO148,ITEM_RES!$A:$A,0)-1,0),0)*BQ148)/1000</f>
        <v>62.5</v>
      </c>
      <c r="AK148" s="183">
        <f t="shared" ca="1" si="69"/>
        <v>100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1</v>
      </c>
      <c r="AU148" s="11">
        <f ca="1">IFERROR(OFFSET(ITEM_RES!$A$1,MATCH(AV148,ITEM_RES!$J:$J,0)-1,0),0)</f>
        <v>211020801</v>
      </c>
      <c r="AV148" s="10" t="s">
        <v>441</v>
      </c>
      <c r="AW148" s="11">
        <v>125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966</v>
      </c>
      <c r="N149" s="9" t="s">
        <v>987</v>
      </c>
      <c r="O149" s="9">
        <v>1</v>
      </c>
      <c r="P149" s="9">
        <v>15</v>
      </c>
      <c r="Q149" s="9" t="s">
        <v>801</v>
      </c>
      <c r="U149" s="9" t="s">
        <v>738</v>
      </c>
      <c r="X149" s="9">
        <f ca="1">IFERROR(OFFSET(ITEM_RES!$A$5,MATCH(BUILDING!W149,ITEM_RES!$J$5:$J$226,0)-1,0),0)</f>
        <v>0</v>
      </c>
      <c r="Z149" s="85" t="s">
        <v>555</v>
      </c>
      <c r="AA149" s="9">
        <f ca="1">IFERROR(OFFSET(ITEM_RES!$A$5,MATCH(BUILDING!Z149,ITEM_RES!$J$5:$J$226,0)-1,0),0)</f>
        <v>211010501</v>
      </c>
      <c r="AC149" s="9" t="s">
        <v>526</v>
      </c>
      <c r="AD149" s="9">
        <v>5</v>
      </c>
      <c r="AF149" s="9">
        <v>3200</v>
      </c>
      <c r="AI149" s="56">
        <f t="shared" ca="1" si="63"/>
        <v>100</v>
      </c>
      <c r="AJ149" s="10">
        <f ca="1">AO149+AQ149+(IFERROR(OFFSET(ITEM_RES!$T$1,MATCH(AU149,ITEM_RES!$A:$A,0)-1,0),0)*AW149+IFERROR(OFFSET(ITEM_RES!$T$1,MATCH(AZ149,ITEM_RES!$A:$A,0)-1,0),0)*BB149+IFERROR(OFFSET(ITEM_RES!$T$1,MATCH(BE149,ITEM_RES!$A:$A,0)-1,0),0)*BG149+IFERROR(OFFSET(ITEM_RES!$T$1,MATCH(BJ149,ITEM_RES!$A:$A,0)-1,0),0)*BL149+IFERROR(OFFSET(ITEM_RES!$T$1,MATCH(BO149,ITEM_RES!$A:$A,0)-1,0),0)*BQ149)/1000</f>
        <v>100</v>
      </c>
      <c r="AK149" s="183">
        <f t="shared" ca="1" si="69"/>
        <v>162.5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1</v>
      </c>
      <c r="AU149" s="11">
        <f ca="1">IFERROR(OFFSET(ITEM_RES!$A$1,MATCH(AV149,ITEM_RES!$J:$J,0)-1,0),0)</f>
        <v>211020801</v>
      </c>
      <c r="AV149" s="10" t="s">
        <v>441</v>
      </c>
      <c r="AW149" s="11">
        <v>200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966</v>
      </c>
      <c r="N150" s="9" t="s">
        <v>987</v>
      </c>
      <c r="O150" s="9">
        <v>1</v>
      </c>
      <c r="P150" s="9">
        <v>15</v>
      </c>
      <c r="Q150" s="9" t="s">
        <v>801</v>
      </c>
      <c r="U150" s="9" t="s">
        <v>738</v>
      </c>
      <c r="X150" s="9">
        <f ca="1">IFERROR(OFFSET(ITEM_RES!$A$5,MATCH(BUILDING!W150,ITEM_RES!$J$5:$J$226,0)-1,0),0)</f>
        <v>0</v>
      </c>
      <c r="Z150" s="85" t="s">
        <v>555</v>
      </c>
      <c r="AA150" s="9">
        <f ca="1">IFERROR(OFFSET(ITEM_RES!$A$5,MATCH(BUILDING!Z150,ITEM_RES!$J$5:$J$226,0)-1,0),0)</f>
        <v>211010501</v>
      </c>
      <c r="AC150" s="9" t="s">
        <v>526</v>
      </c>
      <c r="AD150" s="9">
        <v>6</v>
      </c>
      <c r="AF150" s="9">
        <v>4000</v>
      </c>
      <c r="AI150" s="56">
        <f t="shared" ca="1" si="63"/>
        <v>125</v>
      </c>
      <c r="AJ150" s="10">
        <f ca="1">AO150+AQ150+(IFERROR(OFFSET(ITEM_RES!$T$1,MATCH(AU150,ITEM_RES!$A:$A,0)-1,0),0)*AW150+IFERROR(OFFSET(ITEM_RES!$T$1,MATCH(AZ150,ITEM_RES!$A:$A,0)-1,0),0)*BB150+IFERROR(OFFSET(ITEM_RES!$T$1,MATCH(BE150,ITEM_RES!$A:$A,0)-1,0),0)*BG150+IFERROR(OFFSET(ITEM_RES!$T$1,MATCH(BJ150,ITEM_RES!$A:$A,0)-1,0),0)*BL150+IFERROR(OFFSET(ITEM_RES!$T$1,MATCH(BO150,ITEM_RES!$A:$A,0)-1,0),0)*BQ150)/1000</f>
        <v>125</v>
      </c>
      <c r="AK150" s="183">
        <f t="shared" ca="1" si="69"/>
        <v>225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1</v>
      </c>
      <c r="AU150" s="11">
        <f ca="1">IFERROR(OFFSET(ITEM_RES!$A$1,MATCH(AV150,ITEM_RES!$J:$J,0)-1,0),0)</f>
        <v>211020801</v>
      </c>
      <c r="AV150" s="10" t="s">
        <v>441</v>
      </c>
      <c r="AW150" s="11">
        <v>250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966</v>
      </c>
      <c r="N151" s="9" t="s">
        <v>987</v>
      </c>
      <c r="O151" s="9">
        <v>1</v>
      </c>
      <c r="P151" s="9">
        <v>15</v>
      </c>
      <c r="Q151" s="9" t="s">
        <v>801</v>
      </c>
      <c r="U151" s="9" t="s">
        <v>738</v>
      </c>
      <c r="X151" s="9">
        <f ca="1">IFERROR(OFFSET(ITEM_RES!$A$5,MATCH(BUILDING!W151,ITEM_RES!$J$5:$J$226,0)-1,0),0)</f>
        <v>0</v>
      </c>
      <c r="Z151" s="85" t="s">
        <v>555</v>
      </c>
      <c r="AA151" s="9">
        <f ca="1">IFERROR(OFFSET(ITEM_RES!$A$5,MATCH(BUILDING!Z151,ITEM_RES!$J$5:$J$226,0)-1,0),0)</f>
        <v>211010501</v>
      </c>
      <c r="AC151" s="9" t="s">
        <v>526</v>
      </c>
      <c r="AD151" s="9">
        <v>7</v>
      </c>
      <c r="AF151" s="9">
        <v>8000</v>
      </c>
      <c r="AI151" s="56">
        <f t="shared" ca="1" si="63"/>
        <v>250</v>
      </c>
      <c r="AJ151" s="10">
        <f ca="1">AO151+AQ151+(IFERROR(OFFSET(ITEM_RES!$T$1,MATCH(AU151,ITEM_RES!$A:$A,0)-1,0),0)*AW151+IFERROR(OFFSET(ITEM_RES!$T$1,MATCH(AZ151,ITEM_RES!$A:$A,0)-1,0),0)*BB151+IFERROR(OFFSET(ITEM_RES!$T$1,MATCH(BE151,ITEM_RES!$A:$A,0)-1,0),0)*BG151+IFERROR(OFFSET(ITEM_RES!$T$1,MATCH(BJ151,ITEM_RES!$A:$A,0)-1,0),0)*BL151+IFERROR(OFFSET(ITEM_RES!$T$1,MATCH(BO151,ITEM_RES!$A:$A,0)-1,0),0)*BQ151)/1000</f>
        <v>250</v>
      </c>
      <c r="AK151" s="183">
        <f t="shared" ca="1" si="69"/>
        <v>375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1</v>
      </c>
      <c r="AU151" s="11">
        <f ca="1">IFERROR(OFFSET(ITEM_RES!$A$1,MATCH(AV151,ITEM_RES!$J:$J,0)-1,0),0)</f>
        <v>211020801</v>
      </c>
      <c r="AV151" s="10" t="s">
        <v>441</v>
      </c>
      <c r="AW151" s="11">
        <v>500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966</v>
      </c>
      <c r="N152" s="9" t="s">
        <v>987</v>
      </c>
      <c r="O152" s="9">
        <v>1</v>
      </c>
      <c r="P152" s="9">
        <v>15</v>
      </c>
      <c r="Q152" s="9" t="s">
        <v>801</v>
      </c>
      <c r="U152" s="9" t="s">
        <v>738</v>
      </c>
      <c r="X152" s="9">
        <f ca="1">IFERROR(OFFSET(ITEM_RES!$A$5,MATCH(BUILDING!W152,ITEM_RES!$J$5:$J$226,0)-1,0),0)</f>
        <v>0</v>
      </c>
      <c r="Z152" s="85" t="s">
        <v>555</v>
      </c>
      <c r="AA152" s="9">
        <f ca="1">IFERROR(OFFSET(ITEM_RES!$A$5,MATCH(BUILDING!Z152,ITEM_RES!$J$5:$J$226,0)-1,0),0)</f>
        <v>211010501</v>
      </c>
      <c r="AC152" s="9" t="s">
        <v>526</v>
      </c>
      <c r="AD152" s="9">
        <v>8</v>
      </c>
      <c r="AF152" s="9">
        <v>8000</v>
      </c>
      <c r="AI152" s="56">
        <f t="shared" ca="1" si="63"/>
        <v>250</v>
      </c>
      <c r="AJ152" s="10">
        <f ca="1">AO152+AQ152+(IFERROR(OFFSET(ITEM_RES!$T$1,MATCH(AU152,ITEM_RES!$A:$A,0)-1,0),0)*AW152+IFERROR(OFFSET(ITEM_RES!$T$1,MATCH(AZ152,ITEM_RES!$A:$A,0)-1,0),0)*BB152+IFERROR(OFFSET(ITEM_RES!$T$1,MATCH(BE152,ITEM_RES!$A:$A,0)-1,0),0)*BG152+IFERROR(OFFSET(ITEM_RES!$T$1,MATCH(BJ152,ITEM_RES!$A:$A,0)-1,0),0)*BL152+IFERROR(OFFSET(ITEM_RES!$T$1,MATCH(BO152,ITEM_RES!$A:$A,0)-1,0),0)*BQ152)/1000</f>
        <v>250</v>
      </c>
      <c r="AK152" s="183">
        <f t="shared" ca="1" si="69"/>
        <v>500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1</v>
      </c>
      <c r="AU152" s="11">
        <f ca="1">IFERROR(OFFSET(ITEM_RES!$A$1,MATCH(AV152,ITEM_RES!$J:$J,0)-1,0),0)</f>
        <v>211020801</v>
      </c>
      <c r="AV152" s="10" t="s">
        <v>441</v>
      </c>
      <c r="AW152" s="11">
        <v>500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966</v>
      </c>
      <c r="N153" s="9" t="s">
        <v>987</v>
      </c>
      <c r="O153" s="9">
        <v>1</v>
      </c>
      <c r="P153" s="9">
        <v>15</v>
      </c>
      <c r="Q153" s="9" t="s">
        <v>801</v>
      </c>
      <c r="U153" s="9" t="s">
        <v>738</v>
      </c>
      <c r="X153" s="9">
        <f ca="1">IFERROR(OFFSET(ITEM_RES!$A$5,MATCH(BUILDING!W153,ITEM_RES!$J$5:$J$226,0)-1,0),0)</f>
        <v>0</v>
      </c>
      <c r="Z153" s="85" t="s">
        <v>555</v>
      </c>
      <c r="AA153" s="9">
        <f ca="1">IFERROR(OFFSET(ITEM_RES!$A$5,MATCH(BUILDING!Z153,ITEM_RES!$J$5:$J$226,0)-1,0),0)</f>
        <v>211010501</v>
      </c>
      <c r="AC153" s="9" t="s">
        <v>526</v>
      </c>
      <c r="AD153" s="9">
        <v>9</v>
      </c>
      <c r="AF153" s="9">
        <v>12000</v>
      </c>
      <c r="AI153" s="56">
        <f t="shared" ca="1" si="63"/>
        <v>375</v>
      </c>
      <c r="AJ153" s="10">
        <f ca="1">AO153+AQ153+(IFERROR(OFFSET(ITEM_RES!$T$1,MATCH(AU153,ITEM_RES!$A:$A,0)-1,0),0)*AW153+IFERROR(OFFSET(ITEM_RES!$T$1,MATCH(AZ153,ITEM_RES!$A:$A,0)-1,0),0)*BB153+IFERROR(OFFSET(ITEM_RES!$T$1,MATCH(BE153,ITEM_RES!$A:$A,0)-1,0),0)*BG153+IFERROR(OFFSET(ITEM_RES!$T$1,MATCH(BJ153,ITEM_RES!$A:$A,0)-1,0),0)*BL153+IFERROR(OFFSET(ITEM_RES!$T$1,MATCH(BO153,ITEM_RES!$A:$A,0)-1,0),0)*BQ153)/1000</f>
        <v>375</v>
      </c>
      <c r="AK153" s="183">
        <f t="shared" ca="1" si="69"/>
        <v>625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1</v>
      </c>
      <c r="AU153" s="11">
        <f ca="1">IFERROR(OFFSET(ITEM_RES!$A$1,MATCH(AV153,ITEM_RES!$J:$J,0)-1,0),0)</f>
        <v>211020801</v>
      </c>
      <c r="AV153" s="10" t="s">
        <v>441</v>
      </c>
      <c r="AW153" s="11">
        <v>750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966</v>
      </c>
      <c r="N154" s="9" t="s">
        <v>987</v>
      </c>
      <c r="O154" s="9">
        <v>1</v>
      </c>
      <c r="P154" s="9">
        <v>15</v>
      </c>
      <c r="Q154" s="9" t="s">
        <v>801</v>
      </c>
      <c r="U154" s="9" t="s">
        <v>738</v>
      </c>
      <c r="X154" s="9">
        <f ca="1">IFERROR(OFFSET(ITEM_RES!$A$5,MATCH(BUILDING!W154,ITEM_RES!$J$5:$J$226,0)-1,0),0)</f>
        <v>0</v>
      </c>
      <c r="Z154" s="85" t="s">
        <v>555</v>
      </c>
      <c r="AA154" s="9">
        <f ca="1">IFERROR(OFFSET(ITEM_RES!$A$5,MATCH(BUILDING!Z154,ITEM_RES!$J$5:$J$226,0)-1,0),0)</f>
        <v>211010501</v>
      </c>
      <c r="AC154" s="9" t="s">
        <v>526</v>
      </c>
      <c r="AD154" s="9">
        <v>10</v>
      </c>
      <c r="AF154" s="9">
        <v>16000</v>
      </c>
      <c r="AI154" s="56">
        <f t="shared" ref="AI154:AI217" ca="1" si="74">ROUND(AJ154,0)</f>
        <v>500</v>
      </c>
      <c r="AJ154" s="10">
        <f ca="1">AO154+AQ154+(IFERROR(OFFSET(ITEM_RES!$T$1,MATCH(AU154,ITEM_RES!$A:$A,0)-1,0),0)*AW154+IFERROR(OFFSET(ITEM_RES!$T$1,MATCH(AZ154,ITEM_RES!$A:$A,0)-1,0),0)*BB154+IFERROR(OFFSET(ITEM_RES!$T$1,MATCH(BE154,ITEM_RES!$A:$A,0)-1,0),0)*BG154+IFERROR(OFFSET(ITEM_RES!$T$1,MATCH(BJ154,ITEM_RES!$A:$A,0)-1,0),0)*BL154+IFERROR(OFFSET(ITEM_RES!$T$1,MATCH(BO154,ITEM_RES!$A:$A,0)-1,0),0)*BQ154)/1000</f>
        <v>500</v>
      </c>
      <c r="AK154" s="183">
        <f t="shared" ca="1" si="69"/>
        <v>875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1</v>
      </c>
      <c r="AU154" s="11">
        <f ca="1">IFERROR(OFFSET(ITEM_RES!$A$1,MATCH(AV154,ITEM_RES!$J:$J,0)-1,0),0)</f>
        <v>211020801</v>
      </c>
      <c r="AV154" s="10" t="s">
        <v>441</v>
      </c>
      <c r="AW154" s="11">
        <v>1000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966</v>
      </c>
      <c r="N155" s="9" t="s">
        <v>987</v>
      </c>
      <c r="O155" s="9">
        <v>1</v>
      </c>
      <c r="P155" s="9">
        <v>15</v>
      </c>
      <c r="Q155" s="9" t="s">
        <v>801</v>
      </c>
      <c r="U155" s="9" t="s">
        <v>738</v>
      </c>
      <c r="X155" s="9">
        <f ca="1">IFERROR(OFFSET(ITEM_RES!$A$5,MATCH(BUILDING!W155,ITEM_RES!$J$5:$J$226,0)-1,0),0)</f>
        <v>0</v>
      </c>
      <c r="Z155" s="85" t="s">
        <v>555</v>
      </c>
      <c r="AA155" s="9">
        <f ca="1">IFERROR(OFFSET(ITEM_RES!$A$5,MATCH(BUILDING!Z155,ITEM_RES!$J$5:$J$226,0)-1,0),0)</f>
        <v>211010501</v>
      </c>
      <c r="AC155" s="9" t="s">
        <v>526</v>
      </c>
      <c r="AD155" s="9">
        <v>11</v>
      </c>
      <c r="AF155" s="9">
        <v>20000</v>
      </c>
      <c r="AI155" s="56">
        <f t="shared" ca="1" si="74"/>
        <v>625</v>
      </c>
      <c r="AJ155" s="10">
        <f ca="1">AO155+AQ155+(IFERROR(OFFSET(ITEM_RES!$T$1,MATCH(AU155,ITEM_RES!$A:$A,0)-1,0),0)*AW155+IFERROR(OFFSET(ITEM_RES!$T$1,MATCH(AZ155,ITEM_RES!$A:$A,0)-1,0),0)*BB155+IFERROR(OFFSET(ITEM_RES!$T$1,MATCH(BE155,ITEM_RES!$A:$A,0)-1,0),0)*BG155+IFERROR(OFFSET(ITEM_RES!$T$1,MATCH(BJ155,ITEM_RES!$A:$A,0)-1,0),0)*BL155+IFERROR(OFFSET(ITEM_RES!$T$1,MATCH(BO155,ITEM_RES!$A:$A,0)-1,0),0)*BQ155)/1000</f>
        <v>625</v>
      </c>
      <c r="AK155" s="183">
        <f t="shared" ca="1" si="69"/>
        <v>1125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1</v>
      </c>
      <c r="AU155" s="11">
        <f ca="1">IFERROR(OFFSET(ITEM_RES!$A$1,MATCH(AV155,ITEM_RES!$J:$J,0)-1,0),0)</f>
        <v>211020801</v>
      </c>
      <c r="AV155" s="10" t="s">
        <v>444</v>
      </c>
      <c r="AW155" s="11">
        <v>1250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966</v>
      </c>
      <c r="N156" s="9" t="s">
        <v>987</v>
      </c>
      <c r="O156" s="9">
        <v>1</v>
      </c>
      <c r="P156" s="9">
        <v>15</v>
      </c>
      <c r="Q156" s="9" t="s">
        <v>801</v>
      </c>
      <c r="U156" s="9" t="s">
        <v>738</v>
      </c>
      <c r="X156" s="9">
        <f ca="1">IFERROR(OFFSET(ITEM_RES!$A$5,MATCH(BUILDING!W156,ITEM_RES!$J$5:$J$226,0)-1,0),0)</f>
        <v>0</v>
      </c>
      <c r="Z156" s="85" t="s">
        <v>555</v>
      </c>
      <c r="AA156" s="9">
        <f ca="1">IFERROR(OFFSET(ITEM_RES!$A$5,MATCH(BUILDING!Z156,ITEM_RES!$J$5:$J$226,0)-1,0),0)</f>
        <v>211010501</v>
      </c>
      <c r="AC156" s="9" t="s">
        <v>526</v>
      </c>
      <c r="AD156" s="9">
        <v>12</v>
      </c>
      <c r="AF156" s="9">
        <v>24000</v>
      </c>
      <c r="AI156" s="56">
        <f t="shared" ca="1" si="74"/>
        <v>750</v>
      </c>
      <c r="AJ156" s="10">
        <f ca="1">AO156+AQ156+(IFERROR(OFFSET(ITEM_RES!$T$1,MATCH(AU156,ITEM_RES!$A:$A,0)-1,0),0)*AW156+IFERROR(OFFSET(ITEM_RES!$T$1,MATCH(AZ156,ITEM_RES!$A:$A,0)-1,0),0)*BB156+IFERROR(OFFSET(ITEM_RES!$T$1,MATCH(BE156,ITEM_RES!$A:$A,0)-1,0),0)*BG156+IFERROR(OFFSET(ITEM_RES!$T$1,MATCH(BJ156,ITEM_RES!$A:$A,0)-1,0),0)*BL156+IFERROR(OFFSET(ITEM_RES!$T$1,MATCH(BO156,ITEM_RES!$A:$A,0)-1,0),0)*BQ156)/1000</f>
        <v>750</v>
      </c>
      <c r="AK156" s="183">
        <f t="shared" ca="1" si="69"/>
        <v>1375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1</v>
      </c>
      <c r="AU156" s="11">
        <f ca="1">IFERROR(OFFSET(ITEM_RES!$A$1,MATCH(AV156,ITEM_RES!$J:$J,0)-1,0),0)</f>
        <v>211020801</v>
      </c>
      <c r="AV156" s="10" t="s">
        <v>441</v>
      </c>
      <c r="AW156" s="11">
        <v>1500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966</v>
      </c>
      <c r="N157" s="9" t="s">
        <v>987</v>
      </c>
      <c r="O157" s="9">
        <v>1</v>
      </c>
      <c r="P157" s="9">
        <v>15</v>
      </c>
      <c r="Q157" s="9" t="s">
        <v>801</v>
      </c>
      <c r="U157" s="9" t="s">
        <v>738</v>
      </c>
      <c r="X157" s="9">
        <f ca="1">IFERROR(OFFSET(ITEM_RES!$A$5,MATCH(BUILDING!W157,ITEM_RES!$J$5:$J$226,0)-1,0),0)</f>
        <v>0</v>
      </c>
      <c r="Z157" s="85" t="s">
        <v>555</v>
      </c>
      <c r="AA157" s="9">
        <f ca="1">IFERROR(OFFSET(ITEM_RES!$A$5,MATCH(BUILDING!Z157,ITEM_RES!$J$5:$J$226,0)-1,0),0)</f>
        <v>211010501</v>
      </c>
      <c r="AC157" s="9" t="s">
        <v>526</v>
      </c>
      <c r="AD157" s="9">
        <v>13</v>
      </c>
      <c r="AF157" s="9">
        <v>28000</v>
      </c>
      <c r="AI157" s="56">
        <f t="shared" ca="1" si="74"/>
        <v>1050</v>
      </c>
      <c r="AJ157" s="10">
        <f ca="1">AO157+AQ157+(IFERROR(OFFSET(ITEM_RES!$T$1,MATCH(AU157,ITEM_RES!$A:$A,0)-1,0),0)*AW157+IFERROR(OFFSET(ITEM_RES!$T$1,MATCH(AZ157,ITEM_RES!$A:$A,0)-1,0),0)*BB157+IFERROR(OFFSET(ITEM_RES!$T$1,MATCH(BE157,ITEM_RES!$A:$A,0)-1,0),0)*BG157+IFERROR(OFFSET(ITEM_RES!$T$1,MATCH(BJ157,ITEM_RES!$A:$A,0)-1,0),0)*BL157+IFERROR(OFFSET(ITEM_RES!$T$1,MATCH(BO157,ITEM_RES!$A:$A,0)-1,0),0)*BQ157)/1000</f>
        <v>1050</v>
      </c>
      <c r="AK157" s="183">
        <f t="shared" ca="1" si="69"/>
        <v>1800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1</v>
      </c>
      <c r="AU157" s="11">
        <f ca="1">IFERROR(OFFSET(ITEM_RES!$A$1,MATCH(AV157,ITEM_RES!$J:$J,0)-1,0),0)</f>
        <v>211020901</v>
      </c>
      <c r="AV157" s="10" t="s">
        <v>453</v>
      </c>
      <c r="AW157" s="11">
        <v>1750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966</v>
      </c>
      <c r="N158" s="9" t="s">
        <v>987</v>
      </c>
      <c r="O158" s="9">
        <v>1</v>
      </c>
      <c r="P158" s="9">
        <v>15</v>
      </c>
      <c r="Q158" s="9" t="s">
        <v>801</v>
      </c>
      <c r="U158" s="9" t="s">
        <v>738</v>
      </c>
      <c r="X158" s="9">
        <f ca="1">IFERROR(OFFSET(ITEM_RES!$A$5,MATCH(BUILDING!W158,ITEM_RES!$J$5:$J$226,0)-1,0),0)</f>
        <v>0</v>
      </c>
      <c r="Z158" s="85" t="s">
        <v>555</v>
      </c>
      <c r="AA158" s="9">
        <f ca="1">IFERROR(OFFSET(ITEM_RES!$A$5,MATCH(BUILDING!Z158,ITEM_RES!$J$5:$J$226,0)-1,0),0)</f>
        <v>211010501</v>
      </c>
      <c r="AC158" s="9" t="s">
        <v>526</v>
      </c>
      <c r="AD158" s="9">
        <v>14</v>
      </c>
      <c r="AF158" s="9">
        <v>36000</v>
      </c>
      <c r="AI158" s="56">
        <f t="shared" ca="1" si="74"/>
        <v>1350</v>
      </c>
      <c r="AJ158" s="10">
        <f ca="1">AO158+AQ158+(IFERROR(OFFSET(ITEM_RES!$T$1,MATCH(AU158,ITEM_RES!$A:$A,0)-1,0),0)*AW158+IFERROR(OFFSET(ITEM_RES!$T$1,MATCH(AZ158,ITEM_RES!$A:$A,0)-1,0),0)*BB158+IFERROR(OFFSET(ITEM_RES!$T$1,MATCH(BE158,ITEM_RES!$A:$A,0)-1,0),0)*BG158+IFERROR(OFFSET(ITEM_RES!$T$1,MATCH(BJ158,ITEM_RES!$A:$A,0)-1,0),0)*BL158+IFERROR(OFFSET(ITEM_RES!$T$1,MATCH(BO158,ITEM_RES!$A:$A,0)-1,0),0)*BQ158)/1000</f>
        <v>1350</v>
      </c>
      <c r="AK158" s="183">
        <f t="shared" ca="1" si="69"/>
        <v>2400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1</v>
      </c>
      <c r="AU158" s="11">
        <f ca="1">IFERROR(OFFSET(ITEM_RES!$A$1,MATCH(AV158,ITEM_RES!$J:$J,0)-1,0),0)</f>
        <v>211020901</v>
      </c>
      <c r="AV158" s="10" t="s">
        <v>453</v>
      </c>
      <c r="AW158" s="11">
        <v>2250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966</v>
      </c>
      <c r="N159" s="9" t="s">
        <v>987</v>
      </c>
      <c r="O159" s="9">
        <v>1</v>
      </c>
      <c r="P159" s="9">
        <v>15</v>
      </c>
      <c r="Q159" s="9" t="s">
        <v>801</v>
      </c>
      <c r="U159" s="9" t="s">
        <v>738</v>
      </c>
      <c r="X159" s="9">
        <f ca="1">IFERROR(OFFSET(ITEM_RES!$A$5,MATCH(BUILDING!W159,ITEM_RES!$J$5:$J$226,0)-1,0),0)</f>
        <v>0</v>
      </c>
      <c r="Z159" s="85" t="s">
        <v>555</v>
      </c>
      <c r="AA159" s="9">
        <f ca="1">IFERROR(OFFSET(ITEM_RES!$A$5,MATCH(BUILDING!Z159,ITEM_RES!$J$5:$J$226,0)-1,0),0)</f>
        <v>211010501</v>
      </c>
      <c r="AC159" s="9" t="s">
        <v>526</v>
      </c>
      <c r="AD159" s="9">
        <v>15</v>
      </c>
      <c r="AF159" s="9">
        <v>44000</v>
      </c>
      <c r="AI159" s="56">
        <f t="shared" ca="1" si="74"/>
        <v>1650</v>
      </c>
      <c r="AJ159" s="10">
        <f ca="1">AO159+AQ159+(IFERROR(OFFSET(ITEM_RES!$T$1,MATCH(AU159,ITEM_RES!$A:$A,0)-1,0),0)*AW159+IFERROR(OFFSET(ITEM_RES!$T$1,MATCH(AZ159,ITEM_RES!$A:$A,0)-1,0),0)*BB159+IFERROR(OFFSET(ITEM_RES!$T$1,MATCH(BE159,ITEM_RES!$A:$A,0)-1,0),0)*BG159+IFERROR(OFFSET(ITEM_RES!$T$1,MATCH(BJ159,ITEM_RES!$A:$A,0)-1,0),0)*BL159+IFERROR(OFFSET(ITEM_RES!$T$1,MATCH(BO159,ITEM_RES!$A:$A,0)-1,0),0)*BQ159)/1000</f>
        <v>1650</v>
      </c>
      <c r="AK159" s="183">
        <f t="shared" ca="1" si="69"/>
        <v>3000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1</v>
      </c>
      <c r="AU159" s="11">
        <f ca="1">IFERROR(OFFSET(ITEM_RES!$A$1,MATCH(AV159,ITEM_RES!$J:$J,0)-1,0),0)</f>
        <v>211020901</v>
      </c>
      <c r="AV159" s="10" t="s">
        <v>453</v>
      </c>
      <c r="AW159" s="11">
        <v>2750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966</v>
      </c>
      <c r="N160" s="9" t="s">
        <v>987</v>
      </c>
      <c r="O160" s="9">
        <v>0</v>
      </c>
      <c r="P160" s="9">
        <v>15</v>
      </c>
      <c r="Q160" s="9" t="s">
        <v>801</v>
      </c>
      <c r="U160" s="9" t="s">
        <v>738</v>
      </c>
      <c r="X160" s="9">
        <f ca="1">IFERROR(OFFSET(ITEM_RES!$A$5,MATCH(BUILDING!W160,ITEM_RES!$J$5:$J$226,0)-1,0),0)</f>
        <v>0</v>
      </c>
      <c r="Z160" s="85" t="s">
        <v>555</v>
      </c>
      <c r="AA160" s="9">
        <f ca="1">IFERROR(OFFSET(ITEM_RES!$A$5,MATCH(BUILDING!Z160,ITEM_RES!$J$5:$J$226,0)-1,0),0)</f>
        <v>211010501</v>
      </c>
      <c r="AC160" s="9" t="s">
        <v>526</v>
      </c>
      <c r="AD160" s="9">
        <v>16</v>
      </c>
      <c r="AF160" s="9">
        <v>56000</v>
      </c>
      <c r="AI160" s="56">
        <f t="shared" ca="1" si="74"/>
        <v>2100</v>
      </c>
      <c r="AJ160" s="10">
        <f ca="1">AO160+AQ160+(IFERROR(OFFSET(ITEM_RES!$T$1,MATCH(AU160,ITEM_RES!$A:$A,0)-1,0),0)*AW160+IFERROR(OFFSET(ITEM_RES!$T$1,MATCH(AZ160,ITEM_RES!$A:$A,0)-1,0),0)*BB160+IFERROR(OFFSET(ITEM_RES!$T$1,MATCH(BE160,ITEM_RES!$A:$A,0)-1,0),0)*BG160+IFERROR(OFFSET(ITEM_RES!$T$1,MATCH(BJ160,ITEM_RES!$A:$A,0)-1,0),0)*BL160+IFERROR(OFFSET(ITEM_RES!$T$1,MATCH(BO160,ITEM_RES!$A:$A,0)-1,0),0)*BQ160)/1000</f>
        <v>2100</v>
      </c>
      <c r="AK160" s="183">
        <f t="shared" ca="1" si="69"/>
        <v>3750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1</v>
      </c>
      <c r="AU160" s="11">
        <f ca="1">IFERROR(OFFSET(ITEM_RES!$A$1,MATCH(AV160,ITEM_RES!$J:$J,0)-1,0),0)</f>
        <v>211020901</v>
      </c>
      <c r="AV160" s="10" t="s">
        <v>453</v>
      </c>
      <c r="AW160" s="11">
        <v>3500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966</v>
      </c>
      <c r="N161" s="9" t="s">
        <v>987</v>
      </c>
      <c r="O161" s="9">
        <v>0</v>
      </c>
      <c r="P161" s="9">
        <v>15</v>
      </c>
      <c r="Q161" s="9" t="s">
        <v>801</v>
      </c>
      <c r="U161" s="9" t="s">
        <v>738</v>
      </c>
      <c r="X161" s="9">
        <f ca="1">IFERROR(OFFSET(ITEM_RES!$A$5,MATCH(BUILDING!W161,ITEM_RES!$J$5:$J$226,0)-1,0),0)</f>
        <v>0</v>
      </c>
      <c r="Z161" s="85" t="s">
        <v>555</v>
      </c>
      <c r="AA161" s="9">
        <f ca="1">IFERROR(OFFSET(ITEM_RES!$A$5,MATCH(BUILDING!Z161,ITEM_RES!$J$5:$J$226,0)-1,0),0)</f>
        <v>211010501</v>
      </c>
      <c r="AC161" s="9" t="s">
        <v>526</v>
      </c>
      <c r="AD161" s="9">
        <v>17</v>
      </c>
      <c r="AF161" s="9">
        <v>68000</v>
      </c>
      <c r="AI161" s="56">
        <f t="shared" ca="1" si="74"/>
        <v>2550</v>
      </c>
      <c r="AJ161" s="10">
        <f ca="1">AO161+AQ161+(IFERROR(OFFSET(ITEM_RES!$T$1,MATCH(AU161,ITEM_RES!$A:$A,0)-1,0),0)*AW161+IFERROR(OFFSET(ITEM_RES!$T$1,MATCH(AZ161,ITEM_RES!$A:$A,0)-1,0),0)*BB161+IFERROR(OFFSET(ITEM_RES!$T$1,MATCH(BE161,ITEM_RES!$A:$A,0)-1,0),0)*BG161+IFERROR(OFFSET(ITEM_RES!$T$1,MATCH(BJ161,ITEM_RES!$A:$A,0)-1,0),0)*BL161+IFERROR(OFFSET(ITEM_RES!$T$1,MATCH(BO161,ITEM_RES!$A:$A,0)-1,0),0)*BQ161)/1000</f>
        <v>2550</v>
      </c>
      <c r="AK161" s="183">
        <f t="shared" ca="1" si="69"/>
        <v>4650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1</v>
      </c>
      <c r="AU161" s="11">
        <f ca="1">IFERROR(OFFSET(ITEM_RES!$A$1,MATCH(AV161,ITEM_RES!$J:$J,0)-1,0),0)</f>
        <v>211020901</v>
      </c>
      <c r="AV161" s="10" t="s">
        <v>453</v>
      </c>
      <c r="AW161" s="11">
        <v>4250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966</v>
      </c>
      <c r="N162" s="9" t="s">
        <v>987</v>
      </c>
      <c r="O162" s="9">
        <v>0</v>
      </c>
      <c r="P162" s="9">
        <v>15</v>
      </c>
      <c r="Q162" s="9" t="s">
        <v>801</v>
      </c>
      <c r="U162" s="9" t="s">
        <v>738</v>
      </c>
      <c r="X162" s="9">
        <f ca="1">IFERROR(OFFSET(ITEM_RES!$A$5,MATCH(BUILDING!W162,ITEM_RES!$J$5:$J$226,0)-1,0),0)</f>
        <v>0</v>
      </c>
      <c r="Z162" s="85" t="s">
        <v>555</v>
      </c>
      <c r="AA162" s="9">
        <f ca="1">IFERROR(OFFSET(ITEM_RES!$A$5,MATCH(BUILDING!Z162,ITEM_RES!$J$5:$J$226,0)-1,0),0)</f>
        <v>211010501</v>
      </c>
      <c r="AC162" s="9" t="s">
        <v>526</v>
      </c>
      <c r="AD162" s="9">
        <v>18</v>
      </c>
      <c r="AF162" s="9">
        <v>84000</v>
      </c>
      <c r="AI162" s="56">
        <f t="shared" ca="1" si="74"/>
        <v>3150</v>
      </c>
      <c r="AJ162" s="10">
        <f ca="1">AO162+AQ162+(IFERROR(OFFSET(ITEM_RES!$T$1,MATCH(AU162,ITEM_RES!$A:$A,0)-1,0),0)*AW162+IFERROR(OFFSET(ITEM_RES!$T$1,MATCH(AZ162,ITEM_RES!$A:$A,0)-1,0),0)*BB162+IFERROR(OFFSET(ITEM_RES!$T$1,MATCH(BE162,ITEM_RES!$A:$A,0)-1,0),0)*BG162+IFERROR(OFFSET(ITEM_RES!$T$1,MATCH(BJ162,ITEM_RES!$A:$A,0)-1,0),0)*BL162+IFERROR(OFFSET(ITEM_RES!$T$1,MATCH(BO162,ITEM_RES!$A:$A,0)-1,0),0)*BQ162)/1000</f>
        <v>3150</v>
      </c>
      <c r="AK162" s="183">
        <f t="shared" ca="1" si="69"/>
        <v>5700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1</v>
      </c>
      <c r="AU162" s="11">
        <f ca="1">IFERROR(OFFSET(ITEM_RES!$A$1,MATCH(AV162,ITEM_RES!$J:$J,0)-1,0),0)</f>
        <v>211020901</v>
      </c>
      <c r="AV162" s="10" t="s">
        <v>453</v>
      </c>
      <c r="AW162" s="11">
        <v>5250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966</v>
      </c>
      <c r="N163" s="9" t="s">
        <v>987</v>
      </c>
      <c r="O163" s="9">
        <v>0</v>
      </c>
      <c r="P163" s="9">
        <v>15</v>
      </c>
      <c r="Q163" s="9" t="s">
        <v>801</v>
      </c>
      <c r="U163" s="9" t="s">
        <v>738</v>
      </c>
      <c r="X163" s="9">
        <f ca="1">IFERROR(OFFSET(ITEM_RES!$A$5,MATCH(BUILDING!W163,ITEM_RES!$J$5:$J$226,0)-1,0),0)</f>
        <v>0</v>
      </c>
      <c r="Z163" s="85" t="s">
        <v>555</v>
      </c>
      <c r="AA163" s="9">
        <f ca="1">IFERROR(OFFSET(ITEM_RES!$A$5,MATCH(BUILDING!Z163,ITEM_RES!$J$5:$J$226,0)-1,0),0)</f>
        <v>211010501</v>
      </c>
      <c r="AC163" s="9" t="s">
        <v>526</v>
      </c>
      <c r="AD163" s="9">
        <v>19</v>
      </c>
      <c r="AF163" s="9">
        <v>100000</v>
      </c>
      <c r="AI163" s="56">
        <f t="shared" ca="1" si="74"/>
        <v>3750</v>
      </c>
      <c r="AJ163" s="10">
        <f ca="1">AO163+AQ163+(IFERROR(OFFSET(ITEM_RES!$T$1,MATCH(AU163,ITEM_RES!$A:$A,0)-1,0),0)*AW163+IFERROR(OFFSET(ITEM_RES!$T$1,MATCH(AZ163,ITEM_RES!$A:$A,0)-1,0),0)*BB163+IFERROR(OFFSET(ITEM_RES!$T$1,MATCH(BE163,ITEM_RES!$A:$A,0)-1,0),0)*BG163+IFERROR(OFFSET(ITEM_RES!$T$1,MATCH(BJ163,ITEM_RES!$A:$A,0)-1,0),0)*BL163+IFERROR(OFFSET(ITEM_RES!$T$1,MATCH(BO163,ITEM_RES!$A:$A,0)-1,0),0)*BQ163)/1000</f>
        <v>3750</v>
      </c>
      <c r="AK163" s="183">
        <f t="shared" ca="1" si="69"/>
        <v>6900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1</v>
      </c>
      <c r="AU163" s="11">
        <f ca="1">IFERROR(OFFSET(ITEM_RES!$A$1,MATCH(AV163,ITEM_RES!$J:$J,0)-1,0),0)</f>
        <v>211020901</v>
      </c>
      <c r="AV163" s="10" t="s">
        <v>453</v>
      </c>
      <c r="AW163" s="11">
        <v>6250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966</v>
      </c>
      <c r="N164" s="9" t="s">
        <v>987</v>
      </c>
      <c r="O164" s="9">
        <v>0</v>
      </c>
      <c r="P164" s="9">
        <v>15</v>
      </c>
      <c r="Q164" s="9" t="s">
        <v>801</v>
      </c>
      <c r="U164" s="9" t="s">
        <v>738</v>
      </c>
      <c r="X164" s="9">
        <f ca="1">IFERROR(OFFSET(ITEM_RES!$A$5,MATCH(BUILDING!W164,ITEM_RES!$J$5:$J$226,0)-1,0),0)</f>
        <v>0</v>
      </c>
      <c r="Z164" s="85" t="s">
        <v>555</v>
      </c>
      <c r="AA164" s="9">
        <f ca="1">IFERROR(OFFSET(ITEM_RES!$A$5,MATCH(BUILDING!Z164,ITEM_RES!$J$5:$J$226,0)-1,0),0)</f>
        <v>211010501</v>
      </c>
      <c r="AC164" s="9" t="s">
        <v>526</v>
      </c>
      <c r="AD164" s="9">
        <v>20</v>
      </c>
      <c r="AF164" s="9">
        <v>120000</v>
      </c>
      <c r="AI164" s="56">
        <f t="shared" ca="1" si="74"/>
        <v>4500</v>
      </c>
      <c r="AJ164" s="10">
        <f ca="1">AO164+AQ164+(IFERROR(OFFSET(ITEM_RES!$T$1,MATCH(AU164,ITEM_RES!$A:$A,0)-1,0),0)*AW164+IFERROR(OFFSET(ITEM_RES!$T$1,MATCH(AZ164,ITEM_RES!$A:$A,0)-1,0),0)*BB164+IFERROR(OFFSET(ITEM_RES!$T$1,MATCH(BE164,ITEM_RES!$A:$A,0)-1,0),0)*BG164+IFERROR(OFFSET(ITEM_RES!$T$1,MATCH(BJ164,ITEM_RES!$A:$A,0)-1,0),0)*BL164+IFERROR(OFFSET(ITEM_RES!$T$1,MATCH(BO164,ITEM_RES!$A:$A,0)-1,0),0)*BQ164)/1000</f>
        <v>4500</v>
      </c>
      <c r="AK164" s="183">
        <f t="shared" ca="1" si="69"/>
        <v>8250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1</v>
      </c>
      <c r="AU164" s="11">
        <f ca="1">IFERROR(OFFSET(ITEM_RES!$A$1,MATCH(AV164,ITEM_RES!$J:$J,0)-1,0),0)</f>
        <v>211020901</v>
      </c>
      <c r="AV164" s="10" t="s">
        <v>453</v>
      </c>
      <c r="AW164" s="11">
        <v>7500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3</v>
      </c>
      <c r="M165" s="16" t="s">
        <v>967</v>
      </c>
      <c r="N165" s="16" t="s">
        <v>988</v>
      </c>
      <c r="O165" s="16">
        <v>1</v>
      </c>
      <c r="P165" s="16">
        <v>15</v>
      </c>
      <c r="Q165" s="16" t="s">
        <v>800</v>
      </c>
      <c r="R165" s="17"/>
      <c r="S165" s="17"/>
      <c r="T165" s="18"/>
      <c r="U165" s="16" t="s">
        <v>719</v>
      </c>
      <c r="V165" s="79"/>
      <c r="W165" s="87" t="s">
        <v>555</v>
      </c>
      <c r="X165" s="16">
        <f ca="1">IFERROR(OFFSET(ITEM_RES!$A$5,MATCH(BUILDING!W165,ITEM_RES!$J$5:$J$226,0)-1,0),0)</f>
        <v>211010501</v>
      </c>
      <c r="Y165" s="18">
        <v>1</v>
      </c>
      <c r="Z165" s="87" t="s">
        <v>556</v>
      </c>
      <c r="AA165" s="16">
        <f ca="1">IFERROR(OFFSET(ITEM_RES!$A$5,MATCH(BUILDING!Z165,ITEM_RES!$J$5:$J$226,0)-1,0),0)</f>
        <v>211010601</v>
      </c>
      <c r="AB165" s="79"/>
      <c r="AC165" s="16" t="s">
        <v>527</v>
      </c>
      <c r="AD165" s="16">
        <v>1</v>
      </c>
      <c r="AE165" s="79"/>
      <c r="AF165" s="16">
        <v>0</v>
      </c>
      <c r="AG165" s="17"/>
      <c r="AH165" s="79"/>
      <c r="AI165" s="57">
        <f t="shared" ca="1" si="74"/>
        <v>113</v>
      </c>
      <c r="AJ165" s="17">
        <f ca="1">AO165+AQ165+(IFERROR(OFFSET(ITEM_RES!$T$1,MATCH(AU165,ITEM_RES!$A:$A,0)-1,0),0)*AW165+IFERROR(OFFSET(ITEM_RES!$T$1,MATCH(AZ165,ITEM_RES!$A:$A,0)-1,0),0)*BB165+IFERROR(OFFSET(ITEM_RES!$T$1,MATCH(BE165,ITEM_RES!$A:$A,0)-1,0),0)*BG165+IFERROR(OFFSET(ITEM_RES!$T$1,MATCH(BJ165,ITEM_RES!$A:$A,0)-1,0),0)*BL165+IFERROR(OFFSET(ITEM_RES!$T$1,MATCH(BO165,ITEM_RES!$A:$A,0)-1,0),0)*BQ165)/1000</f>
        <v>112.5</v>
      </c>
      <c r="AK165" s="185">
        <f ca="1">AJ165</f>
        <v>112.5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2</v>
      </c>
      <c r="AT165" s="18"/>
      <c r="AU165" s="18">
        <f ca="1">IFERROR(OFFSET(ITEM_RES!$A$1,MATCH(AV165,ITEM_RES!$J:$J,0)-1,0),0)</f>
        <v>211020801</v>
      </c>
      <c r="AV165" s="17" t="s">
        <v>441</v>
      </c>
      <c r="AW165" s="18">
        <v>25</v>
      </c>
      <c r="AX165" s="17"/>
      <c r="AY165" s="18"/>
      <c r="AZ165" s="18">
        <f ca="1">IFERROR(OFFSET(ITEM_RES!$A$1,MATCH(BA165,ITEM_RES!$J:$J,0)-1,0),0)</f>
        <v>0</v>
      </c>
      <c r="BA165" s="17"/>
      <c r="BB165" s="18"/>
      <c r="BC165" s="17"/>
      <c r="BD165" s="18"/>
      <c r="BE165" s="18">
        <f ca="1">IFERROR(OFFSET(ITEM_RES!$A$1,MATCH(BF165,ITEM_RES!$J:$J,0)-1,0),0)</f>
        <v>213010101</v>
      </c>
      <c r="BF165" s="17" t="s">
        <v>463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967</v>
      </c>
      <c r="N166" s="9" t="s">
        <v>988</v>
      </c>
      <c r="O166" s="9">
        <v>1</v>
      </c>
      <c r="P166" s="9">
        <v>15</v>
      </c>
      <c r="Q166" s="9" t="s">
        <v>800</v>
      </c>
      <c r="U166" s="9" t="s">
        <v>719</v>
      </c>
      <c r="W166" s="85" t="s">
        <v>555</v>
      </c>
      <c r="X166" s="9">
        <f ca="1">IFERROR(OFFSET(ITEM_RES!$A$5,MATCH(BUILDING!W166,ITEM_RES!$J$5:$J$226,0)-1,0),0)</f>
        <v>211010501</v>
      </c>
      <c r="Y166" s="11">
        <v>1</v>
      </c>
      <c r="Z166" s="85" t="s">
        <v>556</v>
      </c>
      <c r="AA166" s="9">
        <f ca="1">IFERROR(OFFSET(ITEM_RES!$A$5,MATCH(BUILDING!Z166,ITEM_RES!$J$5:$J$226,0)-1,0),0)</f>
        <v>211010601</v>
      </c>
      <c r="AC166" s="9" t="s">
        <v>527</v>
      </c>
      <c r="AD166" s="9">
        <v>2</v>
      </c>
      <c r="AF166" s="9">
        <v>800</v>
      </c>
      <c r="AI166" s="56">
        <f t="shared" ca="1" si="74"/>
        <v>25</v>
      </c>
      <c r="AJ166" s="10">
        <f ca="1">AO166+AQ166+(IFERROR(OFFSET(ITEM_RES!$T$1,MATCH(AU166,ITEM_RES!$A:$A,0)-1,0),0)*AW166+IFERROR(OFFSET(ITEM_RES!$T$1,MATCH(AZ166,ITEM_RES!$A:$A,0)-1,0),0)*BB166+IFERROR(OFFSET(ITEM_RES!$T$1,MATCH(BE166,ITEM_RES!$A:$A,0)-1,0),0)*BG166+IFERROR(OFFSET(ITEM_RES!$T$1,MATCH(BJ166,ITEM_RES!$A:$A,0)-1,0),0)*BL166+IFERROR(OFFSET(ITEM_RES!$T$1,MATCH(BO166,ITEM_RES!$A:$A,0)-1,0),0)*BQ166)/1000</f>
        <v>25</v>
      </c>
      <c r="AK166" s="183">
        <f t="shared" ref="AK166:AK184" ca="1" si="76">AJ165+AJ166</f>
        <v>137.5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1</v>
      </c>
      <c r="AU166" s="11">
        <f ca="1">IFERROR(OFFSET(ITEM_RES!$A$1,MATCH(AV166,ITEM_RES!$J:$J,0)-1,0),0)</f>
        <v>211020801</v>
      </c>
      <c r="AV166" s="10" t="s">
        <v>441</v>
      </c>
      <c r="AW166" s="11">
        <v>50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967</v>
      </c>
      <c r="N167" s="9" t="s">
        <v>988</v>
      </c>
      <c r="O167" s="9">
        <v>1</v>
      </c>
      <c r="P167" s="9">
        <v>15</v>
      </c>
      <c r="Q167" s="9" t="s">
        <v>800</v>
      </c>
      <c r="U167" s="9" t="s">
        <v>719</v>
      </c>
      <c r="W167" s="85" t="s">
        <v>555</v>
      </c>
      <c r="X167" s="9">
        <f ca="1">IFERROR(OFFSET(ITEM_RES!$A$5,MATCH(BUILDING!W167,ITEM_RES!$J$5:$J$226,0)-1,0),0)</f>
        <v>211010501</v>
      </c>
      <c r="Y167" s="11">
        <v>1</v>
      </c>
      <c r="Z167" s="85" t="s">
        <v>556</v>
      </c>
      <c r="AA167" s="9">
        <f ca="1">IFERROR(OFFSET(ITEM_RES!$A$5,MATCH(BUILDING!Z167,ITEM_RES!$J$5:$J$226,0)-1,0),0)</f>
        <v>211010601</v>
      </c>
      <c r="AC167" s="9" t="s">
        <v>527</v>
      </c>
      <c r="AD167" s="9">
        <v>3</v>
      </c>
      <c r="AF167" s="9">
        <v>1200</v>
      </c>
      <c r="AI167" s="56">
        <f t="shared" ca="1" si="74"/>
        <v>38</v>
      </c>
      <c r="AJ167" s="10">
        <f ca="1">AO167+AQ167+(IFERROR(OFFSET(ITEM_RES!$T$1,MATCH(AU167,ITEM_RES!$A:$A,0)-1,0),0)*AW167+IFERROR(OFFSET(ITEM_RES!$T$1,MATCH(AZ167,ITEM_RES!$A:$A,0)-1,0),0)*BB167+IFERROR(OFFSET(ITEM_RES!$T$1,MATCH(BE167,ITEM_RES!$A:$A,0)-1,0),0)*BG167+IFERROR(OFFSET(ITEM_RES!$T$1,MATCH(BJ167,ITEM_RES!$A:$A,0)-1,0),0)*BL167+IFERROR(OFFSET(ITEM_RES!$T$1,MATCH(BO167,ITEM_RES!$A:$A,0)-1,0),0)*BQ167)/1000</f>
        <v>37.5</v>
      </c>
      <c r="AK167" s="183">
        <f t="shared" ca="1" si="76"/>
        <v>62.5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1</v>
      </c>
      <c r="AU167" s="11">
        <f ca="1">IFERROR(OFFSET(ITEM_RES!$A$1,MATCH(AV167,ITEM_RES!$J:$J,0)-1,0),0)</f>
        <v>211020801</v>
      </c>
      <c r="AV167" s="10" t="s">
        <v>441</v>
      </c>
      <c r="AW167" s="11">
        <v>75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967</v>
      </c>
      <c r="N168" s="9" t="s">
        <v>988</v>
      </c>
      <c r="O168" s="9">
        <v>1</v>
      </c>
      <c r="P168" s="9">
        <v>15</v>
      </c>
      <c r="Q168" s="9" t="s">
        <v>800</v>
      </c>
      <c r="U168" s="9" t="s">
        <v>719</v>
      </c>
      <c r="W168" s="85" t="s">
        <v>555</v>
      </c>
      <c r="X168" s="9">
        <f ca="1">IFERROR(OFFSET(ITEM_RES!$A$5,MATCH(BUILDING!W168,ITEM_RES!$J$5:$J$226,0)-1,0),0)</f>
        <v>211010501</v>
      </c>
      <c r="Y168" s="11">
        <v>1</v>
      </c>
      <c r="Z168" s="85" t="s">
        <v>556</v>
      </c>
      <c r="AA168" s="9">
        <f ca="1">IFERROR(OFFSET(ITEM_RES!$A$5,MATCH(BUILDING!Z168,ITEM_RES!$J$5:$J$226,0)-1,0),0)</f>
        <v>211010601</v>
      </c>
      <c r="AC168" s="9" t="s">
        <v>527</v>
      </c>
      <c r="AD168" s="9">
        <v>4</v>
      </c>
      <c r="AF168" s="9">
        <v>2000</v>
      </c>
      <c r="AI168" s="56">
        <f t="shared" ca="1" si="74"/>
        <v>63</v>
      </c>
      <c r="AJ168" s="10">
        <f ca="1">AO168+AQ168+(IFERROR(OFFSET(ITEM_RES!$T$1,MATCH(AU168,ITEM_RES!$A:$A,0)-1,0),0)*AW168+IFERROR(OFFSET(ITEM_RES!$T$1,MATCH(AZ168,ITEM_RES!$A:$A,0)-1,0),0)*BB168+IFERROR(OFFSET(ITEM_RES!$T$1,MATCH(BE168,ITEM_RES!$A:$A,0)-1,0),0)*BG168+IFERROR(OFFSET(ITEM_RES!$T$1,MATCH(BJ168,ITEM_RES!$A:$A,0)-1,0),0)*BL168+IFERROR(OFFSET(ITEM_RES!$T$1,MATCH(BO168,ITEM_RES!$A:$A,0)-1,0),0)*BQ168)/1000</f>
        <v>62.5</v>
      </c>
      <c r="AK168" s="183">
        <f t="shared" ca="1" si="76"/>
        <v>100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1</v>
      </c>
      <c r="AU168" s="11">
        <f ca="1">IFERROR(OFFSET(ITEM_RES!$A$1,MATCH(AV168,ITEM_RES!$J:$J,0)-1,0),0)</f>
        <v>211020801</v>
      </c>
      <c r="AV168" s="10" t="s">
        <v>441</v>
      </c>
      <c r="AW168" s="11">
        <v>125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967</v>
      </c>
      <c r="N169" s="9" t="s">
        <v>988</v>
      </c>
      <c r="O169" s="9">
        <v>1</v>
      </c>
      <c r="P169" s="9">
        <v>15</v>
      </c>
      <c r="Q169" s="9" t="s">
        <v>800</v>
      </c>
      <c r="U169" s="9" t="s">
        <v>719</v>
      </c>
      <c r="W169" s="85" t="s">
        <v>555</v>
      </c>
      <c r="X169" s="9">
        <f ca="1">IFERROR(OFFSET(ITEM_RES!$A$5,MATCH(BUILDING!W169,ITEM_RES!$J$5:$J$226,0)-1,0),0)</f>
        <v>211010501</v>
      </c>
      <c r="Y169" s="11">
        <v>1</v>
      </c>
      <c r="Z169" s="85" t="s">
        <v>556</v>
      </c>
      <c r="AA169" s="9">
        <f ca="1">IFERROR(OFFSET(ITEM_RES!$A$5,MATCH(BUILDING!Z169,ITEM_RES!$J$5:$J$226,0)-1,0),0)</f>
        <v>211010601</v>
      </c>
      <c r="AC169" s="9" t="s">
        <v>527</v>
      </c>
      <c r="AD169" s="9">
        <v>5</v>
      </c>
      <c r="AF169" s="9">
        <v>3200</v>
      </c>
      <c r="AI169" s="56">
        <f t="shared" ca="1" si="74"/>
        <v>100</v>
      </c>
      <c r="AJ169" s="10">
        <f ca="1">AO169+AQ169+(IFERROR(OFFSET(ITEM_RES!$T$1,MATCH(AU169,ITEM_RES!$A:$A,0)-1,0),0)*AW169+IFERROR(OFFSET(ITEM_RES!$T$1,MATCH(AZ169,ITEM_RES!$A:$A,0)-1,0),0)*BB169+IFERROR(OFFSET(ITEM_RES!$T$1,MATCH(BE169,ITEM_RES!$A:$A,0)-1,0),0)*BG169+IFERROR(OFFSET(ITEM_RES!$T$1,MATCH(BJ169,ITEM_RES!$A:$A,0)-1,0),0)*BL169+IFERROR(OFFSET(ITEM_RES!$T$1,MATCH(BO169,ITEM_RES!$A:$A,0)-1,0),0)*BQ169)/1000</f>
        <v>100</v>
      </c>
      <c r="AK169" s="183">
        <f t="shared" ca="1" si="76"/>
        <v>162.5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1</v>
      </c>
      <c r="AU169" s="11">
        <f ca="1">IFERROR(OFFSET(ITEM_RES!$A$1,MATCH(AV169,ITEM_RES!$J:$J,0)-1,0),0)</f>
        <v>211020801</v>
      </c>
      <c r="AV169" s="10" t="s">
        <v>441</v>
      </c>
      <c r="AW169" s="11">
        <v>200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967</v>
      </c>
      <c r="N170" s="9" t="s">
        <v>988</v>
      </c>
      <c r="O170" s="9">
        <v>1</v>
      </c>
      <c r="P170" s="9">
        <v>15</v>
      </c>
      <c r="Q170" s="9" t="s">
        <v>800</v>
      </c>
      <c r="U170" s="9" t="s">
        <v>719</v>
      </c>
      <c r="W170" s="85" t="s">
        <v>555</v>
      </c>
      <c r="X170" s="9">
        <f ca="1">IFERROR(OFFSET(ITEM_RES!$A$5,MATCH(BUILDING!W170,ITEM_RES!$J$5:$J$226,0)-1,0),0)</f>
        <v>211010501</v>
      </c>
      <c r="Y170" s="11">
        <v>1</v>
      </c>
      <c r="Z170" s="85" t="s">
        <v>556</v>
      </c>
      <c r="AA170" s="9">
        <f ca="1">IFERROR(OFFSET(ITEM_RES!$A$5,MATCH(BUILDING!Z170,ITEM_RES!$J$5:$J$226,0)-1,0),0)</f>
        <v>211010601</v>
      </c>
      <c r="AC170" s="9" t="s">
        <v>527</v>
      </c>
      <c r="AD170" s="9">
        <v>6</v>
      </c>
      <c r="AF170" s="9">
        <v>4000</v>
      </c>
      <c r="AI170" s="56">
        <f t="shared" ca="1" si="74"/>
        <v>125</v>
      </c>
      <c r="AJ170" s="10">
        <f ca="1">AO170+AQ170+(IFERROR(OFFSET(ITEM_RES!$T$1,MATCH(AU170,ITEM_RES!$A:$A,0)-1,0),0)*AW170+IFERROR(OFFSET(ITEM_RES!$T$1,MATCH(AZ170,ITEM_RES!$A:$A,0)-1,0),0)*BB170+IFERROR(OFFSET(ITEM_RES!$T$1,MATCH(BE170,ITEM_RES!$A:$A,0)-1,0),0)*BG170+IFERROR(OFFSET(ITEM_RES!$T$1,MATCH(BJ170,ITEM_RES!$A:$A,0)-1,0),0)*BL170+IFERROR(OFFSET(ITEM_RES!$T$1,MATCH(BO170,ITEM_RES!$A:$A,0)-1,0),0)*BQ170)/1000</f>
        <v>125</v>
      </c>
      <c r="AK170" s="183">
        <f t="shared" ca="1" si="76"/>
        <v>225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1</v>
      </c>
      <c r="AU170" s="11">
        <f ca="1">IFERROR(OFFSET(ITEM_RES!$A$1,MATCH(AV170,ITEM_RES!$J:$J,0)-1,0),0)</f>
        <v>211020801</v>
      </c>
      <c r="AV170" s="10" t="s">
        <v>441</v>
      </c>
      <c r="AW170" s="11">
        <v>250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967</v>
      </c>
      <c r="N171" s="9" t="s">
        <v>988</v>
      </c>
      <c r="O171" s="9">
        <v>1</v>
      </c>
      <c r="P171" s="9">
        <v>15</v>
      </c>
      <c r="Q171" s="9" t="s">
        <v>800</v>
      </c>
      <c r="U171" s="9" t="s">
        <v>719</v>
      </c>
      <c r="W171" s="85" t="s">
        <v>555</v>
      </c>
      <c r="X171" s="9">
        <f ca="1">IFERROR(OFFSET(ITEM_RES!$A$5,MATCH(BUILDING!W171,ITEM_RES!$J$5:$J$226,0)-1,0),0)</f>
        <v>211010501</v>
      </c>
      <c r="Y171" s="11">
        <v>1</v>
      </c>
      <c r="Z171" s="85" t="s">
        <v>556</v>
      </c>
      <c r="AA171" s="9">
        <f ca="1">IFERROR(OFFSET(ITEM_RES!$A$5,MATCH(BUILDING!Z171,ITEM_RES!$J$5:$J$226,0)-1,0),0)</f>
        <v>211010601</v>
      </c>
      <c r="AC171" s="9" t="s">
        <v>527</v>
      </c>
      <c r="AD171" s="9">
        <v>7</v>
      </c>
      <c r="AF171" s="9">
        <v>8000</v>
      </c>
      <c r="AI171" s="56">
        <f t="shared" ca="1" si="74"/>
        <v>250</v>
      </c>
      <c r="AJ171" s="10">
        <f ca="1">AO171+AQ171+(IFERROR(OFFSET(ITEM_RES!$T$1,MATCH(AU171,ITEM_RES!$A:$A,0)-1,0),0)*AW171+IFERROR(OFFSET(ITEM_RES!$T$1,MATCH(AZ171,ITEM_RES!$A:$A,0)-1,0),0)*BB171+IFERROR(OFFSET(ITEM_RES!$T$1,MATCH(BE171,ITEM_RES!$A:$A,0)-1,0),0)*BG171+IFERROR(OFFSET(ITEM_RES!$T$1,MATCH(BJ171,ITEM_RES!$A:$A,0)-1,0),0)*BL171+IFERROR(OFFSET(ITEM_RES!$T$1,MATCH(BO171,ITEM_RES!$A:$A,0)-1,0),0)*BQ171)/1000</f>
        <v>250</v>
      </c>
      <c r="AK171" s="183">
        <f t="shared" ca="1" si="76"/>
        <v>375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1</v>
      </c>
      <c r="AU171" s="11">
        <f ca="1">IFERROR(OFFSET(ITEM_RES!$A$1,MATCH(AV171,ITEM_RES!$J:$J,0)-1,0),0)</f>
        <v>211020801</v>
      </c>
      <c r="AV171" s="10" t="s">
        <v>441</v>
      </c>
      <c r="AW171" s="11">
        <v>500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967</v>
      </c>
      <c r="N172" s="9" t="s">
        <v>988</v>
      </c>
      <c r="O172" s="9">
        <v>1</v>
      </c>
      <c r="P172" s="9">
        <v>15</v>
      </c>
      <c r="Q172" s="9" t="s">
        <v>800</v>
      </c>
      <c r="U172" s="9" t="s">
        <v>719</v>
      </c>
      <c r="W172" s="85" t="s">
        <v>555</v>
      </c>
      <c r="X172" s="9">
        <f ca="1">IFERROR(OFFSET(ITEM_RES!$A$5,MATCH(BUILDING!W172,ITEM_RES!$J$5:$J$226,0)-1,0),0)</f>
        <v>211010501</v>
      </c>
      <c r="Y172" s="11">
        <v>1</v>
      </c>
      <c r="Z172" s="85" t="s">
        <v>556</v>
      </c>
      <c r="AA172" s="9">
        <f ca="1">IFERROR(OFFSET(ITEM_RES!$A$5,MATCH(BUILDING!Z172,ITEM_RES!$J$5:$J$226,0)-1,0),0)</f>
        <v>211010601</v>
      </c>
      <c r="AC172" s="9" t="s">
        <v>527</v>
      </c>
      <c r="AD172" s="9">
        <v>8</v>
      </c>
      <c r="AF172" s="9">
        <v>8000</v>
      </c>
      <c r="AI172" s="56">
        <f t="shared" ca="1" si="74"/>
        <v>250</v>
      </c>
      <c r="AJ172" s="10">
        <f ca="1">AO172+AQ172+(IFERROR(OFFSET(ITEM_RES!$T$1,MATCH(AU172,ITEM_RES!$A:$A,0)-1,0),0)*AW172+IFERROR(OFFSET(ITEM_RES!$T$1,MATCH(AZ172,ITEM_RES!$A:$A,0)-1,0),0)*BB172+IFERROR(OFFSET(ITEM_RES!$T$1,MATCH(BE172,ITEM_RES!$A:$A,0)-1,0),0)*BG172+IFERROR(OFFSET(ITEM_RES!$T$1,MATCH(BJ172,ITEM_RES!$A:$A,0)-1,0),0)*BL172+IFERROR(OFFSET(ITEM_RES!$T$1,MATCH(BO172,ITEM_RES!$A:$A,0)-1,0),0)*BQ172)/1000</f>
        <v>250</v>
      </c>
      <c r="AK172" s="183">
        <f t="shared" ca="1" si="76"/>
        <v>500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1</v>
      </c>
      <c r="AU172" s="11">
        <f ca="1">IFERROR(OFFSET(ITEM_RES!$A$1,MATCH(AV172,ITEM_RES!$J:$J,0)-1,0),0)</f>
        <v>211020801</v>
      </c>
      <c r="AV172" s="10" t="s">
        <v>441</v>
      </c>
      <c r="AW172" s="11">
        <v>500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967</v>
      </c>
      <c r="N173" s="9" t="s">
        <v>988</v>
      </c>
      <c r="O173" s="9">
        <v>1</v>
      </c>
      <c r="P173" s="9">
        <v>15</v>
      </c>
      <c r="Q173" s="9" t="s">
        <v>800</v>
      </c>
      <c r="U173" s="9" t="s">
        <v>719</v>
      </c>
      <c r="W173" s="85" t="s">
        <v>555</v>
      </c>
      <c r="X173" s="9">
        <f ca="1">IFERROR(OFFSET(ITEM_RES!$A$5,MATCH(BUILDING!W173,ITEM_RES!$J$5:$J$226,0)-1,0),0)</f>
        <v>211010501</v>
      </c>
      <c r="Y173" s="11">
        <v>1</v>
      </c>
      <c r="Z173" s="85" t="s">
        <v>556</v>
      </c>
      <c r="AA173" s="9">
        <f ca="1">IFERROR(OFFSET(ITEM_RES!$A$5,MATCH(BUILDING!Z173,ITEM_RES!$J$5:$J$226,0)-1,0),0)</f>
        <v>211010601</v>
      </c>
      <c r="AC173" s="9" t="s">
        <v>527</v>
      </c>
      <c r="AD173" s="9">
        <v>9</v>
      </c>
      <c r="AF173" s="9">
        <v>12000</v>
      </c>
      <c r="AI173" s="56">
        <f t="shared" ca="1" si="74"/>
        <v>375</v>
      </c>
      <c r="AJ173" s="10">
        <f ca="1">AO173+AQ173+(IFERROR(OFFSET(ITEM_RES!$T$1,MATCH(AU173,ITEM_RES!$A:$A,0)-1,0),0)*AW173+IFERROR(OFFSET(ITEM_RES!$T$1,MATCH(AZ173,ITEM_RES!$A:$A,0)-1,0),0)*BB173+IFERROR(OFFSET(ITEM_RES!$T$1,MATCH(BE173,ITEM_RES!$A:$A,0)-1,0),0)*BG173+IFERROR(OFFSET(ITEM_RES!$T$1,MATCH(BJ173,ITEM_RES!$A:$A,0)-1,0),0)*BL173+IFERROR(OFFSET(ITEM_RES!$T$1,MATCH(BO173,ITEM_RES!$A:$A,0)-1,0),0)*BQ173)/1000</f>
        <v>375</v>
      </c>
      <c r="AK173" s="183">
        <f t="shared" ca="1" si="76"/>
        <v>625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1</v>
      </c>
      <c r="AU173" s="11">
        <f ca="1">IFERROR(OFFSET(ITEM_RES!$A$1,MATCH(AV173,ITEM_RES!$J:$J,0)-1,0),0)</f>
        <v>211020801</v>
      </c>
      <c r="AV173" s="10" t="s">
        <v>441</v>
      </c>
      <c r="AW173" s="11">
        <v>750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967</v>
      </c>
      <c r="N174" s="9" t="s">
        <v>988</v>
      </c>
      <c r="O174" s="9">
        <v>1</v>
      </c>
      <c r="P174" s="9">
        <v>15</v>
      </c>
      <c r="Q174" s="9" t="s">
        <v>800</v>
      </c>
      <c r="U174" s="9" t="s">
        <v>719</v>
      </c>
      <c r="W174" s="85" t="s">
        <v>555</v>
      </c>
      <c r="X174" s="9">
        <f ca="1">IFERROR(OFFSET(ITEM_RES!$A$5,MATCH(BUILDING!W174,ITEM_RES!$J$5:$J$226,0)-1,0),0)</f>
        <v>211010501</v>
      </c>
      <c r="Y174" s="11">
        <v>1</v>
      </c>
      <c r="Z174" s="85" t="s">
        <v>556</v>
      </c>
      <c r="AA174" s="9">
        <f ca="1">IFERROR(OFFSET(ITEM_RES!$A$5,MATCH(BUILDING!Z174,ITEM_RES!$J$5:$J$226,0)-1,0),0)</f>
        <v>211010601</v>
      </c>
      <c r="AC174" s="9" t="s">
        <v>527</v>
      </c>
      <c r="AD174" s="9">
        <v>10</v>
      </c>
      <c r="AF174" s="9">
        <v>16000</v>
      </c>
      <c r="AI174" s="56">
        <f t="shared" ca="1" si="74"/>
        <v>500</v>
      </c>
      <c r="AJ174" s="10">
        <f ca="1">AO174+AQ174+(IFERROR(OFFSET(ITEM_RES!$T$1,MATCH(AU174,ITEM_RES!$A:$A,0)-1,0),0)*AW174+IFERROR(OFFSET(ITEM_RES!$T$1,MATCH(AZ174,ITEM_RES!$A:$A,0)-1,0),0)*BB174+IFERROR(OFFSET(ITEM_RES!$T$1,MATCH(BE174,ITEM_RES!$A:$A,0)-1,0),0)*BG174+IFERROR(OFFSET(ITEM_RES!$T$1,MATCH(BJ174,ITEM_RES!$A:$A,0)-1,0),0)*BL174+IFERROR(OFFSET(ITEM_RES!$T$1,MATCH(BO174,ITEM_RES!$A:$A,0)-1,0),0)*BQ174)/1000</f>
        <v>500</v>
      </c>
      <c r="AK174" s="183">
        <f t="shared" ca="1" si="76"/>
        <v>875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1</v>
      </c>
      <c r="AU174" s="11">
        <f ca="1">IFERROR(OFFSET(ITEM_RES!$A$1,MATCH(AV174,ITEM_RES!$J:$J,0)-1,0),0)</f>
        <v>211020801</v>
      </c>
      <c r="AV174" s="10" t="s">
        <v>441</v>
      </c>
      <c r="AW174" s="11">
        <v>1000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967</v>
      </c>
      <c r="N175" s="9" t="s">
        <v>988</v>
      </c>
      <c r="O175" s="9">
        <v>1</v>
      </c>
      <c r="P175" s="9">
        <v>15</v>
      </c>
      <c r="Q175" s="9" t="s">
        <v>800</v>
      </c>
      <c r="U175" s="9" t="s">
        <v>719</v>
      </c>
      <c r="W175" s="85" t="s">
        <v>555</v>
      </c>
      <c r="X175" s="9">
        <f ca="1">IFERROR(OFFSET(ITEM_RES!$A$5,MATCH(BUILDING!W175,ITEM_RES!$J$5:$J$226,0)-1,0),0)</f>
        <v>211010501</v>
      </c>
      <c r="Y175" s="11">
        <v>1</v>
      </c>
      <c r="Z175" s="85" t="s">
        <v>556</v>
      </c>
      <c r="AA175" s="9">
        <f ca="1">IFERROR(OFFSET(ITEM_RES!$A$5,MATCH(BUILDING!Z175,ITEM_RES!$J$5:$J$226,0)-1,0),0)</f>
        <v>211010601</v>
      </c>
      <c r="AC175" s="9" t="s">
        <v>527</v>
      </c>
      <c r="AD175" s="9">
        <v>11</v>
      </c>
      <c r="AF175" s="9">
        <v>20000</v>
      </c>
      <c r="AI175" s="56">
        <f t="shared" ca="1" si="74"/>
        <v>625</v>
      </c>
      <c r="AJ175" s="10">
        <f ca="1">AO175+AQ175+(IFERROR(OFFSET(ITEM_RES!$T$1,MATCH(AU175,ITEM_RES!$A:$A,0)-1,0),0)*AW175+IFERROR(OFFSET(ITEM_RES!$T$1,MATCH(AZ175,ITEM_RES!$A:$A,0)-1,0),0)*BB175+IFERROR(OFFSET(ITEM_RES!$T$1,MATCH(BE175,ITEM_RES!$A:$A,0)-1,0),0)*BG175+IFERROR(OFFSET(ITEM_RES!$T$1,MATCH(BJ175,ITEM_RES!$A:$A,0)-1,0),0)*BL175+IFERROR(OFFSET(ITEM_RES!$T$1,MATCH(BO175,ITEM_RES!$A:$A,0)-1,0),0)*BQ175)/1000</f>
        <v>625</v>
      </c>
      <c r="AK175" s="183">
        <f t="shared" ca="1" si="76"/>
        <v>1125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1</v>
      </c>
      <c r="AU175" s="11">
        <f ca="1">IFERROR(OFFSET(ITEM_RES!$A$1,MATCH(AV175,ITEM_RES!$J:$J,0)-1,0),0)</f>
        <v>211020801</v>
      </c>
      <c r="AV175" s="10" t="s">
        <v>441</v>
      </c>
      <c r="AW175" s="11">
        <v>1250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967</v>
      </c>
      <c r="N176" s="9" t="s">
        <v>988</v>
      </c>
      <c r="O176" s="9">
        <v>1</v>
      </c>
      <c r="P176" s="9">
        <v>15</v>
      </c>
      <c r="Q176" s="9" t="s">
        <v>800</v>
      </c>
      <c r="U176" s="9" t="s">
        <v>719</v>
      </c>
      <c r="W176" s="85" t="s">
        <v>555</v>
      </c>
      <c r="X176" s="9">
        <f ca="1">IFERROR(OFFSET(ITEM_RES!$A$5,MATCH(BUILDING!W176,ITEM_RES!$J$5:$J$226,0)-1,0),0)</f>
        <v>211010501</v>
      </c>
      <c r="Y176" s="11">
        <v>1</v>
      </c>
      <c r="Z176" s="85" t="s">
        <v>556</v>
      </c>
      <c r="AA176" s="9">
        <f ca="1">IFERROR(OFFSET(ITEM_RES!$A$5,MATCH(BUILDING!Z176,ITEM_RES!$J$5:$J$226,0)-1,0),0)</f>
        <v>211010601</v>
      </c>
      <c r="AC176" s="9" t="s">
        <v>527</v>
      </c>
      <c r="AD176" s="9">
        <v>12</v>
      </c>
      <c r="AF176" s="9">
        <v>24000</v>
      </c>
      <c r="AI176" s="56">
        <f t="shared" ca="1" si="74"/>
        <v>750</v>
      </c>
      <c r="AJ176" s="10">
        <f ca="1">AO176+AQ176+(IFERROR(OFFSET(ITEM_RES!$T$1,MATCH(AU176,ITEM_RES!$A:$A,0)-1,0),0)*AW176+IFERROR(OFFSET(ITEM_RES!$T$1,MATCH(AZ176,ITEM_RES!$A:$A,0)-1,0),0)*BB176+IFERROR(OFFSET(ITEM_RES!$T$1,MATCH(BE176,ITEM_RES!$A:$A,0)-1,0),0)*BG176+IFERROR(OFFSET(ITEM_RES!$T$1,MATCH(BJ176,ITEM_RES!$A:$A,0)-1,0),0)*BL176+IFERROR(OFFSET(ITEM_RES!$T$1,MATCH(BO176,ITEM_RES!$A:$A,0)-1,0),0)*BQ176)/1000</f>
        <v>750</v>
      </c>
      <c r="AK176" s="183">
        <f t="shared" ca="1" si="76"/>
        <v>1375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1</v>
      </c>
      <c r="AU176" s="11">
        <f ca="1">IFERROR(OFFSET(ITEM_RES!$A$1,MATCH(AV176,ITEM_RES!$J:$J,0)-1,0),0)</f>
        <v>211020801</v>
      </c>
      <c r="AV176" s="10" t="s">
        <v>441</v>
      </c>
      <c r="AW176" s="11">
        <v>1500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967</v>
      </c>
      <c r="N177" s="9" t="s">
        <v>988</v>
      </c>
      <c r="O177" s="9">
        <v>1</v>
      </c>
      <c r="P177" s="9">
        <v>15</v>
      </c>
      <c r="Q177" s="9" t="s">
        <v>800</v>
      </c>
      <c r="U177" s="9" t="s">
        <v>719</v>
      </c>
      <c r="W177" s="85" t="s">
        <v>555</v>
      </c>
      <c r="X177" s="9">
        <f ca="1">IFERROR(OFFSET(ITEM_RES!$A$5,MATCH(BUILDING!W177,ITEM_RES!$J$5:$J$226,0)-1,0),0)</f>
        <v>211010501</v>
      </c>
      <c r="Y177" s="11">
        <v>1</v>
      </c>
      <c r="Z177" s="85" t="s">
        <v>556</v>
      </c>
      <c r="AA177" s="9">
        <f ca="1">IFERROR(OFFSET(ITEM_RES!$A$5,MATCH(BUILDING!Z177,ITEM_RES!$J$5:$J$226,0)-1,0),0)</f>
        <v>211010601</v>
      </c>
      <c r="AC177" s="9" t="s">
        <v>527</v>
      </c>
      <c r="AD177" s="9">
        <v>13</v>
      </c>
      <c r="AF177" s="9">
        <v>28000</v>
      </c>
      <c r="AI177" s="56">
        <f t="shared" ca="1" si="74"/>
        <v>875</v>
      </c>
      <c r="AJ177" s="10">
        <f ca="1">AO177+AQ177+(IFERROR(OFFSET(ITEM_RES!$T$1,MATCH(AU177,ITEM_RES!$A:$A,0)-1,0),0)*AW177+IFERROR(OFFSET(ITEM_RES!$T$1,MATCH(AZ177,ITEM_RES!$A:$A,0)-1,0),0)*BB177+IFERROR(OFFSET(ITEM_RES!$T$1,MATCH(BE177,ITEM_RES!$A:$A,0)-1,0),0)*BG177+IFERROR(OFFSET(ITEM_RES!$T$1,MATCH(BJ177,ITEM_RES!$A:$A,0)-1,0),0)*BL177+IFERROR(OFFSET(ITEM_RES!$T$1,MATCH(BO177,ITEM_RES!$A:$A,0)-1,0),0)*BQ177)/1000</f>
        <v>875</v>
      </c>
      <c r="AK177" s="183">
        <f t="shared" ca="1" si="76"/>
        <v>1625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1</v>
      </c>
      <c r="AU177" s="11">
        <f ca="1">IFERROR(OFFSET(ITEM_RES!$A$1,MATCH(AV177,ITEM_RES!$J:$J,0)-1,0),0)</f>
        <v>211020801</v>
      </c>
      <c r="AV177" s="10" t="s">
        <v>441</v>
      </c>
      <c r="AW177" s="11">
        <v>1750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967</v>
      </c>
      <c r="N178" s="9" t="s">
        <v>988</v>
      </c>
      <c r="O178" s="9">
        <v>1</v>
      </c>
      <c r="P178" s="9">
        <v>15</v>
      </c>
      <c r="Q178" s="9" t="s">
        <v>800</v>
      </c>
      <c r="U178" s="9" t="s">
        <v>719</v>
      </c>
      <c r="W178" s="85" t="s">
        <v>555</v>
      </c>
      <c r="X178" s="9">
        <f ca="1">IFERROR(OFFSET(ITEM_RES!$A$5,MATCH(BUILDING!W178,ITEM_RES!$J$5:$J$226,0)-1,0),0)</f>
        <v>211010501</v>
      </c>
      <c r="Y178" s="11">
        <v>1</v>
      </c>
      <c r="Z178" s="85" t="s">
        <v>556</v>
      </c>
      <c r="AA178" s="9">
        <f ca="1">IFERROR(OFFSET(ITEM_RES!$A$5,MATCH(BUILDING!Z178,ITEM_RES!$J$5:$J$226,0)-1,0),0)</f>
        <v>211010601</v>
      </c>
      <c r="AC178" s="9" t="s">
        <v>527</v>
      </c>
      <c r="AD178" s="9">
        <v>14</v>
      </c>
      <c r="AF178" s="9">
        <v>36000</v>
      </c>
      <c r="AI178" s="56">
        <f t="shared" ca="1" si="74"/>
        <v>1125</v>
      </c>
      <c r="AJ178" s="10">
        <f ca="1">AO178+AQ178+(IFERROR(OFFSET(ITEM_RES!$T$1,MATCH(AU178,ITEM_RES!$A:$A,0)-1,0),0)*AW178+IFERROR(OFFSET(ITEM_RES!$T$1,MATCH(AZ178,ITEM_RES!$A:$A,0)-1,0),0)*BB178+IFERROR(OFFSET(ITEM_RES!$T$1,MATCH(BE178,ITEM_RES!$A:$A,0)-1,0),0)*BG178+IFERROR(OFFSET(ITEM_RES!$T$1,MATCH(BJ178,ITEM_RES!$A:$A,0)-1,0),0)*BL178+IFERROR(OFFSET(ITEM_RES!$T$1,MATCH(BO178,ITEM_RES!$A:$A,0)-1,0),0)*BQ178)/1000</f>
        <v>1125</v>
      </c>
      <c r="AK178" s="183">
        <f t="shared" ca="1" si="76"/>
        <v>2000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1</v>
      </c>
      <c r="AU178" s="11">
        <f ca="1">IFERROR(OFFSET(ITEM_RES!$A$1,MATCH(AV178,ITEM_RES!$J:$J,0)-1,0),0)</f>
        <v>211020801</v>
      </c>
      <c r="AV178" s="10" t="s">
        <v>441</v>
      </c>
      <c r="AW178" s="11">
        <v>2250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967</v>
      </c>
      <c r="N179" s="9" t="s">
        <v>988</v>
      </c>
      <c r="O179" s="9">
        <v>1</v>
      </c>
      <c r="P179" s="9">
        <v>15</v>
      </c>
      <c r="Q179" s="9" t="s">
        <v>800</v>
      </c>
      <c r="U179" s="9" t="s">
        <v>719</v>
      </c>
      <c r="W179" s="85" t="s">
        <v>555</v>
      </c>
      <c r="X179" s="9">
        <f ca="1">IFERROR(OFFSET(ITEM_RES!$A$5,MATCH(BUILDING!W179,ITEM_RES!$J$5:$J$226,0)-1,0),0)</f>
        <v>211010501</v>
      </c>
      <c r="Y179" s="11">
        <v>1</v>
      </c>
      <c r="Z179" s="85" t="s">
        <v>556</v>
      </c>
      <c r="AA179" s="9">
        <f ca="1">IFERROR(OFFSET(ITEM_RES!$A$5,MATCH(BUILDING!Z179,ITEM_RES!$J$5:$J$226,0)-1,0),0)</f>
        <v>211010601</v>
      </c>
      <c r="AC179" s="9" t="s">
        <v>527</v>
      </c>
      <c r="AD179" s="9">
        <v>15</v>
      </c>
      <c r="AF179" s="9">
        <v>44000</v>
      </c>
      <c r="AI179" s="56">
        <f t="shared" ca="1" si="74"/>
        <v>1375</v>
      </c>
      <c r="AJ179" s="10">
        <f ca="1">AO179+AQ179+(IFERROR(OFFSET(ITEM_RES!$T$1,MATCH(AU179,ITEM_RES!$A:$A,0)-1,0),0)*AW179+IFERROR(OFFSET(ITEM_RES!$T$1,MATCH(AZ179,ITEM_RES!$A:$A,0)-1,0),0)*BB179+IFERROR(OFFSET(ITEM_RES!$T$1,MATCH(BE179,ITEM_RES!$A:$A,0)-1,0),0)*BG179+IFERROR(OFFSET(ITEM_RES!$T$1,MATCH(BJ179,ITEM_RES!$A:$A,0)-1,0),0)*BL179+IFERROR(OFFSET(ITEM_RES!$T$1,MATCH(BO179,ITEM_RES!$A:$A,0)-1,0),0)*BQ179)/1000</f>
        <v>1375</v>
      </c>
      <c r="AK179" s="183">
        <f t="shared" ca="1" si="76"/>
        <v>2500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1</v>
      </c>
      <c r="AU179" s="11">
        <f ca="1">IFERROR(OFFSET(ITEM_RES!$A$1,MATCH(AV179,ITEM_RES!$J:$J,0)-1,0),0)</f>
        <v>211020801</v>
      </c>
      <c r="AV179" s="10" t="s">
        <v>441</v>
      </c>
      <c r="AW179" s="11">
        <v>2750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967</v>
      </c>
      <c r="N180" s="9" t="s">
        <v>988</v>
      </c>
      <c r="O180" s="9">
        <v>0</v>
      </c>
      <c r="P180" s="9">
        <v>15</v>
      </c>
      <c r="Q180" s="9" t="s">
        <v>800</v>
      </c>
      <c r="U180" s="9" t="s">
        <v>719</v>
      </c>
      <c r="W180" s="85" t="s">
        <v>555</v>
      </c>
      <c r="X180" s="9">
        <f ca="1">IFERROR(OFFSET(ITEM_RES!$A$5,MATCH(BUILDING!W180,ITEM_RES!$J$5:$J$226,0)-1,0),0)</f>
        <v>211010501</v>
      </c>
      <c r="Y180" s="11">
        <v>1</v>
      </c>
      <c r="Z180" s="85" t="s">
        <v>556</v>
      </c>
      <c r="AA180" s="9">
        <f ca="1">IFERROR(OFFSET(ITEM_RES!$A$5,MATCH(BUILDING!Z180,ITEM_RES!$J$5:$J$226,0)-1,0),0)</f>
        <v>211010601</v>
      </c>
      <c r="AC180" s="9" t="s">
        <v>527</v>
      </c>
      <c r="AD180" s="9">
        <v>16</v>
      </c>
      <c r="AF180" s="9">
        <v>56000</v>
      </c>
      <c r="AI180" s="56">
        <f t="shared" ca="1" si="74"/>
        <v>1750</v>
      </c>
      <c r="AJ180" s="10">
        <f ca="1">AO180+AQ180+(IFERROR(OFFSET(ITEM_RES!$T$1,MATCH(AU180,ITEM_RES!$A:$A,0)-1,0),0)*AW180+IFERROR(OFFSET(ITEM_RES!$T$1,MATCH(AZ180,ITEM_RES!$A:$A,0)-1,0),0)*BB180+IFERROR(OFFSET(ITEM_RES!$T$1,MATCH(BE180,ITEM_RES!$A:$A,0)-1,0),0)*BG180+IFERROR(OFFSET(ITEM_RES!$T$1,MATCH(BJ180,ITEM_RES!$A:$A,0)-1,0),0)*BL180+IFERROR(OFFSET(ITEM_RES!$T$1,MATCH(BO180,ITEM_RES!$A:$A,0)-1,0),0)*BQ180)/1000</f>
        <v>1750</v>
      </c>
      <c r="AK180" s="183">
        <f t="shared" ca="1" si="76"/>
        <v>3125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1</v>
      </c>
      <c r="AU180" s="11">
        <f ca="1">IFERROR(OFFSET(ITEM_RES!$A$1,MATCH(AV180,ITEM_RES!$J:$J,0)-1,0),0)</f>
        <v>211020801</v>
      </c>
      <c r="AV180" s="10" t="s">
        <v>441</v>
      </c>
      <c r="AW180" s="11">
        <v>3500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967</v>
      </c>
      <c r="N181" s="9" t="s">
        <v>988</v>
      </c>
      <c r="O181" s="9">
        <v>0</v>
      </c>
      <c r="P181" s="9">
        <v>15</v>
      </c>
      <c r="Q181" s="9" t="s">
        <v>800</v>
      </c>
      <c r="U181" s="9" t="s">
        <v>719</v>
      </c>
      <c r="W181" s="85" t="s">
        <v>555</v>
      </c>
      <c r="X181" s="9">
        <f ca="1">IFERROR(OFFSET(ITEM_RES!$A$5,MATCH(BUILDING!W181,ITEM_RES!$J$5:$J$226,0)-1,0),0)</f>
        <v>211010501</v>
      </c>
      <c r="Y181" s="11">
        <v>1</v>
      </c>
      <c r="Z181" s="85" t="s">
        <v>556</v>
      </c>
      <c r="AA181" s="9">
        <f ca="1">IFERROR(OFFSET(ITEM_RES!$A$5,MATCH(BUILDING!Z181,ITEM_RES!$J$5:$J$226,0)-1,0),0)</f>
        <v>211010601</v>
      </c>
      <c r="AC181" s="9" t="s">
        <v>527</v>
      </c>
      <c r="AD181" s="9">
        <v>17</v>
      </c>
      <c r="AF181" s="9">
        <v>68000</v>
      </c>
      <c r="AI181" s="56">
        <f t="shared" ca="1" si="74"/>
        <v>2550</v>
      </c>
      <c r="AJ181" s="10">
        <f ca="1">AO181+AQ181+(IFERROR(OFFSET(ITEM_RES!$T$1,MATCH(AU181,ITEM_RES!$A:$A,0)-1,0),0)*AW181+IFERROR(OFFSET(ITEM_RES!$T$1,MATCH(AZ181,ITEM_RES!$A:$A,0)-1,0),0)*BB181+IFERROR(OFFSET(ITEM_RES!$T$1,MATCH(BE181,ITEM_RES!$A:$A,0)-1,0),0)*BG181+IFERROR(OFFSET(ITEM_RES!$T$1,MATCH(BJ181,ITEM_RES!$A:$A,0)-1,0),0)*BL181+IFERROR(OFFSET(ITEM_RES!$T$1,MATCH(BO181,ITEM_RES!$A:$A,0)-1,0),0)*BQ181)/1000</f>
        <v>2550</v>
      </c>
      <c r="AK181" s="183">
        <f t="shared" ca="1" si="76"/>
        <v>4300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1</v>
      </c>
      <c r="AU181" s="11">
        <f ca="1">IFERROR(OFFSET(ITEM_RES!$A$1,MATCH(AV181,ITEM_RES!$J:$J,0)-1,0),0)</f>
        <v>211020901</v>
      </c>
      <c r="AV181" s="10" t="s">
        <v>453</v>
      </c>
      <c r="AW181" s="11">
        <v>4250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967</v>
      </c>
      <c r="N182" s="9" t="s">
        <v>988</v>
      </c>
      <c r="O182" s="9">
        <v>0</v>
      </c>
      <c r="P182" s="9">
        <v>15</v>
      </c>
      <c r="Q182" s="9" t="s">
        <v>800</v>
      </c>
      <c r="U182" s="9" t="s">
        <v>719</v>
      </c>
      <c r="W182" s="85" t="s">
        <v>555</v>
      </c>
      <c r="X182" s="9">
        <f ca="1">IFERROR(OFFSET(ITEM_RES!$A$5,MATCH(BUILDING!W182,ITEM_RES!$J$5:$J$226,0)-1,0),0)</f>
        <v>211010501</v>
      </c>
      <c r="Y182" s="11">
        <v>1</v>
      </c>
      <c r="Z182" s="85" t="s">
        <v>556</v>
      </c>
      <c r="AA182" s="9">
        <f ca="1">IFERROR(OFFSET(ITEM_RES!$A$5,MATCH(BUILDING!Z182,ITEM_RES!$J$5:$J$226,0)-1,0),0)</f>
        <v>211010601</v>
      </c>
      <c r="AC182" s="9" t="s">
        <v>527</v>
      </c>
      <c r="AD182" s="9">
        <v>18</v>
      </c>
      <c r="AF182" s="9">
        <v>84000</v>
      </c>
      <c r="AI182" s="56">
        <f t="shared" ca="1" si="74"/>
        <v>3150</v>
      </c>
      <c r="AJ182" s="10">
        <f ca="1">AO182+AQ182+(IFERROR(OFFSET(ITEM_RES!$T$1,MATCH(AU182,ITEM_RES!$A:$A,0)-1,0),0)*AW182+IFERROR(OFFSET(ITEM_RES!$T$1,MATCH(AZ182,ITEM_RES!$A:$A,0)-1,0),0)*BB182+IFERROR(OFFSET(ITEM_RES!$T$1,MATCH(BE182,ITEM_RES!$A:$A,0)-1,0),0)*BG182+IFERROR(OFFSET(ITEM_RES!$T$1,MATCH(BJ182,ITEM_RES!$A:$A,0)-1,0),0)*BL182+IFERROR(OFFSET(ITEM_RES!$T$1,MATCH(BO182,ITEM_RES!$A:$A,0)-1,0),0)*BQ182)/1000</f>
        <v>3150</v>
      </c>
      <c r="AK182" s="183">
        <f t="shared" ca="1" si="76"/>
        <v>5700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1</v>
      </c>
      <c r="AU182" s="11">
        <f ca="1">IFERROR(OFFSET(ITEM_RES!$A$1,MATCH(AV182,ITEM_RES!$J:$J,0)-1,0),0)</f>
        <v>211020901</v>
      </c>
      <c r="AV182" s="10" t="s">
        <v>453</v>
      </c>
      <c r="AW182" s="11">
        <v>5250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967</v>
      </c>
      <c r="N183" s="9" t="s">
        <v>988</v>
      </c>
      <c r="O183" s="9">
        <v>0</v>
      </c>
      <c r="P183" s="9">
        <v>15</v>
      </c>
      <c r="Q183" s="9" t="s">
        <v>800</v>
      </c>
      <c r="U183" s="9" t="s">
        <v>719</v>
      </c>
      <c r="W183" s="85" t="s">
        <v>555</v>
      </c>
      <c r="X183" s="9">
        <f ca="1">IFERROR(OFFSET(ITEM_RES!$A$5,MATCH(BUILDING!W183,ITEM_RES!$J$5:$J$226,0)-1,0),0)</f>
        <v>211010501</v>
      </c>
      <c r="Y183" s="11">
        <v>1</v>
      </c>
      <c r="Z183" s="85" t="s">
        <v>556</v>
      </c>
      <c r="AA183" s="9">
        <f ca="1">IFERROR(OFFSET(ITEM_RES!$A$5,MATCH(BUILDING!Z183,ITEM_RES!$J$5:$J$226,0)-1,0),0)</f>
        <v>211010601</v>
      </c>
      <c r="AC183" s="9" t="s">
        <v>527</v>
      </c>
      <c r="AD183" s="9">
        <v>19</v>
      </c>
      <c r="AF183" s="9">
        <v>100000</v>
      </c>
      <c r="AI183" s="56">
        <f t="shared" ca="1" si="74"/>
        <v>3750</v>
      </c>
      <c r="AJ183" s="10">
        <f ca="1">AO183+AQ183+(IFERROR(OFFSET(ITEM_RES!$T$1,MATCH(AU183,ITEM_RES!$A:$A,0)-1,0),0)*AW183+IFERROR(OFFSET(ITEM_RES!$T$1,MATCH(AZ183,ITEM_RES!$A:$A,0)-1,0),0)*BB183+IFERROR(OFFSET(ITEM_RES!$T$1,MATCH(BE183,ITEM_RES!$A:$A,0)-1,0),0)*BG183+IFERROR(OFFSET(ITEM_RES!$T$1,MATCH(BJ183,ITEM_RES!$A:$A,0)-1,0),0)*BL183+IFERROR(OFFSET(ITEM_RES!$T$1,MATCH(BO183,ITEM_RES!$A:$A,0)-1,0),0)*BQ183)/1000</f>
        <v>3750</v>
      </c>
      <c r="AK183" s="183">
        <f t="shared" ca="1" si="76"/>
        <v>6900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1</v>
      </c>
      <c r="AU183" s="11">
        <f ca="1">IFERROR(OFFSET(ITEM_RES!$A$1,MATCH(AV183,ITEM_RES!$J:$J,0)-1,0),0)</f>
        <v>211020901</v>
      </c>
      <c r="AV183" s="10" t="s">
        <v>453</v>
      </c>
      <c r="AW183" s="11">
        <v>6250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967</v>
      </c>
      <c r="N184" s="9" t="s">
        <v>988</v>
      </c>
      <c r="O184" s="9">
        <v>0</v>
      </c>
      <c r="P184" s="9">
        <v>15</v>
      </c>
      <c r="Q184" s="9" t="s">
        <v>800</v>
      </c>
      <c r="U184" s="9" t="s">
        <v>719</v>
      </c>
      <c r="W184" s="85" t="s">
        <v>555</v>
      </c>
      <c r="X184" s="9">
        <f ca="1">IFERROR(OFFSET(ITEM_RES!$A$5,MATCH(BUILDING!W184,ITEM_RES!$J$5:$J$226,0)-1,0),0)</f>
        <v>211010501</v>
      </c>
      <c r="Y184" s="11">
        <v>1</v>
      </c>
      <c r="Z184" s="85" t="s">
        <v>556</v>
      </c>
      <c r="AA184" s="9">
        <f ca="1">IFERROR(OFFSET(ITEM_RES!$A$5,MATCH(BUILDING!Z184,ITEM_RES!$J$5:$J$226,0)-1,0),0)</f>
        <v>211010601</v>
      </c>
      <c r="AC184" s="9" t="s">
        <v>527</v>
      </c>
      <c r="AD184" s="9">
        <v>20</v>
      </c>
      <c r="AF184" s="9">
        <v>120000</v>
      </c>
      <c r="AI184" s="56">
        <f t="shared" ca="1" si="74"/>
        <v>4500</v>
      </c>
      <c r="AJ184" s="10">
        <f ca="1">AO184+AQ184+(IFERROR(OFFSET(ITEM_RES!$T$1,MATCH(AU184,ITEM_RES!$A:$A,0)-1,0),0)*AW184+IFERROR(OFFSET(ITEM_RES!$T$1,MATCH(AZ184,ITEM_RES!$A:$A,0)-1,0),0)*BB184+IFERROR(OFFSET(ITEM_RES!$T$1,MATCH(BE184,ITEM_RES!$A:$A,0)-1,0),0)*BG184+IFERROR(OFFSET(ITEM_RES!$T$1,MATCH(BJ184,ITEM_RES!$A:$A,0)-1,0),0)*BL184+IFERROR(OFFSET(ITEM_RES!$T$1,MATCH(BO184,ITEM_RES!$A:$A,0)-1,0),0)*BQ184)/1000</f>
        <v>4500</v>
      </c>
      <c r="AK184" s="183">
        <f t="shared" ca="1" si="76"/>
        <v>8250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1</v>
      </c>
      <c r="AU184" s="11">
        <f ca="1">IFERROR(OFFSET(ITEM_RES!$A$1,MATCH(AV184,ITEM_RES!$J:$J,0)-1,0),0)</f>
        <v>211020901</v>
      </c>
      <c r="AV184" s="10" t="s">
        <v>453</v>
      </c>
      <c r="AW184" s="11">
        <v>7500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514</v>
      </c>
      <c r="L185" s="64">
        <v>3</v>
      </c>
      <c r="M185" s="64" t="s">
        <v>1037</v>
      </c>
      <c r="N185" s="64"/>
      <c r="O185" s="16">
        <v>1</v>
      </c>
      <c r="P185" s="16">
        <v>15</v>
      </c>
      <c r="Q185" s="16"/>
      <c r="R185" s="17"/>
      <c r="S185" s="17"/>
      <c r="T185" s="18"/>
      <c r="U185" s="16" t="s">
        <v>737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528</v>
      </c>
      <c r="AD185" s="16">
        <v>1</v>
      </c>
      <c r="AE185" s="79"/>
      <c r="AF185" s="16">
        <v>0</v>
      </c>
      <c r="AG185" s="17"/>
      <c r="AH185" s="79"/>
      <c r="AI185" s="57">
        <f t="shared" ca="1" si="74"/>
        <v>113</v>
      </c>
      <c r="AJ185" s="17">
        <f ca="1">AO185+AQ185+(IFERROR(OFFSET(ITEM_RES!$T$1,MATCH(AU185,ITEM_RES!$A:$A,0)-1,0),0)*AW185+IFERROR(OFFSET(ITEM_RES!$T$1,MATCH(AZ185,ITEM_RES!$A:$A,0)-1,0),0)*BB185+IFERROR(OFFSET(ITEM_RES!$T$1,MATCH(BE185,ITEM_RES!$A:$A,0)-1,0),0)*BG185+IFERROR(OFFSET(ITEM_RES!$T$1,MATCH(BJ185,ITEM_RES!$A:$A,0)-1,0),0)*BL185+IFERROR(OFFSET(ITEM_RES!$T$1,MATCH(BO185,ITEM_RES!$A:$A,0)-1,0),0)*BQ185)/1000</f>
        <v>112.5</v>
      </c>
      <c r="AK185" s="185">
        <f ca="1">AJ185</f>
        <v>112.5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399</v>
      </c>
      <c r="AW185" s="18">
        <v>25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402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514</v>
      </c>
      <c r="L186" s="56"/>
      <c r="M186" s="56" t="s">
        <v>1037</v>
      </c>
      <c r="N186" s="56"/>
      <c r="O186" s="9">
        <v>1</v>
      </c>
      <c r="P186" s="9">
        <v>15</v>
      </c>
      <c r="Q186" s="84"/>
      <c r="U186" s="9" t="s">
        <v>720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528</v>
      </c>
      <c r="AD186" s="9">
        <v>2</v>
      </c>
      <c r="AF186" s="9">
        <v>200</v>
      </c>
      <c r="AI186" s="56">
        <f t="shared" ca="1" si="74"/>
        <v>25</v>
      </c>
      <c r="AJ186" s="10">
        <f ca="1">AO186+AQ186+(IFERROR(OFFSET(ITEM_RES!$T$1,MATCH(AU186,ITEM_RES!$A:$A,0)-1,0),0)*AW186+IFERROR(OFFSET(ITEM_RES!$T$1,MATCH(AZ186,ITEM_RES!$A:$A,0)-1,0),0)*BB186+IFERROR(OFFSET(ITEM_RES!$T$1,MATCH(BE186,ITEM_RES!$A:$A,0)-1,0),0)*BG186+IFERROR(OFFSET(ITEM_RES!$T$1,MATCH(BJ186,ITEM_RES!$A:$A,0)-1,0),0)*BL186+IFERROR(OFFSET(ITEM_RES!$T$1,MATCH(BO186,ITEM_RES!$A:$A,0)-1,0),0)*BQ186)/1000</f>
        <v>25</v>
      </c>
      <c r="AK186" s="183">
        <f t="shared" ref="AK186:AK204" ca="1" si="85">AJ185+AJ186</f>
        <v>137.5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399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514</v>
      </c>
      <c r="L187" s="56"/>
      <c r="M187" s="56" t="s">
        <v>1037</v>
      </c>
      <c r="N187" s="56"/>
      <c r="O187" s="9">
        <v>1</v>
      </c>
      <c r="P187" s="9">
        <v>15</v>
      </c>
      <c r="U187" s="9" t="s">
        <v>720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528</v>
      </c>
      <c r="AD187" s="9">
        <v>3</v>
      </c>
      <c r="AF187" s="9">
        <v>600</v>
      </c>
      <c r="AI187" s="56">
        <f t="shared" ca="1" si="74"/>
        <v>38</v>
      </c>
      <c r="AJ187" s="10">
        <f ca="1">AO187+AQ187+(IFERROR(OFFSET(ITEM_RES!$T$1,MATCH(AU187,ITEM_RES!$A:$A,0)-1,0),0)*AW187+IFERROR(OFFSET(ITEM_RES!$T$1,MATCH(AZ187,ITEM_RES!$A:$A,0)-1,0),0)*BB187+IFERROR(OFFSET(ITEM_RES!$T$1,MATCH(BE187,ITEM_RES!$A:$A,0)-1,0),0)*BG187+IFERROR(OFFSET(ITEM_RES!$T$1,MATCH(BJ187,ITEM_RES!$A:$A,0)-1,0),0)*BL187+IFERROR(OFFSET(ITEM_RES!$T$1,MATCH(BO187,ITEM_RES!$A:$A,0)-1,0),0)*BQ187)/1000</f>
        <v>37.5</v>
      </c>
      <c r="AK187" s="183">
        <f t="shared" ca="1" si="85"/>
        <v>62.5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399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514</v>
      </c>
      <c r="L188" s="56"/>
      <c r="M188" s="56" t="s">
        <v>1037</v>
      </c>
      <c r="N188" s="56"/>
      <c r="O188" s="9">
        <v>1</v>
      </c>
      <c r="P188" s="9">
        <v>15</v>
      </c>
      <c r="U188" s="9" t="s">
        <v>720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528</v>
      </c>
      <c r="AD188" s="9">
        <v>4</v>
      </c>
      <c r="AF188" s="9">
        <v>1000</v>
      </c>
      <c r="AI188" s="56">
        <f t="shared" ca="1" si="74"/>
        <v>63</v>
      </c>
      <c r="AJ188" s="10">
        <f ca="1">AO188+AQ188+(IFERROR(OFFSET(ITEM_RES!$T$1,MATCH(AU188,ITEM_RES!$A:$A,0)-1,0),0)*AW188+IFERROR(OFFSET(ITEM_RES!$T$1,MATCH(AZ188,ITEM_RES!$A:$A,0)-1,0),0)*BB188+IFERROR(OFFSET(ITEM_RES!$T$1,MATCH(BE188,ITEM_RES!$A:$A,0)-1,0),0)*BG188+IFERROR(OFFSET(ITEM_RES!$T$1,MATCH(BJ188,ITEM_RES!$A:$A,0)-1,0),0)*BL188+IFERROR(OFFSET(ITEM_RES!$T$1,MATCH(BO188,ITEM_RES!$A:$A,0)-1,0),0)*BQ188)/1000</f>
        <v>62.5</v>
      </c>
      <c r="AK188" s="183">
        <f t="shared" ca="1" si="85"/>
        <v>100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399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514</v>
      </c>
      <c r="L189" s="56"/>
      <c r="M189" s="56" t="s">
        <v>1037</v>
      </c>
      <c r="N189" s="56"/>
      <c r="O189" s="9">
        <v>1</v>
      </c>
      <c r="P189" s="9">
        <v>15</v>
      </c>
      <c r="U189" s="9" t="s">
        <v>720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528</v>
      </c>
      <c r="AD189" s="9">
        <v>5</v>
      </c>
      <c r="AF189" s="9">
        <v>1600</v>
      </c>
      <c r="AI189" s="56">
        <f t="shared" ca="1" si="74"/>
        <v>100</v>
      </c>
      <c r="AJ189" s="10">
        <f ca="1">AO189+AQ189+(IFERROR(OFFSET(ITEM_RES!$T$1,MATCH(AU189,ITEM_RES!$A:$A,0)-1,0),0)*AW189+IFERROR(OFFSET(ITEM_RES!$T$1,MATCH(AZ189,ITEM_RES!$A:$A,0)-1,0),0)*BB189+IFERROR(OFFSET(ITEM_RES!$T$1,MATCH(BE189,ITEM_RES!$A:$A,0)-1,0),0)*BG189+IFERROR(OFFSET(ITEM_RES!$T$1,MATCH(BJ189,ITEM_RES!$A:$A,0)-1,0),0)*BL189+IFERROR(OFFSET(ITEM_RES!$T$1,MATCH(BO189,ITEM_RES!$A:$A,0)-1,0),0)*BQ189)/1000</f>
        <v>100</v>
      </c>
      <c r="AK189" s="183">
        <f t="shared" ca="1" si="85"/>
        <v>162.5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399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514</v>
      </c>
      <c r="L190" s="56"/>
      <c r="M190" s="56" t="s">
        <v>1037</v>
      </c>
      <c r="N190" s="56"/>
      <c r="O190" s="9">
        <v>1</v>
      </c>
      <c r="P190" s="9">
        <v>15</v>
      </c>
      <c r="U190" s="9" t="s">
        <v>720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528</v>
      </c>
      <c r="AD190" s="9">
        <v>6</v>
      </c>
      <c r="AF190" s="9">
        <v>2000</v>
      </c>
      <c r="AI190" s="56">
        <f t="shared" ca="1" si="74"/>
        <v>125</v>
      </c>
      <c r="AJ190" s="10">
        <f ca="1">AO190+AQ190+(IFERROR(OFFSET(ITEM_RES!$T$1,MATCH(AU190,ITEM_RES!$A:$A,0)-1,0),0)*AW190+IFERROR(OFFSET(ITEM_RES!$T$1,MATCH(AZ190,ITEM_RES!$A:$A,0)-1,0),0)*BB190+IFERROR(OFFSET(ITEM_RES!$T$1,MATCH(BE190,ITEM_RES!$A:$A,0)-1,0),0)*BG190+IFERROR(OFFSET(ITEM_RES!$T$1,MATCH(BJ190,ITEM_RES!$A:$A,0)-1,0),0)*BL190+IFERROR(OFFSET(ITEM_RES!$T$1,MATCH(BO190,ITEM_RES!$A:$A,0)-1,0),0)*BQ190)/1000</f>
        <v>125</v>
      </c>
      <c r="AK190" s="183">
        <f t="shared" ca="1" si="85"/>
        <v>225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399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514</v>
      </c>
      <c r="L191" s="56"/>
      <c r="M191" s="56" t="s">
        <v>1037</v>
      </c>
      <c r="N191" s="56"/>
      <c r="O191" s="9">
        <v>1</v>
      </c>
      <c r="P191" s="9">
        <v>15</v>
      </c>
      <c r="U191" s="9" t="s">
        <v>720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528</v>
      </c>
      <c r="AD191" s="9">
        <v>7</v>
      </c>
      <c r="AF191" s="9">
        <v>4000</v>
      </c>
      <c r="AI191" s="56">
        <f t="shared" ca="1" si="74"/>
        <v>250</v>
      </c>
      <c r="AJ191" s="10">
        <f ca="1">AO191+AQ191+(IFERROR(OFFSET(ITEM_RES!$T$1,MATCH(AU191,ITEM_RES!$A:$A,0)-1,0),0)*AW191+IFERROR(OFFSET(ITEM_RES!$T$1,MATCH(AZ191,ITEM_RES!$A:$A,0)-1,0),0)*BB191+IFERROR(OFFSET(ITEM_RES!$T$1,MATCH(BE191,ITEM_RES!$A:$A,0)-1,0),0)*BG191+IFERROR(OFFSET(ITEM_RES!$T$1,MATCH(BJ191,ITEM_RES!$A:$A,0)-1,0),0)*BL191+IFERROR(OFFSET(ITEM_RES!$T$1,MATCH(BO191,ITEM_RES!$A:$A,0)-1,0),0)*BQ191)/1000</f>
        <v>250</v>
      </c>
      <c r="AK191" s="183">
        <f t="shared" ca="1" si="85"/>
        <v>375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399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514</v>
      </c>
      <c r="L192" s="56"/>
      <c r="M192" s="56" t="s">
        <v>1037</v>
      </c>
      <c r="N192" s="56"/>
      <c r="O192" s="9">
        <v>1</v>
      </c>
      <c r="P192" s="9">
        <v>15</v>
      </c>
      <c r="U192" s="9" t="s">
        <v>720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528</v>
      </c>
      <c r="AD192" s="9">
        <v>8</v>
      </c>
      <c r="AF192" s="9">
        <v>4000</v>
      </c>
      <c r="AI192" s="56">
        <f t="shared" ca="1" si="74"/>
        <v>250</v>
      </c>
      <c r="AJ192" s="10">
        <f ca="1">AO192+AQ192+(IFERROR(OFFSET(ITEM_RES!$T$1,MATCH(AU192,ITEM_RES!$A:$A,0)-1,0),0)*AW192+IFERROR(OFFSET(ITEM_RES!$T$1,MATCH(AZ192,ITEM_RES!$A:$A,0)-1,0),0)*BB192+IFERROR(OFFSET(ITEM_RES!$T$1,MATCH(BE192,ITEM_RES!$A:$A,0)-1,0),0)*BG192+IFERROR(OFFSET(ITEM_RES!$T$1,MATCH(BJ192,ITEM_RES!$A:$A,0)-1,0),0)*BL192+IFERROR(OFFSET(ITEM_RES!$T$1,MATCH(BO192,ITEM_RES!$A:$A,0)-1,0),0)*BQ192)/1000</f>
        <v>250</v>
      </c>
      <c r="AK192" s="183">
        <f t="shared" ca="1" si="85"/>
        <v>500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399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514</v>
      </c>
      <c r="L193" s="56"/>
      <c r="M193" s="56" t="s">
        <v>1037</v>
      </c>
      <c r="N193" s="56"/>
      <c r="O193" s="9">
        <v>1</v>
      </c>
      <c r="P193" s="9">
        <v>15</v>
      </c>
      <c r="U193" s="9" t="s">
        <v>720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528</v>
      </c>
      <c r="AD193" s="9">
        <v>9</v>
      </c>
      <c r="AF193" s="9">
        <v>6000</v>
      </c>
      <c r="AI193" s="56">
        <f t="shared" ca="1" si="74"/>
        <v>375</v>
      </c>
      <c r="AJ193" s="10">
        <f ca="1">AO193+AQ193+(IFERROR(OFFSET(ITEM_RES!$T$1,MATCH(AU193,ITEM_RES!$A:$A,0)-1,0),0)*AW193+IFERROR(OFFSET(ITEM_RES!$T$1,MATCH(AZ193,ITEM_RES!$A:$A,0)-1,0),0)*BB193+IFERROR(OFFSET(ITEM_RES!$T$1,MATCH(BE193,ITEM_RES!$A:$A,0)-1,0),0)*BG193+IFERROR(OFFSET(ITEM_RES!$T$1,MATCH(BJ193,ITEM_RES!$A:$A,0)-1,0),0)*BL193+IFERROR(OFFSET(ITEM_RES!$T$1,MATCH(BO193,ITEM_RES!$A:$A,0)-1,0),0)*BQ193)/1000</f>
        <v>375</v>
      </c>
      <c r="AK193" s="183">
        <f t="shared" ca="1" si="85"/>
        <v>625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399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514</v>
      </c>
      <c r="L194" s="56"/>
      <c r="M194" s="56" t="s">
        <v>1037</v>
      </c>
      <c r="N194" s="56"/>
      <c r="O194" s="9">
        <v>1</v>
      </c>
      <c r="P194" s="9">
        <v>15</v>
      </c>
      <c r="U194" s="9" t="s">
        <v>720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528</v>
      </c>
      <c r="AD194" s="9">
        <v>10</v>
      </c>
      <c r="AF194" s="9">
        <v>8000</v>
      </c>
      <c r="AI194" s="56">
        <f t="shared" ca="1" si="74"/>
        <v>600</v>
      </c>
      <c r="AJ194" s="10">
        <f ca="1">AO194+AQ194+(IFERROR(OFFSET(ITEM_RES!$T$1,MATCH(AU194,ITEM_RES!$A:$A,0)-1,0),0)*AW194+IFERROR(OFFSET(ITEM_RES!$T$1,MATCH(AZ194,ITEM_RES!$A:$A,0)-1,0),0)*BB194+IFERROR(OFFSET(ITEM_RES!$T$1,MATCH(BE194,ITEM_RES!$A:$A,0)-1,0),0)*BG194+IFERROR(OFFSET(ITEM_RES!$T$1,MATCH(BJ194,ITEM_RES!$A:$A,0)-1,0),0)*BL194+IFERROR(OFFSET(ITEM_RES!$T$1,MATCH(BO194,ITEM_RES!$A:$A,0)-1,0),0)*BQ194)/1000</f>
        <v>600</v>
      </c>
      <c r="AK194" s="183">
        <f t="shared" ca="1" si="85"/>
        <v>975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399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474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514</v>
      </c>
      <c r="L195" s="56"/>
      <c r="M195" s="56" t="s">
        <v>1037</v>
      </c>
      <c r="N195" s="56"/>
      <c r="O195" s="9">
        <v>1</v>
      </c>
      <c r="P195" s="9">
        <v>15</v>
      </c>
      <c r="U195" s="9" t="s">
        <v>720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528</v>
      </c>
      <c r="AD195" s="9">
        <v>11</v>
      </c>
      <c r="AF195" s="9">
        <v>10000</v>
      </c>
      <c r="AI195" s="56">
        <f t="shared" ca="1" si="74"/>
        <v>625</v>
      </c>
      <c r="AJ195" s="10">
        <f ca="1">AO195+AQ195+(IFERROR(OFFSET(ITEM_RES!$T$1,MATCH(AU195,ITEM_RES!$A:$A,0)-1,0),0)*AW195+IFERROR(OFFSET(ITEM_RES!$T$1,MATCH(AZ195,ITEM_RES!$A:$A,0)-1,0),0)*BB195+IFERROR(OFFSET(ITEM_RES!$T$1,MATCH(BE195,ITEM_RES!$A:$A,0)-1,0),0)*BG195+IFERROR(OFFSET(ITEM_RES!$T$1,MATCH(BJ195,ITEM_RES!$A:$A,0)-1,0),0)*BL195+IFERROR(OFFSET(ITEM_RES!$T$1,MATCH(BO195,ITEM_RES!$A:$A,0)-1,0),0)*BQ195)/1000</f>
        <v>625</v>
      </c>
      <c r="AK195" s="183">
        <f t="shared" ca="1" si="85"/>
        <v>1225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399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514</v>
      </c>
      <c r="L196" s="56"/>
      <c r="M196" s="56" t="s">
        <v>1037</v>
      </c>
      <c r="N196" s="56"/>
      <c r="O196" s="9">
        <v>1</v>
      </c>
      <c r="P196" s="9">
        <v>15</v>
      </c>
      <c r="U196" s="9" t="s">
        <v>720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528</v>
      </c>
      <c r="AD196" s="9">
        <v>12</v>
      </c>
      <c r="AF196" s="9">
        <v>12000</v>
      </c>
      <c r="AI196" s="56">
        <f t="shared" ca="1" si="74"/>
        <v>1050</v>
      </c>
      <c r="AJ196" s="10">
        <f ca="1">AO196+AQ196+(IFERROR(OFFSET(ITEM_RES!$T$1,MATCH(AU196,ITEM_RES!$A:$A,0)-1,0),0)*AW196+IFERROR(OFFSET(ITEM_RES!$T$1,MATCH(AZ196,ITEM_RES!$A:$A,0)-1,0),0)*BB196+IFERROR(OFFSET(ITEM_RES!$T$1,MATCH(BE196,ITEM_RES!$A:$A,0)-1,0),0)*BG196+IFERROR(OFFSET(ITEM_RES!$T$1,MATCH(BJ196,ITEM_RES!$A:$A,0)-1,0),0)*BL196+IFERROR(OFFSET(ITEM_RES!$T$1,MATCH(BO196,ITEM_RES!$A:$A,0)-1,0),0)*BQ196)/1000</f>
        <v>1050</v>
      </c>
      <c r="AK196" s="183">
        <f t="shared" ca="1" si="85"/>
        <v>1675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399</v>
      </c>
      <c r="AW196" s="11">
        <v>1500</v>
      </c>
      <c r="AZ196" s="11">
        <f ca="1">IFERROR(OFFSET(ITEM_RES!$A$1,MATCH(BA196,ITEM_RES!$J:$J,0)-1,0),0)</f>
        <v>211020901</v>
      </c>
      <c r="BA196" s="10" t="s">
        <v>400</v>
      </c>
      <c r="BB196" s="11">
        <v>1500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514</v>
      </c>
      <c r="L197" s="56"/>
      <c r="M197" s="56" t="s">
        <v>1037</v>
      </c>
      <c r="N197" s="56"/>
      <c r="O197" s="9">
        <v>1</v>
      </c>
      <c r="P197" s="9">
        <v>15</v>
      </c>
      <c r="U197" s="9" t="s">
        <v>720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528</v>
      </c>
      <c r="AD197" s="9">
        <v>13</v>
      </c>
      <c r="AF197" s="9">
        <v>14000</v>
      </c>
      <c r="AI197" s="56">
        <f t="shared" ca="1" si="74"/>
        <v>1225</v>
      </c>
      <c r="AJ197" s="10">
        <f ca="1">AO197+AQ197+(IFERROR(OFFSET(ITEM_RES!$T$1,MATCH(AU197,ITEM_RES!$A:$A,0)-1,0),0)*AW197+IFERROR(OFFSET(ITEM_RES!$T$1,MATCH(AZ197,ITEM_RES!$A:$A,0)-1,0),0)*BB197+IFERROR(OFFSET(ITEM_RES!$T$1,MATCH(BE197,ITEM_RES!$A:$A,0)-1,0),0)*BG197+IFERROR(OFFSET(ITEM_RES!$T$1,MATCH(BJ197,ITEM_RES!$A:$A,0)-1,0),0)*BL197+IFERROR(OFFSET(ITEM_RES!$T$1,MATCH(BO197,ITEM_RES!$A:$A,0)-1,0),0)*BQ197)/1000</f>
        <v>1225</v>
      </c>
      <c r="AK197" s="183">
        <f t="shared" ca="1" si="85"/>
        <v>2275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399</v>
      </c>
      <c r="AW197" s="11">
        <v>1750</v>
      </c>
      <c r="AZ197" s="11">
        <f ca="1">IFERROR(OFFSET(ITEM_RES!$A$1,MATCH(BA197,ITEM_RES!$J:$J,0)-1,0),0)</f>
        <v>211020901</v>
      </c>
      <c r="BA197" s="10" t="s">
        <v>400</v>
      </c>
      <c r="BB197" s="11">
        <v>1750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514</v>
      </c>
      <c r="L198" s="56"/>
      <c r="M198" s="56" t="s">
        <v>1037</v>
      </c>
      <c r="N198" s="56"/>
      <c r="O198" s="9">
        <v>1</v>
      </c>
      <c r="P198" s="9">
        <v>15</v>
      </c>
      <c r="U198" s="9" t="s">
        <v>720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528</v>
      </c>
      <c r="AD198" s="9">
        <v>14</v>
      </c>
      <c r="AF198" s="9">
        <v>18000</v>
      </c>
      <c r="AI198" s="56">
        <f t="shared" ca="1" si="74"/>
        <v>1575</v>
      </c>
      <c r="AJ198" s="10">
        <f ca="1">AO198+AQ198+(IFERROR(OFFSET(ITEM_RES!$T$1,MATCH(AU198,ITEM_RES!$A:$A,0)-1,0),0)*AW198+IFERROR(OFFSET(ITEM_RES!$T$1,MATCH(AZ198,ITEM_RES!$A:$A,0)-1,0),0)*BB198+IFERROR(OFFSET(ITEM_RES!$T$1,MATCH(BE198,ITEM_RES!$A:$A,0)-1,0),0)*BG198+IFERROR(OFFSET(ITEM_RES!$T$1,MATCH(BJ198,ITEM_RES!$A:$A,0)-1,0),0)*BL198+IFERROR(OFFSET(ITEM_RES!$T$1,MATCH(BO198,ITEM_RES!$A:$A,0)-1,0),0)*BQ198)/1000</f>
        <v>1575</v>
      </c>
      <c r="AK198" s="183">
        <f t="shared" ca="1" si="85"/>
        <v>2800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399</v>
      </c>
      <c r="AW198" s="11">
        <v>2250</v>
      </c>
      <c r="AZ198" s="11">
        <f ca="1">IFERROR(OFFSET(ITEM_RES!$A$1,MATCH(BA198,ITEM_RES!$J:$J,0)-1,0),0)</f>
        <v>211020901</v>
      </c>
      <c r="BA198" s="10" t="s">
        <v>400</v>
      </c>
      <c r="BB198" s="11">
        <v>2250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514</v>
      </c>
      <c r="L199" s="56"/>
      <c r="M199" s="56" t="s">
        <v>1037</v>
      </c>
      <c r="N199" s="56"/>
      <c r="O199" s="9">
        <v>1</v>
      </c>
      <c r="P199" s="9">
        <v>15</v>
      </c>
      <c r="U199" s="9" t="s">
        <v>720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528</v>
      </c>
      <c r="AD199" s="9">
        <v>15</v>
      </c>
      <c r="AF199" s="9">
        <v>22000</v>
      </c>
      <c r="AI199" s="56">
        <f t="shared" ca="1" si="74"/>
        <v>1925</v>
      </c>
      <c r="AJ199" s="10">
        <f ca="1">AO199+AQ199+(IFERROR(OFFSET(ITEM_RES!$T$1,MATCH(AU199,ITEM_RES!$A:$A,0)-1,0),0)*AW199+IFERROR(OFFSET(ITEM_RES!$T$1,MATCH(AZ199,ITEM_RES!$A:$A,0)-1,0),0)*BB199+IFERROR(OFFSET(ITEM_RES!$T$1,MATCH(BE199,ITEM_RES!$A:$A,0)-1,0),0)*BG199+IFERROR(OFFSET(ITEM_RES!$T$1,MATCH(BJ199,ITEM_RES!$A:$A,0)-1,0),0)*BL199+IFERROR(OFFSET(ITEM_RES!$T$1,MATCH(BO199,ITEM_RES!$A:$A,0)-1,0),0)*BQ199)/1000</f>
        <v>1925</v>
      </c>
      <c r="AK199" s="183">
        <f t="shared" ca="1" si="85"/>
        <v>3500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399</v>
      </c>
      <c r="AW199" s="11">
        <v>2750</v>
      </c>
      <c r="AZ199" s="11">
        <f ca="1">IFERROR(OFFSET(ITEM_RES!$A$1,MATCH(BA199,ITEM_RES!$J:$J,0)-1,0),0)</f>
        <v>211020901</v>
      </c>
      <c r="BA199" s="10" t="s">
        <v>400</v>
      </c>
      <c r="BB199" s="11">
        <v>2750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514</v>
      </c>
      <c r="L200" s="56"/>
      <c r="M200" s="56" t="s">
        <v>1037</v>
      </c>
      <c r="N200" s="56"/>
      <c r="O200" s="9">
        <v>0</v>
      </c>
      <c r="P200" s="9">
        <v>15</v>
      </c>
      <c r="U200" s="9" t="s">
        <v>720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528</v>
      </c>
      <c r="AD200" s="9">
        <v>16</v>
      </c>
      <c r="AF200" s="9">
        <v>28000</v>
      </c>
      <c r="AI200" s="56">
        <f t="shared" ca="1" si="74"/>
        <v>2450</v>
      </c>
      <c r="AJ200" s="10">
        <f ca="1">AO200+AQ200+(IFERROR(OFFSET(ITEM_RES!$T$1,MATCH(AU200,ITEM_RES!$A:$A,0)-1,0),0)*AW200+IFERROR(OFFSET(ITEM_RES!$T$1,MATCH(AZ200,ITEM_RES!$A:$A,0)-1,0),0)*BB200+IFERROR(OFFSET(ITEM_RES!$T$1,MATCH(BE200,ITEM_RES!$A:$A,0)-1,0),0)*BG200+IFERROR(OFFSET(ITEM_RES!$T$1,MATCH(BJ200,ITEM_RES!$A:$A,0)-1,0),0)*BL200+IFERROR(OFFSET(ITEM_RES!$T$1,MATCH(BO200,ITEM_RES!$A:$A,0)-1,0),0)*BQ200)/1000</f>
        <v>2450</v>
      </c>
      <c r="AK200" s="183">
        <f t="shared" ca="1" si="85"/>
        <v>4375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399</v>
      </c>
      <c r="AW200" s="11">
        <v>3500</v>
      </c>
      <c r="AZ200" s="11">
        <f ca="1">IFERROR(OFFSET(ITEM_RES!$A$1,MATCH(BA200,ITEM_RES!$J:$J,0)-1,0),0)</f>
        <v>211020901</v>
      </c>
      <c r="BA200" s="10" t="s">
        <v>400</v>
      </c>
      <c r="BB200" s="11">
        <v>3500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514</v>
      </c>
      <c r="L201" s="56"/>
      <c r="M201" s="56" t="s">
        <v>1037</v>
      </c>
      <c r="N201" s="56"/>
      <c r="O201" s="9">
        <v>0</v>
      </c>
      <c r="P201" s="9">
        <v>15</v>
      </c>
      <c r="U201" s="9" t="s">
        <v>720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528</v>
      </c>
      <c r="AD201" s="9">
        <v>17</v>
      </c>
      <c r="AF201" s="9">
        <v>34000</v>
      </c>
      <c r="AI201" s="56">
        <f t="shared" ca="1" si="74"/>
        <v>2975</v>
      </c>
      <c r="AJ201" s="10">
        <f ca="1">AO201+AQ201+(IFERROR(OFFSET(ITEM_RES!$T$1,MATCH(AU201,ITEM_RES!$A:$A,0)-1,0),0)*AW201+IFERROR(OFFSET(ITEM_RES!$T$1,MATCH(AZ201,ITEM_RES!$A:$A,0)-1,0),0)*BB201+IFERROR(OFFSET(ITEM_RES!$T$1,MATCH(BE201,ITEM_RES!$A:$A,0)-1,0),0)*BG201+IFERROR(OFFSET(ITEM_RES!$T$1,MATCH(BJ201,ITEM_RES!$A:$A,0)-1,0),0)*BL201+IFERROR(OFFSET(ITEM_RES!$T$1,MATCH(BO201,ITEM_RES!$A:$A,0)-1,0),0)*BQ201)/1000</f>
        <v>2975</v>
      </c>
      <c r="AK201" s="183">
        <f t="shared" ca="1" si="85"/>
        <v>5425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399</v>
      </c>
      <c r="AW201" s="11">
        <v>4250</v>
      </c>
      <c r="AZ201" s="11">
        <f ca="1">IFERROR(OFFSET(ITEM_RES!$A$1,MATCH(BA201,ITEM_RES!$J:$J,0)-1,0),0)</f>
        <v>211020901</v>
      </c>
      <c r="BA201" s="10" t="s">
        <v>400</v>
      </c>
      <c r="BB201" s="11">
        <v>4250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514</v>
      </c>
      <c r="L202" s="56"/>
      <c r="M202" s="56" t="s">
        <v>1037</v>
      </c>
      <c r="N202" s="56"/>
      <c r="O202" s="9">
        <v>0</v>
      </c>
      <c r="P202" s="9">
        <v>15</v>
      </c>
      <c r="U202" s="9" t="s">
        <v>720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528</v>
      </c>
      <c r="AD202" s="9">
        <v>18</v>
      </c>
      <c r="AF202" s="9">
        <v>42000</v>
      </c>
      <c r="AI202" s="56">
        <f t="shared" ca="1" si="74"/>
        <v>3675</v>
      </c>
      <c r="AJ202" s="10">
        <f ca="1">AO202+AQ202+(IFERROR(OFFSET(ITEM_RES!$T$1,MATCH(AU202,ITEM_RES!$A:$A,0)-1,0),0)*AW202+IFERROR(OFFSET(ITEM_RES!$T$1,MATCH(AZ202,ITEM_RES!$A:$A,0)-1,0),0)*BB202+IFERROR(OFFSET(ITEM_RES!$T$1,MATCH(BE202,ITEM_RES!$A:$A,0)-1,0),0)*BG202+IFERROR(OFFSET(ITEM_RES!$T$1,MATCH(BJ202,ITEM_RES!$A:$A,0)-1,0),0)*BL202+IFERROR(OFFSET(ITEM_RES!$T$1,MATCH(BO202,ITEM_RES!$A:$A,0)-1,0),0)*BQ202)/1000</f>
        <v>3675</v>
      </c>
      <c r="AK202" s="183">
        <f t="shared" ca="1" si="85"/>
        <v>6650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399</v>
      </c>
      <c r="AW202" s="11">
        <v>5250</v>
      </c>
      <c r="AZ202" s="11">
        <f ca="1">IFERROR(OFFSET(ITEM_RES!$A$1,MATCH(BA202,ITEM_RES!$J:$J,0)-1,0),0)</f>
        <v>211020901</v>
      </c>
      <c r="BA202" s="10" t="s">
        <v>400</v>
      </c>
      <c r="BB202" s="11">
        <v>5250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514</v>
      </c>
      <c r="L203" s="56"/>
      <c r="M203" s="56" t="s">
        <v>1037</v>
      </c>
      <c r="N203" s="56"/>
      <c r="O203" s="9">
        <v>0</v>
      </c>
      <c r="P203" s="9">
        <v>15</v>
      </c>
      <c r="U203" s="9" t="s">
        <v>720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528</v>
      </c>
      <c r="AD203" s="9">
        <v>19</v>
      </c>
      <c r="AF203" s="9">
        <v>50000</v>
      </c>
      <c r="AI203" s="56">
        <f t="shared" ca="1" si="74"/>
        <v>5000</v>
      </c>
      <c r="AJ203" s="10">
        <f ca="1">AO203+AQ203+(IFERROR(OFFSET(ITEM_RES!$T$1,MATCH(AU203,ITEM_RES!$A:$A,0)-1,0),0)*AW203+IFERROR(OFFSET(ITEM_RES!$T$1,MATCH(AZ203,ITEM_RES!$A:$A,0)-1,0),0)*BB203+IFERROR(OFFSET(ITEM_RES!$T$1,MATCH(BE203,ITEM_RES!$A:$A,0)-1,0),0)*BG203+IFERROR(OFFSET(ITEM_RES!$T$1,MATCH(BJ203,ITEM_RES!$A:$A,0)-1,0),0)*BL203+IFERROR(OFFSET(ITEM_RES!$T$1,MATCH(BO203,ITEM_RES!$A:$A,0)-1,0),0)*BQ203)/1000</f>
        <v>5000</v>
      </c>
      <c r="AK203" s="183">
        <f t="shared" ca="1" si="85"/>
        <v>8675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400</v>
      </c>
      <c r="AW203" s="11">
        <v>6250</v>
      </c>
      <c r="AZ203" s="11">
        <f ca="1">IFERROR(OFFSET(ITEM_RES!$A$1,MATCH(BA203,ITEM_RES!$J:$J,0)-1,0),0)</f>
        <v>211020501</v>
      </c>
      <c r="BA203" s="10" t="s">
        <v>431</v>
      </c>
      <c r="BB203" s="11">
        <v>6250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514</v>
      </c>
      <c r="L204" s="56"/>
      <c r="M204" s="56" t="s">
        <v>1037</v>
      </c>
      <c r="N204" s="56"/>
      <c r="O204" s="9">
        <v>0</v>
      </c>
      <c r="P204" s="9">
        <v>15</v>
      </c>
      <c r="U204" s="9" t="s">
        <v>720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528</v>
      </c>
      <c r="AD204" s="9">
        <v>20</v>
      </c>
      <c r="AF204" s="9">
        <v>60000</v>
      </c>
      <c r="AI204" s="56">
        <f t="shared" ca="1" si="74"/>
        <v>6000</v>
      </c>
      <c r="AJ204" s="10">
        <f ca="1">AO204+AQ204+(IFERROR(OFFSET(ITEM_RES!$T$1,MATCH(AU204,ITEM_RES!$A:$A,0)-1,0),0)*AW204+IFERROR(OFFSET(ITEM_RES!$T$1,MATCH(AZ204,ITEM_RES!$A:$A,0)-1,0),0)*BB204+IFERROR(OFFSET(ITEM_RES!$T$1,MATCH(BE204,ITEM_RES!$A:$A,0)-1,0),0)*BG204+IFERROR(OFFSET(ITEM_RES!$T$1,MATCH(BJ204,ITEM_RES!$A:$A,0)-1,0),0)*BL204+IFERROR(OFFSET(ITEM_RES!$T$1,MATCH(BO204,ITEM_RES!$A:$A,0)-1,0),0)*BQ204)/1000</f>
        <v>6000</v>
      </c>
      <c r="AK204" s="183">
        <f t="shared" ca="1" si="85"/>
        <v>11000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515</v>
      </c>
      <c r="AW204" s="11">
        <v>7500</v>
      </c>
      <c r="AZ204" s="11">
        <f ca="1">IFERROR(OFFSET(ITEM_RES!$A$1,MATCH(BA204,ITEM_RES!$J:$J,0)-1,0),0)</f>
        <v>211020501</v>
      </c>
      <c r="BA204" s="10" t="s">
        <v>431</v>
      </c>
      <c r="BB204" s="11">
        <v>7500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581</v>
      </c>
      <c r="L205" s="64">
        <v>4</v>
      </c>
      <c r="M205" s="64" t="s">
        <v>1038</v>
      </c>
      <c r="N205" s="64"/>
      <c r="O205" s="16">
        <v>1</v>
      </c>
      <c r="P205" s="16">
        <v>15</v>
      </c>
      <c r="Q205" s="16"/>
      <c r="R205" s="17"/>
      <c r="S205" s="17"/>
      <c r="T205" s="18"/>
      <c r="U205" s="16" t="s">
        <v>721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582</v>
      </c>
      <c r="AD205" s="16">
        <v>1</v>
      </c>
      <c r="AE205" s="79"/>
      <c r="AF205" s="16">
        <v>0</v>
      </c>
      <c r="AG205" s="17"/>
      <c r="AH205" s="79"/>
      <c r="AI205" s="57">
        <f t="shared" ca="1" si="74"/>
        <v>113</v>
      </c>
      <c r="AJ205" s="17">
        <f ca="1">AO205+AQ205+(IFERROR(OFFSET(ITEM_RES!$T$1,MATCH(AU205,ITEM_RES!$A:$A,0)-1,0),0)*AW205+IFERROR(OFFSET(ITEM_RES!$T$1,MATCH(AZ205,ITEM_RES!$A:$A,0)-1,0),0)*BB205+IFERROR(OFFSET(ITEM_RES!$T$1,MATCH(BE205,ITEM_RES!$A:$A,0)-1,0),0)*BG205+IFERROR(OFFSET(ITEM_RES!$T$1,MATCH(BJ205,ITEM_RES!$A:$A,0)-1,0),0)*BL205+IFERROR(OFFSET(ITEM_RES!$T$1,MATCH(BO205,ITEM_RES!$A:$A,0)-1,0),0)*BQ205)/1000</f>
        <v>112.5</v>
      </c>
      <c r="AK205" s="185">
        <f ca="1">AJ205</f>
        <v>112.5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399</v>
      </c>
      <c r="AW205" s="18">
        <v>25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402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581</v>
      </c>
      <c r="L206" s="56"/>
      <c r="M206" s="56" t="s">
        <v>1038</v>
      </c>
      <c r="N206" s="56"/>
      <c r="O206" s="9">
        <v>1</v>
      </c>
      <c r="P206" s="9">
        <v>15</v>
      </c>
      <c r="Q206" s="84"/>
      <c r="U206" s="9" t="s">
        <v>721</v>
      </c>
      <c r="X206" s="9">
        <f ca="1">IFERROR(OFFSET(ITEM_RES!$A$5,MATCH(BUILDING!W206,ITEM_RES!$J$5:$J$226,0)-1,0),0)</f>
        <v>0</v>
      </c>
      <c r="AA206" s="9">
        <f ca="1">IFERROR(OFFSET(ITEM_RES!$A$5,MATCH(BUILDING!Z206,ITEM_RES!$J$5:$J$226,0)-1,0),0)</f>
        <v>0</v>
      </c>
      <c r="AC206" s="9" t="s">
        <v>582</v>
      </c>
      <c r="AD206" s="9">
        <v>2</v>
      </c>
      <c r="AF206" s="9">
        <v>200</v>
      </c>
      <c r="AI206" s="56">
        <f t="shared" ca="1" si="74"/>
        <v>25</v>
      </c>
      <c r="AJ206" s="10">
        <f ca="1">AO206+AQ206+(IFERROR(OFFSET(ITEM_RES!$T$1,MATCH(AU206,ITEM_RES!$A:$A,0)-1,0),0)*AW206+IFERROR(OFFSET(ITEM_RES!$T$1,MATCH(AZ206,ITEM_RES!$A:$A,0)-1,0),0)*BB206+IFERROR(OFFSET(ITEM_RES!$T$1,MATCH(BE206,ITEM_RES!$A:$A,0)-1,0),0)*BG206+IFERROR(OFFSET(ITEM_RES!$T$1,MATCH(BJ206,ITEM_RES!$A:$A,0)-1,0),0)*BL206+IFERROR(OFFSET(ITEM_RES!$T$1,MATCH(BO206,ITEM_RES!$A:$A,0)-1,0),0)*BQ206)/1000</f>
        <v>25</v>
      </c>
      <c r="AK206" s="183">
        <f t="shared" ref="AK206:AK224" ca="1" si="94">AJ205+AJ206</f>
        <v>137.5</v>
      </c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U206" s="11">
        <f ca="1">IFERROR(OFFSET(ITEM_RES!$A$1,MATCH(AV206,ITEM_RES!$J:$J,0)-1,0),0)</f>
        <v>211020801</v>
      </c>
      <c r="AV206" s="10" t="s">
        <v>399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O206" s="11">
        <f ca="1">IFERROR(OFFSET(ITEM_RES!$A$1,MATCH(BP206,ITEM_RES!$J:$J,0)-1,0),0)</f>
        <v>0</v>
      </c>
      <c r="BQ206" s="11">
        <f t="shared" si="93"/>
        <v>0</v>
      </c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581</v>
      </c>
      <c r="L207" s="56"/>
      <c r="M207" s="56" t="s">
        <v>1038</v>
      </c>
      <c r="N207" s="56"/>
      <c r="O207" s="9">
        <v>1</v>
      </c>
      <c r="P207" s="9">
        <v>15</v>
      </c>
      <c r="U207" s="9" t="s">
        <v>721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582</v>
      </c>
      <c r="AD207" s="9">
        <v>3</v>
      </c>
      <c r="AF207" s="9">
        <v>600</v>
      </c>
      <c r="AI207" s="56">
        <f t="shared" ca="1" si="74"/>
        <v>38</v>
      </c>
      <c r="AJ207" s="10">
        <f ca="1">AO207+AQ207+(IFERROR(OFFSET(ITEM_RES!$T$1,MATCH(AU207,ITEM_RES!$A:$A,0)-1,0),0)*AW207+IFERROR(OFFSET(ITEM_RES!$T$1,MATCH(AZ207,ITEM_RES!$A:$A,0)-1,0),0)*BB207+IFERROR(OFFSET(ITEM_RES!$T$1,MATCH(BE207,ITEM_RES!$A:$A,0)-1,0),0)*BG207+IFERROR(OFFSET(ITEM_RES!$T$1,MATCH(BJ207,ITEM_RES!$A:$A,0)-1,0),0)*BL207+IFERROR(OFFSET(ITEM_RES!$T$1,MATCH(BO207,ITEM_RES!$A:$A,0)-1,0),0)*BQ207)/1000</f>
        <v>37.5</v>
      </c>
      <c r="AK207" s="183">
        <f t="shared" ca="1" si="94"/>
        <v>62.5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399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581</v>
      </c>
      <c r="L208" s="56"/>
      <c r="M208" s="56" t="s">
        <v>1038</v>
      </c>
      <c r="N208" s="56"/>
      <c r="O208" s="9">
        <v>1</v>
      </c>
      <c r="P208" s="9">
        <v>15</v>
      </c>
      <c r="U208" s="9" t="s">
        <v>721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582</v>
      </c>
      <c r="AD208" s="9">
        <v>4</v>
      </c>
      <c r="AF208" s="9">
        <v>1000</v>
      </c>
      <c r="AI208" s="56">
        <f t="shared" ca="1" si="74"/>
        <v>63</v>
      </c>
      <c r="AJ208" s="10">
        <f ca="1">AO208+AQ208+(IFERROR(OFFSET(ITEM_RES!$T$1,MATCH(AU208,ITEM_RES!$A:$A,0)-1,0),0)*AW208+IFERROR(OFFSET(ITEM_RES!$T$1,MATCH(AZ208,ITEM_RES!$A:$A,0)-1,0),0)*BB208+IFERROR(OFFSET(ITEM_RES!$T$1,MATCH(BE208,ITEM_RES!$A:$A,0)-1,0),0)*BG208+IFERROR(OFFSET(ITEM_RES!$T$1,MATCH(BJ208,ITEM_RES!$A:$A,0)-1,0),0)*BL208+IFERROR(OFFSET(ITEM_RES!$T$1,MATCH(BO208,ITEM_RES!$A:$A,0)-1,0),0)*BQ208)/1000</f>
        <v>62.5</v>
      </c>
      <c r="AK208" s="183">
        <f t="shared" ca="1" si="94"/>
        <v>100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399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581</v>
      </c>
      <c r="L209" s="56"/>
      <c r="M209" s="56" t="s">
        <v>1038</v>
      </c>
      <c r="N209" s="56"/>
      <c r="O209" s="9">
        <v>1</v>
      </c>
      <c r="P209" s="9">
        <v>15</v>
      </c>
      <c r="U209" s="9" t="s">
        <v>721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582</v>
      </c>
      <c r="AD209" s="9">
        <v>5</v>
      </c>
      <c r="AF209" s="9">
        <v>1600</v>
      </c>
      <c r="AI209" s="56">
        <f t="shared" ca="1" si="74"/>
        <v>100</v>
      </c>
      <c r="AJ209" s="10">
        <f ca="1">AO209+AQ209+(IFERROR(OFFSET(ITEM_RES!$T$1,MATCH(AU209,ITEM_RES!$A:$A,0)-1,0),0)*AW209+IFERROR(OFFSET(ITEM_RES!$T$1,MATCH(AZ209,ITEM_RES!$A:$A,0)-1,0),0)*BB209+IFERROR(OFFSET(ITEM_RES!$T$1,MATCH(BE209,ITEM_RES!$A:$A,0)-1,0),0)*BG209+IFERROR(OFFSET(ITEM_RES!$T$1,MATCH(BJ209,ITEM_RES!$A:$A,0)-1,0),0)*BL209+IFERROR(OFFSET(ITEM_RES!$T$1,MATCH(BO209,ITEM_RES!$A:$A,0)-1,0),0)*BQ209)/1000</f>
        <v>100</v>
      </c>
      <c r="AK209" s="183">
        <f t="shared" ca="1" si="94"/>
        <v>162.5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399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581</v>
      </c>
      <c r="L210" s="56"/>
      <c r="M210" s="56" t="s">
        <v>1038</v>
      </c>
      <c r="N210" s="56"/>
      <c r="O210" s="9">
        <v>1</v>
      </c>
      <c r="P210" s="9">
        <v>15</v>
      </c>
      <c r="U210" s="9" t="s">
        <v>721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582</v>
      </c>
      <c r="AD210" s="9">
        <v>6</v>
      </c>
      <c r="AF210" s="9">
        <v>2000</v>
      </c>
      <c r="AI210" s="56">
        <f t="shared" ca="1" si="74"/>
        <v>125</v>
      </c>
      <c r="AJ210" s="10">
        <f ca="1">AO210+AQ210+(IFERROR(OFFSET(ITEM_RES!$T$1,MATCH(AU210,ITEM_RES!$A:$A,0)-1,0),0)*AW210+IFERROR(OFFSET(ITEM_RES!$T$1,MATCH(AZ210,ITEM_RES!$A:$A,0)-1,0),0)*BB210+IFERROR(OFFSET(ITEM_RES!$T$1,MATCH(BE210,ITEM_RES!$A:$A,0)-1,0),0)*BG210+IFERROR(OFFSET(ITEM_RES!$T$1,MATCH(BJ210,ITEM_RES!$A:$A,0)-1,0),0)*BL210+IFERROR(OFFSET(ITEM_RES!$T$1,MATCH(BO210,ITEM_RES!$A:$A,0)-1,0),0)*BQ210)/1000</f>
        <v>125</v>
      </c>
      <c r="AK210" s="183">
        <f t="shared" ca="1" si="94"/>
        <v>225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399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581</v>
      </c>
      <c r="L211" s="56"/>
      <c r="M211" s="56" t="s">
        <v>1038</v>
      </c>
      <c r="N211" s="56"/>
      <c r="O211" s="9">
        <v>1</v>
      </c>
      <c r="P211" s="9">
        <v>15</v>
      </c>
      <c r="U211" s="9" t="s">
        <v>721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582</v>
      </c>
      <c r="AD211" s="9">
        <v>7</v>
      </c>
      <c r="AF211" s="9">
        <v>4000</v>
      </c>
      <c r="AI211" s="56">
        <f t="shared" ca="1" si="74"/>
        <v>250</v>
      </c>
      <c r="AJ211" s="10">
        <f ca="1">AO211+AQ211+(IFERROR(OFFSET(ITEM_RES!$T$1,MATCH(AU211,ITEM_RES!$A:$A,0)-1,0),0)*AW211+IFERROR(OFFSET(ITEM_RES!$T$1,MATCH(AZ211,ITEM_RES!$A:$A,0)-1,0),0)*BB211+IFERROR(OFFSET(ITEM_RES!$T$1,MATCH(BE211,ITEM_RES!$A:$A,0)-1,0),0)*BG211+IFERROR(OFFSET(ITEM_RES!$T$1,MATCH(BJ211,ITEM_RES!$A:$A,0)-1,0),0)*BL211+IFERROR(OFFSET(ITEM_RES!$T$1,MATCH(BO211,ITEM_RES!$A:$A,0)-1,0),0)*BQ211)/1000</f>
        <v>250</v>
      </c>
      <c r="AK211" s="183">
        <f t="shared" ca="1" si="94"/>
        <v>375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399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581</v>
      </c>
      <c r="L212" s="56"/>
      <c r="M212" s="56" t="s">
        <v>1038</v>
      </c>
      <c r="N212" s="56"/>
      <c r="O212" s="9">
        <v>1</v>
      </c>
      <c r="P212" s="9">
        <v>15</v>
      </c>
      <c r="U212" s="9" t="s">
        <v>721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582</v>
      </c>
      <c r="AD212" s="9">
        <v>8</v>
      </c>
      <c r="AF212" s="9">
        <v>4000</v>
      </c>
      <c r="AI212" s="56">
        <f t="shared" ca="1" si="74"/>
        <v>250</v>
      </c>
      <c r="AJ212" s="10">
        <f ca="1">AO212+AQ212+(IFERROR(OFFSET(ITEM_RES!$T$1,MATCH(AU212,ITEM_RES!$A:$A,0)-1,0),0)*AW212+IFERROR(OFFSET(ITEM_RES!$T$1,MATCH(AZ212,ITEM_RES!$A:$A,0)-1,0),0)*BB212+IFERROR(OFFSET(ITEM_RES!$T$1,MATCH(BE212,ITEM_RES!$A:$A,0)-1,0),0)*BG212+IFERROR(OFFSET(ITEM_RES!$T$1,MATCH(BJ212,ITEM_RES!$A:$A,0)-1,0),0)*BL212+IFERROR(OFFSET(ITEM_RES!$T$1,MATCH(BO212,ITEM_RES!$A:$A,0)-1,0),0)*BQ212)/1000</f>
        <v>250</v>
      </c>
      <c r="AK212" s="183">
        <f t="shared" ca="1" si="94"/>
        <v>500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399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581</v>
      </c>
      <c r="L213" s="56"/>
      <c r="M213" s="56" t="s">
        <v>1038</v>
      </c>
      <c r="N213" s="56"/>
      <c r="O213" s="9">
        <v>1</v>
      </c>
      <c r="P213" s="9">
        <v>15</v>
      </c>
      <c r="U213" s="9" t="s">
        <v>721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582</v>
      </c>
      <c r="AD213" s="9">
        <v>9</v>
      </c>
      <c r="AF213" s="9">
        <v>6000</v>
      </c>
      <c r="AI213" s="56">
        <f t="shared" ca="1" si="74"/>
        <v>375</v>
      </c>
      <c r="AJ213" s="10">
        <f ca="1">AO213+AQ213+(IFERROR(OFFSET(ITEM_RES!$T$1,MATCH(AU213,ITEM_RES!$A:$A,0)-1,0),0)*AW213+IFERROR(OFFSET(ITEM_RES!$T$1,MATCH(AZ213,ITEM_RES!$A:$A,0)-1,0),0)*BB213+IFERROR(OFFSET(ITEM_RES!$T$1,MATCH(BE213,ITEM_RES!$A:$A,0)-1,0),0)*BG213+IFERROR(OFFSET(ITEM_RES!$T$1,MATCH(BJ213,ITEM_RES!$A:$A,0)-1,0),0)*BL213+IFERROR(OFFSET(ITEM_RES!$T$1,MATCH(BO213,ITEM_RES!$A:$A,0)-1,0),0)*BQ213)/1000</f>
        <v>375</v>
      </c>
      <c r="AK213" s="183">
        <f t="shared" ca="1" si="94"/>
        <v>625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399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581</v>
      </c>
      <c r="L214" s="56"/>
      <c r="M214" s="56" t="s">
        <v>1038</v>
      </c>
      <c r="N214" s="56"/>
      <c r="O214" s="9">
        <v>1</v>
      </c>
      <c r="P214" s="9">
        <v>15</v>
      </c>
      <c r="U214" s="9" t="s">
        <v>721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582</v>
      </c>
      <c r="AD214" s="9">
        <v>10</v>
      </c>
      <c r="AF214" s="9">
        <v>8000</v>
      </c>
      <c r="AI214" s="56">
        <f t="shared" ca="1" si="74"/>
        <v>600</v>
      </c>
      <c r="AJ214" s="10">
        <f ca="1">AO214+AQ214+(IFERROR(OFFSET(ITEM_RES!$T$1,MATCH(AU214,ITEM_RES!$A:$A,0)-1,0),0)*AW214+IFERROR(OFFSET(ITEM_RES!$T$1,MATCH(AZ214,ITEM_RES!$A:$A,0)-1,0),0)*BB214+IFERROR(OFFSET(ITEM_RES!$T$1,MATCH(BE214,ITEM_RES!$A:$A,0)-1,0),0)*BG214+IFERROR(OFFSET(ITEM_RES!$T$1,MATCH(BJ214,ITEM_RES!$A:$A,0)-1,0),0)*BL214+IFERROR(OFFSET(ITEM_RES!$T$1,MATCH(BO214,ITEM_RES!$A:$A,0)-1,0),0)*BQ214)/1000</f>
        <v>600</v>
      </c>
      <c r="AK214" s="183">
        <f t="shared" ca="1" si="94"/>
        <v>975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399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473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581</v>
      </c>
      <c r="L215" s="56"/>
      <c r="M215" s="56" t="s">
        <v>1038</v>
      </c>
      <c r="N215" s="56"/>
      <c r="O215" s="9">
        <v>1</v>
      </c>
      <c r="P215" s="9">
        <v>15</v>
      </c>
      <c r="U215" s="9" t="s">
        <v>721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582</v>
      </c>
      <c r="AD215" s="9">
        <v>11</v>
      </c>
      <c r="AF215" s="9">
        <v>10000</v>
      </c>
      <c r="AI215" s="56">
        <f t="shared" ca="1" si="74"/>
        <v>625</v>
      </c>
      <c r="AJ215" s="10">
        <f ca="1">AO215+AQ215+(IFERROR(OFFSET(ITEM_RES!$T$1,MATCH(AU215,ITEM_RES!$A:$A,0)-1,0),0)*AW215+IFERROR(OFFSET(ITEM_RES!$T$1,MATCH(AZ215,ITEM_RES!$A:$A,0)-1,0),0)*BB215+IFERROR(OFFSET(ITEM_RES!$T$1,MATCH(BE215,ITEM_RES!$A:$A,0)-1,0),0)*BG215+IFERROR(OFFSET(ITEM_RES!$T$1,MATCH(BJ215,ITEM_RES!$A:$A,0)-1,0),0)*BL215+IFERROR(OFFSET(ITEM_RES!$T$1,MATCH(BO215,ITEM_RES!$A:$A,0)-1,0),0)*BQ215)/1000</f>
        <v>625</v>
      </c>
      <c r="AK215" s="183">
        <f t="shared" ca="1" si="94"/>
        <v>1225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399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581</v>
      </c>
      <c r="L216" s="56"/>
      <c r="M216" s="56" t="s">
        <v>1038</v>
      </c>
      <c r="N216" s="56"/>
      <c r="O216" s="9">
        <v>1</v>
      </c>
      <c r="P216" s="9">
        <v>15</v>
      </c>
      <c r="U216" s="9" t="s">
        <v>721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582</v>
      </c>
      <c r="AD216" s="9">
        <v>12</v>
      </c>
      <c r="AF216" s="9">
        <v>12000</v>
      </c>
      <c r="AI216" s="56">
        <f t="shared" ca="1" si="74"/>
        <v>1050</v>
      </c>
      <c r="AJ216" s="10">
        <f ca="1">AO216+AQ216+(IFERROR(OFFSET(ITEM_RES!$T$1,MATCH(AU216,ITEM_RES!$A:$A,0)-1,0),0)*AW216+IFERROR(OFFSET(ITEM_RES!$T$1,MATCH(AZ216,ITEM_RES!$A:$A,0)-1,0),0)*BB216+IFERROR(OFFSET(ITEM_RES!$T$1,MATCH(BE216,ITEM_RES!$A:$A,0)-1,0),0)*BG216+IFERROR(OFFSET(ITEM_RES!$T$1,MATCH(BJ216,ITEM_RES!$A:$A,0)-1,0),0)*BL216+IFERROR(OFFSET(ITEM_RES!$T$1,MATCH(BO216,ITEM_RES!$A:$A,0)-1,0),0)*BQ216)/1000</f>
        <v>1050</v>
      </c>
      <c r="AK216" s="183">
        <f t="shared" ca="1" si="94"/>
        <v>1675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399</v>
      </c>
      <c r="AW216" s="11">
        <v>1500</v>
      </c>
      <c r="AZ216" s="11">
        <f ca="1">IFERROR(OFFSET(ITEM_RES!$A$1,MATCH(BA216,ITEM_RES!$J:$J,0)-1,0),0)</f>
        <v>211020901</v>
      </c>
      <c r="BA216" s="10" t="s">
        <v>400</v>
      </c>
      <c r="BB216" s="11">
        <v>1500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581</v>
      </c>
      <c r="L217" s="56"/>
      <c r="M217" s="56" t="s">
        <v>1038</v>
      </c>
      <c r="N217" s="56"/>
      <c r="O217" s="9">
        <v>1</v>
      </c>
      <c r="P217" s="9">
        <v>15</v>
      </c>
      <c r="U217" s="9" t="s">
        <v>721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582</v>
      </c>
      <c r="AD217" s="9">
        <v>13</v>
      </c>
      <c r="AF217" s="9">
        <v>14000</v>
      </c>
      <c r="AI217" s="56">
        <f t="shared" ca="1" si="74"/>
        <v>1225</v>
      </c>
      <c r="AJ217" s="10">
        <f ca="1">AO217+AQ217+(IFERROR(OFFSET(ITEM_RES!$T$1,MATCH(AU217,ITEM_RES!$A:$A,0)-1,0),0)*AW217+IFERROR(OFFSET(ITEM_RES!$T$1,MATCH(AZ217,ITEM_RES!$A:$A,0)-1,0),0)*BB217+IFERROR(OFFSET(ITEM_RES!$T$1,MATCH(BE217,ITEM_RES!$A:$A,0)-1,0),0)*BG217+IFERROR(OFFSET(ITEM_RES!$T$1,MATCH(BJ217,ITEM_RES!$A:$A,0)-1,0),0)*BL217+IFERROR(OFFSET(ITEM_RES!$T$1,MATCH(BO217,ITEM_RES!$A:$A,0)-1,0),0)*BQ217)/1000</f>
        <v>1225</v>
      </c>
      <c r="AK217" s="183">
        <f t="shared" ca="1" si="94"/>
        <v>2275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399</v>
      </c>
      <c r="AW217" s="11">
        <v>1750</v>
      </c>
      <c r="AZ217" s="11">
        <f ca="1">IFERROR(OFFSET(ITEM_RES!$A$1,MATCH(BA217,ITEM_RES!$J:$J,0)-1,0),0)</f>
        <v>211020901</v>
      </c>
      <c r="BA217" s="10" t="s">
        <v>400</v>
      </c>
      <c r="BB217" s="11">
        <v>1750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581</v>
      </c>
      <c r="L218" s="56"/>
      <c r="M218" s="56" t="s">
        <v>1038</v>
      </c>
      <c r="N218" s="56"/>
      <c r="O218" s="9">
        <v>1</v>
      </c>
      <c r="P218" s="9">
        <v>15</v>
      </c>
      <c r="U218" s="9" t="s">
        <v>721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582</v>
      </c>
      <c r="AD218" s="9">
        <v>14</v>
      </c>
      <c r="AF218" s="9">
        <v>18000</v>
      </c>
      <c r="AI218" s="56">
        <f t="shared" ref="AI218:AI281" ca="1" si="95">ROUND(AJ218,0)</f>
        <v>1575</v>
      </c>
      <c r="AJ218" s="10">
        <f ca="1">AO218+AQ218+(IFERROR(OFFSET(ITEM_RES!$T$1,MATCH(AU218,ITEM_RES!$A:$A,0)-1,0),0)*AW218+IFERROR(OFFSET(ITEM_RES!$T$1,MATCH(AZ218,ITEM_RES!$A:$A,0)-1,0),0)*BB218+IFERROR(OFFSET(ITEM_RES!$T$1,MATCH(BE218,ITEM_RES!$A:$A,0)-1,0),0)*BG218+IFERROR(OFFSET(ITEM_RES!$T$1,MATCH(BJ218,ITEM_RES!$A:$A,0)-1,0),0)*BL218+IFERROR(OFFSET(ITEM_RES!$T$1,MATCH(BO218,ITEM_RES!$A:$A,0)-1,0),0)*BQ218)/1000</f>
        <v>1575</v>
      </c>
      <c r="AK218" s="183">
        <f t="shared" ca="1" si="94"/>
        <v>2800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399</v>
      </c>
      <c r="AW218" s="11">
        <v>2250</v>
      </c>
      <c r="AZ218" s="11">
        <f ca="1">IFERROR(OFFSET(ITEM_RES!$A$1,MATCH(BA218,ITEM_RES!$J:$J,0)-1,0),0)</f>
        <v>211020901</v>
      </c>
      <c r="BA218" s="10" t="s">
        <v>400</v>
      </c>
      <c r="BB218" s="11">
        <v>2250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581</v>
      </c>
      <c r="L219" s="56"/>
      <c r="M219" s="56" t="s">
        <v>1038</v>
      </c>
      <c r="N219" s="56"/>
      <c r="O219" s="9">
        <v>1</v>
      </c>
      <c r="P219" s="9">
        <v>15</v>
      </c>
      <c r="U219" s="9" t="s">
        <v>721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582</v>
      </c>
      <c r="AD219" s="9">
        <v>15</v>
      </c>
      <c r="AF219" s="9">
        <v>22000</v>
      </c>
      <c r="AI219" s="56">
        <f t="shared" ca="1" si="95"/>
        <v>1925</v>
      </c>
      <c r="AJ219" s="10">
        <f ca="1">AO219+AQ219+(IFERROR(OFFSET(ITEM_RES!$T$1,MATCH(AU219,ITEM_RES!$A:$A,0)-1,0),0)*AW219+IFERROR(OFFSET(ITEM_RES!$T$1,MATCH(AZ219,ITEM_RES!$A:$A,0)-1,0),0)*BB219+IFERROR(OFFSET(ITEM_RES!$T$1,MATCH(BE219,ITEM_RES!$A:$A,0)-1,0),0)*BG219+IFERROR(OFFSET(ITEM_RES!$T$1,MATCH(BJ219,ITEM_RES!$A:$A,0)-1,0),0)*BL219+IFERROR(OFFSET(ITEM_RES!$T$1,MATCH(BO219,ITEM_RES!$A:$A,0)-1,0),0)*BQ219)/1000</f>
        <v>1925</v>
      </c>
      <c r="AK219" s="183">
        <f t="shared" ca="1" si="94"/>
        <v>3500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399</v>
      </c>
      <c r="AW219" s="11">
        <v>2750</v>
      </c>
      <c r="AZ219" s="11">
        <f ca="1">IFERROR(OFFSET(ITEM_RES!$A$1,MATCH(BA219,ITEM_RES!$J:$J,0)-1,0),0)</f>
        <v>211020901</v>
      </c>
      <c r="BA219" s="10" t="s">
        <v>400</v>
      </c>
      <c r="BB219" s="11">
        <v>2750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581</v>
      </c>
      <c r="L220" s="56"/>
      <c r="M220" s="56" t="s">
        <v>1038</v>
      </c>
      <c r="N220" s="56"/>
      <c r="O220" s="9">
        <v>0</v>
      </c>
      <c r="P220" s="9">
        <v>15</v>
      </c>
      <c r="U220" s="9" t="s">
        <v>721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582</v>
      </c>
      <c r="AD220" s="9">
        <v>16</v>
      </c>
      <c r="AF220" s="9">
        <v>28000</v>
      </c>
      <c r="AI220" s="56">
        <f t="shared" ca="1" si="95"/>
        <v>2450</v>
      </c>
      <c r="AJ220" s="10">
        <f ca="1">AO220+AQ220+(IFERROR(OFFSET(ITEM_RES!$T$1,MATCH(AU220,ITEM_RES!$A:$A,0)-1,0),0)*AW220+IFERROR(OFFSET(ITEM_RES!$T$1,MATCH(AZ220,ITEM_RES!$A:$A,0)-1,0),0)*BB220+IFERROR(OFFSET(ITEM_RES!$T$1,MATCH(BE220,ITEM_RES!$A:$A,0)-1,0),0)*BG220+IFERROR(OFFSET(ITEM_RES!$T$1,MATCH(BJ220,ITEM_RES!$A:$A,0)-1,0),0)*BL220+IFERROR(OFFSET(ITEM_RES!$T$1,MATCH(BO220,ITEM_RES!$A:$A,0)-1,0),0)*BQ220)/1000</f>
        <v>2450</v>
      </c>
      <c r="AK220" s="183">
        <f t="shared" ca="1" si="94"/>
        <v>4375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399</v>
      </c>
      <c r="AW220" s="11">
        <v>3500</v>
      </c>
      <c r="AZ220" s="11">
        <f ca="1">IFERROR(OFFSET(ITEM_RES!$A$1,MATCH(BA220,ITEM_RES!$J:$J,0)-1,0),0)</f>
        <v>211020901</v>
      </c>
      <c r="BA220" s="10" t="s">
        <v>400</v>
      </c>
      <c r="BB220" s="11">
        <v>3500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581</v>
      </c>
      <c r="L221" s="56"/>
      <c r="M221" s="56" t="s">
        <v>1038</v>
      </c>
      <c r="N221" s="56"/>
      <c r="O221" s="9">
        <v>0</v>
      </c>
      <c r="P221" s="9">
        <v>15</v>
      </c>
      <c r="U221" s="9" t="s">
        <v>721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582</v>
      </c>
      <c r="AD221" s="9">
        <v>17</v>
      </c>
      <c r="AF221" s="9">
        <v>34000</v>
      </c>
      <c r="AI221" s="56">
        <f t="shared" ca="1" si="95"/>
        <v>2975</v>
      </c>
      <c r="AJ221" s="10">
        <f ca="1">AO221+AQ221+(IFERROR(OFFSET(ITEM_RES!$T$1,MATCH(AU221,ITEM_RES!$A:$A,0)-1,0),0)*AW221+IFERROR(OFFSET(ITEM_RES!$T$1,MATCH(AZ221,ITEM_RES!$A:$A,0)-1,0),0)*BB221+IFERROR(OFFSET(ITEM_RES!$T$1,MATCH(BE221,ITEM_RES!$A:$A,0)-1,0),0)*BG221+IFERROR(OFFSET(ITEM_RES!$T$1,MATCH(BJ221,ITEM_RES!$A:$A,0)-1,0),0)*BL221+IFERROR(OFFSET(ITEM_RES!$T$1,MATCH(BO221,ITEM_RES!$A:$A,0)-1,0),0)*BQ221)/1000</f>
        <v>2975</v>
      </c>
      <c r="AK221" s="183">
        <f t="shared" ca="1" si="94"/>
        <v>5425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399</v>
      </c>
      <c r="AW221" s="11">
        <v>4250</v>
      </c>
      <c r="AZ221" s="11">
        <f ca="1">IFERROR(OFFSET(ITEM_RES!$A$1,MATCH(BA221,ITEM_RES!$J:$J,0)-1,0),0)</f>
        <v>211020901</v>
      </c>
      <c r="BA221" s="10" t="s">
        <v>400</v>
      </c>
      <c r="BB221" s="11">
        <v>4250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581</v>
      </c>
      <c r="L222" s="56"/>
      <c r="M222" s="56" t="s">
        <v>1038</v>
      </c>
      <c r="N222" s="56"/>
      <c r="O222" s="9">
        <v>0</v>
      </c>
      <c r="P222" s="9">
        <v>15</v>
      </c>
      <c r="U222" s="9" t="s">
        <v>721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582</v>
      </c>
      <c r="AD222" s="9">
        <v>18</v>
      </c>
      <c r="AF222" s="9">
        <v>42000</v>
      </c>
      <c r="AI222" s="56">
        <f t="shared" ca="1" si="95"/>
        <v>3675</v>
      </c>
      <c r="AJ222" s="10">
        <f ca="1">AO222+AQ222+(IFERROR(OFFSET(ITEM_RES!$T$1,MATCH(AU222,ITEM_RES!$A:$A,0)-1,0),0)*AW222+IFERROR(OFFSET(ITEM_RES!$T$1,MATCH(AZ222,ITEM_RES!$A:$A,0)-1,0),0)*BB222+IFERROR(OFFSET(ITEM_RES!$T$1,MATCH(BE222,ITEM_RES!$A:$A,0)-1,0),0)*BG222+IFERROR(OFFSET(ITEM_RES!$T$1,MATCH(BJ222,ITEM_RES!$A:$A,0)-1,0),0)*BL222+IFERROR(OFFSET(ITEM_RES!$T$1,MATCH(BO222,ITEM_RES!$A:$A,0)-1,0),0)*BQ222)/1000</f>
        <v>3675</v>
      </c>
      <c r="AK222" s="183">
        <f t="shared" ca="1" si="94"/>
        <v>6650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399</v>
      </c>
      <c r="AW222" s="11">
        <v>5250</v>
      </c>
      <c r="AZ222" s="11">
        <f ca="1">IFERROR(OFFSET(ITEM_RES!$A$1,MATCH(BA222,ITEM_RES!$J:$J,0)-1,0),0)</f>
        <v>211020901</v>
      </c>
      <c r="BA222" s="10" t="s">
        <v>400</v>
      </c>
      <c r="BB222" s="11">
        <v>5250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581</v>
      </c>
      <c r="L223" s="56"/>
      <c r="M223" s="56" t="s">
        <v>1038</v>
      </c>
      <c r="N223" s="56"/>
      <c r="O223" s="9">
        <v>0</v>
      </c>
      <c r="P223" s="9">
        <v>15</v>
      </c>
      <c r="U223" s="9" t="s">
        <v>721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582</v>
      </c>
      <c r="AD223" s="9">
        <v>19</v>
      </c>
      <c r="AF223" s="9">
        <v>50000</v>
      </c>
      <c r="AI223" s="56">
        <f t="shared" ca="1" si="95"/>
        <v>5000</v>
      </c>
      <c r="AJ223" s="10">
        <f ca="1">AO223+AQ223+(IFERROR(OFFSET(ITEM_RES!$T$1,MATCH(AU223,ITEM_RES!$A:$A,0)-1,0),0)*AW223+IFERROR(OFFSET(ITEM_RES!$T$1,MATCH(AZ223,ITEM_RES!$A:$A,0)-1,0),0)*BB223+IFERROR(OFFSET(ITEM_RES!$T$1,MATCH(BE223,ITEM_RES!$A:$A,0)-1,0),0)*BG223+IFERROR(OFFSET(ITEM_RES!$T$1,MATCH(BJ223,ITEM_RES!$A:$A,0)-1,0),0)*BL223+IFERROR(OFFSET(ITEM_RES!$T$1,MATCH(BO223,ITEM_RES!$A:$A,0)-1,0),0)*BQ223)/1000</f>
        <v>5000</v>
      </c>
      <c r="AK223" s="183">
        <f t="shared" ca="1" si="94"/>
        <v>8675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400</v>
      </c>
      <c r="AW223" s="11">
        <v>6250</v>
      </c>
      <c r="AZ223" s="11">
        <f ca="1">IFERROR(OFFSET(ITEM_RES!$A$1,MATCH(BA223,ITEM_RES!$J:$J,0)-1,0),0)</f>
        <v>211020501</v>
      </c>
      <c r="BA223" s="10" t="s">
        <v>431</v>
      </c>
      <c r="BB223" s="11">
        <v>6250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581</v>
      </c>
      <c r="L224" s="56"/>
      <c r="M224" s="56" t="s">
        <v>1038</v>
      </c>
      <c r="N224" s="56"/>
      <c r="O224" s="9">
        <v>0</v>
      </c>
      <c r="P224" s="9">
        <v>15</v>
      </c>
      <c r="U224" s="9" t="s">
        <v>721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582</v>
      </c>
      <c r="AD224" s="9">
        <v>20</v>
      </c>
      <c r="AF224" s="9">
        <v>60000</v>
      </c>
      <c r="AI224" s="56">
        <f t="shared" ca="1" si="95"/>
        <v>6000</v>
      </c>
      <c r="AJ224" s="10">
        <f ca="1">AO224+AQ224+(IFERROR(OFFSET(ITEM_RES!$T$1,MATCH(AU224,ITEM_RES!$A:$A,0)-1,0),0)*AW224+IFERROR(OFFSET(ITEM_RES!$T$1,MATCH(AZ224,ITEM_RES!$A:$A,0)-1,0),0)*BB224+IFERROR(OFFSET(ITEM_RES!$T$1,MATCH(BE224,ITEM_RES!$A:$A,0)-1,0),0)*BG224+IFERROR(OFFSET(ITEM_RES!$T$1,MATCH(BJ224,ITEM_RES!$A:$A,0)-1,0),0)*BL224+IFERROR(OFFSET(ITEM_RES!$T$1,MATCH(BO224,ITEM_RES!$A:$A,0)-1,0),0)*BQ224)/1000</f>
        <v>6000</v>
      </c>
      <c r="AK224" s="183">
        <f t="shared" ca="1" si="94"/>
        <v>11000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400</v>
      </c>
      <c r="AW224" s="11">
        <v>7500</v>
      </c>
      <c r="AZ224" s="11">
        <f ca="1">IFERROR(OFFSET(ITEM_RES!$A$1,MATCH(BA224,ITEM_RES!$J:$J,0)-1,0),0)</f>
        <v>211020501</v>
      </c>
      <c r="BA224" s="10" t="s">
        <v>431</v>
      </c>
      <c r="BB224" s="11">
        <v>7500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64">
        <v>1</v>
      </c>
      <c r="M225" s="64" t="s">
        <v>968</v>
      </c>
      <c r="N225" s="64"/>
      <c r="O225" s="16">
        <v>1</v>
      </c>
      <c r="P225" s="16">
        <v>15</v>
      </c>
      <c r="Q225" s="16" t="s">
        <v>799</v>
      </c>
      <c r="R225" s="17"/>
      <c r="S225" s="17"/>
      <c r="T225" s="18"/>
      <c r="U225" s="16" t="s">
        <v>722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529</v>
      </c>
      <c r="AD225" s="16">
        <v>1</v>
      </c>
      <c r="AE225" s="79"/>
      <c r="AF225" s="16">
        <v>0</v>
      </c>
      <c r="AG225" s="17"/>
      <c r="AH225" s="79"/>
      <c r="AI225" s="57">
        <f t="shared" ca="1" si="95"/>
        <v>113</v>
      </c>
      <c r="AJ225" s="17">
        <f ca="1">AO225+AQ225+(IFERROR(OFFSET(ITEM_RES!$T$1,MATCH(AU225,ITEM_RES!$A:$A,0)-1,0),0)*AW225+IFERROR(OFFSET(ITEM_RES!$T$1,MATCH(AZ225,ITEM_RES!$A:$A,0)-1,0),0)*BB225+IFERROR(OFFSET(ITEM_RES!$T$1,MATCH(BE225,ITEM_RES!$A:$A,0)-1,0),0)*BG225+IFERROR(OFFSET(ITEM_RES!$T$1,MATCH(BJ225,ITEM_RES!$A:$A,0)-1,0),0)*BL225+IFERROR(OFFSET(ITEM_RES!$T$1,MATCH(BO225,ITEM_RES!$A:$A,0)-1,0),0)*BQ225)/1000</f>
        <v>112.75</v>
      </c>
      <c r="AK225" s="185">
        <f ca="1">AJ225</f>
        <v>112.75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442</v>
      </c>
      <c r="AW225" s="18">
        <v>25</v>
      </c>
      <c r="AX225" s="17"/>
      <c r="AY225" s="18"/>
      <c r="AZ225" s="18">
        <f ca="1">IFERROR(OFFSET(ITEM_RES!$A$1,MATCH(BA225,ITEM_RES!$J:$J,0)-1,0),0)</f>
        <v>211020401</v>
      </c>
      <c r="BA225" s="17" t="s">
        <v>430</v>
      </c>
      <c r="BB225" s="18">
        <v>25</v>
      </c>
      <c r="BC225" s="17"/>
      <c r="BD225" s="18"/>
      <c r="BE225" s="18">
        <f ca="1">IFERROR(OFFSET(ITEM_RES!$A$1,MATCH(BF225,ITEM_RES!$J:$J,0)-1,0),0)</f>
        <v>213010101</v>
      </c>
      <c r="BF225" s="17" t="s">
        <v>463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56"/>
      <c r="M226" s="56" t="s">
        <v>968</v>
      </c>
      <c r="N226" s="56"/>
      <c r="O226" s="9">
        <v>1</v>
      </c>
      <c r="P226" s="9">
        <v>15</v>
      </c>
      <c r="Q226" s="9" t="s">
        <v>799</v>
      </c>
      <c r="U226" s="9" t="s">
        <v>722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529</v>
      </c>
      <c r="AD226" s="9">
        <v>2</v>
      </c>
      <c r="AF226" s="9">
        <v>200</v>
      </c>
      <c r="AI226" s="56">
        <f t="shared" ca="1" si="95"/>
        <v>26</v>
      </c>
      <c r="AJ226" s="10">
        <f ca="1">AO226+AQ226+(IFERROR(OFFSET(ITEM_RES!$T$1,MATCH(AU226,ITEM_RES!$A:$A,0)-1,0),0)*AW226+IFERROR(OFFSET(ITEM_RES!$T$1,MATCH(AZ226,ITEM_RES!$A:$A,0)-1,0),0)*BB226+IFERROR(OFFSET(ITEM_RES!$T$1,MATCH(BE226,ITEM_RES!$A:$A,0)-1,0),0)*BG226+IFERROR(OFFSET(ITEM_RES!$T$1,MATCH(BJ226,ITEM_RES!$A:$A,0)-1,0),0)*BL226+IFERROR(OFFSET(ITEM_RES!$T$1,MATCH(BO226,ITEM_RES!$A:$A,0)-1,0),0)*BQ226)/1000</f>
        <v>25.5</v>
      </c>
      <c r="AK226" s="183">
        <f t="shared" ref="AK226:AK244" ca="1" si="96">AJ225+AJ226</f>
        <v>138.25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442</v>
      </c>
      <c r="AW226" s="11">
        <v>50</v>
      </c>
      <c r="AZ226" s="11">
        <f ca="1">IFERROR(OFFSET(ITEM_RES!$A$1,MATCH(BA226,ITEM_RES!$J:$J,0)-1,0),0)</f>
        <v>211020401</v>
      </c>
      <c r="BA226" s="10" t="s">
        <v>430</v>
      </c>
      <c r="BB226" s="11">
        <v>50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56"/>
      <c r="M227" s="56" t="s">
        <v>968</v>
      </c>
      <c r="N227" s="56"/>
      <c r="O227" s="9">
        <v>1</v>
      </c>
      <c r="P227" s="9">
        <v>15</v>
      </c>
      <c r="Q227" s="9" t="s">
        <v>799</v>
      </c>
      <c r="U227" s="9" t="s">
        <v>722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529</v>
      </c>
      <c r="AD227" s="9">
        <v>3</v>
      </c>
      <c r="AF227" s="9">
        <v>600</v>
      </c>
      <c r="AI227" s="56">
        <f t="shared" ca="1" si="95"/>
        <v>38</v>
      </c>
      <c r="AJ227" s="10">
        <f ca="1">AO227+AQ227+(IFERROR(OFFSET(ITEM_RES!$T$1,MATCH(AU227,ITEM_RES!$A:$A,0)-1,0),0)*AW227+IFERROR(OFFSET(ITEM_RES!$T$1,MATCH(AZ227,ITEM_RES!$A:$A,0)-1,0),0)*BB227+IFERROR(OFFSET(ITEM_RES!$T$1,MATCH(BE227,ITEM_RES!$A:$A,0)-1,0),0)*BG227+IFERROR(OFFSET(ITEM_RES!$T$1,MATCH(BJ227,ITEM_RES!$A:$A,0)-1,0),0)*BL227+IFERROR(OFFSET(ITEM_RES!$T$1,MATCH(BO227,ITEM_RES!$A:$A,0)-1,0),0)*BQ227)/1000</f>
        <v>38.25</v>
      </c>
      <c r="AK227" s="183">
        <f t="shared" ca="1" si="96"/>
        <v>63.75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442</v>
      </c>
      <c r="AW227" s="11">
        <v>75</v>
      </c>
      <c r="AZ227" s="11">
        <f ca="1">IFERROR(OFFSET(ITEM_RES!$A$1,MATCH(BA227,ITEM_RES!$J:$J,0)-1,0),0)</f>
        <v>211020401</v>
      </c>
      <c r="BA227" s="10" t="s">
        <v>430</v>
      </c>
      <c r="BB227" s="11">
        <v>75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56"/>
      <c r="M228" s="56" t="s">
        <v>968</v>
      </c>
      <c r="N228" s="56"/>
      <c r="O228" s="9">
        <v>1</v>
      </c>
      <c r="P228" s="9">
        <v>15</v>
      </c>
      <c r="Q228" s="9" t="s">
        <v>799</v>
      </c>
      <c r="U228" s="9" t="s">
        <v>722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529</v>
      </c>
      <c r="AD228" s="9">
        <v>4</v>
      </c>
      <c r="AF228" s="9">
        <v>1000</v>
      </c>
      <c r="AI228" s="56">
        <f t="shared" ca="1" si="95"/>
        <v>64</v>
      </c>
      <c r="AJ228" s="10">
        <f ca="1">AO228+AQ228+(IFERROR(OFFSET(ITEM_RES!$T$1,MATCH(AU228,ITEM_RES!$A:$A,0)-1,0),0)*AW228+IFERROR(OFFSET(ITEM_RES!$T$1,MATCH(AZ228,ITEM_RES!$A:$A,0)-1,0),0)*BB228+IFERROR(OFFSET(ITEM_RES!$T$1,MATCH(BE228,ITEM_RES!$A:$A,0)-1,0),0)*BG228+IFERROR(OFFSET(ITEM_RES!$T$1,MATCH(BJ228,ITEM_RES!$A:$A,0)-1,0),0)*BL228+IFERROR(OFFSET(ITEM_RES!$T$1,MATCH(BO228,ITEM_RES!$A:$A,0)-1,0),0)*BQ228)/1000</f>
        <v>63.75</v>
      </c>
      <c r="AK228" s="183">
        <f t="shared" ca="1" si="96"/>
        <v>102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442</v>
      </c>
      <c r="AW228" s="11">
        <v>125</v>
      </c>
      <c r="AZ228" s="11">
        <f ca="1">IFERROR(OFFSET(ITEM_RES!$A$1,MATCH(BA228,ITEM_RES!$J:$J,0)-1,0),0)</f>
        <v>211020401</v>
      </c>
      <c r="BA228" s="10" t="s">
        <v>430</v>
      </c>
      <c r="BB228" s="11">
        <v>125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56"/>
      <c r="M229" s="56" t="s">
        <v>968</v>
      </c>
      <c r="N229" s="56"/>
      <c r="O229" s="9">
        <v>1</v>
      </c>
      <c r="P229" s="9">
        <v>15</v>
      </c>
      <c r="Q229" s="9" t="s">
        <v>799</v>
      </c>
      <c r="U229" s="9" t="s">
        <v>722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529</v>
      </c>
      <c r="AD229" s="9">
        <v>5</v>
      </c>
      <c r="AF229" s="9">
        <v>1600</v>
      </c>
      <c r="AI229" s="56">
        <f t="shared" ca="1" si="95"/>
        <v>102</v>
      </c>
      <c r="AJ229" s="10">
        <f ca="1">AO229+AQ229+(IFERROR(OFFSET(ITEM_RES!$T$1,MATCH(AU229,ITEM_RES!$A:$A,0)-1,0),0)*AW229+IFERROR(OFFSET(ITEM_RES!$T$1,MATCH(AZ229,ITEM_RES!$A:$A,0)-1,0),0)*BB229+IFERROR(OFFSET(ITEM_RES!$T$1,MATCH(BE229,ITEM_RES!$A:$A,0)-1,0),0)*BG229+IFERROR(OFFSET(ITEM_RES!$T$1,MATCH(BJ229,ITEM_RES!$A:$A,0)-1,0),0)*BL229+IFERROR(OFFSET(ITEM_RES!$T$1,MATCH(BO229,ITEM_RES!$A:$A,0)-1,0),0)*BQ229)/1000</f>
        <v>102</v>
      </c>
      <c r="AK229" s="183">
        <f t="shared" ca="1" si="96"/>
        <v>165.75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442</v>
      </c>
      <c r="AW229" s="11">
        <v>200</v>
      </c>
      <c r="AZ229" s="11">
        <f ca="1">IFERROR(OFFSET(ITEM_RES!$A$1,MATCH(BA229,ITEM_RES!$J:$J,0)-1,0),0)</f>
        <v>211020401</v>
      </c>
      <c r="BA229" s="10" t="s">
        <v>430</v>
      </c>
      <c r="BB229" s="11">
        <v>200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56"/>
      <c r="M230" s="56" t="s">
        <v>968</v>
      </c>
      <c r="N230" s="56"/>
      <c r="O230" s="9">
        <v>1</v>
      </c>
      <c r="P230" s="9">
        <v>15</v>
      </c>
      <c r="Q230" s="9" t="s">
        <v>799</v>
      </c>
      <c r="U230" s="9" t="s">
        <v>722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529</v>
      </c>
      <c r="AD230" s="9">
        <v>6</v>
      </c>
      <c r="AF230" s="9">
        <v>2000</v>
      </c>
      <c r="AI230" s="56">
        <f t="shared" ca="1" si="95"/>
        <v>128</v>
      </c>
      <c r="AJ230" s="10">
        <f ca="1">AO230+AQ230+(IFERROR(OFFSET(ITEM_RES!$T$1,MATCH(AU230,ITEM_RES!$A:$A,0)-1,0),0)*AW230+IFERROR(OFFSET(ITEM_RES!$T$1,MATCH(AZ230,ITEM_RES!$A:$A,0)-1,0),0)*BB230+IFERROR(OFFSET(ITEM_RES!$T$1,MATCH(BE230,ITEM_RES!$A:$A,0)-1,0),0)*BG230+IFERROR(OFFSET(ITEM_RES!$T$1,MATCH(BJ230,ITEM_RES!$A:$A,0)-1,0),0)*BL230+IFERROR(OFFSET(ITEM_RES!$T$1,MATCH(BO230,ITEM_RES!$A:$A,0)-1,0),0)*BQ230)/1000</f>
        <v>127.5</v>
      </c>
      <c r="AK230" s="183">
        <f t="shared" ca="1" si="96"/>
        <v>229.5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442</v>
      </c>
      <c r="AW230" s="11">
        <v>250</v>
      </c>
      <c r="AZ230" s="11">
        <f ca="1">IFERROR(OFFSET(ITEM_RES!$A$1,MATCH(BA230,ITEM_RES!$J:$J,0)-1,0),0)</f>
        <v>211020401</v>
      </c>
      <c r="BA230" s="10" t="s">
        <v>430</v>
      </c>
      <c r="BB230" s="11">
        <v>250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56"/>
      <c r="M231" s="56" t="s">
        <v>968</v>
      </c>
      <c r="N231" s="56"/>
      <c r="O231" s="9">
        <v>1</v>
      </c>
      <c r="P231" s="9">
        <v>15</v>
      </c>
      <c r="Q231" s="9" t="s">
        <v>799</v>
      </c>
      <c r="U231" s="9" t="s">
        <v>722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529</v>
      </c>
      <c r="AD231" s="9">
        <v>7</v>
      </c>
      <c r="AF231" s="9">
        <v>4000</v>
      </c>
      <c r="AI231" s="56">
        <f t="shared" ca="1" si="95"/>
        <v>255</v>
      </c>
      <c r="AJ231" s="10">
        <f ca="1">AO231+AQ231+(IFERROR(OFFSET(ITEM_RES!$T$1,MATCH(AU231,ITEM_RES!$A:$A,0)-1,0),0)*AW231+IFERROR(OFFSET(ITEM_RES!$T$1,MATCH(AZ231,ITEM_RES!$A:$A,0)-1,0),0)*BB231+IFERROR(OFFSET(ITEM_RES!$T$1,MATCH(BE231,ITEM_RES!$A:$A,0)-1,0),0)*BG231+IFERROR(OFFSET(ITEM_RES!$T$1,MATCH(BJ231,ITEM_RES!$A:$A,0)-1,0),0)*BL231+IFERROR(OFFSET(ITEM_RES!$T$1,MATCH(BO231,ITEM_RES!$A:$A,0)-1,0),0)*BQ231)/1000</f>
        <v>255</v>
      </c>
      <c r="AK231" s="183">
        <f t="shared" ca="1" si="96"/>
        <v>382.5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442</v>
      </c>
      <c r="AW231" s="11">
        <v>500</v>
      </c>
      <c r="AZ231" s="11">
        <f ca="1">IFERROR(OFFSET(ITEM_RES!$A$1,MATCH(BA231,ITEM_RES!$J:$J,0)-1,0),0)</f>
        <v>211020401</v>
      </c>
      <c r="BA231" s="10" t="s">
        <v>430</v>
      </c>
      <c r="BB231" s="11">
        <v>500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56"/>
      <c r="M232" s="56" t="s">
        <v>968</v>
      </c>
      <c r="N232" s="56"/>
      <c r="O232" s="9">
        <v>1</v>
      </c>
      <c r="P232" s="9">
        <v>15</v>
      </c>
      <c r="Q232" s="9" t="s">
        <v>799</v>
      </c>
      <c r="U232" s="9" t="s">
        <v>722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529</v>
      </c>
      <c r="AD232" s="9">
        <v>8</v>
      </c>
      <c r="AF232" s="9">
        <v>4000</v>
      </c>
      <c r="AI232" s="56">
        <f t="shared" ca="1" si="95"/>
        <v>255</v>
      </c>
      <c r="AJ232" s="10">
        <f ca="1">AO232+AQ232+(IFERROR(OFFSET(ITEM_RES!$T$1,MATCH(AU232,ITEM_RES!$A:$A,0)-1,0),0)*AW232+IFERROR(OFFSET(ITEM_RES!$T$1,MATCH(AZ232,ITEM_RES!$A:$A,0)-1,0),0)*BB232+IFERROR(OFFSET(ITEM_RES!$T$1,MATCH(BE232,ITEM_RES!$A:$A,0)-1,0),0)*BG232+IFERROR(OFFSET(ITEM_RES!$T$1,MATCH(BJ232,ITEM_RES!$A:$A,0)-1,0),0)*BL232+IFERROR(OFFSET(ITEM_RES!$T$1,MATCH(BO232,ITEM_RES!$A:$A,0)-1,0),0)*BQ232)/1000</f>
        <v>255</v>
      </c>
      <c r="AK232" s="183">
        <f t="shared" ca="1" si="96"/>
        <v>510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442</v>
      </c>
      <c r="AW232" s="11">
        <v>500</v>
      </c>
      <c r="AZ232" s="11">
        <f ca="1">IFERROR(OFFSET(ITEM_RES!$A$1,MATCH(BA232,ITEM_RES!$J:$J,0)-1,0),0)</f>
        <v>211020401</v>
      </c>
      <c r="BA232" s="10" t="s">
        <v>430</v>
      </c>
      <c r="BB232" s="11">
        <v>500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56"/>
      <c r="M233" s="56" t="s">
        <v>968</v>
      </c>
      <c r="N233" s="56"/>
      <c r="O233" s="9">
        <v>1</v>
      </c>
      <c r="P233" s="9">
        <v>15</v>
      </c>
      <c r="Q233" s="9" t="s">
        <v>799</v>
      </c>
      <c r="U233" s="9" t="s">
        <v>722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529</v>
      </c>
      <c r="AD233" s="9">
        <v>9</v>
      </c>
      <c r="AF233" s="9">
        <v>6000</v>
      </c>
      <c r="AI233" s="56">
        <f t="shared" ca="1" si="95"/>
        <v>383</v>
      </c>
      <c r="AJ233" s="10">
        <f ca="1">AO233+AQ233+(IFERROR(OFFSET(ITEM_RES!$T$1,MATCH(AU233,ITEM_RES!$A:$A,0)-1,0),0)*AW233+IFERROR(OFFSET(ITEM_RES!$T$1,MATCH(AZ233,ITEM_RES!$A:$A,0)-1,0),0)*BB233+IFERROR(OFFSET(ITEM_RES!$T$1,MATCH(BE233,ITEM_RES!$A:$A,0)-1,0),0)*BG233+IFERROR(OFFSET(ITEM_RES!$T$1,MATCH(BJ233,ITEM_RES!$A:$A,0)-1,0),0)*BL233+IFERROR(OFFSET(ITEM_RES!$T$1,MATCH(BO233,ITEM_RES!$A:$A,0)-1,0),0)*BQ233)/1000</f>
        <v>382.5</v>
      </c>
      <c r="AK233" s="183">
        <f t="shared" ca="1" si="96"/>
        <v>637.5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442</v>
      </c>
      <c r="AW233" s="11">
        <v>750</v>
      </c>
      <c r="AZ233" s="11">
        <f ca="1">IFERROR(OFFSET(ITEM_RES!$A$1,MATCH(BA233,ITEM_RES!$J:$J,0)-1,0),0)</f>
        <v>211020401</v>
      </c>
      <c r="BA233" s="10" t="s">
        <v>430</v>
      </c>
      <c r="BB233" s="11">
        <v>750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56"/>
      <c r="M234" s="56" t="s">
        <v>968</v>
      </c>
      <c r="N234" s="56"/>
      <c r="O234" s="9">
        <v>1</v>
      </c>
      <c r="P234" s="9">
        <v>15</v>
      </c>
      <c r="Q234" s="9" t="s">
        <v>799</v>
      </c>
      <c r="U234" s="9" t="s">
        <v>722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529</v>
      </c>
      <c r="AD234" s="9">
        <v>10</v>
      </c>
      <c r="AF234" s="9">
        <v>8000</v>
      </c>
      <c r="AI234" s="56">
        <f t="shared" ca="1" si="95"/>
        <v>610</v>
      </c>
      <c r="AJ234" s="10">
        <f ca="1">AO234+AQ234+(IFERROR(OFFSET(ITEM_RES!$T$1,MATCH(AU234,ITEM_RES!$A:$A,0)-1,0),0)*AW234+IFERROR(OFFSET(ITEM_RES!$T$1,MATCH(AZ234,ITEM_RES!$A:$A,0)-1,0),0)*BB234+IFERROR(OFFSET(ITEM_RES!$T$1,MATCH(BE234,ITEM_RES!$A:$A,0)-1,0),0)*BG234+IFERROR(OFFSET(ITEM_RES!$T$1,MATCH(BJ234,ITEM_RES!$A:$A,0)-1,0),0)*BL234+IFERROR(OFFSET(ITEM_RES!$T$1,MATCH(BO234,ITEM_RES!$A:$A,0)-1,0),0)*BQ234)/1000</f>
        <v>610</v>
      </c>
      <c r="AK234" s="183">
        <f t="shared" ca="1" si="96"/>
        <v>992.5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442</v>
      </c>
      <c r="AW234" s="11">
        <v>1000</v>
      </c>
      <c r="AZ234" s="11">
        <f ca="1">IFERROR(OFFSET(ITEM_RES!$A$1,MATCH(BA234,ITEM_RES!$J:$J,0)-1,0),0)</f>
        <v>211020401</v>
      </c>
      <c r="BA234" s="10" t="s">
        <v>430</v>
      </c>
      <c r="BB234" s="11">
        <v>1000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516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56"/>
      <c r="M235" s="56" t="s">
        <v>968</v>
      </c>
      <c r="N235" s="56"/>
      <c r="O235" s="9">
        <v>1</v>
      </c>
      <c r="P235" s="9">
        <v>15</v>
      </c>
      <c r="Q235" s="9" t="s">
        <v>799</v>
      </c>
      <c r="U235" s="9" t="s">
        <v>722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529</v>
      </c>
      <c r="AD235" s="9">
        <v>11</v>
      </c>
      <c r="AF235" s="9">
        <v>10000</v>
      </c>
      <c r="AI235" s="56">
        <f t="shared" ca="1" si="95"/>
        <v>763</v>
      </c>
      <c r="AJ235" s="10">
        <f ca="1">AO235+AQ235+(IFERROR(OFFSET(ITEM_RES!$T$1,MATCH(AU235,ITEM_RES!$A:$A,0)-1,0),0)*AW235+IFERROR(OFFSET(ITEM_RES!$T$1,MATCH(AZ235,ITEM_RES!$A:$A,0)-1,0),0)*BB235+IFERROR(OFFSET(ITEM_RES!$T$1,MATCH(BE235,ITEM_RES!$A:$A,0)-1,0),0)*BG235+IFERROR(OFFSET(ITEM_RES!$T$1,MATCH(BJ235,ITEM_RES!$A:$A,0)-1,0),0)*BL235+IFERROR(OFFSET(ITEM_RES!$T$1,MATCH(BO235,ITEM_RES!$A:$A,0)-1,0),0)*BQ235)/1000</f>
        <v>762.5</v>
      </c>
      <c r="AK235" s="183">
        <f t="shared" ca="1" si="96"/>
        <v>1372.5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454</v>
      </c>
      <c r="AW235" s="11">
        <v>1250</v>
      </c>
      <c r="AZ235" s="11">
        <f ca="1">IFERROR(OFFSET(ITEM_RES!$A$1,MATCH(BA235,ITEM_RES!$J:$J,0)-1,0),0)</f>
        <v>211020401</v>
      </c>
      <c r="BA235" s="10" t="s">
        <v>430</v>
      </c>
      <c r="BB235" s="11">
        <v>1250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56"/>
      <c r="M236" s="56" t="s">
        <v>968</v>
      </c>
      <c r="N236" s="56"/>
      <c r="O236" s="9">
        <v>1</v>
      </c>
      <c r="P236" s="9">
        <v>15</v>
      </c>
      <c r="Q236" s="9" t="s">
        <v>799</v>
      </c>
      <c r="U236" s="9" t="s">
        <v>723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529</v>
      </c>
      <c r="AD236" s="9">
        <v>12</v>
      </c>
      <c r="AF236" s="9">
        <v>12000</v>
      </c>
      <c r="AI236" s="56">
        <f t="shared" ca="1" si="95"/>
        <v>915</v>
      </c>
      <c r="AJ236" s="10">
        <f ca="1">AO236+AQ236+(IFERROR(OFFSET(ITEM_RES!$T$1,MATCH(AU236,ITEM_RES!$A:$A,0)-1,0),0)*AW236+IFERROR(OFFSET(ITEM_RES!$T$1,MATCH(AZ236,ITEM_RES!$A:$A,0)-1,0),0)*BB236+IFERROR(OFFSET(ITEM_RES!$T$1,MATCH(BE236,ITEM_RES!$A:$A,0)-1,0),0)*BG236+IFERROR(OFFSET(ITEM_RES!$T$1,MATCH(BJ236,ITEM_RES!$A:$A,0)-1,0),0)*BL236+IFERROR(OFFSET(ITEM_RES!$T$1,MATCH(BO236,ITEM_RES!$A:$A,0)-1,0),0)*BQ236)/1000</f>
        <v>915</v>
      </c>
      <c r="AK236" s="183">
        <f t="shared" ca="1" si="96"/>
        <v>1677.5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454</v>
      </c>
      <c r="AW236" s="11">
        <v>1500</v>
      </c>
      <c r="AZ236" s="11">
        <f ca="1">IFERROR(OFFSET(ITEM_RES!$A$1,MATCH(BA236,ITEM_RES!$J:$J,0)-1,0),0)</f>
        <v>211020401</v>
      </c>
      <c r="BA236" s="10" t="s">
        <v>430</v>
      </c>
      <c r="BB236" s="11">
        <v>1500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56"/>
      <c r="M237" s="56" t="s">
        <v>968</v>
      </c>
      <c r="N237" s="56"/>
      <c r="O237" s="9">
        <v>1</v>
      </c>
      <c r="P237" s="9">
        <v>15</v>
      </c>
      <c r="Q237" s="9" t="s">
        <v>799</v>
      </c>
      <c r="U237" s="9" t="s">
        <v>723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529</v>
      </c>
      <c r="AD237" s="9">
        <v>13</v>
      </c>
      <c r="AF237" s="9">
        <v>14000</v>
      </c>
      <c r="AI237" s="56">
        <f t="shared" ca="1" si="95"/>
        <v>1068</v>
      </c>
      <c r="AJ237" s="10">
        <f ca="1">AO237+AQ237+(IFERROR(OFFSET(ITEM_RES!$T$1,MATCH(AU237,ITEM_RES!$A:$A,0)-1,0),0)*AW237+IFERROR(OFFSET(ITEM_RES!$T$1,MATCH(AZ237,ITEM_RES!$A:$A,0)-1,0),0)*BB237+IFERROR(OFFSET(ITEM_RES!$T$1,MATCH(BE237,ITEM_RES!$A:$A,0)-1,0),0)*BG237+IFERROR(OFFSET(ITEM_RES!$T$1,MATCH(BJ237,ITEM_RES!$A:$A,0)-1,0),0)*BL237+IFERROR(OFFSET(ITEM_RES!$T$1,MATCH(BO237,ITEM_RES!$A:$A,0)-1,0),0)*BQ237)/1000</f>
        <v>1067.5</v>
      </c>
      <c r="AK237" s="183">
        <f t="shared" ca="1" si="96"/>
        <v>1982.5</v>
      </c>
      <c r="AM237" s="11">
        <f t="shared" ref="AM237:AM30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454</v>
      </c>
      <c r="AW237" s="11">
        <v>1750</v>
      </c>
      <c r="AZ237" s="11">
        <f ca="1">IFERROR(OFFSET(ITEM_RES!$A$1,MATCH(BA237,ITEM_RES!$J:$J,0)-1,0),0)</f>
        <v>211020401</v>
      </c>
      <c r="BA237" s="10" t="s">
        <v>430</v>
      </c>
      <c r="BB237" s="11">
        <v>1750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56"/>
      <c r="M238" s="56" t="s">
        <v>968</v>
      </c>
      <c r="N238" s="56"/>
      <c r="O238" s="9">
        <v>1</v>
      </c>
      <c r="P238" s="9">
        <v>15</v>
      </c>
      <c r="Q238" s="9" t="s">
        <v>799</v>
      </c>
      <c r="U238" s="9" t="s">
        <v>723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529</v>
      </c>
      <c r="AD238" s="9">
        <v>14</v>
      </c>
      <c r="AF238" s="9">
        <v>18000</v>
      </c>
      <c r="AI238" s="56">
        <f t="shared" ca="1" si="95"/>
        <v>1373</v>
      </c>
      <c r="AJ238" s="10">
        <f ca="1">AO238+AQ238+(IFERROR(OFFSET(ITEM_RES!$T$1,MATCH(AU238,ITEM_RES!$A:$A,0)-1,0),0)*AW238+IFERROR(OFFSET(ITEM_RES!$T$1,MATCH(AZ238,ITEM_RES!$A:$A,0)-1,0),0)*BB238+IFERROR(OFFSET(ITEM_RES!$T$1,MATCH(BE238,ITEM_RES!$A:$A,0)-1,0),0)*BG238+IFERROR(OFFSET(ITEM_RES!$T$1,MATCH(BJ238,ITEM_RES!$A:$A,0)-1,0),0)*BL238+IFERROR(OFFSET(ITEM_RES!$T$1,MATCH(BO238,ITEM_RES!$A:$A,0)-1,0),0)*BQ238)/1000</f>
        <v>1372.5</v>
      </c>
      <c r="AK238" s="183">
        <f t="shared" ca="1" si="96"/>
        <v>2440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0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454</v>
      </c>
      <c r="AW238" s="11">
        <v>2250</v>
      </c>
      <c r="AZ238" s="11">
        <f ca="1">IFERROR(OFFSET(ITEM_RES!$A$1,MATCH(BA238,ITEM_RES!$J:$J,0)-1,0),0)</f>
        <v>211020401</v>
      </c>
      <c r="BA238" s="10" t="s">
        <v>430</v>
      </c>
      <c r="BB238" s="11">
        <v>2250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56"/>
      <c r="M239" s="56" t="s">
        <v>968</v>
      </c>
      <c r="N239" s="56"/>
      <c r="O239" s="9">
        <v>1</v>
      </c>
      <c r="P239" s="9">
        <v>15</v>
      </c>
      <c r="Q239" s="9" t="s">
        <v>799</v>
      </c>
      <c r="U239" s="9" t="s">
        <v>723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529</v>
      </c>
      <c r="AD239" s="9">
        <v>15</v>
      </c>
      <c r="AF239" s="9">
        <v>22000</v>
      </c>
      <c r="AI239" s="56">
        <f t="shared" ca="1" si="95"/>
        <v>1678</v>
      </c>
      <c r="AJ239" s="10">
        <f ca="1">AO239+AQ239+(IFERROR(OFFSET(ITEM_RES!$T$1,MATCH(AU239,ITEM_RES!$A:$A,0)-1,0),0)*AW239+IFERROR(OFFSET(ITEM_RES!$T$1,MATCH(AZ239,ITEM_RES!$A:$A,0)-1,0),0)*BB239+IFERROR(OFFSET(ITEM_RES!$T$1,MATCH(BE239,ITEM_RES!$A:$A,0)-1,0),0)*BG239+IFERROR(OFFSET(ITEM_RES!$T$1,MATCH(BJ239,ITEM_RES!$A:$A,0)-1,0),0)*BL239+IFERROR(OFFSET(ITEM_RES!$T$1,MATCH(BO239,ITEM_RES!$A:$A,0)-1,0),0)*BQ239)/1000</f>
        <v>1677.5</v>
      </c>
      <c r="AK239" s="183">
        <f t="shared" ca="1" si="96"/>
        <v>3050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454</v>
      </c>
      <c r="AW239" s="11">
        <v>2750</v>
      </c>
      <c r="AZ239" s="11">
        <f ca="1">IFERROR(OFFSET(ITEM_RES!$A$1,MATCH(BA239,ITEM_RES!$J:$J,0)-1,0),0)</f>
        <v>211020401</v>
      </c>
      <c r="BA239" s="10" t="s">
        <v>443</v>
      </c>
      <c r="BB239" s="11">
        <v>2750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56"/>
      <c r="M240" s="56" t="s">
        <v>968</v>
      </c>
      <c r="N240" s="56"/>
      <c r="O240" s="9">
        <v>0</v>
      </c>
      <c r="P240" s="9">
        <v>15</v>
      </c>
      <c r="Q240" s="9" t="s">
        <v>799</v>
      </c>
      <c r="U240" s="9" t="s">
        <v>723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529</v>
      </c>
      <c r="AD240" s="9">
        <v>16</v>
      </c>
      <c r="AF240" s="9">
        <v>28000</v>
      </c>
      <c r="AI240" s="56">
        <f t="shared" ca="1" si="95"/>
        <v>2800</v>
      </c>
      <c r="AJ240" s="10">
        <f ca="1">AO240+AQ240+(IFERROR(OFFSET(ITEM_RES!$T$1,MATCH(AU240,ITEM_RES!$A:$A,0)-1,0),0)*AW240+IFERROR(OFFSET(ITEM_RES!$T$1,MATCH(AZ240,ITEM_RES!$A:$A,0)-1,0),0)*BB240+IFERROR(OFFSET(ITEM_RES!$T$1,MATCH(BE240,ITEM_RES!$A:$A,0)-1,0),0)*BG240+IFERROR(OFFSET(ITEM_RES!$T$1,MATCH(BJ240,ITEM_RES!$A:$A,0)-1,0),0)*BL240+IFERROR(OFFSET(ITEM_RES!$T$1,MATCH(BO240,ITEM_RES!$A:$A,0)-1,0),0)*BQ240)/1000</f>
        <v>2800</v>
      </c>
      <c r="AK240" s="183">
        <f t="shared" ca="1" si="96"/>
        <v>4477.5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454</v>
      </c>
      <c r="AW240" s="11">
        <v>3500</v>
      </c>
      <c r="AZ240" s="11">
        <f ca="1">IFERROR(OFFSET(ITEM_RES!$A$1,MATCH(BA240,ITEM_RES!$J:$J,0)-1,0),0)</f>
        <v>211020501</v>
      </c>
      <c r="BA240" s="10" t="s">
        <v>440</v>
      </c>
      <c r="BB240" s="11">
        <v>3500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56"/>
      <c r="M241" s="56" t="s">
        <v>968</v>
      </c>
      <c r="N241" s="56"/>
      <c r="O241" s="9">
        <v>0</v>
      </c>
      <c r="P241" s="9">
        <v>15</v>
      </c>
      <c r="Q241" s="9" t="s">
        <v>799</v>
      </c>
      <c r="U241" s="9" t="s">
        <v>723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529</v>
      </c>
      <c r="AD241" s="9">
        <v>17</v>
      </c>
      <c r="AF241" s="9">
        <v>34000</v>
      </c>
      <c r="AI241" s="56">
        <f t="shared" ca="1" si="95"/>
        <v>3400</v>
      </c>
      <c r="AJ241" s="10">
        <f ca="1">AO241+AQ241+(IFERROR(OFFSET(ITEM_RES!$T$1,MATCH(AU241,ITEM_RES!$A:$A,0)-1,0),0)*AW241+IFERROR(OFFSET(ITEM_RES!$T$1,MATCH(AZ241,ITEM_RES!$A:$A,0)-1,0),0)*BB241+IFERROR(OFFSET(ITEM_RES!$T$1,MATCH(BE241,ITEM_RES!$A:$A,0)-1,0),0)*BG241+IFERROR(OFFSET(ITEM_RES!$T$1,MATCH(BJ241,ITEM_RES!$A:$A,0)-1,0),0)*BL241+IFERROR(OFFSET(ITEM_RES!$T$1,MATCH(BO241,ITEM_RES!$A:$A,0)-1,0),0)*BQ241)/1000</f>
        <v>3400</v>
      </c>
      <c r="AK241" s="183">
        <f t="shared" ca="1" si="96"/>
        <v>6200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454</v>
      </c>
      <c r="AW241" s="11">
        <v>4250</v>
      </c>
      <c r="AZ241" s="11">
        <f ca="1">IFERROR(OFFSET(ITEM_RES!$A$1,MATCH(BA241,ITEM_RES!$J:$J,0)-1,0),0)</f>
        <v>211020501</v>
      </c>
      <c r="BA241" s="10" t="s">
        <v>431</v>
      </c>
      <c r="BB241" s="11">
        <v>4250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56"/>
      <c r="M242" s="56" t="s">
        <v>968</v>
      </c>
      <c r="N242" s="56"/>
      <c r="O242" s="9">
        <v>0</v>
      </c>
      <c r="P242" s="9">
        <v>15</v>
      </c>
      <c r="Q242" s="9" t="s">
        <v>799</v>
      </c>
      <c r="U242" s="9" t="s">
        <v>723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529</v>
      </c>
      <c r="AD242" s="9">
        <v>18</v>
      </c>
      <c r="AF242" s="9">
        <v>42000</v>
      </c>
      <c r="AI242" s="56">
        <f t="shared" ca="1" si="95"/>
        <v>4200</v>
      </c>
      <c r="AJ242" s="10">
        <f ca="1">AO242+AQ242+(IFERROR(OFFSET(ITEM_RES!$T$1,MATCH(AU242,ITEM_RES!$A:$A,0)-1,0),0)*AW242+IFERROR(OFFSET(ITEM_RES!$T$1,MATCH(AZ242,ITEM_RES!$A:$A,0)-1,0),0)*BB242+IFERROR(OFFSET(ITEM_RES!$T$1,MATCH(BE242,ITEM_RES!$A:$A,0)-1,0),0)*BG242+IFERROR(OFFSET(ITEM_RES!$T$1,MATCH(BJ242,ITEM_RES!$A:$A,0)-1,0),0)*BL242+IFERROR(OFFSET(ITEM_RES!$T$1,MATCH(BO242,ITEM_RES!$A:$A,0)-1,0),0)*BQ242)/1000</f>
        <v>4200</v>
      </c>
      <c r="AK242" s="183">
        <f t="shared" ca="1" si="96"/>
        <v>7600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454</v>
      </c>
      <c r="AW242" s="11">
        <v>5250</v>
      </c>
      <c r="AZ242" s="11">
        <f ca="1">IFERROR(OFFSET(ITEM_RES!$A$1,MATCH(BA242,ITEM_RES!$J:$J,0)-1,0),0)</f>
        <v>211020501</v>
      </c>
      <c r="BA242" s="10" t="s">
        <v>431</v>
      </c>
      <c r="BB242" s="11">
        <v>5250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56"/>
      <c r="M243" s="56" t="s">
        <v>968</v>
      </c>
      <c r="N243" s="56"/>
      <c r="O243" s="9">
        <v>0</v>
      </c>
      <c r="P243" s="9">
        <v>15</v>
      </c>
      <c r="Q243" s="9" t="s">
        <v>799</v>
      </c>
      <c r="U243" s="9" t="s">
        <v>723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529</v>
      </c>
      <c r="AD243" s="9">
        <v>19</v>
      </c>
      <c r="AF243" s="9">
        <v>50000</v>
      </c>
      <c r="AI243" s="56">
        <f t="shared" ca="1" si="95"/>
        <v>5000</v>
      </c>
      <c r="AJ243" s="10">
        <f ca="1">AO243+AQ243+(IFERROR(OFFSET(ITEM_RES!$T$1,MATCH(AU243,ITEM_RES!$A:$A,0)-1,0),0)*AW243+IFERROR(OFFSET(ITEM_RES!$T$1,MATCH(AZ243,ITEM_RES!$A:$A,0)-1,0),0)*BB243+IFERROR(OFFSET(ITEM_RES!$T$1,MATCH(BE243,ITEM_RES!$A:$A,0)-1,0),0)*BG243+IFERROR(OFFSET(ITEM_RES!$T$1,MATCH(BJ243,ITEM_RES!$A:$A,0)-1,0),0)*BL243+IFERROR(OFFSET(ITEM_RES!$T$1,MATCH(BO243,ITEM_RES!$A:$A,0)-1,0),0)*BQ243)/1000</f>
        <v>5000</v>
      </c>
      <c r="AK243" s="183">
        <f t="shared" ca="1" si="96"/>
        <v>9200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454</v>
      </c>
      <c r="AW243" s="11">
        <v>6250</v>
      </c>
      <c r="AZ243" s="11">
        <f ca="1">IFERROR(OFFSET(ITEM_RES!$A$1,MATCH(BA243,ITEM_RES!$J:$J,0)-1,0),0)</f>
        <v>211020501</v>
      </c>
      <c r="BA243" s="10" t="s">
        <v>431</v>
      </c>
      <c r="BB243" s="11">
        <v>6250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56"/>
      <c r="M244" s="56" t="s">
        <v>968</v>
      </c>
      <c r="N244" s="56"/>
      <c r="O244" s="9">
        <v>0</v>
      </c>
      <c r="P244" s="9">
        <v>15</v>
      </c>
      <c r="Q244" s="9" t="s">
        <v>799</v>
      </c>
      <c r="U244" s="9" t="s">
        <v>723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529</v>
      </c>
      <c r="AD244" s="9">
        <v>20</v>
      </c>
      <c r="AF244" s="9">
        <v>60000</v>
      </c>
      <c r="AI244" s="56">
        <f t="shared" ca="1" si="95"/>
        <v>6000</v>
      </c>
      <c r="AJ244" s="10">
        <f ca="1">AO244+AQ244+(IFERROR(OFFSET(ITEM_RES!$T$1,MATCH(AU244,ITEM_RES!$A:$A,0)-1,0),0)*AW244+IFERROR(OFFSET(ITEM_RES!$T$1,MATCH(AZ244,ITEM_RES!$A:$A,0)-1,0),0)*BB244+IFERROR(OFFSET(ITEM_RES!$T$1,MATCH(BE244,ITEM_RES!$A:$A,0)-1,0),0)*BG244+IFERROR(OFFSET(ITEM_RES!$T$1,MATCH(BJ244,ITEM_RES!$A:$A,0)-1,0),0)*BL244+IFERROR(OFFSET(ITEM_RES!$T$1,MATCH(BO244,ITEM_RES!$A:$A,0)-1,0),0)*BQ244)/1000</f>
        <v>6000</v>
      </c>
      <c r="AK244" s="183">
        <f t="shared" ca="1" si="96"/>
        <v>11000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454</v>
      </c>
      <c r="AW244" s="11">
        <v>7500</v>
      </c>
      <c r="AZ244" s="11">
        <f ca="1">IFERROR(OFFSET(ITEM_RES!$A$1,MATCH(BA244,ITEM_RES!$J:$J,0)-1,0),0)</f>
        <v>211020501</v>
      </c>
      <c r="BA244" s="10" t="s">
        <v>431</v>
      </c>
      <c r="BB244" s="11">
        <v>7500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383</v>
      </c>
      <c r="L245" s="64">
        <v>1</v>
      </c>
      <c r="M245" s="64" t="s">
        <v>969</v>
      </c>
      <c r="N245" s="64"/>
      <c r="O245" s="16">
        <v>1</v>
      </c>
      <c r="P245" s="16">
        <v>15</v>
      </c>
      <c r="Q245" s="16" t="s">
        <v>788</v>
      </c>
      <c r="R245" s="17"/>
      <c r="S245" s="17"/>
      <c r="T245" s="18"/>
      <c r="U245" s="16" t="s">
        <v>724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530</v>
      </c>
      <c r="AD245" s="16">
        <v>1</v>
      </c>
      <c r="AE245" s="79"/>
      <c r="AF245" s="16">
        <v>0</v>
      </c>
      <c r="AG245" s="17"/>
      <c r="AH245" s="79"/>
      <c r="AI245" s="57">
        <f t="shared" ca="1" si="95"/>
        <v>113</v>
      </c>
      <c r="AJ245" s="17">
        <f ca="1">AO245+AQ245+(IFERROR(OFFSET(ITEM_RES!$T$1,MATCH(AU245,ITEM_RES!$A:$A,0)-1,0),0)*AW245+IFERROR(OFFSET(ITEM_RES!$T$1,MATCH(AZ245,ITEM_RES!$A:$A,0)-1,0),0)*BB245+IFERROR(OFFSET(ITEM_RES!$T$1,MATCH(BE245,ITEM_RES!$A:$A,0)-1,0),0)*BG245+IFERROR(OFFSET(ITEM_RES!$T$1,MATCH(BJ245,ITEM_RES!$A:$A,0)-1,0),0)*BL245+IFERROR(OFFSET(ITEM_RES!$T$1,MATCH(BO245,ITEM_RES!$A:$A,0)-1,0),0)*BQ245)/1000</f>
        <v>112.5</v>
      </c>
      <c r="AK245" s="185">
        <f ca="1">AJ245</f>
        <v>112.5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442</v>
      </c>
      <c r="AW245" s="18">
        <v>25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463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383</v>
      </c>
      <c r="L246" s="56"/>
      <c r="M246" s="56" t="s">
        <v>969</v>
      </c>
      <c r="N246" s="56"/>
      <c r="O246" s="9">
        <v>1</v>
      </c>
      <c r="P246" s="9">
        <v>15</v>
      </c>
      <c r="Q246" s="140" t="s">
        <v>789</v>
      </c>
      <c r="U246" s="9" t="s">
        <v>724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530</v>
      </c>
      <c r="AD246" s="9">
        <v>2</v>
      </c>
      <c r="AF246" s="9">
        <v>200</v>
      </c>
      <c r="AI246" s="56">
        <f t="shared" ca="1" si="95"/>
        <v>25</v>
      </c>
      <c r="AJ246" s="10">
        <f ca="1">AO246+AQ246+(IFERROR(OFFSET(ITEM_RES!$T$1,MATCH(AU246,ITEM_RES!$A:$A,0)-1,0),0)*AW246+IFERROR(OFFSET(ITEM_RES!$T$1,MATCH(AZ246,ITEM_RES!$A:$A,0)-1,0),0)*BB246+IFERROR(OFFSET(ITEM_RES!$T$1,MATCH(BE246,ITEM_RES!$A:$A,0)-1,0),0)*BG246+IFERROR(OFFSET(ITEM_RES!$T$1,MATCH(BJ246,ITEM_RES!$A:$A,0)-1,0),0)*BL246+IFERROR(OFFSET(ITEM_RES!$T$1,MATCH(BO246,ITEM_RES!$A:$A,0)-1,0),0)*BQ246)/1000</f>
        <v>25</v>
      </c>
      <c r="AK246" s="183">
        <f t="shared" ref="AK246:AK264" ca="1" si="99">AJ245+AJ246</f>
        <v>137.5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442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383</v>
      </c>
      <c r="L247" s="56"/>
      <c r="M247" s="56" t="s">
        <v>969</v>
      </c>
      <c r="N247" s="56"/>
      <c r="O247" s="9">
        <v>1</v>
      </c>
      <c r="P247" s="9">
        <v>15</v>
      </c>
      <c r="Q247" s="9" t="s">
        <v>788</v>
      </c>
      <c r="U247" s="9" t="s">
        <v>724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530</v>
      </c>
      <c r="AD247" s="9">
        <v>3</v>
      </c>
      <c r="AF247" s="9">
        <v>600</v>
      </c>
      <c r="AI247" s="56">
        <f t="shared" ca="1" si="95"/>
        <v>38</v>
      </c>
      <c r="AJ247" s="10">
        <f ca="1">AO247+AQ247+(IFERROR(OFFSET(ITEM_RES!$T$1,MATCH(AU247,ITEM_RES!$A:$A,0)-1,0),0)*AW247+IFERROR(OFFSET(ITEM_RES!$T$1,MATCH(AZ247,ITEM_RES!$A:$A,0)-1,0),0)*BB247+IFERROR(OFFSET(ITEM_RES!$T$1,MATCH(BE247,ITEM_RES!$A:$A,0)-1,0),0)*BG247+IFERROR(OFFSET(ITEM_RES!$T$1,MATCH(BJ247,ITEM_RES!$A:$A,0)-1,0),0)*BL247+IFERROR(OFFSET(ITEM_RES!$T$1,MATCH(BO247,ITEM_RES!$A:$A,0)-1,0),0)*BQ247)/1000</f>
        <v>37.5</v>
      </c>
      <c r="AK247" s="183">
        <f t="shared" ca="1" si="99"/>
        <v>62.5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442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383</v>
      </c>
      <c r="L248" s="56"/>
      <c r="M248" s="56" t="s">
        <v>969</v>
      </c>
      <c r="N248" s="56"/>
      <c r="O248" s="9">
        <v>1</v>
      </c>
      <c r="P248" s="9">
        <v>15</v>
      </c>
      <c r="Q248" s="9" t="s">
        <v>788</v>
      </c>
      <c r="U248" s="9" t="s">
        <v>724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530</v>
      </c>
      <c r="AD248" s="9">
        <v>4</v>
      </c>
      <c r="AF248" s="9">
        <v>1000</v>
      </c>
      <c r="AI248" s="56">
        <f t="shared" ca="1" si="95"/>
        <v>63</v>
      </c>
      <c r="AJ248" s="10">
        <f ca="1">AO248+AQ248+(IFERROR(OFFSET(ITEM_RES!$T$1,MATCH(AU248,ITEM_RES!$A:$A,0)-1,0),0)*AW248+IFERROR(OFFSET(ITEM_RES!$T$1,MATCH(AZ248,ITEM_RES!$A:$A,0)-1,0),0)*BB248+IFERROR(OFFSET(ITEM_RES!$T$1,MATCH(BE248,ITEM_RES!$A:$A,0)-1,0),0)*BG248+IFERROR(OFFSET(ITEM_RES!$T$1,MATCH(BJ248,ITEM_RES!$A:$A,0)-1,0),0)*BL248+IFERROR(OFFSET(ITEM_RES!$T$1,MATCH(BO248,ITEM_RES!$A:$A,0)-1,0),0)*BQ248)/1000</f>
        <v>62.5</v>
      </c>
      <c r="AK248" s="183">
        <f t="shared" ca="1" si="99"/>
        <v>100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442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383</v>
      </c>
      <c r="L249" s="56"/>
      <c r="M249" s="56" t="s">
        <v>969</v>
      </c>
      <c r="N249" s="56"/>
      <c r="O249" s="9">
        <v>1</v>
      </c>
      <c r="P249" s="9">
        <v>15</v>
      </c>
      <c r="Q249" s="9" t="s">
        <v>788</v>
      </c>
      <c r="U249" s="9" t="s">
        <v>724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530</v>
      </c>
      <c r="AD249" s="9">
        <v>5</v>
      </c>
      <c r="AF249" s="9">
        <v>1600</v>
      </c>
      <c r="AI249" s="56">
        <f t="shared" ca="1" si="95"/>
        <v>100</v>
      </c>
      <c r="AJ249" s="10">
        <f ca="1">AO249+AQ249+(IFERROR(OFFSET(ITEM_RES!$T$1,MATCH(AU249,ITEM_RES!$A:$A,0)-1,0),0)*AW249+IFERROR(OFFSET(ITEM_RES!$T$1,MATCH(AZ249,ITEM_RES!$A:$A,0)-1,0),0)*BB249+IFERROR(OFFSET(ITEM_RES!$T$1,MATCH(BE249,ITEM_RES!$A:$A,0)-1,0),0)*BG249+IFERROR(OFFSET(ITEM_RES!$T$1,MATCH(BJ249,ITEM_RES!$A:$A,0)-1,0),0)*BL249+IFERROR(OFFSET(ITEM_RES!$T$1,MATCH(BO249,ITEM_RES!$A:$A,0)-1,0),0)*BQ249)/1000</f>
        <v>100</v>
      </c>
      <c r="AK249" s="183">
        <f t="shared" ca="1" si="99"/>
        <v>162.5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442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383</v>
      </c>
      <c r="L250" s="56"/>
      <c r="M250" s="56" t="s">
        <v>969</v>
      </c>
      <c r="N250" s="56"/>
      <c r="O250" s="9">
        <v>1</v>
      </c>
      <c r="P250" s="9">
        <v>15</v>
      </c>
      <c r="Q250" s="9" t="s">
        <v>788</v>
      </c>
      <c r="U250" s="9" t="s">
        <v>724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530</v>
      </c>
      <c r="AD250" s="9">
        <v>6</v>
      </c>
      <c r="AF250" s="9">
        <v>2000</v>
      </c>
      <c r="AI250" s="56">
        <f t="shared" ca="1" si="95"/>
        <v>125</v>
      </c>
      <c r="AJ250" s="10">
        <f ca="1">AO250+AQ250+(IFERROR(OFFSET(ITEM_RES!$T$1,MATCH(AU250,ITEM_RES!$A:$A,0)-1,0),0)*AW250+IFERROR(OFFSET(ITEM_RES!$T$1,MATCH(AZ250,ITEM_RES!$A:$A,0)-1,0),0)*BB250+IFERROR(OFFSET(ITEM_RES!$T$1,MATCH(BE250,ITEM_RES!$A:$A,0)-1,0),0)*BG250+IFERROR(OFFSET(ITEM_RES!$T$1,MATCH(BJ250,ITEM_RES!$A:$A,0)-1,0),0)*BL250+IFERROR(OFFSET(ITEM_RES!$T$1,MATCH(BO250,ITEM_RES!$A:$A,0)-1,0),0)*BQ250)/1000</f>
        <v>125</v>
      </c>
      <c r="AK250" s="183">
        <f t="shared" ca="1" si="99"/>
        <v>225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442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383</v>
      </c>
      <c r="L251" s="56"/>
      <c r="M251" s="56" t="s">
        <v>969</v>
      </c>
      <c r="N251" s="56"/>
      <c r="O251" s="9">
        <v>1</v>
      </c>
      <c r="P251" s="9">
        <v>15</v>
      </c>
      <c r="Q251" s="9" t="s">
        <v>788</v>
      </c>
      <c r="U251" s="9" t="s">
        <v>724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530</v>
      </c>
      <c r="AD251" s="9">
        <v>7</v>
      </c>
      <c r="AF251" s="9">
        <v>4000</v>
      </c>
      <c r="AI251" s="56">
        <f t="shared" ca="1" si="95"/>
        <v>250</v>
      </c>
      <c r="AJ251" s="10">
        <f ca="1">AO251+AQ251+(IFERROR(OFFSET(ITEM_RES!$T$1,MATCH(AU251,ITEM_RES!$A:$A,0)-1,0),0)*AW251+IFERROR(OFFSET(ITEM_RES!$T$1,MATCH(AZ251,ITEM_RES!$A:$A,0)-1,0),0)*BB251+IFERROR(OFFSET(ITEM_RES!$T$1,MATCH(BE251,ITEM_RES!$A:$A,0)-1,0),0)*BG251+IFERROR(OFFSET(ITEM_RES!$T$1,MATCH(BJ251,ITEM_RES!$A:$A,0)-1,0),0)*BL251+IFERROR(OFFSET(ITEM_RES!$T$1,MATCH(BO251,ITEM_RES!$A:$A,0)-1,0),0)*BQ251)/1000</f>
        <v>250</v>
      </c>
      <c r="AK251" s="183">
        <f t="shared" ca="1" si="99"/>
        <v>375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442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383</v>
      </c>
      <c r="L252" s="56"/>
      <c r="M252" s="56" t="s">
        <v>969</v>
      </c>
      <c r="N252" s="56"/>
      <c r="O252" s="9">
        <v>1</v>
      </c>
      <c r="P252" s="9">
        <v>15</v>
      </c>
      <c r="Q252" s="9" t="s">
        <v>788</v>
      </c>
      <c r="U252" s="9" t="s">
        <v>724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530</v>
      </c>
      <c r="AD252" s="9">
        <v>8</v>
      </c>
      <c r="AF252" s="9">
        <v>4000</v>
      </c>
      <c r="AI252" s="56">
        <f t="shared" ca="1" si="95"/>
        <v>250</v>
      </c>
      <c r="AJ252" s="10">
        <f ca="1">AO252+AQ252+(IFERROR(OFFSET(ITEM_RES!$T$1,MATCH(AU252,ITEM_RES!$A:$A,0)-1,0),0)*AW252+IFERROR(OFFSET(ITEM_RES!$T$1,MATCH(AZ252,ITEM_RES!$A:$A,0)-1,0),0)*BB252+IFERROR(OFFSET(ITEM_RES!$T$1,MATCH(BE252,ITEM_RES!$A:$A,0)-1,0),0)*BG252+IFERROR(OFFSET(ITEM_RES!$T$1,MATCH(BJ252,ITEM_RES!$A:$A,0)-1,0),0)*BL252+IFERROR(OFFSET(ITEM_RES!$T$1,MATCH(BO252,ITEM_RES!$A:$A,0)-1,0),0)*BQ252)/1000</f>
        <v>250</v>
      </c>
      <c r="AK252" s="183">
        <f t="shared" ca="1" si="99"/>
        <v>500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442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383</v>
      </c>
      <c r="L253" s="56"/>
      <c r="M253" s="56" t="s">
        <v>969</v>
      </c>
      <c r="N253" s="56"/>
      <c r="O253" s="9">
        <v>1</v>
      </c>
      <c r="P253" s="9">
        <v>15</v>
      </c>
      <c r="Q253" s="9" t="s">
        <v>788</v>
      </c>
      <c r="U253" s="9" t="s">
        <v>724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530</v>
      </c>
      <c r="AD253" s="9">
        <v>9</v>
      </c>
      <c r="AF253" s="9">
        <v>6000</v>
      </c>
      <c r="AI253" s="56">
        <f t="shared" ca="1" si="95"/>
        <v>375</v>
      </c>
      <c r="AJ253" s="10">
        <f ca="1">AO253+AQ253+(IFERROR(OFFSET(ITEM_RES!$T$1,MATCH(AU253,ITEM_RES!$A:$A,0)-1,0),0)*AW253+IFERROR(OFFSET(ITEM_RES!$T$1,MATCH(AZ253,ITEM_RES!$A:$A,0)-1,0),0)*BB253+IFERROR(OFFSET(ITEM_RES!$T$1,MATCH(BE253,ITEM_RES!$A:$A,0)-1,0),0)*BG253+IFERROR(OFFSET(ITEM_RES!$T$1,MATCH(BJ253,ITEM_RES!$A:$A,0)-1,0),0)*BL253+IFERROR(OFFSET(ITEM_RES!$T$1,MATCH(BO253,ITEM_RES!$A:$A,0)-1,0),0)*BQ253)/1000</f>
        <v>375</v>
      </c>
      <c r="AK253" s="183">
        <f t="shared" ca="1" si="99"/>
        <v>625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442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383</v>
      </c>
      <c r="L254" s="56"/>
      <c r="M254" s="56" t="s">
        <v>969</v>
      </c>
      <c r="N254" s="56"/>
      <c r="O254" s="9">
        <v>1</v>
      </c>
      <c r="P254" s="9">
        <v>15</v>
      </c>
      <c r="Q254" s="9" t="s">
        <v>788</v>
      </c>
      <c r="U254" s="9" t="s">
        <v>724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530</v>
      </c>
      <c r="AD254" s="9">
        <v>10</v>
      </c>
      <c r="AF254" s="9">
        <v>8000</v>
      </c>
      <c r="AI254" s="56">
        <f t="shared" ca="1" si="95"/>
        <v>600</v>
      </c>
      <c r="AJ254" s="10">
        <f ca="1">AO254+AQ254+(IFERROR(OFFSET(ITEM_RES!$T$1,MATCH(AU254,ITEM_RES!$A:$A,0)-1,0),0)*AW254+IFERROR(OFFSET(ITEM_RES!$T$1,MATCH(AZ254,ITEM_RES!$A:$A,0)-1,0),0)*BB254+IFERROR(OFFSET(ITEM_RES!$T$1,MATCH(BE254,ITEM_RES!$A:$A,0)-1,0),0)*BG254+IFERROR(OFFSET(ITEM_RES!$T$1,MATCH(BJ254,ITEM_RES!$A:$A,0)-1,0),0)*BL254+IFERROR(OFFSET(ITEM_RES!$T$1,MATCH(BO254,ITEM_RES!$A:$A,0)-1,0),0)*BQ254)/1000</f>
        <v>600</v>
      </c>
      <c r="AK254" s="183">
        <f t="shared" ca="1" si="99"/>
        <v>975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442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475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383</v>
      </c>
      <c r="L255" s="56"/>
      <c r="M255" s="56" t="s">
        <v>969</v>
      </c>
      <c r="N255" s="56"/>
      <c r="O255" s="9">
        <v>1</v>
      </c>
      <c r="P255" s="9">
        <v>15</v>
      </c>
      <c r="Q255" s="9" t="s">
        <v>788</v>
      </c>
      <c r="U255" s="9" t="s">
        <v>724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530</v>
      </c>
      <c r="AD255" s="9">
        <v>11</v>
      </c>
      <c r="AF255" s="9">
        <v>10000</v>
      </c>
      <c r="AI255" s="56">
        <f t="shared" ca="1" si="95"/>
        <v>625</v>
      </c>
      <c r="AJ255" s="10">
        <f ca="1">AO255+AQ255+(IFERROR(OFFSET(ITEM_RES!$T$1,MATCH(AU255,ITEM_RES!$A:$A,0)-1,0),0)*AW255+IFERROR(OFFSET(ITEM_RES!$T$1,MATCH(AZ255,ITEM_RES!$A:$A,0)-1,0),0)*BB255+IFERROR(OFFSET(ITEM_RES!$T$1,MATCH(BE255,ITEM_RES!$A:$A,0)-1,0),0)*BG255+IFERROR(OFFSET(ITEM_RES!$T$1,MATCH(BJ255,ITEM_RES!$A:$A,0)-1,0),0)*BL255+IFERROR(OFFSET(ITEM_RES!$T$1,MATCH(BO255,ITEM_RES!$A:$A,0)-1,0),0)*BQ255)/1000</f>
        <v>625</v>
      </c>
      <c r="AK255" s="183">
        <f t="shared" ca="1" si="99"/>
        <v>1225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442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383</v>
      </c>
      <c r="L256" s="56"/>
      <c r="M256" s="56" t="s">
        <v>969</v>
      </c>
      <c r="N256" s="56"/>
      <c r="O256" s="9">
        <v>1</v>
      </c>
      <c r="P256" s="9">
        <v>15</v>
      </c>
      <c r="Q256" s="9" t="s">
        <v>788</v>
      </c>
      <c r="U256" s="9" t="s">
        <v>724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530</v>
      </c>
      <c r="AD256" s="9">
        <v>12</v>
      </c>
      <c r="AF256" s="9">
        <v>12000</v>
      </c>
      <c r="AI256" s="56">
        <f t="shared" ca="1" si="95"/>
        <v>750</v>
      </c>
      <c r="AJ256" s="10">
        <f ca="1">AO256+AQ256+(IFERROR(OFFSET(ITEM_RES!$T$1,MATCH(AU256,ITEM_RES!$A:$A,0)-1,0),0)*AW256+IFERROR(OFFSET(ITEM_RES!$T$1,MATCH(AZ256,ITEM_RES!$A:$A,0)-1,0),0)*BB256+IFERROR(OFFSET(ITEM_RES!$T$1,MATCH(BE256,ITEM_RES!$A:$A,0)-1,0),0)*BG256+IFERROR(OFFSET(ITEM_RES!$T$1,MATCH(BJ256,ITEM_RES!$A:$A,0)-1,0),0)*BL256+IFERROR(OFFSET(ITEM_RES!$T$1,MATCH(BO256,ITEM_RES!$A:$A,0)-1,0),0)*BQ256)/1000</f>
        <v>750</v>
      </c>
      <c r="AK256" s="183">
        <f t="shared" ca="1" si="99"/>
        <v>1375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442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20" si="100">B257*10000000+C257*1000000+D257*10000+E257*100+F257</f>
        <v>113040013</v>
      </c>
      <c r="B257" s="13">
        <v>11</v>
      </c>
      <c r="C257" s="12">
        <f t="shared" ref="C257:C320" si="101">H257</f>
        <v>3</v>
      </c>
      <c r="D257" s="13">
        <v>4</v>
      </c>
      <c r="E257" s="13">
        <v>0</v>
      </c>
      <c r="F257" s="12">
        <f t="shared" ref="F257:F320" si="102">I257</f>
        <v>13</v>
      </c>
      <c r="H257" s="9">
        <v>3</v>
      </c>
      <c r="I257" s="9">
        <v>13</v>
      </c>
      <c r="K257" s="56" t="s">
        <v>383</v>
      </c>
      <c r="L257" s="56"/>
      <c r="M257" s="56" t="s">
        <v>969</v>
      </c>
      <c r="N257" s="56"/>
      <c r="O257" s="9">
        <v>1</v>
      </c>
      <c r="P257" s="9">
        <v>15</v>
      </c>
      <c r="Q257" s="9" t="s">
        <v>788</v>
      </c>
      <c r="U257" s="9" t="s">
        <v>724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530</v>
      </c>
      <c r="AD257" s="9">
        <v>13</v>
      </c>
      <c r="AF257" s="9">
        <v>14000</v>
      </c>
      <c r="AI257" s="56">
        <f t="shared" ca="1" si="95"/>
        <v>1050</v>
      </c>
      <c r="AJ257" s="10">
        <f ca="1">AO257+AQ257+(IFERROR(OFFSET(ITEM_RES!$T$1,MATCH(AU257,ITEM_RES!$A:$A,0)-1,0),0)*AW257+IFERROR(OFFSET(ITEM_RES!$T$1,MATCH(AZ257,ITEM_RES!$A:$A,0)-1,0),0)*BB257+IFERROR(OFFSET(ITEM_RES!$T$1,MATCH(BE257,ITEM_RES!$A:$A,0)-1,0),0)*BG257+IFERROR(OFFSET(ITEM_RES!$T$1,MATCH(BJ257,ITEM_RES!$A:$A,0)-1,0),0)*BL257+IFERROR(OFFSET(ITEM_RES!$T$1,MATCH(BO257,ITEM_RES!$A:$A,0)-1,0),0)*BQ257)/1000</f>
        <v>1050</v>
      </c>
      <c r="AK257" s="183">
        <f t="shared" ca="1" si="99"/>
        <v>1800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454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383</v>
      </c>
      <c r="L258" s="56"/>
      <c r="M258" s="56" t="s">
        <v>969</v>
      </c>
      <c r="N258" s="56"/>
      <c r="O258" s="9">
        <v>1</v>
      </c>
      <c r="P258" s="9">
        <v>15</v>
      </c>
      <c r="Q258" s="9" t="s">
        <v>788</v>
      </c>
      <c r="U258" s="9" t="s">
        <v>724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530</v>
      </c>
      <c r="AD258" s="9">
        <v>14</v>
      </c>
      <c r="AF258" s="9">
        <v>18000</v>
      </c>
      <c r="AI258" s="56">
        <f t="shared" ca="1" si="95"/>
        <v>1350</v>
      </c>
      <c r="AJ258" s="10">
        <f ca="1">AO258+AQ258+(IFERROR(OFFSET(ITEM_RES!$T$1,MATCH(AU258,ITEM_RES!$A:$A,0)-1,0),0)*AW258+IFERROR(OFFSET(ITEM_RES!$T$1,MATCH(AZ258,ITEM_RES!$A:$A,0)-1,0),0)*BB258+IFERROR(OFFSET(ITEM_RES!$T$1,MATCH(BE258,ITEM_RES!$A:$A,0)-1,0),0)*BG258+IFERROR(OFFSET(ITEM_RES!$T$1,MATCH(BJ258,ITEM_RES!$A:$A,0)-1,0),0)*BL258+IFERROR(OFFSET(ITEM_RES!$T$1,MATCH(BO258,ITEM_RES!$A:$A,0)-1,0),0)*BQ258)/1000</f>
        <v>1350</v>
      </c>
      <c r="AK258" s="183">
        <f t="shared" ca="1" si="99"/>
        <v>2400</v>
      </c>
      <c r="AM258" s="11">
        <f t="shared" si="97"/>
        <v>70</v>
      </c>
      <c r="AN258" s="10">
        <v>70</v>
      </c>
      <c r="AO258" s="11">
        <f t="shared" ref="AO258:AQ32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454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383</v>
      </c>
      <c r="L259" s="56"/>
      <c r="M259" s="56" t="s">
        <v>969</v>
      </c>
      <c r="N259" s="56"/>
      <c r="O259" s="9">
        <v>1</v>
      </c>
      <c r="P259" s="9">
        <v>15</v>
      </c>
      <c r="Q259" s="9" t="s">
        <v>788</v>
      </c>
      <c r="U259" s="9" t="s">
        <v>724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530</v>
      </c>
      <c r="AD259" s="9">
        <v>15</v>
      </c>
      <c r="AF259" s="9">
        <v>22000</v>
      </c>
      <c r="AI259" s="56">
        <f t="shared" ca="1" si="95"/>
        <v>1650</v>
      </c>
      <c r="AJ259" s="10">
        <f ca="1">AO259+AQ259+(IFERROR(OFFSET(ITEM_RES!$T$1,MATCH(AU259,ITEM_RES!$A:$A,0)-1,0),0)*AW259+IFERROR(OFFSET(ITEM_RES!$T$1,MATCH(AZ259,ITEM_RES!$A:$A,0)-1,0),0)*BB259+IFERROR(OFFSET(ITEM_RES!$T$1,MATCH(BE259,ITEM_RES!$A:$A,0)-1,0),0)*BG259+IFERROR(OFFSET(ITEM_RES!$T$1,MATCH(BJ259,ITEM_RES!$A:$A,0)-1,0),0)*BL259+IFERROR(OFFSET(ITEM_RES!$T$1,MATCH(BO259,ITEM_RES!$A:$A,0)-1,0),0)*BQ259)/1000</f>
        <v>1650</v>
      </c>
      <c r="AK259" s="183">
        <f t="shared" ca="1" si="99"/>
        <v>3000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454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383</v>
      </c>
      <c r="L260" s="56"/>
      <c r="M260" s="56" t="s">
        <v>969</v>
      </c>
      <c r="N260" s="56"/>
      <c r="O260" s="9">
        <v>0</v>
      </c>
      <c r="P260" s="9">
        <v>15</v>
      </c>
      <c r="Q260" s="9" t="s">
        <v>788</v>
      </c>
      <c r="U260" s="9" t="s">
        <v>724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530</v>
      </c>
      <c r="AD260" s="9">
        <v>16</v>
      </c>
      <c r="AF260" s="9">
        <v>28000</v>
      </c>
      <c r="AI260" s="56">
        <f t="shared" ca="1" si="95"/>
        <v>2100</v>
      </c>
      <c r="AJ260" s="10">
        <f ca="1">AO260+AQ260+(IFERROR(OFFSET(ITEM_RES!$T$1,MATCH(AU260,ITEM_RES!$A:$A,0)-1,0),0)*AW260+IFERROR(OFFSET(ITEM_RES!$T$1,MATCH(AZ260,ITEM_RES!$A:$A,0)-1,0),0)*BB260+IFERROR(OFFSET(ITEM_RES!$T$1,MATCH(BE260,ITEM_RES!$A:$A,0)-1,0),0)*BG260+IFERROR(OFFSET(ITEM_RES!$T$1,MATCH(BJ260,ITEM_RES!$A:$A,0)-1,0),0)*BL260+IFERROR(OFFSET(ITEM_RES!$T$1,MATCH(BO260,ITEM_RES!$A:$A,0)-1,0),0)*BQ260)/1000</f>
        <v>2100</v>
      </c>
      <c r="AK260" s="183">
        <f t="shared" ca="1" si="99"/>
        <v>3750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454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383</v>
      </c>
      <c r="L261" s="56"/>
      <c r="M261" s="56" t="s">
        <v>969</v>
      </c>
      <c r="N261" s="56"/>
      <c r="O261" s="9">
        <v>0</v>
      </c>
      <c r="P261" s="9">
        <v>15</v>
      </c>
      <c r="Q261" s="9" t="s">
        <v>788</v>
      </c>
      <c r="U261" s="9" t="s">
        <v>724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530</v>
      </c>
      <c r="AD261" s="9">
        <v>17</v>
      </c>
      <c r="AF261" s="9">
        <v>34000</v>
      </c>
      <c r="AI261" s="56">
        <f t="shared" ca="1" si="95"/>
        <v>2550</v>
      </c>
      <c r="AJ261" s="10">
        <f ca="1">AO261+AQ261+(IFERROR(OFFSET(ITEM_RES!$T$1,MATCH(AU261,ITEM_RES!$A:$A,0)-1,0),0)*AW261+IFERROR(OFFSET(ITEM_RES!$T$1,MATCH(AZ261,ITEM_RES!$A:$A,0)-1,0),0)*BB261+IFERROR(OFFSET(ITEM_RES!$T$1,MATCH(BE261,ITEM_RES!$A:$A,0)-1,0),0)*BG261+IFERROR(OFFSET(ITEM_RES!$T$1,MATCH(BJ261,ITEM_RES!$A:$A,0)-1,0),0)*BL261+IFERROR(OFFSET(ITEM_RES!$T$1,MATCH(BO261,ITEM_RES!$A:$A,0)-1,0),0)*BQ261)/1000</f>
        <v>2550</v>
      </c>
      <c r="AK261" s="183">
        <f t="shared" ca="1" si="99"/>
        <v>4650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454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383</v>
      </c>
      <c r="L262" s="56"/>
      <c r="M262" s="56" t="s">
        <v>969</v>
      </c>
      <c r="N262" s="56"/>
      <c r="O262" s="9">
        <v>0</v>
      </c>
      <c r="P262" s="9">
        <v>15</v>
      </c>
      <c r="Q262" s="9" t="s">
        <v>788</v>
      </c>
      <c r="U262" s="9" t="s">
        <v>724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530</v>
      </c>
      <c r="AD262" s="9">
        <v>18</v>
      </c>
      <c r="AF262" s="9">
        <v>42000</v>
      </c>
      <c r="AI262" s="56">
        <f t="shared" ca="1" si="95"/>
        <v>3150</v>
      </c>
      <c r="AJ262" s="10">
        <f ca="1">AO262+AQ262+(IFERROR(OFFSET(ITEM_RES!$T$1,MATCH(AU262,ITEM_RES!$A:$A,0)-1,0),0)*AW262+IFERROR(OFFSET(ITEM_RES!$T$1,MATCH(AZ262,ITEM_RES!$A:$A,0)-1,0),0)*BB262+IFERROR(OFFSET(ITEM_RES!$T$1,MATCH(BE262,ITEM_RES!$A:$A,0)-1,0),0)*BG262+IFERROR(OFFSET(ITEM_RES!$T$1,MATCH(BJ262,ITEM_RES!$A:$A,0)-1,0),0)*BL262+IFERROR(OFFSET(ITEM_RES!$T$1,MATCH(BO262,ITEM_RES!$A:$A,0)-1,0),0)*BQ262)/1000</f>
        <v>3150</v>
      </c>
      <c r="AK262" s="183">
        <f t="shared" ca="1" si="99"/>
        <v>5700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454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383</v>
      </c>
      <c r="L263" s="56"/>
      <c r="M263" s="56" t="s">
        <v>969</v>
      </c>
      <c r="N263" s="56"/>
      <c r="O263" s="9">
        <v>0</v>
      </c>
      <c r="P263" s="9">
        <v>15</v>
      </c>
      <c r="Q263" s="9" t="s">
        <v>788</v>
      </c>
      <c r="U263" s="9" t="s">
        <v>724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530</v>
      </c>
      <c r="AD263" s="9">
        <v>19</v>
      </c>
      <c r="AF263" s="9">
        <v>50000</v>
      </c>
      <c r="AI263" s="56">
        <f t="shared" ca="1" si="95"/>
        <v>3750</v>
      </c>
      <c r="AJ263" s="10">
        <f ca="1">AO263+AQ263+(IFERROR(OFFSET(ITEM_RES!$T$1,MATCH(AU263,ITEM_RES!$A:$A,0)-1,0),0)*AW263+IFERROR(OFFSET(ITEM_RES!$T$1,MATCH(AZ263,ITEM_RES!$A:$A,0)-1,0),0)*BB263+IFERROR(OFFSET(ITEM_RES!$T$1,MATCH(BE263,ITEM_RES!$A:$A,0)-1,0),0)*BG263+IFERROR(OFFSET(ITEM_RES!$T$1,MATCH(BJ263,ITEM_RES!$A:$A,0)-1,0),0)*BL263+IFERROR(OFFSET(ITEM_RES!$T$1,MATCH(BO263,ITEM_RES!$A:$A,0)-1,0),0)*BQ263)/1000</f>
        <v>3750</v>
      </c>
      <c r="AK263" s="183">
        <f t="shared" ca="1" si="99"/>
        <v>6900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454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383</v>
      </c>
      <c r="L264" s="56"/>
      <c r="M264" s="56" t="s">
        <v>969</v>
      </c>
      <c r="N264" s="56"/>
      <c r="O264" s="9">
        <v>0</v>
      </c>
      <c r="P264" s="9">
        <v>15</v>
      </c>
      <c r="Q264" s="9" t="s">
        <v>788</v>
      </c>
      <c r="U264" s="9" t="s">
        <v>724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530</v>
      </c>
      <c r="AD264" s="9">
        <v>20</v>
      </c>
      <c r="AF264" s="9">
        <v>60000</v>
      </c>
      <c r="AI264" s="56">
        <f t="shared" ca="1" si="95"/>
        <v>4500</v>
      </c>
      <c r="AJ264" s="10">
        <f ca="1">AO264+AQ264+(IFERROR(OFFSET(ITEM_RES!$T$1,MATCH(AU264,ITEM_RES!$A:$A,0)-1,0),0)*AW264+IFERROR(OFFSET(ITEM_RES!$T$1,MATCH(AZ264,ITEM_RES!$A:$A,0)-1,0),0)*BB264+IFERROR(OFFSET(ITEM_RES!$T$1,MATCH(BE264,ITEM_RES!$A:$A,0)-1,0),0)*BG264+IFERROR(OFFSET(ITEM_RES!$T$1,MATCH(BJ264,ITEM_RES!$A:$A,0)-1,0),0)*BL264+IFERROR(OFFSET(ITEM_RES!$T$1,MATCH(BO264,ITEM_RES!$A:$A,0)-1,0),0)*BQ264)/1000</f>
        <v>4500</v>
      </c>
      <c r="AK264" s="183">
        <f t="shared" ca="1" si="99"/>
        <v>8250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454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>
        <v>1</v>
      </c>
      <c r="M265" s="16" t="s">
        <v>970</v>
      </c>
      <c r="N265" s="16" t="s">
        <v>989</v>
      </c>
      <c r="O265" s="16">
        <v>1</v>
      </c>
      <c r="P265" s="16">
        <v>15</v>
      </c>
      <c r="Q265" s="141"/>
      <c r="R265" s="17"/>
      <c r="S265" s="17"/>
      <c r="T265" s="18"/>
      <c r="U265" s="16" t="s">
        <v>725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531</v>
      </c>
      <c r="AD265" s="16">
        <v>1</v>
      </c>
      <c r="AE265" s="79"/>
      <c r="AF265" s="16">
        <v>0</v>
      </c>
      <c r="AG265" s="17"/>
      <c r="AH265" s="79"/>
      <c r="AI265" s="57">
        <f t="shared" ca="1" si="95"/>
        <v>113</v>
      </c>
      <c r="AJ265" s="17">
        <f ca="1">AO265+AQ265+(IFERROR(OFFSET(ITEM_RES!$T$1,MATCH(AU265,ITEM_RES!$A:$A,0)-1,0),0)*AW265+IFERROR(OFFSET(ITEM_RES!$T$1,MATCH(AZ265,ITEM_RES!$A:$A,0)-1,0),0)*BB265+IFERROR(OFFSET(ITEM_RES!$T$1,MATCH(BE265,ITEM_RES!$A:$A,0)-1,0),0)*BG265+IFERROR(OFFSET(ITEM_RES!$T$1,MATCH(BJ265,ITEM_RES!$A:$A,0)-1,0),0)*BL265+IFERROR(OFFSET(ITEM_RES!$T$1,MATCH(BO265,ITEM_RES!$A:$A,0)-1,0),0)*BQ265)/1000</f>
        <v>112.75</v>
      </c>
      <c r="AK265" s="185">
        <f ca="1">AJ265</f>
        <v>112.75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442</v>
      </c>
      <c r="AW265" s="18">
        <v>25</v>
      </c>
      <c r="AX265" s="17"/>
      <c r="AY265" s="18"/>
      <c r="AZ265" s="18">
        <f ca="1">IFERROR(OFFSET(ITEM_RES!$A$1,MATCH(BA265,ITEM_RES!$J:$J,0)-1,0),0)</f>
        <v>211020401</v>
      </c>
      <c r="BA265" s="17" t="s">
        <v>430</v>
      </c>
      <c r="BB265" s="18">
        <v>25</v>
      </c>
      <c r="BC265" s="17"/>
      <c r="BD265" s="18"/>
      <c r="BE265" s="18">
        <f ca="1">IFERROR(OFFSET(ITEM_RES!$A$1,MATCH(BF265,ITEM_RES!$J:$J,0)-1,0),0)</f>
        <v>213010101</v>
      </c>
      <c r="BF265" s="17" t="s">
        <v>463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366</v>
      </c>
      <c r="M266" s="9" t="s">
        <v>970</v>
      </c>
      <c r="N266" s="9" t="s">
        <v>989</v>
      </c>
      <c r="O266" s="9">
        <v>1</v>
      </c>
      <c r="P266" s="9">
        <v>15</v>
      </c>
      <c r="Q266" s="142"/>
      <c r="U266" s="9" t="s">
        <v>725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531</v>
      </c>
      <c r="AD266" s="9">
        <v>2</v>
      </c>
      <c r="AF266" s="9">
        <v>800</v>
      </c>
      <c r="AI266" s="56">
        <f t="shared" ca="1" si="95"/>
        <v>26</v>
      </c>
      <c r="AJ266" s="10">
        <f ca="1">AO266+AQ266+(IFERROR(OFFSET(ITEM_RES!$T$1,MATCH(AU266,ITEM_RES!$A:$A,0)-1,0),0)*AW266+IFERROR(OFFSET(ITEM_RES!$T$1,MATCH(AZ266,ITEM_RES!$A:$A,0)-1,0),0)*BB266+IFERROR(OFFSET(ITEM_RES!$T$1,MATCH(BE266,ITEM_RES!$A:$A,0)-1,0),0)*BG266+IFERROR(OFFSET(ITEM_RES!$T$1,MATCH(BJ266,ITEM_RES!$A:$A,0)-1,0),0)*BL266+IFERROR(OFFSET(ITEM_RES!$T$1,MATCH(BO266,ITEM_RES!$A:$A,0)-1,0),0)*BQ266)/1000</f>
        <v>25.5</v>
      </c>
      <c r="AK266" s="183">
        <f t="shared" ref="AK266:AK284" ca="1" si="105">AJ265+AJ266</f>
        <v>138.25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442</v>
      </c>
      <c r="AW266" s="11">
        <v>50</v>
      </c>
      <c r="AZ266" s="11">
        <f ca="1">IFERROR(OFFSET(ITEM_RES!$A$1,MATCH(BA266,ITEM_RES!$J:$J,0)-1,0),0)</f>
        <v>211020401</v>
      </c>
      <c r="BA266" s="10" t="s">
        <v>430</v>
      </c>
      <c r="BB266" s="11">
        <v>50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366</v>
      </c>
      <c r="M267" s="9" t="s">
        <v>970</v>
      </c>
      <c r="N267" s="9" t="s">
        <v>989</v>
      </c>
      <c r="O267" s="9">
        <v>1</v>
      </c>
      <c r="P267" s="9">
        <v>15</v>
      </c>
      <c r="Q267" s="142"/>
      <c r="U267" s="9" t="s">
        <v>725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531</v>
      </c>
      <c r="AD267" s="9">
        <v>3</v>
      </c>
      <c r="AF267" s="9">
        <v>1200</v>
      </c>
      <c r="AI267" s="56">
        <f t="shared" ca="1" si="95"/>
        <v>38</v>
      </c>
      <c r="AJ267" s="10">
        <f ca="1">AO267+AQ267+(IFERROR(OFFSET(ITEM_RES!$T$1,MATCH(AU267,ITEM_RES!$A:$A,0)-1,0),0)*AW267+IFERROR(OFFSET(ITEM_RES!$T$1,MATCH(AZ267,ITEM_RES!$A:$A,0)-1,0),0)*BB267+IFERROR(OFFSET(ITEM_RES!$T$1,MATCH(BE267,ITEM_RES!$A:$A,0)-1,0),0)*BG267+IFERROR(OFFSET(ITEM_RES!$T$1,MATCH(BJ267,ITEM_RES!$A:$A,0)-1,0),0)*BL267+IFERROR(OFFSET(ITEM_RES!$T$1,MATCH(BO267,ITEM_RES!$A:$A,0)-1,0),0)*BQ267)/1000</f>
        <v>38.25</v>
      </c>
      <c r="AK267" s="183">
        <f t="shared" ca="1" si="105"/>
        <v>63.75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442</v>
      </c>
      <c r="AW267" s="11">
        <v>75</v>
      </c>
      <c r="AZ267" s="11">
        <f ca="1">IFERROR(OFFSET(ITEM_RES!$A$1,MATCH(BA267,ITEM_RES!$J:$J,0)-1,0),0)</f>
        <v>211020401</v>
      </c>
      <c r="BA267" s="10" t="s">
        <v>430</v>
      </c>
      <c r="BB267" s="11">
        <v>75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366</v>
      </c>
      <c r="M268" s="9" t="s">
        <v>970</v>
      </c>
      <c r="N268" s="9" t="s">
        <v>989</v>
      </c>
      <c r="O268" s="9">
        <v>1</v>
      </c>
      <c r="P268" s="9">
        <v>15</v>
      </c>
      <c r="Q268" s="142"/>
      <c r="U268" s="9" t="s">
        <v>725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531</v>
      </c>
      <c r="AD268" s="9">
        <v>4</v>
      </c>
      <c r="AF268" s="9">
        <v>2000</v>
      </c>
      <c r="AI268" s="56">
        <f t="shared" ca="1" si="95"/>
        <v>64</v>
      </c>
      <c r="AJ268" s="10">
        <f ca="1">AO268+AQ268+(IFERROR(OFFSET(ITEM_RES!$T$1,MATCH(AU268,ITEM_RES!$A:$A,0)-1,0),0)*AW268+IFERROR(OFFSET(ITEM_RES!$T$1,MATCH(AZ268,ITEM_RES!$A:$A,0)-1,0),0)*BB268+IFERROR(OFFSET(ITEM_RES!$T$1,MATCH(BE268,ITEM_RES!$A:$A,0)-1,0),0)*BG268+IFERROR(OFFSET(ITEM_RES!$T$1,MATCH(BJ268,ITEM_RES!$A:$A,0)-1,0),0)*BL268+IFERROR(OFFSET(ITEM_RES!$T$1,MATCH(BO268,ITEM_RES!$A:$A,0)-1,0),0)*BQ268)/1000</f>
        <v>63.75</v>
      </c>
      <c r="AK268" s="183">
        <f t="shared" ca="1" si="105"/>
        <v>102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442</v>
      </c>
      <c r="AW268" s="11">
        <v>125</v>
      </c>
      <c r="AZ268" s="11">
        <f ca="1">IFERROR(OFFSET(ITEM_RES!$A$1,MATCH(BA268,ITEM_RES!$J:$J,0)-1,0),0)</f>
        <v>211020401</v>
      </c>
      <c r="BA268" s="10" t="s">
        <v>430</v>
      </c>
      <c r="BB268" s="11">
        <v>125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366</v>
      </c>
      <c r="M269" s="9" t="s">
        <v>970</v>
      </c>
      <c r="N269" s="9" t="s">
        <v>989</v>
      </c>
      <c r="O269" s="9">
        <v>1</v>
      </c>
      <c r="P269" s="9">
        <v>15</v>
      </c>
      <c r="Q269" s="142"/>
      <c r="U269" s="9" t="s">
        <v>725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531</v>
      </c>
      <c r="AD269" s="9">
        <v>5</v>
      </c>
      <c r="AF269" s="9">
        <v>3200</v>
      </c>
      <c r="AI269" s="56">
        <f t="shared" ca="1" si="95"/>
        <v>102</v>
      </c>
      <c r="AJ269" s="10">
        <f ca="1">AO269+AQ269+(IFERROR(OFFSET(ITEM_RES!$T$1,MATCH(AU269,ITEM_RES!$A:$A,0)-1,0),0)*AW269+IFERROR(OFFSET(ITEM_RES!$T$1,MATCH(AZ269,ITEM_RES!$A:$A,0)-1,0),0)*BB269+IFERROR(OFFSET(ITEM_RES!$T$1,MATCH(BE269,ITEM_RES!$A:$A,0)-1,0),0)*BG269+IFERROR(OFFSET(ITEM_RES!$T$1,MATCH(BJ269,ITEM_RES!$A:$A,0)-1,0),0)*BL269+IFERROR(OFFSET(ITEM_RES!$T$1,MATCH(BO269,ITEM_RES!$A:$A,0)-1,0),0)*BQ269)/1000</f>
        <v>102</v>
      </c>
      <c r="AK269" s="183">
        <f t="shared" ca="1" si="105"/>
        <v>165.75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442</v>
      </c>
      <c r="AW269" s="11">
        <v>200</v>
      </c>
      <c r="AZ269" s="11">
        <f ca="1">IFERROR(OFFSET(ITEM_RES!$A$1,MATCH(BA269,ITEM_RES!$J:$J,0)-1,0),0)</f>
        <v>211020401</v>
      </c>
      <c r="BA269" s="10" t="s">
        <v>430</v>
      </c>
      <c r="BB269" s="11">
        <v>200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366</v>
      </c>
      <c r="M270" s="9" t="s">
        <v>970</v>
      </c>
      <c r="N270" s="9" t="s">
        <v>989</v>
      </c>
      <c r="O270" s="9">
        <v>1</v>
      </c>
      <c r="P270" s="9">
        <v>15</v>
      </c>
      <c r="Q270" s="142"/>
      <c r="U270" s="9" t="s">
        <v>725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531</v>
      </c>
      <c r="AD270" s="9">
        <v>6</v>
      </c>
      <c r="AF270" s="9">
        <v>4000</v>
      </c>
      <c r="AI270" s="56">
        <f t="shared" ca="1" si="95"/>
        <v>128</v>
      </c>
      <c r="AJ270" s="10">
        <f ca="1">AO270+AQ270+(IFERROR(OFFSET(ITEM_RES!$T$1,MATCH(AU270,ITEM_RES!$A:$A,0)-1,0),0)*AW270+IFERROR(OFFSET(ITEM_RES!$T$1,MATCH(AZ270,ITEM_RES!$A:$A,0)-1,0),0)*BB270+IFERROR(OFFSET(ITEM_RES!$T$1,MATCH(BE270,ITEM_RES!$A:$A,0)-1,0),0)*BG270+IFERROR(OFFSET(ITEM_RES!$T$1,MATCH(BJ270,ITEM_RES!$A:$A,0)-1,0),0)*BL270+IFERROR(OFFSET(ITEM_RES!$T$1,MATCH(BO270,ITEM_RES!$A:$A,0)-1,0),0)*BQ270)/1000</f>
        <v>127.5</v>
      </c>
      <c r="AK270" s="183">
        <f t="shared" ca="1" si="105"/>
        <v>229.5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442</v>
      </c>
      <c r="AW270" s="11">
        <v>250</v>
      </c>
      <c r="AZ270" s="11">
        <f ca="1">IFERROR(OFFSET(ITEM_RES!$A$1,MATCH(BA270,ITEM_RES!$J:$J,0)-1,0),0)</f>
        <v>211020401</v>
      </c>
      <c r="BA270" s="10" t="s">
        <v>430</v>
      </c>
      <c r="BB270" s="11">
        <v>250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366</v>
      </c>
      <c r="M271" s="9" t="s">
        <v>970</v>
      </c>
      <c r="N271" s="9" t="s">
        <v>989</v>
      </c>
      <c r="O271" s="9">
        <v>1</v>
      </c>
      <c r="P271" s="9">
        <v>15</v>
      </c>
      <c r="Q271" s="142"/>
      <c r="U271" s="9" t="s">
        <v>725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531</v>
      </c>
      <c r="AD271" s="9">
        <v>7</v>
      </c>
      <c r="AF271" s="9">
        <v>8000</v>
      </c>
      <c r="AI271" s="56">
        <f t="shared" ca="1" si="95"/>
        <v>255</v>
      </c>
      <c r="AJ271" s="10">
        <f ca="1">AO271+AQ271+(IFERROR(OFFSET(ITEM_RES!$T$1,MATCH(AU271,ITEM_RES!$A:$A,0)-1,0),0)*AW271+IFERROR(OFFSET(ITEM_RES!$T$1,MATCH(AZ271,ITEM_RES!$A:$A,0)-1,0),0)*BB271+IFERROR(OFFSET(ITEM_RES!$T$1,MATCH(BE271,ITEM_RES!$A:$A,0)-1,0),0)*BG271+IFERROR(OFFSET(ITEM_RES!$T$1,MATCH(BJ271,ITEM_RES!$A:$A,0)-1,0),0)*BL271+IFERROR(OFFSET(ITEM_RES!$T$1,MATCH(BO271,ITEM_RES!$A:$A,0)-1,0),0)*BQ271)/1000</f>
        <v>255</v>
      </c>
      <c r="AK271" s="183">
        <f t="shared" ca="1" si="105"/>
        <v>382.5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442</v>
      </c>
      <c r="AW271" s="11">
        <v>500</v>
      </c>
      <c r="AZ271" s="11">
        <f ca="1">IFERROR(OFFSET(ITEM_RES!$A$1,MATCH(BA271,ITEM_RES!$J:$J,0)-1,0),0)</f>
        <v>211020401</v>
      </c>
      <c r="BA271" s="10" t="s">
        <v>430</v>
      </c>
      <c r="BB271" s="11">
        <v>500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366</v>
      </c>
      <c r="M272" s="9" t="s">
        <v>970</v>
      </c>
      <c r="N272" s="9" t="s">
        <v>989</v>
      </c>
      <c r="O272" s="9">
        <v>1</v>
      </c>
      <c r="P272" s="9">
        <v>15</v>
      </c>
      <c r="Q272" s="142"/>
      <c r="U272" s="9" t="s">
        <v>725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531</v>
      </c>
      <c r="AD272" s="9">
        <v>8</v>
      </c>
      <c r="AF272" s="9">
        <v>8000</v>
      </c>
      <c r="AI272" s="56">
        <f t="shared" ca="1" si="95"/>
        <v>355</v>
      </c>
      <c r="AJ272" s="10">
        <f ca="1">AO272+AQ272+(IFERROR(OFFSET(ITEM_RES!$T$1,MATCH(AU272,ITEM_RES!$A:$A,0)-1,0),0)*AW272+IFERROR(OFFSET(ITEM_RES!$T$1,MATCH(AZ272,ITEM_RES!$A:$A,0)-1,0),0)*BB272+IFERROR(OFFSET(ITEM_RES!$T$1,MATCH(BE272,ITEM_RES!$A:$A,0)-1,0),0)*BG272+IFERROR(OFFSET(ITEM_RES!$T$1,MATCH(BJ272,ITEM_RES!$A:$A,0)-1,0),0)*BL272+IFERROR(OFFSET(ITEM_RES!$T$1,MATCH(BO272,ITEM_RES!$A:$A,0)-1,0),0)*BQ272)/1000</f>
        <v>355</v>
      </c>
      <c r="AK272" s="183">
        <f t="shared" ca="1" si="105"/>
        <v>610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442</v>
      </c>
      <c r="AW272" s="11">
        <v>500</v>
      </c>
      <c r="AZ272" s="11">
        <f ca="1">IFERROR(OFFSET(ITEM_RES!$A$1,MATCH(BA272,ITEM_RES!$J:$J,0)-1,0),0)</f>
        <v>211020401</v>
      </c>
      <c r="BA272" s="10" t="s">
        <v>430</v>
      </c>
      <c r="BB272" s="11">
        <v>500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475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366</v>
      </c>
      <c r="M273" s="9" t="s">
        <v>970</v>
      </c>
      <c r="N273" s="9" t="s">
        <v>989</v>
      </c>
      <c r="O273" s="9">
        <v>1</v>
      </c>
      <c r="P273" s="9">
        <v>15</v>
      </c>
      <c r="Q273" s="142"/>
      <c r="U273" s="9" t="s">
        <v>725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531</v>
      </c>
      <c r="AD273" s="9">
        <v>9</v>
      </c>
      <c r="AF273" s="9">
        <v>12000</v>
      </c>
      <c r="AI273" s="56">
        <f t="shared" ca="1" si="95"/>
        <v>383</v>
      </c>
      <c r="AJ273" s="10">
        <f ca="1">AO273+AQ273+(IFERROR(OFFSET(ITEM_RES!$T$1,MATCH(AU273,ITEM_RES!$A:$A,0)-1,0),0)*AW273+IFERROR(OFFSET(ITEM_RES!$T$1,MATCH(AZ273,ITEM_RES!$A:$A,0)-1,0),0)*BB273+IFERROR(OFFSET(ITEM_RES!$T$1,MATCH(BE273,ITEM_RES!$A:$A,0)-1,0),0)*BG273+IFERROR(OFFSET(ITEM_RES!$T$1,MATCH(BJ273,ITEM_RES!$A:$A,0)-1,0),0)*BL273+IFERROR(OFFSET(ITEM_RES!$T$1,MATCH(BO273,ITEM_RES!$A:$A,0)-1,0),0)*BQ273)/1000</f>
        <v>382.5</v>
      </c>
      <c r="AK273" s="183">
        <f t="shared" ca="1" si="105"/>
        <v>737.5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442</v>
      </c>
      <c r="AW273" s="11">
        <v>750</v>
      </c>
      <c r="AZ273" s="11">
        <f ca="1">IFERROR(OFFSET(ITEM_RES!$A$1,MATCH(BA273,ITEM_RES!$J:$J,0)-1,0),0)</f>
        <v>211020401</v>
      </c>
      <c r="BA273" s="10" t="s">
        <v>430</v>
      </c>
      <c r="BB273" s="11">
        <v>750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366</v>
      </c>
      <c r="M274" s="9" t="s">
        <v>970</v>
      </c>
      <c r="N274" s="9" t="s">
        <v>989</v>
      </c>
      <c r="O274" s="9">
        <v>1</v>
      </c>
      <c r="P274" s="9">
        <v>15</v>
      </c>
      <c r="Q274" s="142"/>
      <c r="U274" s="9" t="s">
        <v>725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531</v>
      </c>
      <c r="AD274" s="9">
        <v>10</v>
      </c>
      <c r="AF274" s="9">
        <v>16000</v>
      </c>
      <c r="AI274" s="56">
        <f t="shared" ca="1" si="95"/>
        <v>510</v>
      </c>
      <c r="AJ274" s="10">
        <f ca="1">AO274+AQ274+(IFERROR(OFFSET(ITEM_RES!$T$1,MATCH(AU274,ITEM_RES!$A:$A,0)-1,0),0)*AW274+IFERROR(OFFSET(ITEM_RES!$T$1,MATCH(AZ274,ITEM_RES!$A:$A,0)-1,0),0)*BB274+IFERROR(OFFSET(ITEM_RES!$T$1,MATCH(BE274,ITEM_RES!$A:$A,0)-1,0),0)*BG274+IFERROR(OFFSET(ITEM_RES!$T$1,MATCH(BJ274,ITEM_RES!$A:$A,0)-1,0),0)*BL274+IFERROR(OFFSET(ITEM_RES!$T$1,MATCH(BO274,ITEM_RES!$A:$A,0)-1,0),0)*BQ274)/1000</f>
        <v>510</v>
      </c>
      <c r="AK274" s="183">
        <f t="shared" ca="1" si="105"/>
        <v>892.5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442</v>
      </c>
      <c r="AW274" s="11">
        <v>1000</v>
      </c>
      <c r="AZ274" s="11">
        <f ca="1">IFERROR(OFFSET(ITEM_RES!$A$1,MATCH(BA274,ITEM_RES!$J:$J,0)-1,0),0)</f>
        <v>211020401</v>
      </c>
      <c r="BA274" s="10" t="s">
        <v>430</v>
      </c>
      <c r="BB274" s="11">
        <v>1000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366</v>
      </c>
      <c r="M275" s="9" t="s">
        <v>970</v>
      </c>
      <c r="N275" s="9" t="s">
        <v>989</v>
      </c>
      <c r="O275" s="9">
        <v>1</v>
      </c>
      <c r="P275" s="9">
        <v>15</v>
      </c>
      <c r="Q275" s="142"/>
      <c r="U275" s="9" t="s">
        <v>725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531</v>
      </c>
      <c r="AD275" s="9">
        <v>11</v>
      </c>
      <c r="AF275" s="9">
        <v>20000</v>
      </c>
      <c r="AI275" s="56">
        <f t="shared" ca="1" si="95"/>
        <v>638</v>
      </c>
      <c r="AJ275" s="10">
        <f ca="1">AO275+AQ275+(IFERROR(OFFSET(ITEM_RES!$T$1,MATCH(AU275,ITEM_RES!$A:$A,0)-1,0),0)*AW275+IFERROR(OFFSET(ITEM_RES!$T$1,MATCH(AZ275,ITEM_RES!$A:$A,0)-1,0),0)*BB275+IFERROR(OFFSET(ITEM_RES!$T$1,MATCH(BE275,ITEM_RES!$A:$A,0)-1,0),0)*BG275+IFERROR(OFFSET(ITEM_RES!$T$1,MATCH(BJ275,ITEM_RES!$A:$A,0)-1,0),0)*BL275+IFERROR(OFFSET(ITEM_RES!$T$1,MATCH(BO275,ITEM_RES!$A:$A,0)-1,0),0)*BQ275)/1000</f>
        <v>637.5</v>
      </c>
      <c r="AK275" s="183">
        <f t="shared" ca="1" si="105"/>
        <v>1147.5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442</v>
      </c>
      <c r="AW275" s="11">
        <v>1250</v>
      </c>
      <c r="AZ275" s="11">
        <f ca="1">IFERROR(OFFSET(ITEM_RES!$A$1,MATCH(BA275,ITEM_RES!$J:$J,0)-1,0),0)</f>
        <v>211020401</v>
      </c>
      <c r="BA275" s="10" t="s">
        <v>430</v>
      </c>
      <c r="BB275" s="11">
        <v>1250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366</v>
      </c>
      <c r="M276" s="9" t="s">
        <v>970</v>
      </c>
      <c r="N276" s="9" t="s">
        <v>989</v>
      </c>
      <c r="O276" s="9">
        <v>1</v>
      </c>
      <c r="P276" s="9">
        <v>15</v>
      </c>
      <c r="Q276" s="142"/>
      <c r="U276" s="9" t="s">
        <v>725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531</v>
      </c>
      <c r="AD276" s="9">
        <v>12</v>
      </c>
      <c r="AF276" s="9">
        <v>24000</v>
      </c>
      <c r="AI276" s="56">
        <f t="shared" ca="1" si="95"/>
        <v>765</v>
      </c>
      <c r="AJ276" s="10">
        <f ca="1">AO276+AQ276+(IFERROR(OFFSET(ITEM_RES!$T$1,MATCH(AU276,ITEM_RES!$A:$A,0)-1,0),0)*AW276+IFERROR(OFFSET(ITEM_RES!$T$1,MATCH(AZ276,ITEM_RES!$A:$A,0)-1,0),0)*BB276+IFERROR(OFFSET(ITEM_RES!$T$1,MATCH(BE276,ITEM_RES!$A:$A,0)-1,0),0)*BG276+IFERROR(OFFSET(ITEM_RES!$T$1,MATCH(BJ276,ITEM_RES!$A:$A,0)-1,0),0)*BL276+IFERROR(OFFSET(ITEM_RES!$T$1,MATCH(BO276,ITEM_RES!$A:$A,0)-1,0),0)*BQ276)/1000</f>
        <v>765</v>
      </c>
      <c r="AK276" s="183">
        <f t="shared" ca="1" si="105"/>
        <v>1402.5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442</v>
      </c>
      <c r="AW276" s="11">
        <v>1500</v>
      </c>
      <c r="AZ276" s="11">
        <f ca="1">IFERROR(OFFSET(ITEM_RES!$A$1,MATCH(BA276,ITEM_RES!$J:$J,0)-1,0),0)</f>
        <v>211020401</v>
      </c>
      <c r="BA276" s="10" t="s">
        <v>430</v>
      </c>
      <c r="BB276" s="11">
        <v>1500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366</v>
      </c>
      <c r="M277" s="9" t="s">
        <v>970</v>
      </c>
      <c r="N277" s="9" t="s">
        <v>989</v>
      </c>
      <c r="O277" s="9">
        <v>1</v>
      </c>
      <c r="P277" s="9">
        <v>15</v>
      </c>
      <c r="Q277" s="142"/>
      <c r="U277" s="9" t="s">
        <v>725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531</v>
      </c>
      <c r="AD277" s="9">
        <v>13</v>
      </c>
      <c r="AF277" s="9">
        <v>28000</v>
      </c>
      <c r="AI277" s="56">
        <f t="shared" ca="1" si="95"/>
        <v>893</v>
      </c>
      <c r="AJ277" s="10">
        <f ca="1">AO277+AQ277+(IFERROR(OFFSET(ITEM_RES!$T$1,MATCH(AU277,ITEM_RES!$A:$A,0)-1,0),0)*AW277+IFERROR(OFFSET(ITEM_RES!$T$1,MATCH(AZ277,ITEM_RES!$A:$A,0)-1,0),0)*BB277+IFERROR(OFFSET(ITEM_RES!$T$1,MATCH(BE277,ITEM_RES!$A:$A,0)-1,0),0)*BG277+IFERROR(OFFSET(ITEM_RES!$T$1,MATCH(BJ277,ITEM_RES!$A:$A,0)-1,0),0)*BL277+IFERROR(OFFSET(ITEM_RES!$T$1,MATCH(BO277,ITEM_RES!$A:$A,0)-1,0),0)*BQ277)/1000</f>
        <v>892.5</v>
      </c>
      <c r="AK277" s="183">
        <f t="shared" ca="1" si="105"/>
        <v>1657.5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442</v>
      </c>
      <c r="AW277" s="11">
        <v>1750</v>
      </c>
      <c r="AZ277" s="11">
        <f ca="1">IFERROR(OFFSET(ITEM_RES!$A$1,MATCH(BA277,ITEM_RES!$J:$J,0)-1,0),0)</f>
        <v>211020401</v>
      </c>
      <c r="BA277" s="10" t="s">
        <v>430</v>
      </c>
      <c r="BB277" s="11">
        <v>1750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366</v>
      </c>
      <c r="M278" s="9" t="s">
        <v>970</v>
      </c>
      <c r="N278" s="9" t="s">
        <v>989</v>
      </c>
      <c r="O278" s="9">
        <v>1</v>
      </c>
      <c r="P278" s="9">
        <v>15</v>
      </c>
      <c r="Q278" s="142"/>
      <c r="U278" s="9" t="s">
        <v>725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531</v>
      </c>
      <c r="AD278" s="9">
        <v>14</v>
      </c>
      <c r="AF278" s="9">
        <v>36000</v>
      </c>
      <c r="AI278" s="56">
        <f t="shared" ca="1" si="95"/>
        <v>1148</v>
      </c>
      <c r="AJ278" s="10">
        <f ca="1">AO278+AQ278+(IFERROR(OFFSET(ITEM_RES!$T$1,MATCH(AU278,ITEM_RES!$A:$A,0)-1,0),0)*AW278+IFERROR(OFFSET(ITEM_RES!$T$1,MATCH(AZ278,ITEM_RES!$A:$A,0)-1,0),0)*BB278+IFERROR(OFFSET(ITEM_RES!$T$1,MATCH(BE278,ITEM_RES!$A:$A,0)-1,0),0)*BG278+IFERROR(OFFSET(ITEM_RES!$T$1,MATCH(BJ278,ITEM_RES!$A:$A,0)-1,0),0)*BL278+IFERROR(OFFSET(ITEM_RES!$T$1,MATCH(BO278,ITEM_RES!$A:$A,0)-1,0),0)*BQ278)/1000</f>
        <v>1147.5</v>
      </c>
      <c r="AK278" s="183">
        <f t="shared" ca="1" si="105"/>
        <v>2040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442</v>
      </c>
      <c r="AW278" s="11">
        <v>2250</v>
      </c>
      <c r="AZ278" s="11">
        <f ca="1">IFERROR(OFFSET(ITEM_RES!$A$1,MATCH(BA278,ITEM_RES!$J:$J,0)-1,0),0)</f>
        <v>211020401</v>
      </c>
      <c r="BA278" s="10" t="s">
        <v>430</v>
      </c>
      <c r="BB278" s="11">
        <v>2250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366</v>
      </c>
      <c r="M279" s="9" t="s">
        <v>970</v>
      </c>
      <c r="N279" s="9" t="s">
        <v>989</v>
      </c>
      <c r="O279" s="9">
        <v>1</v>
      </c>
      <c r="P279" s="9">
        <v>15</v>
      </c>
      <c r="Q279" s="142"/>
      <c r="U279" s="9" t="s">
        <v>725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531</v>
      </c>
      <c r="AD279" s="9">
        <v>15</v>
      </c>
      <c r="AF279" s="9">
        <v>44000</v>
      </c>
      <c r="AI279" s="56">
        <f t="shared" ca="1" si="95"/>
        <v>1403</v>
      </c>
      <c r="AJ279" s="10">
        <f ca="1">AO279+AQ279+(IFERROR(OFFSET(ITEM_RES!$T$1,MATCH(AU279,ITEM_RES!$A:$A,0)-1,0),0)*AW279+IFERROR(OFFSET(ITEM_RES!$T$1,MATCH(AZ279,ITEM_RES!$A:$A,0)-1,0),0)*BB279+IFERROR(OFFSET(ITEM_RES!$T$1,MATCH(BE279,ITEM_RES!$A:$A,0)-1,0),0)*BG279+IFERROR(OFFSET(ITEM_RES!$T$1,MATCH(BJ279,ITEM_RES!$A:$A,0)-1,0),0)*BL279+IFERROR(OFFSET(ITEM_RES!$T$1,MATCH(BO279,ITEM_RES!$A:$A,0)-1,0),0)*BQ279)/1000</f>
        <v>1402.5</v>
      </c>
      <c r="AK279" s="183">
        <f t="shared" ca="1" si="105"/>
        <v>2550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442</v>
      </c>
      <c r="AW279" s="11">
        <v>2750</v>
      </c>
      <c r="AZ279" s="11">
        <f ca="1">IFERROR(OFFSET(ITEM_RES!$A$1,MATCH(BA279,ITEM_RES!$J:$J,0)-1,0),0)</f>
        <v>211020401</v>
      </c>
      <c r="BA279" s="10" t="s">
        <v>443</v>
      </c>
      <c r="BB279" s="11">
        <v>2750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366</v>
      </c>
      <c r="M280" s="9" t="s">
        <v>970</v>
      </c>
      <c r="N280" s="9" t="s">
        <v>989</v>
      </c>
      <c r="O280" s="9">
        <v>0</v>
      </c>
      <c r="P280" s="9">
        <v>15</v>
      </c>
      <c r="Q280" s="142"/>
      <c r="U280" s="9" t="s">
        <v>725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531</v>
      </c>
      <c r="AD280" s="9">
        <v>16</v>
      </c>
      <c r="AF280" s="9">
        <v>56000</v>
      </c>
      <c r="AI280" s="56">
        <f t="shared" ca="1" si="95"/>
        <v>1785</v>
      </c>
      <c r="AJ280" s="10">
        <f ca="1">AO280+AQ280+(IFERROR(OFFSET(ITEM_RES!$T$1,MATCH(AU280,ITEM_RES!$A:$A,0)-1,0),0)*AW280+IFERROR(OFFSET(ITEM_RES!$T$1,MATCH(AZ280,ITEM_RES!$A:$A,0)-1,0),0)*BB280+IFERROR(OFFSET(ITEM_RES!$T$1,MATCH(BE280,ITEM_RES!$A:$A,0)-1,0),0)*BG280+IFERROR(OFFSET(ITEM_RES!$T$1,MATCH(BJ280,ITEM_RES!$A:$A,0)-1,0),0)*BL280+IFERROR(OFFSET(ITEM_RES!$T$1,MATCH(BO280,ITEM_RES!$A:$A,0)-1,0),0)*BQ280)/1000</f>
        <v>1785</v>
      </c>
      <c r="AK280" s="183">
        <f t="shared" ca="1" si="105"/>
        <v>3187.5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442</v>
      </c>
      <c r="AW280" s="11">
        <v>3500</v>
      </c>
      <c r="AZ280" s="11">
        <f ca="1">IFERROR(OFFSET(ITEM_RES!$A$1,MATCH(BA280,ITEM_RES!$J:$J,0)-1,0),0)</f>
        <v>211020401</v>
      </c>
      <c r="BA280" s="10" t="s">
        <v>443</v>
      </c>
      <c r="BB280" s="11">
        <v>3500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366</v>
      </c>
      <c r="M281" s="9" t="s">
        <v>970</v>
      </c>
      <c r="N281" s="9" t="s">
        <v>989</v>
      </c>
      <c r="O281" s="9">
        <v>0</v>
      </c>
      <c r="P281" s="9">
        <v>15</v>
      </c>
      <c r="Q281" s="142"/>
      <c r="U281" s="9" t="s">
        <v>725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531</v>
      </c>
      <c r="AD281" s="9">
        <v>17</v>
      </c>
      <c r="AF281" s="9">
        <v>68000</v>
      </c>
      <c r="AI281" s="56">
        <f t="shared" ca="1" si="95"/>
        <v>2593</v>
      </c>
      <c r="AJ281" s="10">
        <f ca="1">AO281+AQ281+(IFERROR(OFFSET(ITEM_RES!$T$1,MATCH(AU281,ITEM_RES!$A:$A,0)-1,0),0)*AW281+IFERROR(OFFSET(ITEM_RES!$T$1,MATCH(AZ281,ITEM_RES!$A:$A,0)-1,0),0)*BB281+IFERROR(OFFSET(ITEM_RES!$T$1,MATCH(BE281,ITEM_RES!$A:$A,0)-1,0),0)*BG281+IFERROR(OFFSET(ITEM_RES!$T$1,MATCH(BJ281,ITEM_RES!$A:$A,0)-1,0),0)*BL281+IFERROR(OFFSET(ITEM_RES!$T$1,MATCH(BO281,ITEM_RES!$A:$A,0)-1,0),0)*BQ281)/1000</f>
        <v>2592.5</v>
      </c>
      <c r="AK281" s="183">
        <f t="shared" ca="1" si="105"/>
        <v>4377.5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453</v>
      </c>
      <c r="AW281" s="11">
        <v>4250</v>
      </c>
      <c r="AZ281" s="11">
        <f ca="1">IFERROR(OFFSET(ITEM_RES!$A$1,MATCH(BA281,ITEM_RES!$J:$J,0)-1,0),0)</f>
        <v>211020401</v>
      </c>
      <c r="BA281" s="10" t="s">
        <v>443</v>
      </c>
      <c r="BB281" s="11">
        <v>4250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366</v>
      </c>
      <c r="M282" s="9" t="s">
        <v>970</v>
      </c>
      <c r="N282" s="9" t="s">
        <v>989</v>
      </c>
      <c r="O282" s="9">
        <v>0</v>
      </c>
      <c r="P282" s="9">
        <v>15</v>
      </c>
      <c r="Q282" s="142"/>
      <c r="U282" s="9" t="s">
        <v>725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531</v>
      </c>
      <c r="AD282" s="9">
        <v>18</v>
      </c>
      <c r="AF282" s="9">
        <v>84000</v>
      </c>
      <c r="AI282" s="56">
        <f t="shared" ref="AI282:AI345" ca="1" si="106">ROUND(AJ282,0)</f>
        <v>4200</v>
      </c>
      <c r="AJ282" s="10">
        <f ca="1">AO282+AQ282+(IFERROR(OFFSET(ITEM_RES!$T$1,MATCH(AU282,ITEM_RES!$A:$A,0)-1,0),0)*AW282+IFERROR(OFFSET(ITEM_RES!$T$1,MATCH(AZ282,ITEM_RES!$A:$A,0)-1,0),0)*BB282+IFERROR(OFFSET(ITEM_RES!$T$1,MATCH(BE282,ITEM_RES!$A:$A,0)-1,0),0)*BG282+IFERROR(OFFSET(ITEM_RES!$T$1,MATCH(BJ282,ITEM_RES!$A:$A,0)-1,0),0)*BL282+IFERROR(OFFSET(ITEM_RES!$T$1,MATCH(BO282,ITEM_RES!$A:$A,0)-1,0),0)*BQ282)/1000</f>
        <v>4200</v>
      </c>
      <c r="AK282" s="183">
        <f t="shared" ca="1" si="105"/>
        <v>6792.5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453</v>
      </c>
      <c r="AW282" s="11">
        <v>5250</v>
      </c>
      <c r="AZ282" s="11">
        <f ca="1">IFERROR(OFFSET(ITEM_RES!$A$1,MATCH(BA282,ITEM_RES!$J:$J,0)-1,0),0)</f>
        <v>211020501</v>
      </c>
      <c r="BA282" s="10" t="s">
        <v>431</v>
      </c>
      <c r="BB282" s="11">
        <v>5250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366</v>
      </c>
      <c r="M283" s="9" t="s">
        <v>970</v>
      </c>
      <c r="N283" s="9" t="s">
        <v>989</v>
      </c>
      <c r="O283" s="9">
        <v>0</v>
      </c>
      <c r="P283" s="9">
        <v>15</v>
      </c>
      <c r="Q283" s="142"/>
      <c r="U283" s="9" t="s">
        <v>725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531</v>
      </c>
      <c r="AD283" s="9">
        <v>19</v>
      </c>
      <c r="AF283" s="9">
        <v>100000</v>
      </c>
      <c r="AI283" s="56">
        <f t="shared" ca="1" si="106"/>
        <v>5000</v>
      </c>
      <c r="AJ283" s="10">
        <f ca="1">AO283+AQ283+(IFERROR(OFFSET(ITEM_RES!$T$1,MATCH(AU283,ITEM_RES!$A:$A,0)-1,0),0)*AW283+IFERROR(OFFSET(ITEM_RES!$T$1,MATCH(AZ283,ITEM_RES!$A:$A,0)-1,0),0)*BB283+IFERROR(OFFSET(ITEM_RES!$T$1,MATCH(BE283,ITEM_RES!$A:$A,0)-1,0),0)*BG283+IFERROR(OFFSET(ITEM_RES!$T$1,MATCH(BJ283,ITEM_RES!$A:$A,0)-1,0),0)*BL283+IFERROR(OFFSET(ITEM_RES!$T$1,MATCH(BO283,ITEM_RES!$A:$A,0)-1,0),0)*BQ283)/1000</f>
        <v>5000</v>
      </c>
      <c r="AK283" s="183">
        <f t="shared" ca="1" si="105"/>
        <v>9200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453</v>
      </c>
      <c r="AW283" s="11">
        <v>6250</v>
      </c>
      <c r="AZ283" s="11">
        <f ca="1">IFERROR(OFFSET(ITEM_RES!$A$1,MATCH(BA283,ITEM_RES!$J:$J,0)-1,0),0)</f>
        <v>211020501</v>
      </c>
      <c r="BA283" s="10" t="s">
        <v>431</v>
      </c>
      <c r="BB283" s="11">
        <v>6250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366</v>
      </c>
      <c r="M284" s="9" t="s">
        <v>970</v>
      </c>
      <c r="N284" s="9" t="s">
        <v>989</v>
      </c>
      <c r="O284" s="9">
        <v>0</v>
      </c>
      <c r="P284" s="9">
        <v>15</v>
      </c>
      <c r="Q284" s="142"/>
      <c r="U284" s="9" t="s">
        <v>725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531</v>
      </c>
      <c r="AD284" s="9">
        <v>20</v>
      </c>
      <c r="AF284" s="9">
        <v>120000</v>
      </c>
      <c r="AI284" s="56">
        <f t="shared" ca="1" si="106"/>
        <v>6000</v>
      </c>
      <c r="AJ284" s="10">
        <f ca="1">AO284+AQ284+(IFERROR(OFFSET(ITEM_RES!$T$1,MATCH(AU284,ITEM_RES!$A:$A,0)-1,0),0)*AW284+IFERROR(OFFSET(ITEM_RES!$T$1,MATCH(AZ284,ITEM_RES!$A:$A,0)-1,0),0)*BB284+IFERROR(OFFSET(ITEM_RES!$T$1,MATCH(BE284,ITEM_RES!$A:$A,0)-1,0),0)*BG284+IFERROR(OFFSET(ITEM_RES!$T$1,MATCH(BJ284,ITEM_RES!$A:$A,0)-1,0),0)*BL284+IFERROR(OFFSET(ITEM_RES!$T$1,MATCH(BO284,ITEM_RES!$A:$A,0)-1,0),0)*BQ284)/1000</f>
        <v>6000</v>
      </c>
      <c r="AK284" s="183">
        <f t="shared" ca="1" si="105"/>
        <v>11000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453</v>
      </c>
      <c r="AW284" s="11">
        <v>7500</v>
      </c>
      <c r="AZ284" s="11">
        <f ca="1">IFERROR(OFFSET(ITEM_RES!$A$1,MATCH(BA284,ITEM_RES!$J:$J,0)-1,0),0)</f>
        <v>211020501</v>
      </c>
      <c r="BA284" s="10" t="s">
        <v>431</v>
      </c>
      <c r="BB284" s="11">
        <v>7500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si="100"/>
        <v>111070001</v>
      </c>
      <c r="B285" s="20">
        <v>11</v>
      </c>
      <c r="C285" s="19">
        <f t="shared" si="101"/>
        <v>1</v>
      </c>
      <c r="D285" s="20">
        <v>7</v>
      </c>
      <c r="E285" s="20">
        <v>0</v>
      </c>
      <c r="F285" s="19">
        <f t="shared" si="102"/>
        <v>1</v>
      </c>
      <c r="G285" s="79"/>
      <c r="H285" s="16">
        <v>1</v>
      </c>
      <c r="I285" s="16">
        <v>1</v>
      </c>
      <c r="J285" s="79"/>
      <c r="K285" s="16" t="s">
        <v>727</v>
      </c>
      <c r="L285" s="16"/>
      <c r="M285" s="16" t="s">
        <v>971</v>
      </c>
      <c r="N285" s="16" t="s">
        <v>990</v>
      </c>
      <c r="O285" s="16">
        <v>1</v>
      </c>
      <c r="P285" s="16">
        <v>15</v>
      </c>
      <c r="Q285" s="141"/>
      <c r="R285" s="17"/>
      <c r="S285" s="17"/>
      <c r="T285" s="18"/>
      <c r="U285" s="16" t="s">
        <v>726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532</v>
      </c>
      <c r="AD285" s="16">
        <v>1</v>
      </c>
      <c r="AE285" s="79"/>
      <c r="AF285" s="16">
        <v>0</v>
      </c>
      <c r="AG285" s="17"/>
      <c r="AH285" s="79"/>
      <c r="AI285" s="57">
        <f t="shared" ca="1" si="106"/>
        <v>113</v>
      </c>
      <c r="AJ285" s="17">
        <f ca="1">AO285+AQ285+(IFERROR(OFFSET(ITEM_RES!$T$1,MATCH(AU285,ITEM_RES!$A:$A,0)-1,0),0)*AW285+IFERROR(OFFSET(ITEM_RES!$T$1,MATCH(AZ285,ITEM_RES!$A:$A,0)-1,0),0)*BB285+IFERROR(OFFSET(ITEM_RES!$T$1,MATCH(BE285,ITEM_RES!$A:$A,0)-1,0),0)*BG285+IFERROR(OFFSET(ITEM_RES!$T$1,MATCH(BJ285,ITEM_RES!$A:$A,0)-1,0),0)*BL285+IFERROR(OFFSET(ITEM_RES!$T$1,MATCH(BO285,ITEM_RES!$A:$A,0)-1,0),0)*BQ285)/1000</f>
        <v>112.5</v>
      </c>
      <c r="AK285" s="185">
        <f ca="1">AJ285</f>
        <v>112.5</v>
      </c>
      <c r="AL285" s="79"/>
      <c r="AM285" s="18">
        <f t="shared" si="97"/>
        <v>5</v>
      </c>
      <c r="AN285" s="17">
        <v>5</v>
      </c>
      <c r="AO285" s="18">
        <f t="shared" si="104"/>
        <v>5</v>
      </c>
      <c r="AP285" s="17">
        <v>5</v>
      </c>
      <c r="AQ285" s="18">
        <f t="shared" si="104"/>
        <v>5</v>
      </c>
      <c r="AR285" s="17">
        <v>5</v>
      </c>
      <c r="AS285" s="57">
        <f t="shared" si="98"/>
        <v>2</v>
      </c>
      <c r="AT285" s="18"/>
      <c r="AU285" s="18">
        <f ca="1">IFERROR(OFFSET(ITEM_RES!$A$1,MATCH(AV285,ITEM_RES!$J:$J,0)-1,0),0)</f>
        <v>211020801</v>
      </c>
      <c r="AV285" s="17" t="s">
        <v>442</v>
      </c>
      <c r="AW285" s="18">
        <v>25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463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/>
      <c r="BR285" s="17"/>
    </row>
    <row r="286" spans="1:70" x14ac:dyDescent="0.3">
      <c r="A286" s="14">
        <f t="shared" si="100"/>
        <v>111070002</v>
      </c>
      <c r="B286" s="13">
        <v>11</v>
      </c>
      <c r="C286" s="12">
        <f t="shared" si="101"/>
        <v>1</v>
      </c>
      <c r="D286" s="13">
        <v>7</v>
      </c>
      <c r="E286" s="13">
        <v>0</v>
      </c>
      <c r="F286" s="12">
        <f t="shared" si="102"/>
        <v>2</v>
      </c>
      <c r="H286" s="9">
        <v>1</v>
      </c>
      <c r="I286" s="9">
        <v>2</v>
      </c>
      <c r="K286" s="9" t="s">
        <v>727</v>
      </c>
      <c r="M286" s="9" t="s">
        <v>971</v>
      </c>
      <c r="N286" s="9" t="s">
        <v>990</v>
      </c>
      <c r="O286" s="9">
        <v>1</v>
      </c>
      <c r="P286" s="9">
        <v>15</v>
      </c>
      <c r="Q286" s="142"/>
      <c r="U286" s="9" t="s">
        <v>726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532</v>
      </c>
      <c r="AD286" s="9">
        <v>2</v>
      </c>
      <c r="AF286" s="9">
        <v>200</v>
      </c>
      <c r="AI286" s="56">
        <f t="shared" ca="1" si="106"/>
        <v>25</v>
      </c>
      <c r="AJ286" s="10">
        <f ca="1">AO286+AQ286+(IFERROR(OFFSET(ITEM_RES!$T$1,MATCH(AU286,ITEM_RES!$A:$A,0)-1,0),0)*AW286+IFERROR(OFFSET(ITEM_RES!$T$1,MATCH(AZ286,ITEM_RES!$A:$A,0)-1,0),0)*BB286+IFERROR(OFFSET(ITEM_RES!$T$1,MATCH(BE286,ITEM_RES!$A:$A,0)-1,0),0)*BG286+IFERROR(OFFSET(ITEM_RES!$T$1,MATCH(BJ286,ITEM_RES!$A:$A,0)-1,0),0)*BL286+IFERROR(OFFSET(ITEM_RES!$T$1,MATCH(BO286,ITEM_RES!$A:$A,0)-1,0),0)*BQ286)/1000</f>
        <v>25</v>
      </c>
      <c r="AK286" s="183">
        <f t="shared" ref="AK286:AK304" ca="1" si="107">AJ285+AJ286</f>
        <v>137.5</v>
      </c>
      <c r="AM286" s="11">
        <f t="shared" si="97"/>
        <v>10</v>
      </c>
      <c r="AN286" s="10">
        <v>10</v>
      </c>
      <c r="AO286" s="11">
        <f t="shared" si="104"/>
        <v>10</v>
      </c>
      <c r="AP286" s="10">
        <v>10</v>
      </c>
      <c r="AQ286" s="11">
        <f t="shared" si="104"/>
        <v>10</v>
      </c>
      <c r="AR286" s="10">
        <v>10</v>
      </c>
      <c r="AS286" s="56">
        <f t="shared" si="98"/>
        <v>1</v>
      </c>
      <c r="AU286" s="11">
        <f ca="1">IFERROR(OFFSET(ITEM_RES!$A$1,MATCH(AV286,ITEM_RES!$J:$J,0)-1,0),0)</f>
        <v>211020801</v>
      </c>
      <c r="AV286" s="10" t="s">
        <v>442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</row>
    <row r="287" spans="1:70" x14ac:dyDescent="0.3">
      <c r="A287" s="14">
        <f t="shared" si="100"/>
        <v>111070003</v>
      </c>
      <c r="B287" s="13">
        <v>11</v>
      </c>
      <c r="C287" s="12">
        <f t="shared" si="101"/>
        <v>1</v>
      </c>
      <c r="D287" s="13">
        <v>7</v>
      </c>
      <c r="E287" s="13">
        <v>0</v>
      </c>
      <c r="F287" s="12">
        <f t="shared" si="102"/>
        <v>3</v>
      </c>
      <c r="H287" s="9">
        <v>1</v>
      </c>
      <c r="I287" s="9">
        <v>3</v>
      </c>
      <c r="K287" s="9" t="s">
        <v>727</v>
      </c>
      <c r="M287" s="9" t="s">
        <v>971</v>
      </c>
      <c r="N287" s="9" t="s">
        <v>990</v>
      </c>
      <c r="O287" s="9">
        <v>1</v>
      </c>
      <c r="P287" s="9">
        <v>15</v>
      </c>
      <c r="Q287" s="142"/>
      <c r="U287" s="9" t="s">
        <v>726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532</v>
      </c>
      <c r="AD287" s="9">
        <v>3</v>
      </c>
      <c r="AF287" s="9">
        <v>600</v>
      </c>
      <c r="AI287" s="56">
        <f t="shared" ca="1" si="106"/>
        <v>38</v>
      </c>
      <c r="AJ287" s="10">
        <f ca="1">AO287+AQ287+(IFERROR(OFFSET(ITEM_RES!$T$1,MATCH(AU287,ITEM_RES!$A:$A,0)-1,0),0)*AW287+IFERROR(OFFSET(ITEM_RES!$T$1,MATCH(AZ287,ITEM_RES!$A:$A,0)-1,0),0)*BB287+IFERROR(OFFSET(ITEM_RES!$T$1,MATCH(BE287,ITEM_RES!$A:$A,0)-1,0),0)*BG287+IFERROR(OFFSET(ITEM_RES!$T$1,MATCH(BJ287,ITEM_RES!$A:$A,0)-1,0),0)*BL287+IFERROR(OFFSET(ITEM_RES!$T$1,MATCH(BO287,ITEM_RES!$A:$A,0)-1,0),0)*BQ287)/1000</f>
        <v>37.5</v>
      </c>
      <c r="AK287" s="183">
        <f t="shared" ca="1" si="107"/>
        <v>62.5</v>
      </c>
      <c r="AM287" s="11">
        <f t="shared" si="97"/>
        <v>15</v>
      </c>
      <c r="AN287" s="10">
        <v>15</v>
      </c>
      <c r="AO287" s="11">
        <f t="shared" si="104"/>
        <v>15</v>
      </c>
      <c r="AP287" s="10">
        <v>15</v>
      </c>
      <c r="AQ287" s="11">
        <f t="shared" si="104"/>
        <v>15</v>
      </c>
      <c r="AR287" s="10">
        <v>15</v>
      </c>
      <c r="AS287" s="56">
        <f t="shared" si="98"/>
        <v>1</v>
      </c>
      <c r="AU287" s="11">
        <f ca="1">IFERROR(OFFSET(ITEM_RES!$A$1,MATCH(AV287,ITEM_RES!$J:$J,0)-1,0),0)</f>
        <v>211020801</v>
      </c>
      <c r="AV287" s="10" t="s">
        <v>442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</row>
    <row r="288" spans="1:70" x14ac:dyDescent="0.3">
      <c r="A288" s="14">
        <f t="shared" si="100"/>
        <v>111070004</v>
      </c>
      <c r="B288" s="13">
        <v>11</v>
      </c>
      <c r="C288" s="12">
        <f t="shared" si="101"/>
        <v>1</v>
      </c>
      <c r="D288" s="13">
        <v>7</v>
      </c>
      <c r="E288" s="13">
        <v>0</v>
      </c>
      <c r="F288" s="12">
        <f t="shared" si="102"/>
        <v>4</v>
      </c>
      <c r="H288" s="9">
        <v>1</v>
      </c>
      <c r="I288" s="9">
        <v>4</v>
      </c>
      <c r="K288" s="9" t="s">
        <v>727</v>
      </c>
      <c r="M288" s="9" t="s">
        <v>971</v>
      </c>
      <c r="N288" s="9" t="s">
        <v>990</v>
      </c>
      <c r="O288" s="9">
        <v>1</v>
      </c>
      <c r="P288" s="9">
        <v>15</v>
      </c>
      <c r="Q288" s="142"/>
      <c r="U288" s="9" t="s">
        <v>726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532</v>
      </c>
      <c r="AD288" s="9">
        <v>4</v>
      </c>
      <c r="AF288" s="9">
        <v>1000</v>
      </c>
      <c r="AI288" s="56">
        <f t="shared" ca="1" si="106"/>
        <v>63</v>
      </c>
      <c r="AJ288" s="10">
        <f ca="1">AO288+AQ288+(IFERROR(OFFSET(ITEM_RES!$T$1,MATCH(AU288,ITEM_RES!$A:$A,0)-1,0),0)*AW288+IFERROR(OFFSET(ITEM_RES!$T$1,MATCH(AZ288,ITEM_RES!$A:$A,0)-1,0),0)*BB288+IFERROR(OFFSET(ITEM_RES!$T$1,MATCH(BE288,ITEM_RES!$A:$A,0)-1,0),0)*BG288+IFERROR(OFFSET(ITEM_RES!$T$1,MATCH(BJ288,ITEM_RES!$A:$A,0)-1,0),0)*BL288+IFERROR(OFFSET(ITEM_RES!$T$1,MATCH(BO288,ITEM_RES!$A:$A,0)-1,0),0)*BQ288)/1000</f>
        <v>62.5</v>
      </c>
      <c r="AK288" s="183">
        <f t="shared" ca="1" si="107"/>
        <v>100</v>
      </c>
      <c r="AM288" s="11">
        <f t="shared" si="97"/>
        <v>20</v>
      </c>
      <c r="AN288" s="10">
        <v>20</v>
      </c>
      <c r="AO288" s="11">
        <f t="shared" si="104"/>
        <v>25</v>
      </c>
      <c r="AP288" s="10">
        <v>25</v>
      </c>
      <c r="AQ288" s="11">
        <f t="shared" si="104"/>
        <v>25</v>
      </c>
      <c r="AR288" s="10">
        <v>25</v>
      </c>
      <c r="AS288" s="56">
        <f t="shared" si="98"/>
        <v>1</v>
      </c>
      <c r="AU288" s="11">
        <f ca="1">IFERROR(OFFSET(ITEM_RES!$A$1,MATCH(AV288,ITEM_RES!$J:$J,0)-1,0),0)</f>
        <v>211020801</v>
      </c>
      <c r="AV288" s="10" t="s">
        <v>442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</row>
    <row r="289" spans="1:67" x14ac:dyDescent="0.3">
      <c r="A289" s="14">
        <f t="shared" si="100"/>
        <v>111070005</v>
      </c>
      <c r="B289" s="13">
        <v>11</v>
      </c>
      <c r="C289" s="12">
        <f t="shared" si="101"/>
        <v>1</v>
      </c>
      <c r="D289" s="13">
        <v>7</v>
      </c>
      <c r="E289" s="13">
        <v>0</v>
      </c>
      <c r="F289" s="12">
        <f t="shared" si="102"/>
        <v>5</v>
      </c>
      <c r="H289" s="9">
        <v>1</v>
      </c>
      <c r="I289" s="9">
        <v>5</v>
      </c>
      <c r="K289" s="9" t="s">
        <v>727</v>
      </c>
      <c r="M289" s="9" t="s">
        <v>971</v>
      </c>
      <c r="N289" s="9" t="s">
        <v>990</v>
      </c>
      <c r="O289" s="9">
        <v>1</v>
      </c>
      <c r="P289" s="9">
        <v>15</v>
      </c>
      <c r="Q289" s="142"/>
      <c r="U289" s="9" t="s">
        <v>726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532</v>
      </c>
      <c r="AD289" s="9">
        <v>5</v>
      </c>
      <c r="AF289" s="9">
        <v>1600</v>
      </c>
      <c r="AI289" s="56">
        <f t="shared" ca="1" si="106"/>
        <v>100</v>
      </c>
      <c r="AJ289" s="10">
        <f ca="1">AO289+AQ289+(IFERROR(OFFSET(ITEM_RES!$T$1,MATCH(AU289,ITEM_RES!$A:$A,0)-1,0),0)*AW289+IFERROR(OFFSET(ITEM_RES!$T$1,MATCH(AZ289,ITEM_RES!$A:$A,0)-1,0),0)*BB289+IFERROR(OFFSET(ITEM_RES!$T$1,MATCH(BE289,ITEM_RES!$A:$A,0)-1,0),0)*BG289+IFERROR(OFFSET(ITEM_RES!$T$1,MATCH(BJ289,ITEM_RES!$A:$A,0)-1,0),0)*BL289+IFERROR(OFFSET(ITEM_RES!$T$1,MATCH(BO289,ITEM_RES!$A:$A,0)-1,0),0)*BQ289)/1000</f>
        <v>100</v>
      </c>
      <c r="AK289" s="183">
        <f t="shared" ca="1" si="107"/>
        <v>162.5</v>
      </c>
      <c r="AM289" s="11">
        <f t="shared" si="97"/>
        <v>25</v>
      </c>
      <c r="AN289" s="10">
        <v>25</v>
      </c>
      <c r="AO289" s="11">
        <f t="shared" si="104"/>
        <v>40</v>
      </c>
      <c r="AP289" s="10">
        <v>40</v>
      </c>
      <c r="AQ289" s="11">
        <f t="shared" si="104"/>
        <v>40</v>
      </c>
      <c r="AR289" s="10">
        <v>40</v>
      </c>
      <c r="AS289" s="56">
        <f t="shared" si="98"/>
        <v>1</v>
      </c>
      <c r="AU289" s="11">
        <f ca="1">IFERROR(OFFSET(ITEM_RES!$A$1,MATCH(AV289,ITEM_RES!$J:$J,0)-1,0),0)</f>
        <v>211020801</v>
      </c>
      <c r="AV289" s="10" t="s">
        <v>442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</row>
    <row r="290" spans="1:67" x14ac:dyDescent="0.3">
      <c r="A290" s="14">
        <f t="shared" si="100"/>
        <v>111070006</v>
      </c>
      <c r="B290" s="13">
        <v>11</v>
      </c>
      <c r="C290" s="12">
        <f t="shared" si="101"/>
        <v>1</v>
      </c>
      <c r="D290" s="13">
        <v>7</v>
      </c>
      <c r="E290" s="13">
        <v>0</v>
      </c>
      <c r="F290" s="12">
        <f t="shared" si="102"/>
        <v>6</v>
      </c>
      <c r="H290" s="9">
        <v>1</v>
      </c>
      <c r="I290" s="9">
        <v>6</v>
      </c>
      <c r="K290" s="9" t="s">
        <v>727</v>
      </c>
      <c r="M290" s="9" t="s">
        <v>971</v>
      </c>
      <c r="N290" s="9" t="s">
        <v>990</v>
      </c>
      <c r="O290" s="9">
        <v>1</v>
      </c>
      <c r="P290" s="9">
        <v>15</v>
      </c>
      <c r="Q290" s="142"/>
      <c r="U290" s="9" t="s">
        <v>726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532</v>
      </c>
      <c r="AD290" s="9">
        <v>6</v>
      </c>
      <c r="AF290" s="9">
        <v>2000</v>
      </c>
      <c r="AI290" s="56">
        <f t="shared" ca="1" si="106"/>
        <v>125</v>
      </c>
      <c r="AJ290" s="10">
        <f ca="1">AO290+AQ290+(IFERROR(OFFSET(ITEM_RES!$T$1,MATCH(AU290,ITEM_RES!$A:$A,0)-1,0),0)*AW290+IFERROR(OFFSET(ITEM_RES!$T$1,MATCH(AZ290,ITEM_RES!$A:$A,0)-1,0),0)*BB290+IFERROR(OFFSET(ITEM_RES!$T$1,MATCH(BE290,ITEM_RES!$A:$A,0)-1,0),0)*BG290+IFERROR(OFFSET(ITEM_RES!$T$1,MATCH(BJ290,ITEM_RES!$A:$A,0)-1,0),0)*BL290+IFERROR(OFFSET(ITEM_RES!$T$1,MATCH(BO290,ITEM_RES!$A:$A,0)-1,0),0)*BQ290)/1000</f>
        <v>125</v>
      </c>
      <c r="AK290" s="183">
        <f t="shared" ca="1" si="107"/>
        <v>225</v>
      </c>
      <c r="AM290" s="11">
        <f t="shared" si="97"/>
        <v>30</v>
      </c>
      <c r="AN290" s="10">
        <v>30</v>
      </c>
      <c r="AO290" s="11">
        <f t="shared" si="104"/>
        <v>50</v>
      </c>
      <c r="AP290" s="10">
        <v>50</v>
      </c>
      <c r="AQ290" s="11">
        <f t="shared" si="104"/>
        <v>50</v>
      </c>
      <c r="AR290" s="10">
        <v>50</v>
      </c>
      <c r="AS290" s="56">
        <f t="shared" si="98"/>
        <v>1</v>
      </c>
      <c r="AU290" s="11">
        <f ca="1">IFERROR(OFFSET(ITEM_RES!$A$1,MATCH(AV290,ITEM_RES!$J:$J,0)-1,0),0)</f>
        <v>211020801</v>
      </c>
      <c r="AV290" s="10" t="s">
        <v>442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</row>
    <row r="291" spans="1:67" x14ac:dyDescent="0.3">
      <c r="A291" s="14">
        <f t="shared" si="100"/>
        <v>111070007</v>
      </c>
      <c r="B291" s="13">
        <v>11</v>
      </c>
      <c r="C291" s="12">
        <f t="shared" si="101"/>
        <v>1</v>
      </c>
      <c r="D291" s="13">
        <v>7</v>
      </c>
      <c r="E291" s="13">
        <v>0</v>
      </c>
      <c r="F291" s="12">
        <f t="shared" si="102"/>
        <v>7</v>
      </c>
      <c r="H291" s="9">
        <v>1</v>
      </c>
      <c r="I291" s="9">
        <v>7</v>
      </c>
      <c r="K291" s="9" t="s">
        <v>727</v>
      </c>
      <c r="M291" s="9" t="s">
        <v>971</v>
      </c>
      <c r="N291" s="9" t="s">
        <v>990</v>
      </c>
      <c r="O291" s="9">
        <v>1</v>
      </c>
      <c r="P291" s="9">
        <v>15</v>
      </c>
      <c r="Q291" s="142"/>
      <c r="U291" s="9" t="s">
        <v>726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532</v>
      </c>
      <c r="AD291" s="9">
        <v>7</v>
      </c>
      <c r="AF291" s="9">
        <v>4000</v>
      </c>
      <c r="AI291" s="56">
        <f t="shared" ca="1" si="106"/>
        <v>250</v>
      </c>
      <c r="AJ291" s="10">
        <f ca="1">AO291+AQ291+(IFERROR(OFFSET(ITEM_RES!$T$1,MATCH(AU291,ITEM_RES!$A:$A,0)-1,0),0)*AW291+IFERROR(OFFSET(ITEM_RES!$T$1,MATCH(AZ291,ITEM_RES!$A:$A,0)-1,0),0)*BB291+IFERROR(OFFSET(ITEM_RES!$T$1,MATCH(BE291,ITEM_RES!$A:$A,0)-1,0),0)*BG291+IFERROR(OFFSET(ITEM_RES!$T$1,MATCH(BJ291,ITEM_RES!$A:$A,0)-1,0),0)*BL291+IFERROR(OFFSET(ITEM_RES!$T$1,MATCH(BO291,ITEM_RES!$A:$A,0)-1,0),0)*BQ291)/1000</f>
        <v>250</v>
      </c>
      <c r="AK291" s="183">
        <f t="shared" ca="1" si="107"/>
        <v>375</v>
      </c>
      <c r="AM291" s="11">
        <f t="shared" si="97"/>
        <v>35</v>
      </c>
      <c r="AN291" s="10">
        <v>35</v>
      </c>
      <c r="AO291" s="11">
        <f t="shared" si="104"/>
        <v>100</v>
      </c>
      <c r="AP291" s="10">
        <v>100</v>
      </c>
      <c r="AQ291" s="11">
        <f t="shared" si="104"/>
        <v>100</v>
      </c>
      <c r="AR291" s="10">
        <v>100</v>
      </c>
      <c r="AS291" s="56">
        <f t="shared" si="98"/>
        <v>1</v>
      </c>
      <c r="AU291" s="11">
        <f ca="1">IFERROR(OFFSET(ITEM_RES!$A$1,MATCH(AV291,ITEM_RES!$J:$J,0)-1,0),0)</f>
        <v>211020801</v>
      </c>
      <c r="AV291" s="10" t="s">
        <v>442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</row>
    <row r="292" spans="1:67" x14ac:dyDescent="0.3">
      <c r="A292" s="14">
        <f t="shared" si="100"/>
        <v>111070008</v>
      </c>
      <c r="B292" s="13">
        <v>11</v>
      </c>
      <c r="C292" s="12">
        <f t="shared" si="101"/>
        <v>1</v>
      </c>
      <c r="D292" s="13">
        <v>7</v>
      </c>
      <c r="E292" s="13">
        <v>0</v>
      </c>
      <c r="F292" s="12">
        <f t="shared" si="102"/>
        <v>8</v>
      </c>
      <c r="H292" s="9">
        <v>1</v>
      </c>
      <c r="I292" s="9">
        <v>8</v>
      </c>
      <c r="K292" s="9" t="s">
        <v>727</v>
      </c>
      <c r="M292" s="9" t="s">
        <v>971</v>
      </c>
      <c r="N292" s="9" t="s">
        <v>990</v>
      </c>
      <c r="O292" s="9">
        <v>1</v>
      </c>
      <c r="P292" s="9">
        <v>15</v>
      </c>
      <c r="Q292" s="142"/>
      <c r="U292" s="9" t="s">
        <v>726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532</v>
      </c>
      <c r="AD292" s="9">
        <v>8</v>
      </c>
      <c r="AF292" s="9">
        <v>4000</v>
      </c>
      <c r="AI292" s="56">
        <f t="shared" ca="1" si="106"/>
        <v>250</v>
      </c>
      <c r="AJ292" s="10">
        <f ca="1">AO292+AQ292+(IFERROR(OFFSET(ITEM_RES!$T$1,MATCH(AU292,ITEM_RES!$A:$A,0)-1,0),0)*AW292+IFERROR(OFFSET(ITEM_RES!$T$1,MATCH(AZ292,ITEM_RES!$A:$A,0)-1,0),0)*BB292+IFERROR(OFFSET(ITEM_RES!$T$1,MATCH(BE292,ITEM_RES!$A:$A,0)-1,0),0)*BG292+IFERROR(OFFSET(ITEM_RES!$T$1,MATCH(BJ292,ITEM_RES!$A:$A,0)-1,0),0)*BL292+IFERROR(OFFSET(ITEM_RES!$T$1,MATCH(BO292,ITEM_RES!$A:$A,0)-1,0),0)*BQ292)/1000</f>
        <v>250</v>
      </c>
      <c r="AK292" s="183">
        <f t="shared" ca="1" si="107"/>
        <v>500</v>
      </c>
      <c r="AM292" s="11">
        <f t="shared" si="97"/>
        <v>40</v>
      </c>
      <c r="AN292" s="10">
        <v>40</v>
      </c>
      <c r="AO292" s="11">
        <f t="shared" si="104"/>
        <v>100</v>
      </c>
      <c r="AP292" s="10">
        <v>100</v>
      </c>
      <c r="AQ292" s="11">
        <f t="shared" si="104"/>
        <v>100</v>
      </c>
      <c r="AR292" s="10">
        <v>100</v>
      </c>
      <c r="AS292" s="56">
        <f t="shared" si="98"/>
        <v>1</v>
      </c>
      <c r="AU292" s="11">
        <f ca="1">IFERROR(OFFSET(ITEM_RES!$A$1,MATCH(AV292,ITEM_RES!$J:$J,0)-1,0),0)</f>
        <v>211020801</v>
      </c>
      <c r="AV292" s="10" t="s">
        <v>442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  <c r="BO292" s="11">
        <f ca="1">IFERROR(OFFSET(ITEM_RES!$A$1,MATCH(BP292,ITEM_RES!$J:$J,0)-1,0),0)</f>
        <v>0</v>
      </c>
    </row>
    <row r="293" spans="1:67" x14ac:dyDescent="0.3">
      <c r="A293" s="14">
        <f t="shared" si="100"/>
        <v>111070009</v>
      </c>
      <c r="B293" s="13">
        <v>11</v>
      </c>
      <c r="C293" s="12">
        <f t="shared" si="101"/>
        <v>1</v>
      </c>
      <c r="D293" s="13">
        <v>7</v>
      </c>
      <c r="E293" s="13">
        <v>0</v>
      </c>
      <c r="F293" s="12">
        <f t="shared" si="102"/>
        <v>9</v>
      </c>
      <c r="H293" s="9">
        <v>1</v>
      </c>
      <c r="I293" s="9">
        <v>9</v>
      </c>
      <c r="K293" s="9" t="s">
        <v>727</v>
      </c>
      <c r="M293" s="9" t="s">
        <v>971</v>
      </c>
      <c r="N293" s="9" t="s">
        <v>990</v>
      </c>
      <c r="O293" s="9">
        <v>1</v>
      </c>
      <c r="P293" s="9">
        <v>15</v>
      </c>
      <c r="Q293" s="142"/>
      <c r="U293" s="9" t="s">
        <v>726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532</v>
      </c>
      <c r="AD293" s="9">
        <v>9</v>
      </c>
      <c r="AF293" s="9">
        <v>6000</v>
      </c>
      <c r="AI293" s="56">
        <f t="shared" ca="1" si="106"/>
        <v>375</v>
      </c>
      <c r="AJ293" s="10">
        <f ca="1">AO293+AQ293+(IFERROR(OFFSET(ITEM_RES!$T$1,MATCH(AU293,ITEM_RES!$A:$A,0)-1,0),0)*AW293+IFERROR(OFFSET(ITEM_RES!$T$1,MATCH(AZ293,ITEM_RES!$A:$A,0)-1,0),0)*BB293+IFERROR(OFFSET(ITEM_RES!$T$1,MATCH(BE293,ITEM_RES!$A:$A,0)-1,0),0)*BG293+IFERROR(OFFSET(ITEM_RES!$T$1,MATCH(BJ293,ITEM_RES!$A:$A,0)-1,0),0)*BL293+IFERROR(OFFSET(ITEM_RES!$T$1,MATCH(BO293,ITEM_RES!$A:$A,0)-1,0),0)*BQ293)/1000</f>
        <v>375</v>
      </c>
      <c r="AK293" s="183">
        <f t="shared" ca="1" si="107"/>
        <v>625</v>
      </c>
      <c r="AM293" s="11">
        <f t="shared" si="97"/>
        <v>45</v>
      </c>
      <c r="AN293" s="10">
        <v>45</v>
      </c>
      <c r="AO293" s="11">
        <f t="shared" si="104"/>
        <v>150</v>
      </c>
      <c r="AP293" s="10">
        <v>150</v>
      </c>
      <c r="AQ293" s="11">
        <f t="shared" si="104"/>
        <v>150</v>
      </c>
      <c r="AR293" s="10">
        <v>150</v>
      </c>
      <c r="AS293" s="56">
        <f t="shared" si="98"/>
        <v>1</v>
      </c>
      <c r="AU293" s="11">
        <f ca="1">IFERROR(OFFSET(ITEM_RES!$A$1,MATCH(AV293,ITEM_RES!$J:$J,0)-1,0),0)</f>
        <v>211020801</v>
      </c>
      <c r="AV293" s="10" t="s">
        <v>442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</row>
    <row r="294" spans="1:67" x14ac:dyDescent="0.3">
      <c r="A294" s="14">
        <f t="shared" si="100"/>
        <v>111070010</v>
      </c>
      <c r="B294" s="13">
        <v>11</v>
      </c>
      <c r="C294" s="12">
        <f t="shared" si="101"/>
        <v>1</v>
      </c>
      <c r="D294" s="13">
        <v>7</v>
      </c>
      <c r="E294" s="13">
        <v>0</v>
      </c>
      <c r="F294" s="12">
        <f t="shared" si="102"/>
        <v>10</v>
      </c>
      <c r="H294" s="9">
        <v>1</v>
      </c>
      <c r="I294" s="9">
        <v>10</v>
      </c>
      <c r="K294" s="9" t="s">
        <v>727</v>
      </c>
      <c r="M294" s="9" t="s">
        <v>971</v>
      </c>
      <c r="N294" s="9" t="s">
        <v>990</v>
      </c>
      <c r="O294" s="9">
        <v>1</v>
      </c>
      <c r="P294" s="9">
        <v>15</v>
      </c>
      <c r="Q294" s="142"/>
      <c r="U294" s="9" t="s">
        <v>726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532</v>
      </c>
      <c r="AD294" s="9">
        <v>10</v>
      </c>
      <c r="AF294" s="9">
        <v>8000</v>
      </c>
      <c r="AI294" s="56">
        <f t="shared" ca="1" si="106"/>
        <v>500</v>
      </c>
      <c r="AJ294" s="10">
        <f ca="1">AO294+AQ294+(IFERROR(OFFSET(ITEM_RES!$T$1,MATCH(AU294,ITEM_RES!$A:$A,0)-1,0),0)*AW294+IFERROR(OFFSET(ITEM_RES!$T$1,MATCH(AZ294,ITEM_RES!$A:$A,0)-1,0),0)*BB294+IFERROR(OFFSET(ITEM_RES!$T$1,MATCH(BE294,ITEM_RES!$A:$A,0)-1,0),0)*BG294+IFERROR(OFFSET(ITEM_RES!$T$1,MATCH(BJ294,ITEM_RES!$A:$A,0)-1,0),0)*BL294+IFERROR(OFFSET(ITEM_RES!$T$1,MATCH(BO294,ITEM_RES!$A:$A,0)-1,0),0)*BQ294)/1000</f>
        <v>500</v>
      </c>
      <c r="AK294" s="183">
        <f t="shared" ca="1" si="107"/>
        <v>875</v>
      </c>
      <c r="AM294" s="11">
        <f t="shared" si="97"/>
        <v>50</v>
      </c>
      <c r="AN294" s="10">
        <v>50</v>
      </c>
      <c r="AO294" s="11">
        <f t="shared" si="104"/>
        <v>200</v>
      </c>
      <c r="AP294" s="10">
        <v>200</v>
      </c>
      <c r="AQ294" s="11">
        <f t="shared" si="104"/>
        <v>200</v>
      </c>
      <c r="AR294" s="10">
        <v>200</v>
      </c>
      <c r="AS294" s="56">
        <f t="shared" si="98"/>
        <v>1</v>
      </c>
      <c r="AU294" s="11">
        <f ca="1">IFERROR(OFFSET(ITEM_RES!$A$1,MATCH(AV294,ITEM_RES!$J:$J,0)-1,0),0)</f>
        <v>211020801</v>
      </c>
      <c r="AV294" s="10" t="s">
        <v>442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</row>
    <row r="295" spans="1:67" x14ac:dyDescent="0.3">
      <c r="A295" s="14">
        <f t="shared" si="100"/>
        <v>111070011</v>
      </c>
      <c r="B295" s="13">
        <v>11</v>
      </c>
      <c r="C295" s="12">
        <f t="shared" si="101"/>
        <v>1</v>
      </c>
      <c r="D295" s="13">
        <v>7</v>
      </c>
      <c r="E295" s="13">
        <v>0</v>
      </c>
      <c r="F295" s="12">
        <f t="shared" si="102"/>
        <v>11</v>
      </c>
      <c r="H295" s="9">
        <v>1</v>
      </c>
      <c r="I295" s="9">
        <v>11</v>
      </c>
      <c r="K295" s="9" t="s">
        <v>727</v>
      </c>
      <c r="M295" s="9" t="s">
        <v>971</v>
      </c>
      <c r="N295" s="9" t="s">
        <v>990</v>
      </c>
      <c r="O295" s="9">
        <v>1</v>
      </c>
      <c r="P295" s="9">
        <v>15</v>
      </c>
      <c r="Q295" s="142"/>
      <c r="U295" s="9" t="s">
        <v>726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532</v>
      </c>
      <c r="AD295" s="9">
        <v>11</v>
      </c>
      <c r="AF295" s="9">
        <v>10000</v>
      </c>
      <c r="AI295" s="56">
        <f t="shared" ca="1" si="106"/>
        <v>625</v>
      </c>
      <c r="AJ295" s="10">
        <f ca="1">AO295+AQ295+(IFERROR(OFFSET(ITEM_RES!$T$1,MATCH(AU295,ITEM_RES!$A:$A,0)-1,0),0)*AW295+IFERROR(OFFSET(ITEM_RES!$T$1,MATCH(AZ295,ITEM_RES!$A:$A,0)-1,0),0)*BB295+IFERROR(OFFSET(ITEM_RES!$T$1,MATCH(BE295,ITEM_RES!$A:$A,0)-1,0),0)*BG295+IFERROR(OFFSET(ITEM_RES!$T$1,MATCH(BJ295,ITEM_RES!$A:$A,0)-1,0),0)*BL295+IFERROR(OFFSET(ITEM_RES!$T$1,MATCH(BO295,ITEM_RES!$A:$A,0)-1,0),0)*BQ295)/1000</f>
        <v>625</v>
      </c>
      <c r="AK295" s="183">
        <f t="shared" ca="1" si="107"/>
        <v>1125</v>
      </c>
      <c r="AM295" s="11">
        <f t="shared" si="97"/>
        <v>55</v>
      </c>
      <c r="AN295" s="10">
        <v>55</v>
      </c>
      <c r="AO295" s="11">
        <f t="shared" si="104"/>
        <v>250</v>
      </c>
      <c r="AP295" s="10">
        <v>250</v>
      </c>
      <c r="AQ295" s="11">
        <f t="shared" si="104"/>
        <v>250</v>
      </c>
      <c r="AR295" s="10">
        <v>250</v>
      </c>
      <c r="AS295" s="56">
        <f t="shared" si="98"/>
        <v>1</v>
      </c>
      <c r="AU295" s="11">
        <f ca="1">IFERROR(OFFSET(ITEM_RES!$A$1,MATCH(AV295,ITEM_RES!$J:$J,0)-1,0),0)</f>
        <v>211020801</v>
      </c>
      <c r="AV295" s="10" t="s">
        <v>442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</row>
    <row r="296" spans="1:67" x14ac:dyDescent="0.3">
      <c r="A296" s="14">
        <f t="shared" si="100"/>
        <v>111070012</v>
      </c>
      <c r="B296" s="13">
        <v>11</v>
      </c>
      <c r="C296" s="12">
        <f t="shared" si="101"/>
        <v>1</v>
      </c>
      <c r="D296" s="13">
        <v>7</v>
      </c>
      <c r="E296" s="13">
        <v>0</v>
      </c>
      <c r="F296" s="12">
        <f t="shared" si="102"/>
        <v>12</v>
      </c>
      <c r="H296" s="9">
        <v>1</v>
      </c>
      <c r="I296" s="9">
        <v>12</v>
      </c>
      <c r="K296" s="9" t="s">
        <v>727</v>
      </c>
      <c r="M296" s="9" t="s">
        <v>971</v>
      </c>
      <c r="N296" s="9" t="s">
        <v>990</v>
      </c>
      <c r="O296" s="9">
        <v>1</v>
      </c>
      <c r="P296" s="9">
        <v>15</v>
      </c>
      <c r="Q296" s="142"/>
      <c r="U296" s="9" t="s">
        <v>726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532</v>
      </c>
      <c r="AD296" s="9">
        <v>12</v>
      </c>
      <c r="AF296" s="9">
        <v>12000</v>
      </c>
      <c r="AI296" s="56">
        <f t="shared" ca="1" si="106"/>
        <v>750</v>
      </c>
      <c r="AJ296" s="10">
        <f ca="1">AO296+AQ296+(IFERROR(OFFSET(ITEM_RES!$T$1,MATCH(AU296,ITEM_RES!$A:$A,0)-1,0),0)*AW296+IFERROR(OFFSET(ITEM_RES!$T$1,MATCH(AZ296,ITEM_RES!$A:$A,0)-1,0),0)*BB296+IFERROR(OFFSET(ITEM_RES!$T$1,MATCH(BE296,ITEM_RES!$A:$A,0)-1,0),0)*BG296+IFERROR(OFFSET(ITEM_RES!$T$1,MATCH(BJ296,ITEM_RES!$A:$A,0)-1,0),0)*BL296+IFERROR(OFFSET(ITEM_RES!$T$1,MATCH(BO296,ITEM_RES!$A:$A,0)-1,0),0)*BQ296)/1000</f>
        <v>750</v>
      </c>
      <c r="AK296" s="183">
        <f t="shared" ca="1" si="107"/>
        <v>1375</v>
      </c>
      <c r="AM296" s="11">
        <f t="shared" si="97"/>
        <v>60</v>
      </c>
      <c r="AN296" s="10">
        <v>60</v>
      </c>
      <c r="AO296" s="11">
        <f t="shared" si="104"/>
        <v>300</v>
      </c>
      <c r="AP296" s="10">
        <v>300</v>
      </c>
      <c r="AQ296" s="11">
        <f t="shared" si="104"/>
        <v>300</v>
      </c>
      <c r="AR296" s="10">
        <v>300</v>
      </c>
      <c r="AS296" s="56">
        <f t="shared" si="98"/>
        <v>1</v>
      </c>
      <c r="AU296" s="11">
        <f ca="1">IFERROR(OFFSET(ITEM_RES!$A$1,MATCH(AV296,ITEM_RES!$J:$J,0)-1,0),0)</f>
        <v>211020801</v>
      </c>
      <c r="AV296" s="10" t="s">
        <v>442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</row>
    <row r="297" spans="1:67" x14ac:dyDescent="0.3">
      <c r="A297" s="14">
        <f t="shared" si="100"/>
        <v>111070013</v>
      </c>
      <c r="B297" s="13">
        <v>11</v>
      </c>
      <c r="C297" s="12">
        <f t="shared" si="101"/>
        <v>1</v>
      </c>
      <c r="D297" s="13">
        <v>7</v>
      </c>
      <c r="E297" s="13">
        <v>0</v>
      </c>
      <c r="F297" s="12">
        <f t="shared" si="102"/>
        <v>13</v>
      </c>
      <c r="H297" s="9">
        <v>1</v>
      </c>
      <c r="I297" s="9">
        <v>13</v>
      </c>
      <c r="K297" s="9" t="s">
        <v>727</v>
      </c>
      <c r="M297" s="9" t="s">
        <v>971</v>
      </c>
      <c r="N297" s="9" t="s">
        <v>990</v>
      </c>
      <c r="O297" s="9">
        <v>1</v>
      </c>
      <c r="P297" s="9">
        <v>15</v>
      </c>
      <c r="Q297" s="142"/>
      <c r="U297" s="9" t="s">
        <v>726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532</v>
      </c>
      <c r="AD297" s="9">
        <v>13</v>
      </c>
      <c r="AF297" s="9">
        <v>14000</v>
      </c>
      <c r="AI297" s="56">
        <f t="shared" ca="1" si="106"/>
        <v>875</v>
      </c>
      <c r="AJ297" s="10">
        <f ca="1">AO297+AQ297+(IFERROR(OFFSET(ITEM_RES!$T$1,MATCH(AU297,ITEM_RES!$A:$A,0)-1,0),0)*AW297+IFERROR(OFFSET(ITEM_RES!$T$1,MATCH(AZ297,ITEM_RES!$A:$A,0)-1,0),0)*BB297+IFERROR(OFFSET(ITEM_RES!$T$1,MATCH(BE297,ITEM_RES!$A:$A,0)-1,0),0)*BG297+IFERROR(OFFSET(ITEM_RES!$T$1,MATCH(BJ297,ITEM_RES!$A:$A,0)-1,0),0)*BL297+IFERROR(OFFSET(ITEM_RES!$T$1,MATCH(BO297,ITEM_RES!$A:$A,0)-1,0),0)*BQ297)/1000</f>
        <v>875</v>
      </c>
      <c r="AK297" s="183">
        <f t="shared" ca="1" si="107"/>
        <v>1625</v>
      </c>
      <c r="AM297" s="11">
        <f t="shared" si="97"/>
        <v>65</v>
      </c>
      <c r="AN297" s="10">
        <v>65</v>
      </c>
      <c r="AO297" s="11">
        <f t="shared" si="104"/>
        <v>350</v>
      </c>
      <c r="AP297" s="10">
        <v>350</v>
      </c>
      <c r="AQ297" s="11">
        <f t="shared" si="104"/>
        <v>350</v>
      </c>
      <c r="AR297" s="10">
        <v>350</v>
      </c>
      <c r="AS297" s="56">
        <f t="shared" si="98"/>
        <v>1</v>
      </c>
      <c r="AU297" s="11">
        <f ca="1">IFERROR(OFFSET(ITEM_RES!$A$1,MATCH(AV297,ITEM_RES!$J:$J,0)-1,0),0)</f>
        <v>211020801</v>
      </c>
      <c r="AV297" s="10" t="s">
        <v>442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</row>
    <row r="298" spans="1:67" x14ac:dyDescent="0.3">
      <c r="A298" s="14">
        <f t="shared" si="100"/>
        <v>111070014</v>
      </c>
      <c r="B298" s="13">
        <v>11</v>
      </c>
      <c r="C298" s="12">
        <f t="shared" si="101"/>
        <v>1</v>
      </c>
      <c r="D298" s="13">
        <v>7</v>
      </c>
      <c r="E298" s="13">
        <v>0</v>
      </c>
      <c r="F298" s="12">
        <f t="shared" si="102"/>
        <v>14</v>
      </c>
      <c r="H298" s="9">
        <v>1</v>
      </c>
      <c r="I298" s="9">
        <v>14</v>
      </c>
      <c r="K298" s="9" t="s">
        <v>727</v>
      </c>
      <c r="M298" s="9" t="s">
        <v>971</v>
      </c>
      <c r="N298" s="9" t="s">
        <v>990</v>
      </c>
      <c r="O298" s="9">
        <v>1</v>
      </c>
      <c r="P298" s="9">
        <v>15</v>
      </c>
      <c r="Q298" s="142"/>
      <c r="U298" s="9" t="s">
        <v>726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532</v>
      </c>
      <c r="AD298" s="9">
        <v>14</v>
      </c>
      <c r="AF298" s="9">
        <v>18000</v>
      </c>
      <c r="AI298" s="56">
        <f t="shared" ca="1" si="106"/>
        <v>1225</v>
      </c>
      <c r="AJ298" s="10">
        <f ca="1">AO298+AQ298+(IFERROR(OFFSET(ITEM_RES!$T$1,MATCH(AU298,ITEM_RES!$A:$A,0)-1,0),0)*AW298+IFERROR(OFFSET(ITEM_RES!$T$1,MATCH(AZ298,ITEM_RES!$A:$A,0)-1,0),0)*BB298+IFERROR(OFFSET(ITEM_RES!$T$1,MATCH(BE298,ITEM_RES!$A:$A,0)-1,0),0)*BG298+IFERROR(OFFSET(ITEM_RES!$T$1,MATCH(BJ298,ITEM_RES!$A:$A,0)-1,0),0)*BL298+IFERROR(OFFSET(ITEM_RES!$T$1,MATCH(BO298,ITEM_RES!$A:$A,0)-1,0),0)*BQ298)/1000</f>
        <v>1225</v>
      </c>
      <c r="AK298" s="183">
        <f t="shared" ca="1" si="107"/>
        <v>2100</v>
      </c>
      <c r="AM298" s="11">
        <f t="shared" si="97"/>
        <v>70</v>
      </c>
      <c r="AN298" s="10">
        <v>70</v>
      </c>
      <c r="AO298" s="11">
        <f t="shared" si="104"/>
        <v>450</v>
      </c>
      <c r="AP298" s="10">
        <v>450</v>
      </c>
      <c r="AQ298" s="11">
        <f t="shared" si="104"/>
        <v>450</v>
      </c>
      <c r="AR298" s="10">
        <v>450</v>
      </c>
      <c r="AS298" s="56">
        <f t="shared" si="98"/>
        <v>2</v>
      </c>
      <c r="AU298" s="11">
        <f ca="1">IFERROR(OFFSET(ITEM_RES!$A$1,MATCH(AV298,ITEM_RES!$J:$J,0)-1,0),0)</f>
        <v>211020801</v>
      </c>
      <c r="AV298" s="10" t="s">
        <v>442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213010901</v>
      </c>
      <c r="BK298" s="10" t="s">
        <v>475</v>
      </c>
      <c r="BL298" s="11">
        <v>1</v>
      </c>
      <c r="BO298" s="11">
        <f ca="1">IFERROR(OFFSET(ITEM_RES!$A$1,MATCH(BP298,ITEM_RES!$J:$J,0)-1,0),0)</f>
        <v>0</v>
      </c>
    </row>
    <row r="299" spans="1:67" x14ac:dyDescent="0.3">
      <c r="A299" s="14">
        <f t="shared" si="100"/>
        <v>111070015</v>
      </c>
      <c r="B299" s="13">
        <v>11</v>
      </c>
      <c r="C299" s="12">
        <f t="shared" si="101"/>
        <v>1</v>
      </c>
      <c r="D299" s="13">
        <v>7</v>
      </c>
      <c r="E299" s="13">
        <v>0</v>
      </c>
      <c r="F299" s="12">
        <f t="shared" si="102"/>
        <v>15</v>
      </c>
      <c r="H299" s="9">
        <v>1</v>
      </c>
      <c r="I299" s="9">
        <v>15</v>
      </c>
      <c r="K299" s="9" t="s">
        <v>727</v>
      </c>
      <c r="M299" s="9" t="s">
        <v>971</v>
      </c>
      <c r="N299" s="9" t="s">
        <v>990</v>
      </c>
      <c r="O299" s="9">
        <v>1</v>
      </c>
      <c r="P299" s="9">
        <v>15</v>
      </c>
      <c r="Q299" s="142"/>
      <c r="U299" s="9" t="s">
        <v>726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532</v>
      </c>
      <c r="AD299" s="9">
        <v>15</v>
      </c>
      <c r="AF299" s="9">
        <v>22000</v>
      </c>
      <c r="AI299" s="56">
        <f t="shared" ca="1" si="106"/>
        <v>1375</v>
      </c>
      <c r="AJ299" s="10">
        <f ca="1">AO299+AQ299+(IFERROR(OFFSET(ITEM_RES!$T$1,MATCH(AU299,ITEM_RES!$A:$A,0)-1,0),0)*AW299+IFERROR(OFFSET(ITEM_RES!$T$1,MATCH(AZ299,ITEM_RES!$A:$A,0)-1,0),0)*BB299+IFERROR(OFFSET(ITEM_RES!$T$1,MATCH(BE299,ITEM_RES!$A:$A,0)-1,0),0)*BG299+IFERROR(OFFSET(ITEM_RES!$T$1,MATCH(BJ299,ITEM_RES!$A:$A,0)-1,0),0)*BL299+IFERROR(OFFSET(ITEM_RES!$T$1,MATCH(BO299,ITEM_RES!$A:$A,0)-1,0),0)*BQ299)/1000</f>
        <v>1375</v>
      </c>
      <c r="AK299" s="183">
        <f t="shared" ca="1" si="107"/>
        <v>2600</v>
      </c>
      <c r="AM299" s="11">
        <f t="shared" si="97"/>
        <v>75</v>
      </c>
      <c r="AN299" s="10">
        <v>75</v>
      </c>
      <c r="AO299" s="11">
        <f t="shared" si="104"/>
        <v>550</v>
      </c>
      <c r="AP299" s="10">
        <v>550</v>
      </c>
      <c r="AQ299" s="11">
        <f t="shared" si="104"/>
        <v>550</v>
      </c>
      <c r="AR299" s="10">
        <v>550</v>
      </c>
      <c r="AS299" s="56">
        <f t="shared" si="98"/>
        <v>1</v>
      </c>
      <c r="AU299" s="11">
        <f ca="1">IFERROR(OFFSET(ITEM_RES!$A$1,MATCH(AV299,ITEM_RES!$J:$J,0)-1,0),0)</f>
        <v>211020801</v>
      </c>
      <c r="AV299" s="10" t="s">
        <v>442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</row>
    <row r="300" spans="1:67" x14ac:dyDescent="0.3">
      <c r="A300" s="14">
        <f t="shared" si="100"/>
        <v>111070016</v>
      </c>
      <c r="B300" s="13">
        <v>11</v>
      </c>
      <c r="C300" s="12">
        <f t="shared" si="101"/>
        <v>1</v>
      </c>
      <c r="D300" s="13">
        <v>7</v>
      </c>
      <c r="E300" s="13">
        <v>0</v>
      </c>
      <c r="F300" s="12">
        <f t="shared" si="102"/>
        <v>16</v>
      </c>
      <c r="H300" s="9">
        <v>1</v>
      </c>
      <c r="I300" s="9">
        <v>16</v>
      </c>
      <c r="K300" s="9" t="s">
        <v>727</v>
      </c>
      <c r="M300" s="9" t="s">
        <v>971</v>
      </c>
      <c r="N300" s="9" t="s">
        <v>990</v>
      </c>
      <c r="O300" s="9">
        <v>0</v>
      </c>
      <c r="P300" s="9">
        <v>15</v>
      </c>
      <c r="Q300" s="142"/>
      <c r="U300" s="9" t="s">
        <v>726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532</v>
      </c>
      <c r="AD300" s="9">
        <v>16</v>
      </c>
      <c r="AF300" s="9">
        <v>28000</v>
      </c>
      <c r="AI300" s="56">
        <f t="shared" ca="1" si="106"/>
        <v>1750</v>
      </c>
      <c r="AJ300" s="10">
        <f ca="1">AO300+AQ300+(IFERROR(OFFSET(ITEM_RES!$T$1,MATCH(AU300,ITEM_RES!$A:$A,0)-1,0),0)*AW300+IFERROR(OFFSET(ITEM_RES!$T$1,MATCH(AZ300,ITEM_RES!$A:$A,0)-1,0),0)*BB300+IFERROR(OFFSET(ITEM_RES!$T$1,MATCH(BE300,ITEM_RES!$A:$A,0)-1,0),0)*BG300+IFERROR(OFFSET(ITEM_RES!$T$1,MATCH(BJ300,ITEM_RES!$A:$A,0)-1,0),0)*BL300+IFERROR(OFFSET(ITEM_RES!$T$1,MATCH(BO300,ITEM_RES!$A:$A,0)-1,0),0)*BQ300)/1000</f>
        <v>1750</v>
      </c>
      <c r="AK300" s="183">
        <f t="shared" ca="1" si="107"/>
        <v>3125</v>
      </c>
      <c r="AM300" s="11">
        <f t="shared" si="97"/>
        <v>80</v>
      </c>
      <c r="AN300" s="10">
        <v>80</v>
      </c>
      <c r="AO300" s="11">
        <f t="shared" si="104"/>
        <v>700</v>
      </c>
      <c r="AP300" s="10">
        <v>700</v>
      </c>
      <c r="AQ300" s="11">
        <f t="shared" si="104"/>
        <v>700</v>
      </c>
      <c r="AR300" s="10">
        <v>700</v>
      </c>
      <c r="AS300" s="56">
        <f t="shared" si="98"/>
        <v>1</v>
      </c>
      <c r="AU300" s="11">
        <f ca="1">IFERROR(OFFSET(ITEM_RES!$A$1,MATCH(AV300,ITEM_RES!$J:$J,0)-1,0),0)</f>
        <v>211020801</v>
      </c>
      <c r="AV300" s="10" t="s">
        <v>442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</row>
    <row r="301" spans="1:67" x14ac:dyDescent="0.3">
      <c r="A301" s="14">
        <f t="shared" si="100"/>
        <v>111070017</v>
      </c>
      <c r="B301" s="13">
        <v>11</v>
      </c>
      <c r="C301" s="12">
        <f t="shared" si="101"/>
        <v>1</v>
      </c>
      <c r="D301" s="13">
        <v>7</v>
      </c>
      <c r="E301" s="13">
        <v>0</v>
      </c>
      <c r="F301" s="12">
        <f t="shared" si="102"/>
        <v>17</v>
      </c>
      <c r="H301" s="9">
        <v>1</v>
      </c>
      <c r="I301" s="9">
        <v>17</v>
      </c>
      <c r="K301" s="9" t="s">
        <v>727</v>
      </c>
      <c r="M301" s="9" t="s">
        <v>971</v>
      </c>
      <c r="N301" s="9" t="s">
        <v>990</v>
      </c>
      <c r="O301" s="9">
        <v>0</v>
      </c>
      <c r="P301" s="9">
        <v>15</v>
      </c>
      <c r="Q301" s="142"/>
      <c r="U301" s="9" t="s">
        <v>726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532</v>
      </c>
      <c r="AD301" s="9">
        <v>17</v>
      </c>
      <c r="AF301" s="9">
        <v>34000</v>
      </c>
      <c r="AI301" s="56">
        <f t="shared" ca="1" si="106"/>
        <v>2125</v>
      </c>
      <c r="AJ301" s="10">
        <f ca="1">AO301+AQ301+(IFERROR(OFFSET(ITEM_RES!$T$1,MATCH(AU301,ITEM_RES!$A:$A,0)-1,0),0)*AW301+IFERROR(OFFSET(ITEM_RES!$T$1,MATCH(AZ301,ITEM_RES!$A:$A,0)-1,0),0)*BB301+IFERROR(OFFSET(ITEM_RES!$T$1,MATCH(BE301,ITEM_RES!$A:$A,0)-1,0),0)*BG301+IFERROR(OFFSET(ITEM_RES!$T$1,MATCH(BJ301,ITEM_RES!$A:$A,0)-1,0),0)*BL301+IFERROR(OFFSET(ITEM_RES!$T$1,MATCH(BO301,ITEM_RES!$A:$A,0)-1,0),0)*BQ301)/1000</f>
        <v>2125</v>
      </c>
      <c r="AK301" s="183">
        <f t="shared" ca="1" si="107"/>
        <v>3875</v>
      </c>
      <c r="AM301" s="11">
        <f t="shared" ref="AM301:AM364" si="108">ROUND(AN301,0)</f>
        <v>85</v>
      </c>
      <c r="AN301" s="10">
        <v>85</v>
      </c>
      <c r="AO301" s="11">
        <f t="shared" si="104"/>
        <v>850</v>
      </c>
      <c r="AP301" s="10">
        <v>850</v>
      </c>
      <c r="AQ301" s="11">
        <f t="shared" si="104"/>
        <v>850</v>
      </c>
      <c r="AR301" s="10">
        <v>850</v>
      </c>
      <c r="AS301" s="56">
        <f t="shared" si="98"/>
        <v>1</v>
      </c>
      <c r="AU301" s="11">
        <f ca="1">IFERROR(OFFSET(ITEM_RES!$A$1,MATCH(AV301,ITEM_RES!$J:$J,0)-1,0),0)</f>
        <v>211020801</v>
      </c>
      <c r="AV301" s="10" t="s">
        <v>442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</row>
    <row r="302" spans="1:67" x14ac:dyDescent="0.3">
      <c r="A302" s="14">
        <f t="shared" si="100"/>
        <v>111070018</v>
      </c>
      <c r="B302" s="13">
        <v>11</v>
      </c>
      <c r="C302" s="12">
        <f t="shared" si="101"/>
        <v>1</v>
      </c>
      <c r="D302" s="13">
        <v>7</v>
      </c>
      <c r="E302" s="13">
        <v>0</v>
      </c>
      <c r="F302" s="12">
        <f t="shared" si="102"/>
        <v>18</v>
      </c>
      <c r="H302" s="9">
        <v>1</v>
      </c>
      <c r="I302" s="9">
        <v>18</v>
      </c>
      <c r="K302" s="9" t="s">
        <v>727</v>
      </c>
      <c r="M302" s="9" t="s">
        <v>971</v>
      </c>
      <c r="N302" s="9" t="s">
        <v>990</v>
      </c>
      <c r="O302" s="9">
        <v>0</v>
      </c>
      <c r="P302" s="9">
        <v>15</v>
      </c>
      <c r="Q302" s="142"/>
      <c r="U302" s="9" t="s">
        <v>726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532</v>
      </c>
      <c r="AD302" s="9">
        <v>18</v>
      </c>
      <c r="AF302" s="9">
        <v>42000</v>
      </c>
      <c r="AI302" s="56">
        <f t="shared" ca="1" si="106"/>
        <v>3150</v>
      </c>
      <c r="AJ302" s="10">
        <f ca="1">AO302+AQ302+(IFERROR(OFFSET(ITEM_RES!$T$1,MATCH(AU302,ITEM_RES!$A:$A,0)-1,0),0)*AW302+IFERROR(OFFSET(ITEM_RES!$T$1,MATCH(AZ302,ITEM_RES!$A:$A,0)-1,0),0)*BB302+IFERROR(OFFSET(ITEM_RES!$T$1,MATCH(BE302,ITEM_RES!$A:$A,0)-1,0),0)*BG302+IFERROR(OFFSET(ITEM_RES!$T$1,MATCH(BJ302,ITEM_RES!$A:$A,0)-1,0),0)*BL302+IFERROR(OFFSET(ITEM_RES!$T$1,MATCH(BO302,ITEM_RES!$A:$A,0)-1,0),0)*BQ302)/1000</f>
        <v>3150</v>
      </c>
      <c r="AK302" s="183">
        <f t="shared" ca="1" si="107"/>
        <v>5275</v>
      </c>
      <c r="AM302" s="11">
        <f t="shared" si="108"/>
        <v>90</v>
      </c>
      <c r="AN302" s="10">
        <v>90</v>
      </c>
      <c r="AO302" s="11">
        <f t="shared" si="104"/>
        <v>1050</v>
      </c>
      <c r="AP302" s="10">
        <v>1050</v>
      </c>
      <c r="AQ302" s="11">
        <f t="shared" si="104"/>
        <v>1050</v>
      </c>
      <c r="AR302" s="10">
        <v>1050</v>
      </c>
      <c r="AS302" s="56">
        <f t="shared" ref="AS302:AS365" si="109">(AW302&gt;0)*1+(BB302&gt;0)*1+(BG302&gt;0)*1+(BL302&gt;0)*1+(BQ302&gt;0)*1</f>
        <v>1</v>
      </c>
      <c r="AU302" s="11">
        <f ca="1">IFERROR(OFFSET(ITEM_RES!$A$1,MATCH(AV302,ITEM_RES!$J:$J,0)-1,0),0)</f>
        <v>211020901</v>
      </c>
      <c r="AV302" s="10" t="s">
        <v>453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</row>
    <row r="303" spans="1:67" x14ac:dyDescent="0.3">
      <c r="A303" s="14">
        <f t="shared" si="100"/>
        <v>111070019</v>
      </c>
      <c r="B303" s="13">
        <v>11</v>
      </c>
      <c r="C303" s="12">
        <f t="shared" si="101"/>
        <v>1</v>
      </c>
      <c r="D303" s="13">
        <v>7</v>
      </c>
      <c r="E303" s="13">
        <v>0</v>
      </c>
      <c r="F303" s="12">
        <f t="shared" si="102"/>
        <v>19</v>
      </c>
      <c r="H303" s="9">
        <v>1</v>
      </c>
      <c r="I303" s="9">
        <v>19</v>
      </c>
      <c r="K303" s="9" t="s">
        <v>727</v>
      </c>
      <c r="M303" s="9" t="s">
        <v>971</v>
      </c>
      <c r="N303" s="9" t="s">
        <v>990</v>
      </c>
      <c r="O303" s="9">
        <v>0</v>
      </c>
      <c r="P303" s="9">
        <v>15</v>
      </c>
      <c r="Q303" s="142"/>
      <c r="U303" s="9" t="s">
        <v>726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532</v>
      </c>
      <c r="AD303" s="9">
        <v>19</v>
      </c>
      <c r="AF303" s="9">
        <v>50000</v>
      </c>
      <c r="AI303" s="56">
        <f t="shared" ca="1" si="106"/>
        <v>3750</v>
      </c>
      <c r="AJ303" s="10">
        <f ca="1">AO303+AQ303+(IFERROR(OFFSET(ITEM_RES!$T$1,MATCH(AU303,ITEM_RES!$A:$A,0)-1,0),0)*AW303+IFERROR(OFFSET(ITEM_RES!$T$1,MATCH(AZ303,ITEM_RES!$A:$A,0)-1,0),0)*BB303+IFERROR(OFFSET(ITEM_RES!$T$1,MATCH(BE303,ITEM_RES!$A:$A,0)-1,0),0)*BG303+IFERROR(OFFSET(ITEM_RES!$T$1,MATCH(BJ303,ITEM_RES!$A:$A,0)-1,0),0)*BL303+IFERROR(OFFSET(ITEM_RES!$T$1,MATCH(BO303,ITEM_RES!$A:$A,0)-1,0),0)*BQ303)/1000</f>
        <v>3750</v>
      </c>
      <c r="AK303" s="183">
        <f t="shared" ca="1" si="107"/>
        <v>6900</v>
      </c>
      <c r="AM303" s="11">
        <f t="shared" si="108"/>
        <v>95</v>
      </c>
      <c r="AN303" s="10">
        <v>95</v>
      </c>
      <c r="AO303" s="11">
        <f t="shared" si="104"/>
        <v>1250</v>
      </c>
      <c r="AP303" s="10">
        <v>1250</v>
      </c>
      <c r="AQ303" s="11">
        <f t="shared" si="104"/>
        <v>1250</v>
      </c>
      <c r="AR303" s="10">
        <v>1250</v>
      </c>
      <c r="AS303" s="56">
        <f t="shared" si="109"/>
        <v>1</v>
      </c>
      <c r="AU303" s="11">
        <f ca="1">IFERROR(OFFSET(ITEM_RES!$A$1,MATCH(AV303,ITEM_RES!$J:$J,0)-1,0),0)</f>
        <v>211020901</v>
      </c>
      <c r="AV303" s="10" t="s">
        <v>453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</row>
    <row r="304" spans="1:67" ht="17.25" thickBot="1" x14ac:dyDescent="0.35">
      <c r="A304" s="14">
        <f t="shared" si="100"/>
        <v>111070020</v>
      </c>
      <c r="B304" s="13">
        <v>11</v>
      </c>
      <c r="C304" s="12">
        <f t="shared" si="101"/>
        <v>1</v>
      </c>
      <c r="D304" s="13">
        <v>7</v>
      </c>
      <c r="E304" s="13">
        <v>0</v>
      </c>
      <c r="F304" s="12">
        <f t="shared" si="102"/>
        <v>20</v>
      </c>
      <c r="H304" s="9">
        <v>1</v>
      </c>
      <c r="I304" s="9">
        <v>20</v>
      </c>
      <c r="K304" s="9" t="s">
        <v>727</v>
      </c>
      <c r="M304" s="9" t="s">
        <v>971</v>
      </c>
      <c r="N304" s="9" t="s">
        <v>990</v>
      </c>
      <c r="O304" s="9">
        <v>0</v>
      </c>
      <c r="P304" s="9">
        <v>15</v>
      </c>
      <c r="Q304" s="142"/>
      <c r="U304" s="9" t="s">
        <v>726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532</v>
      </c>
      <c r="AD304" s="9">
        <v>20</v>
      </c>
      <c r="AF304" s="9">
        <v>60000</v>
      </c>
      <c r="AI304" s="56">
        <f t="shared" ca="1" si="106"/>
        <v>4500</v>
      </c>
      <c r="AJ304" s="10">
        <f ca="1">AO304+AQ304+(IFERROR(OFFSET(ITEM_RES!$T$1,MATCH(AU304,ITEM_RES!$A:$A,0)-1,0),0)*AW304+IFERROR(OFFSET(ITEM_RES!$T$1,MATCH(AZ304,ITEM_RES!$A:$A,0)-1,0),0)*BB304+IFERROR(OFFSET(ITEM_RES!$T$1,MATCH(BE304,ITEM_RES!$A:$A,0)-1,0),0)*BG304+IFERROR(OFFSET(ITEM_RES!$T$1,MATCH(BJ304,ITEM_RES!$A:$A,0)-1,0),0)*BL304+IFERROR(OFFSET(ITEM_RES!$T$1,MATCH(BO304,ITEM_RES!$A:$A,0)-1,0),0)*BQ304)/1000</f>
        <v>4500</v>
      </c>
      <c r="AK304" s="183">
        <f t="shared" ca="1" si="107"/>
        <v>8250</v>
      </c>
      <c r="AM304" s="11">
        <f t="shared" si="108"/>
        <v>100</v>
      </c>
      <c r="AN304" s="10">
        <v>100</v>
      </c>
      <c r="AO304" s="11">
        <f t="shared" si="104"/>
        <v>1500</v>
      </c>
      <c r="AP304" s="10">
        <v>1500</v>
      </c>
      <c r="AQ304" s="11">
        <f t="shared" si="104"/>
        <v>1500</v>
      </c>
      <c r="AR304" s="10">
        <v>1500</v>
      </c>
      <c r="AS304" s="56">
        <f t="shared" si="109"/>
        <v>1</v>
      </c>
      <c r="AU304" s="11">
        <f ca="1">IFERROR(OFFSET(ITEM_RES!$A$1,MATCH(AV304,ITEM_RES!$J:$J,0)-1,0),0)</f>
        <v>211020901</v>
      </c>
      <c r="AV304" s="10" t="s">
        <v>453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</row>
    <row r="305" spans="1:70" s="15" customFormat="1" x14ac:dyDescent="0.3">
      <c r="A305" s="21">
        <f t="shared" si="100"/>
        <v>111080001</v>
      </c>
      <c r="B305" s="20">
        <v>11</v>
      </c>
      <c r="C305" s="19">
        <f t="shared" si="101"/>
        <v>1</v>
      </c>
      <c r="D305" s="20">
        <v>8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1041</v>
      </c>
      <c r="L305" s="16">
        <v>1</v>
      </c>
      <c r="M305" s="16" t="s">
        <v>1042</v>
      </c>
      <c r="N305" s="16" t="s">
        <v>1043</v>
      </c>
      <c r="O305" s="16">
        <v>1</v>
      </c>
      <c r="P305" s="16">
        <v>15</v>
      </c>
      <c r="Q305" s="16" t="s">
        <v>798</v>
      </c>
      <c r="R305" s="17"/>
      <c r="S305" s="17"/>
      <c r="T305" s="18"/>
      <c r="U305" s="16" t="s">
        <v>728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533</v>
      </c>
      <c r="AD305" s="16">
        <v>1</v>
      </c>
      <c r="AE305" s="79"/>
      <c r="AF305" s="16">
        <v>0</v>
      </c>
      <c r="AG305" s="17"/>
      <c r="AH305" s="79"/>
      <c r="AI305" s="57">
        <f t="shared" ca="1" si="106"/>
        <v>113</v>
      </c>
      <c r="AJ305" s="17">
        <f ca="1">AO305+AQ305+(IFERROR(OFFSET(ITEM_RES!$T$1,MATCH(AU305,ITEM_RES!$A:$A,0)-1,0),0)*AW305+IFERROR(OFFSET(ITEM_RES!$T$1,MATCH(AZ305,ITEM_RES!$A:$A,0)-1,0),0)*BB305+IFERROR(OFFSET(ITEM_RES!$T$1,MATCH(BE305,ITEM_RES!$A:$A,0)-1,0),0)*BG305+IFERROR(OFFSET(ITEM_RES!$T$1,MATCH(BJ305,ITEM_RES!$A:$A,0)-1,0),0)*BL305+IFERROR(OFFSET(ITEM_RES!$T$1,MATCH(BO305,ITEM_RES!$A:$A,0)-1,0),0)*BQ305)/1000</f>
        <v>112.5</v>
      </c>
      <c r="AK305" s="185">
        <f ca="1">AJ305</f>
        <v>112.5</v>
      </c>
      <c r="AL305" s="79"/>
      <c r="AM305" s="18">
        <f t="shared" si="108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109"/>
        <v>2</v>
      </c>
      <c r="AT305" s="18"/>
      <c r="AU305" s="18">
        <f ca="1">IFERROR(OFFSET(ITEM_RES!$A$1,MATCH(AV305,ITEM_RES!$J:$J,0)-1,0),0)</f>
        <v>211020801</v>
      </c>
      <c r="AV305" s="17" t="s">
        <v>442</v>
      </c>
      <c r="AW305" s="18">
        <v>25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463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111080002</v>
      </c>
      <c r="B306" s="13">
        <v>11</v>
      </c>
      <c r="C306" s="12">
        <f t="shared" si="101"/>
        <v>1</v>
      </c>
      <c r="D306" s="13">
        <v>8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1041</v>
      </c>
      <c r="M306" s="9" t="s">
        <v>1042</v>
      </c>
      <c r="N306" s="9" t="s">
        <v>1043</v>
      </c>
      <c r="O306" s="9">
        <v>1</v>
      </c>
      <c r="P306" s="9">
        <v>15</v>
      </c>
      <c r="Q306" s="9" t="s">
        <v>798</v>
      </c>
      <c r="U306" s="9" t="s">
        <v>728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533</v>
      </c>
      <c r="AD306" s="9">
        <v>2</v>
      </c>
      <c r="AF306" s="9">
        <v>200</v>
      </c>
      <c r="AI306" s="56">
        <f t="shared" ca="1" si="106"/>
        <v>25</v>
      </c>
      <c r="AJ306" s="10">
        <f ca="1">AO306+AQ306+(IFERROR(OFFSET(ITEM_RES!$T$1,MATCH(AU306,ITEM_RES!$A:$A,0)-1,0),0)*AW306+IFERROR(OFFSET(ITEM_RES!$T$1,MATCH(AZ306,ITEM_RES!$A:$A,0)-1,0),0)*BB306+IFERROR(OFFSET(ITEM_RES!$T$1,MATCH(BE306,ITEM_RES!$A:$A,0)-1,0),0)*BG306+IFERROR(OFFSET(ITEM_RES!$T$1,MATCH(BJ306,ITEM_RES!$A:$A,0)-1,0),0)*BL306+IFERROR(OFFSET(ITEM_RES!$T$1,MATCH(BO306,ITEM_RES!$A:$A,0)-1,0),0)*BQ306)/1000</f>
        <v>25</v>
      </c>
      <c r="AK306" s="183">
        <f t="shared" ref="AK306:AK324" ca="1" si="110">AJ305+AJ306</f>
        <v>137.5</v>
      </c>
      <c r="AM306" s="11">
        <f t="shared" si="108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109"/>
        <v>1</v>
      </c>
      <c r="AU306" s="11">
        <f ca="1">IFERROR(OFFSET(ITEM_RES!$A$1,MATCH(AV306,ITEM_RES!$J:$J,0)-1,0),0)</f>
        <v>211020801</v>
      </c>
      <c r="AV306" s="10" t="s">
        <v>442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111080003</v>
      </c>
      <c r="B307" s="13">
        <v>11</v>
      </c>
      <c r="C307" s="12">
        <f t="shared" si="101"/>
        <v>1</v>
      </c>
      <c r="D307" s="13">
        <v>8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1041</v>
      </c>
      <c r="M307" s="9" t="s">
        <v>1042</v>
      </c>
      <c r="N307" s="9" t="s">
        <v>1043</v>
      </c>
      <c r="O307" s="9">
        <v>1</v>
      </c>
      <c r="P307" s="9">
        <v>15</v>
      </c>
      <c r="Q307" s="9" t="s">
        <v>798</v>
      </c>
      <c r="U307" s="9" t="s">
        <v>728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533</v>
      </c>
      <c r="AD307" s="9">
        <v>3</v>
      </c>
      <c r="AF307" s="9">
        <v>600</v>
      </c>
      <c r="AI307" s="56">
        <f t="shared" ca="1" si="106"/>
        <v>38</v>
      </c>
      <c r="AJ307" s="10">
        <f ca="1">AO307+AQ307+(IFERROR(OFFSET(ITEM_RES!$T$1,MATCH(AU307,ITEM_RES!$A:$A,0)-1,0),0)*AW307+IFERROR(OFFSET(ITEM_RES!$T$1,MATCH(AZ307,ITEM_RES!$A:$A,0)-1,0),0)*BB307+IFERROR(OFFSET(ITEM_RES!$T$1,MATCH(BE307,ITEM_RES!$A:$A,0)-1,0),0)*BG307+IFERROR(OFFSET(ITEM_RES!$T$1,MATCH(BJ307,ITEM_RES!$A:$A,0)-1,0),0)*BL307+IFERROR(OFFSET(ITEM_RES!$T$1,MATCH(BO307,ITEM_RES!$A:$A,0)-1,0),0)*BQ307)/1000</f>
        <v>37.5</v>
      </c>
      <c r="AK307" s="183">
        <f t="shared" ca="1" si="110"/>
        <v>62.5</v>
      </c>
      <c r="AM307" s="11">
        <f t="shared" si="108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109"/>
        <v>1</v>
      </c>
      <c r="AU307" s="11">
        <f ca="1">IFERROR(OFFSET(ITEM_RES!$A$1,MATCH(AV307,ITEM_RES!$J:$J,0)-1,0),0)</f>
        <v>211020801</v>
      </c>
      <c r="AV307" s="10" t="s">
        <v>442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111080004</v>
      </c>
      <c r="B308" s="13">
        <v>11</v>
      </c>
      <c r="C308" s="12">
        <f t="shared" si="101"/>
        <v>1</v>
      </c>
      <c r="D308" s="13">
        <v>8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1041</v>
      </c>
      <c r="M308" s="9" t="s">
        <v>1042</v>
      </c>
      <c r="N308" s="9" t="s">
        <v>1043</v>
      </c>
      <c r="O308" s="9">
        <v>1</v>
      </c>
      <c r="P308" s="9">
        <v>15</v>
      </c>
      <c r="Q308" s="9" t="s">
        <v>798</v>
      </c>
      <c r="U308" s="9" t="s">
        <v>728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533</v>
      </c>
      <c r="AD308" s="9">
        <v>4</v>
      </c>
      <c r="AF308" s="9">
        <v>1000</v>
      </c>
      <c r="AI308" s="56">
        <f t="shared" ca="1" si="106"/>
        <v>63</v>
      </c>
      <c r="AJ308" s="10">
        <f ca="1">AO308+AQ308+(IFERROR(OFFSET(ITEM_RES!$T$1,MATCH(AU308,ITEM_RES!$A:$A,0)-1,0),0)*AW308+IFERROR(OFFSET(ITEM_RES!$T$1,MATCH(AZ308,ITEM_RES!$A:$A,0)-1,0),0)*BB308+IFERROR(OFFSET(ITEM_RES!$T$1,MATCH(BE308,ITEM_RES!$A:$A,0)-1,0),0)*BG308+IFERROR(OFFSET(ITEM_RES!$T$1,MATCH(BJ308,ITEM_RES!$A:$A,0)-1,0),0)*BL308+IFERROR(OFFSET(ITEM_RES!$T$1,MATCH(BO308,ITEM_RES!$A:$A,0)-1,0),0)*BQ308)/1000</f>
        <v>62.5</v>
      </c>
      <c r="AK308" s="183">
        <f t="shared" ca="1" si="110"/>
        <v>100</v>
      </c>
      <c r="AM308" s="11">
        <f t="shared" si="108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109"/>
        <v>1</v>
      </c>
      <c r="AU308" s="11">
        <f ca="1">IFERROR(OFFSET(ITEM_RES!$A$1,MATCH(AV308,ITEM_RES!$J:$J,0)-1,0),0)</f>
        <v>211020801</v>
      </c>
      <c r="AV308" s="10" t="s">
        <v>442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111080005</v>
      </c>
      <c r="B309" s="13">
        <v>11</v>
      </c>
      <c r="C309" s="12">
        <f t="shared" si="101"/>
        <v>1</v>
      </c>
      <c r="D309" s="13">
        <v>8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1041</v>
      </c>
      <c r="M309" s="9" t="s">
        <v>1042</v>
      </c>
      <c r="N309" s="9" t="s">
        <v>1043</v>
      </c>
      <c r="O309" s="9">
        <v>1</v>
      </c>
      <c r="P309" s="9">
        <v>15</v>
      </c>
      <c r="Q309" s="9" t="s">
        <v>798</v>
      </c>
      <c r="U309" s="9" t="s">
        <v>728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533</v>
      </c>
      <c r="AD309" s="9">
        <v>5</v>
      </c>
      <c r="AF309" s="9">
        <v>1600</v>
      </c>
      <c r="AI309" s="56">
        <f t="shared" ca="1" si="106"/>
        <v>100</v>
      </c>
      <c r="AJ309" s="10">
        <f ca="1">AO309+AQ309+(IFERROR(OFFSET(ITEM_RES!$T$1,MATCH(AU309,ITEM_RES!$A:$A,0)-1,0),0)*AW309+IFERROR(OFFSET(ITEM_RES!$T$1,MATCH(AZ309,ITEM_RES!$A:$A,0)-1,0),0)*BB309+IFERROR(OFFSET(ITEM_RES!$T$1,MATCH(BE309,ITEM_RES!$A:$A,0)-1,0),0)*BG309+IFERROR(OFFSET(ITEM_RES!$T$1,MATCH(BJ309,ITEM_RES!$A:$A,0)-1,0),0)*BL309+IFERROR(OFFSET(ITEM_RES!$T$1,MATCH(BO309,ITEM_RES!$A:$A,0)-1,0),0)*BQ309)/1000</f>
        <v>100</v>
      </c>
      <c r="AK309" s="183">
        <f t="shared" ca="1" si="110"/>
        <v>162.5</v>
      </c>
      <c r="AM309" s="11">
        <f t="shared" si="108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109"/>
        <v>1</v>
      </c>
      <c r="AU309" s="11">
        <f ca="1">IFERROR(OFFSET(ITEM_RES!$A$1,MATCH(AV309,ITEM_RES!$J:$J,0)-1,0),0)</f>
        <v>211020801</v>
      </c>
      <c r="AV309" s="10" t="s">
        <v>442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111080006</v>
      </c>
      <c r="B310" s="13">
        <v>11</v>
      </c>
      <c r="C310" s="12">
        <f t="shared" si="101"/>
        <v>1</v>
      </c>
      <c r="D310" s="13">
        <v>8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1041</v>
      </c>
      <c r="M310" s="9" t="s">
        <v>1042</v>
      </c>
      <c r="N310" s="9" t="s">
        <v>1043</v>
      </c>
      <c r="O310" s="9">
        <v>1</v>
      </c>
      <c r="P310" s="9">
        <v>15</v>
      </c>
      <c r="Q310" s="9" t="s">
        <v>798</v>
      </c>
      <c r="U310" s="9" t="s">
        <v>728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533</v>
      </c>
      <c r="AD310" s="9">
        <v>6</v>
      </c>
      <c r="AF310" s="9">
        <v>2000</v>
      </c>
      <c r="AI310" s="56">
        <f t="shared" ca="1" si="106"/>
        <v>125</v>
      </c>
      <c r="AJ310" s="10">
        <f ca="1">AO310+AQ310+(IFERROR(OFFSET(ITEM_RES!$T$1,MATCH(AU310,ITEM_RES!$A:$A,0)-1,0),0)*AW310+IFERROR(OFFSET(ITEM_RES!$T$1,MATCH(AZ310,ITEM_RES!$A:$A,0)-1,0),0)*BB310+IFERROR(OFFSET(ITEM_RES!$T$1,MATCH(BE310,ITEM_RES!$A:$A,0)-1,0),0)*BG310+IFERROR(OFFSET(ITEM_RES!$T$1,MATCH(BJ310,ITEM_RES!$A:$A,0)-1,0),0)*BL310+IFERROR(OFFSET(ITEM_RES!$T$1,MATCH(BO310,ITEM_RES!$A:$A,0)-1,0),0)*BQ310)/1000</f>
        <v>125</v>
      </c>
      <c r="AK310" s="183">
        <f t="shared" ca="1" si="110"/>
        <v>225</v>
      </c>
      <c r="AM310" s="11">
        <f t="shared" si="108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109"/>
        <v>1</v>
      </c>
      <c r="AU310" s="11">
        <f ca="1">IFERROR(OFFSET(ITEM_RES!$A$1,MATCH(AV310,ITEM_RES!$J:$J,0)-1,0),0)</f>
        <v>211020801</v>
      </c>
      <c r="AV310" s="10" t="s">
        <v>442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111080007</v>
      </c>
      <c r="B311" s="13">
        <v>11</v>
      </c>
      <c r="C311" s="12">
        <f t="shared" si="101"/>
        <v>1</v>
      </c>
      <c r="D311" s="13">
        <v>8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1041</v>
      </c>
      <c r="M311" s="9" t="s">
        <v>1042</v>
      </c>
      <c r="N311" s="9" t="s">
        <v>1043</v>
      </c>
      <c r="O311" s="9">
        <v>1</v>
      </c>
      <c r="P311" s="9">
        <v>15</v>
      </c>
      <c r="Q311" s="9" t="s">
        <v>798</v>
      </c>
      <c r="U311" s="9" t="s">
        <v>728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533</v>
      </c>
      <c r="AD311" s="9">
        <v>7</v>
      </c>
      <c r="AF311" s="9">
        <v>4000</v>
      </c>
      <c r="AI311" s="56">
        <f t="shared" ca="1" si="106"/>
        <v>250</v>
      </c>
      <c r="AJ311" s="10">
        <f ca="1">AO311+AQ311+(IFERROR(OFFSET(ITEM_RES!$T$1,MATCH(AU311,ITEM_RES!$A:$A,0)-1,0),0)*AW311+IFERROR(OFFSET(ITEM_RES!$T$1,MATCH(AZ311,ITEM_RES!$A:$A,0)-1,0),0)*BB311+IFERROR(OFFSET(ITEM_RES!$T$1,MATCH(BE311,ITEM_RES!$A:$A,0)-1,0),0)*BG311+IFERROR(OFFSET(ITEM_RES!$T$1,MATCH(BJ311,ITEM_RES!$A:$A,0)-1,0),0)*BL311+IFERROR(OFFSET(ITEM_RES!$T$1,MATCH(BO311,ITEM_RES!$A:$A,0)-1,0),0)*BQ311)/1000</f>
        <v>250</v>
      </c>
      <c r="AK311" s="183">
        <f t="shared" ca="1" si="110"/>
        <v>375</v>
      </c>
      <c r="AM311" s="11">
        <f t="shared" si="108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109"/>
        <v>1</v>
      </c>
      <c r="AU311" s="11">
        <f ca="1">IFERROR(OFFSET(ITEM_RES!$A$1,MATCH(AV311,ITEM_RES!$J:$J,0)-1,0),0)</f>
        <v>211020801</v>
      </c>
      <c r="AV311" s="10" t="s">
        <v>442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111080008</v>
      </c>
      <c r="B312" s="13">
        <v>11</v>
      </c>
      <c r="C312" s="12">
        <f t="shared" si="101"/>
        <v>1</v>
      </c>
      <c r="D312" s="13">
        <v>8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1041</v>
      </c>
      <c r="M312" s="9" t="s">
        <v>1042</v>
      </c>
      <c r="N312" s="9" t="s">
        <v>1043</v>
      </c>
      <c r="O312" s="9">
        <v>1</v>
      </c>
      <c r="P312" s="9">
        <v>15</v>
      </c>
      <c r="Q312" s="9" t="s">
        <v>798</v>
      </c>
      <c r="U312" s="9" t="s">
        <v>728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533</v>
      </c>
      <c r="AD312" s="9">
        <v>8</v>
      </c>
      <c r="AF312" s="9">
        <v>4000</v>
      </c>
      <c r="AI312" s="56">
        <f t="shared" ca="1" si="106"/>
        <v>250</v>
      </c>
      <c r="AJ312" s="10">
        <f ca="1">AO312+AQ312+(IFERROR(OFFSET(ITEM_RES!$T$1,MATCH(AU312,ITEM_RES!$A:$A,0)-1,0),0)*AW312+IFERROR(OFFSET(ITEM_RES!$T$1,MATCH(AZ312,ITEM_RES!$A:$A,0)-1,0),0)*BB312+IFERROR(OFFSET(ITEM_RES!$T$1,MATCH(BE312,ITEM_RES!$A:$A,0)-1,0),0)*BG312+IFERROR(OFFSET(ITEM_RES!$T$1,MATCH(BJ312,ITEM_RES!$A:$A,0)-1,0),0)*BL312+IFERROR(OFFSET(ITEM_RES!$T$1,MATCH(BO312,ITEM_RES!$A:$A,0)-1,0),0)*BQ312)/1000</f>
        <v>250</v>
      </c>
      <c r="AK312" s="183">
        <f t="shared" ca="1" si="110"/>
        <v>500</v>
      </c>
      <c r="AM312" s="11">
        <f t="shared" si="108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109"/>
        <v>1</v>
      </c>
      <c r="AU312" s="11">
        <f ca="1">IFERROR(OFFSET(ITEM_RES!$A$1,MATCH(AV312,ITEM_RES!$J:$J,0)-1,0),0)</f>
        <v>211020801</v>
      </c>
      <c r="AV312" s="10" t="s">
        <v>442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111080009</v>
      </c>
      <c r="B313" s="13">
        <v>11</v>
      </c>
      <c r="C313" s="12">
        <f t="shared" si="101"/>
        <v>1</v>
      </c>
      <c r="D313" s="13">
        <v>8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1041</v>
      </c>
      <c r="M313" s="9" t="s">
        <v>1042</v>
      </c>
      <c r="N313" s="9" t="s">
        <v>1043</v>
      </c>
      <c r="O313" s="9">
        <v>1</v>
      </c>
      <c r="P313" s="9">
        <v>15</v>
      </c>
      <c r="Q313" s="9" t="s">
        <v>798</v>
      </c>
      <c r="U313" s="9" t="s">
        <v>728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533</v>
      </c>
      <c r="AD313" s="9">
        <v>9</v>
      </c>
      <c r="AF313" s="9">
        <v>6000</v>
      </c>
      <c r="AI313" s="56">
        <f t="shared" ca="1" si="106"/>
        <v>375</v>
      </c>
      <c r="AJ313" s="10">
        <f ca="1">AO313+AQ313+(IFERROR(OFFSET(ITEM_RES!$T$1,MATCH(AU313,ITEM_RES!$A:$A,0)-1,0),0)*AW313+IFERROR(OFFSET(ITEM_RES!$T$1,MATCH(AZ313,ITEM_RES!$A:$A,0)-1,0),0)*BB313+IFERROR(OFFSET(ITEM_RES!$T$1,MATCH(BE313,ITEM_RES!$A:$A,0)-1,0),0)*BG313+IFERROR(OFFSET(ITEM_RES!$T$1,MATCH(BJ313,ITEM_RES!$A:$A,0)-1,0),0)*BL313+IFERROR(OFFSET(ITEM_RES!$T$1,MATCH(BO313,ITEM_RES!$A:$A,0)-1,0),0)*BQ313)/1000</f>
        <v>375</v>
      </c>
      <c r="AK313" s="183">
        <f t="shared" ca="1" si="110"/>
        <v>625</v>
      </c>
      <c r="AM313" s="11">
        <f t="shared" si="108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109"/>
        <v>1</v>
      </c>
      <c r="AU313" s="11">
        <f ca="1">IFERROR(OFFSET(ITEM_RES!$A$1,MATCH(AV313,ITEM_RES!$J:$J,0)-1,0),0)</f>
        <v>211020801</v>
      </c>
      <c r="AV313" s="10" t="s">
        <v>442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111080010</v>
      </c>
      <c r="B314" s="13">
        <v>11</v>
      </c>
      <c r="C314" s="12">
        <f t="shared" si="101"/>
        <v>1</v>
      </c>
      <c r="D314" s="13">
        <v>8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1041</v>
      </c>
      <c r="M314" s="9" t="s">
        <v>1042</v>
      </c>
      <c r="N314" s="9" t="s">
        <v>1043</v>
      </c>
      <c r="O314" s="9">
        <v>1</v>
      </c>
      <c r="P314" s="9">
        <v>15</v>
      </c>
      <c r="Q314" s="9" t="s">
        <v>798</v>
      </c>
      <c r="U314" s="9" t="s">
        <v>728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533</v>
      </c>
      <c r="AD314" s="9">
        <v>10</v>
      </c>
      <c r="AF314" s="9">
        <v>8000</v>
      </c>
      <c r="AI314" s="56">
        <f t="shared" ca="1" si="106"/>
        <v>500</v>
      </c>
      <c r="AJ314" s="10">
        <f ca="1">AO314+AQ314+(IFERROR(OFFSET(ITEM_RES!$T$1,MATCH(AU314,ITEM_RES!$A:$A,0)-1,0),0)*AW314+IFERROR(OFFSET(ITEM_RES!$T$1,MATCH(AZ314,ITEM_RES!$A:$A,0)-1,0),0)*BB314+IFERROR(OFFSET(ITEM_RES!$T$1,MATCH(BE314,ITEM_RES!$A:$A,0)-1,0),0)*BG314+IFERROR(OFFSET(ITEM_RES!$T$1,MATCH(BJ314,ITEM_RES!$A:$A,0)-1,0),0)*BL314+IFERROR(OFFSET(ITEM_RES!$T$1,MATCH(BO314,ITEM_RES!$A:$A,0)-1,0),0)*BQ314)/1000</f>
        <v>500</v>
      </c>
      <c r="AK314" s="183">
        <f t="shared" ca="1" si="110"/>
        <v>875</v>
      </c>
      <c r="AM314" s="11">
        <f t="shared" si="108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109"/>
        <v>1</v>
      </c>
      <c r="AU314" s="11">
        <f ca="1">IFERROR(OFFSET(ITEM_RES!$A$1,MATCH(AV314,ITEM_RES!$J:$J,0)-1,0),0)</f>
        <v>211020801</v>
      </c>
      <c r="AV314" s="10" t="s">
        <v>442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111080011</v>
      </c>
      <c r="B315" s="13">
        <v>11</v>
      </c>
      <c r="C315" s="12">
        <f t="shared" si="101"/>
        <v>1</v>
      </c>
      <c r="D315" s="13">
        <v>8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1041</v>
      </c>
      <c r="M315" s="9" t="s">
        <v>1042</v>
      </c>
      <c r="N315" s="9" t="s">
        <v>1043</v>
      </c>
      <c r="O315" s="9">
        <v>1</v>
      </c>
      <c r="P315" s="9">
        <v>15</v>
      </c>
      <c r="Q315" s="9" t="s">
        <v>798</v>
      </c>
      <c r="U315" s="9" t="s">
        <v>728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533</v>
      </c>
      <c r="AD315" s="9">
        <v>11</v>
      </c>
      <c r="AF315" s="9">
        <v>10000</v>
      </c>
      <c r="AI315" s="56">
        <f t="shared" ca="1" si="106"/>
        <v>625</v>
      </c>
      <c r="AJ315" s="10">
        <f ca="1">AO315+AQ315+(IFERROR(OFFSET(ITEM_RES!$T$1,MATCH(AU315,ITEM_RES!$A:$A,0)-1,0),0)*AW315+IFERROR(OFFSET(ITEM_RES!$T$1,MATCH(AZ315,ITEM_RES!$A:$A,0)-1,0),0)*BB315+IFERROR(OFFSET(ITEM_RES!$T$1,MATCH(BE315,ITEM_RES!$A:$A,0)-1,0),0)*BG315+IFERROR(OFFSET(ITEM_RES!$T$1,MATCH(BJ315,ITEM_RES!$A:$A,0)-1,0),0)*BL315+IFERROR(OFFSET(ITEM_RES!$T$1,MATCH(BO315,ITEM_RES!$A:$A,0)-1,0),0)*BQ315)/1000</f>
        <v>625</v>
      </c>
      <c r="AK315" s="183">
        <f t="shared" ca="1" si="110"/>
        <v>1125</v>
      </c>
      <c r="AM315" s="11">
        <f t="shared" si="108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109"/>
        <v>1</v>
      </c>
      <c r="AU315" s="11">
        <f ca="1">IFERROR(OFFSET(ITEM_RES!$A$1,MATCH(AV315,ITEM_RES!$J:$J,0)-1,0),0)</f>
        <v>211020801</v>
      </c>
      <c r="AV315" s="10" t="s">
        <v>442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111080012</v>
      </c>
      <c r="B316" s="13">
        <v>11</v>
      </c>
      <c r="C316" s="12">
        <f t="shared" si="101"/>
        <v>1</v>
      </c>
      <c r="D316" s="13">
        <v>8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1041</v>
      </c>
      <c r="M316" s="9" t="s">
        <v>1042</v>
      </c>
      <c r="N316" s="9" t="s">
        <v>1043</v>
      </c>
      <c r="O316" s="9">
        <v>1</v>
      </c>
      <c r="P316" s="9">
        <v>15</v>
      </c>
      <c r="Q316" s="9" t="s">
        <v>798</v>
      </c>
      <c r="U316" s="9" t="s">
        <v>728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533</v>
      </c>
      <c r="AD316" s="9">
        <v>12</v>
      </c>
      <c r="AF316" s="9">
        <v>12000</v>
      </c>
      <c r="AI316" s="56">
        <f t="shared" ca="1" si="106"/>
        <v>750</v>
      </c>
      <c r="AJ316" s="10">
        <f ca="1">AO316+AQ316+(IFERROR(OFFSET(ITEM_RES!$T$1,MATCH(AU316,ITEM_RES!$A:$A,0)-1,0),0)*AW316+IFERROR(OFFSET(ITEM_RES!$T$1,MATCH(AZ316,ITEM_RES!$A:$A,0)-1,0),0)*BB316+IFERROR(OFFSET(ITEM_RES!$T$1,MATCH(BE316,ITEM_RES!$A:$A,0)-1,0),0)*BG316+IFERROR(OFFSET(ITEM_RES!$T$1,MATCH(BJ316,ITEM_RES!$A:$A,0)-1,0),0)*BL316+IFERROR(OFFSET(ITEM_RES!$T$1,MATCH(BO316,ITEM_RES!$A:$A,0)-1,0),0)*BQ316)/1000</f>
        <v>750</v>
      </c>
      <c r="AK316" s="183">
        <f t="shared" ca="1" si="110"/>
        <v>1375</v>
      </c>
      <c r="AM316" s="11">
        <f t="shared" si="108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109"/>
        <v>1</v>
      </c>
      <c r="AU316" s="11">
        <f ca="1">IFERROR(OFFSET(ITEM_RES!$A$1,MATCH(AV316,ITEM_RES!$J:$J,0)-1,0),0)</f>
        <v>211020801</v>
      </c>
      <c r="AV316" s="10" t="s">
        <v>442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111080013</v>
      </c>
      <c r="B317" s="13">
        <v>11</v>
      </c>
      <c r="C317" s="12">
        <f t="shared" si="101"/>
        <v>1</v>
      </c>
      <c r="D317" s="13">
        <v>8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1041</v>
      </c>
      <c r="M317" s="9" t="s">
        <v>1042</v>
      </c>
      <c r="N317" s="9" t="s">
        <v>1043</v>
      </c>
      <c r="O317" s="9">
        <v>1</v>
      </c>
      <c r="P317" s="9">
        <v>15</v>
      </c>
      <c r="Q317" s="9" t="s">
        <v>798</v>
      </c>
      <c r="U317" s="9" t="s">
        <v>728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533</v>
      </c>
      <c r="AD317" s="9">
        <v>13</v>
      </c>
      <c r="AF317" s="9">
        <v>14000</v>
      </c>
      <c r="AI317" s="56">
        <f t="shared" ca="1" si="106"/>
        <v>875</v>
      </c>
      <c r="AJ317" s="10">
        <f ca="1">AO317+AQ317+(IFERROR(OFFSET(ITEM_RES!$T$1,MATCH(AU317,ITEM_RES!$A:$A,0)-1,0),0)*AW317+IFERROR(OFFSET(ITEM_RES!$T$1,MATCH(AZ317,ITEM_RES!$A:$A,0)-1,0),0)*BB317+IFERROR(OFFSET(ITEM_RES!$T$1,MATCH(BE317,ITEM_RES!$A:$A,0)-1,0),0)*BG317+IFERROR(OFFSET(ITEM_RES!$T$1,MATCH(BJ317,ITEM_RES!$A:$A,0)-1,0),0)*BL317+IFERROR(OFFSET(ITEM_RES!$T$1,MATCH(BO317,ITEM_RES!$A:$A,0)-1,0),0)*BQ317)/1000</f>
        <v>875</v>
      </c>
      <c r="AK317" s="183">
        <f t="shared" ca="1" si="110"/>
        <v>1625</v>
      </c>
      <c r="AM317" s="11">
        <f t="shared" si="108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109"/>
        <v>1</v>
      </c>
      <c r="AU317" s="11">
        <f ca="1">IFERROR(OFFSET(ITEM_RES!$A$1,MATCH(AV317,ITEM_RES!$J:$J,0)-1,0),0)</f>
        <v>211020801</v>
      </c>
      <c r="AV317" s="10" t="s">
        <v>442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111080014</v>
      </c>
      <c r="B318" s="13">
        <v>11</v>
      </c>
      <c r="C318" s="12">
        <f t="shared" si="101"/>
        <v>1</v>
      </c>
      <c r="D318" s="13">
        <v>8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1041</v>
      </c>
      <c r="M318" s="9" t="s">
        <v>1042</v>
      </c>
      <c r="N318" s="9" t="s">
        <v>1043</v>
      </c>
      <c r="O318" s="9">
        <v>1</v>
      </c>
      <c r="P318" s="9">
        <v>15</v>
      </c>
      <c r="Q318" s="9" t="s">
        <v>798</v>
      </c>
      <c r="U318" s="9" t="s">
        <v>728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533</v>
      </c>
      <c r="AD318" s="9">
        <v>14</v>
      </c>
      <c r="AF318" s="9">
        <v>18000</v>
      </c>
      <c r="AI318" s="56">
        <f t="shared" ca="1" si="106"/>
        <v>1225</v>
      </c>
      <c r="AJ318" s="10">
        <f ca="1">AO318+AQ318+(IFERROR(OFFSET(ITEM_RES!$T$1,MATCH(AU318,ITEM_RES!$A:$A,0)-1,0),0)*AW318+IFERROR(OFFSET(ITEM_RES!$T$1,MATCH(AZ318,ITEM_RES!$A:$A,0)-1,0),0)*BB318+IFERROR(OFFSET(ITEM_RES!$T$1,MATCH(BE318,ITEM_RES!$A:$A,0)-1,0),0)*BG318+IFERROR(OFFSET(ITEM_RES!$T$1,MATCH(BJ318,ITEM_RES!$A:$A,0)-1,0),0)*BL318+IFERROR(OFFSET(ITEM_RES!$T$1,MATCH(BO318,ITEM_RES!$A:$A,0)-1,0),0)*BQ318)/1000</f>
        <v>1225</v>
      </c>
      <c r="AK318" s="183">
        <f t="shared" ca="1" si="110"/>
        <v>2100</v>
      </c>
      <c r="AM318" s="11">
        <f t="shared" si="108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109"/>
        <v>2</v>
      </c>
      <c r="AU318" s="11">
        <f ca="1">IFERROR(OFFSET(ITEM_RES!$A$1,MATCH(AV318,ITEM_RES!$J:$J,0)-1,0),0)</f>
        <v>211020801</v>
      </c>
      <c r="AV318" s="10" t="s">
        <v>442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475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111080015</v>
      </c>
      <c r="B319" s="13">
        <v>11</v>
      </c>
      <c r="C319" s="12">
        <f t="shared" si="101"/>
        <v>1</v>
      </c>
      <c r="D319" s="13">
        <v>8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1041</v>
      </c>
      <c r="M319" s="9" t="s">
        <v>1042</v>
      </c>
      <c r="N319" s="9" t="s">
        <v>1043</v>
      </c>
      <c r="O319" s="9">
        <v>1</v>
      </c>
      <c r="P319" s="9">
        <v>15</v>
      </c>
      <c r="Q319" s="9" t="s">
        <v>798</v>
      </c>
      <c r="U319" s="9" t="s">
        <v>728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533</v>
      </c>
      <c r="AD319" s="9">
        <v>15</v>
      </c>
      <c r="AF319" s="9">
        <v>22000</v>
      </c>
      <c r="AI319" s="56">
        <f t="shared" ca="1" si="106"/>
        <v>1375</v>
      </c>
      <c r="AJ319" s="10">
        <f ca="1">AO319+AQ319+(IFERROR(OFFSET(ITEM_RES!$T$1,MATCH(AU319,ITEM_RES!$A:$A,0)-1,0),0)*AW319+IFERROR(OFFSET(ITEM_RES!$T$1,MATCH(AZ319,ITEM_RES!$A:$A,0)-1,0),0)*BB319+IFERROR(OFFSET(ITEM_RES!$T$1,MATCH(BE319,ITEM_RES!$A:$A,0)-1,0),0)*BG319+IFERROR(OFFSET(ITEM_RES!$T$1,MATCH(BJ319,ITEM_RES!$A:$A,0)-1,0),0)*BL319+IFERROR(OFFSET(ITEM_RES!$T$1,MATCH(BO319,ITEM_RES!$A:$A,0)-1,0),0)*BQ319)/1000</f>
        <v>1375</v>
      </c>
      <c r="AK319" s="183">
        <f t="shared" ca="1" si="110"/>
        <v>2600</v>
      </c>
      <c r="AM319" s="11">
        <f t="shared" si="108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109"/>
        <v>1</v>
      </c>
      <c r="AU319" s="11">
        <f ca="1">IFERROR(OFFSET(ITEM_RES!$A$1,MATCH(AV319,ITEM_RES!$J:$J,0)-1,0),0)</f>
        <v>211020801</v>
      </c>
      <c r="AV319" s="10" t="s">
        <v>442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111080016</v>
      </c>
      <c r="B320" s="13">
        <v>11</v>
      </c>
      <c r="C320" s="12">
        <f t="shared" si="101"/>
        <v>1</v>
      </c>
      <c r="D320" s="13">
        <v>8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1041</v>
      </c>
      <c r="M320" s="9" t="s">
        <v>1042</v>
      </c>
      <c r="N320" s="9" t="s">
        <v>1043</v>
      </c>
      <c r="O320" s="9">
        <v>0</v>
      </c>
      <c r="P320" s="9">
        <v>15</v>
      </c>
      <c r="Q320" s="9" t="s">
        <v>798</v>
      </c>
      <c r="U320" s="9" t="s">
        <v>728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533</v>
      </c>
      <c r="AD320" s="9">
        <v>16</v>
      </c>
      <c r="AF320" s="9">
        <v>28000</v>
      </c>
      <c r="AI320" s="56">
        <f t="shared" ca="1" si="106"/>
        <v>1750</v>
      </c>
      <c r="AJ320" s="10">
        <f ca="1">AO320+AQ320+(IFERROR(OFFSET(ITEM_RES!$T$1,MATCH(AU320,ITEM_RES!$A:$A,0)-1,0),0)*AW320+IFERROR(OFFSET(ITEM_RES!$T$1,MATCH(AZ320,ITEM_RES!$A:$A,0)-1,0),0)*BB320+IFERROR(OFFSET(ITEM_RES!$T$1,MATCH(BE320,ITEM_RES!$A:$A,0)-1,0),0)*BG320+IFERROR(OFFSET(ITEM_RES!$T$1,MATCH(BJ320,ITEM_RES!$A:$A,0)-1,0),0)*BL320+IFERROR(OFFSET(ITEM_RES!$T$1,MATCH(BO320,ITEM_RES!$A:$A,0)-1,0),0)*BQ320)/1000</f>
        <v>1750</v>
      </c>
      <c r="AK320" s="183">
        <f t="shared" ca="1" si="110"/>
        <v>3125</v>
      </c>
      <c r="AM320" s="11">
        <f t="shared" si="108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109"/>
        <v>1</v>
      </c>
      <c r="AU320" s="11">
        <f ca="1">IFERROR(OFFSET(ITEM_RES!$A$1,MATCH(AV320,ITEM_RES!$J:$J,0)-1,0),0)</f>
        <v>211020801</v>
      </c>
      <c r="AV320" s="10" t="s">
        <v>442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ref="A321:A384" si="111">B321*10000000+C321*1000000+D321*10000+E321*100+F321</f>
        <v>111080017</v>
      </c>
      <c r="B321" s="13">
        <v>11</v>
      </c>
      <c r="C321" s="12">
        <f t="shared" ref="C321:C384" si="112">H321</f>
        <v>1</v>
      </c>
      <c r="D321" s="13">
        <v>8</v>
      </c>
      <c r="E321" s="13">
        <v>0</v>
      </c>
      <c r="F321" s="12">
        <f t="shared" ref="F321:F384" si="113">I321</f>
        <v>17</v>
      </c>
      <c r="H321" s="9">
        <v>1</v>
      </c>
      <c r="I321" s="9">
        <v>17</v>
      </c>
      <c r="K321" s="9" t="s">
        <v>1041</v>
      </c>
      <c r="M321" s="9" t="s">
        <v>1042</v>
      </c>
      <c r="N321" s="9" t="s">
        <v>1043</v>
      </c>
      <c r="O321" s="9">
        <v>0</v>
      </c>
      <c r="P321" s="9">
        <v>15</v>
      </c>
      <c r="Q321" s="9" t="s">
        <v>798</v>
      </c>
      <c r="U321" s="9" t="s">
        <v>728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533</v>
      </c>
      <c r="AD321" s="9">
        <v>17</v>
      </c>
      <c r="AF321" s="9">
        <v>34000</v>
      </c>
      <c r="AI321" s="56">
        <f t="shared" ca="1" si="106"/>
        <v>2125</v>
      </c>
      <c r="AJ321" s="10">
        <f ca="1">AO321+AQ321+(IFERROR(OFFSET(ITEM_RES!$T$1,MATCH(AU321,ITEM_RES!$A:$A,0)-1,0),0)*AW321+IFERROR(OFFSET(ITEM_RES!$T$1,MATCH(AZ321,ITEM_RES!$A:$A,0)-1,0),0)*BB321+IFERROR(OFFSET(ITEM_RES!$T$1,MATCH(BE321,ITEM_RES!$A:$A,0)-1,0),0)*BG321+IFERROR(OFFSET(ITEM_RES!$T$1,MATCH(BJ321,ITEM_RES!$A:$A,0)-1,0),0)*BL321+IFERROR(OFFSET(ITEM_RES!$T$1,MATCH(BO321,ITEM_RES!$A:$A,0)-1,0),0)*BQ321)/1000</f>
        <v>2125</v>
      </c>
      <c r="AK321" s="183">
        <f t="shared" ca="1" si="110"/>
        <v>3875</v>
      </c>
      <c r="AM321" s="11">
        <f t="shared" si="108"/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109"/>
        <v>1</v>
      </c>
      <c r="AU321" s="11">
        <f ca="1">IFERROR(OFFSET(ITEM_RES!$A$1,MATCH(AV321,ITEM_RES!$J:$J,0)-1,0),0)</f>
        <v>211020801</v>
      </c>
      <c r="AV321" s="10" t="s">
        <v>442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11"/>
        <v>111080018</v>
      </c>
      <c r="B322" s="13">
        <v>11</v>
      </c>
      <c r="C322" s="12">
        <f t="shared" si="112"/>
        <v>1</v>
      </c>
      <c r="D322" s="13">
        <v>8</v>
      </c>
      <c r="E322" s="13">
        <v>0</v>
      </c>
      <c r="F322" s="12">
        <f t="shared" si="113"/>
        <v>18</v>
      </c>
      <c r="H322" s="9">
        <v>1</v>
      </c>
      <c r="I322" s="9">
        <v>18</v>
      </c>
      <c r="K322" s="9" t="s">
        <v>1041</v>
      </c>
      <c r="M322" s="9" t="s">
        <v>1042</v>
      </c>
      <c r="N322" s="9" t="s">
        <v>1043</v>
      </c>
      <c r="O322" s="9">
        <v>0</v>
      </c>
      <c r="P322" s="9">
        <v>15</v>
      </c>
      <c r="Q322" s="9" t="s">
        <v>798</v>
      </c>
      <c r="U322" s="9" t="s">
        <v>728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533</v>
      </c>
      <c r="AD322" s="9">
        <v>18</v>
      </c>
      <c r="AF322" s="9">
        <v>42000</v>
      </c>
      <c r="AI322" s="56">
        <f t="shared" ca="1" si="106"/>
        <v>2625</v>
      </c>
      <c r="AJ322" s="10">
        <f ca="1">AO322+AQ322+(IFERROR(OFFSET(ITEM_RES!$T$1,MATCH(AU322,ITEM_RES!$A:$A,0)-1,0),0)*AW322+IFERROR(OFFSET(ITEM_RES!$T$1,MATCH(AZ322,ITEM_RES!$A:$A,0)-1,0),0)*BB322+IFERROR(OFFSET(ITEM_RES!$T$1,MATCH(BE322,ITEM_RES!$A:$A,0)-1,0),0)*BG322+IFERROR(OFFSET(ITEM_RES!$T$1,MATCH(BJ322,ITEM_RES!$A:$A,0)-1,0),0)*BL322+IFERROR(OFFSET(ITEM_RES!$T$1,MATCH(BO322,ITEM_RES!$A:$A,0)-1,0),0)*BQ322)/1000</f>
        <v>2625</v>
      </c>
      <c r="AK322" s="183">
        <f t="shared" ca="1" si="110"/>
        <v>4750</v>
      </c>
      <c r="AM322" s="11">
        <f t="shared" si="108"/>
        <v>90</v>
      </c>
      <c r="AN322" s="10">
        <v>90</v>
      </c>
      <c r="AO322" s="11">
        <f t="shared" ref="AO322:AQ384" si="114">ROUND(AP322,0)</f>
        <v>1050</v>
      </c>
      <c r="AP322" s="10">
        <v>1050</v>
      </c>
      <c r="AQ322" s="11">
        <f t="shared" si="114"/>
        <v>1050</v>
      </c>
      <c r="AR322" s="10">
        <v>1050</v>
      </c>
      <c r="AS322" s="56">
        <f t="shared" si="109"/>
        <v>1</v>
      </c>
      <c r="AU322" s="11">
        <f ca="1">IFERROR(OFFSET(ITEM_RES!$A$1,MATCH(AV322,ITEM_RES!$J:$J,0)-1,0),0)</f>
        <v>211020801</v>
      </c>
      <c r="AV322" s="10" t="s">
        <v>442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11"/>
        <v>111080019</v>
      </c>
      <c r="B323" s="13">
        <v>11</v>
      </c>
      <c r="C323" s="12">
        <f t="shared" si="112"/>
        <v>1</v>
      </c>
      <c r="D323" s="13">
        <v>8</v>
      </c>
      <c r="E323" s="13">
        <v>0</v>
      </c>
      <c r="F323" s="12">
        <f t="shared" si="113"/>
        <v>19</v>
      </c>
      <c r="H323" s="9">
        <v>1</v>
      </c>
      <c r="I323" s="9">
        <v>19</v>
      </c>
      <c r="K323" s="9" t="s">
        <v>1041</v>
      </c>
      <c r="M323" s="9" t="s">
        <v>1042</v>
      </c>
      <c r="N323" s="9" t="s">
        <v>1043</v>
      </c>
      <c r="O323" s="9">
        <v>0</v>
      </c>
      <c r="P323" s="9">
        <v>15</v>
      </c>
      <c r="Q323" s="9" t="s">
        <v>798</v>
      </c>
      <c r="U323" s="9" t="s">
        <v>728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533</v>
      </c>
      <c r="AD323" s="9">
        <v>19</v>
      </c>
      <c r="AF323" s="9">
        <v>50000</v>
      </c>
      <c r="AI323" s="56">
        <f t="shared" ca="1" si="106"/>
        <v>3750</v>
      </c>
      <c r="AJ323" s="10">
        <f ca="1">AO323+AQ323+(IFERROR(OFFSET(ITEM_RES!$T$1,MATCH(AU323,ITEM_RES!$A:$A,0)-1,0),0)*AW323+IFERROR(OFFSET(ITEM_RES!$T$1,MATCH(AZ323,ITEM_RES!$A:$A,0)-1,0),0)*BB323+IFERROR(OFFSET(ITEM_RES!$T$1,MATCH(BE323,ITEM_RES!$A:$A,0)-1,0),0)*BG323+IFERROR(OFFSET(ITEM_RES!$T$1,MATCH(BJ323,ITEM_RES!$A:$A,0)-1,0),0)*BL323+IFERROR(OFFSET(ITEM_RES!$T$1,MATCH(BO323,ITEM_RES!$A:$A,0)-1,0),0)*BQ323)/1000</f>
        <v>3750</v>
      </c>
      <c r="AK323" s="183">
        <f t="shared" ca="1" si="110"/>
        <v>6375</v>
      </c>
      <c r="AM323" s="11">
        <f t="shared" si="108"/>
        <v>95</v>
      </c>
      <c r="AN323" s="10">
        <v>95</v>
      </c>
      <c r="AO323" s="11">
        <f t="shared" si="114"/>
        <v>1250</v>
      </c>
      <c r="AP323" s="10">
        <v>1250</v>
      </c>
      <c r="AQ323" s="11">
        <f t="shared" si="114"/>
        <v>1250</v>
      </c>
      <c r="AR323" s="10">
        <v>1250</v>
      </c>
      <c r="AS323" s="56">
        <f t="shared" si="109"/>
        <v>1</v>
      </c>
      <c r="AU323" s="11">
        <f ca="1">IFERROR(OFFSET(ITEM_RES!$A$1,MATCH(AV323,ITEM_RES!$J:$J,0)-1,0),0)</f>
        <v>211020901</v>
      </c>
      <c r="AV323" s="10" t="s">
        <v>453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11"/>
        <v>111080020</v>
      </c>
      <c r="B324" s="13">
        <v>11</v>
      </c>
      <c r="C324" s="12">
        <f t="shared" si="112"/>
        <v>1</v>
      </c>
      <c r="D324" s="13">
        <v>8</v>
      </c>
      <c r="E324" s="13">
        <v>0</v>
      </c>
      <c r="F324" s="12">
        <f t="shared" si="113"/>
        <v>20</v>
      </c>
      <c r="H324" s="9">
        <v>1</v>
      </c>
      <c r="I324" s="9">
        <v>20</v>
      </c>
      <c r="K324" s="9" t="s">
        <v>1041</v>
      </c>
      <c r="M324" s="9" t="s">
        <v>1042</v>
      </c>
      <c r="N324" s="9" t="s">
        <v>1043</v>
      </c>
      <c r="O324" s="9">
        <v>0</v>
      </c>
      <c r="P324" s="9">
        <v>15</v>
      </c>
      <c r="Q324" s="9" t="s">
        <v>798</v>
      </c>
      <c r="U324" s="9" t="s">
        <v>728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533</v>
      </c>
      <c r="AD324" s="9">
        <v>20</v>
      </c>
      <c r="AF324" s="9">
        <v>60000</v>
      </c>
      <c r="AI324" s="56">
        <f t="shared" ca="1" si="106"/>
        <v>4500</v>
      </c>
      <c r="AJ324" s="10">
        <f ca="1">AO324+AQ324+(IFERROR(OFFSET(ITEM_RES!$T$1,MATCH(AU324,ITEM_RES!$A:$A,0)-1,0),0)*AW324+IFERROR(OFFSET(ITEM_RES!$T$1,MATCH(AZ324,ITEM_RES!$A:$A,0)-1,0),0)*BB324+IFERROR(OFFSET(ITEM_RES!$T$1,MATCH(BE324,ITEM_RES!$A:$A,0)-1,0),0)*BG324+IFERROR(OFFSET(ITEM_RES!$T$1,MATCH(BJ324,ITEM_RES!$A:$A,0)-1,0),0)*BL324+IFERROR(OFFSET(ITEM_RES!$T$1,MATCH(BO324,ITEM_RES!$A:$A,0)-1,0),0)*BQ324)/1000</f>
        <v>4500</v>
      </c>
      <c r="AK324" s="183">
        <f t="shared" ca="1" si="110"/>
        <v>8250</v>
      </c>
      <c r="AM324" s="11">
        <f t="shared" si="108"/>
        <v>100</v>
      </c>
      <c r="AN324" s="10">
        <v>100</v>
      </c>
      <c r="AO324" s="11">
        <f t="shared" si="114"/>
        <v>1500</v>
      </c>
      <c r="AP324" s="10">
        <v>1500</v>
      </c>
      <c r="AQ324" s="11">
        <f t="shared" si="114"/>
        <v>1500</v>
      </c>
      <c r="AR324" s="10">
        <v>1500</v>
      </c>
      <c r="AS324" s="56">
        <f t="shared" si="109"/>
        <v>1</v>
      </c>
      <c r="AU324" s="11">
        <f ca="1">IFERROR(OFFSET(ITEM_RES!$A$1,MATCH(AV324,ITEM_RES!$J:$J,0)-1,0),0)</f>
        <v>211020901</v>
      </c>
      <c r="AV324" s="10" t="s">
        <v>453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11"/>
        <v>112040001</v>
      </c>
      <c r="B325" s="20">
        <v>11</v>
      </c>
      <c r="C325" s="19">
        <f t="shared" si="112"/>
        <v>2</v>
      </c>
      <c r="D325" s="20">
        <v>4</v>
      </c>
      <c r="E325" s="20">
        <v>0</v>
      </c>
      <c r="F325" s="19">
        <f t="shared" si="113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>
        <v>10</v>
      </c>
      <c r="M325" s="16" t="s">
        <v>972</v>
      </c>
      <c r="N325" s="16" t="s">
        <v>991</v>
      </c>
      <c r="O325" s="16">
        <v>1</v>
      </c>
      <c r="P325" s="16">
        <v>15</v>
      </c>
      <c r="Q325" s="16" t="s">
        <v>796</v>
      </c>
      <c r="R325" s="17"/>
      <c r="S325" s="17"/>
      <c r="T325" s="18"/>
      <c r="U325" s="16" t="s">
        <v>729</v>
      </c>
      <c r="V325" s="79"/>
      <c r="W325" s="87" t="s">
        <v>562</v>
      </c>
      <c r="X325" s="16">
        <f ca="1">IFERROR(OFFSET(ITEM_RES!$A$5,MATCH(BUILDING!W325,ITEM_RES!$J$5:$J$226,0)-1,0),0)</f>
        <v>211020601</v>
      </c>
      <c r="Y325" s="18">
        <v>2</v>
      </c>
      <c r="Z325" s="87" t="s">
        <v>557</v>
      </c>
      <c r="AA325" s="16">
        <f ca="1">IFERROR(OFFSET(ITEM_RES!$A$5,MATCH(BUILDING!Z325,ITEM_RES!$J$5:$J$226,0)-1,0),0)</f>
        <v>211020701</v>
      </c>
      <c r="AB325" s="79"/>
      <c r="AC325" s="16" t="s">
        <v>534</v>
      </c>
      <c r="AD325" s="16">
        <v>1</v>
      </c>
      <c r="AE325" s="79"/>
      <c r="AF325" s="16">
        <v>0</v>
      </c>
      <c r="AG325" s="17"/>
      <c r="AH325" s="79"/>
      <c r="AI325" s="57">
        <f t="shared" ca="1" si="106"/>
        <v>113</v>
      </c>
      <c r="AJ325" s="17">
        <f ca="1">AO325+AQ325+(IFERROR(OFFSET(ITEM_RES!$T$1,MATCH(AU325,ITEM_RES!$A:$A,0)-1,0),0)*AW325+IFERROR(OFFSET(ITEM_RES!$T$1,MATCH(AZ325,ITEM_RES!$A:$A,0)-1,0),0)*BB325+IFERROR(OFFSET(ITEM_RES!$T$1,MATCH(BE325,ITEM_RES!$A:$A,0)-1,0),0)*BG325+IFERROR(OFFSET(ITEM_RES!$T$1,MATCH(BJ325,ITEM_RES!$A:$A,0)-1,0),0)*BL325+IFERROR(OFFSET(ITEM_RES!$T$1,MATCH(BO325,ITEM_RES!$A:$A,0)-1,0),0)*BQ325)/1000</f>
        <v>112.75</v>
      </c>
      <c r="AK325" s="185">
        <f ca="1">AJ325</f>
        <v>112.75</v>
      </c>
      <c r="AL325" s="79"/>
      <c r="AM325" s="18">
        <f t="shared" si="108"/>
        <v>5</v>
      </c>
      <c r="AN325" s="17">
        <v>5</v>
      </c>
      <c r="AO325" s="18">
        <f t="shared" si="114"/>
        <v>5</v>
      </c>
      <c r="AP325" s="17">
        <v>5</v>
      </c>
      <c r="AQ325" s="18">
        <f t="shared" si="114"/>
        <v>5</v>
      </c>
      <c r="AR325" s="17">
        <v>5</v>
      </c>
      <c r="AS325" s="57">
        <f t="shared" si="109"/>
        <v>3</v>
      </c>
      <c r="AT325" s="18"/>
      <c r="AU325" s="18">
        <f ca="1">IFERROR(OFFSET(ITEM_RES!$A$1,MATCH(AV325,ITEM_RES!$J:$J,0)-1,0),0)</f>
        <v>211020401</v>
      </c>
      <c r="AV325" s="17" t="s">
        <v>443</v>
      </c>
      <c r="AW325" s="18">
        <v>25</v>
      </c>
      <c r="AX325" s="17"/>
      <c r="AY325" s="18"/>
      <c r="AZ325" s="18">
        <f ca="1">IFERROR(OFFSET(ITEM_RES!$A$1,MATCH(BA325,ITEM_RES!$J:$J,0)-1,0),0)</f>
        <v>211020801</v>
      </c>
      <c r="BA325" s="17" t="s">
        <v>442</v>
      </c>
      <c r="BB325" s="18">
        <v>25</v>
      </c>
      <c r="BC325" s="17"/>
      <c r="BD325" s="18"/>
      <c r="BE325" s="18">
        <f ca="1">IFERROR(OFFSET(ITEM_RES!$A$1,MATCH(BF325,ITEM_RES!$J:$J,0)-1,0),0)</f>
        <v>213010101</v>
      </c>
      <c r="BF325" s="17" t="s">
        <v>463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11"/>
        <v>112040002</v>
      </c>
      <c r="B326" s="13">
        <v>11</v>
      </c>
      <c r="C326" s="12">
        <f t="shared" si="112"/>
        <v>2</v>
      </c>
      <c r="D326" s="13">
        <v>4</v>
      </c>
      <c r="E326" s="13">
        <v>0</v>
      </c>
      <c r="F326" s="12">
        <f t="shared" si="113"/>
        <v>2</v>
      </c>
      <c r="H326" s="9">
        <v>2</v>
      </c>
      <c r="I326" s="9">
        <v>2</v>
      </c>
      <c r="K326" s="9" t="s">
        <v>372</v>
      </c>
      <c r="M326" s="9" t="s">
        <v>972</v>
      </c>
      <c r="N326" s="9" t="s">
        <v>991</v>
      </c>
      <c r="O326" s="9">
        <v>1</v>
      </c>
      <c r="P326" s="9">
        <v>15</v>
      </c>
      <c r="Q326" s="9" t="s">
        <v>796</v>
      </c>
      <c r="U326" s="9" t="s">
        <v>729</v>
      </c>
      <c r="W326" s="85" t="s">
        <v>562</v>
      </c>
      <c r="X326" s="9">
        <f ca="1">IFERROR(OFFSET(ITEM_RES!$A$5,MATCH(BUILDING!W326,ITEM_RES!$J$5:$J$226,0)-1,0),0)</f>
        <v>211020601</v>
      </c>
      <c r="Y326" s="11">
        <v>2</v>
      </c>
      <c r="Z326" s="85" t="s">
        <v>557</v>
      </c>
      <c r="AA326" s="9">
        <f ca="1">IFERROR(OFFSET(ITEM_RES!$A$5,MATCH(BUILDING!Z326,ITEM_RES!$J$5:$J$226,0)-1,0),0)</f>
        <v>211020701</v>
      </c>
      <c r="AC326" s="9" t="s">
        <v>534</v>
      </c>
      <c r="AD326" s="9">
        <v>2</v>
      </c>
      <c r="AF326" s="9">
        <v>800</v>
      </c>
      <c r="AI326" s="56">
        <f t="shared" ca="1" si="106"/>
        <v>26</v>
      </c>
      <c r="AJ326" s="10">
        <f ca="1">AO326+AQ326+(IFERROR(OFFSET(ITEM_RES!$T$1,MATCH(AU326,ITEM_RES!$A:$A,0)-1,0),0)*AW326+IFERROR(OFFSET(ITEM_RES!$T$1,MATCH(AZ326,ITEM_RES!$A:$A,0)-1,0),0)*BB326+IFERROR(OFFSET(ITEM_RES!$T$1,MATCH(BE326,ITEM_RES!$A:$A,0)-1,0),0)*BG326+IFERROR(OFFSET(ITEM_RES!$T$1,MATCH(BJ326,ITEM_RES!$A:$A,0)-1,0),0)*BL326+IFERROR(OFFSET(ITEM_RES!$T$1,MATCH(BO326,ITEM_RES!$A:$A,0)-1,0),0)*BQ326)/1000</f>
        <v>25.5</v>
      </c>
      <c r="AK326" s="183">
        <f t="shared" ref="AK326:AK344" ca="1" si="115">AJ325+AJ326</f>
        <v>138.25</v>
      </c>
      <c r="AM326" s="11">
        <f t="shared" si="108"/>
        <v>10</v>
      </c>
      <c r="AN326" s="10">
        <v>10</v>
      </c>
      <c r="AO326" s="11">
        <f t="shared" si="114"/>
        <v>10</v>
      </c>
      <c r="AP326" s="10">
        <v>10</v>
      </c>
      <c r="AQ326" s="11">
        <f t="shared" si="114"/>
        <v>10</v>
      </c>
      <c r="AR326" s="10">
        <v>10</v>
      </c>
      <c r="AS326" s="56">
        <f t="shared" si="109"/>
        <v>2</v>
      </c>
      <c r="AU326" s="11">
        <f ca="1">IFERROR(OFFSET(ITEM_RES!$A$1,MATCH(AV326,ITEM_RES!$J:$J,0)-1,0),0)</f>
        <v>211020401</v>
      </c>
      <c r="AV326" s="10" t="s">
        <v>443</v>
      </c>
      <c r="AW326" s="11">
        <v>50</v>
      </c>
      <c r="AZ326" s="11">
        <f ca="1">IFERROR(OFFSET(ITEM_RES!$A$1,MATCH(BA326,ITEM_RES!$J:$J,0)-1,0),0)</f>
        <v>211020801</v>
      </c>
      <c r="BA326" s="10" t="s">
        <v>442</v>
      </c>
      <c r="BB326" s="11">
        <v>50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11"/>
        <v>112040003</v>
      </c>
      <c r="B327" s="13">
        <v>11</v>
      </c>
      <c r="C327" s="12">
        <f t="shared" si="112"/>
        <v>2</v>
      </c>
      <c r="D327" s="13">
        <v>4</v>
      </c>
      <c r="E327" s="13">
        <v>0</v>
      </c>
      <c r="F327" s="12">
        <f t="shared" si="113"/>
        <v>3</v>
      </c>
      <c r="H327" s="9">
        <v>2</v>
      </c>
      <c r="I327" s="9">
        <v>3</v>
      </c>
      <c r="K327" s="9" t="s">
        <v>372</v>
      </c>
      <c r="M327" s="9" t="s">
        <v>972</v>
      </c>
      <c r="N327" s="9" t="s">
        <v>991</v>
      </c>
      <c r="O327" s="9">
        <v>1</v>
      </c>
      <c r="P327" s="9">
        <v>15</v>
      </c>
      <c r="Q327" s="9" t="s">
        <v>796</v>
      </c>
      <c r="U327" s="9" t="s">
        <v>729</v>
      </c>
      <c r="W327" s="85" t="s">
        <v>562</v>
      </c>
      <c r="X327" s="9">
        <f ca="1">IFERROR(OFFSET(ITEM_RES!$A$5,MATCH(BUILDING!W327,ITEM_RES!$J$5:$J$226,0)-1,0),0)</f>
        <v>211020601</v>
      </c>
      <c r="Y327" s="11">
        <v>2</v>
      </c>
      <c r="Z327" s="85" t="s">
        <v>557</v>
      </c>
      <c r="AA327" s="9">
        <f ca="1">IFERROR(OFFSET(ITEM_RES!$A$5,MATCH(BUILDING!Z327,ITEM_RES!$J$5:$J$226,0)-1,0),0)</f>
        <v>211020701</v>
      </c>
      <c r="AC327" s="9" t="s">
        <v>534</v>
      </c>
      <c r="AD327" s="9">
        <v>3</v>
      </c>
      <c r="AF327" s="9">
        <v>1200</v>
      </c>
      <c r="AI327" s="56">
        <f t="shared" ca="1" si="106"/>
        <v>38</v>
      </c>
      <c r="AJ327" s="10">
        <f ca="1">AO327+AQ327+(IFERROR(OFFSET(ITEM_RES!$T$1,MATCH(AU327,ITEM_RES!$A:$A,0)-1,0),0)*AW327+IFERROR(OFFSET(ITEM_RES!$T$1,MATCH(AZ327,ITEM_RES!$A:$A,0)-1,0),0)*BB327+IFERROR(OFFSET(ITEM_RES!$T$1,MATCH(BE327,ITEM_RES!$A:$A,0)-1,0),0)*BG327+IFERROR(OFFSET(ITEM_RES!$T$1,MATCH(BJ327,ITEM_RES!$A:$A,0)-1,0),0)*BL327+IFERROR(OFFSET(ITEM_RES!$T$1,MATCH(BO327,ITEM_RES!$A:$A,0)-1,0),0)*BQ327)/1000</f>
        <v>38.25</v>
      </c>
      <c r="AK327" s="183">
        <f t="shared" ca="1" si="115"/>
        <v>63.75</v>
      </c>
      <c r="AM327" s="11">
        <f t="shared" si="108"/>
        <v>15</v>
      </c>
      <c r="AN327" s="10">
        <v>15</v>
      </c>
      <c r="AO327" s="11">
        <f t="shared" si="114"/>
        <v>15</v>
      </c>
      <c r="AP327" s="10">
        <v>15</v>
      </c>
      <c r="AQ327" s="11">
        <f t="shared" si="114"/>
        <v>15</v>
      </c>
      <c r="AR327" s="10">
        <v>15</v>
      </c>
      <c r="AS327" s="56">
        <f t="shared" si="109"/>
        <v>2</v>
      </c>
      <c r="AU327" s="11">
        <f ca="1">IFERROR(OFFSET(ITEM_RES!$A$1,MATCH(AV327,ITEM_RES!$J:$J,0)-1,0),0)</f>
        <v>211020401</v>
      </c>
      <c r="AV327" s="10" t="s">
        <v>443</v>
      </c>
      <c r="AW327" s="11">
        <v>75</v>
      </c>
      <c r="AZ327" s="11">
        <f ca="1">IFERROR(OFFSET(ITEM_RES!$A$1,MATCH(BA327,ITEM_RES!$J:$J,0)-1,0),0)</f>
        <v>211020801</v>
      </c>
      <c r="BA327" s="10" t="s">
        <v>442</v>
      </c>
      <c r="BB327" s="11">
        <v>75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11"/>
        <v>112040004</v>
      </c>
      <c r="B328" s="13">
        <v>11</v>
      </c>
      <c r="C328" s="12">
        <f t="shared" si="112"/>
        <v>2</v>
      </c>
      <c r="D328" s="13">
        <v>4</v>
      </c>
      <c r="E328" s="13">
        <v>0</v>
      </c>
      <c r="F328" s="12">
        <f t="shared" si="113"/>
        <v>4</v>
      </c>
      <c r="H328" s="9">
        <v>2</v>
      </c>
      <c r="I328" s="9">
        <v>4</v>
      </c>
      <c r="K328" s="9" t="s">
        <v>372</v>
      </c>
      <c r="M328" s="9" t="s">
        <v>972</v>
      </c>
      <c r="N328" s="9" t="s">
        <v>991</v>
      </c>
      <c r="O328" s="9">
        <v>1</v>
      </c>
      <c r="P328" s="9">
        <v>15</v>
      </c>
      <c r="Q328" s="9" t="s">
        <v>796</v>
      </c>
      <c r="U328" s="9" t="s">
        <v>729</v>
      </c>
      <c r="W328" s="85" t="s">
        <v>562</v>
      </c>
      <c r="X328" s="9">
        <f ca="1">IFERROR(OFFSET(ITEM_RES!$A$5,MATCH(BUILDING!W328,ITEM_RES!$J$5:$J$226,0)-1,0),0)</f>
        <v>211020601</v>
      </c>
      <c r="Y328" s="11">
        <v>2</v>
      </c>
      <c r="Z328" s="85" t="s">
        <v>557</v>
      </c>
      <c r="AA328" s="9">
        <f ca="1">IFERROR(OFFSET(ITEM_RES!$A$5,MATCH(BUILDING!Z328,ITEM_RES!$J$5:$J$226,0)-1,0),0)</f>
        <v>211020701</v>
      </c>
      <c r="AC328" s="9" t="s">
        <v>534</v>
      </c>
      <c r="AD328" s="9">
        <v>4</v>
      </c>
      <c r="AF328" s="9">
        <v>2000</v>
      </c>
      <c r="AI328" s="56">
        <f t="shared" ca="1" si="106"/>
        <v>64</v>
      </c>
      <c r="AJ328" s="10">
        <f ca="1">AO328+AQ328+(IFERROR(OFFSET(ITEM_RES!$T$1,MATCH(AU328,ITEM_RES!$A:$A,0)-1,0),0)*AW328+IFERROR(OFFSET(ITEM_RES!$T$1,MATCH(AZ328,ITEM_RES!$A:$A,0)-1,0),0)*BB328+IFERROR(OFFSET(ITEM_RES!$T$1,MATCH(BE328,ITEM_RES!$A:$A,0)-1,0),0)*BG328+IFERROR(OFFSET(ITEM_RES!$T$1,MATCH(BJ328,ITEM_RES!$A:$A,0)-1,0),0)*BL328+IFERROR(OFFSET(ITEM_RES!$T$1,MATCH(BO328,ITEM_RES!$A:$A,0)-1,0),0)*BQ328)/1000</f>
        <v>63.75</v>
      </c>
      <c r="AK328" s="183">
        <f t="shared" ca="1" si="115"/>
        <v>102</v>
      </c>
      <c r="AM328" s="11">
        <f t="shared" si="108"/>
        <v>20</v>
      </c>
      <c r="AN328" s="10">
        <v>20</v>
      </c>
      <c r="AO328" s="11">
        <f t="shared" si="114"/>
        <v>25</v>
      </c>
      <c r="AP328" s="10">
        <v>25</v>
      </c>
      <c r="AQ328" s="11">
        <f t="shared" si="114"/>
        <v>25</v>
      </c>
      <c r="AR328" s="10">
        <v>25</v>
      </c>
      <c r="AS328" s="56">
        <f t="shared" si="109"/>
        <v>2</v>
      </c>
      <c r="AU328" s="11">
        <f ca="1">IFERROR(OFFSET(ITEM_RES!$A$1,MATCH(AV328,ITEM_RES!$J:$J,0)-1,0),0)</f>
        <v>211020401</v>
      </c>
      <c r="AV328" s="10" t="s">
        <v>443</v>
      </c>
      <c r="AW328" s="11">
        <v>125</v>
      </c>
      <c r="AZ328" s="11">
        <f ca="1">IFERROR(OFFSET(ITEM_RES!$A$1,MATCH(BA328,ITEM_RES!$J:$J,0)-1,0),0)</f>
        <v>211020801</v>
      </c>
      <c r="BA328" s="10" t="s">
        <v>442</v>
      </c>
      <c r="BB328" s="11">
        <v>125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11"/>
        <v>112040005</v>
      </c>
      <c r="B329" s="13">
        <v>11</v>
      </c>
      <c r="C329" s="12">
        <f t="shared" si="112"/>
        <v>2</v>
      </c>
      <c r="D329" s="13">
        <v>4</v>
      </c>
      <c r="E329" s="13">
        <v>0</v>
      </c>
      <c r="F329" s="12">
        <f t="shared" si="113"/>
        <v>5</v>
      </c>
      <c r="H329" s="9">
        <v>2</v>
      </c>
      <c r="I329" s="9">
        <v>5</v>
      </c>
      <c r="K329" s="9" t="s">
        <v>372</v>
      </c>
      <c r="M329" s="9" t="s">
        <v>972</v>
      </c>
      <c r="N329" s="9" t="s">
        <v>991</v>
      </c>
      <c r="O329" s="9">
        <v>1</v>
      </c>
      <c r="P329" s="9">
        <v>15</v>
      </c>
      <c r="Q329" s="9" t="s">
        <v>796</v>
      </c>
      <c r="U329" s="9" t="s">
        <v>729</v>
      </c>
      <c r="W329" s="85" t="s">
        <v>562</v>
      </c>
      <c r="X329" s="9">
        <f ca="1">IFERROR(OFFSET(ITEM_RES!$A$5,MATCH(BUILDING!W329,ITEM_RES!$J$5:$J$226,0)-1,0),0)</f>
        <v>211020601</v>
      </c>
      <c r="Y329" s="11">
        <v>2</v>
      </c>
      <c r="Z329" s="85" t="s">
        <v>557</v>
      </c>
      <c r="AA329" s="9">
        <f ca="1">IFERROR(OFFSET(ITEM_RES!$A$5,MATCH(BUILDING!Z329,ITEM_RES!$J$5:$J$226,0)-1,0),0)</f>
        <v>211020701</v>
      </c>
      <c r="AC329" s="9" t="s">
        <v>534</v>
      </c>
      <c r="AD329" s="9">
        <v>5</v>
      </c>
      <c r="AF329" s="9">
        <v>3200</v>
      </c>
      <c r="AI329" s="56">
        <f t="shared" ca="1" si="106"/>
        <v>102</v>
      </c>
      <c r="AJ329" s="10">
        <f ca="1">AO329+AQ329+(IFERROR(OFFSET(ITEM_RES!$T$1,MATCH(AU329,ITEM_RES!$A:$A,0)-1,0),0)*AW329+IFERROR(OFFSET(ITEM_RES!$T$1,MATCH(AZ329,ITEM_RES!$A:$A,0)-1,0),0)*BB329+IFERROR(OFFSET(ITEM_RES!$T$1,MATCH(BE329,ITEM_RES!$A:$A,0)-1,0),0)*BG329+IFERROR(OFFSET(ITEM_RES!$T$1,MATCH(BJ329,ITEM_RES!$A:$A,0)-1,0),0)*BL329+IFERROR(OFFSET(ITEM_RES!$T$1,MATCH(BO329,ITEM_RES!$A:$A,0)-1,0),0)*BQ329)/1000</f>
        <v>102</v>
      </c>
      <c r="AK329" s="183">
        <f t="shared" ca="1" si="115"/>
        <v>165.75</v>
      </c>
      <c r="AM329" s="11">
        <f t="shared" si="108"/>
        <v>25</v>
      </c>
      <c r="AN329" s="10">
        <v>25</v>
      </c>
      <c r="AO329" s="11">
        <f t="shared" si="114"/>
        <v>40</v>
      </c>
      <c r="AP329" s="10">
        <v>40</v>
      </c>
      <c r="AQ329" s="11">
        <f t="shared" si="114"/>
        <v>40</v>
      </c>
      <c r="AR329" s="10">
        <v>40</v>
      </c>
      <c r="AS329" s="56">
        <f t="shared" si="109"/>
        <v>2</v>
      </c>
      <c r="AU329" s="11">
        <f ca="1">IFERROR(OFFSET(ITEM_RES!$A$1,MATCH(AV329,ITEM_RES!$J:$J,0)-1,0),0)</f>
        <v>211020401</v>
      </c>
      <c r="AV329" s="10" t="s">
        <v>443</v>
      </c>
      <c r="AW329" s="11">
        <v>200</v>
      </c>
      <c r="AZ329" s="11">
        <f ca="1">IFERROR(OFFSET(ITEM_RES!$A$1,MATCH(BA329,ITEM_RES!$J:$J,0)-1,0),0)</f>
        <v>211020801</v>
      </c>
      <c r="BA329" s="10" t="s">
        <v>442</v>
      </c>
      <c r="BB329" s="11">
        <v>200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11"/>
        <v>112040006</v>
      </c>
      <c r="B330" s="13">
        <v>11</v>
      </c>
      <c r="C330" s="12">
        <f t="shared" si="112"/>
        <v>2</v>
      </c>
      <c r="D330" s="13">
        <v>4</v>
      </c>
      <c r="E330" s="13">
        <v>0</v>
      </c>
      <c r="F330" s="12">
        <f t="shared" si="113"/>
        <v>6</v>
      </c>
      <c r="H330" s="9">
        <v>2</v>
      </c>
      <c r="I330" s="9">
        <v>6</v>
      </c>
      <c r="K330" s="9" t="s">
        <v>372</v>
      </c>
      <c r="M330" s="9" t="s">
        <v>972</v>
      </c>
      <c r="N330" s="9" t="s">
        <v>991</v>
      </c>
      <c r="O330" s="9">
        <v>1</v>
      </c>
      <c r="P330" s="9">
        <v>15</v>
      </c>
      <c r="Q330" s="9" t="s">
        <v>796</v>
      </c>
      <c r="U330" s="9" t="s">
        <v>729</v>
      </c>
      <c r="W330" s="85" t="s">
        <v>562</v>
      </c>
      <c r="X330" s="9">
        <f ca="1">IFERROR(OFFSET(ITEM_RES!$A$5,MATCH(BUILDING!W330,ITEM_RES!$J$5:$J$226,0)-1,0),0)</f>
        <v>211020601</v>
      </c>
      <c r="Y330" s="11">
        <v>2</v>
      </c>
      <c r="Z330" s="85" t="s">
        <v>557</v>
      </c>
      <c r="AA330" s="9">
        <f ca="1">IFERROR(OFFSET(ITEM_RES!$A$5,MATCH(BUILDING!Z330,ITEM_RES!$J$5:$J$226,0)-1,0),0)</f>
        <v>211020701</v>
      </c>
      <c r="AC330" s="9" t="s">
        <v>534</v>
      </c>
      <c r="AD330" s="9">
        <v>6</v>
      </c>
      <c r="AF330" s="9">
        <v>4000</v>
      </c>
      <c r="AI330" s="56">
        <f t="shared" ca="1" si="106"/>
        <v>128</v>
      </c>
      <c r="AJ330" s="10">
        <f ca="1">AO330+AQ330+(IFERROR(OFFSET(ITEM_RES!$T$1,MATCH(AU330,ITEM_RES!$A:$A,0)-1,0),0)*AW330+IFERROR(OFFSET(ITEM_RES!$T$1,MATCH(AZ330,ITEM_RES!$A:$A,0)-1,0),0)*BB330+IFERROR(OFFSET(ITEM_RES!$T$1,MATCH(BE330,ITEM_RES!$A:$A,0)-1,0),0)*BG330+IFERROR(OFFSET(ITEM_RES!$T$1,MATCH(BJ330,ITEM_RES!$A:$A,0)-1,0),0)*BL330+IFERROR(OFFSET(ITEM_RES!$T$1,MATCH(BO330,ITEM_RES!$A:$A,0)-1,0),0)*BQ330)/1000</f>
        <v>127.5</v>
      </c>
      <c r="AK330" s="183">
        <f t="shared" ca="1" si="115"/>
        <v>229.5</v>
      </c>
      <c r="AM330" s="11">
        <f t="shared" si="108"/>
        <v>30</v>
      </c>
      <c r="AN330" s="10">
        <v>30</v>
      </c>
      <c r="AO330" s="11">
        <f t="shared" si="114"/>
        <v>50</v>
      </c>
      <c r="AP330" s="10">
        <v>50</v>
      </c>
      <c r="AQ330" s="11">
        <f t="shared" si="114"/>
        <v>50</v>
      </c>
      <c r="AR330" s="10">
        <v>50</v>
      </c>
      <c r="AS330" s="56">
        <f t="shared" si="109"/>
        <v>2</v>
      </c>
      <c r="AU330" s="11">
        <f ca="1">IFERROR(OFFSET(ITEM_RES!$A$1,MATCH(AV330,ITEM_RES!$J:$J,0)-1,0),0)</f>
        <v>211020401</v>
      </c>
      <c r="AV330" s="10" t="s">
        <v>443</v>
      </c>
      <c r="AW330" s="11">
        <v>250</v>
      </c>
      <c r="AZ330" s="11">
        <f ca="1">IFERROR(OFFSET(ITEM_RES!$A$1,MATCH(BA330,ITEM_RES!$J:$J,0)-1,0),0)</f>
        <v>211020801</v>
      </c>
      <c r="BA330" s="10" t="s">
        <v>442</v>
      </c>
      <c r="BB330" s="11">
        <v>250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11"/>
        <v>112040007</v>
      </c>
      <c r="B331" s="13">
        <v>11</v>
      </c>
      <c r="C331" s="12">
        <f t="shared" si="112"/>
        <v>2</v>
      </c>
      <c r="D331" s="13">
        <v>4</v>
      </c>
      <c r="E331" s="13">
        <v>0</v>
      </c>
      <c r="F331" s="12">
        <f t="shared" si="113"/>
        <v>7</v>
      </c>
      <c r="H331" s="9">
        <v>2</v>
      </c>
      <c r="I331" s="9">
        <v>7</v>
      </c>
      <c r="K331" s="9" t="s">
        <v>371</v>
      </c>
      <c r="M331" s="9" t="s">
        <v>972</v>
      </c>
      <c r="N331" s="9" t="s">
        <v>991</v>
      </c>
      <c r="O331" s="9">
        <v>1</v>
      </c>
      <c r="P331" s="9">
        <v>15</v>
      </c>
      <c r="Q331" s="9" t="s">
        <v>796</v>
      </c>
      <c r="U331" s="9" t="s">
        <v>729</v>
      </c>
      <c r="W331" s="85" t="s">
        <v>562</v>
      </c>
      <c r="X331" s="9">
        <f ca="1">IFERROR(OFFSET(ITEM_RES!$A$5,MATCH(BUILDING!W331,ITEM_RES!$J$5:$J$226,0)-1,0),0)</f>
        <v>211020601</v>
      </c>
      <c r="Y331" s="11">
        <v>2</v>
      </c>
      <c r="Z331" s="85" t="s">
        <v>557</v>
      </c>
      <c r="AA331" s="9">
        <f ca="1">IFERROR(OFFSET(ITEM_RES!$A$5,MATCH(BUILDING!Z331,ITEM_RES!$J$5:$J$226,0)-1,0),0)</f>
        <v>211020701</v>
      </c>
      <c r="AC331" s="9" t="s">
        <v>534</v>
      </c>
      <c r="AD331" s="9">
        <v>7</v>
      </c>
      <c r="AF331" s="9">
        <v>8000</v>
      </c>
      <c r="AI331" s="56">
        <f t="shared" ca="1" si="106"/>
        <v>255</v>
      </c>
      <c r="AJ331" s="10">
        <f ca="1">AO331+AQ331+(IFERROR(OFFSET(ITEM_RES!$T$1,MATCH(AU331,ITEM_RES!$A:$A,0)-1,0),0)*AW331+IFERROR(OFFSET(ITEM_RES!$T$1,MATCH(AZ331,ITEM_RES!$A:$A,0)-1,0),0)*BB331+IFERROR(OFFSET(ITEM_RES!$T$1,MATCH(BE331,ITEM_RES!$A:$A,0)-1,0),0)*BG331+IFERROR(OFFSET(ITEM_RES!$T$1,MATCH(BJ331,ITEM_RES!$A:$A,0)-1,0),0)*BL331+IFERROR(OFFSET(ITEM_RES!$T$1,MATCH(BO331,ITEM_RES!$A:$A,0)-1,0),0)*BQ331)/1000</f>
        <v>255</v>
      </c>
      <c r="AK331" s="183">
        <f t="shared" ca="1" si="115"/>
        <v>382.5</v>
      </c>
      <c r="AM331" s="11">
        <f t="shared" si="108"/>
        <v>35</v>
      </c>
      <c r="AN331" s="10">
        <v>35</v>
      </c>
      <c r="AO331" s="11">
        <f t="shared" si="114"/>
        <v>100</v>
      </c>
      <c r="AP331" s="10">
        <v>100</v>
      </c>
      <c r="AQ331" s="11">
        <f t="shared" si="114"/>
        <v>100</v>
      </c>
      <c r="AR331" s="10">
        <v>100</v>
      </c>
      <c r="AS331" s="56">
        <f t="shared" si="109"/>
        <v>2</v>
      </c>
      <c r="AU331" s="11">
        <f ca="1">IFERROR(OFFSET(ITEM_RES!$A$1,MATCH(AV331,ITEM_RES!$J:$J,0)-1,0),0)</f>
        <v>211020401</v>
      </c>
      <c r="AV331" s="10" t="s">
        <v>443</v>
      </c>
      <c r="AW331" s="11">
        <v>500</v>
      </c>
      <c r="AZ331" s="11">
        <f ca="1">IFERROR(OFFSET(ITEM_RES!$A$1,MATCH(BA331,ITEM_RES!$J:$J,0)-1,0),0)</f>
        <v>211020801</v>
      </c>
      <c r="BA331" s="10" t="s">
        <v>442</v>
      </c>
      <c r="BB331" s="11">
        <v>500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11"/>
        <v>112040008</v>
      </c>
      <c r="B332" s="13">
        <v>11</v>
      </c>
      <c r="C332" s="12">
        <f t="shared" si="112"/>
        <v>2</v>
      </c>
      <c r="D332" s="13">
        <v>4</v>
      </c>
      <c r="E332" s="13">
        <v>0</v>
      </c>
      <c r="F332" s="12">
        <f t="shared" si="113"/>
        <v>8</v>
      </c>
      <c r="H332" s="9">
        <v>2</v>
      </c>
      <c r="I332" s="9">
        <v>8</v>
      </c>
      <c r="K332" s="9" t="s">
        <v>371</v>
      </c>
      <c r="M332" s="9" t="s">
        <v>972</v>
      </c>
      <c r="N332" s="9" t="s">
        <v>991</v>
      </c>
      <c r="O332" s="9">
        <v>1</v>
      </c>
      <c r="P332" s="9">
        <v>15</v>
      </c>
      <c r="Q332" s="9" t="s">
        <v>796</v>
      </c>
      <c r="U332" s="9" t="s">
        <v>729</v>
      </c>
      <c r="W332" s="85" t="s">
        <v>562</v>
      </c>
      <c r="X332" s="9">
        <f ca="1">IFERROR(OFFSET(ITEM_RES!$A$5,MATCH(BUILDING!W332,ITEM_RES!$J$5:$J$226,0)-1,0),0)</f>
        <v>211020601</v>
      </c>
      <c r="Y332" s="11">
        <v>2</v>
      </c>
      <c r="Z332" s="85" t="s">
        <v>557</v>
      </c>
      <c r="AA332" s="9">
        <f ca="1">IFERROR(OFFSET(ITEM_RES!$A$5,MATCH(BUILDING!Z332,ITEM_RES!$J$5:$J$226,0)-1,0),0)</f>
        <v>211020701</v>
      </c>
      <c r="AC332" s="9" t="s">
        <v>534</v>
      </c>
      <c r="AD332" s="9">
        <v>8</v>
      </c>
      <c r="AF332" s="9">
        <v>8000</v>
      </c>
      <c r="AI332" s="56">
        <f t="shared" ca="1" si="106"/>
        <v>755</v>
      </c>
      <c r="AJ332" s="10">
        <f ca="1">AO332+AQ332+(IFERROR(OFFSET(ITEM_RES!$T$1,MATCH(AU332,ITEM_RES!$A:$A,0)-1,0),0)*AW332+IFERROR(OFFSET(ITEM_RES!$T$1,MATCH(AZ332,ITEM_RES!$A:$A,0)-1,0),0)*BB332+IFERROR(OFFSET(ITEM_RES!$T$1,MATCH(BE332,ITEM_RES!$A:$A,0)-1,0),0)*BG332+IFERROR(OFFSET(ITEM_RES!$T$1,MATCH(BJ332,ITEM_RES!$A:$A,0)-1,0),0)*BL332+IFERROR(OFFSET(ITEM_RES!$T$1,MATCH(BO332,ITEM_RES!$A:$A,0)-1,0),0)*BQ332)/1000</f>
        <v>755</v>
      </c>
      <c r="AK332" s="183">
        <f t="shared" ca="1" si="115"/>
        <v>1010</v>
      </c>
      <c r="AM332" s="11">
        <f t="shared" si="108"/>
        <v>40</v>
      </c>
      <c r="AN332" s="10">
        <v>40</v>
      </c>
      <c r="AO332" s="11">
        <f t="shared" si="114"/>
        <v>100</v>
      </c>
      <c r="AP332" s="10">
        <v>100</v>
      </c>
      <c r="AQ332" s="11">
        <f t="shared" si="114"/>
        <v>100</v>
      </c>
      <c r="AR332" s="10">
        <v>100</v>
      </c>
      <c r="AS332" s="56">
        <f t="shared" si="109"/>
        <v>3</v>
      </c>
      <c r="AU332" s="11">
        <f ca="1">IFERROR(OFFSET(ITEM_RES!$A$1,MATCH(AV332,ITEM_RES!$J:$J,0)-1,0),0)</f>
        <v>211020401</v>
      </c>
      <c r="AV332" s="10" t="s">
        <v>443</v>
      </c>
      <c r="AW332" s="11">
        <v>500</v>
      </c>
      <c r="AZ332" s="11">
        <f ca="1">IFERROR(OFFSET(ITEM_RES!$A$1,MATCH(BA332,ITEM_RES!$J:$J,0)-1,0),0)</f>
        <v>211020801</v>
      </c>
      <c r="BA332" s="10" t="s">
        <v>442</v>
      </c>
      <c r="BB332" s="11">
        <v>500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213011001</v>
      </c>
      <c r="BK332" s="10" t="s">
        <v>476</v>
      </c>
      <c r="BL332" s="11">
        <v>1</v>
      </c>
      <c r="BO332" s="11">
        <f ca="1">IFERROR(OFFSET(ITEM_RES!$A$1,MATCH(BP332,ITEM_RES!$J:$J,0)-1,0),0)</f>
        <v>0</v>
      </c>
    </row>
    <row r="333" spans="1:70" x14ac:dyDescent="0.3">
      <c r="A333" s="14">
        <f t="shared" si="111"/>
        <v>112040009</v>
      </c>
      <c r="B333" s="13">
        <v>11</v>
      </c>
      <c r="C333" s="12">
        <f t="shared" si="112"/>
        <v>2</v>
      </c>
      <c r="D333" s="13">
        <v>4</v>
      </c>
      <c r="E333" s="13">
        <v>0</v>
      </c>
      <c r="F333" s="12">
        <f t="shared" si="113"/>
        <v>9</v>
      </c>
      <c r="H333" s="9">
        <v>2</v>
      </c>
      <c r="I333" s="9">
        <v>9</v>
      </c>
      <c r="K333" s="9" t="s">
        <v>371</v>
      </c>
      <c r="M333" s="9" t="s">
        <v>972</v>
      </c>
      <c r="N333" s="9" t="s">
        <v>991</v>
      </c>
      <c r="O333" s="9">
        <v>1</v>
      </c>
      <c r="P333" s="9">
        <v>15</v>
      </c>
      <c r="Q333" s="9" t="s">
        <v>796</v>
      </c>
      <c r="U333" s="9" t="s">
        <v>729</v>
      </c>
      <c r="W333" s="85" t="s">
        <v>562</v>
      </c>
      <c r="X333" s="9">
        <f ca="1">IFERROR(OFFSET(ITEM_RES!$A$5,MATCH(BUILDING!W333,ITEM_RES!$J$5:$J$226,0)-1,0),0)</f>
        <v>211020601</v>
      </c>
      <c r="Y333" s="11">
        <v>2</v>
      </c>
      <c r="Z333" s="85" t="s">
        <v>557</v>
      </c>
      <c r="AA333" s="9">
        <f ca="1">IFERROR(OFFSET(ITEM_RES!$A$5,MATCH(BUILDING!Z333,ITEM_RES!$J$5:$J$226,0)-1,0),0)</f>
        <v>211020701</v>
      </c>
      <c r="AC333" s="9" t="s">
        <v>534</v>
      </c>
      <c r="AD333" s="9">
        <v>9</v>
      </c>
      <c r="AF333" s="9">
        <v>12000</v>
      </c>
      <c r="AI333" s="56">
        <f t="shared" ca="1" si="106"/>
        <v>525</v>
      </c>
      <c r="AJ333" s="10">
        <f ca="1">AO333+AQ333+(IFERROR(OFFSET(ITEM_RES!$T$1,MATCH(AU333,ITEM_RES!$A:$A,0)-1,0),0)*AW333+IFERROR(OFFSET(ITEM_RES!$T$1,MATCH(AZ333,ITEM_RES!$A:$A,0)-1,0),0)*BB333+IFERROR(OFFSET(ITEM_RES!$T$1,MATCH(BE333,ITEM_RES!$A:$A,0)-1,0),0)*BG333+IFERROR(OFFSET(ITEM_RES!$T$1,MATCH(BJ333,ITEM_RES!$A:$A,0)-1,0),0)*BL333+IFERROR(OFFSET(ITEM_RES!$T$1,MATCH(BO333,ITEM_RES!$A:$A,0)-1,0),0)*BQ333)/1000</f>
        <v>525</v>
      </c>
      <c r="AK333" s="183">
        <f t="shared" ca="1" si="115"/>
        <v>1280</v>
      </c>
      <c r="AM333" s="11">
        <f t="shared" si="108"/>
        <v>45</v>
      </c>
      <c r="AN333" s="10">
        <v>45</v>
      </c>
      <c r="AO333" s="11">
        <f t="shared" si="114"/>
        <v>150</v>
      </c>
      <c r="AP333" s="10">
        <v>150</v>
      </c>
      <c r="AQ333" s="11">
        <f t="shared" si="114"/>
        <v>150</v>
      </c>
      <c r="AR333" s="10">
        <v>150</v>
      </c>
      <c r="AS333" s="56">
        <f t="shared" si="109"/>
        <v>2</v>
      </c>
      <c r="AU333" s="11">
        <f ca="1">IFERROR(OFFSET(ITEM_RES!$A$1,MATCH(AV333,ITEM_RES!$J:$J,0)-1,0),0)</f>
        <v>211020501</v>
      </c>
      <c r="AV333" s="10" t="s">
        <v>440</v>
      </c>
      <c r="AW333" s="11">
        <v>750</v>
      </c>
      <c r="AZ333" s="11">
        <f ca="1">IFERROR(OFFSET(ITEM_RES!$A$1,MATCH(BA333,ITEM_RES!$J:$J,0)-1,0),0)</f>
        <v>211020801</v>
      </c>
      <c r="BA333" s="10" t="s">
        <v>442</v>
      </c>
      <c r="BB333" s="11">
        <v>750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11"/>
        <v>112040010</v>
      </c>
      <c r="B334" s="13">
        <v>11</v>
      </c>
      <c r="C334" s="12">
        <f t="shared" si="112"/>
        <v>2</v>
      </c>
      <c r="D334" s="13">
        <v>4</v>
      </c>
      <c r="E334" s="13">
        <v>0</v>
      </c>
      <c r="F334" s="12">
        <f t="shared" si="113"/>
        <v>10</v>
      </c>
      <c r="H334" s="9">
        <v>2</v>
      </c>
      <c r="I334" s="9">
        <v>10</v>
      </c>
      <c r="K334" s="9" t="s">
        <v>371</v>
      </c>
      <c r="M334" s="9" t="s">
        <v>972</v>
      </c>
      <c r="N334" s="9" t="s">
        <v>991</v>
      </c>
      <c r="O334" s="9">
        <v>1</v>
      </c>
      <c r="P334" s="9">
        <v>15</v>
      </c>
      <c r="Q334" s="9" t="s">
        <v>796</v>
      </c>
      <c r="U334" s="9" t="s">
        <v>729</v>
      </c>
      <c r="W334" s="85" t="s">
        <v>562</v>
      </c>
      <c r="X334" s="9">
        <f ca="1">IFERROR(OFFSET(ITEM_RES!$A$5,MATCH(BUILDING!W334,ITEM_RES!$J$5:$J$226,0)-1,0),0)</f>
        <v>211020601</v>
      </c>
      <c r="Y334" s="11">
        <v>2</v>
      </c>
      <c r="Z334" s="85" t="s">
        <v>557</v>
      </c>
      <c r="AA334" s="9">
        <f ca="1">IFERROR(OFFSET(ITEM_RES!$A$5,MATCH(BUILDING!Z334,ITEM_RES!$J$5:$J$226,0)-1,0),0)</f>
        <v>211020701</v>
      </c>
      <c r="AC334" s="9" t="s">
        <v>534</v>
      </c>
      <c r="AD334" s="9">
        <v>10</v>
      </c>
      <c r="AF334" s="9">
        <v>16000</v>
      </c>
      <c r="AI334" s="56">
        <f t="shared" ca="1" si="106"/>
        <v>700</v>
      </c>
      <c r="AJ334" s="10">
        <f ca="1">AO334+AQ334+(IFERROR(OFFSET(ITEM_RES!$T$1,MATCH(AU334,ITEM_RES!$A:$A,0)-1,0),0)*AW334+IFERROR(OFFSET(ITEM_RES!$T$1,MATCH(AZ334,ITEM_RES!$A:$A,0)-1,0),0)*BB334+IFERROR(OFFSET(ITEM_RES!$T$1,MATCH(BE334,ITEM_RES!$A:$A,0)-1,0),0)*BG334+IFERROR(OFFSET(ITEM_RES!$T$1,MATCH(BJ334,ITEM_RES!$A:$A,0)-1,0),0)*BL334+IFERROR(OFFSET(ITEM_RES!$T$1,MATCH(BO334,ITEM_RES!$A:$A,0)-1,0),0)*BQ334)/1000</f>
        <v>700</v>
      </c>
      <c r="AK334" s="183">
        <f t="shared" ca="1" si="115"/>
        <v>1225</v>
      </c>
      <c r="AM334" s="11">
        <f t="shared" si="108"/>
        <v>50</v>
      </c>
      <c r="AN334" s="10">
        <v>50</v>
      </c>
      <c r="AO334" s="11">
        <f t="shared" si="114"/>
        <v>200</v>
      </c>
      <c r="AP334" s="10">
        <v>200</v>
      </c>
      <c r="AQ334" s="11">
        <f t="shared" si="114"/>
        <v>200</v>
      </c>
      <c r="AR334" s="10">
        <v>200</v>
      </c>
      <c r="AS334" s="56">
        <f t="shared" si="109"/>
        <v>2</v>
      </c>
      <c r="AU334" s="11">
        <f ca="1">IFERROR(OFFSET(ITEM_RES!$A$1,MATCH(AV334,ITEM_RES!$J:$J,0)-1,0),0)</f>
        <v>211020501</v>
      </c>
      <c r="AV334" s="10" t="s">
        <v>440</v>
      </c>
      <c r="AW334" s="11">
        <v>1000</v>
      </c>
      <c r="AZ334" s="11">
        <f ca="1">IFERROR(OFFSET(ITEM_RES!$A$1,MATCH(BA334,ITEM_RES!$J:$J,0)-1,0),0)</f>
        <v>211020801</v>
      </c>
      <c r="BA334" s="10" t="s">
        <v>442</v>
      </c>
      <c r="BB334" s="11">
        <v>1000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11"/>
        <v>112040011</v>
      </c>
      <c r="B335" s="13">
        <v>11</v>
      </c>
      <c r="C335" s="12">
        <f t="shared" si="112"/>
        <v>2</v>
      </c>
      <c r="D335" s="13">
        <v>4</v>
      </c>
      <c r="E335" s="13">
        <v>0</v>
      </c>
      <c r="F335" s="12">
        <f t="shared" si="113"/>
        <v>11</v>
      </c>
      <c r="H335" s="9">
        <v>2</v>
      </c>
      <c r="I335" s="9">
        <v>11</v>
      </c>
      <c r="K335" s="9" t="s">
        <v>371</v>
      </c>
      <c r="M335" s="9" t="s">
        <v>972</v>
      </c>
      <c r="N335" s="9" t="s">
        <v>991</v>
      </c>
      <c r="O335" s="9">
        <v>1</v>
      </c>
      <c r="P335" s="9">
        <v>15</v>
      </c>
      <c r="Q335" s="9" t="s">
        <v>796</v>
      </c>
      <c r="U335" s="9" t="s">
        <v>729</v>
      </c>
      <c r="W335" s="85" t="s">
        <v>562</v>
      </c>
      <c r="X335" s="9">
        <f ca="1">IFERROR(OFFSET(ITEM_RES!$A$5,MATCH(BUILDING!W335,ITEM_RES!$J$5:$J$226,0)-1,0),0)</f>
        <v>211020601</v>
      </c>
      <c r="Y335" s="11">
        <v>2</v>
      </c>
      <c r="Z335" s="85" t="s">
        <v>557</v>
      </c>
      <c r="AA335" s="9">
        <f ca="1">IFERROR(OFFSET(ITEM_RES!$A$5,MATCH(BUILDING!Z335,ITEM_RES!$J$5:$J$226,0)-1,0),0)</f>
        <v>211020701</v>
      </c>
      <c r="AC335" s="9" t="s">
        <v>534</v>
      </c>
      <c r="AD335" s="9">
        <v>11</v>
      </c>
      <c r="AF335" s="9">
        <v>20000</v>
      </c>
      <c r="AI335" s="56">
        <f t="shared" ca="1" si="106"/>
        <v>875</v>
      </c>
      <c r="AJ335" s="10">
        <f ca="1">AO335+AQ335+(IFERROR(OFFSET(ITEM_RES!$T$1,MATCH(AU335,ITEM_RES!$A:$A,0)-1,0),0)*AW335+IFERROR(OFFSET(ITEM_RES!$T$1,MATCH(AZ335,ITEM_RES!$A:$A,0)-1,0),0)*BB335+IFERROR(OFFSET(ITEM_RES!$T$1,MATCH(BE335,ITEM_RES!$A:$A,0)-1,0),0)*BG335+IFERROR(OFFSET(ITEM_RES!$T$1,MATCH(BJ335,ITEM_RES!$A:$A,0)-1,0),0)*BL335+IFERROR(OFFSET(ITEM_RES!$T$1,MATCH(BO335,ITEM_RES!$A:$A,0)-1,0),0)*BQ335)/1000</f>
        <v>875</v>
      </c>
      <c r="AK335" s="183">
        <f t="shared" ca="1" si="115"/>
        <v>1575</v>
      </c>
      <c r="AM335" s="11">
        <f t="shared" si="108"/>
        <v>55</v>
      </c>
      <c r="AN335" s="10">
        <v>55</v>
      </c>
      <c r="AO335" s="11">
        <f t="shared" si="114"/>
        <v>250</v>
      </c>
      <c r="AP335" s="10">
        <v>250</v>
      </c>
      <c r="AQ335" s="11">
        <f t="shared" si="114"/>
        <v>250</v>
      </c>
      <c r="AR335" s="10">
        <v>250</v>
      </c>
      <c r="AS335" s="56">
        <f t="shared" si="109"/>
        <v>2</v>
      </c>
      <c r="AU335" s="11">
        <f ca="1">IFERROR(OFFSET(ITEM_RES!$A$1,MATCH(AV335,ITEM_RES!$J:$J,0)-1,0),0)</f>
        <v>211020501</v>
      </c>
      <c r="AV335" s="10" t="s">
        <v>440</v>
      </c>
      <c r="AW335" s="11">
        <v>1250</v>
      </c>
      <c r="AZ335" s="11">
        <f ca="1">IFERROR(OFFSET(ITEM_RES!$A$1,MATCH(BA335,ITEM_RES!$J:$J,0)-1,0),0)</f>
        <v>211020801</v>
      </c>
      <c r="BA335" s="10" t="s">
        <v>442</v>
      </c>
      <c r="BB335" s="11">
        <v>1250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11"/>
        <v>112040012</v>
      </c>
      <c r="B336" s="13">
        <v>11</v>
      </c>
      <c r="C336" s="12">
        <f t="shared" si="112"/>
        <v>2</v>
      </c>
      <c r="D336" s="13">
        <v>4</v>
      </c>
      <c r="E336" s="13">
        <v>0</v>
      </c>
      <c r="F336" s="12">
        <f t="shared" si="113"/>
        <v>12</v>
      </c>
      <c r="H336" s="9">
        <v>2</v>
      </c>
      <c r="I336" s="9">
        <v>12</v>
      </c>
      <c r="K336" s="9" t="s">
        <v>371</v>
      </c>
      <c r="M336" s="9" t="s">
        <v>972</v>
      </c>
      <c r="N336" s="9" t="s">
        <v>991</v>
      </c>
      <c r="O336" s="9">
        <v>1</v>
      </c>
      <c r="P336" s="9">
        <v>15</v>
      </c>
      <c r="Q336" s="9" t="s">
        <v>796</v>
      </c>
      <c r="U336" s="9" t="s">
        <v>729</v>
      </c>
      <c r="W336" s="85" t="s">
        <v>562</v>
      </c>
      <c r="X336" s="9">
        <f ca="1">IFERROR(OFFSET(ITEM_RES!$A$5,MATCH(BUILDING!W336,ITEM_RES!$J$5:$J$226,0)-1,0),0)</f>
        <v>211020601</v>
      </c>
      <c r="Y336" s="11">
        <v>2</v>
      </c>
      <c r="Z336" s="85" t="s">
        <v>557</v>
      </c>
      <c r="AA336" s="9">
        <f ca="1">IFERROR(OFFSET(ITEM_RES!$A$5,MATCH(BUILDING!Z336,ITEM_RES!$J$5:$J$226,0)-1,0),0)</f>
        <v>211020701</v>
      </c>
      <c r="AC336" s="9" t="s">
        <v>534</v>
      </c>
      <c r="AD336" s="9">
        <v>12</v>
      </c>
      <c r="AF336" s="9">
        <v>24000</v>
      </c>
      <c r="AI336" s="56">
        <f t="shared" ca="1" si="106"/>
        <v>1050</v>
      </c>
      <c r="AJ336" s="10">
        <f ca="1">AO336+AQ336+(IFERROR(OFFSET(ITEM_RES!$T$1,MATCH(AU336,ITEM_RES!$A:$A,0)-1,0),0)*AW336+IFERROR(OFFSET(ITEM_RES!$T$1,MATCH(AZ336,ITEM_RES!$A:$A,0)-1,0),0)*BB336+IFERROR(OFFSET(ITEM_RES!$T$1,MATCH(BE336,ITEM_RES!$A:$A,0)-1,0),0)*BG336+IFERROR(OFFSET(ITEM_RES!$T$1,MATCH(BJ336,ITEM_RES!$A:$A,0)-1,0),0)*BL336+IFERROR(OFFSET(ITEM_RES!$T$1,MATCH(BO336,ITEM_RES!$A:$A,0)-1,0),0)*BQ336)/1000</f>
        <v>1050</v>
      </c>
      <c r="AK336" s="183">
        <f t="shared" ca="1" si="115"/>
        <v>1925</v>
      </c>
      <c r="AM336" s="11">
        <f t="shared" si="108"/>
        <v>60</v>
      </c>
      <c r="AN336" s="10">
        <v>60</v>
      </c>
      <c r="AO336" s="11">
        <f t="shared" si="114"/>
        <v>300</v>
      </c>
      <c r="AP336" s="10">
        <v>300</v>
      </c>
      <c r="AQ336" s="11">
        <f t="shared" si="114"/>
        <v>300</v>
      </c>
      <c r="AR336" s="10">
        <v>300</v>
      </c>
      <c r="AS336" s="56">
        <f t="shared" si="109"/>
        <v>2</v>
      </c>
      <c r="AU336" s="11">
        <f ca="1">IFERROR(OFFSET(ITEM_RES!$A$1,MATCH(AV336,ITEM_RES!$J:$J,0)-1,0),0)</f>
        <v>211020501</v>
      </c>
      <c r="AV336" s="10" t="s">
        <v>440</v>
      </c>
      <c r="AW336" s="11">
        <v>1500</v>
      </c>
      <c r="AZ336" s="11">
        <f ca="1">IFERROR(OFFSET(ITEM_RES!$A$1,MATCH(BA336,ITEM_RES!$J:$J,0)-1,0),0)</f>
        <v>211020801</v>
      </c>
      <c r="BA336" s="10" t="s">
        <v>442</v>
      </c>
      <c r="BB336" s="11">
        <v>1500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11"/>
        <v>112040013</v>
      </c>
      <c r="B337" s="13">
        <v>11</v>
      </c>
      <c r="C337" s="12">
        <f t="shared" si="112"/>
        <v>2</v>
      </c>
      <c r="D337" s="13">
        <v>4</v>
      </c>
      <c r="E337" s="13">
        <v>0</v>
      </c>
      <c r="F337" s="12">
        <f t="shared" si="113"/>
        <v>13</v>
      </c>
      <c r="H337" s="9">
        <v>2</v>
      </c>
      <c r="I337" s="9">
        <v>13</v>
      </c>
      <c r="K337" s="9" t="s">
        <v>371</v>
      </c>
      <c r="M337" s="9" t="s">
        <v>972</v>
      </c>
      <c r="N337" s="9" t="s">
        <v>991</v>
      </c>
      <c r="O337" s="9">
        <v>1</v>
      </c>
      <c r="P337" s="9">
        <v>15</v>
      </c>
      <c r="Q337" s="9" t="s">
        <v>796</v>
      </c>
      <c r="U337" s="9" t="s">
        <v>729</v>
      </c>
      <c r="W337" s="85" t="s">
        <v>562</v>
      </c>
      <c r="X337" s="9">
        <f ca="1">IFERROR(OFFSET(ITEM_RES!$A$5,MATCH(BUILDING!W337,ITEM_RES!$J$5:$J$226,0)-1,0),0)</f>
        <v>211020601</v>
      </c>
      <c r="Y337" s="11">
        <v>2</v>
      </c>
      <c r="Z337" s="85" t="s">
        <v>557</v>
      </c>
      <c r="AA337" s="9">
        <f ca="1">IFERROR(OFFSET(ITEM_RES!$A$5,MATCH(BUILDING!Z337,ITEM_RES!$J$5:$J$226,0)-1,0),0)</f>
        <v>211020701</v>
      </c>
      <c r="AC337" s="9" t="s">
        <v>534</v>
      </c>
      <c r="AD337" s="9">
        <v>13</v>
      </c>
      <c r="AF337" s="9">
        <v>28000</v>
      </c>
      <c r="AI337" s="56">
        <f t="shared" ca="1" si="106"/>
        <v>1225</v>
      </c>
      <c r="AJ337" s="10">
        <f ca="1">AO337+AQ337+(IFERROR(OFFSET(ITEM_RES!$T$1,MATCH(AU337,ITEM_RES!$A:$A,0)-1,0),0)*AW337+IFERROR(OFFSET(ITEM_RES!$T$1,MATCH(AZ337,ITEM_RES!$A:$A,0)-1,0),0)*BB337+IFERROR(OFFSET(ITEM_RES!$T$1,MATCH(BE337,ITEM_RES!$A:$A,0)-1,0),0)*BG337+IFERROR(OFFSET(ITEM_RES!$T$1,MATCH(BJ337,ITEM_RES!$A:$A,0)-1,0),0)*BL337+IFERROR(OFFSET(ITEM_RES!$T$1,MATCH(BO337,ITEM_RES!$A:$A,0)-1,0),0)*BQ337)/1000</f>
        <v>1225</v>
      </c>
      <c r="AK337" s="183">
        <f t="shared" ca="1" si="115"/>
        <v>2275</v>
      </c>
      <c r="AM337" s="11">
        <f t="shared" si="108"/>
        <v>65</v>
      </c>
      <c r="AN337" s="10">
        <v>65</v>
      </c>
      <c r="AO337" s="11">
        <f t="shared" si="114"/>
        <v>350</v>
      </c>
      <c r="AP337" s="10">
        <v>350</v>
      </c>
      <c r="AQ337" s="11">
        <f t="shared" si="114"/>
        <v>350</v>
      </c>
      <c r="AR337" s="10">
        <v>350</v>
      </c>
      <c r="AS337" s="56">
        <f t="shared" si="109"/>
        <v>2</v>
      </c>
      <c r="AU337" s="11">
        <f ca="1">IFERROR(OFFSET(ITEM_RES!$A$1,MATCH(AV337,ITEM_RES!$J:$J,0)-1,0),0)</f>
        <v>211020501</v>
      </c>
      <c r="AV337" s="10" t="s">
        <v>440</v>
      </c>
      <c r="AW337" s="11">
        <v>1750</v>
      </c>
      <c r="AZ337" s="11">
        <f ca="1">IFERROR(OFFSET(ITEM_RES!$A$1,MATCH(BA337,ITEM_RES!$J:$J,0)-1,0),0)</f>
        <v>211020801</v>
      </c>
      <c r="BA337" s="10" t="s">
        <v>442</v>
      </c>
      <c r="BB337" s="11">
        <v>1750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11"/>
        <v>112040014</v>
      </c>
      <c r="B338" s="13">
        <v>11</v>
      </c>
      <c r="C338" s="12">
        <f t="shared" si="112"/>
        <v>2</v>
      </c>
      <c r="D338" s="13">
        <v>4</v>
      </c>
      <c r="E338" s="13">
        <v>0</v>
      </c>
      <c r="F338" s="12">
        <f t="shared" si="113"/>
        <v>14</v>
      </c>
      <c r="H338" s="9">
        <v>2</v>
      </c>
      <c r="I338" s="9">
        <v>14</v>
      </c>
      <c r="K338" s="9" t="s">
        <v>371</v>
      </c>
      <c r="M338" s="9" t="s">
        <v>972</v>
      </c>
      <c r="N338" s="9" t="s">
        <v>991</v>
      </c>
      <c r="O338" s="9">
        <v>1</v>
      </c>
      <c r="P338" s="9">
        <v>15</v>
      </c>
      <c r="Q338" s="9" t="s">
        <v>796</v>
      </c>
      <c r="U338" s="9" t="s">
        <v>729</v>
      </c>
      <c r="W338" s="85" t="s">
        <v>562</v>
      </c>
      <c r="X338" s="9">
        <f ca="1">IFERROR(OFFSET(ITEM_RES!$A$5,MATCH(BUILDING!W338,ITEM_RES!$J$5:$J$226,0)-1,0),0)</f>
        <v>211020601</v>
      </c>
      <c r="Y338" s="11">
        <v>2</v>
      </c>
      <c r="Z338" s="85" t="s">
        <v>557</v>
      </c>
      <c r="AA338" s="9">
        <f ca="1">IFERROR(OFFSET(ITEM_RES!$A$5,MATCH(BUILDING!Z338,ITEM_RES!$J$5:$J$226,0)-1,0),0)</f>
        <v>211020701</v>
      </c>
      <c r="AC338" s="9" t="s">
        <v>534</v>
      </c>
      <c r="AD338" s="9">
        <v>14</v>
      </c>
      <c r="AF338" s="9">
        <v>36000</v>
      </c>
      <c r="AI338" s="56">
        <f t="shared" ca="1" si="106"/>
        <v>1575</v>
      </c>
      <c r="AJ338" s="10">
        <f ca="1">AO338+AQ338+(IFERROR(OFFSET(ITEM_RES!$T$1,MATCH(AU338,ITEM_RES!$A:$A,0)-1,0),0)*AW338+IFERROR(OFFSET(ITEM_RES!$T$1,MATCH(AZ338,ITEM_RES!$A:$A,0)-1,0),0)*BB338+IFERROR(OFFSET(ITEM_RES!$T$1,MATCH(BE338,ITEM_RES!$A:$A,0)-1,0),0)*BG338+IFERROR(OFFSET(ITEM_RES!$T$1,MATCH(BJ338,ITEM_RES!$A:$A,0)-1,0),0)*BL338+IFERROR(OFFSET(ITEM_RES!$T$1,MATCH(BO338,ITEM_RES!$A:$A,0)-1,0),0)*BQ338)/1000</f>
        <v>1575</v>
      </c>
      <c r="AK338" s="183">
        <f t="shared" ca="1" si="115"/>
        <v>2800</v>
      </c>
      <c r="AM338" s="11">
        <f t="shared" si="108"/>
        <v>70</v>
      </c>
      <c r="AN338" s="10">
        <v>70</v>
      </c>
      <c r="AO338" s="11">
        <f t="shared" si="114"/>
        <v>450</v>
      </c>
      <c r="AP338" s="10">
        <v>450</v>
      </c>
      <c r="AQ338" s="11">
        <f t="shared" si="114"/>
        <v>450</v>
      </c>
      <c r="AR338" s="10">
        <v>450</v>
      </c>
      <c r="AS338" s="56">
        <f t="shared" si="109"/>
        <v>2</v>
      </c>
      <c r="AU338" s="11">
        <f ca="1">IFERROR(OFFSET(ITEM_RES!$A$1,MATCH(AV338,ITEM_RES!$J:$J,0)-1,0),0)</f>
        <v>211020501</v>
      </c>
      <c r="AV338" s="10" t="s">
        <v>440</v>
      </c>
      <c r="AW338" s="11">
        <v>2250</v>
      </c>
      <c r="AZ338" s="11">
        <f ca="1">IFERROR(OFFSET(ITEM_RES!$A$1,MATCH(BA338,ITEM_RES!$J:$J,0)-1,0),0)</f>
        <v>211020801</v>
      </c>
      <c r="BA338" s="10" t="s">
        <v>442</v>
      </c>
      <c r="BB338" s="11">
        <v>2250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  <c r="BO338" s="11">
        <f ca="1">IFERROR(OFFSET(ITEM_RES!$A$1,MATCH(BP338,ITEM_RES!$J:$J,0)-1,0),0)</f>
        <v>0</v>
      </c>
    </row>
    <row r="339" spans="1:70" x14ac:dyDescent="0.3">
      <c r="A339" s="14">
        <f t="shared" si="111"/>
        <v>112040015</v>
      </c>
      <c r="B339" s="13">
        <v>11</v>
      </c>
      <c r="C339" s="12">
        <f t="shared" si="112"/>
        <v>2</v>
      </c>
      <c r="D339" s="13">
        <v>4</v>
      </c>
      <c r="E339" s="13">
        <v>0</v>
      </c>
      <c r="F339" s="12">
        <f t="shared" si="113"/>
        <v>15</v>
      </c>
      <c r="H339" s="9">
        <v>2</v>
      </c>
      <c r="I339" s="9">
        <v>15</v>
      </c>
      <c r="K339" s="9" t="s">
        <v>371</v>
      </c>
      <c r="M339" s="9" t="s">
        <v>972</v>
      </c>
      <c r="N339" s="9" t="s">
        <v>991</v>
      </c>
      <c r="O339" s="9">
        <v>1</v>
      </c>
      <c r="P339" s="9">
        <v>15</v>
      </c>
      <c r="Q339" s="9" t="s">
        <v>796</v>
      </c>
      <c r="U339" s="9" t="s">
        <v>729</v>
      </c>
      <c r="W339" s="85" t="s">
        <v>562</v>
      </c>
      <c r="X339" s="9">
        <f ca="1">IFERROR(OFFSET(ITEM_RES!$A$5,MATCH(BUILDING!W339,ITEM_RES!$J$5:$J$226,0)-1,0),0)</f>
        <v>211020601</v>
      </c>
      <c r="Y339" s="11">
        <v>2</v>
      </c>
      <c r="Z339" s="85" t="s">
        <v>557</v>
      </c>
      <c r="AA339" s="9">
        <f ca="1">IFERROR(OFFSET(ITEM_RES!$A$5,MATCH(BUILDING!Z339,ITEM_RES!$J$5:$J$226,0)-1,0),0)</f>
        <v>211020701</v>
      </c>
      <c r="AC339" s="9" t="s">
        <v>534</v>
      </c>
      <c r="AD339" s="9">
        <v>15</v>
      </c>
      <c r="AF339" s="9">
        <v>44000</v>
      </c>
      <c r="AI339" s="56">
        <f t="shared" ca="1" si="106"/>
        <v>1925</v>
      </c>
      <c r="AJ339" s="10">
        <f ca="1">AO339+AQ339+(IFERROR(OFFSET(ITEM_RES!$T$1,MATCH(AU339,ITEM_RES!$A:$A,0)-1,0),0)*AW339+IFERROR(OFFSET(ITEM_RES!$T$1,MATCH(AZ339,ITEM_RES!$A:$A,0)-1,0),0)*BB339+IFERROR(OFFSET(ITEM_RES!$T$1,MATCH(BE339,ITEM_RES!$A:$A,0)-1,0),0)*BG339+IFERROR(OFFSET(ITEM_RES!$T$1,MATCH(BJ339,ITEM_RES!$A:$A,0)-1,0),0)*BL339+IFERROR(OFFSET(ITEM_RES!$T$1,MATCH(BO339,ITEM_RES!$A:$A,0)-1,0),0)*BQ339)/1000</f>
        <v>1925</v>
      </c>
      <c r="AK339" s="183">
        <f t="shared" ca="1" si="115"/>
        <v>3500</v>
      </c>
      <c r="AM339" s="11">
        <f t="shared" si="108"/>
        <v>75</v>
      </c>
      <c r="AN339" s="10">
        <v>75</v>
      </c>
      <c r="AO339" s="11">
        <f t="shared" si="114"/>
        <v>550</v>
      </c>
      <c r="AP339" s="10">
        <v>550</v>
      </c>
      <c r="AQ339" s="11">
        <f t="shared" si="114"/>
        <v>550</v>
      </c>
      <c r="AR339" s="10">
        <v>550</v>
      </c>
      <c r="AS339" s="56">
        <f t="shared" si="109"/>
        <v>2</v>
      </c>
      <c r="AU339" s="11">
        <f ca="1">IFERROR(OFFSET(ITEM_RES!$A$1,MATCH(AV339,ITEM_RES!$J:$J,0)-1,0),0)</f>
        <v>211020501</v>
      </c>
      <c r="AV339" s="10" t="s">
        <v>440</v>
      </c>
      <c r="AW339" s="11">
        <v>2750</v>
      </c>
      <c r="AZ339" s="11">
        <f ca="1">IFERROR(OFFSET(ITEM_RES!$A$1,MATCH(BA339,ITEM_RES!$J:$J,0)-1,0),0)</f>
        <v>211020801</v>
      </c>
      <c r="BA339" s="10" t="s">
        <v>442</v>
      </c>
      <c r="BB339" s="11">
        <v>2750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11"/>
        <v>112040016</v>
      </c>
      <c r="B340" s="13">
        <v>11</v>
      </c>
      <c r="C340" s="12">
        <f t="shared" si="112"/>
        <v>2</v>
      </c>
      <c r="D340" s="13">
        <v>4</v>
      </c>
      <c r="E340" s="13">
        <v>0</v>
      </c>
      <c r="F340" s="12">
        <f t="shared" si="113"/>
        <v>16</v>
      </c>
      <c r="H340" s="9">
        <v>2</v>
      </c>
      <c r="I340" s="9">
        <v>16</v>
      </c>
      <c r="K340" s="9" t="s">
        <v>371</v>
      </c>
      <c r="M340" s="9" t="s">
        <v>972</v>
      </c>
      <c r="N340" s="9" t="s">
        <v>991</v>
      </c>
      <c r="O340" s="9">
        <v>0</v>
      </c>
      <c r="P340" s="9">
        <v>15</v>
      </c>
      <c r="Q340" s="9" t="s">
        <v>796</v>
      </c>
      <c r="U340" s="9" t="s">
        <v>729</v>
      </c>
      <c r="W340" s="85" t="s">
        <v>562</v>
      </c>
      <c r="X340" s="9">
        <f ca="1">IFERROR(OFFSET(ITEM_RES!$A$5,MATCH(BUILDING!W340,ITEM_RES!$J$5:$J$226,0)-1,0),0)</f>
        <v>211020601</v>
      </c>
      <c r="Y340" s="11">
        <v>2</v>
      </c>
      <c r="Z340" s="85" t="s">
        <v>557</v>
      </c>
      <c r="AA340" s="9">
        <f ca="1">IFERROR(OFFSET(ITEM_RES!$A$5,MATCH(BUILDING!Z340,ITEM_RES!$J$5:$J$226,0)-1,0),0)</f>
        <v>211020701</v>
      </c>
      <c r="AC340" s="9" t="s">
        <v>534</v>
      </c>
      <c r="AD340" s="9">
        <v>16</v>
      </c>
      <c r="AF340" s="9">
        <v>56000</v>
      </c>
      <c r="AI340" s="56">
        <f t="shared" ca="1" si="106"/>
        <v>2450</v>
      </c>
      <c r="AJ340" s="10">
        <f ca="1">AO340+AQ340+(IFERROR(OFFSET(ITEM_RES!$T$1,MATCH(AU340,ITEM_RES!$A:$A,0)-1,0),0)*AW340+IFERROR(OFFSET(ITEM_RES!$T$1,MATCH(AZ340,ITEM_RES!$A:$A,0)-1,0),0)*BB340+IFERROR(OFFSET(ITEM_RES!$T$1,MATCH(BE340,ITEM_RES!$A:$A,0)-1,0),0)*BG340+IFERROR(OFFSET(ITEM_RES!$T$1,MATCH(BJ340,ITEM_RES!$A:$A,0)-1,0),0)*BL340+IFERROR(OFFSET(ITEM_RES!$T$1,MATCH(BO340,ITEM_RES!$A:$A,0)-1,0),0)*BQ340)/1000</f>
        <v>2450</v>
      </c>
      <c r="AK340" s="183">
        <f t="shared" ca="1" si="115"/>
        <v>4375</v>
      </c>
      <c r="AM340" s="11">
        <f t="shared" si="108"/>
        <v>80</v>
      </c>
      <c r="AN340" s="10">
        <v>80</v>
      </c>
      <c r="AO340" s="11">
        <f t="shared" si="114"/>
        <v>700</v>
      </c>
      <c r="AP340" s="10">
        <v>700</v>
      </c>
      <c r="AQ340" s="11">
        <f t="shared" si="114"/>
        <v>700</v>
      </c>
      <c r="AR340" s="10">
        <v>700</v>
      </c>
      <c r="AS340" s="56">
        <f t="shared" si="109"/>
        <v>2</v>
      </c>
      <c r="AU340" s="11">
        <f ca="1">IFERROR(OFFSET(ITEM_RES!$A$1,MATCH(AV340,ITEM_RES!$J:$J,0)-1,0),0)</f>
        <v>211020501</v>
      </c>
      <c r="AV340" s="10" t="s">
        <v>440</v>
      </c>
      <c r="AW340" s="11">
        <v>3500</v>
      </c>
      <c r="AZ340" s="11">
        <f ca="1">IFERROR(OFFSET(ITEM_RES!$A$1,MATCH(BA340,ITEM_RES!$J:$J,0)-1,0),0)</f>
        <v>211020801</v>
      </c>
      <c r="BA340" s="10" t="s">
        <v>442</v>
      </c>
      <c r="BB340" s="11">
        <v>3500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si="111"/>
        <v>112040017</v>
      </c>
      <c r="B341" s="13">
        <v>11</v>
      </c>
      <c r="C341" s="12">
        <f t="shared" si="112"/>
        <v>2</v>
      </c>
      <c r="D341" s="13">
        <v>4</v>
      </c>
      <c r="E341" s="13">
        <v>0</v>
      </c>
      <c r="F341" s="12">
        <f t="shared" si="113"/>
        <v>17</v>
      </c>
      <c r="H341" s="9">
        <v>2</v>
      </c>
      <c r="I341" s="9">
        <v>17</v>
      </c>
      <c r="K341" s="9" t="s">
        <v>371</v>
      </c>
      <c r="M341" s="9" t="s">
        <v>972</v>
      </c>
      <c r="N341" s="9" t="s">
        <v>991</v>
      </c>
      <c r="O341" s="9">
        <v>0</v>
      </c>
      <c r="P341" s="9">
        <v>15</v>
      </c>
      <c r="Q341" s="9" t="s">
        <v>796</v>
      </c>
      <c r="U341" s="9" t="s">
        <v>729</v>
      </c>
      <c r="W341" s="85" t="s">
        <v>562</v>
      </c>
      <c r="X341" s="9">
        <f ca="1">IFERROR(OFFSET(ITEM_RES!$A$5,MATCH(BUILDING!W341,ITEM_RES!$J$5:$J$226,0)-1,0),0)</f>
        <v>211020601</v>
      </c>
      <c r="Y341" s="11">
        <v>2</v>
      </c>
      <c r="Z341" s="85" t="s">
        <v>557</v>
      </c>
      <c r="AA341" s="9">
        <f ca="1">IFERROR(OFFSET(ITEM_RES!$A$5,MATCH(BUILDING!Z341,ITEM_RES!$J$5:$J$226,0)-1,0),0)</f>
        <v>211020701</v>
      </c>
      <c r="AC341" s="9" t="s">
        <v>534</v>
      </c>
      <c r="AD341" s="9">
        <v>17</v>
      </c>
      <c r="AF341" s="9">
        <v>68000</v>
      </c>
      <c r="AI341" s="56">
        <f t="shared" ca="1" si="106"/>
        <v>2975</v>
      </c>
      <c r="AJ341" s="10">
        <f ca="1">AO341+AQ341+(IFERROR(OFFSET(ITEM_RES!$T$1,MATCH(AU341,ITEM_RES!$A:$A,0)-1,0),0)*AW341+IFERROR(OFFSET(ITEM_RES!$T$1,MATCH(AZ341,ITEM_RES!$A:$A,0)-1,0),0)*BB341+IFERROR(OFFSET(ITEM_RES!$T$1,MATCH(BE341,ITEM_RES!$A:$A,0)-1,0),0)*BG341+IFERROR(OFFSET(ITEM_RES!$T$1,MATCH(BJ341,ITEM_RES!$A:$A,0)-1,0),0)*BL341+IFERROR(OFFSET(ITEM_RES!$T$1,MATCH(BO341,ITEM_RES!$A:$A,0)-1,0),0)*BQ341)/1000</f>
        <v>2975</v>
      </c>
      <c r="AK341" s="183">
        <f t="shared" ca="1" si="115"/>
        <v>5425</v>
      </c>
      <c r="AM341" s="11">
        <f t="shared" si="108"/>
        <v>85</v>
      </c>
      <c r="AN341" s="10">
        <v>85</v>
      </c>
      <c r="AO341" s="11">
        <f t="shared" si="114"/>
        <v>850</v>
      </c>
      <c r="AP341" s="10">
        <v>850</v>
      </c>
      <c r="AQ341" s="11">
        <f t="shared" si="114"/>
        <v>850</v>
      </c>
      <c r="AR341" s="10">
        <v>850</v>
      </c>
      <c r="AS341" s="56">
        <f t="shared" si="109"/>
        <v>2</v>
      </c>
      <c r="AU341" s="11">
        <f ca="1">IFERROR(OFFSET(ITEM_RES!$A$1,MATCH(AV341,ITEM_RES!$J:$J,0)-1,0),0)</f>
        <v>211020501</v>
      </c>
      <c r="AV341" s="10" t="s">
        <v>440</v>
      </c>
      <c r="AW341" s="11">
        <v>4250</v>
      </c>
      <c r="AZ341" s="11">
        <f ca="1">IFERROR(OFFSET(ITEM_RES!$A$1,MATCH(BA341,ITEM_RES!$J:$J,0)-1,0),0)</f>
        <v>211020801</v>
      </c>
      <c r="BA341" s="10" t="s">
        <v>442</v>
      </c>
      <c r="BB341" s="11">
        <v>4250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11"/>
        <v>112040018</v>
      </c>
      <c r="B342" s="13">
        <v>11</v>
      </c>
      <c r="C342" s="12">
        <f t="shared" si="112"/>
        <v>2</v>
      </c>
      <c r="D342" s="13">
        <v>4</v>
      </c>
      <c r="E342" s="13">
        <v>0</v>
      </c>
      <c r="F342" s="12">
        <f t="shared" si="113"/>
        <v>18</v>
      </c>
      <c r="H342" s="9">
        <v>2</v>
      </c>
      <c r="I342" s="9">
        <v>18</v>
      </c>
      <c r="K342" s="9" t="s">
        <v>371</v>
      </c>
      <c r="M342" s="9" t="s">
        <v>972</v>
      </c>
      <c r="N342" s="9" t="s">
        <v>991</v>
      </c>
      <c r="O342" s="9">
        <v>0</v>
      </c>
      <c r="P342" s="9">
        <v>15</v>
      </c>
      <c r="Q342" s="9" t="s">
        <v>796</v>
      </c>
      <c r="U342" s="9" t="s">
        <v>729</v>
      </c>
      <c r="W342" s="85" t="s">
        <v>562</v>
      </c>
      <c r="X342" s="9">
        <f ca="1">IFERROR(OFFSET(ITEM_RES!$A$5,MATCH(BUILDING!W342,ITEM_RES!$J$5:$J$226,0)-1,0),0)</f>
        <v>211020601</v>
      </c>
      <c r="Y342" s="11">
        <v>2</v>
      </c>
      <c r="Z342" s="85" t="s">
        <v>557</v>
      </c>
      <c r="AA342" s="9">
        <f ca="1">IFERROR(OFFSET(ITEM_RES!$A$5,MATCH(BUILDING!Z342,ITEM_RES!$J$5:$J$226,0)-1,0),0)</f>
        <v>211020701</v>
      </c>
      <c r="AC342" s="9" t="s">
        <v>534</v>
      </c>
      <c r="AD342" s="9">
        <v>18</v>
      </c>
      <c r="AF342" s="9">
        <v>84000</v>
      </c>
      <c r="AI342" s="56">
        <f t="shared" ca="1" si="106"/>
        <v>3675</v>
      </c>
      <c r="AJ342" s="10">
        <f ca="1">AO342+AQ342+(IFERROR(OFFSET(ITEM_RES!$T$1,MATCH(AU342,ITEM_RES!$A:$A,0)-1,0),0)*AW342+IFERROR(OFFSET(ITEM_RES!$T$1,MATCH(AZ342,ITEM_RES!$A:$A,0)-1,0),0)*BB342+IFERROR(OFFSET(ITEM_RES!$T$1,MATCH(BE342,ITEM_RES!$A:$A,0)-1,0),0)*BG342+IFERROR(OFFSET(ITEM_RES!$T$1,MATCH(BJ342,ITEM_RES!$A:$A,0)-1,0),0)*BL342+IFERROR(OFFSET(ITEM_RES!$T$1,MATCH(BO342,ITEM_RES!$A:$A,0)-1,0),0)*BQ342)/1000</f>
        <v>3675</v>
      </c>
      <c r="AK342" s="183">
        <f t="shared" ca="1" si="115"/>
        <v>6650</v>
      </c>
      <c r="AM342" s="11">
        <f t="shared" si="108"/>
        <v>90</v>
      </c>
      <c r="AN342" s="10">
        <v>90</v>
      </c>
      <c r="AO342" s="11">
        <f t="shared" si="114"/>
        <v>1050</v>
      </c>
      <c r="AP342" s="10">
        <v>1050</v>
      </c>
      <c r="AQ342" s="11">
        <f t="shared" si="114"/>
        <v>1050</v>
      </c>
      <c r="AR342" s="10">
        <v>1050</v>
      </c>
      <c r="AS342" s="56">
        <f t="shared" si="109"/>
        <v>2</v>
      </c>
      <c r="AU342" s="11">
        <f ca="1">IFERROR(OFFSET(ITEM_RES!$A$1,MATCH(AV342,ITEM_RES!$J:$J,0)-1,0),0)</f>
        <v>211020501</v>
      </c>
      <c r="AV342" s="10" t="s">
        <v>440</v>
      </c>
      <c r="AW342" s="11">
        <v>5250</v>
      </c>
      <c r="AZ342" s="11">
        <f ca="1">IFERROR(OFFSET(ITEM_RES!$A$1,MATCH(BA342,ITEM_RES!$J:$J,0)-1,0),0)</f>
        <v>211020801</v>
      </c>
      <c r="BA342" s="10" t="s">
        <v>442</v>
      </c>
      <c r="BB342" s="11">
        <v>5250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11"/>
        <v>112040019</v>
      </c>
      <c r="B343" s="13">
        <v>11</v>
      </c>
      <c r="C343" s="12">
        <f t="shared" si="112"/>
        <v>2</v>
      </c>
      <c r="D343" s="13">
        <v>4</v>
      </c>
      <c r="E343" s="13">
        <v>0</v>
      </c>
      <c r="F343" s="12">
        <f t="shared" si="113"/>
        <v>19</v>
      </c>
      <c r="H343" s="9">
        <v>2</v>
      </c>
      <c r="I343" s="9">
        <v>19</v>
      </c>
      <c r="K343" s="9" t="s">
        <v>371</v>
      </c>
      <c r="M343" s="9" t="s">
        <v>972</v>
      </c>
      <c r="N343" s="9" t="s">
        <v>991</v>
      </c>
      <c r="O343" s="9">
        <v>0</v>
      </c>
      <c r="P343" s="9">
        <v>15</v>
      </c>
      <c r="Q343" s="9" t="s">
        <v>796</v>
      </c>
      <c r="U343" s="9" t="s">
        <v>729</v>
      </c>
      <c r="W343" s="85" t="s">
        <v>562</v>
      </c>
      <c r="X343" s="9">
        <f ca="1">IFERROR(OFFSET(ITEM_RES!$A$5,MATCH(BUILDING!W343,ITEM_RES!$J$5:$J$226,0)-1,0),0)</f>
        <v>211020601</v>
      </c>
      <c r="Y343" s="11">
        <v>2</v>
      </c>
      <c r="Z343" s="85" t="s">
        <v>557</v>
      </c>
      <c r="AA343" s="9">
        <f ca="1">IFERROR(OFFSET(ITEM_RES!$A$5,MATCH(BUILDING!Z343,ITEM_RES!$J$5:$J$226,0)-1,0),0)</f>
        <v>211020701</v>
      </c>
      <c r="AC343" s="9" t="s">
        <v>534</v>
      </c>
      <c r="AD343" s="9">
        <v>19</v>
      </c>
      <c r="AF343" s="9">
        <v>100000</v>
      </c>
      <c r="AI343" s="56">
        <f t="shared" ca="1" si="106"/>
        <v>4375</v>
      </c>
      <c r="AJ343" s="10">
        <f ca="1">AO343+AQ343+(IFERROR(OFFSET(ITEM_RES!$T$1,MATCH(AU343,ITEM_RES!$A:$A,0)-1,0),0)*AW343+IFERROR(OFFSET(ITEM_RES!$T$1,MATCH(AZ343,ITEM_RES!$A:$A,0)-1,0),0)*BB343+IFERROR(OFFSET(ITEM_RES!$T$1,MATCH(BE343,ITEM_RES!$A:$A,0)-1,0),0)*BG343+IFERROR(OFFSET(ITEM_RES!$T$1,MATCH(BJ343,ITEM_RES!$A:$A,0)-1,0),0)*BL343+IFERROR(OFFSET(ITEM_RES!$T$1,MATCH(BO343,ITEM_RES!$A:$A,0)-1,0),0)*BQ343)/1000</f>
        <v>4375</v>
      </c>
      <c r="AK343" s="183">
        <f t="shared" ca="1" si="115"/>
        <v>8050</v>
      </c>
      <c r="AM343" s="11">
        <f t="shared" si="108"/>
        <v>95</v>
      </c>
      <c r="AN343" s="10">
        <v>95</v>
      </c>
      <c r="AO343" s="11">
        <f t="shared" si="114"/>
        <v>1250</v>
      </c>
      <c r="AP343" s="10">
        <v>1250</v>
      </c>
      <c r="AQ343" s="11">
        <f t="shared" si="114"/>
        <v>1250</v>
      </c>
      <c r="AR343" s="10">
        <v>1250</v>
      </c>
      <c r="AS343" s="56">
        <f t="shared" si="109"/>
        <v>2</v>
      </c>
      <c r="AU343" s="11">
        <f ca="1">IFERROR(OFFSET(ITEM_RES!$A$1,MATCH(AV343,ITEM_RES!$J:$J,0)-1,0),0)</f>
        <v>211020501</v>
      </c>
      <c r="AV343" s="10" t="s">
        <v>440</v>
      </c>
      <c r="AW343" s="11">
        <v>6250</v>
      </c>
      <c r="AZ343" s="11">
        <f ca="1">IFERROR(OFFSET(ITEM_RES!$A$1,MATCH(BA343,ITEM_RES!$J:$J,0)-1,0),0)</f>
        <v>211020801</v>
      </c>
      <c r="BA343" s="10" t="s">
        <v>442</v>
      </c>
      <c r="BB343" s="11">
        <v>6250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11"/>
        <v>112040020</v>
      </c>
      <c r="B344" s="13">
        <v>11</v>
      </c>
      <c r="C344" s="12">
        <f t="shared" si="112"/>
        <v>2</v>
      </c>
      <c r="D344" s="13">
        <v>4</v>
      </c>
      <c r="E344" s="13">
        <v>0</v>
      </c>
      <c r="F344" s="12">
        <f t="shared" si="113"/>
        <v>20</v>
      </c>
      <c r="H344" s="9">
        <v>2</v>
      </c>
      <c r="I344" s="9">
        <v>20</v>
      </c>
      <c r="K344" s="9" t="s">
        <v>371</v>
      </c>
      <c r="M344" s="9" t="s">
        <v>972</v>
      </c>
      <c r="N344" s="9" t="s">
        <v>991</v>
      </c>
      <c r="O344" s="9">
        <v>0</v>
      </c>
      <c r="P344" s="9">
        <v>15</v>
      </c>
      <c r="Q344" s="9" t="s">
        <v>796</v>
      </c>
      <c r="U344" s="9" t="s">
        <v>729</v>
      </c>
      <c r="W344" s="85" t="s">
        <v>562</v>
      </c>
      <c r="X344" s="9">
        <f ca="1">IFERROR(OFFSET(ITEM_RES!$A$5,MATCH(BUILDING!W344,ITEM_RES!$J$5:$J$226,0)-1,0),0)</f>
        <v>211020601</v>
      </c>
      <c r="Y344" s="11">
        <v>2</v>
      </c>
      <c r="Z344" s="85" t="s">
        <v>557</v>
      </c>
      <c r="AA344" s="9">
        <f ca="1">IFERROR(OFFSET(ITEM_RES!$A$5,MATCH(BUILDING!Z344,ITEM_RES!$J$5:$J$226,0)-1,0),0)</f>
        <v>211020701</v>
      </c>
      <c r="AC344" s="9" t="s">
        <v>534</v>
      </c>
      <c r="AD344" s="9">
        <v>20</v>
      </c>
      <c r="AF344" s="9">
        <v>120000</v>
      </c>
      <c r="AI344" s="56">
        <f t="shared" ca="1" si="106"/>
        <v>5250</v>
      </c>
      <c r="AJ344" s="10">
        <f ca="1">AO344+AQ344+(IFERROR(OFFSET(ITEM_RES!$T$1,MATCH(AU344,ITEM_RES!$A:$A,0)-1,0),0)*AW344+IFERROR(OFFSET(ITEM_RES!$T$1,MATCH(AZ344,ITEM_RES!$A:$A,0)-1,0),0)*BB344+IFERROR(OFFSET(ITEM_RES!$T$1,MATCH(BE344,ITEM_RES!$A:$A,0)-1,0),0)*BG344+IFERROR(OFFSET(ITEM_RES!$T$1,MATCH(BJ344,ITEM_RES!$A:$A,0)-1,0),0)*BL344+IFERROR(OFFSET(ITEM_RES!$T$1,MATCH(BO344,ITEM_RES!$A:$A,0)-1,0),0)*BQ344)/1000</f>
        <v>5250</v>
      </c>
      <c r="AK344" s="183">
        <f t="shared" ca="1" si="115"/>
        <v>9625</v>
      </c>
      <c r="AM344" s="11">
        <f t="shared" si="108"/>
        <v>100</v>
      </c>
      <c r="AN344" s="10">
        <v>100</v>
      </c>
      <c r="AO344" s="11">
        <f t="shared" si="114"/>
        <v>1500</v>
      </c>
      <c r="AP344" s="10">
        <v>1500</v>
      </c>
      <c r="AQ344" s="11">
        <f t="shared" si="114"/>
        <v>1500</v>
      </c>
      <c r="AR344" s="10">
        <v>1500</v>
      </c>
      <c r="AS344" s="56">
        <f t="shared" si="109"/>
        <v>2</v>
      </c>
      <c r="AU344" s="11">
        <f ca="1">IFERROR(OFFSET(ITEM_RES!$A$1,MATCH(AV344,ITEM_RES!$J:$J,0)-1,0),0)</f>
        <v>211020501</v>
      </c>
      <c r="AV344" s="10" t="s">
        <v>440</v>
      </c>
      <c r="AW344" s="11">
        <v>7500</v>
      </c>
      <c r="AZ344" s="11">
        <f ca="1">IFERROR(OFFSET(ITEM_RES!$A$1,MATCH(BA344,ITEM_RES!$J:$J,0)-1,0),0)</f>
        <v>211020801</v>
      </c>
      <c r="BA344" s="10" t="s">
        <v>442</v>
      </c>
      <c r="BB344" s="11">
        <v>7500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11"/>
        <v>112050001</v>
      </c>
      <c r="B345" s="20">
        <v>11</v>
      </c>
      <c r="C345" s="19">
        <f t="shared" si="112"/>
        <v>2</v>
      </c>
      <c r="D345" s="20">
        <v>5</v>
      </c>
      <c r="E345" s="20">
        <v>0</v>
      </c>
      <c r="F345" s="19">
        <f t="shared" si="113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>
        <v>10</v>
      </c>
      <c r="M345" s="16" t="s">
        <v>973</v>
      </c>
      <c r="N345" s="16" t="s">
        <v>992</v>
      </c>
      <c r="O345" s="16">
        <v>1</v>
      </c>
      <c r="P345" s="16">
        <v>15</v>
      </c>
      <c r="Q345" s="16" t="s">
        <v>797</v>
      </c>
      <c r="R345" s="17"/>
      <c r="S345" s="17"/>
      <c r="T345" s="18"/>
      <c r="U345" s="16" t="s">
        <v>730</v>
      </c>
      <c r="V345" s="79"/>
      <c r="W345" s="87" t="s">
        <v>563</v>
      </c>
      <c r="X345" s="16">
        <f ca="1">IFERROR(OFFSET(ITEM_RES!$A$5,MATCH(BUILDING!W345,ITEM_RES!$J$5:$J$226,0)-1,0),0)</f>
        <v>211020801</v>
      </c>
      <c r="Y345" s="18">
        <v>1</v>
      </c>
      <c r="Z345" s="87" t="s">
        <v>400</v>
      </c>
      <c r="AA345" s="16">
        <f ca="1">IFERROR(OFFSET(ITEM_RES!$A$5,MATCH(BUILDING!Z345,ITEM_RES!$J$5:$J$226,0)-1,0),0)</f>
        <v>211020901</v>
      </c>
      <c r="AB345" s="79"/>
      <c r="AC345" s="16" t="s">
        <v>535</v>
      </c>
      <c r="AD345" s="16">
        <v>1</v>
      </c>
      <c r="AE345" s="79"/>
      <c r="AF345" s="16">
        <v>0</v>
      </c>
      <c r="AG345" s="17"/>
      <c r="AH345" s="79"/>
      <c r="AI345" s="57">
        <f t="shared" ca="1" si="106"/>
        <v>113</v>
      </c>
      <c r="AJ345" s="17">
        <f ca="1">AO345+AQ345+(IFERROR(OFFSET(ITEM_RES!$T$1,MATCH(AU345,ITEM_RES!$A:$A,0)-1,0),0)*AW345+IFERROR(OFFSET(ITEM_RES!$T$1,MATCH(AZ345,ITEM_RES!$A:$A,0)-1,0),0)*BB345+IFERROR(OFFSET(ITEM_RES!$T$1,MATCH(BE345,ITEM_RES!$A:$A,0)-1,0),0)*BG345+IFERROR(OFFSET(ITEM_RES!$T$1,MATCH(BJ345,ITEM_RES!$A:$A,0)-1,0),0)*BL345+IFERROR(OFFSET(ITEM_RES!$T$1,MATCH(BO345,ITEM_RES!$A:$A,0)-1,0),0)*BQ345)/1000</f>
        <v>112.75</v>
      </c>
      <c r="AK345" s="185">
        <f ca="1">AJ345</f>
        <v>112.75</v>
      </c>
      <c r="AL345" s="79"/>
      <c r="AM345" s="18">
        <f t="shared" si="108"/>
        <v>5</v>
      </c>
      <c r="AN345" s="17">
        <v>5</v>
      </c>
      <c r="AO345" s="18">
        <f t="shared" si="114"/>
        <v>5</v>
      </c>
      <c r="AP345" s="17">
        <v>5</v>
      </c>
      <c r="AQ345" s="18">
        <f t="shared" si="114"/>
        <v>5</v>
      </c>
      <c r="AR345" s="17">
        <v>5</v>
      </c>
      <c r="AS345" s="57">
        <f t="shared" si="109"/>
        <v>3</v>
      </c>
      <c r="AT345" s="18"/>
      <c r="AU345" s="18">
        <f ca="1">IFERROR(OFFSET(ITEM_RES!$A$1,MATCH(AV345,ITEM_RES!$J:$J,0)-1,0),0)</f>
        <v>211020401</v>
      </c>
      <c r="AV345" s="17" t="s">
        <v>443</v>
      </c>
      <c r="AW345" s="18">
        <v>25</v>
      </c>
      <c r="AX345" s="17"/>
      <c r="AY345" s="18"/>
      <c r="AZ345" s="18">
        <f ca="1">IFERROR(OFFSET(ITEM_RES!$A$1,MATCH(BA345,ITEM_RES!$J:$J,0)-1,0),0)</f>
        <v>211020801</v>
      </c>
      <c r="BA345" s="17" t="s">
        <v>442</v>
      </c>
      <c r="BB345" s="18">
        <v>25</v>
      </c>
      <c r="BC345" s="17"/>
      <c r="BD345" s="18"/>
      <c r="BE345" s="18">
        <f ca="1">IFERROR(OFFSET(ITEM_RES!$A$1,MATCH(BF345,ITEM_RES!$J:$J,0)-1,0),0)</f>
        <v>213010101</v>
      </c>
      <c r="BF345" s="17" t="s">
        <v>463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11"/>
        <v>112050002</v>
      </c>
      <c r="B346" s="13">
        <v>11</v>
      </c>
      <c r="C346" s="12">
        <f t="shared" si="112"/>
        <v>2</v>
      </c>
      <c r="D346" s="13">
        <v>5</v>
      </c>
      <c r="E346" s="13">
        <v>0</v>
      </c>
      <c r="F346" s="12">
        <f t="shared" si="113"/>
        <v>2</v>
      </c>
      <c r="H346" s="9">
        <v>2</v>
      </c>
      <c r="I346" s="9">
        <v>2</v>
      </c>
      <c r="K346" s="9" t="s">
        <v>367</v>
      </c>
      <c r="M346" s="9" t="s">
        <v>973</v>
      </c>
      <c r="N346" s="9" t="s">
        <v>992</v>
      </c>
      <c r="O346" s="9">
        <v>1</v>
      </c>
      <c r="P346" s="9">
        <v>15</v>
      </c>
      <c r="Q346" s="9" t="s">
        <v>797</v>
      </c>
      <c r="U346" s="9" t="s">
        <v>730</v>
      </c>
      <c r="W346" s="85" t="s">
        <v>563</v>
      </c>
      <c r="X346" s="9">
        <f ca="1">IFERROR(OFFSET(ITEM_RES!$A$5,MATCH(BUILDING!W346,ITEM_RES!$J$5:$J$226,0)-1,0),0)</f>
        <v>211020801</v>
      </c>
      <c r="Y346" s="11">
        <v>1</v>
      </c>
      <c r="Z346" s="85" t="s">
        <v>400</v>
      </c>
      <c r="AA346" s="9">
        <f ca="1">IFERROR(OFFSET(ITEM_RES!$A$5,MATCH(BUILDING!Z346,ITEM_RES!$J$5:$J$226,0)-1,0),0)</f>
        <v>211020901</v>
      </c>
      <c r="AC346" s="9" t="s">
        <v>535</v>
      </c>
      <c r="AD346" s="9">
        <v>2</v>
      </c>
      <c r="AF346" s="9">
        <v>800</v>
      </c>
      <c r="AI346" s="56">
        <f t="shared" ref="AI346:AI409" ca="1" si="116">ROUND(AJ346,0)</f>
        <v>26</v>
      </c>
      <c r="AJ346" s="10">
        <f ca="1">AO346+AQ346+(IFERROR(OFFSET(ITEM_RES!$T$1,MATCH(AU346,ITEM_RES!$A:$A,0)-1,0),0)*AW346+IFERROR(OFFSET(ITEM_RES!$T$1,MATCH(AZ346,ITEM_RES!$A:$A,0)-1,0),0)*BB346+IFERROR(OFFSET(ITEM_RES!$T$1,MATCH(BE346,ITEM_RES!$A:$A,0)-1,0),0)*BG346+IFERROR(OFFSET(ITEM_RES!$T$1,MATCH(BJ346,ITEM_RES!$A:$A,0)-1,0),0)*BL346+IFERROR(OFFSET(ITEM_RES!$T$1,MATCH(BO346,ITEM_RES!$A:$A,0)-1,0),0)*BQ346)/1000</f>
        <v>25.5</v>
      </c>
      <c r="AK346" s="183">
        <f t="shared" ref="AK346:AK364" ca="1" si="117">AJ345+AJ346</f>
        <v>138.25</v>
      </c>
      <c r="AM346" s="11">
        <f t="shared" si="108"/>
        <v>10</v>
      </c>
      <c r="AN346" s="10">
        <v>10</v>
      </c>
      <c r="AO346" s="11">
        <f t="shared" si="114"/>
        <v>10</v>
      </c>
      <c r="AP346" s="10">
        <v>10</v>
      </c>
      <c r="AQ346" s="11">
        <f t="shared" si="114"/>
        <v>10</v>
      </c>
      <c r="AR346" s="10">
        <v>10</v>
      </c>
      <c r="AS346" s="56">
        <f t="shared" si="109"/>
        <v>2</v>
      </c>
      <c r="AU346" s="11">
        <f ca="1">IFERROR(OFFSET(ITEM_RES!$A$1,MATCH(AV346,ITEM_RES!$J:$J,0)-1,0),0)</f>
        <v>211020401</v>
      </c>
      <c r="AV346" s="10" t="s">
        <v>443</v>
      </c>
      <c r="AW346" s="11">
        <v>50</v>
      </c>
      <c r="AZ346" s="11">
        <f ca="1">IFERROR(OFFSET(ITEM_RES!$A$1,MATCH(BA346,ITEM_RES!$J:$J,0)-1,0),0)</f>
        <v>211020801</v>
      </c>
      <c r="BA346" s="10" t="s">
        <v>442</v>
      </c>
      <c r="BB346" s="11">
        <v>50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11"/>
        <v>112050003</v>
      </c>
      <c r="B347" s="13">
        <v>11</v>
      </c>
      <c r="C347" s="12">
        <f t="shared" si="112"/>
        <v>2</v>
      </c>
      <c r="D347" s="13">
        <v>5</v>
      </c>
      <c r="E347" s="13">
        <v>0</v>
      </c>
      <c r="F347" s="12">
        <f t="shared" si="113"/>
        <v>3</v>
      </c>
      <c r="H347" s="9">
        <v>2</v>
      </c>
      <c r="I347" s="9">
        <v>3</v>
      </c>
      <c r="K347" s="9" t="s">
        <v>367</v>
      </c>
      <c r="M347" s="9" t="s">
        <v>973</v>
      </c>
      <c r="N347" s="9" t="s">
        <v>992</v>
      </c>
      <c r="O347" s="9">
        <v>1</v>
      </c>
      <c r="P347" s="9">
        <v>15</v>
      </c>
      <c r="Q347" s="9" t="s">
        <v>797</v>
      </c>
      <c r="U347" s="9" t="s">
        <v>730</v>
      </c>
      <c r="W347" s="85" t="s">
        <v>563</v>
      </c>
      <c r="X347" s="9">
        <f ca="1">IFERROR(OFFSET(ITEM_RES!$A$5,MATCH(BUILDING!W347,ITEM_RES!$J$5:$J$226,0)-1,0),0)</f>
        <v>211020801</v>
      </c>
      <c r="Y347" s="11">
        <v>1</v>
      </c>
      <c r="Z347" s="85" t="s">
        <v>400</v>
      </c>
      <c r="AA347" s="9">
        <f ca="1">IFERROR(OFFSET(ITEM_RES!$A$5,MATCH(BUILDING!Z347,ITEM_RES!$J$5:$J$226,0)-1,0),0)</f>
        <v>211020901</v>
      </c>
      <c r="AC347" s="9" t="s">
        <v>535</v>
      </c>
      <c r="AD347" s="9">
        <v>3</v>
      </c>
      <c r="AF347" s="9">
        <v>1200</v>
      </c>
      <c r="AI347" s="56">
        <f t="shared" ca="1" si="116"/>
        <v>38</v>
      </c>
      <c r="AJ347" s="10">
        <f ca="1">AO347+AQ347+(IFERROR(OFFSET(ITEM_RES!$T$1,MATCH(AU347,ITEM_RES!$A:$A,0)-1,0),0)*AW347+IFERROR(OFFSET(ITEM_RES!$T$1,MATCH(AZ347,ITEM_RES!$A:$A,0)-1,0),0)*BB347+IFERROR(OFFSET(ITEM_RES!$T$1,MATCH(BE347,ITEM_RES!$A:$A,0)-1,0),0)*BG347+IFERROR(OFFSET(ITEM_RES!$T$1,MATCH(BJ347,ITEM_RES!$A:$A,0)-1,0),0)*BL347+IFERROR(OFFSET(ITEM_RES!$T$1,MATCH(BO347,ITEM_RES!$A:$A,0)-1,0),0)*BQ347)/1000</f>
        <v>38.25</v>
      </c>
      <c r="AK347" s="183">
        <f t="shared" ca="1" si="117"/>
        <v>63.75</v>
      </c>
      <c r="AM347" s="11">
        <f t="shared" si="108"/>
        <v>15</v>
      </c>
      <c r="AN347" s="10">
        <v>15</v>
      </c>
      <c r="AO347" s="11">
        <f t="shared" si="114"/>
        <v>15</v>
      </c>
      <c r="AP347" s="10">
        <v>15</v>
      </c>
      <c r="AQ347" s="11">
        <f t="shared" si="114"/>
        <v>15</v>
      </c>
      <c r="AR347" s="10">
        <v>15</v>
      </c>
      <c r="AS347" s="56">
        <f t="shared" si="109"/>
        <v>2</v>
      </c>
      <c r="AU347" s="11">
        <f ca="1">IFERROR(OFFSET(ITEM_RES!$A$1,MATCH(AV347,ITEM_RES!$J:$J,0)-1,0),0)</f>
        <v>211020401</v>
      </c>
      <c r="AV347" s="10" t="s">
        <v>443</v>
      </c>
      <c r="AW347" s="11">
        <v>75</v>
      </c>
      <c r="AZ347" s="11">
        <f ca="1">IFERROR(OFFSET(ITEM_RES!$A$1,MATCH(BA347,ITEM_RES!$J:$J,0)-1,0),0)</f>
        <v>211020801</v>
      </c>
      <c r="BA347" s="10" t="s">
        <v>442</v>
      </c>
      <c r="BB347" s="11">
        <v>75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11"/>
        <v>112050004</v>
      </c>
      <c r="B348" s="13">
        <v>11</v>
      </c>
      <c r="C348" s="12">
        <f t="shared" si="112"/>
        <v>2</v>
      </c>
      <c r="D348" s="13">
        <v>5</v>
      </c>
      <c r="E348" s="13">
        <v>0</v>
      </c>
      <c r="F348" s="12">
        <f t="shared" si="113"/>
        <v>4</v>
      </c>
      <c r="H348" s="9">
        <v>2</v>
      </c>
      <c r="I348" s="9">
        <v>4</v>
      </c>
      <c r="K348" s="9" t="s">
        <v>367</v>
      </c>
      <c r="M348" s="9" t="s">
        <v>973</v>
      </c>
      <c r="N348" s="9" t="s">
        <v>992</v>
      </c>
      <c r="O348" s="9">
        <v>1</v>
      </c>
      <c r="P348" s="9">
        <v>15</v>
      </c>
      <c r="Q348" s="9" t="s">
        <v>797</v>
      </c>
      <c r="U348" s="9" t="s">
        <v>730</v>
      </c>
      <c r="W348" s="85" t="s">
        <v>563</v>
      </c>
      <c r="X348" s="9">
        <f ca="1">IFERROR(OFFSET(ITEM_RES!$A$5,MATCH(BUILDING!W348,ITEM_RES!$J$5:$J$226,0)-1,0),0)</f>
        <v>211020801</v>
      </c>
      <c r="Y348" s="11">
        <v>1</v>
      </c>
      <c r="Z348" s="85" t="s">
        <v>400</v>
      </c>
      <c r="AA348" s="9">
        <f ca="1">IFERROR(OFFSET(ITEM_RES!$A$5,MATCH(BUILDING!Z348,ITEM_RES!$J$5:$J$226,0)-1,0),0)</f>
        <v>211020901</v>
      </c>
      <c r="AC348" s="9" t="s">
        <v>535</v>
      </c>
      <c r="AD348" s="9">
        <v>4</v>
      </c>
      <c r="AF348" s="9">
        <v>2000</v>
      </c>
      <c r="AI348" s="56">
        <f t="shared" ca="1" si="116"/>
        <v>64</v>
      </c>
      <c r="AJ348" s="10">
        <f ca="1">AO348+AQ348+(IFERROR(OFFSET(ITEM_RES!$T$1,MATCH(AU348,ITEM_RES!$A:$A,0)-1,0),0)*AW348+IFERROR(OFFSET(ITEM_RES!$T$1,MATCH(AZ348,ITEM_RES!$A:$A,0)-1,0),0)*BB348+IFERROR(OFFSET(ITEM_RES!$T$1,MATCH(BE348,ITEM_RES!$A:$A,0)-1,0),0)*BG348+IFERROR(OFFSET(ITEM_RES!$T$1,MATCH(BJ348,ITEM_RES!$A:$A,0)-1,0),0)*BL348+IFERROR(OFFSET(ITEM_RES!$T$1,MATCH(BO348,ITEM_RES!$A:$A,0)-1,0),0)*BQ348)/1000</f>
        <v>63.75</v>
      </c>
      <c r="AK348" s="183">
        <f t="shared" ca="1" si="117"/>
        <v>102</v>
      </c>
      <c r="AM348" s="11">
        <f t="shared" si="108"/>
        <v>20</v>
      </c>
      <c r="AN348" s="10">
        <v>20</v>
      </c>
      <c r="AO348" s="11">
        <f t="shared" si="114"/>
        <v>25</v>
      </c>
      <c r="AP348" s="10">
        <v>25</v>
      </c>
      <c r="AQ348" s="11">
        <f t="shared" si="114"/>
        <v>25</v>
      </c>
      <c r="AR348" s="10">
        <v>25</v>
      </c>
      <c r="AS348" s="56">
        <f t="shared" si="109"/>
        <v>2</v>
      </c>
      <c r="AU348" s="11">
        <f ca="1">IFERROR(OFFSET(ITEM_RES!$A$1,MATCH(AV348,ITEM_RES!$J:$J,0)-1,0),0)</f>
        <v>211020401</v>
      </c>
      <c r="AV348" s="10" t="s">
        <v>443</v>
      </c>
      <c r="AW348" s="11">
        <v>125</v>
      </c>
      <c r="AZ348" s="11">
        <f ca="1">IFERROR(OFFSET(ITEM_RES!$A$1,MATCH(BA348,ITEM_RES!$J:$J,0)-1,0),0)</f>
        <v>211020801</v>
      </c>
      <c r="BA348" s="10" t="s">
        <v>442</v>
      </c>
      <c r="BB348" s="11">
        <v>125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11"/>
        <v>112050005</v>
      </c>
      <c r="B349" s="13">
        <v>11</v>
      </c>
      <c r="C349" s="12">
        <f t="shared" si="112"/>
        <v>2</v>
      </c>
      <c r="D349" s="13">
        <v>5</v>
      </c>
      <c r="E349" s="13">
        <v>0</v>
      </c>
      <c r="F349" s="12">
        <f t="shared" si="113"/>
        <v>5</v>
      </c>
      <c r="H349" s="9">
        <v>2</v>
      </c>
      <c r="I349" s="9">
        <v>5</v>
      </c>
      <c r="K349" s="9" t="s">
        <v>367</v>
      </c>
      <c r="M349" s="9" t="s">
        <v>973</v>
      </c>
      <c r="N349" s="9" t="s">
        <v>992</v>
      </c>
      <c r="O349" s="9">
        <v>1</v>
      </c>
      <c r="P349" s="9">
        <v>15</v>
      </c>
      <c r="Q349" s="9" t="s">
        <v>797</v>
      </c>
      <c r="U349" s="9" t="s">
        <v>730</v>
      </c>
      <c r="W349" s="85" t="s">
        <v>563</v>
      </c>
      <c r="X349" s="9">
        <f ca="1">IFERROR(OFFSET(ITEM_RES!$A$5,MATCH(BUILDING!W349,ITEM_RES!$J$5:$J$226,0)-1,0),0)</f>
        <v>211020801</v>
      </c>
      <c r="Y349" s="11">
        <v>1</v>
      </c>
      <c r="Z349" s="85" t="s">
        <v>400</v>
      </c>
      <c r="AA349" s="9">
        <f ca="1">IFERROR(OFFSET(ITEM_RES!$A$5,MATCH(BUILDING!Z349,ITEM_RES!$J$5:$J$226,0)-1,0),0)</f>
        <v>211020901</v>
      </c>
      <c r="AC349" s="9" t="s">
        <v>535</v>
      </c>
      <c r="AD349" s="9">
        <v>5</v>
      </c>
      <c r="AF349" s="9">
        <v>3200</v>
      </c>
      <c r="AI349" s="56">
        <f t="shared" ca="1" si="116"/>
        <v>102</v>
      </c>
      <c r="AJ349" s="10">
        <f ca="1">AO349+AQ349+(IFERROR(OFFSET(ITEM_RES!$T$1,MATCH(AU349,ITEM_RES!$A:$A,0)-1,0),0)*AW349+IFERROR(OFFSET(ITEM_RES!$T$1,MATCH(AZ349,ITEM_RES!$A:$A,0)-1,0),0)*BB349+IFERROR(OFFSET(ITEM_RES!$T$1,MATCH(BE349,ITEM_RES!$A:$A,0)-1,0),0)*BG349+IFERROR(OFFSET(ITEM_RES!$T$1,MATCH(BJ349,ITEM_RES!$A:$A,0)-1,0),0)*BL349+IFERROR(OFFSET(ITEM_RES!$T$1,MATCH(BO349,ITEM_RES!$A:$A,0)-1,0),0)*BQ349)/1000</f>
        <v>102</v>
      </c>
      <c r="AK349" s="183">
        <f t="shared" ca="1" si="117"/>
        <v>165.75</v>
      </c>
      <c r="AM349" s="11">
        <f t="shared" si="108"/>
        <v>25</v>
      </c>
      <c r="AN349" s="10">
        <v>25</v>
      </c>
      <c r="AO349" s="11">
        <f t="shared" si="114"/>
        <v>40</v>
      </c>
      <c r="AP349" s="10">
        <v>40</v>
      </c>
      <c r="AQ349" s="11">
        <f t="shared" si="114"/>
        <v>40</v>
      </c>
      <c r="AR349" s="10">
        <v>40</v>
      </c>
      <c r="AS349" s="56">
        <f t="shared" si="109"/>
        <v>2</v>
      </c>
      <c r="AU349" s="11">
        <f ca="1">IFERROR(OFFSET(ITEM_RES!$A$1,MATCH(AV349,ITEM_RES!$J:$J,0)-1,0),0)</f>
        <v>211020401</v>
      </c>
      <c r="AV349" s="10" t="s">
        <v>443</v>
      </c>
      <c r="AW349" s="11">
        <v>200</v>
      </c>
      <c r="AZ349" s="11">
        <f ca="1">IFERROR(OFFSET(ITEM_RES!$A$1,MATCH(BA349,ITEM_RES!$J:$J,0)-1,0),0)</f>
        <v>211020801</v>
      </c>
      <c r="BA349" s="10" t="s">
        <v>442</v>
      </c>
      <c r="BB349" s="11">
        <v>200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11"/>
        <v>112050006</v>
      </c>
      <c r="B350" s="13">
        <v>11</v>
      </c>
      <c r="C350" s="12">
        <f t="shared" si="112"/>
        <v>2</v>
      </c>
      <c r="D350" s="13">
        <v>5</v>
      </c>
      <c r="E350" s="13">
        <v>0</v>
      </c>
      <c r="F350" s="12">
        <f t="shared" si="113"/>
        <v>6</v>
      </c>
      <c r="H350" s="9">
        <v>2</v>
      </c>
      <c r="I350" s="9">
        <v>6</v>
      </c>
      <c r="K350" s="9" t="s">
        <v>367</v>
      </c>
      <c r="M350" s="9" t="s">
        <v>973</v>
      </c>
      <c r="N350" s="9" t="s">
        <v>992</v>
      </c>
      <c r="O350" s="9">
        <v>1</v>
      </c>
      <c r="P350" s="9">
        <v>15</v>
      </c>
      <c r="Q350" s="9" t="s">
        <v>797</v>
      </c>
      <c r="U350" s="9" t="s">
        <v>730</v>
      </c>
      <c r="W350" s="85" t="s">
        <v>563</v>
      </c>
      <c r="X350" s="9">
        <f ca="1">IFERROR(OFFSET(ITEM_RES!$A$5,MATCH(BUILDING!W350,ITEM_RES!$J$5:$J$226,0)-1,0),0)</f>
        <v>211020801</v>
      </c>
      <c r="Y350" s="11">
        <v>1</v>
      </c>
      <c r="Z350" s="85" t="s">
        <v>400</v>
      </c>
      <c r="AA350" s="9">
        <f ca="1">IFERROR(OFFSET(ITEM_RES!$A$5,MATCH(BUILDING!Z350,ITEM_RES!$J$5:$J$226,0)-1,0),0)</f>
        <v>211020901</v>
      </c>
      <c r="AC350" s="9" t="s">
        <v>535</v>
      </c>
      <c r="AD350" s="9">
        <v>6</v>
      </c>
      <c r="AF350" s="9">
        <v>4000</v>
      </c>
      <c r="AI350" s="56">
        <f t="shared" ca="1" si="116"/>
        <v>128</v>
      </c>
      <c r="AJ350" s="10">
        <f ca="1">AO350+AQ350+(IFERROR(OFFSET(ITEM_RES!$T$1,MATCH(AU350,ITEM_RES!$A:$A,0)-1,0),0)*AW350+IFERROR(OFFSET(ITEM_RES!$T$1,MATCH(AZ350,ITEM_RES!$A:$A,0)-1,0),0)*BB350+IFERROR(OFFSET(ITEM_RES!$T$1,MATCH(BE350,ITEM_RES!$A:$A,0)-1,0),0)*BG350+IFERROR(OFFSET(ITEM_RES!$T$1,MATCH(BJ350,ITEM_RES!$A:$A,0)-1,0),0)*BL350+IFERROR(OFFSET(ITEM_RES!$T$1,MATCH(BO350,ITEM_RES!$A:$A,0)-1,0),0)*BQ350)/1000</f>
        <v>127.5</v>
      </c>
      <c r="AK350" s="183">
        <f t="shared" ca="1" si="117"/>
        <v>229.5</v>
      </c>
      <c r="AM350" s="11">
        <f t="shared" si="108"/>
        <v>30</v>
      </c>
      <c r="AN350" s="10">
        <v>30</v>
      </c>
      <c r="AO350" s="11">
        <f t="shared" si="114"/>
        <v>50</v>
      </c>
      <c r="AP350" s="10">
        <v>50</v>
      </c>
      <c r="AQ350" s="11">
        <f t="shared" si="114"/>
        <v>50</v>
      </c>
      <c r="AR350" s="10">
        <v>50</v>
      </c>
      <c r="AS350" s="56">
        <f t="shared" si="109"/>
        <v>2</v>
      </c>
      <c r="AU350" s="11">
        <f ca="1">IFERROR(OFFSET(ITEM_RES!$A$1,MATCH(AV350,ITEM_RES!$J:$J,0)-1,0),0)</f>
        <v>211020401</v>
      </c>
      <c r="AV350" s="10" t="s">
        <v>443</v>
      </c>
      <c r="AW350" s="11">
        <v>250</v>
      </c>
      <c r="AZ350" s="11">
        <f ca="1">IFERROR(OFFSET(ITEM_RES!$A$1,MATCH(BA350,ITEM_RES!$J:$J,0)-1,0),0)</f>
        <v>211020801</v>
      </c>
      <c r="BA350" s="10" t="s">
        <v>442</v>
      </c>
      <c r="BB350" s="11">
        <v>250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11"/>
        <v>112050007</v>
      </c>
      <c r="B351" s="13">
        <v>11</v>
      </c>
      <c r="C351" s="12">
        <f t="shared" si="112"/>
        <v>2</v>
      </c>
      <c r="D351" s="13">
        <v>5</v>
      </c>
      <c r="E351" s="13">
        <v>0</v>
      </c>
      <c r="F351" s="12">
        <f t="shared" si="113"/>
        <v>7</v>
      </c>
      <c r="H351" s="9">
        <v>2</v>
      </c>
      <c r="I351" s="9">
        <v>7</v>
      </c>
      <c r="K351" s="9" t="s">
        <v>367</v>
      </c>
      <c r="M351" s="9" t="s">
        <v>973</v>
      </c>
      <c r="N351" s="9" t="s">
        <v>992</v>
      </c>
      <c r="O351" s="9">
        <v>1</v>
      </c>
      <c r="P351" s="9">
        <v>15</v>
      </c>
      <c r="Q351" s="9" t="s">
        <v>797</v>
      </c>
      <c r="U351" s="9" t="s">
        <v>730</v>
      </c>
      <c r="W351" s="85" t="s">
        <v>563</v>
      </c>
      <c r="X351" s="9">
        <f ca="1">IFERROR(OFFSET(ITEM_RES!$A$5,MATCH(BUILDING!W351,ITEM_RES!$J$5:$J$226,0)-1,0),0)</f>
        <v>211020801</v>
      </c>
      <c r="Y351" s="11">
        <v>1</v>
      </c>
      <c r="Z351" s="85" t="s">
        <v>400</v>
      </c>
      <c r="AA351" s="9">
        <f ca="1">IFERROR(OFFSET(ITEM_RES!$A$5,MATCH(BUILDING!Z351,ITEM_RES!$J$5:$J$226,0)-1,0),0)</f>
        <v>211020901</v>
      </c>
      <c r="AC351" s="9" t="s">
        <v>535</v>
      </c>
      <c r="AD351" s="9">
        <v>7</v>
      </c>
      <c r="AF351" s="9">
        <v>8000</v>
      </c>
      <c r="AI351" s="56">
        <f t="shared" ca="1" si="116"/>
        <v>1255</v>
      </c>
      <c r="AJ351" s="10">
        <f ca="1">AO351+AQ351+(IFERROR(OFFSET(ITEM_RES!$T$1,MATCH(AU351,ITEM_RES!$A:$A,0)-1,0),0)*AW351+IFERROR(OFFSET(ITEM_RES!$T$1,MATCH(AZ351,ITEM_RES!$A:$A,0)-1,0),0)*BB351+IFERROR(OFFSET(ITEM_RES!$T$1,MATCH(BE351,ITEM_RES!$A:$A,0)-1,0),0)*BG351+IFERROR(OFFSET(ITEM_RES!$T$1,MATCH(BJ351,ITEM_RES!$A:$A,0)-1,0),0)*BL351+IFERROR(OFFSET(ITEM_RES!$T$1,MATCH(BO351,ITEM_RES!$A:$A,0)-1,0),0)*BQ351)/1000</f>
        <v>1255</v>
      </c>
      <c r="AK351" s="183">
        <f t="shared" ca="1" si="117"/>
        <v>1382.5</v>
      </c>
      <c r="AM351" s="11">
        <f t="shared" si="108"/>
        <v>35</v>
      </c>
      <c r="AN351" s="10">
        <v>35</v>
      </c>
      <c r="AO351" s="11">
        <f t="shared" si="114"/>
        <v>100</v>
      </c>
      <c r="AP351" s="10">
        <v>100</v>
      </c>
      <c r="AQ351" s="11">
        <f t="shared" si="114"/>
        <v>100</v>
      </c>
      <c r="AR351" s="10">
        <v>100</v>
      </c>
      <c r="AS351" s="56">
        <f t="shared" si="109"/>
        <v>3</v>
      </c>
      <c r="AU351" s="11">
        <f ca="1">IFERROR(OFFSET(ITEM_RES!$A$1,MATCH(AV351,ITEM_RES!$J:$J,0)-1,0),0)</f>
        <v>211020401</v>
      </c>
      <c r="AV351" s="10" t="s">
        <v>443</v>
      </c>
      <c r="AW351" s="11">
        <v>500</v>
      </c>
      <c r="AZ351" s="11">
        <f ca="1">IFERROR(OFFSET(ITEM_RES!$A$1,MATCH(BA351,ITEM_RES!$J:$J,0)-1,0),0)</f>
        <v>211020801</v>
      </c>
      <c r="BA351" s="10" t="s">
        <v>442</v>
      </c>
      <c r="BB351" s="11">
        <v>500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213011101</v>
      </c>
      <c r="BK351" s="10" t="s">
        <v>477</v>
      </c>
      <c r="BL351" s="11">
        <v>1</v>
      </c>
      <c r="BO351" s="11">
        <f ca="1">IFERROR(OFFSET(ITEM_RES!$A$1,MATCH(BP351,ITEM_RES!$J:$J,0)-1,0),0)</f>
        <v>0</v>
      </c>
    </row>
    <row r="352" spans="1:70" x14ac:dyDescent="0.3">
      <c r="A352" s="14">
        <f t="shared" si="111"/>
        <v>112050008</v>
      </c>
      <c r="B352" s="13">
        <v>11</v>
      </c>
      <c r="C352" s="12">
        <f t="shared" si="112"/>
        <v>2</v>
      </c>
      <c r="D352" s="13">
        <v>5</v>
      </c>
      <c r="E352" s="13">
        <v>0</v>
      </c>
      <c r="F352" s="12">
        <f t="shared" si="113"/>
        <v>8</v>
      </c>
      <c r="H352" s="9">
        <v>2</v>
      </c>
      <c r="I352" s="9">
        <v>8</v>
      </c>
      <c r="K352" s="9" t="s">
        <v>367</v>
      </c>
      <c r="M352" s="9" t="s">
        <v>973</v>
      </c>
      <c r="N352" s="9" t="s">
        <v>992</v>
      </c>
      <c r="O352" s="9">
        <v>1</v>
      </c>
      <c r="P352" s="9">
        <v>15</v>
      </c>
      <c r="Q352" s="9" t="s">
        <v>797</v>
      </c>
      <c r="U352" s="9" t="s">
        <v>730</v>
      </c>
      <c r="W352" s="85" t="s">
        <v>563</v>
      </c>
      <c r="X352" s="9">
        <f ca="1">IFERROR(OFFSET(ITEM_RES!$A$5,MATCH(BUILDING!W352,ITEM_RES!$J$5:$J$226,0)-1,0),0)</f>
        <v>211020801</v>
      </c>
      <c r="Y352" s="11">
        <v>1</v>
      </c>
      <c r="Z352" s="85" t="s">
        <v>400</v>
      </c>
      <c r="AA352" s="9">
        <f ca="1">IFERROR(OFFSET(ITEM_RES!$A$5,MATCH(BUILDING!Z352,ITEM_RES!$J$5:$J$226,0)-1,0),0)</f>
        <v>211020901</v>
      </c>
      <c r="AC352" s="9" t="s">
        <v>535</v>
      </c>
      <c r="AD352" s="9">
        <v>8</v>
      </c>
      <c r="AF352" s="9">
        <v>8000</v>
      </c>
      <c r="AI352" s="56">
        <f t="shared" ca="1" si="116"/>
        <v>255</v>
      </c>
      <c r="AJ352" s="10">
        <f ca="1">AO352+AQ352+(IFERROR(OFFSET(ITEM_RES!$T$1,MATCH(AU352,ITEM_RES!$A:$A,0)-1,0),0)*AW352+IFERROR(OFFSET(ITEM_RES!$T$1,MATCH(AZ352,ITEM_RES!$A:$A,0)-1,0),0)*BB352+IFERROR(OFFSET(ITEM_RES!$T$1,MATCH(BE352,ITEM_RES!$A:$A,0)-1,0),0)*BG352+IFERROR(OFFSET(ITEM_RES!$T$1,MATCH(BJ352,ITEM_RES!$A:$A,0)-1,0),0)*BL352+IFERROR(OFFSET(ITEM_RES!$T$1,MATCH(BO352,ITEM_RES!$A:$A,0)-1,0),0)*BQ352)/1000</f>
        <v>255</v>
      </c>
      <c r="AK352" s="183">
        <f t="shared" ca="1" si="117"/>
        <v>1510</v>
      </c>
      <c r="AM352" s="11">
        <f t="shared" si="108"/>
        <v>40</v>
      </c>
      <c r="AN352" s="10">
        <v>40</v>
      </c>
      <c r="AO352" s="11">
        <f t="shared" si="114"/>
        <v>100</v>
      </c>
      <c r="AP352" s="10">
        <v>100</v>
      </c>
      <c r="AQ352" s="11">
        <f t="shared" si="114"/>
        <v>100</v>
      </c>
      <c r="AR352" s="10">
        <v>100</v>
      </c>
      <c r="AS352" s="56">
        <f t="shared" si="109"/>
        <v>2</v>
      </c>
      <c r="AU352" s="11">
        <f ca="1">IFERROR(OFFSET(ITEM_RES!$A$1,MATCH(AV352,ITEM_RES!$J:$J,0)-1,0),0)</f>
        <v>211020401</v>
      </c>
      <c r="AV352" s="10" t="s">
        <v>443</v>
      </c>
      <c r="AW352" s="11">
        <v>500</v>
      </c>
      <c r="AZ352" s="11">
        <f ca="1">IFERROR(OFFSET(ITEM_RES!$A$1,MATCH(BA352,ITEM_RES!$J:$J,0)-1,0),0)</f>
        <v>211020801</v>
      </c>
      <c r="BA352" s="10" t="s">
        <v>442</v>
      </c>
      <c r="BB352" s="11">
        <v>500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  <c r="BO352" s="11">
        <f ca="1">IFERROR(OFFSET(ITEM_RES!$A$1,MATCH(BP352,ITEM_RES!$J:$J,0)-1,0),0)</f>
        <v>0</v>
      </c>
    </row>
    <row r="353" spans="1:70" x14ac:dyDescent="0.3">
      <c r="A353" s="14">
        <f t="shared" si="111"/>
        <v>112050009</v>
      </c>
      <c r="B353" s="13">
        <v>11</v>
      </c>
      <c r="C353" s="12">
        <f t="shared" si="112"/>
        <v>2</v>
      </c>
      <c r="D353" s="13">
        <v>5</v>
      </c>
      <c r="E353" s="13">
        <v>0</v>
      </c>
      <c r="F353" s="12">
        <f t="shared" si="113"/>
        <v>9</v>
      </c>
      <c r="H353" s="9">
        <v>2</v>
      </c>
      <c r="I353" s="9">
        <v>9</v>
      </c>
      <c r="K353" s="9" t="s">
        <v>367</v>
      </c>
      <c r="M353" s="9" t="s">
        <v>973</v>
      </c>
      <c r="N353" s="9" t="s">
        <v>992</v>
      </c>
      <c r="O353" s="9">
        <v>1</v>
      </c>
      <c r="P353" s="9">
        <v>15</v>
      </c>
      <c r="Q353" s="9" t="s">
        <v>797</v>
      </c>
      <c r="U353" s="9" t="s">
        <v>730</v>
      </c>
      <c r="W353" s="85" t="s">
        <v>563</v>
      </c>
      <c r="X353" s="9">
        <f ca="1">IFERROR(OFFSET(ITEM_RES!$A$5,MATCH(BUILDING!W353,ITEM_RES!$J$5:$J$226,0)-1,0),0)</f>
        <v>211020801</v>
      </c>
      <c r="Y353" s="11">
        <v>1</v>
      </c>
      <c r="Z353" s="85" t="s">
        <v>400</v>
      </c>
      <c r="AA353" s="9">
        <f ca="1">IFERROR(OFFSET(ITEM_RES!$A$5,MATCH(BUILDING!Z353,ITEM_RES!$J$5:$J$226,0)-1,0),0)</f>
        <v>211020901</v>
      </c>
      <c r="AC353" s="9" t="s">
        <v>535</v>
      </c>
      <c r="AD353" s="9">
        <v>9</v>
      </c>
      <c r="AF353" s="9">
        <v>12000</v>
      </c>
      <c r="AI353" s="56">
        <f t="shared" ca="1" si="116"/>
        <v>383</v>
      </c>
      <c r="AJ353" s="10">
        <f ca="1">AO353+AQ353+(IFERROR(OFFSET(ITEM_RES!$T$1,MATCH(AU353,ITEM_RES!$A:$A,0)-1,0),0)*AW353+IFERROR(OFFSET(ITEM_RES!$T$1,MATCH(AZ353,ITEM_RES!$A:$A,0)-1,0),0)*BB353+IFERROR(OFFSET(ITEM_RES!$T$1,MATCH(BE353,ITEM_RES!$A:$A,0)-1,0),0)*BG353+IFERROR(OFFSET(ITEM_RES!$T$1,MATCH(BJ353,ITEM_RES!$A:$A,0)-1,0),0)*BL353+IFERROR(OFFSET(ITEM_RES!$T$1,MATCH(BO353,ITEM_RES!$A:$A,0)-1,0),0)*BQ353)/1000</f>
        <v>382.5</v>
      </c>
      <c r="AK353" s="183">
        <f t="shared" ca="1" si="117"/>
        <v>637.5</v>
      </c>
      <c r="AM353" s="11">
        <f t="shared" si="108"/>
        <v>45</v>
      </c>
      <c r="AN353" s="10">
        <v>45</v>
      </c>
      <c r="AO353" s="11">
        <f t="shared" si="114"/>
        <v>150</v>
      </c>
      <c r="AP353" s="10">
        <v>150</v>
      </c>
      <c r="AQ353" s="11">
        <f t="shared" si="114"/>
        <v>150</v>
      </c>
      <c r="AR353" s="10">
        <v>150</v>
      </c>
      <c r="AS353" s="56">
        <f t="shared" si="109"/>
        <v>2</v>
      </c>
      <c r="AU353" s="11">
        <f ca="1">IFERROR(OFFSET(ITEM_RES!$A$1,MATCH(AV353,ITEM_RES!$J:$J,0)-1,0),0)</f>
        <v>211020401</v>
      </c>
      <c r="AV353" s="10" t="s">
        <v>443</v>
      </c>
      <c r="AW353" s="11">
        <v>750</v>
      </c>
      <c r="AZ353" s="11">
        <f ca="1">IFERROR(OFFSET(ITEM_RES!$A$1,MATCH(BA353,ITEM_RES!$J:$J,0)-1,0),0)</f>
        <v>211020801</v>
      </c>
      <c r="BA353" s="10" t="s">
        <v>442</v>
      </c>
      <c r="BB353" s="11">
        <v>750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11"/>
        <v>112050010</v>
      </c>
      <c r="B354" s="13">
        <v>11</v>
      </c>
      <c r="C354" s="12">
        <f t="shared" si="112"/>
        <v>2</v>
      </c>
      <c r="D354" s="13">
        <v>5</v>
      </c>
      <c r="E354" s="13">
        <v>0</v>
      </c>
      <c r="F354" s="12">
        <f t="shared" si="113"/>
        <v>10</v>
      </c>
      <c r="H354" s="9">
        <v>2</v>
      </c>
      <c r="I354" s="9">
        <v>10</v>
      </c>
      <c r="K354" s="9" t="s">
        <v>367</v>
      </c>
      <c r="M354" s="9" t="s">
        <v>973</v>
      </c>
      <c r="N354" s="9" t="s">
        <v>992</v>
      </c>
      <c r="O354" s="9">
        <v>1</v>
      </c>
      <c r="P354" s="9">
        <v>15</v>
      </c>
      <c r="Q354" s="9" t="s">
        <v>797</v>
      </c>
      <c r="U354" s="9" t="s">
        <v>730</v>
      </c>
      <c r="W354" s="85" t="s">
        <v>563</v>
      </c>
      <c r="X354" s="9">
        <f ca="1">IFERROR(OFFSET(ITEM_RES!$A$5,MATCH(BUILDING!W354,ITEM_RES!$J$5:$J$226,0)-1,0),0)</f>
        <v>211020801</v>
      </c>
      <c r="Y354" s="11">
        <v>1</v>
      </c>
      <c r="Z354" s="85" t="s">
        <v>400</v>
      </c>
      <c r="AA354" s="9">
        <f ca="1">IFERROR(OFFSET(ITEM_RES!$A$5,MATCH(BUILDING!Z354,ITEM_RES!$J$5:$J$226,0)-1,0),0)</f>
        <v>211020901</v>
      </c>
      <c r="AC354" s="9" t="s">
        <v>535</v>
      </c>
      <c r="AD354" s="9">
        <v>10</v>
      </c>
      <c r="AF354" s="9">
        <v>16000</v>
      </c>
      <c r="AI354" s="56">
        <f t="shared" ca="1" si="116"/>
        <v>510</v>
      </c>
      <c r="AJ354" s="10">
        <f ca="1">AO354+AQ354+(IFERROR(OFFSET(ITEM_RES!$T$1,MATCH(AU354,ITEM_RES!$A:$A,0)-1,0),0)*AW354+IFERROR(OFFSET(ITEM_RES!$T$1,MATCH(AZ354,ITEM_RES!$A:$A,0)-1,0),0)*BB354+IFERROR(OFFSET(ITEM_RES!$T$1,MATCH(BE354,ITEM_RES!$A:$A,0)-1,0),0)*BG354+IFERROR(OFFSET(ITEM_RES!$T$1,MATCH(BJ354,ITEM_RES!$A:$A,0)-1,0),0)*BL354+IFERROR(OFFSET(ITEM_RES!$T$1,MATCH(BO354,ITEM_RES!$A:$A,0)-1,0),0)*BQ354)/1000</f>
        <v>510</v>
      </c>
      <c r="AK354" s="183">
        <f t="shared" ca="1" si="117"/>
        <v>892.5</v>
      </c>
      <c r="AM354" s="11">
        <f t="shared" si="108"/>
        <v>50</v>
      </c>
      <c r="AN354" s="10">
        <v>50</v>
      </c>
      <c r="AO354" s="11">
        <f t="shared" si="114"/>
        <v>200</v>
      </c>
      <c r="AP354" s="10">
        <v>200</v>
      </c>
      <c r="AQ354" s="11">
        <f t="shared" si="114"/>
        <v>200</v>
      </c>
      <c r="AR354" s="10">
        <v>200</v>
      </c>
      <c r="AS354" s="56">
        <f t="shared" si="109"/>
        <v>2</v>
      </c>
      <c r="AU354" s="11">
        <f ca="1">IFERROR(OFFSET(ITEM_RES!$A$1,MATCH(AV354,ITEM_RES!$J:$J,0)-1,0),0)</f>
        <v>211020401</v>
      </c>
      <c r="AV354" s="10" t="s">
        <v>443</v>
      </c>
      <c r="AW354" s="11">
        <v>1000</v>
      </c>
      <c r="AZ354" s="11">
        <f ca="1">IFERROR(OFFSET(ITEM_RES!$A$1,MATCH(BA354,ITEM_RES!$J:$J,0)-1,0),0)</f>
        <v>211020801</v>
      </c>
      <c r="BA354" s="10" t="s">
        <v>442</v>
      </c>
      <c r="BB354" s="11">
        <v>1000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11"/>
        <v>112050011</v>
      </c>
      <c r="B355" s="13">
        <v>11</v>
      </c>
      <c r="C355" s="12">
        <f t="shared" si="112"/>
        <v>2</v>
      </c>
      <c r="D355" s="13">
        <v>5</v>
      </c>
      <c r="E355" s="13">
        <v>0</v>
      </c>
      <c r="F355" s="12">
        <f t="shared" si="113"/>
        <v>11</v>
      </c>
      <c r="H355" s="9">
        <v>2</v>
      </c>
      <c r="I355" s="9">
        <v>11</v>
      </c>
      <c r="K355" s="9" t="s">
        <v>367</v>
      </c>
      <c r="M355" s="9" t="s">
        <v>973</v>
      </c>
      <c r="N355" s="9" t="s">
        <v>992</v>
      </c>
      <c r="O355" s="9">
        <v>1</v>
      </c>
      <c r="P355" s="9">
        <v>15</v>
      </c>
      <c r="Q355" s="9" t="s">
        <v>797</v>
      </c>
      <c r="U355" s="9" t="s">
        <v>730</v>
      </c>
      <c r="W355" s="85" t="s">
        <v>563</v>
      </c>
      <c r="X355" s="9">
        <f ca="1">IFERROR(OFFSET(ITEM_RES!$A$5,MATCH(BUILDING!W355,ITEM_RES!$J$5:$J$226,0)-1,0),0)</f>
        <v>211020801</v>
      </c>
      <c r="Y355" s="11">
        <v>1</v>
      </c>
      <c r="Z355" s="85" t="s">
        <v>400</v>
      </c>
      <c r="AA355" s="9">
        <f ca="1">IFERROR(OFFSET(ITEM_RES!$A$5,MATCH(BUILDING!Z355,ITEM_RES!$J$5:$J$226,0)-1,0),0)</f>
        <v>211020901</v>
      </c>
      <c r="AC355" s="9" t="s">
        <v>535</v>
      </c>
      <c r="AD355" s="9">
        <v>11</v>
      </c>
      <c r="AF355" s="9">
        <v>20000</v>
      </c>
      <c r="AI355" s="56">
        <f t="shared" ca="1" si="116"/>
        <v>638</v>
      </c>
      <c r="AJ355" s="10">
        <f ca="1">AO355+AQ355+(IFERROR(OFFSET(ITEM_RES!$T$1,MATCH(AU355,ITEM_RES!$A:$A,0)-1,0),0)*AW355+IFERROR(OFFSET(ITEM_RES!$T$1,MATCH(AZ355,ITEM_RES!$A:$A,0)-1,0),0)*BB355+IFERROR(OFFSET(ITEM_RES!$T$1,MATCH(BE355,ITEM_RES!$A:$A,0)-1,0),0)*BG355+IFERROR(OFFSET(ITEM_RES!$T$1,MATCH(BJ355,ITEM_RES!$A:$A,0)-1,0),0)*BL355+IFERROR(OFFSET(ITEM_RES!$T$1,MATCH(BO355,ITEM_RES!$A:$A,0)-1,0),0)*BQ355)/1000</f>
        <v>637.5</v>
      </c>
      <c r="AK355" s="183">
        <f t="shared" ca="1" si="117"/>
        <v>1147.5</v>
      </c>
      <c r="AM355" s="11">
        <f t="shared" si="108"/>
        <v>55</v>
      </c>
      <c r="AN355" s="10">
        <v>55</v>
      </c>
      <c r="AO355" s="11">
        <f t="shared" si="114"/>
        <v>250</v>
      </c>
      <c r="AP355" s="10">
        <v>250</v>
      </c>
      <c r="AQ355" s="11">
        <f t="shared" si="114"/>
        <v>250</v>
      </c>
      <c r="AR355" s="10">
        <v>250</v>
      </c>
      <c r="AS355" s="56">
        <f t="shared" si="109"/>
        <v>2</v>
      </c>
      <c r="AU355" s="11">
        <f ca="1">IFERROR(OFFSET(ITEM_RES!$A$1,MATCH(AV355,ITEM_RES!$J:$J,0)-1,0),0)</f>
        <v>211020401</v>
      </c>
      <c r="AV355" s="10" t="s">
        <v>443</v>
      </c>
      <c r="AW355" s="11">
        <v>1250</v>
      </c>
      <c r="AZ355" s="11">
        <f ca="1">IFERROR(OFFSET(ITEM_RES!$A$1,MATCH(BA355,ITEM_RES!$J:$J,0)-1,0),0)</f>
        <v>211020801</v>
      </c>
      <c r="BA355" s="10" t="s">
        <v>442</v>
      </c>
      <c r="BB355" s="11">
        <v>1250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11"/>
        <v>112050012</v>
      </c>
      <c r="B356" s="13">
        <v>11</v>
      </c>
      <c r="C356" s="12">
        <f t="shared" si="112"/>
        <v>2</v>
      </c>
      <c r="D356" s="13">
        <v>5</v>
      </c>
      <c r="E356" s="13">
        <v>0</v>
      </c>
      <c r="F356" s="12">
        <f t="shared" si="113"/>
        <v>12</v>
      </c>
      <c r="H356" s="9">
        <v>2</v>
      </c>
      <c r="I356" s="9">
        <v>12</v>
      </c>
      <c r="K356" s="9" t="s">
        <v>367</v>
      </c>
      <c r="M356" s="9" t="s">
        <v>973</v>
      </c>
      <c r="N356" s="9" t="s">
        <v>992</v>
      </c>
      <c r="O356" s="9">
        <v>1</v>
      </c>
      <c r="P356" s="9">
        <v>15</v>
      </c>
      <c r="Q356" s="9" t="s">
        <v>797</v>
      </c>
      <c r="U356" s="9" t="s">
        <v>730</v>
      </c>
      <c r="W356" s="85" t="s">
        <v>563</v>
      </c>
      <c r="X356" s="9">
        <f ca="1">IFERROR(OFFSET(ITEM_RES!$A$5,MATCH(BUILDING!W356,ITEM_RES!$J$5:$J$226,0)-1,0),0)</f>
        <v>211020801</v>
      </c>
      <c r="Y356" s="11">
        <v>1</v>
      </c>
      <c r="Z356" s="85" t="s">
        <v>400</v>
      </c>
      <c r="AA356" s="9">
        <f ca="1">IFERROR(OFFSET(ITEM_RES!$A$5,MATCH(BUILDING!Z356,ITEM_RES!$J$5:$J$226,0)-1,0),0)</f>
        <v>211020901</v>
      </c>
      <c r="AC356" s="9" t="s">
        <v>535</v>
      </c>
      <c r="AD356" s="9">
        <v>12</v>
      </c>
      <c r="AF356" s="9">
        <v>24000</v>
      </c>
      <c r="AI356" s="56">
        <f t="shared" ca="1" si="116"/>
        <v>1050</v>
      </c>
      <c r="AJ356" s="10">
        <f ca="1">AO356+AQ356+(IFERROR(OFFSET(ITEM_RES!$T$1,MATCH(AU356,ITEM_RES!$A:$A,0)-1,0),0)*AW356+IFERROR(OFFSET(ITEM_RES!$T$1,MATCH(AZ356,ITEM_RES!$A:$A,0)-1,0),0)*BB356+IFERROR(OFFSET(ITEM_RES!$T$1,MATCH(BE356,ITEM_RES!$A:$A,0)-1,0),0)*BG356+IFERROR(OFFSET(ITEM_RES!$T$1,MATCH(BJ356,ITEM_RES!$A:$A,0)-1,0),0)*BL356+IFERROR(OFFSET(ITEM_RES!$T$1,MATCH(BO356,ITEM_RES!$A:$A,0)-1,0),0)*BQ356)/1000</f>
        <v>1050</v>
      </c>
      <c r="AK356" s="183">
        <f t="shared" ca="1" si="117"/>
        <v>1687.5</v>
      </c>
      <c r="AM356" s="11">
        <f t="shared" si="108"/>
        <v>60</v>
      </c>
      <c r="AN356" s="10">
        <v>60</v>
      </c>
      <c r="AO356" s="11">
        <f t="shared" si="114"/>
        <v>300</v>
      </c>
      <c r="AP356" s="10">
        <v>300</v>
      </c>
      <c r="AQ356" s="11">
        <f t="shared" si="114"/>
        <v>300</v>
      </c>
      <c r="AR356" s="10">
        <v>300</v>
      </c>
      <c r="AS356" s="56">
        <f t="shared" si="109"/>
        <v>2</v>
      </c>
      <c r="AU356" s="11">
        <f ca="1">IFERROR(OFFSET(ITEM_RES!$A$1,MATCH(AV356,ITEM_RES!$J:$J,0)-1,0),0)</f>
        <v>211020501</v>
      </c>
      <c r="AV356" s="10" t="s">
        <v>440</v>
      </c>
      <c r="AW356" s="11">
        <v>1500</v>
      </c>
      <c r="AZ356" s="11">
        <f ca="1">IFERROR(OFFSET(ITEM_RES!$A$1,MATCH(BA356,ITEM_RES!$J:$J,0)-1,0),0)</f>
        <v>211020801</v>
      </c>
      <c r="BA356" s="10" t="s">
        <v>442</v>
      </c>
      <c r="BB356" s="11">
        <v>1500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11"/>
        <v>112050013</v>
      </c>
      <c r="B357" s="13">
        <v>11</v>
      </c>
      <c r="C357" s="12">
        <f t="shared" si="112"/>
        <v>2</v>
      </c>
      <c r="D357" s="13">
        <v>5</v>
      </c>
      <c r="E357" s="13">
        <v>0</v>
      </c>
      <c r="F357" s="12">
        <f t="shared" si="113"/>
        <v>13</v>
      </c>
      <c r="H357" s="9">
        <v>2</v>
      </c>
      <c r="I357" s="9">
        <v>13</v>
      </c>
      <c r="K357" s="9" t="s">
        <v>367</v>
      </c>
      <c r="M357" s="9" t="s">
        <v>973</v>
      </c>
      <c r="N357" s="9" t="s">
        <v>992</v>
      </c>
      <c r="O357" s="9">
        <v>1</v>
      </c>
      <c r="P357" s="9">
        <v>15</v>
      </c>
      <c r="Q357" s="9" t="s">
        <v>797</v>
      </c>
      <c r="U357" s="9" t="s">
        <v>730</v>
      </c>
      <c r="W357" s="85" t="s">
        <v>563</v>
      </c>
      <c r="X357" s="9">
        <f ca="1">IFERROR(OFFSET(ITEM_RES!$A$5,MATCH(BUILDING!W357,ITEM_RES!$J$5:$J$226,0)-1,0),0)</f>
        <v>211020801</v>
      </c>
      <c r="Y357" s="11">
        <v>1</v>
      </c>
      <c r="Z357" s="85" t="s">
        <v>400</v>
      </c>
      <c r="AA357" s="9">
        <f ca="1">IFERROR(OFFSET(ITEM_RES!$A$5,MATCH(BUILDING!Z357,ITEM_RES!$J$5:$J$226,0)-1,0),0)</f>
        <v>211020901</v>
      </c>
      <c r="AC357" s="9" t="s">
        <v>535</v>
      </c>
      <c r="AD357" s="9">
        <v>13</v>
      </c>
      <c r="AF357" s="9">
        <v>28000</v>
      </c>
      <c r="AI357" s="56">
        <f t="shared" ca="1" si="116"/>
        <v>1225</v>
      </c>
      <c r="AJ357" s="10">
        <f ca="1">AO357+AQ357+(IFERROR(OFFSET(ITEM_RES!$T$1,MATCH(AU357,ITEM_RES!$A:$A,0)-1,0),0)*AW357+IFERROR(OFFSET(ITEM_RES!$T$1,MATCH(AZ357,ITEM_RES!$A:$A,0)-1,0),0)*BB357+IFERROR(OFFSET(ITEM_RES!$T$1,MATCH(BE357,ITEM_RES!$A:$A,0)-1,0),0)*BG357+IFERROR(OFFSET(ITEM_RES!$T$1,MATCH(BJ357,ITEM_RES!$A:$A,0)-1,0),0)*BL357+IFERROR(OFFSET(ITEM_RES!$T$1,MATCH(BO357,ITEM_RES!$A:$A,0)-1,0),0)*BQ357)/1000</f>
        <v>1225</v>
      </c>
      <c r="AK357" s="183">
        <f t="shared" ca="1" si="117"/>
        <v>2275</v>
      </c>
      <c r="AM357" s="11">
        <f t="shared" si="108"/>
        <v>65</v>
      </c>
      <c r="AN357" s="10">
        <v>65</v>
      </c>
      <c r="AO357" s="11">
        <f t="shared" si="114"/>
        <v>350</v>
      </c>
      <c r="AP357" s="10">
        <v>350</v>
      </c>
      <c r="AQ357" s="11">
        <f t="shared" si="114"/>
        <v>350</v>
      </c>
      <c r="AR357" s="10">
        <v>350</v>
      </c>
      <c r="AS357" s="56">
        <f t="shared" si="109"/>
        <v>2</v>
      </c>
      <c r="AU357" s="11">
        <f ca="1">IFERROR(OFFSET(ITEM_RES!$A$1,MATCH(AV357,ITEM_RES!$J:$J,0)-1,0),0)</f>
        <v>211020501</v>
      </c>
      <c r="AV357" s="10" t="s">
        <v>440</v>
      </c>
      <c r="AW357" s="11">
        <v>1750</v>
      </c>
      <c r="AZ357" s="11">
        <f ca="1">IFERROR(OFFSET(ITEM_RES!$A$1,MATCH(BA357,ITEM_RES!$J:$J,0)-1,0),0)</f>
        <v>211020801</v>
      </c>
      <c r="BA357" s="10" t="s">
        <v>442</v>
      </c>
      <c r="BB357" s="11">
        <v>1750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11"/>
        <v>112050014</v>
      </c>
      <c r="B358" s="13">
        <v>11</v>
      </c>
      <c r="C358" s="12">
        <f t="shared" si="112"/>
        <v>2</v>
      </c>
      <c r="D358" s="13">
        <v>5</v>
      </c>
      <c r="E358" s="13">
        <v>0</v>
      </c>
      <c r="F358" s="12">
        <f t="shared" si="113"/>
        <v>14</v>
      </c>
      <c r="H358" s="9">
        <v>2</v>
      </c>
      <c r="I358" s="9">
        <v>14</v>
      </c>
      <c r="K358" s="9" t="s">
        <v>367</v>
      </c>
      <c r="M358" s="9" t="s">
        <v>973</v>
      </c>
      <c r="N358" s="9" t="s">
        <v>992</v>
      </c>
      <c r="O358" s="9">
        <v>1</v>
      </c>
      <c r="P358" s="9">
        <v>15</v>
      </c>
      <c r="Q358" s="9" t="s">
        <v>797</v>
      </c>
      <c r="U358" s="9" t="s">
        <v>730</v>
      </c>
      <c r="W358" s="85" t="s">
        <v>563</v>
      </c>
      <c r="X358" s="9">
        <f ca="1">IFERROR(OFFSET(ITEM_RES!$A$5,MATCH(BUILDING!W358,ITEM_RES!$J$5:$J$226,0)-1,0),0)</f>
        <v>211020801</v>
      </c>
      <c r="Y358" s="11">
        <v>1</v>
      </c>
      <c r="Z358" s="85" t="s">
        <v>400</v>
      </c>
      <c r="AA358" s="9">
        <f ca="1">IFERROR(OFFSET(ITEM_RES!$A$5,MATCH(BUILDING!Z358,ITEM_RES!$J$5:$J$226,0)-1,0),0)</f>
        <v>211020901</v>
      </c>
      <c r="AC358" s="9" t="s">
        <v>535</v>
      </c>
      <c r="AD358" s="9">
        <v>14</v>
      </c>
      <c r="AF358" s="9">
        <v>36000</v>
      </c>
      <c r="AI358" s="56">
        <f t="shared" ca="1" si="116"/>
        <v>1575</v>
      </c>
      <c r="AJ358" s="10">
        <f ca="1">AO358+AQ358+(IFERROR(OFFSET(ITEM_RES!$T$1,MATCH(AU358,ITEM_RES!$A:$A,0)-1,0),0)*AW358+IFERROR(OFFSET(ITEM_RES!$T$1,MATCH(AZ358,ITEM_RES!$A:$A,0)-1,0),0)*BB358+IFERROR(OFFSET(ITEM_RES!$T$1,MATCH(BE358,ITEM_RES!$A:$A,0)-1,0),0)*BG358+IFERROR(OFFSET(ITEM_RES!$T$1,MATCH(BJ358,ITEM_RES!$A:$A,0)-1,0),0)*BL358+IFERROR(OFFSET(ITEM_RES!$T$1,MATCH(BO358,ITEM_RES!$A:$A,0)-1,0),0)*BQ358)/1000</f>
        <v>1575</v>
      </c>
      <c r="AK358" s="183">
        <f t="shared" ca="1" si="117"/>
        <v>2800</v>
      </c>
      <c r="AM358" s="11">
        <f t="shared" si="108"/>
        <v>70</v>
      </c>
      <c r="AN358" s="10">
        <v>70</v>
      </c>
      <c r="AO358" s="11">
        <f t="shared" si="114"/>
        <v>450</v>
      </c>
      <c r="AP358" s="10">
        <v>450</v>
      </c>
      <c r="AQ358" s="11">
        <f t="shared" si="114"/>
        <v>450</v>
      </c>
      <c r="AR358" s="10">
        <v>450</v>
      </c>
      <c r="AS358" s="56">
        <f t="shared" si="109"/>
        <v>2</v>
      </c>
      <c r="AU358" s="11">
        <f ca="1">IFERROR(OFFSET(ITEM_RES!$A$1,MATCH(AV358,ITEM_RES!$J:$J,0)-1,0),0)</f>
        <v>211020501</v>
      </c>
      <c r="AV358" s="10" t="s">
        <v>440</v>
      </c>
      <c r="AW358" s="11">
        <v>2250</v>
      </c>
      <c r="AZ358" s="11">
        <f ca="1">IFERROR(OFFSET(ITEM_RES!$A$1,MATCH(BA358,ITEM_RES!$J:$J,0)-1,0),0)</f>
        <v>211020801</v>
      </c>
      <c r="BA358" s="10" t="s">
        <v>442</v>
      </c>
      <c r="BB358" s="11">
        <v>2250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11"/>
        <v>112050015</v>
      </c>
      <c r="B359" s="13">
        <v>11</v>
      </c>
      <c r="C359" s="12">
        <f t="shared" si="112"/>
        <v>2</v>
      </c>
      <c r="D359" s="13">
        <v>5</v>
      </c>
      <c r="E359" s="13">
        <v>0</v>
      </c>
      <c r="F359" s="12">
        <f t="shared" si="113"/>
        <v>15</v>
      </c>
      <c r="H359" s="9">
        <v>2</v>
      </c>
      <c r="I359" s="9">
        <v>15</v>
      </c>
      <c r="K359" s="9" t="s">
        <v>367</v>
      </c>
      <c r="M359" s="9" t="s">
        <v>973</v>
      </c>
      <c r="N359" s="9" t="s">
        <v>992</v>
      </c>
      <c r="O359" s="9">
        <v>1</v>
      </c>
      <c r="P359" s="9">
        <v>15</v>
      </c>
      <c r="Q359" s="9" t="s">
        <v>797</v>
      </c>
      <c r="U359" s="9" t="s">
        <v>730</v>
      </c>
      <c r="W359" s="85" t="s">
        <v>563</v>
      </c>
      <c r="X359" s="9">
        <f ca="1">IFERROR(OFFSET(ITEM_RES!$A$5,MATCH(BUILDING!W359,ITEM_RES!$J$5:$J$226,0)-1,0),0)</f>
        <v>211020801</v>
      </c>
      <c r="Y359" s="11">
        <v>1</v>
      </c>
      <c r="Z359" s="85" t="s">
        <v>400</v>
      </c>
      <c r="AA359" s="9">
        <f ca="1">IFERROR(OFFSET(ITEM_RES!$A$5,MATCH(BUILDING!Z359,ITEM_RES!$J$5:$J$226,0)-1,0),0)</f>
        <v>211020901</v>
      </c>
      <c r="AC359" s="9" t="s">
        <v>535</v>
      </c>
      <c r="AD359" s="9">
        <v>15</v>
      </c>
      <c r="AF359" s="9">
        <v>44000</v>
      </c>
      <c r="AI359" s="56">
        <f t="shared" ca="1" si="116"/>
        <v>1925</v>
      </c>
      <c r="AJ359" s="10">
        <f ca="1">AO359+AQ359+(IFERROR(OFFSET(ITEM_RES!$T$1,MATCH(AU359,ITEM_RES!$A:$A,0)-1,0),0)*AW359+IFERROR(OFFSET(ITEM_RES!$T$1,MATCH(AZ359,ITEM_RES!$A:$A,0)-1,0),0)*BB359+IFERROR(OFFSET(ITEM_RES!$T$1,MATCH(BE359,ITEM_RES!$A:$A,0)-1,0),0)*BG359+IFERROR(OFFSET(ITEM_RES!$T$1,MATCH(BJ359,ITEM_RES!$A:$A,0)-1,0),0)*BL359+IFERROR(OFFSET(ITEM_RES!$T$1,MATCH(BO359,ITEM_RES!$A:$A,0)-1,0),0)*BQ359)/1000</f>
        <v>1925</v>
      </c>
      <c r="AK359" s="183">
        <f t="shared" ca="1" si="117"/>
        <v>3500</v>
      </c>
      <c r="AM359" s="11">
        <f t="shared" si="108"/>
        <v>75</v>
      </c>
      <c r="AN359" s="10">
        <v>75</v>
      </c>
      <c r="AO359" s="11">
        <f t="shared" si="114"/>
        <v>550</v>
      </c>
      <c r="AP359" s="10">
        <v>550</v>
      </c>
      <c r="AQ359" s="11">
        <f t="shared" si="114"/>
        <v>550</v>
      </c>
      <c r="AR359" s="10">
        <v>550</v>
      </c>
      <c r="AS359" s="56">
        <f t="shared" si="109"/>
        <v>2</v>
      </c>
      <c r="AU359" s="11">
        <f ca="1">IFERROR(OFFSET(ITEM_RES!$A$1,MATCH(AV359,ITEM_RES!$J:$J,0)-1,0),0)</f>
        <v>211020501</v>
      </c>
      <c r="AV359" s="10" t="s">
        <v>440</v>
      </c>
      <c r="AW359" s="11">
        <v>2750</v>
      </c>
      <c r="AZ359" s="11">
        <f ca="1">IFERROR(OFFSET(ITEM_RES!$A$1,MATCH(BA359,ITEM_RES!$J:$J,0)-1,0),0)</f>
        <v>211020801</v>
      </c>
      <c r="BA359" s="10" t="s">
        <v>442</v>
      </c>
      <c r="BB359" s="11">
        <v>2750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11"/>
        <v>112050016</v>
      </c>
      <c r="B360" s="13">
        <v>11</v>
      </c>
      <c r="C360" s="12">
        <f t="shared" si="112"/>
        <v>2</v>
      </c>
      <c r="D360" s="13">
        <v>5</v>
      </c>
      <c r="E360" s="13">
        <v>0</v>
      </c>
      <c r="F360" s="12">
        <f t="shared" si="113"/>
        <v>16</v>
      </c>
      <c r="H360" s="9">
        <v>2</v>
      </c>
      <c r="I360" s="9">
        <v>16</v>
      </c>
      <c r="K360" s="9" t="s">
        <v>367</v>
      </c>
      <c r="M360" s="9" t="s">
        <v>973</v>
      </c>
      <c r="N360" s="9" t="s">
        <v>992</v>
      </c>
      <c r="O360" s="9">
        <v>0</v>
      </c>
      <c r="P360" s="9">
        <v>15</v>
      </c>
      <c r="Q360" s="9" t="s">
        <v>797</v>
      </c>
      <c r="U360" s="9" t="s">
        <v>730</v>
      </c>
      <c r="W360" s="85" t="s">
        <v>563</v>
      </c>
      <c r="X360" s="9">
        <f ca="1">IFERROR(OFFSET(ITEM_RES!$A$5,MATCH(BUILDING!W360,ITEM_RES!$J$5:$J$226,0)-1,0),0)</f>
        <v>211020801</v>
      </c>
      <c r="Y360" s="11">
        <v>1</v>
      </c>
      <c r="Z360" s="85" t="s">
        <v>400</v>
      </c>
      <c r="AA360" s="9">
        <f ca="1">IFERROR(OFFSET(ITEM_RES!$A$5,MATCH(BUILDING!Z360,ITEM_RES!$J$5:$J$226,0)-1,0),0)</f>
        <v>211020901</v>
      </c>
      <c r="AC360" s="9" t="s">
        <v>535</v>
      </c>
      <c r="AD360" s="9">
        <v>16</v>
      </c>
      <c r="AF360" s="9">
        <v>56000</v>
      </c>
      <c r="AI360" s="56">
        <f t="shared" ca="1" si="116"/>
        <v>2450</v>
      </c>
      <c r="AJ360" s="10">
        <f ca="1">AO360+AQ360+(IFERROR(OFFSET(ITEM_RES!$T$1,MATCH(AU360,ITEM_RES!$A:$A,0)-1,0),0)*AW360+IFERROR(OFFSET(ITEM_RES!$T$1,MATCH(AZ360,ITEM_RES!$A:$A,0)-1,0),0)*BB360+IFERROR(OFFSET(ITEM_RES!$T$1,MATCH(BE360,ITEM_RES!$A:$A,0)-1,0),0)*BG360+IFERROR(OFFSET(ITEM_RES!$T$1,MATCH(BJ360,ITEM_RES!$A:$A,0)-1,0),0)*BL360+IFERROR(OFFSET(ITEM_RES!$T$1,MATCH(BO360,ITEM_RES!$A:$A,0)-1,0),0)*BQ360)/1000</f>
        <v>2450</v>
      </c>
      <c r="AK360" s="183">
        <f t="shared" ca="1" si="117"/>
        <v>4375</v>
      </c>
      <c r="AM360" s="11">
        <f t="shared" si="108"/>
        <v>80</v>
      </c>
      <c r="AN360" s="10">
        <v>80</v>
      </c>
      <c r="AO360" s="11">
        <f t="shared" si="114"/>
        <v>700</v>
      </c>
      <c r="AP360" s="10">
        <v>700</v>
      </c>
      <c r="AQ360" s="11">
        <f t="shared" si="114"/>
        <v>700</v>
      </c>
      <c r="AR360" s="10">
        <v>700</v>
      </c>
      <c r="AS360" s="56">
        <f t="shared" si="109"/>
        <v>2</v>
      </c>
      <c r="AU360" s="11">
        <f ca="1">IFERROR(OFFSET(ITEM_RES!$A$1,MATCH(AV360,ITEM_RES!$J:$J,0)-1,0),0)</f>
        <v>211020501</v>
      </c>
      <c r="AV360" s="10" t="s">
        <v>440</v>
      </c>
      <c r="AW360" s="11">
        <v>3500</v>
      </c>
      <c r="AZ360" s="11">
        <f ca="1">IFERROR(OFFSET(ITEM_RES!$A$1,MATCH(BA360,ITEM_RES!$J:$J,0)-1,0),0)</f>
        <v>211020801</v>
      </c>
      <c r="BA360" s="10" t="s">
        <v>442</v>
      </c>
      <c r="BB360" s="11">
        <v>3500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11"/>
        <v>112050017</v>
      </c>
      <c r="B361" s="13">
        <v>11</v>
      </c>
      <c r="C361" s="12">
        <f t="shared" si="112"/>
        <v>2</v>
      </c>
      <c r="D361" s="13">
        <v>5</v>
      </c>
      <c r="E361" s="13">
        <v>0</v>
      </c>
      <c r="F361" s="12">
        <f t="shared" si="113"/>
        <v>17</v>
      </c>
      <c r="H361" s="9">
        <v>2</v>
      </c>
      <c r="I361" s="9">
        <v>17</v>
      </c>
      <c r="K361" s="9" t="s">
        <v>367</v>
      </c>
      <c r="M361" s="9" t="s">
        <v>973</v>
      </c>
      <c r="N361" s="9" t="s">
        <v>992</v>
      </c>
      <c r="O361" s="9">
        <v>0</v>
      </c>
      <c r="P361" s="9">
        <v>15</v>
      </c>
      <c r="Q361" s="9" t="s">
        <v>797</v>
      </c>
      <c r="U361" s="9" t="s">
        <v>730</v>
      </c>
      <c r="W361" s="85" t="s">
        <v>563</v>
      </c>
      <c r="X361" s="9">
        <f ca="1">IFERROR(OFFSET(ITEM_RES!$A$5,MATCH(BUILDING!W361,ITEM_RES!$J$5:$J$226,0)-1,0),0)</f>
        <v>211020801</v>
      </c>
      <c r="Y361" s="11">
        <v>1</v>
      </c>
      <c r="Z361" s="85" t="s">
        <v>400</v>
      </c>
      <c r="AA361" s="9">
        <f ca="1">IFERROR(OFFSET(ITEM_RES!$A$5,MATCH(BUILDING!Z361,ITEM_RES!$J$5:$J$226,0)-1,0),0)</f>
        <v>211020901</v>
      </c>
      <c r="AC361" s="9" t="s">
        <v>535</v>
      </c>
      <c r="AD361" s="9">
        <v>17</v>
      </c>
      <c r="AF361" s="9">
        <v>68000</v>
      </c>
      <c r="AI361" s="56">
        <f t="shared" ca="1" si="116"/>
        <v>2975</v>
      </c>
      <c r="AJ361" s="10">
        <f ca="1">AO361+AQ361+(IFERROR(OFFSET(ITEM_RES!$T$1,MATCH(AU361,ITEM_RES!$A:$A,0)-1,0),0)*AW361+IFERROR(OFFSET(ITEM_RES!$T$1,MATCH(AZ361,ITEM_RES!$A:$A,0)-1,0),0)*BB361+IFERROR(OFFSET(ITEM_RES!$T$1,MATCH(BE361,ITEM_RES!$A:$A,0)-1,0),0)*BG361+IFERROR(OFFSET(ITEM_RES!$T$1,MATCH(BJ361,ITEM_RES!$A:$A,0)-1,0),0)*BL361+IFERROR(OFFSET(ITEM_RES!$T$1,MATCH(BO361,ITEM_RES!$A:$A,0)-1,0),0)*BQ361)/1000</f>
        <v>2975</v>
      </c>
      <c r="AK361" s="183">
        <f t="shared" ca="1" si="117"/>
        <v>5425</v>
      </c>
      <c r="AM361" s="11">
        <f t="shared" si="108"/>
        <v>85</v>
      </c>
      <c r="AN361" s="10">
        <v>85</v>
      </c>
      <c r="AO361" s="11">
        <f t="shared" si="114"/>
        <v>850</v>
      </c>
      <c r="AP361" s="10">
        <v>850</v>
      </c>
      <c r="AQ361" s="11">
        <f t="shared" si="114"/>
        <v>850</v>
      </c>
      <c r="AR361" s="10">
        <v>850</v>
      </c>
      <c r="AS361" s="56">
        <f t="shared" si="109"/>
        <v>2</v>
      </c>
      <c r="AU361" s="11">
        <f ca="1">IFERROR(OFFSET(ITEM_RES!$A$1,MATCH(AV361,ITEM_RES!$J:$J,0)-1,0),0)</f>
        <v>211020501</v>
      </c>
      <c r="AV361" s="10" t="s">
        <v>440</v>
      </c>
      <c r="AW361" s="11">
        <v>4250</v>
      </c>
      <c r="AZ361" s="11">
        <f ca="1">IFERROR(OFFSET(ITEM_RES!$A$1,MATCH(BA361,ITEM_RES!$J:$J,0)-1,0),0)</f>
        <v>211020801</v>
      </c>
      <c r="BA361" s="10" t="s">
        <v>442</v>
      </c>
      <c r="BB361" s="11">
        <v>4250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11"/>
        <v>112050018</v>
      </c>
      <c r="B362" s="13">
        <v>11</v>
      </c>
      <c r="C362" s="12">
        <f t="shared" si="112"/>
        <v>2</v>
      </c>
      <c r="D362" s="13">
        <v>5</v>
      </c>
      <c r="E362" s="13">
        <v>0</v>
      </c>
      <c r="F362" s="12">
        <f t="shared" si="113"/>
        <v>18</v>
      </c>
      <c r="H362" s="9">
        <v>2</v>
      </c>
      <c r="I362" s="9">
        <v>18</v>
      </c>
      <c r="K362" s="9" t="s">
        <v>367</v>
      </c>
      <c r="M362" s="9" t="s">
        <v>973</v>
      </c>
      <c r="N362" s="9" t="s">
        <v>992</v>
      </c>
      <c r="O362" s="9">
        <v>0</v>
      </c>
      <c r="P362" s="9">
        <v>15</v>
      </c>
      <c r="Q362" s="9" t="s">
        <v>797</v>
      </c>
      <c r="U362" s="9" t="s">
        <v>730</v>
      </c>
      <c r="W362" s="85" t="s">
        <v>563</v>
      </c>
      <c r="X362" s="9">
        <f ca="1">IFERROR(OFFSET(ITEM_RES!$A$5,MATCH(BUILDING!W362,ITEM_RES!$J$5:$J$226,0)-1,0),0)</f>
        <v>211020801</v>
      </c>
      <c r="Y362" s="11">
        <v>1</v>
      </c>
      <c r="Z362" s="85" t="s">
        <v>400</v>
      </c>
      <c r="AA362" s="9">
        <f ca="1">IFERROR(OFFSET(ITEM_RES!$A$5,MATCH(BUILDING!Z362,ITEM_RES!$J$5:$J$226,0)-1,0),0)</f>
        <v>211020901</v>
      </c>
      <c r="AC362" s="9" t="s">
        <v>535</v>
      </c>
      <c r="AD362" s="9">
        <v>18</v>
      </c>
      <c r="AF362" s="9">
        <v>84000</v>
      </c>
      <c r="AI362" s="56">
        <f t="shared" ca="1" si="116"/>
        <v>3675</v>
      </c>
      <c r="AJ362" s="10">
        <f ca="1">AO362+AQ362+(IFERROR(OFFSET(ITEM_RES!$T$1,MATCH(AU362,ITEM_RES!$A:$A,0)-1,0),0)*AW362+IFERROR(OFFSET(ITEM_RES!$T$1,MATCH(AZ362,ITEM_RES!$A:$A,0)-1,0),0)*BB362+IFERROR(OFFSET(ITEM_RES!$T$1,MATCH(BE362,ITEM_RES!$A:$A,0)-1,0),0)*BG362+IFERROR(OFFSET(ITEM_RES!$T$1,MATCH(BJ362,ITEM_RES!$A:$A,0)-1,0),0)*BL362+IFERROR(OFFSET(ITEM_RES!$T$1,MATCH(BO362,ITEM_RES!$A:$A,0)-1,0),0)*BQ362)/1000</f>
        <v>3675</v>
      </c>
      <c r="AK362" s="183">
        <f t="shared" ca="1" si="117"/>
        <v>6650</v>
      </c>
      <c r="AM362" s="11">
        <f t="shared" si="108"/>
        <v>90</v>
      </c>
      <c r="AN362" s="10">
        <v>90</v>
      </c>
      <c r="AO362" s="11">
        <f t="shared" si="114"/>
        <v>1050</v>
      </c>
      <c r="AP362" s="10">
        <v>1050</v>
      </c>
      <c r="AQ362" s="11">
        <f t="shared" si="114"/>
        <v>1050</v>
      </c>
      <c r="AR362" s="10">
        <v>1050</v>
      </c>
      <c r="AS362" s="56">
        <f t="shared" si="109"/>
        <v>2</v>
      </c>
      <c r="AU362" s="11">
        <f ca="1">IFERROR(OFFSET(ITEM_RES!$A$1,MATCH(AV362,ITEM_RES!$J:$J,0)-1,0),0)</f>
        <v>211020501</v>
      </c>
      <c r="AV362" s="10" t="s">
        <v>440</v>
      </c>
      <c r="AW362" s="11">
        <v>5250</v>
      </c>
      <c r="AZ362" s="11">
        <f ca="1">IFERROR(OFFSET(ITEM_RES!$A$1,MATCH(BA362,ITEM_RES!$J:$J,0)-1,0),0)</f>
        <v>211020801</v>
      </c>
      <c r="BA362" s="10" t="s">
        <v>442</v>
      </c>
      <c r="BB362" s="11">
        <v>5250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11"/>
        <v>112050019</v>
      </c>
      <c r="B363" s="13">
        <v>11</v>
      </c>
      <c r="C363" s="12">
        <f t="shared" si="112"/>
        <v>2</v>
      </c>
      <c r="D363" s="13">
        <v>5</v>
      </c>
      <c r="E363" s="13">
        <v>0</v>
      </c>
      <c r="F363" s="12">
        <f t="shared" si="113"/>
        <v>19</v>
      </c>
      <c r="H363" s="9">
        <v>2</v>
      </c>
      <c r="I363" s="9">
        <v>19</v>
      </c>
      <c r="K363" s="9" t="s">
        <v>367</v>
      </c>
      <c r="M363" s="9" t="s">
        <v>973</v>
      </c>
      <c r="N363" s="9" t="s">
        <v>992</v>
      </c>
      <c r="O363" s="9">
        <v>0</v>
      </c>
      <c r="P363" s="9">
        <v>15</v>
      </c>
      <c r="Q363" s="9" t="s">
        <v>797</v>
      </c>
      <c r="U363" s="9" t="s">
        <v>730</v>
      </c>
      <c r="W363" s="85" t="s">
        <v>563</v>
      </c>
      <c r="X363" s="9">
        <f ca="1">IFERROR(OFFSET(ITEM_RES!$A$5,MATCH(BUILDING!W363,ITEM_RES!$J$5:$J$226,0)-1,0),0)</f>
        <v>211020801</v>
      </c>
      <c r="Y363" s="11">
        <v>1</v>
      </c>
      <c r="Z363" s="85" t="s">
        <v>400</v>
      </c>
      <c r="AA363" s="9">
        <f ca="1">IFERROR(OFFSET(ITEM_RES!$A$5,MATCH(BUILDING!Z363,ITEM_RES!$J$5:$J$226,0)-1,0),0)</f>
        <v>211020901</v>
      </c>
      <c r="AC363" s="9" t="s">
        <v>535</v>
      </c>
      <c r="AD363" s="9">
        <v>19</v>
      </c>
      <c r="AF363" s="9">
        <v>100000</v>
      </c>
      <c r="AI363" s="56">
        <f t="shared" ca="1" si="116"/>
        <v>4375</v>
      </c>
      <c r="AJ363" s="10">
        <f ca="1">AO363+AQ363+(IFERROR(OFFSET(ITEM_RES!$T$1,MATCH(AU363,ITEM_RES!$A:$A,0)-1,0),0)*AW363+IFERROR(OFFSET(ITEM_RES!$T$1,MATCH(AZ363,ITEM_RES!$A:$A,0)-1,0),0)*BB363+IFERROR(OFFSET(ITEM_RES!$T$1,MATCH(BE363,ITEM_RES!$A:$A,0)-1,0),0)*BG363+IFERROR(OFFSET(ITEM_RES!$T$1,MATCH(BJ363,ITEM_RES!$A:$A,0)-1,0),0)*BL363+IFERROR(OFFSET(ITEM_RES!$T$1,MATCH(BO363,ITEM_RES!$A:$A,0)-1,0),0)*BQ363)/1000</f>
        <v>4375</v>
      </c>
      <c r="AK363" s="183">
        <f t="shared" ca="1" si="117"/>
        <v>8050</v>
      </c>
      <c r="AM363" s="11">
        <f t="shared" si="108"/>
        <v>95</v>
      </c>
      <c r="AN363" s="10">
        <v>95</v>
      </c>
      <c r="AO363" s="11">
        <f t="shared" si="114"/>
        <v>1250</v>
      </c>
      <c r="AP363" s="10">
        <v>1250</v>
      </c>
      <c r="AQ363" s="11">
        <f t="shared" si="114"/>
        <v>1250</v>
      </c>
      <c r="AR363" s="10">
        <v>1250</v>
      </c>
      <c r="AS363" s="56">
        <f t="shared" si="109"/>
        <v>2</v>
      </c>
      <c r="AU363" s="11">
        <f ca="1">IFERROR(OFFSET(ITEM_RES!$A$1,MATCH(AV363,ITEM_RES!$J:$J,0)-1,0),0)</f>
        <v>211020501</v>
      </c>
      <c r="AV363" s="10" t="s">
        <v>440</v>
      </c>
      <c r="AW363" s="11">
        <v>6250</v>
      </c>
      <c r="AZ363" s="11">
        <f ca="1">IFERROR(OFFSET(ITEM_RES!$A$1,MATCH(BA363,ITEM_RES!$J:$J,0)-1,0),0)</f>
        <v>211020801</v>
      </c>
      <c r="BA363" s="10" t="s">
        <v>442</v>
      </c>
      <c r="BB363" s="11">
        <v>6250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11"/>
        <v>112050020</v>
      </c>
      <c r="B364" s="13">
        <v>11</v>
      </c>
      <c r="C364" s="12">
        <f t="shared" si="112"/>
        <v>2</v>
      </c>
      <c r="D364" s="13">
        <v>5</v>
      </c>
      <c r="E364" s="13">
        <v>0</v>
      </c>
      <c r="F364" s="12">
        <f t="shared" si="113"/>
        <v>20</v>
      </c>
      <c r="H364" s="9">
        <v>2</v>
      </c>
      <c r="I364" s="9">
        <v>20</v>
      </c>
      <c r="K364" s="9" t="s">
        <v>367</v>
      </c>
      <c r="M364" s="9" t="s">
        <v>973</v>
      </c>
      <c r="N364" s="9" t="s">
        <v>992</v>
      </c>
      <c r="O364" s="9">
        <v>0</v>
      </c>
      <c r="P364" s="9">
        <v>15</v>
      </c>
      <c r="Q364" s="9" t="s">
        <v>797</v>
      </c>
      <c r="U364" s="9" t="s">
        <v>730</v>
      </c>
      <c r="W364" s="85" t="s">
        <v>563</v>
      </c>
      <c r="X364" s="9">
        <f ca="1">IFERROR(OFFSET(ITEM_RES!$A$5,MATCH(BUILDING!W364,ITEM_RES!$J$5:$J$226,0)-1,0),0)</f>
        <v>211020801</v>
      </c>
      <c r="Y364" s="11">
        <v>1</v>
      </c>
      <c r="Z364" s="85" t="s">
        <v>400</v>
      </c>
      <c r="AA364" s="9">
        <f ca="1">IFERROR(OFFSET(ITEM_RES!$A$5,MATCH(BUILDING!Z364,ITEM_RES!$J$5:$J$226,0)-1,0),0)</f>
        <v>211020901</v>
      </c>
      <c r="AC364" s="9" t="s">
        <v>535</v>
      </c>
      <c r="AD364" s="9">
        <v>20</v>
      </c>
      <c r="AF364" s="9">
        <v>120000</v>
      </c>
      <c r="AI364" s="56">
        <f t="shared" ca="1" si="116"/>
        <v>5250</v>
      </c>
      <c r="AJ364" s="10">
        <f ca="1">AO364+AQ364+(IFERROR(OFFSET(ITEM_RES!$T$1,MATCH(AU364,ITEM_RES!$A:$A,0)-1,0),0)*AW364+IFERROR(OFFSET(ITEM_RES!$T$1,MATCH(AZ364,ITEM_RES!$A:$A,0)-1,0),0)*BB364+IFERROR(OFFSET(ITEM_RES!$T$1,MATCH(BE364,ITEM_RES!$A:$A,0)-1,0),0)*BG364+IFERROR(OFFSET(ITEM_RES!$T$1,MATCH(BJ364,ITEM_RES!$A:$A,0)-1,0),0)*BL364+IFERROR(OFFSET(ITEM_RES!$T$1,MATCH(BO364,ITEM_RES!$A:$A,0)-1,0),0)*BQ364)/1000</f>
        <v>5250</v>
      </c>
      <c r="AK364" s="183">
        <f t="shared" ca="1" si="117"/>
        <v>9625</v>
      </c>
      <c r="AM364" s="11">
        <f t="shared" si="108"/>
        <v>100</v>
      </c>
      <c r="AN364" s="10">
        <v>100</v>
      </c>
      <c r="AO364" s="11">
        <f t="shared" si="114"/>
        <v>1500</v>
      </c>
      <c r="AP364" s="10">
        <v>1500</v>
      </c>
      <c r="AQ364" s="11">
        <f t="shared" si="114"/>
        <v>1500</v>
      </c>
      <c r="AR364" s="10">
        <v>1500</v>
      </c>
      <c r="AS364" s="56">
        <f t="shared" si="109"/>
        <v>2</v>
      </c>
      <c r="AU364" s="11">
        <f ca="1">IFERROR(OFFSET(ITEM_RES!$A$1,MATCH(AV364,ITEM_RES!$J:$J,0)-1,0),0)</f>
        <v>211020501</v>
      </c>
      <c r="AV364" s="10" t="s">
        <v>440</v>
      </c>
      <c r="AW364" s="11">
        <v>7500</v>
      </c>
      <c r="AZ364" s="11">
        <f ca="1">IFERROR(OFFSET(ITEM_RES!$A$1,MATCH(BA364,ITEM_RES!$J:$J,0)-1,0),0)</f>
        <v>211020801</v>
      </c>
      <c r="BA364" s="10" t="s">
        <v>442</v>
      </c>
      <c r="BB364" s="11">
        <v>7500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11"/>
        <v>111090001</v>
      </c>
      <c r="B365" s="20">
        <v>11</v>
      </c>
      <c r="C365" s="19">
        <f t="shared" si="112"/>
        <v>1</v>
      </c>
      <c r="D365" s="20">
        <v>9</v>
      </c>
      <c r="E365" s="20">
        <v>0</v>
      </c>
      <c r="F365" s="19">
        <f t="shared" si="113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>
        <v>1</v>
      </c>
      <c r="M365" s="16" t="s">
        <v>974</v>
      </c>
      <c r="N365" s="16" t="s">
        <v>993</v>
      </c>
      <c r="O365" s="16">
        <v>1</v>
      </c>
      <c r="P365" s="16">
        <v>15</v>
      </c>
      <c r="Q365" s="16" t="s">
        <v>795</v>
      </c>
      <c r="R365" s="17"/>
      <c r="S365" s="17"/>
      <c r="T365" s="18"/>
      <c r="U365" s="16" t="s">
        <v>736</v>
      </c>
      <c r="V365" s="79"/>
      <c r="W365" s="87"/>
      <c r="X365" s="16">
        <f ca="1">IFERROR(OFFSET(ITEM_RES!$A$5,MATCH(BUILDING!W365,ITEM_RES!$J$5:$J$226,0)-1,0),0)</f>
        <v>0</v>
      </c>
      <c r="Y365" s="18"/>
      <c r="Z365" s="87" t="s">
        <v>558</v>
      </c>
      <c r="AA365" s="16">
        <f ca="1">IFERROR(OFFSET(ITEM_RES!$A$5,MATCH(BUILDING!Z365,ITEM_RES!$J$5:$J$226,0)-1,0),0)</f>
        <v>211020201</v>
      </c>
      <c r="AB365" s="79"/>
      <c r="AC365" s="16" t="s">
        <v>536</v>
      </c>
      <c r="AD365" s="16">
        <v>1</v>
      </c>
      <c r="AE365" s="79"/>
      <c r="AF365" s="16">
        <v>0</v>
      </c>
      <c r="AG365" s="17"/>
      <c r="AH365" s="79"/>
      <c r="AI365" s="57">
        <f t="shared" ca="1" si="116"/>
        <v>111</v>
      </c>
      <c r="AJ365" s="17">
        <f ca="1">AO365+AQ365+(IFERROR(OFFSET(ITEM_RES!$T$1,MATCH(AU365,ITEM_RES!$A:$A,0)-1,0),0)*AW365+IFERROR(OFFSET(ITEM_RES!$T$1,MATCH(AZ365,ITEM_RES!$A:$A,0)-1,0),0)*BB365+IFERROR(OFFSET(ITEM_RES!$T$1,MATCH(BE365,ITEM_RES!$A:$A,0)-1,0),0)*BG365+IFERROR(OFFSET(ITEM_RES!$T$1,MATCH(BJ365,ITEM_RES!$A:$A,0)-1,0),0)*BL365+IFERROR(OFFSET(ITEM_RES!$T$1,MATCH(BO365,ITEM_RES!$A:$A,0)-1,0),0)*BQ365)/1000</f>
        <v>110.75</v>
      </c>
      <c r="AK365" s="185">
        <f ca="1">AJ365</f>
        <v>110.75</v>
      </c>
      <c r="AL365" s="79"/>
      <c r="AM365" s="18">
        <f t="shared" ref="AM365:AM408" si="118">ROUND(AN365,0)</f>
        <v>5</v>
      </c>
      <c r="AN365" s="17">
        <v>5</v>
      </c>
      <c r="AO365" s="18">
        <f t="shared" si="114"/>
        <v>5</v>
      </c>
      <c r="AP365" s="17">
        <v>5</v>
      </c>
      <c r="AQ365" s="18">
        <f t="shared" si="114"/>
        <v>5</v>
      </c>
      <c r="AR365" s="17">
        <v>5</v>
      </c>
      <c r="AS365" s="57">
        <f t="shared" si="109"/>
        <v>3</v>
      </c>
      <c r="AT365" s="18"/>
      <c r="AU365" s="18">
        <f ca="1">IFERROR(OFFSET(ITEM_RES!$A$1,MATCH(AV365,ITEM_RES!$J:$J,0)-1,0),0)</f>
        <v>211010501</v>
      </c>
      <c r="AV365" s="17" t="s">
        <v>434</v>
      </c>
      <c r="AW365" s="18">
        <v>25</v>
      </c>
      <c r="AX365" s="17"/>
      <c r="AY365" s="18"/>
      <c r="AZ365" s="18">
        <f ca="1">IFERROR(OFFSET(ITEM_RES!$A$1,MATCH(BA365,ITEM_RES!$J:$J,0)-1,0),0)</f>
        <v>211020101</v>
      </c>
      <c r="BA365" s="17" t="s">
        <v>457</v>
      </c>
      <c r="BB365" s="18">
        <v>25</v>
      </c>
      <c r="BC365" s="17"/>
      <c r="BD365" s="18"/>
      <c r="BE365" s="18">
        <f ca="1">IFERROR(OFFSET(ITEM_RES!$A$1,MATCH(BF365,ITEM_RES!$J:$J,0)-1,0),0)</f>
        <v>213010101</v>
      </c>
      <c r="BF365" s="17" t="s">
        <v>463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11"/>
        <v>111090002</v>
      </c>
      <c r="B366" s="13">
        <v>11</v>
      </c>
      <c r="C366" s="12">
        <f t="shared" si="112"/>
        <v>1</v>
      </c>
      <c r="D366" s="13">
        <v>9</v>
      </c>
      <c r="E366" s="13">
        <v>0</v>
      </c>
      <c r="F366" s="12">
        <f t="shared" si="113"/>
        <v>2</v>
      </c>
      <c r="H366" s="9">
        <v>1</v>
      </c>
      <c r="I366" s="9">
        <v>2</v>
      </c>
      <c r="K366" s="9" t="s">
        <v>377</v>
      </c>
      <c r="M366" s="9" t="s">
        <v>974</v>
      </c>
      <c r="N366" s="9" t="s">
        <v>993</v>
      </c>
      <c r="O366" s="9">
        <v>1</v>
      </c>
      <c r="P366" s="9">
        <v>15</v>
      </c>
      <c r="Q366" s="9" t="s">
        <v>795</v>
      </c>
      <c r="U366" s="9" t="s">
        <v>736</v>
      </c>
      <c r="X366" s="9">
        <f ca="1">IFERROR(OFFSET(ITEM_RES!$A$5,MATCH(BUILDING!W366,ITEM_RES!$J$5:$J$226,0)-1,0),0)</f>
        <v>0</v>
      </c>
      <c r="Z366" s="85" t="s">
        <v>558</v>
      </c>
      <c r="AA366" s="9">
        <f ca="1">IFERROR(OFFSET(ITEM_RES!$A$5,MATCH(BUILDING!Z366,ITEM_RES!$J$5:$J$226,0)-1,0),0)</f>
        <v>211020201</v>
      </c>
      <c r="AC366" s="9" t="s">
        <v>536</v>
      </c>
      <c r="AD366" s="9">
        <v>2</v>
      </c>
      <c r="AF366" s="9">
        <v>200</v>
      </c>
      <c r="AI366" s="56">
        <f t="shared" ca="1" si="116"/>
        <v>22</v>
      </c>
      <c r="AJ366" s="10">
        <f ca="1">AO366+AQ366+(IFERROR(OFFSET(ITEM_RES!$T$1,MATCH(AU366,ITEM_RES!$A:$A,0)-1,0),0)*AW366+IFERROR(OFFSET(ITEM_RES!$T$1,MATCH(AZ366,ITEM_RES!$A:$A,0)-1,0),0)*BB366+IFERROR(OFFSET(ITEM_RES!$T$1,MATCH(BE366,ITEM_RES!$A:$A,0)-1,0),0)*BG366+IFERROR(OFFSET(ITEM_RES!$T$1,MATCH(BJ366,ITEM_RES!$A:$A,0)-1,0),0)*BL366+IFERROR(OFFSET(ITEM_RES!$T$1,MATCH(BO366,ITEM_RES!$A:$A,0)-1,0),0)*BQ366)/1000</f>
        <v>21.5</v>
      </c>
      <c r="AK366" s="183">
        <f t="shared" ref="AK366:AK384" ca="1" si="119">AJ365+AJ366</f>
        <v>132.25</v>
      </c>
      <c r="AM366" s="11">
        <f t="shared" si="118"/>
        <v>10</v>
      </c>
      <c r="AN366" s="10">
        <v>10</v>
      </c>
      <c r="AO366" s="11">
        <f t="shared" si="114"/>
        <v>10</v>
      </c>
      <c r="AP366" s="10">
        <v>10</v>
      </c>
      <c r="AQ366" s="11">
        <f t="shared" si="114"/>
        <v>10</v>
      </c>
      <c r="AR366" s="10">
        <v>10</v>
      </c>
      <c r="AS366" s="56">
        <f t="shared" ref="AS366:AS409" si="120">(AW366&gt;0)*1+(BB366&gt;0)*1+(BG366&gt;0)*1+(BL366&gt;0)*1+(BQ366&gt;0)*1</f>
        <v>2</v>
      </c>
      <c r="AU366" s="11">
        <f ca="1">IFERROR(OFFSET(ITEM_RES!$A$1,MATCH(AV366,ITEM_RES!$J:$J,0)-1,0),0)</f>
        <v>211010501</v>
      </c>
      <c r="AV366" s="10" t="s">
        <v>434</v>
      </c>
      <c r="AW366" s="11">
        <v>50</v>
      </c>
      <c r="AZ366" s="11">
        <f ca="1">IFERROR(OFFSET(ITEM_RES!$A$1,MATCH(BA366,ITEM_RES!$J:$J,0)-1,0),0)</f>
        <v>211020101</v>
      </c>
      <c r="BA366" s="10" t="s">
        <v>457</v>
      </c>
      <c r="BB366" s="11">
        <v>50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11"/>
        <v>111090003</v>
      </c>
      <c r="B367" s="13">
        <v>11</v>
      </c>
      <c r="C367" s="12">
        <f t="shared" si="112"/>
        <v>1</v>
      </c>
      <c r="D367" s="13">
        <v>9</v>
      </c>
      <c r="E367" s="13">
        <v>0</v>
      </c>
      <c r="F367" s="12">
        <f t="shared" si="113"/>
        <v>3</v>
      </c>
      <c r="H367" s="9">
        <v>1</v>
      </c>
      <c r="I367" s="9">
        <v>3</v>
      </c>
      <c r="K367" s="9" t="s">
        <v>377</v>
      </c>
      <c r="M367" s="9" t="s">
        <v>974</v>
      </c>
      <c r="N367" s="9" t="s">
        <v>993</v>
      </c>
      <c r="O367" s="9">
        <v>1</v>
      </c>
      <c r="P367" s="9">
        <v>15</v>
      </c>
      <c r="Q367" s="9" t="s">
        <v>795</v>
      </c>
      <c r="U367" s="9" t="s">
        <v>736</v>
      </c>
      <c r="X367" s="9">
        <f ca="1">IFERROR(OFFSET(ITEM_RES!$A$5,MATCH(BUILDING!W367,ITEM_RES!$J$5:$J$226,0)-1,0),0)</f>
        <v>0</v>
      </c>
      <c r="Z367" s="85" t="s">
        <v>558</v>
      </c>
      <c r="AA367" s="9">
        <f ca="1">IFERROR(OFFSET(ITEM_RES!$A$5,MATCH(BUILDING!Z367,ITEM_RES!$J$5:$J$226,0)-1,0),0)</f>
        <v>211020201</v>
      </c>
      <c r="AC367" s="9" t="s">
        <v>536</v>
      </c>
      <c r="AD367" s="9">
        <v>3</v>
      </c>
      <c r="AF367" s="9">
        <v>600</v>
      </c>
      <c r="AI367" s="56">
        <f t="shared" ca="1" si="116"/>
        <v>32</v>
      </c>
      <c r="AJ367" s="10">
        <f ca="1">AO367+AQ367+(IFERROR(OFFSET(ITEM_RES!$T$1,MATCH(AU367,ITEM_RES!$A:$A,0)-1,0),0)*AW367+IFERROR(OFFSET(ITEM_RES!$T$1,MATCH(AZ367,ITEM_RES!$A:$A,0)-1,0),0)*BB367+IFERROR(OFFSET(ITEM_RES!$T$1,MATCH(BE367,ITEM_RES!$A:$A,0)-1,0),0)*BG367+IFERROR(OFFSET(ITEM_RES!$T$1,MATCH(BJ367,ITEM_RES!$A:$A,0)-1,0),0)*BL367+IFERROR(OFFSET(ITEM_RES!$T$1,MATCH(BO367,ITEM_RES!$A:$A,0)-1,0),0)*BQ367)/1000</f>
        <v>32.25</v>
      </c>
      <c r="AK367" s="183">
        <f t="shared" ca="1" si="119"/>
        <v>53.75</v>
      </c>
      <c r="AM367" s="11">
        <f t="shared" si="118"/>
        <v>15</v>
      </c>
      <c r="AN367" s="10">
        <v>15</v>
      </c>
      <c r="AO367" s="11">
        <f t="shared" si="114"/>
        <v>15</v>
      </c>
      <c r="AP367" s="10">
        <v>15</v>
      </c>
      <c r="AQ367" s="11">
        <f t="shared" si="114"/>
        <v>15</v>
      </c>
      <c r="AR367" s="10">
        <v>15</v>
      </c>
      <c r="AS367" s="56">
        <f t="shared" si="120"/>
        <v>2</v>
      </c>
      <c r="AU367" s="11">
        <f ca="1">IFERROR(OFFSET(ITEM_RES!$A$1,MATCH(AV367,ITEM_RES!$J:$J,0)-1,0),0)</f>
        <v>211010501</v>
      </c>
      <c r="AV367" s="10" t="s">
        <v>434</v>
      </c>
      <c r="AW367" s="11">
        <v>75</v>
      </c>
      <c r="AZ367" s="11">
        <f ca="1">IFERROR(OFFSET(ITEM_RES!$A$1,MATCH(BA367,ITEM_RES!$J:$J,0)-1,0),0)</f>
        <v>211020101</v>
      </c>
      <c r="BA367" s="10" t="s">
        <v>457</v>
      </c>
      <c r="BB367" s="11">
        <v>75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11"/>
        <v>111090004</v>
      </c>
      <c r="B368" s="13">
        <v>11</v>
      </c>
      <c r="C368" s="12">
        <f t="shared" si="112"/>
        <v>1</v>
      </c>
      <c r="D368" s="13">
        <v>9</v>
      </c>
      <c r="E368" s="13">
        <v>0</v>
      </c>
      <c r="F368" s="12">
        <f t="shared" si="113"/>
        <v>4</v>
      </c>
      <c r="H368" s="9">
        <v>1</v>
      </c>
      <c r="I368" s="9">
        <v>4</v>
      </c>
      <c r="K368" s="9" t="s">
        <v>377</v>
      </c>
      <c r="M368" s="9" t="s">
        <v>974</v>
      </c>
      <c r="N368" s="9" t="s">
        <v>993</v>
      </c>
      <c r="O368" s="9">
        <v>1</v>
      </c>
      <c r="P368" s="9">
        <v>15</v>
      </c>
      <c r="Q368" s="9" t="s">
        <v>795</v>
      </c>
      <c r="U368" s="9" t="s">
        <v>736</v>
      </c>
      <c r="X368" s="9">
        <f ca="1">IFERROR(OFFSET(ITEM_RES!$A$5,MATCH(BUILDING!W368,ITEM_RES!$J$5:$J$226,0)-1,0),0)</f>
        <v>0</v>
      </c>
      <c r="Z368" s="85" t="s">
        <v>558</v>
      </c>
      <c r="AA368" s="9">
        <f ca="1">IFERROR(OFFSET(ITEM_RES!$A$5,MATCH(BUILDING!Z368,ITEM_RES!$J$5:$J$226,0)-1,0),0)</f>
        <v>211020201</v>
      </c>
      <c r="AC368" s="9" t="s">
        <v>536</v>
      </c>
      <c r="AD368" s="9">
        <v>4</v>
      </c>
      <c r="AF368" s="9">
        <v>1000</v>
      </c>
      <c r="AI368" s="56">
        <f t="shared" ca="1" si="116"/>
        <v>54</v>
      </c>
      <c r="AJ368" s="10">
        <f ca="1">AO368+AQ368+(IFERROR(OFFSET(ITEM_RES!$T$1,MATCH(AU368,ITEM_RES!$A:$A,0)-1,0),0)*AW368+IFERROR(OFFSET(ITEM_RES!$T$1,MATCH(AZ368,ITEM_RES!$A:$A,0)-1,0),0)*BB368+IFERROR(OFFSET(ITEM_RES!$T$1,MATCH(BE368,ITEM_RES!$A:$A,0)-1,0),0)*BG368+IFERROR(OFFSET(ITEM_RES!$T$1,MATCH(BJ368,ITEM_RES!$A:$A,0)-1,0),0)*BL368+IFERROR(OFFSET(ITEM_RES!$T$1,MATCH(BO368,ITEM_RES!$A:$A,0)-1,0),0)*BQ368)/1000</f>
        <v>53.75</v>
      </c>
      <c r="AK368" s="183">
        <f t="shared" ca="1" si="119"/>
        <v>86</v>
      </c>
      <c r="AM368" s="11">
        <f t="shared" si="118"/>
        <v>20</v>
      </c>
      <c r="AN368" s="10">
        <v>20</v>
      </c>
      <c r="AO368" s="11">
        <f t="shared" si="114"/>
        <v>25</v>
      </c>
      <c r="AP368" s="10">
        <v>25</v>
      </c>
      <c r="AQ368" s="11">
        <f t="shared" si="114"/>
        <v>25</v>
      </c>
      <c r="AR368" s="10">
        <v>25</v>
      </c>
      <c r="AS368" s="56">
        <f t="shared" si="120"/>
        <v>2</v>
      </c>
      <c r="AU368" s="11">
        <f ca="1">IFERROR(OFFSET(ITEM_RES!$A$1,MATCH(AV368,ITEM_RES!$J:$J,0)-1,0),0)</f>
        <v>211010501</v>
      </c>
      <c r="AV368" s="10" t="s">
        <v>434</v>
      </c>
      <c r="AW368" s="11">
        <v>125</v>
      </c>
      <c r="AZ368" s="11">
        <f ca="1">IFERROR(OFFSET(ITEM_RES!$A$1,MATCH(BA368,ITEM_RES!$J:$J,0)-1,0),0)</f>
        <v>211020101</v>
      </c>
      <c r="BA368" s="10" t="s">
        <v>457</v>
      </c>
      <c r="BB368" s="11">
        <v>125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11"/>
        <v>111090005</v>
      </c>
      <c r="B369" s="13">
        <v>11</v>
      </c>
      <c r="C369" s="12">
        <f t="shared" si="112"/>
        <v>1</v>
      </c>
      <c r="D369" s="13">
        <v>9</v>
      </c>
      <c r="E369" s="13">
        <v>0</v>
      </c>
      <c r="F369" s="12">
        <f t="shared" si="113"/>
        <v>5</v>
      </c>
      <c r="H369" s="9">
        <v>1</v>
      </c>
      <c r="I369" s="9">
        <v>5</v>
      </c>
      <c r="K369" s="9" t="s">
        <v>377</v>
      </c>
      <c r="M369" s="9" t="s">
        <v>974</v>
      </c>
      <c r="N369" s="9" t="s">
        <v>993</v>
      </c>
      <c r="O369" s="9">
        <v>1</v>
      </c>
      <c r="P369" s="9">
        <v>15</v>
      </c>
      <c r="Q369" s="9" t="s">
        <v>795</v>
      </c>
      <c r="U369" s="9" t="s">
        <v>736</v>
      </c>
      <c r="X369" s="9">
        <f ca="1">IFERROR(OFFSET(ITEM_RES!$A$5,MATCH(BUILDING!W369,ITEM_RES!$J$5:$J$226,0)-1,0),0)</f>
        <v>0</v>
      </c>
      <c r="Z369" s="85" t="s">
        <v>558</v>
      </c>
      <c r="AA369" s="9">
        <f ca="1">IFERROR(OFFSET(ITEM_RES!$A$5,MATCH(BUILDING!Z369,ITEM_RES!$J$5:$J$226,0)-1,0),0)</f>
        <v>211020201</v>
      </c>
      <c r="AC369" s="9" t="s">
        <v>536</v>
      </c>
      <c r="AD369" s="9">
        <v>5</v>
      </c>
      <c r="AF369" s="9">
        <v>1600</v>
      </c>
      <c r="AI369" s="56">
        <f t="shared" ca="1" si="116"/>
        <v>86</v>
      </c>
      <c r="AJ369" s="10">
        <f ca="1">AO369+AQ369+(IFERROR(OFFSET(ITEM_RES!$T$1,MATCH(AU369,ITEM_RES!$A:$A,0)-1,0),0)*AW369+IFERROR(OFFSET(ITEM_RES!$T$1,MATCH(AZ369,ITEM_RES!$A:$A,0)-1,0),0)*BB369+IFERROR(OFFSET(ITEM_RES!$T$1,MATCH(BE369,ITEM_RES!$A:$A,0)-1,0),0)*BG369+IFERROR(OFFSET(ITEM_RES!$T$1,MATCH(BJ369,ITEM_RES!$A:$A,0)-1,0),0)*BL369+IFERROR(OFFSET(ITEM_RES!$T$1,MATCH(BO369,ITEM_RES!$A:$A,0)-1,0),0)*BQ369)/1000</f>
        <v>86</v>
      </c>
      <c r="AK369" s="183">
        <f t="shared" ca="1" si="119"/>
        <v>139.75</v>
      </c>
      <c r="AM369" s="11">
        <f t="shared" si="118"/>
        <v>25</v>
      </c>
      <c r="AN369" s="10">
        <v>25</v>
      </c>
      <c r="AO369" s="11">
        <f t="shared" si="114"/>
        <v>40</v>
      </c>
      <c r="AP369" s="10">
        <v>40</v>
      </c>
      <c r="AQ369" s="11">
        <f t="shared" si="114"/>
        <v>40</v>
      </c>
      <c r="AR369" s="10">
        <v>40</v>
      </c>
      <c r="AS369" s="56">
        <f t="shared" si="120"/>
        <v>2</v>
      </c>
      <c r="AU369" s="11">
        <f ca="1">IFERROR(OFFSET(ITEM_RES!$A$1,MATCH(AV369,ITEM_RES!$J:$J,0)-1,0),0)</f>
        <v>211010501</v>
      </c>
      <c r="AV369" s="10" t="s">
        <v>434</v>
      </c>
      <c r="AW369" s="11">
        <v>200</v>
      </c>
      <c r="AZ369" s="11">
        <f ca="1">IFERROR(OFFSET(ITEM_RES!$A$1,MATCH(BA369,ITEM_RES!$J:$J,0)-1,0),0)</f>
        <v>211020101</v>
      </c>
      <c r="BA369" s="10" t="s">
        <v>457</v>
      </c>
      <c r="BB369" s="11">
        <v>200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11"/>
        <v>111090006</v>
      </c>
      <c r="B370" s="13">
        <v>11</v>
      </c>
      <c r="C370" s="12">
        <f t="shared" si="112"/>
        <v>1</v>
      </c>
      <c r="D370" s="13">
        <v>9</v>
      </c>
      <c r="E370" s="13">
        <v>0</v>
      </c>
      <c r="F370" s="12">
        <f t="shared" si="113"/>
        <v>6</v>
      </c>
      <c r="H370" s="9">
        <v>1</v>
      </c>
      <c r="I370" s="9">
        <v>6</v>
      </c>
      <c r="K370" s="9" t="s">
        <v>377</v>
      </c>
      <c r="M370" s="9" t="s">
        <v>974</v>
      </c>
      <c r="N370" s="9" t="s">
        <v>993</v>
      </c>
      <c r="O370" s="9">
        <v>1</v>
      </c>
      <c r="P370" s="9">
        <v>15</v>
      </c>
      <c r="Q370" s="9" t="s">
        <v>795</v>
      </c>
      <c r="U370" s="9" t="s">
        <v>736</v>
      </c>
      <c r="X370" s="9">
        <f ca="1">IFERROR(OFFSET(ITEM_RES!$A$5,MATCH(BUILDING!W370,ITEM_RES!$J$5:$J$226,0)-1,0),0)</f>
        <v>0</v>
      </c>
      <c r="Z370" s="85" t="s">
        <v>558</v>
      </c>
      <c r="AA370" s="9">
        <f ca="1">IFERROR(OFFSET(ITEM_RES!$A$5,MATCH(BUILDING!Z370,ITEM_RES!$J$5:$J$226,0)-1,0),0)</f>
        <v>211020201</v>
      </c>
      <c r="AC370" s="9" t="s">
        <v>536</v>
      </c>
      <c r="AD370" s="9">
        <v>6</v>
      </c>
      <c r="AF370" s="9">
        <v>2000</v>
      </c>
      <c r="AI370" s="56">
        <f t="shared" ca="1" si="116"/>
        <v>108</v>
      </c>
      <c r="AJ370" s="10">
        <f ca="1">AO370+AQ370+(IFERROR(OFFSET(ITEM_RES!$T$1,MATCH(AU370,ITEM_RES!$A:$A,0)-1,0),0)*AW370+IFERROR(OFFSET(ITEM_RES!$T$1,MATCH(AZ370,ITEM_RES!$A:$A,0)-1,0),0)*BB370+IFERROR(OFFSET(ITEM_RES!$T$1,MATCH(BE370,ITEM_RES!$A:$A,0)-1,0),0)*BG370+IFERROR(OFFSET(ITEM_RES!$T$1,MATCH(BJ370,ITEM_RES!$A:$A,0)-1,0),0)*BL370+IFERROR(OFFSET(ITEM_RES!$T$1,MATCH(BO370,ITEM_RES!$A:$A,0)-1,0),0)*BQ370)/1000</f>
        <v>107.5</v>
      </c>
      <c r="AK370" s="183">
        <f t="shared" ca="1" si="119"/>
        <v>193.5</v>
      </c>
      <c r="AM370" s="11">
        <f t="shared" si="118"/>
        <v>30</v>
      </c>
      <c r="AN370" s="10">
        <v>30</v>
      </c>
      <c r="AO370" s="11">
        <f t="shared" si="114"/>
        <v>50</v>
      </c>
      <c r="AP370" s="10">
        <v>50</v>
      </c>
      <c r="AQ370" s="11">
        <f t="shared" si="114"/>
        <v>50</v>
      </c>
      <c r="AR370" s="10">
        <v>50</v>
      </c>
      <c r="AS370" s="56">
        <f t="shared" si="120"/>
        <v>2</v>
      </c>
      <c r="AU370" s="11">
        <f ca="1">IFERROR(OFFSET(ITEM_RES!$A$1,MATCH(AV370,ITEM_RES!$J:$J,0)-1,0),0)</f>
        <v>211010501</v>
      </c>
      <c r="AV370" s="10" t="s">
        <v>434</v>
      </c>
      <c r="AW370" s="11">
        <v>250</v>
      </c>
      <c r="AZ370" s="11">
        <f ca="1">IFERROR(OFFSET(ITEM_RES!$A$1,MATCH(BA370,ITEM_RES!$J:$J,0)-1,0),0)</f>
        <v>211020101</v>
      </c>
      <c r="BA370" s="10" t="s">
        <v>457</v>
      </c>
      <c r="BB370" s="11">
        <v>250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11"/>
        <v>111090007</v>
      </c>
      <c r="B371" s="13">
        <v>11</v>
      </c>
      <c r="C371" s="12">
        <f t="shared" si="112"/>
        <v>1</v>
      </c>
      <c r="D371" s="13">
        <v>9</v>
      </c>
      <c r="E371" s="13">
        <v>0</v>
      </c>
      <c r="F371" s="12">
        <f t="shared" si="113"/>
        <v>7</v>
      </c>
      <c r="H371" s="9">
        <v>1</v>
      </c>
      <c r="I371" s="9">
        <v>7</v>
      </c>
      <c r="K371" s="9" t="s">
        <v>377</v>
      </c>
      <c r="M371" s="9" t="s">
        <v>974</v>
      </c>
      <c r="N371" s="9" t="s">
        <v>993</v>
      </c>
      <c r="O371" s="9">
        <v>1</v>
      </c>
      <c r="P371" s="9">
        <v>15</v>
      </c>
      <c r="Q371" s="9" t="s">
        <v>795</v>
      </c>
      <c r="U371" s="9" t="s">
        <v>736</v>
      </c>
      <c r="X371" s="9">
        <f ca="1">IFERROR(OFFSET(ITEM_RES!$A$5,MATCH(BUILDING!W371,ITEM_RES!$J$5:$J$226,0)-1,0),0)</f>
        <v>0</v>
      </c>
      <c r="Z371" s="85" t="s">
        <v>558</v>
      </c>
      <c r="AA371" s="9">
        <f ca="1">IFERROR(OFFSET(ITEM_RES!$A$5,MATCH(BUILDING!Z371,ITEM_RES!$J$5:$J$226,0)-1,0),0)</f>
        <v>211020201</v>
      </c>
      <c r="AC371" s="9" t="s">
        <v>536</v>
      </c>
      <c r="AD371" s="9">
        <v>7</v>
      </c>
      <c r="AF371" s="9">
        <v>4000</v>
      </c>
      <c r="AI371" s="56">
        <f t="shared" ca="1" si="116"/>
        <v>215</v>
      </c>
      <c r="AJ371" s="10">
        <f ca="1">AO371+AQ371+(IFERROR(OFFSET(ITEM_RES!$T$1,MATCH(AU371,ITEM_RES!$A:$A,0)-1,0),0)*AW371+IFERROR(OFFSET(ITEM_RES!$T$1,MATCH(AZ371,ITEM_RES!$A:$A,0)-1,0),0)*BB371+IFERROR(OFFSET(ITEM_RES!$T$1,MATCH(BE371,ITEM_RES!$A:$A,0)-1,0),0)*BG371+IFERROR(OFFSET(ITEM_RES!$T$1,MATCH(BJ371,ITEM_RES!$A:$A,0)-1,0),0)*BL371+IFERROR(OFFSET(ITEM_RES!$T$1,MATCH(BO371,ITEM_RES!$A:$A,0)-1,0),0)*BQ371)/1000</f>
        <v>215</v>
      </c>
      <c r="AK371" s="183">
        <f t="shared" ca="1" si="119"/>
        <v>322.5</v>
      </c>
      <c r="AM371" s="11">
        <f t="shared" si="118"/>
        <v>35</v>
      </c>
      <c r="AN371" s="10">
        <v>35</v>
      </c>
      <c r="AO371" s="11">
        <f t="shared" si="114"/>
        <v>100</v>
      </c>
      <c r="AP371" s="10">
        <v>100</v>
      </c>
      <c r="AQ371" s="11">
        <f t="shared" si="114"/>
        <v>100</v>
      </c>
      <c r="AR371" s="10">
        <v>100</v>
      </c>
      <c r="AS371" s="56">
        <f t="shared" si="120"/>
        <v>2</v>
      </c>
      <c r="AU371" s="11">
        <f ca="1">IFERROR(OFFSET(ITEM_RES!$A$1,MATCH(AV371,ITEM_RES!$J:$J,0)-1,0),0)</f>
        <v>211010501</v>
      </c>
      <c r="AV371" s="10" t="s">
        <v>434</v>
      </c>
      <c r="AW371" s="11">
        <v>500</v>
      </c>
      <c r="AZ371" s="11">
        <f ca="1">IFERROR(OFFSET(ITEM_RES!$A$1,MATCH(BA371,ITEM_RES!$J:$J,0)-1,0),0)</f>
        <v>211020101</v>
      </c>
      <c r="BA371" s="10" t="s">
        <v>457</v>
      </c>
      <c r="BB371" s="11">
        <v>500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  <c r="BO371" s="11">
        <f ca="1">IFERROR(OFFSET(ITEM_RES!$A$1,MATCH(BP371,ITEM_RES!$J:$J,0)-1,0),0)</f>
        <v>0</v>
      </c>
    </row>
    <row r="372" spans="1:67" x14ac:dyDescent="0.3">
      <c r="A372" s="14">
        <f t="shared" si="111"/>
        <v>111090008</v>
      </c>
      <c r="B372" s="13">
        <v>11</v>
      </c>
      <c r="C372" s="12">
        <f t="shared" si="112"/>
        <v>1</v>
      </c>
      <c r="D372" s="13">
        <v>9</v>
      </c>
      <c r="E372" s="13">
        <v>0</v>
      </c>
      <c r="F372" s="12">
        <f t="shared" si="113"/>
        <v>8</v>
      </c>
      <c r="H372" s="9">
        <v>1</v>
      </c>
      <c r="I372" s="9">
        <v>8</v>
      </c>
      <c r="K372" s="9" t="s">
        <v>377</v>
      </c>
      <c r="M372" s="9" t="s">
        <v>974</v>
      </c>
      <c r="N372" s="9" t="s">
        <v>993</v>
      </c>
      <c r="O372" s="9">
        <v>1</v>
      </c>
      <c r="P372" s="9">
        <v>15</v>
      </c>
      <c r="Q372" s="9" t="s">
        <v>795</v>
      </c>
      <c r="U372" s="9" t="s">
        <v>736</v>
      </c>
      <c r="X372" s="9">
        <f ca="1">IFERROR(OFFSET(ITEM_RES!$A$5,MATCH(BUILDING!W372,ITEM_RES!$J$5:$J$226,0)-1,0),0)</f>
        <v>0</v>
      </c>
      <c r="Z372" s="85" t="s">
        <v>558</v>
      </c>
      <c r="AA372" s="9">
        <f ca="1">IFERROR(OFFSET(ITEM_RES!$A$5,MATCH(BUILDING!Z372,ITEM_RES!$J$5:$J$226,0)-1,0),0)</f>
        <v>211020201</v>
      </c>
      <c r="AC372" s="9" t="s">
        <v>536</v>
      </c>
      <c r="AD372" s="9">
        <v>8</v>
      </c>
      <c r="AF372" s="9">
        <v>4000</v>
      </c>
      <c r="AI372" s="56">
        <f t="shared" ca="1" si="116"/>
        <v>215</v>
      </c>
      <c r="AJ372" s="10">
        <f ca="1">AO372+AQ372+(IFERROR(OFFSET(ITEM_RES!$T$1,MATCH(AU372,ITEM_RES!$A:$A,0)-1,0),0)*AW372+IFERROR(OFFSET(ITEM_RES!$T$1,MATCH(AZ372,ITEM_RES!$A:$A,0)-1,0),0)*BB372+IFERROR(OFFSET(ITEM_RES!$T$1,MATCH(BE372,ITEM_RES!$A:$A,0)-1,0),0)*BG372+IFERROR(OFFSET(ITEM_RES!$T$1,MATCH(BJ372,ITEM_RES!$A:$A,0)-1,0),0)*BL372+IFERROR(OFFSET(ITEM_RES!$T$1,MATCH(BO372,ITEM_RES!$A:$A,0)-1,0),0)*BQ372)/1000</f>
        <v>215</v>
      </c>
      <c r="AK372" s="183">
        <f t="shared" ca="1" si="119"/>
        <v>430</v>
      </c>
      <c r="AM372" s="11">
        <f t="shared" si="118"/>
        <v>40</v>
      </c>
      <c r="AN372" s="10">
        <v>40</v>
      </c>
      <c r="AO372" s="11">
        <f t="shared" si="114"/>
        <v>100</v>
      </c>
      <c r="AP372" s="10">
        <v>100</v>
      </c>
      <c r="AQ372" s="11">
        <f t="shared" si="114"/>
        <v>100</v>
      </c>
      <c r="AR372" s="10">
        <v>100</v>
      </c>
      <c r="AS372" s="56">
        <f t="shared" si="120"/>
        <v>2</v>
      </c>
      <c r="AU372" s="11">
        <f ca="1">IFERROR(OFFSET(ITEM_RES!$A$1,MATCH(AV372,ITEM_RES!$J:$J,0)-1,0),0)</f>
        <v>211010501</v>
      </c>
      <c r="AV372" s="10" t="s">
        <v>434</v>
      </c>
      <c r="AW372" s="11">
        <v>500</v>
      </c>
      <c r="AZ372" s="11">
        <f ca="1">IFERROR(OFFSET(ITEM_RES!$A$1,MATCH(BA372,ITEM_RES!$J:$J,0)-1,0),0)</f>
        <v>211020101</v>
      </c>
      <c r="BA372" s="10" t="s">
        <v>457</v>
      </c>
      <c r="BB372" s="11">
        <v>500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11"/>
        <v>111090009</v>
      </c>
      <c r="B373" s="13">
        <v>11</v>
      </c>
      <c r="C373" s="12">
        <f t="shared" si="112"/>
        <v>1</v>
      </c>
      <c r="D373" s="13">
        <v>9</v>
      </c>
      <c r="E373" s="13">
        <v>0</v>
      </c>
      <c r="F373" s="12">
        <f t="shared" si="113"/>
        <v>9</v>
      </c>
      <c r="H373" s="9">
        <v>1</v>
      </c>
      <c r="I373" s="9">
        <v>9</v>
      </c>
      <c r="K373" s="9" t="s">
        <v>377</v>
      </c>
      <c r="M373" s="9" t="s">
        <v>974</v>
      </c>
      <c r="N373" s="9" t="s">
        <v>993</v>
      </c>
      <c r="O373" s="9">
        <v>1</v>
      </c>
      <c r="P373" s="9">
        <v>15</v>
      </c>
      <c r="Q373" s="9" t="s">
        <v>795</v>
      </c>
      <c r="U373" s="9" t="s">
        <v>736</v>
      </c>
      <c r="X373" s="9">
        <f ca="1">IFERROR(OFFSET(ITEM_RES!$A$5,MATCH(BUILDING!W373,ITEM_RES!$J$5:$J$226,0)-1,0),0)</f>
        <v>0</v>
      </c>
      <c r="Z373" s="85" t="s">
        <v>558</v>
      </c>
      <c r="AA373" s="9">
        <f ca="1">IFERROR(OFFSET(ITEM_RES!$A$5,MATCH(BUILDING!Z373,ITEM_RES!$J$5:$J$226,0)-1,0),0)</f>
        <v>211020201</v>
      </c>
      <c r="AC373" s="9" t="s">
        <v>536</v>
      </c>
      <c r="AD373" s="9">
        <v>9</v>
      </c>
      <c r="AF373" s="9">
        <v>6000</v>
      </c>
      <c r="AI373" s="56">
        <f t="shared" ca="1" si="116"/>
        <v>323</v>
      </c>
      <c r="AJ373" s="10">
        <f ca="1">AO373+AQ373+(IFERROR(OFFSET(ITEM_RES!$T$1,MATCH(AU373,ITEM_RES!$A:$A,0)-1,0),0)*AW373+IFERROR(OFFSET(ITEM_RES!$T$1,MATCH(AZ373,ITEM_RES!$A:$A,0)-1,0),0)*BB373+IFERROR(OFFSET(ITEM_RES!$T$1,MATCH(BE373,ITEM_RES!$A:$A,0)-1,0),0)*BG373+IFERROR(OFFSET(ITEM_RES!$T$1,MATCH(BJ373,ITEM_RES!$A:$A,0)-1,0),0)*BL373+IFERROR(OFFSET(ITEM_RES!$T$1,MATCH(BO373,ITEM_RES!$A:$A,0)-1,0),0)*BQ373)/1000</f>
        <v>322.5</v>
      </c>
      <c r="AK373" s="183">
        <f t="shared" ca="1" si="119"/>
        <v>537.5</v>
      </c>
      <c r="AM373" s="11">
        <f t="shared" si="118"/>
        <v>45</v>
      </c>
      <c r="AN373" s="10">
        <v>45</v>
      </c>
      <c r="AO373" s="11">
        <f t="shared" si="114"/>
        <v>150</v>
      </c>
      <c r="AP373" s="10">
        <v>150</v>
      </c>
      <c r="AQ373" s="11">
        <f t="shared" si="114"/>
        <v>150</v>
      </c>
      <c r="AR373" s="10">
        <v>150</v>
      </c>
      <c r="AS373" s="56">
        <f t="shared" si="120"/>
        <v>2</v>
      </c>
      <c r="AU373" s="11">
        <f ca="1">IFERROR(OFFSET(ITEM_RES!$A$1,MATCH(AV373,ITEM_RES!$J:$J,0)-1,0),0)</f>
        <v>211010501</v>
      </c>
      <c r="AV373" s="10" t="s">
        <v>434</v>
      </c>
      <c r="AW373" s="11">
        <v>750</v>
      </c>
      <c r="AZ373" s="11">
        <f ca="1">IFERROR(OFFSET(ITEM_RES!$A$1,MATCH(BA373,ITEM_RES!$J:$J,0)-1,0),0)</f>
        <v>211020101</v>
      </c>
      <c r="BA373" s="10" t="s">
        <v>457</v>
      </c>
      <c r="BB373" s="11">
        <v>750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11"/>
        <v>111090010</v>
      </c>
      <c r="B374" s="13">
        <v>11</v>
      </c>
      <c r="C374" s="12">
        <f t="shared" si="112"/>
        <v>1</v>
      </c>
      <c r="D374" s="13">
        <v>9</v>
      </c>
      <c r="E374" s="13">
        <v>0</v>
      </c>
      <c r="F374" s="12">
        <f t="shared" si="113"/>
        <v>10</v>
      </c>
      <c r="H374" s="9">
        <v>1</v>
      </c>
      <c r="I374" s="9">
        <v>10</v>
      </c>
      <c r="K374" s="9" t="s">
        <v>377</v>
      </c>
      <c r="M374" s="9" t="s">
        <v>974</v>
      </c>
      <c r="N374" s="9" t="s">
        <v>993</v>
      </c>
      <c r="O374" s="9">
        <v>1</v>
      </c>
      <c r="P374" s="9">
        <v>15</v>
      </c>
      <c r="Q374" s="9" t="s">
        <v>795</v>
      </c>
      <c r="U374" s="9" t="s">
        <v>736</v>
      </c>
      <c r="X374" s="9">
        <f ca="1">IFERROR(OFFSET(ITEM_RES!$A$5,MATCH(BUILDING!W374,ITEM_RES!$J$5:$J$226,0)-1,0),0)</f>
        <v>0</v>
      </c>
      <c r="Z374" s="85" t="s">
        <v>558</v>
      </c>
      <c r="AA374" s="9">
        <f ca="1">IFERROR(OFFSET(ITEM_RES!$A$5,MATCH(BUILDING!Z374,ITEM_RES!$J$5:$J$226,0)-1,0),0)</f>
        <v>211020201</v>
      </c>
      <c r="AC374" s="9" t="s">
        <v>536</v>
      </c>
      <c r="AD374" s="9">
        <v>10</v>
      </c>
      <c r="AF374" s="9">
        <v>8000</v>
      </c>
      <c r="AI374" s="56">
        <f t="shared" ca="1" si="116"/>
        <v>430</v>
      </c>
      <c r="AJ374" s="10">
        <f ca="1">AO374+AQ374+(IFERROR(OFFSET(ITEM_RES!$T$1,MATCH(AU374,ITEM_RES!$A:$A,0)-1,0),0)*AW374+IFERROR(OFFSET(ITEM_RES!$T$1,MATCH(AZ374,ITEM_RES!$A:$A,0)-1,0),0)*BB374+IFERROR(OFFSET(ITEM_RES!$T$1,MATCH(BE374,ITEM_RES!$A:$A,0)-1,0),0)*BG374+IFERROR(OFFSET(ITEM_RES!$T$1,MATCH(BJ374,ITEM_RES!$A:$A,0)-1,0),0)*BL374+IFERROR(OFFSET(ITEM_RES!$T$1,MATCH(BO374,ITEM_RES!$A:$A,0)-1,0),0)*BQ374)/1000</f>
        <v>430</v>
      </c>
      <c r="AK374" s="183">
        <f t="shared" ca="1" si="119"/>
        <v>752.5</v>
      </c>
      <c r="AM374" s="11">
        <f t="shared" si="118"/>
        <v>50</v>
      </c>
      <c r="AN374" s="10">
        <v>50</v>
      </c>
      <c r="AO374" s="11">
        <f t="shared" si="114"/>
        <v>200</v>
      </c>
      <c r="AP374" s="10">
        <v>200</v>
      </c>
      <c r="AQ374" s="11">
        <f t="shared" si="114"/>
        <v>200</v>
      </c>
      <c r="AR374" s="10">
        <v>200</v>
      </c>
      <c r="AS374" s="56">
        <f t="shared" si="120"/>
        <v>2</v>
      </c>
      <c r="AU374" s="11">
        <f ca="1">IFERROR(OFFSET(ITEM_RES!$A$1,MATCH(AV374,ITEM_RES!$J:$J,0)-1,0),0)</f>
        <v>211010501</v>
      </c>
      <c r="AV374" s="10" t="s">
        <v>434</v>
      </c>
      <c r="AW374" s="11">
        <v>1000</v>
      </c>
      <c r="AZ374" s="11">
        <f ca="1">IFERROR(OFFSET(ITEM_RES!$A$1,MATCH(BA374,ITEM_RES!$J:$J,0)-1,0),0)</f>
        <v>211020101</v>
      </c>
      <c r="BA374" s="10" t="s">
        <v>457</v>
      </c>
      <c r="BB374" s="11">
        <v>1000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11"/>
        <v>111090011</v>
      </c>
      <c r="B375" s="13">
        <v>11</v>
      </c>
      <c r="C375" s="12">
        <f t="shared" si="112"/>
        <v>1</v>
      </c>
      <c r="D375" s="13">
        <v>9</v>
      </c>
      <c r="E375" s="13">
        <v>0</v>
      </c>
      <c r="F375" s="12">
        <f t="shared" si="113"/>
        <v>11</v>
      </c>
      <c r="H375" s="9">
        <v>1</v>
      </c>
      <c r="I375" s="9">
        <v>11</v>
      </c>
      <c r="K375" s="9" t="s">
        <v>377</v>
      </c>
      <c r="M375" s="9" t="s">
        <v>974</v>
      </c>
      <c r="N375" s="9" t="s">
        <v>993</v>
      </c>
      <c r="O375" s="9">
        <v>1</v>
      </c>
      <c r="P375" s="9">
        <v>15</v>
      </c>
      <c r="Q375" s="9" t="s">
        <v>795</v>
      </c>
      <c r="U375" s="9" t="s">
        <v>736</v>
      </c>
      <c r="X375" s="9">
        <f ca="1">IFERROR(OFFSET(ITEM_RES!$A$5,MATCH(BUILDING!W375,ITEM_RES!$J$5:$J$226,0)-1,0),0)</f>
        <v>0</v>
      </c>
      <c r="Z375" s="85" t="s">
        <v>558</v>
      </c>
      <c r="AA375" s="9">
        <f ca="1">IFERROR(OFFSET(ITEM_RES!$A$5,MATCH(BUILDING!Z375,ITEM_RES!$J$5:$J$226,0)-1,0),0)</f>
        <v>211020201</v>
      </c>
      <c r="AC375" s="9" t="s">
        <v>536</v>
      </c>
      <c r="AD375" s="9">
        <v>11</v>
      </c>
      <c r="AF375" s="9">
        <v>10000</v>
      </c>
      <c r="AI375" s="56">
        <f t="shared" ca="1" si="116"/>
        <v>538</v>
      </c>
      <c r="AJ375" s="10">
        <f ca="1">AO375+AQ375+(IFERROR(OFFSET(ITEM_RES!$T$1,MATCH(AU375,ITEM_RES!$A:$A,0)-1,0),0)*AW375+IFERROR(OFFSET(ITEM_RES!$T$1,MATCH(AZ375,ITEM_RES!$A:$A,0)-1,0),0)*BB375+IFERROR(OFFSET(ITEM_RES!$T$1,MATCH(BE375,ITEM_RES!$A:$A,0)-1,0),0)*BG375+IFERROR(OFFSET(ITEM_RES!$T$1,MATCH(BJ375,ITEM_RES!$A:$A,0)-1,0),0)*BL375+IFERROR(OFFSET(ITEM_RES!$T$1,MATCH(BO375,ITEM_RES!$A:$A,0)-1,0),0)*BQ375)/1000</f>
        <v>537.5</v>
      </c>
      <c r="AK375" s="183">
        <f t="shared" ca="1" si="119"/>
        <v>967.5</v>
      </c>
      <c r="AM375" s="11">
        <f t="shared" si="118"/>
        <v>55</v>
      </c>
      <c r="AN375" s="10">
        <v>55</v>
      </c>
      <c r="AO375" s="11">
        <f t="shared" si="114"/>
        <v>250</v>
      </c>
      <c r="AP375" s="10">
        <v>250</v>
      </c>
      <c r="AQ375" s="11">
        <f t="shared" si="114"/>
        <v>250</v>
      </c>
      <c r="AR375" s="10">
        <v>250</v>
      </c>
      <c r="AS375" s="56">
        <f t="shared" si="120"/>
        <v>2</v>
      </c>
      <c r="AU375" s="11">
        <f ca="1">IFERROR(OFFSET(ITEM_RES!$A$1,MATCH(AV375,ITEM_RES!$J:$J,0)-1,0),0)</f>
        <v>211010501</v>
      </c>
      <c r="AV375" s="10" t="s">
        <v>434</v>
      </c>
      <c r="AW375" s="11">
        <v>1250</v>
      </c>
      <c r="AZ375" s="11">
        <f ca="1">IFERROR(OFFSET(ITEM_RES!$A$1,MATCH(BA375,ITEM_RES!$J:$J,0)-1,0),0)</f>
        <v>211020101</v>
      </c>
      <c r="BA375" s="10" t="s">
        <v>457</v>
      </c>
      <c r="BB375" s="11">
        <v>1250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11"/>
        <v>111090012</v>
      </c>
      <c r="B376" s="13">
        <v>11</v>
      </c>
      <c r="C376" s="12">
        <f t="shared" si="112"/>
        <v>1</v>
      </c>
      <c r="D376" s="13">
        <v>9</v>
      </c>
      <c r="E376" s="13">
        <v>0</v>
      </c>
      <c r="F376" s="12">
        <f t="shared" si="113"/>
        <v>12</v>
      </c>
      <c r="H376" s="9">
        <v>1</v>
      </c>
      <c r="I376" s="9">
        <v>12</v>
      </c>
      <c r="K376" s="9" t="s">
        <v>377</v>
      </c>
      <c r="M376" s="9" t="s">
        <v>974</v>
      </c>
      <c r="N376" s="9" t="s">
        <v>993</v>
      </c>
      <c r="O376" s="9">
        <v>1</v>
      </c>
      <c r="P376" s="9">
        <v>15</v>
      </c>
      <c r="Q376" s="9" t="s">
        <v>795</v>
      </c>
      <c r="U376" s="9" t="s">
        <v>736</v>
      </c>
      <c r="X376" s="9">
        <f ca="1">IFERROR(OFFSET(ITEM_RES!$A$5,MATCH(BUILDING!W376,ITEM_RES!$J$5:$J$226,0)-1,0),0)</f>
        <v>0</v>
      </c>
      <c r="Z376" s="85" t="s">
        <v>558</v>
      </c>
      <c r="AA376" s="9">
        <f ca="1">IFERROR(OFFSET(ITEM_RES!$A$5,MATCH(BUILDING!Z376,ITEM_RES!$J$5:$J$226,0)-1,0),0)</f>
        <v>211020201</v>
      </c>
      <c r="AC376" s="9" t="s">
        <v>536</v>
      </c>
      <c r="AD376" s="9">
        <v>12</v>
      </c>
      <c r="AF376" s="9">
        <v>12000</v>
      </c>
      <c r="AI376" s="56">
        <f t="shared" ca="1" si="116"/>
        <v>645</v>
      </c>
      <c r="AJ376" s="10">
        <f ca="1">AO376+AQ376+(IFERROR(OFFSET(ITEM_RES!$T$1,MATCH(AU376,ITEM_RES!$A:$A,0)-1,0),0)*AW376+IFERROR(OFFSET(ITEM_RES!$T$1,MATCH(AZ376,ITEM_RES!$A:$A,0)-1,0),0)*BB376+IFERROR(OFFSET(ITEM_RES!$T$1,MATCH(BE376,ITEM_RES!$A:$A,0)-1,0),0)*BG376+IFERROR(OFFSET(ITEM_RES!$T$1,MATCH(BJ376,ITEM_RES!$A:$A,0)-1,0),0)*BL376+IFERROR(OFFSET(ITEM_RES!$T$1,MATCH(BO376,ITEM_RES!$A:$A,0)-1,0),0)*BQ376)/1000</f>
        <v>645</v>
      </c>
      <c r="AK376" s="183">
        <f t="shared" ca="1" si="119"/>
        <v>1182.5</v>
      </c>
      <c r="AM376" s="11">
        <f t="shared" si="118"/>
        <v>60</v>
      </c>
      <c r="AN376" s="10">
        <v>60</v>
      </c>
      <c r="AO376" s="11">
        <f t="shared" si="114"/>
        <v>300</v>
      </c>
      <c r="AP376" s="10">
        <v>300</v>
      </c>
      <c r="AQ376" s="11">
        <f t="shared" si="114"/>
        <v>300</v>
      </c>
      <c r="AR376" s="10">
        <v>300</v>
      </c>
      <c r="AS376" s="56">
        <f t="shared" si="120"/>
        <v>2</v>
      </c>
      <c r="AU376" s="11">
        <f ca="1">IFERROR(OFFSET(ITEM_RES!$A$1,MATCH(AV376,ITEM_RES!$J:$J,0)-1,0),0)</f>
        <v>211010501</v>
      </c>
      <c r="AV376" s="10" t="s">
        <v>434</v>
      </c>
      <c r="AW376" s="11">
        <v>1500</v>
      </c>
      <c r="AZ376" s="11">
        <f ca="1">IFERROR(OFFSET(ITEM_RES!$A$1,MATCH(BA376,ITEM_RES!$J:$J,0)-1,0),0)</f>
        <v>211020101</v>
      </c>
      <c r="BA376" s="10" t="s">
        <v>457</v>
      </c>
      <c r="BB376" s="11">
        <v>1500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11"/>
        <v>111090013</v>
      </c>
      <c r="B377" s="13">
        <v>11</v>
      </c>
      <c r="C377" s="12">
        <f t="shared" si="112"/>
        <v>1</v>
      </c>
      <c r="D377" s="13">
        <v>9</v>
      </c>
      <c r="E377" s="13">
        <v>0</v>
      </c>
      <c r="F377" s="12">
        <f t="shared" si="113"/>
        <v>13</v>
      </c>
      <c r="H377" s="9">
        <v>1</v>
      </c>
      <c r="I377" s="9">
        <v>13</v>
      </c>
      <c r="K377" s="9" t="s">
        <v>377</v>
      </c>
      <c r="M377" s="9" t="s">
        <v>974</v>
      </c>
      <c r="N377" s="9" t="s">
        <v>993</v>
      </c>
      <c r="O377" s="9">
        <v>1</v>
      </c>
      <c r="P377" s="9">
        <v>15</v>
      </c>
      <c r="Q377" s="9" t="s">
        <v>795</v>
      </c>
      <c r="U377" s="9" t="s">
        <v>736</v>
      </c>
      <c r="X377" s="9">
        <f ca="1">IFERROR(OFFSET(ITEM_RES!$A$5,MATCH(BUILDING!W377,ITEM_RES!$J$5:$J$226,0)-1,0),0)</f>
        <v>0</v>
      </c>
      <c r="Z377" s="85" t="s">
        <v>558</v>
      </c>
      <c r="AA377" s="9">
        <f ca="1">IFERROR(OFFSET(ITEM_RES!$A$5,MATCH(BUILDING!Z377,ITEM_RES!$J$5:$J$226,0)-1,0),0)</f>
        <v>211020201</v>
      </c>
      <c r="AC377" s="9" t="s">
        <v>536</v>
      </c>
      <c r="AD377" s="9">
        <v>13</v>
      </c>
      <c r="AF377" s="9">
        <v>14000</v>
      </c>
      <c r="AI377" s="56">
        <f t="shared" ca="1" si="116"/>
        <v>753</v>
      </c>
      <c r="AJ377" s="10">
        <f ca="1">AO377+AQ377+(IFERROR(OFFSET(ITEM_RES!$T$1,MATCH(AU377,ITEM_RES!$A:$A,0)-1,0),0)*AW377+IFERROR(OFFSET(ITEM_RES!$T$1,MATCH(AZ377,ITEM_RES!$A:$A,0)-1,0),0)*BB377+IFERROR(OFFSET(ITEM_RES!$T$1,MATCH(BE377,ITEM_RES!$A:$A,0)-1,0),0)*BG377+IFERROR(OFFSET(ITEM_RES!$T$1,MATCH(BJ377,ITEM_RES!$A:$A,0)-1,0),0)*BL377+IFERROR(OFFSET(ITEM_RES!$T$1,MATCH(BO377,ITEM_RES!$A:$A,0)-1,0),0)*BQ377)/1000</f>
        <v>752.5</v>
      </c>
      <c r="AK377" s="183">
        <f t="shared" ca="1" si="119"/>
        <v>1397.5</v>
      </c>
      <c r="AM377" s="11">
        <f t="shared" si="118"/>
        <v>65</v>
      </c>
      <c r="AN377" s="10">
        <v>65</v>
      </c>
      <c r="AO377" s="11">
        <f t="shared" si="114"/>
        <v>350</v>
      </c>
      <c r="AP377" s="10">
        <v>350</v>
      </c>
      <c r="AQ377" s="11">
        <f t="shared" si="114"/>
        <v>350</v>
      </c>
      <c r="AR377" s="10">
        <v>350</v>
      </c>
      <c r="AS377" s="56">
        <f t="shared" si="120"/>
        <v>2</v>
      </c>
      <c r="AU377" s="11">
        <f ca="1">IFERROR(OFFSET(ITEM_RES!$A$1,MATCH(AV377,ITEM_RES!$J:$J,0)-1,0),0)</f>
        <v>211010501</v>
      </c>
      <c r="AV377" s="10" t="s">
        <v>434</v>
      </c>
      <c r="AW377" s="11">
        <v>1750</v>
      </c>
      <c r="AZ377" s="11">
        <f ca="1">IFERROR(OFFSET(ITEM_RES!$A$1,MATCH(BA377,ITEM_RES!$J:$J,0)-1,0),0)</f>
        <v>211020101</v>
      </c>
      <c r="BA377" s="10" t="s">
        <v>457</v>
      </c>
      <c r="BB377" s="11">
        <v>1750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11"/>
        <v>111090014</v>
      </c>
      <c r="B378" s="13">
        <v>11</v>
      </c>
      <c r="C378" s="12">
        <f t="shared" si="112"/>
        <v>1</v>
      </c>
      <c r="D378" s="13">
        <v>9</v>
      </c>
      <c r="E378" s="13">
        <v>0</v>
      </c>
      <c r="F378" s="12">
        <f t="shared" si="113"/>
        <v>14</v>
      </c>
      <c r="H378" s="9">
        <v>1</v>
      </c>
      <c r="I378" s="9">
        <v>14</v>
      </c>
      <c r="K378" s="9" t="s">
        <v>377</v>
      </c>
      <c r="M378" s="9" t="s">
        <v>974</v>
      </c>
      <c r="N378" s="9" t="s">
        <v>993</v>
      </c>
      <c r="O378" s="9">
        <v>1</v>
      </c>
      <c r="P378" s="9">
        <v>15</v>
      </c>
      <c r="Q378" s="9" t="s">
        <v>795</v>
      </c>
      <c r="U378" s="9" t="s">
        <v>736</v>
      </c>
      <c r="X378" s="9">
        <f ca="1">IFERROR(OFFSET(ITEM_RES!$A$5,MATCH(BUILDING!W378,ITEM_RES!$J$5:$J$226,0)-1,0),0)</f>
        <v>0</v>
      </c>
      <c r="Z378" s="85" t="s">
        <v>558</v>
      </c>
      <c r="AA378" s="9">
        <f ca="1">IFERROR(OFFSET(ITEM_RES!$A$5,MATCH(BUILDING!Z378,ITEM_RES!$J$5:$J$226,0)-1,0),0)</f>
        <v>211020201</v>
      </c>
      <c r="AC378" s="9" t="s">
        <v>536</v>
      </c>
      <c r="AD378" s="9">
        <v>14</v>
      </c>
      <c r="AF378" s="9">
        <v>18000</v>
      </c>
      <c r="AI378" s="56">
        <f t="shared" ca="1" si="116"/>
        <v>968</v>
      </c>
      <c r="AJ378" s="10">
        <f ca="1">AO378+AQ378+(IFERROR(OFFSET(ITEM_RES!$T$1,MATCH(AU378,ITEM_RES!$A:$A,0)-1,0),0)*AW378+IFERROR(OFFSET(ITEM_RES!$T$1,MATCH(AZ378,ITEM_RES!$A:$A,0)-1,0),0)*BB378+IFERROR(OFFSET(ITEM_RES!$T$1,MATCH(BE378,ITEM_RES!$A:$A,0)-1,0),0)*BG378+IFERROR(OFFSET(ITEM_RES!$T$1,MATCH(BJ378,ITEM_RES!$A:$A,0)-1,0),0)*BL378+IFERROR(OFFSET(ITEM_RES!$T$1,MATCH(BO378,ITEM_RES!$A:$A,0)-1,0),0)*BQ378)/1000</f>
        <v>967.5</v>
      </c>
      <c r="AK378" s="183">
        <f t="shared" ca="1" si="119"/>
        <v>1720</v>
      </c>
      <c r="AM378" s="11">
        <f t="shared" si="118"/>
        <v>70</v>
      </c>
      <c r="AN378" s="10">
        <v>70</v>
      </c>
      <c r="AO378" s="11">
        <f t="shared" si="114"/>
        <v>450</v>
      </c>
      <c r="AP378" s="10">
        <v>450</v>
      </c>
      <c r="AQ378" s="11">
        <f t="shared" si="114"/>
        <v>450</v>
      </c>
      <c r="AR378" s="10">
        <v>450</v>
      </c>
      <c r="AS378" s="56">
        <f t="shared" si="120"/>
        <v>2</v>
      </c>
      <c r="AU378" s="11">
        <f ca="1">IFERROR(OFFSET(ITEM_RES!$A$1,MATCH(AV378,ITEM_RES!$J:$J,0)-1,0),0)</f>
        <v>211010501</v>
      </c>
      <c r="AV378" s="10" t="s">
        <v>434</v>
      </c>
      <c r="AW378" s="11">
        <v>2250</v>
      </c>
      <c r="AZ378" s="11">
        <f ca="1">IFERROR(OFFSET(ITEM_RES!$A$1,MATCH(BA378,ITEM_RES!$J:$J,0)-1,0),0)</f>
        <v>211020101</v>
      </c>
      <c r="BA378" s="10" t="s">
        <v>457</v>
      </c>
      <c r="BB378" s="11">
        <v>2250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11"/>
        <v>111090015</v>
      </c>
      <c r="B379" s="13">
        <v>11</v>
      </c>
      <c r="C379" s="12">
        <f t="shared" si="112"/>
        <v>1</v>
      </c>
      <c r="D379" s="13">
        <v>9</v>
      </c>
      <c r="E379" s="13">
        <v>0</v>
      </c>
      <c r="F379" s="12">
        <f t="shared" si="113"/>
        <v>15</v>
      </c>
      <c r="H379" s="9">
        <v>1</v>
      </c>
      <c r="I379" s="9">
        <v>15</v>
      </c>
      <c r="K379" s="9" t="s">
        <v>377</v>
      </c>
      <c r="M379" s="9" t="s">
        <v>974</v>
      </c>
      <c r="N379" s="9" t="s">
        <v>993</v>
      </c>
      <c r="O379" s="9">
        <v>1</v>
      </c>
      <c r="P379" s="9">
        <v>15</v>
      </c>
      <c r="Q379" s="9" t="s">
        <v>795</v>
      </c>
      <c r="U379" s="9" t="s">
        <v>736</v>
      </c>
      <c r="X379" s="9">
        <f ca="1">IFERROR(OFFSET(ITEM_RES!$A$5,MATCH(BUILDING!W379,ITEM_RES!$J$5:$J$226,0)-1,0),0)</f>
        <v>0</v>
      </c>
      <c r="Z379" s="85" t="s">
        <v>558</v>
      </c>
      <c r="AA379" s="9">
        <f ca="1">IFERROR(OFFSET(ITEM_RES!$A$5,MATCH(BUILDING!Z379,ITEM_RES!$J$5:$J$226,0)-1,0),0)</f>
        <v>211020201</v>
      </c>
      <c r="AC379" s="9" t="s">
        <v>536</v>
      </c>
      <c r="AD379" s="9">
        <v>15</v>
      </c>
      <c r="AF379" s="9">
        <v>22000</v>
      </c>
      <c r="AI379" s="56">
        <f t="shared" ca="1" si="116"/>
        <v>1210</v>
      </c>
      <c r="AJ379" s="10">
        <f ca="1">AO379+AQ379+(IFERROR(OFFSET(ITEM_RES!$T$1,MATCH(AU379,ITEM_RES!$A:$A,0)-1,0),0)*AW379+IFERROR(OFFSET(ITEM_RES!$T$1,MATCH(AZ379,ITEM_RES!$A:$A,0)-1,0),0)*BB379+IFERROR(OFFSET(ITEM_RES!$T$1,MATCH(BE379,ITEM_RES!$A:$A,0)-1,0),0)*BG379+IFERROR(OFFSET(ITEM_RES!$T$1,MATCH(BJ379,ITEM_RES!$A:$A,0)-1,0),0)*BL379+IFERROR(OFFSET(ITEM_RES!$T$1,MATCH(BO379,ITEM_RES!$A:$A,0)-1,0),0)*BQ379)/1000</f>
        <v>1210</v>
      </c>
      <c r="AK379" s="183">
        <f t="shared" ca="1" si="119"/>
        <v>2177.5</v>
      </c>
      <c r="AM379" s="11">
        <f t="shared" si="118"/>
        <v>75</v>
      </c>
      <c r="AN379" s="10">
        <v>75</v>
      </c>
      <c r="AO379" s="11">
        <f t="shared" si="114"/>
        <v>550</v>
      </c>
      <c r="AP379" s="10">
        <v>550</v>
      </c>
      <c r="AQ379" s="11">
        <f t="shared" si="114"/>
        <v>550</v>
      </c>
      <c r="AR379" s="10">
        <v>550</v>
      </c>
      <c r="AS379" s="56">
        <f t="shared" si="120"/>
        <v>2</v>
      </c>
      <c r="AU379" s="11">
        <f ca="1">IFERROR(OFFSET(ITEM_RES!$A$1,MATCH(AV379,ITEM_RES!$J:$J,0)-1,0),0)</f>
        <v>211010601</v>
      </c>
      <c r="AV379" s="10" t="s">
        <v>450</v>
      </c>
      <c r="AW379" s="11">
        <v>2750</v>
      </c>
      <c r="AZ379" s="11">
        <f ca="1">IFERROR(OFFSET(ITEM_RES!$A$1,MATCH(BA379,ITEM_RES!$J:$J,0)-1,0),0)</f>
        <v>211020101</v>
      </c>
      <c r="BA379" s="10" t="s">
        <v>457</v>
      </c>
      <c r="BB379" s="11">
        <v>2750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11"/>
        <v>111090016</v>
      </c>
      <c r="B380" s="13">
        <v>11</v>
      </c>
      <c r="C380" s="12">
        <f t="shared" si="112"/>
        <v>1</v>
      </c>
      <c r="D380" s="13">
        <v>9</v>
      </c>
      <c r="E380" s="13">
        <v>0</v>
      </c>
      <c r="F380" s="12">
        <f t="shared" si="113"/>
        <v>16</v>
      </c>
      <c r="H380" s="9">
        <v>1</v>
      </c>
      <c r="I380" s="9">
        <v>16</v>
      </c>
      <c r="K380" s="9" t="s">
        <v>377</v>
      </c>
      <c r="M380" s="9" t="s">
        <v>974</v>
      </c>
      <c r="N380" s="9" t="s">
        <v>993</v>
      </c>
      <c r="O380" s="9">
        <v>0</v>
      </c>
      <c r="P380" s="9">
        <v>15</v>
      </c>
      <c r="Q380" s="9" t="s">
        <v>795</v>
      </c>
      <c r="U380" s="9" t="s">
        <v>736</v>
      </c>
      <c r="X380" s="9">
        <f ca="1">IFERROR(OFFSET(ITEM_RES!$A$5,MATCH(BUILDING!W380,ITEM_RES!$J$5:$J$226,0)-1,0),0)</f>
        <v>0</v>
      </c>
      <c r="Z380" s="85" t="s">
        <v>558</v>
      </c>
      <c r="AA380" s="9">
        <f ca="1">IFERROR(OFFSET(ITEM_RES!$A$5,MATCH(BUILDING!Z380,ITEM_RES!$J$5:$J$226,0)-1,0),0)</f>
        <v>211020201</v>
      </c>
      <c r="AC380" s="9" t="s">
        <v>536</v>
      </c>
      <c r="AD380" s="9">
        <v>16</v>
      </c>
      <c r="AF380" s="9">
        <v>28000</v>
      </c>
      <c r="AI380" s="56">
        <f t="shared" ca="1" si="116"/>
        <v>1540</v>
      </c>
      <c r="AJ380" s="10">
        <f ca="1">AO380+AQ380+(IFERROR(OFFSET(ITEM_RES!$T$1,MATCH(AU380,ITEM_RES!$A:$A,0)-1,0),0)*AW380+IFERROR(OFFSET(ITEM_RES!$T$1,MATCH(AZ380,ITEM_RES!$A:$A,0)-1,0),0)*BB380+IFERROR(OFFSET(ITEM_RES!$T$1,MATCH(BE380,ITEM_RES!$A:$A,0)-1,0),0)*BG380+IFERROR(OFFSET(ITEM_RES!$T$1,MATCH(BJ380,ITEM_RES!$A:$A,0)-1,0),0)*BL380+IFERROR(OFFSET(ITEM_RES!$T$1,MATCH(BO380,ITEM_RES!$A:$A,0)-1,0),0)*BQ380)/1000</f>
        <v>1540</v>
      </c>
      <c r="AK380" s="183">
        <f t="shared" ca="1" si="119"/>
        <v>2750</v>
      </c>
      <c r="AM380" s="11">
        <f t="shared" si="118"/>
        <v>80</v>
      </c>
      <c r="AN380" s="10">
        <v>80</v>
      </c>
      <c r="AO380" s="11">
        <f t="shared" si="114"/>
        <v>700</v>
      </c>
      <c r="AP380" s="10">
        <v>700</v>
      </c>
      <c r="AQ380" s="11">
        <f t="shared" si="114"/>
        <v>700</v>
      </c>
      <c r="AR380" s="10">
        <v>700</v>
      </c>
      <c r="AS380" s="56">
        <f t="shared" si="120"/>
        <v>2</v>
      </c>
      <c r="AU380" s="11">
        <f ca="1">IFERROR(OFFSET(ITEM_RES!$A$1,MATCH(AV380,ITEM_RES!$J:$J,0)-1,0),0)</f>
        <v>211010601</v>
      </c>
      <c r="AV380" s="10" t="s">
        <v>450</v>
      </c>
      <c r="AW380" s="11">
        <v>3500</v>
      </c>
      <c r="AZ380" s="11">
        <f ca="1">IFERROR(OFFSET(ITEM_RES!$A$1,MATCH(BA380,ITEM_RES!$J:$J,0)-1,0),0)</f>
        <v>211020101</v>
      </c>
      <c r="BA380" s="10" t="s">
        <v>457</v>
      </c>
      <c r="BB380" s="11">
        <v>3500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11"/>
        <v>111090017</v>
      </c>
      <c r="B381" s="13">
        <v>11</v>
      </c>
      <c r="C381" s="12">
        <f t="shared" si="112"/>
        <v>1</v>
      </c>
      <c r="D381" s="13">
        <v>9</v>
      </c>
      <c r="E381" s="13">
        <v>0</v>
      </c>
      <c r="F381" s="12">
        <f t="shared" si="113"/>
        <v>17</v>
      </c>
      <c r="H381" s="9">
        <v>1</v>
      </c>
      <c r="I381" s="9">
        <v>17</v>
      </c>
      <c r="K381" s="9" t="s">
        <v>377</v>
      </c>
      <c r="M381" s="9" t="s">
        <v>974</v>
      </c>
      <c r="N381" s="9" t="s">
        <v>993</v>
      </c>
      <c r="O381" s="9">
        <v>0</v>
      </c>
      <c r="P381" s="9">
        <v>15</v>
      </c>
      <c r="Q381" s="9" t="s">
        <v>795</v>
      </c>
      <c r="U381" s="9" t="s">
        <v>736</v>
      </c>
      <c r="X381" s="9">
        <f ca="1">IFERROR(OFFSET(ITEM_RES!$A$5,MATCH(BUILDING!W381,ITEM_RES!$J$5:$J$226,0)-1,0),0)</f>
        <v>0</v>
      </c>
      <c r="Z381" s="85" t="s">
        <v>558</v>
      </c>
      <c r="AA381" s="9">
        <f ca="1">IFERROR(OFFSET(ITEM_RES!$A$5,MATCH(BUILDING!Z381,ITEM_RES!$J$5:$J$226,0)-1,0),0)</f>
        <v>211020201</v>
      </c>
      <c r="AC381" s="9" t="s">
        <v>536</v>
      </c>
      <c r="AD381" s="9">
        <v>17</v>
      </c>
      <c r="AF381" s="9">
        <v>34000</v>
      </c>
      <c r="AI381" s="56">
        <f t="shared" ca="1" si="116"/>
        <v>1870</v>
      </c>
      <c r="AJ381" s="10">
        <f ca="1">AO381+AQ381+(IFERROR(OFFSET(ITEM_RES!$T$1,MATCH(AU381,ITEM_RES!$A:$A,0)-1,0),0)*AW381+IFERROR(OFFSET(ITEM_RES!$T$1,MATCH(AZ381,ITEM_RES!$A:$A,0)-1,0),0)*BB381+IFERROR(OFFSET(ITEM_RES!$T$1,MATCH(BE381,ITEM_RES!$A:$A,0)-1,0),0)*BG381+IFERROR(OFFSET(ITEM_RES!$T$1,MATCH(BJ381,ITEM_RES!$A:$A,0)-1,0),0)*BL381+IFERROR(OFFSET(ITEM_RES!$T$1,MATCH(BO381,ITEM_RES!$A:$A,0)-1,0),0)*BQ381)/1000</f>
        <v>1870</v>
      </c>
      <c r="AK381" s="183">
        <f t="shared" ca="1" si="119"/>
        <v>3410</v>
      </c>
      <c r="AM381" s="11">
        <f t="shared" si="118"/>
        <v>85</v>
      </c>
      <c r="AN381" s="10">
        <v>85</v>
      </c>
      <c r="AO381" s="11">
        <f t="shared" si="114"/>
        <v>850</v>
      </c>
      <c r="AP381" s="10">
        <v>850</v>
      </c>
      <c r="AQ381" s="11">
        <f t="shared" si="114"/>
        <v>850</v>
      </c>
      <c r="AR381" s="10">
        <v>850</v>
      </c>
      <c r="AS381" s="56">
        <f t="shared" si="120"/>
        <v>2</v>
      </c>
      <c r="AU381" s="11">
        <f ca="1">IFERROR(OFFSET(ITEM_RES!$A$1,MATCH(AV381,ITEM_RES!$J:$J,0)-1,0),0)</f>
        <v>211010601</v>
      </c>
      <c r="AV381" s="10" t="s">
        <v>450</v>
      </c>
      <c r="AW381" s="11">
        <v>4250</v>
      </c>
      <c r="AZ381" s="11">
        <f ca="1">IFERROR(OFFSET(ITEM_RES!$A$1,MATCH(BA381,ITEM_RES!$J:$J,0)-1,0),0)</f>
        <v>211020101</v>
      </c>
      <c r="BA381" s="10" t="s">
        <v>457</v>
      </c>
      <c r="BB381" s="11">
        <v>4250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11"/>
        <v>111090018</v>
      </c>
      <c r="B382" s="13">
        <v>11</v>
      </c>
      <c r="C382" s="12">
        <f t="shared" si="112"/>
        <v>1</v>
      </c>
      <c r="D382" s="13">
        <v>9</v>
      </c>
      <c r="E382" s="13">
        <v>0</v>
      </c>
      <c r="F382" s="12">
        <f t="shared" si="113"/>
        <v>18</v>
      </c>
      <c r="H382" s="9">
        <v>1</v>
      </c>
      <c r="I382" s="9">
        <v>18</v>
      </c>
      <c r="K382" s="9" t="s">
        <v>377</v>
      </c>
      <c r="M382" s="9" t="s">
        <v>974</v>
      </c>
      <c r="N382" s="9" t="s">
        <v>993</v>
      </c>
      <c r="O382" s="9">
        <v>0</v>
      </c>
      <c r="P382" s="9">
        <v>15</v>
      </c>
      <c r="Q382" s="9" t="s">
        <v>795</v>
      </c>
      <c r="U382" s="9" t="s">
        <v>736</v>
      </c>
      <c r="X382" s="9">
        <f ca="1">IFERROR(OFFSET(ITEM_RES!$A$5,MATCH(BUILDING!W382,ITEM_RES!$J$5:$J$226,0)-1,0),0)</f>
        <v>0</v>
      </c>
      <c r="Z382" s="85" t="s">
        <v>558</v>
      </c>
      <c r="AA382" s="9">
        <f ca="1">IFERROR(OFFSET(ITEM_RES!$A$5,MATCH(BUILDING!Z382,ITEM_RES!$J$5:$J$226,0)-1,0),0)</f>
        <v>211020201</v>
      </c>
      <c r="AC382" s="9" t="s">
        <v>536</v>
      </c>
      <c r="AD382" s="9">
        <v>18</v>
      </c>
      <c r="AF382" s="9">
        <v>42000</v>
      </c>
      <c r="AI382" s="56">
        <f t="shared" ca="1" si="116"/>
        <v>2310</v>
      </c>
      <c r="AJ382" s="10">
        <f ca="1">AO382+AQ382+(IFERROR(OFFSET(ITEM_RES!$T$1,MATCH(AU382,ITEM_RES!$A:$A,0)-1,0),0)*AW382+IFERROR(OFFSET(ITEM_RES!$T$1,MATCH(AZ382,ITEM_RES!$A:$A,0)-1,0),0)*BB382+IFERROR(OFFSET(ITEM_RES!$T$1,MATCH(BE382,ITEM_RES!$A:$A,0)-1,0),0)*BG382+IFERROR(OFFSET(ITEM_RES!$T$1,MATCH(BJ382,ITEM_RES!$A:$A,0)-1,0),0)*BL382+IFERROR(OFFSET(ITEM_RES!$T$1,MATCH(BO382,ITEM_RES!$A:$A,0)-1,0),0)*BQ382)/1000</f>
        <v>2310</v>
      </c>
      <c r="AK382" s="183">
        <f t="shared" ca="1" si="119"/>
        <v>4180</v>
      </c>
      <c r="AM382" s="11">
        <f t="shared" si="118"/>
        <v>90</v>
      </c>
      <c r="AN382" s="10">
        <v>90</v>
      </c>
      <c r="AO382" s="11">
        <f t="shared" si="114"/>
        <v>1050</v>
      </c>
      <c r="AP382" s="10">
        <v>1050</v>
      </c>
      <c r="AQ382" s="11">
        <f t="shared" si="114"/>
        <v>1050</v>
      </c>
      <c r="AR382" s="10">
        <v>1050</v>
      </c>
      <c r="AS382" s="56">
        <f t="shared" si="120"/>
        <v>2</v>
      </c>
      <c r="AU382" s="11">
        <f ca="1">IFERROR(OFFSET(ITEM_RES!$A$1,MATCH(AV382,ITEM_RES!$J:$J,0)-1,0),0)</f>
        <v>211010601</v>
      </c>
      <c r="AV382" s="10" t="s">
        <v>450</v>
      </c>
      <c r="AW382" s="11">
        <v>5250</v>
      </c>
      <c r="AZ382" s="11">
        <f ca="1">IFERROR(OFFSET(ITEM_RES!$A$1,MATCH(BA382,ITEM_RES!$J:$J,0)-1,0),0)</f>
        <v>211020101</v>
      </c>
      <c r="BA382" s="10" t="s">
        <v>457</v>
      </c>
      <c r="BB382" s="11">
        <v>5250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11"/>
        <v>111090019</v>
      </c>
      <c r="B383" s="13">
        <v>11</v>
      </c>
      <c r="C383" s="12">
        <f t="shared" si="112"/>
        <v>1</v>
      </c>
      <c r="D383" s="13">
        <v>9</v>
      </c>
      <c r="E383" s="13">
        <v>0</v>
      </c>
      <c r="F383" s="12">
        <f t="shared" si="113"/>
        <v>19</v>
      </c>
      <c r="H383" s="9">
        <v>1</v>
      </c>
      <c r="I383" s="9">
        <v>19</v>
      </c>
      <c r="K383" s="9" t="s">
        <v>377</v>
      </c>
      <c r="M383" s="9" t="s">
        <v>974</v>
      </c>
      <c r="N383" s="9" t="s">
        <v>993</v>
      </c>
      <c r="O383" s="9">
        <v>0</v>
      </c>
      <c r="P383" s="9">
        <v>15</v>
      </c>
      <c r="Q383" s="9" t="s">
        <v>795</v>
      </c>
      <c r="U383" s="9" t="s">
        <v>736</v>
      </c>
      <c r="X383" s="9">
        <f ca="1">IFERROR(OFFSET(ITEM_RES!$A$5,MATCH(BUILDING!W383,ITEM_RES!$J$5:$J$226,0)-1,0),0)</f>
        <v>0</v>
      </c>
      <c r="Z383" s="85" t="s">
        <v>558</v>
      </c>
      <c r="AA383" s="9">
        <f ca="1">IFERROR(OFFSET(ITEM_RES!$A$5,MATCH(BUILDING!Z383,ITEM_RES!$J$5:$J$226,0)-1,0),0)</f>
        <v>211020201</v>
      </c>
      <c r="AC383" s="9" t="s">
        <v>536</v>
      </c>
      <c r="AD383" s="9">
        <v>19</v>
      </c>
      <c r="AF383" s="9">
        <v>50000</v>
      </c>
      <c r="AI383" s="56">
        <f t="shared" ca="1" si="116"/>
        <v>2750</v>
      </c>
      <c r="AJ383" s="10">
        <f ca="1">AO383+AQ383+(IFERROR(OFFSET(ITEM_RES!$T$1,MATCH(AU383,ITEM_RES!$A:$A,0)-1,0),0)*AW383+IFERROR(OFFSET(ITEM_RES!$T$1,MATCH(AZ383,ITEM_RES!$A:$A,0)-1,0),0)*BB383+IFERROR(OFFSET(ITEM_RES!$T$1,MATCH(BE383,ITEM_RES!$A:$A,0)-1,0),0)*BG383+IFERROR(OFFSET(ITEM_RES!$T$1,MATCH(BJ383,ITEM_RES!$A:$A,0)-1,0),0)*BL383+IFERROR(OFFSET(ITEM_RES!$T$1,MATCH(BO383,ITEM_RES!$A:$A,0)-1,0),0)*BQ383)/1000</f>
        <v>2750</v>
      </c>
      <c r="AK383" s="183">
        <f t="shared" ca="1" si="119"/>
        <v>5060</v>
      </c>
      <c r="AM383" s="11">
        <f t="shared" si="118"/>
        <v>95</v>
      </c>
      <c r="AN383" s="10">
        <v>95</v>
      </c>
      <c r="AO383" s="11">
        <f t="shared" si="114"/>
        <v>1250</v>
      </c>
      <c r="AP383" s="10">
        <v>1250</v>
      </c>
      <c r="AQ383" s="11">
        <f t="shared" si="114"/>
        <v>1250</v>
      </c>
      <c r="AR383" s="10">
        <v>1250</v>
      </c>
      <c r="AS383" s="56">
        <f t="shared" si="120"/>
        <v>2</v>
      </c>
      <c r="AU383" s="11">
        <f ca="1">IFERROR(OFFSET(ITEM_RES!$A$1,MATCH(AV383,ITEM_RES!$J:$J,0)-1,0),0)</f>
        <v>211010601</v>
      </c>
      <c r="AV383" s="10" t="s">
        <v>450</v>
      </c>
      <c r="AW383" s="11">
        <v>6250</v>
      </c>
      <c r="AZ383" s="11">
        <f ca="1">IFERROR(OFFSET(ITEM_RES!$A$1,MATCH(BA383,ITEM_RES!$J:$J,0)-1,0),0)</f>
        <v>211020101</v>
      </c>
      <c r="BA383" s="10" t="s">
        <v>457</v>
      </c>
      <c r="BB383" s="11">
        <v>6250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11"/>
        <v>111090020</v>
      </c>
      <c r="B384" s="13">
        <v>11</v>
      </c>
      <c r="C384" s="12">
        <f t="shared" si="112"/>
        <v>1</v>
      </c>
      <c r="D384" s="13">
        <v>9</v>
      </c>
      <c r="E384" s="13">
        <v>0</v>
      </c>
      <c r="F384" s="12">
        <f t="shared" si="113"/>
        <v>20</v>
      </c>
      <c r="H384" s="9">
        <v>1</v>
      </c>
      <c r="I384" s="9">
        <v>20</v>
      </c>
      <c r="K384" s="9" t="s">
        <v>377</v>
      </c>
      <c r="M384" s="9" t="s">
        <v>974</v>
      </c>
      <c r="N384" s="9" t="s">
        <v>993</v>
      </c>
      <c r="O384" s="9">
        <v>0</v>
      </c>
      <c r="P384" s="9">
        <v>15</v>
      </c>
      <c r="Q384" s="9" t="s">
        <v>795</v>
      </c>
      <c r="U384" s="9" t="s">
        <v>736</v>
      </c>
      <c r="X384" s="9">
        <f ca="1">IFERROR(OFFSET(ITEM_RES!$A$5,MATCH(BUILDING!W384,ITEM_RES!$J$5:$J$226,0)-1,0),0)</f>
        <v>0</v>
      </c>
      <c r="Z384" s="85" t="s">
        <v>558</v>
      </c>
      <c r="AA384" s="9">
        <f ca="1">IFERROR(OFFSET(ITEM_RES!$A$5,MATCH(BUILDING!Z384,ITEM_RES!$J$5:$J$226,0)-1,0),0)</f>
        <v>211020201</v>
      </c>
      <c r="AC384" s="9" t="s">
        <v>536</v>
      </c>
      <c r="AD384" s="9">
        <v>20</v>
      </c>
      <c r="AF384" s="9">
        <v>60000</v>
      </c>
      <c r="AI384" s="56">
        <f t="shared" ca="1" si="116"/>
        <v>3300</v>
      </c>
      <c r="AJ384" s="10">
        <f ca="1">AO384+AQ384+(IFERROR(OFFSET(ITEM_RES!$T$1,MATCH(AU384,ITEM_RES!$A:$A,0)-1,0),0)*AW384+IFERROR(OFFSET(ITEM_RES!$T$1,MATCH(AZ384,ITEM_RES!$A:$A,0)-1,0),0)*BB384+IFERROR(OFFSET(ITEM_RES!$T$1,MATCH(BE384,ITEM_RES!$A:$A,0)-1,0),0)*BG384+IFERROR(OFFSET(ITEM_RES!$T$1,MATCH(BJ384,ITEM_RES!$A:$A,0)-1,0),0)*BL384+IFERROR(OFFSET(ITEM_RES!$T$1,MATCH(BO384,ITEM_RES!$A:$A,0)-1,0),0)*BQ384)/1000</f>
        <v>3300</v>
      </c>
      <c r="AK384" s="183">
        <f t="shared" ca="1" si="119"/>
        <v>6050</v>
      </c>
      <c r="AM384" s="11">
        <f t="shared" si="118"/>
        <v>100</v>
      </c>
      <c r="AN384" s="10">
        <v>100</v>
      </c>
      <c r="AO384" s="11">
        <f t="shared" si="114"/>
        <v>1500</v>
      </c>
      <c r="AP384" s="10">
        <v>1500</v>
      </c>
      <c r="AQ384" s="11">
        <f t="shared" si="114"/>
        <v>1500</v>
      </c>
      <c r="AR384" s="10">
        <v>1500</v>
      </c>
      <c r="AS384" s="56">
        <f t="shared" si="120"/>
        <v>2</v>
      </c>
      <c r="AU384" s="11">
        <f ca="1">IFERROR(OFFSET(ITEM_RES!$A$1,MATCH(AV384,ITEM_RES!$J:$J,0)-1,0),0)</f>
        <v>211010601</v>
      </c>
      <c r="AV384" s="10" t="s">
        <v>450</v>
      </c>
      <c r="AW384" s="11">
        <v>7500</v>
      </c>
      <c r="AZ384" s="11">
        <f ca="1">IFERROR(OFFSET(ITEM_RES!$A$1,MATCH(BA384,ITEM_RES!$J:$J,0)-1,0),0)</f>
        <v>211020101</v>
      </c>
      <c r="BA384" s="10" t="s">
        <v>457</v>
      </c>
      <c r="BB384" s="11">
        <v>7500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ref="A385:A428" si="121">B385*10000000+C385*1000000+D385*10000+E385*100+F385</f>
        <v>112060001</v>
      </c>
      <c r="B385" s="20">
        <v>11</v>
      </c>
      <c r="C385" s="19">
        <f t="shared" ref="C385:C428" si="122">H385</f>
        <v>2</v>
      </c>
      <c r="D385" s="20">
        <v>6</v>
      </c>
      <c r="E385" s="20">
        <v>0</v>
      </c>
      <c r="F385" s="19">
        <f t="shared" ref="F385:F428" si="123">I385</f>
        <v>1</v>
      </c>
      <c r="G385" s="79"/>
      <c r="H385" s="16">
        <v>2</v>
      </c>
      <c r="I385" s="16">
        <v>1</v>
      </c>
      <c r="J385" s="79"/>
      <c r="K385" s="16" t="s">
        <v>429</v>
      </c>
      <c r="L385" s="16">
        <v>8</v>
      </c>
      <c r="M385" s="16" t="s">
        <v>975</v>
      </c>
      <c r="N385" s="16" t="s">
        <v>994</v>
      </c>
      <c r="O385" s="16">
        <v>1</v>
      </c>
      <c r="P385" s="16">
        <v>15</v>
      </c>
      <c r="Q385" s="16"/>
      <c r="R385" s="17"/>
      <c r="S385" s="17"/>
      <c r="T385" s="18"/>
      <c r="U385" s="16" t="s">
        <v>735</v>
      </c>
      <c r="V385" s="79"/>
      <c r="W385" s="87" t="s">
        <v>564</v>
      </c>
      <c r="X385" s="16">
        <f ca="1">IFERROR(OFFSET(ITEM_RES!$A$5,MATCH(BUILDING!W385,ITEM_RES!$J$5:$J$226,0)-1,0),0)</f>
        <v>211020401</v>
      </c>
      <c r="Y385" s="18">
        <v>1</v>
      </c>
      <c r="Z385" s="87" t="s">
        <v>559</v>
      </c>
      <c r="AA385" s="16">
        <f ca="1">IFERROR(OFFSET(ITEM_RES!$A$5,MATCH(BUILDING!Z385,ITEM_RES!$J$5:$J$226,0)-1,0),0)</f>
        <v>211020501</v>
      </c>
      <c r="AB385" s="79"/>
      <c r="AC385" s="16" t="s">
        <v>537</v>
      </c>
      <c r="AD385" s="16">
        <v>1</v>
      </c>
      <c r="AE385" s="79"/>
      <c r="AF385" s="16">
        <v>0</v>
      </c>
      <c r="AG385" s="17"/>
      <c r="AH385" s="79"/>
      <c r="AI385" s="57">
        <f t="shared" ca="1" si="116"/>
        <v>113</v>
      </c>
      <c r="AJ385" s="17">
        <f ca="1">AO385+AQ385+(IFERROR(OFFSET(ITEM_RES!$T$1,MATCH(AU385,ITEM_RES!$A:$A,0)-1,0),0)*AW385+IFERROR(OFFSET(ITEM_RES!$T$1,MATCH(AZ385,ITEM_RES!$A:$A,0)-1,0),0)*BB385+IFERROR(OFFSET(ITEM_RES!$T$1,MATCH(BE385,ITEM_RES!$A:$A,0)-1,0),0)*BG385+IFERROR(OFFSET(ITEM_RES!$T$1,MATCH(BJ385,ITEM_RES!$A:$A,0)-1,0),0)*BL385+IFERROR(OFFSET(ITEM_RES!$T$1,MATCH(BO385,ITEM_RES!$A:$A,0)-1,0),0)*BQ385)/1000</f>
        <v>112.75</v>
      </c>
      <c r="AK385" s="185">
        <f ca="1">AJ385</f>
        <v>112.75</v>
      </c>
      <c r="AL385" s="79"/>
      <c r="AM385" s="18">
        <f t="shared" si="118"/>
        <v>5</v>
      </c>
      <c r="AN385" s="17">
        <v>5</v>
      </c>
      <c r="AO385" s="18">
        <f t="shared" ref="AO385:AQ429" si="124">ROUND(AP385,0)</f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20"/>
        <v>3</v>
      </c>
      <c r="AT385" s="18"/>
      <c r="AU385" s="18">
        <f ca="1">IFERROR(OFFSET(ITEM_RES!$A$1,MATCH(AV385,ITEM_RES!$J:$J,0)-1,0),0)</f>
        <v>211020401</v>
      </c>
      <c r="AV385" s="17" t="s">
        <v>443</v>
      </c>
      <c r="AW385" s="18">
        <v>25</v>
      </c>
      <c r="AX385" s="17"/>
      <c r="AY385" s="18"/>
      <c r="AZ385" s="18">
        <f ca="1">IFERROR(OFFSET(ITEM_RES!$A$1,MATCH(BA385,ITEM_RES!$J:$J,0)-1,0),0)</f>
        <v>211020801</v>
      </c>
      <c r="BA385" s="17" t="s">
        <v>444</v>
      </c>
      <c r="BB385" s="18">
        <v>25</v>
      </c>
      <c r="BC385" s="17"/>
      <c r="BD385" s="18"/>
      <c r="BE385" s="18">
        <f ca="1">IFERROR(OFFSET(ITEM_RES!$A$1,MATCH(BF385,ITEM_RES!$J:$J,0)-1,0),0)</f>
        <v>213010101</v>
      </c>
      <c r="BF385" s="17" t="s">
        <v>463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112060002</v>
      </c>
      <c r="B386" s="13">
        <v>11</v>
      </c>
      <c r="C386" s="12">
        <f t="shared" si="122"/>
        <v>2</v>
      </c>
      <c r="D386" s="13">
        <v>6</v>
      </c>
      <c r="E386" s="13">
        <v>0</v>
      </c>
      <c r="F386" s="12">
        <f t="shared" si="123"/>
        <v>2</v>
      </c>
      <c r="H386" s="9">
        <v>2</v>
      </c>
      <c r="I386" s="9">
        <v>2</v>
      </c>
      <c r="K386" s="9" t="s">
        <v>429</v>
      </c>
      <c r="M386" s="9" t="s">
        <v>975</v>
      </c>
      <c r="N386" s="9" t="s">
        <v>994</v>
      </c>
      <c r="O386" s="9">
        <v>1</v>
      </c>
      <c r="P386" s="9">
        <v>15</v>
      </c>
      <c r="U386" s="9" t="s">
        <v>735</v>
      </c>
      <c r="W386" s="85" t="s">
        <v>564</v>
      </c>
      <c r="X386" s="9">
        <f ca="1">IFERROR(OFFSET(ITEM_RES!$A$5,MATCH(BUILDING!W386,ITEM_RES!$J$5:$J$226,0)-1,0),0)</f>
        <v>211020401</v>
      </c>
      <c r="Y386" s="11">
        <v>1</v>
      </c>
      <c r="Z386" s="85" t="s">
        <v>559</v>
      </c>
      <c r="AA386" s="9">
        <f ca="1">IFERROR(OFFSET(ITEM_RES!$A$5,MATCH(BUILDING!Z386,ITEM_RES!$J$5:$J$226,0)-1,0),0)</f>
        <v>211020501</v>
      </c>
      <c r="AC386" s="9" t="s">
        <v>537</v>
      </c>
      <c r="AD386" s="9">
        <v>2</v>
      </c>
      <c r="AF386" s="9">
        <v>200</v>
      </c>
      <c r="AI386" s="56">
        <f t="shared" ca="1" si="116"/>
        <v>26</v>
      </c>
      <c r="AJ386" s="10">
        <f ca="1">AO386+AQ386+(IFERROR(OFFSET(ITEM_RES!$T$1,MATCH(AU386,ITEM_RES!$A:$A,0)-1,0),0)*AW386+IFERROR(OFFSET(ITEM_RES!$T$1,MATCH(AZ386,ITEM_RES!$A:$A,0)-1,0),0)*BB386+IFERROR(OFFSET(ITEM_RES!$T$1,MATCH(BE386,ITEM_RES!$A:$A,0)-1,0),0)*BG386+IFERROR(OFFSET(ITEM_RES!$T$1,MATCH(BJ386,ITEM_RES!$A:$A,0)-1,0),0)*BL386+IFERROR(OFFSET(ITEM_RES!$T$1,MATCH(BO386,ITEM_RES!$A:$A,0)-1,0),0)*BQ386)/1000</f>
        <v>25.5</v>
      </c>
      <c r="AK386" s="183">
        <f t="shared" ref="AK386:AK404" ca="1" si="125">AJ385+AJ386</f>
        <v>138.25</v>
      </c>
      <c r="AM386" s="11">
        <f t="shared" si="11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si="120"/>
        <v>2</v>
      </c>
      <c r="AU386" s="11">
        <f ca="1">IFERROR(OFFSET(ITEM_RES!$A$1,MATCH(AV386,ITEM_RES!$J:$J,0)-1,0),0)</f>
        <v>211020401</v>
      </c>
      <c r="AV386" s="10" t="s">
        <v>443</v>
      </c>
      <c r="AW386" s="11">
        <v>50</v>
      </c>
      <c r="AZ386" s="11">
        <f ca="1">IFERROR(OFFSET(ITEM_RES!$A$1,MATCH(BA386,ITEM_RES!$J:$J,0)-1,0),0)</f>
        <v>211020801</v>
      </c>
      <c r="BA386" s="10" t="s">
        <v>444</v>
      </c>
      <c r="BB386" s="11">
        <v>50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112060003</v>
      </c>
      <c r="B387" s="13">
        <v>11</v>
      </c>
      <c r="C387" s="12">
        <f t="shared" si="122"/>
        <v>2</v>
      </c>
      <c r="D387" s="13">
        <v>6</v>
      </c>
      <c r="E387" s="13">
        <v>0</v>
      </c>
      <c r="F387" s="12">
        <f t="shared" si="123"/>
        <v>3</v>
      </c>
      <c r="H387" s="9">
        <v>2</v>
      </c>
      <c r="I387" s="9">
        <v>3</v>
      </c>
      <c r="K387" s="9" t="s">
        <v>429</v>
      </c>
      <c r="M387" s="9" t="s">
        <v>975</v>
      </c>
      <c r="N387" s="9" t="s">
        <v>994</v>
      </c>
      <c r="O387" s="9">
        <v>1</v>
      </c>
      <c r="P387" s="9">
        <v>15</v>
      </c>
      <c r="U387" s="9" t="s">
        <v>735</v>
      </c>
      <c r="W387" s="85" t="s">
        <v>564</v>
      </c>
      <c r="X387" s="9">
        <f ca="1">IFERROR(OFFSET(ITEM_RES!$A$5,MATCH(BUILDING!W387,ITEM_RES!$J$5:$J$226,0)-1,0),0)</f>
        <v>211020401</v>
      </c>
      <c r="Y387" s="11">
        <v>1</v>
      </c>
      <c r="Z387" s="85" t="s">
        <v>559</v>
      </c>
      <c r="AA387" s="9">
        <f ca="1">IFERROR(OFFSET(ITEM_RES!$A$5,MATCH(BUILDING!Z387,ITEM_RES!$J$5:$J$226,0)-1,0),0)</f>
        <v>211020501</v>
      </c>
      <c r="AC387" s="9" t="s">
        <v>537</v>
      </c>
      <c r="AD387" s="9">
        <v>3</v>
      </c>
      <c r="AF387" s="9">
        <v>600</v>
      </c>
      <c r="AI387" s="56">
        <f t="shared" ca="1" si="116"/>
        <v>38</v>
      </c>
      <c r="AJ387" s="10">
        <f ca="1">AO387+AQ387+(IFERROR(OFFSET(ITEM_RES!$T$1,MATCH(AU387,ITEM_RES!$A:$A,0)-1,0),0)*AW387+IFERROR(OFFSET(ITEM_RES!$T$1,MATCH(AZ387,ITEM_RES!$A:$A,0)-1,0),0)*BB387+IFERROR(OFFSET(ITEM_RES!$T$1,MATCH(BE387,ITEM_RES!$A:$A,0)-1,0),0)*BG387+IFERROR(OFFSET(ITEM_RES!$T$1,MATCH(BJ387,ITEM_RES!$A:$A,0)-1,0),0)*BL387+IFERROR(OFFSET(ITEM_RES!$T$1,MATCH(BO387,ITEM_RES!$A:$A,0)-1,0),0)*BQ387)/1000</f>
        <v>38.25</v>
      </c>
      <c r="AK387" s="183">
        <f t="shared" ca="1" si="125"/>
        <v>63.75</v>
      </c>
      <c r="AM387" s="11">
        <f t="shared" si="11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20"/>
        <v>2</v>
      </c>
      <c r="AU387" s="11">
        <f ca="1">IFERROR(OFFSET(ITEM_RES!$A$1,MATCH(AV387,ITEM_RES!$J:$J,0)-1,0),0)</f>
        <v>211020401</v>
      </c>
      <c r="AV387" s="10" t="s">
        <v>443</v>
      </c>
      <c r="AW387" s="11">
        <v>75</v>
      </c>
      <c r="AZ387" s="11">
        <f ca="1">IFERROR(OFFSET(ITEM_RES!$A$1,MATCH(BA387,ITEM_RES!$J:$J,0)-1,0),0)</f>
        <v>211020801</v>
      </c>
      <c r="BA387" s="10" t="s">
        <v>444</v>
      </c>
      <c r="BB387" s="11">
        <v>75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112060004</v>
      </c>
      <c r="B388" s="13">
        <v>11</v>
      </c>
      <c r="C388" s="12">
        <f t="shared" si="122"/>
        <v>2</v>
      </c>
      <c r="D388" s="13">
        <v>6</v>
      </c>
      <c r="E388" s="13">
        <v>0</v>
      </c>
      <c r="F388" s="12">
        <f t="shared" si="123"/>
        <v>4</v>
      </c>
      <c r="H388" s="9">
        <v>2</v>
      </c>
      <c r="I388" s="9">
        <v>4</v>
      </c>
      <c r="K388" s="9" t="s">
        <v>429</v>
      </c>
      <c r="M388" s="9" t="s">
        <v>975</v>
      </c>
      <c r="N388" s="9" t="s">
        <v>994</v>
      </c>
      <c r="O388" s="9">
        <v>1</v>
      </c>
      <c r="P388" s="9">
        <v>15</v>
      </c>
      <c r="U388" s="9" t="s">
        <v>735</v>
      </c>
      <c r="W388" s="85" t="s">
        <v>564</v>
      </c>
      <c r="X388" s="9">
        <f ca="1">IFERROR(OFFSET(ITEM_RES!$A$5,MATCH(BUILDING!W388,ITEM_RES!$J$5:$J$226,0)-1,0),0)</f>
        <v>211020401</v>
      </c>
      <c r="Y388" s="11">
        <v>1</v>
      </c>
      <c r="Z388" s="85" t="s">
        <v>559</v>
      </c>
      <c r="AA388" s="9">
        <f ca="1">IFERROR(OFFSET(ITEM_RES!$A$5,MATCH(BUILDING!Z388,ITEM_RES!$J$5:$J$226,0)-1,0),0)</f>
        <v>211020501</v>
      </c>
      <c r="AC388" s="9" t="s">
        <v>537</v>
      </c>
      <c r="AD388" s="9">
        <v>4</v>
      </c>
      <c r="AF388" s="9">
        <v>1000</v>
      </c>
      <c r="AI388" s="56">
        <f t="shared" ca="1" si="116"/>
        <v>64</v>
      </c>
      <c r="AJ388" s="10">
        <f ca="1">AO388+AQ388+(IFERROR(OFFSET(ITEM_RES!$T$1,MATCH(AU388,ITEM_RES!$A:$A,0)-1,0),0)*AW388+IFERROR(OFFSET(ITEM_RES!$T$1,MATCH(AZ388,ITEM_RES!$A:$A,0)-1,0),0)*BB388+IFERROR(OFFSET(ITEM_RES!$T$1,MATCH(BE388,ITEM_RES!$A:$A,0)-1,0),0)*BG388+IFERROR(OFFSET(ITEM_RES!$T$1,MATCH(BJ388,ITEM_RES!$A:$A,0)-1,0),0)*BL388+IFERROR(OFFSET(ITEM_RES!$T$1,MATCH(BO388,ITEM_RES!$A:$A,0)-1,0),0)*BQ388)/1000</f>
        <v>63.75</v>
      </c>
      <c r="AK388" s="183">
        <f t="shared" ca="1" si="125"/>
        <v>102</v>
      </c>
      <c r="AM388" s="11">
        <f t="shared" si="11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20"/>
        <v>2</v>
      </c>
      <c r="AU388" s="11">
        <f ca="1">IFERROR(OFFSET(ITEM_RES!$A$1,MATCH(AV388,ITEM_RES!$J:$J,0)-1,0),0)</f>
        <v>211020401</v>
      </c>
      <c r="AV388" s="10" t="s">
        <v>443</v>
      </c>
      <c r="AW388" s="11">
        <v>125</v>
      </c>
      <c r="AZ388" s="11">
        <f ca="1">IFERROR(OFFSET(ITEM_RES!$A$1,MATCH(BA388,ITEM_RES!$J:$J,0)-1,0),0)</f>
        <v>211020801</v>
      </c>
      <c r="BA388" s="10" t="s">
        <v>444</v>
      </c>
      <c r="BB388" s="11">
        <v>125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112060005</v>
      </c>
      <c r="B389" s="13">
        <v>11</v>
      </c>
      <c r="C389" s="12">
        <f t="shared" si="122"/>
        <v>2</v>
      </c>
      <c r="D389" s="13">
        <v>6</v>
      </c>
      <c r="E389" s="13">
        <v>0</v>
      </c>
      <c r="F389" s="12">
        <f t="shared" si="123"/>
        <v>5</v>
      </c>
      <c r="H389" s="9">
        <v>2</v>
      </c>
      <c r="I389" s="9">
        <v>5</v>
      </c>
      <c r="K389" s="9" t="s">
        <v>429</v>
      </c>
      <c r="M389" s="9" t="s">
        <v>975</v>
      </c>
      <c r="N389" s="9" t="s">
        <v>994</v>
      </c>
      <c r="O389" s="9">
        <v>1</v>
      </c>
      <c r="P389" s="9">
        <v>15</v>
      </c>
      <c r="U389" s="9" t="s">
        <v>735</v>
      </c>
      <c r="W389" s="85" t="s">
        <v>564</v>
      </c>
      <c r="X389" s="9">
        <f ca="1">IFERROR(OFFSET(ITEM_RES!$A$5,MATCH(BUILDING!W389,ITEM_RES!$J$5:$J$226,0)-1,0),0)</f>
        <v>211020401</v>
      </c>
      <c r="Y389" s="11">
        <v>1</v>
      </c>
      <c r="Z389" s="85" t="s">
        <v>559</v>
      </c>
      <c r="AA389" s="9">
        <f ca="1">IFERROR(OFFSET(ITEM_RES!$A$5,MATCH(BUILDING!Z389,ITEM_RES!$J$5:$J$226,0)-1,0),0)</f>
        <v>211020501</v>
      </c>
      <c r="AC389" s="9" t="s">
        <v>537</v>
      </c>
      <c r="AD389" s="9">
        <v>5</v>
      </c>
      <c r="AF389" s="9">
        <v>1600</v>
      </c>
      <c r="AI389" s="56">
        <f t="shared" ca="1" si="116"/>
        <v>102</v>
      </c>
      <c r="AJ389" s="10">
        <f ca="1">AO389+AQ389+(IFERROR(OFFSET(ITEM_RES!$T$1,MATCH(AU389,ITEM_RES!$A:$A,0)-1,0),0)*AW389+IFERROR(OFFSET(ITEM_RES!$T$1,MATCH(AZ389,ITEM_RES!$A:$A,0)-1,0),0)*BB389+IFERROR(OFFSET(ITEM_RES!$T$1,MATCH(BE389,ITEM_RES!$A:$A,0)-1,0),0)*BG389+IFERROR(OFFSET(ITEM_RES!$T$1,MATCH(BJ389,ITEM_RES!$A:$A,0)-1,0),0)*BL389+IFERROR(OFFSET(ITEM_RES!$T$1,MATCH(BO389,ITEM_RES!$A:$A,0)-1,0),0)*BQ389)/1000</f>
        <v>102</v>
      </c>
      <c r="AK389" s="183">
        <f t="shared" ca="1" si="125"/>
        <v>165.75</v>
      </c>
      <c r="AM389" s="11">
        <f t="shared" si="11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20"/>
        <v>2</v>
      </c>
      <c r="AU389" s="11">
        <f ca="1">IFERROR(OFFSET(ITEM_RES!$A$1,MATCH(AV389,ITEM_RES!$J:$J,0)-1,0),0)</f>
        <v>211020401</v>
      </c>
      <c r="AV389" s="10" t="s">
        <v>443</v>
      </c>
      <c r="AW389" s="11">
        <v>200</v>
      </c>
      <c r="AZ389" s="11">
        <f ca="1">IFERROR(OFFSET(ITEM_RES!$A$1,MATCH(BA389,ITEM_RES!$J:$J,0)-1,0),0)</f>
        <v>211020801</v>
      </c>
      <c r="BA389" s="10" t="s">
        <v>444</v>
      </c>
      <c r="BB389" s="11">
        <v>200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112060006</v>
      </c>
      <c r="B390" s="13">
        <v>11</v>
      </c>
      <c r="C390" s="12">
        <f t="shared" si="122"/>
        <v>2</v>
      </c>
      <c r="D390" s="13">
        <v>6</v>
      </c>
      <c r="E390" s="13">
        <v>0</v>
      </c>
      <c r="F390" s="12">
        <f t="shared" si="123"/>
        <v>6</v>
      </c>
      <c r="H390" s="9">
        <v>2</v>
      </c>
      <c r="I390" s="9">
        <v>6</v>
      </c>
      <c r="K390" s="9" t="s">
        <v>429</v>
      </c>
      <c r="M390" s="9" t="s">
        <v>975</v>
      </c>
      <c r="N390" s="9" t="s">
        <v>994</v>
      </c>
      <c r="O390" s="9">
        <v>1</v>
      </c>
      <c r="P390" s="9">
        <v>15</v>
      </c>
      <c r="U390" s="9" t="s">
        <v>735</v>
      </c>
      <c r="W390" s="85" t="s">
        <v>564</v>
      </c>
      <c r="X390" s="9">
        <f ca="1">IFERROR(OFFSET(ITEM_RES!$A$5,MATCH(BUILDING!W390,ITEM_RES!$J$5:$J$226,0)-1,0),0)</f>
        <v>211020401</v>
      </c>
      <c r="Y390" s="11">
        <v>1</v>
      </c>
      <c r="Z390" s="85" t="s">
        <v>559</v>
      </c>
      <c r="AA390" s="9">
        <f ca="1">IFERROR(OFFSET(ITEM_RES!$A$5,MATCH(BUILDING!Z390,ITEM_RES!$J$5:$J$226,0)-1,0),0)</f>
        <v>211020501</v>
      </c>
      <c r="AC390" s="9" t="s">
        <v>537</v>
      </c>
      <c r="AD390" s="9">
        <v>6</v>
      </c>
      <c r="AF390" s="9">
        <v>2000</v>
      </c>
      <c r="AI390" s="56">
        <f t="shared" ca="1" si="116"/>
        <v>628</v>
      </c>
      <c r="AJ390" s="10">
        <f ca="1">AO390+AQ390+(IFERROR(OFFSET(ITEM_RES!$T$1,MATCH(AU390,ITEM_RES!$A:$A,0)-1,0),0)*AW390+IFERROR(OFFSET(ITEM_RES!$T$1,MATCH(AZ390,ITEM_RES!$A:$A,0)-1,0),0)*BB390+IFERROR(OFFSET(ITEM_RES!$T$1,MATCH(BE390,ITEM_RES!$A:$A,0)-1,0),0)*BG390+IFERROR(OFFSET(ITEM_RES!$T$1,MATCH(BJ390,ITEM_RES!$A:$A,0)-1,0),0)*BL390+IFERROR(OFFSET(ITEM_RES!$T$1,MATCH(BO390,ITEM_RES!$A:$A,0)-1,0),0)*BQ390)/1000</f>
        <v>627.5</v>
      </c>
      <c r="AK390" s="183">
        <f t="shared" ca="1" si="125"/>
        <v>729.5</v>
      </c>
      <c r="AM390" s="11">
        <f t="shared" si="11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20"/>
        <v>3</v>
      </c>
      <c r="AU390" s="11">
        <f ca="1">IFERROR(OFFSET(ITEM_RES!$A$1,MATCH(AV390,ITEM_RES!$J:$J,0)-1,0),0)</f>
        <v>211020401</v>
      </c>
      <c r="AV390" s="10" t="s">
        <v>443</v>
      </c>
      <c r="AW390" s="11">
        <v>250</v>
      </c>
      <c r="AZ390" s="11">
        <f ca="1">IFERROR(OFFSET(ITEM_RES!$A$1,MATCH(BA390,ITEM_RES!$J:$J,0)-1,0),0)</f>
        <v>211020801</v>
      </c>
      <c r="BA390" s="10" t="s">
        <v>444</v>
      </c>
      <c r="BB390" s="11">
        <v>250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213011301</v>
      </c>
      <c r="BK390" s="10" t="s">
        <v>480</v>
      </c>
      <c r="BL390" s="11">
        <v>1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112060007</v>
      </c>
      <c r="B391" s="13">
        <v>11</v>
      </c>
      <c r="C391" s="12">
        <f t="shared" si="122"/>
        <v>2</v>
      </c>
      <c r="D391" s="13">
        <v>6</v>
      </c>
      <c r="E391" s="13">
        <v>0</v>
      </c>
      <c r="F391" s="12">
        <f t="shared" si="123"/>
        <v>7</v>
      </c>
      <c r="H391" s="9">
        <v>2</v>
      </c>
      <c r="I391" s="9">
        <v>7</v>
      </c>
      <c r="K391" s="9" t="s">
        <v>429</v>
      </c>
      <c r="M391" s="9" t="s">
        <v>975</v>
      </c>
      <c r="N391" s="9" t="s">
        <v>994</v>
      </c>
      <c r="O391" s="9">
        <v>1</v>
      </c>
      <c r="P391" s="9">
        <v>15</v>
      </c>
      <c r="U391" s="9" t="s">
        <v>735</v>
      </c>
      <c r="W391" s="85" t="s">
        <v>564</v>
      </c>
      <c r="X391" s="9">
        <f ca="1">IFERROR(OFFSET(ITEM_RES!$A$5,MATCH(BUILDING!W391,ITEM_RES!$J$5:$J$226,0)-1,0),0)</f>
        <v>211020401</v>
      </c>
      <c r="Y391" s="11">
        <v>1</v>
      </c>
      <c r="Z391" s="85" t="s">
        <v>559</v>
      </c>
      <c r="AA391" s="9">
        <f ca="1">IFERROR(OFFSET(ITEM_RES!$A$5,MATCH(BUILDING!Z391,ITEM_RES!$J$5:$J$226,0)-1,0),0)</f>
        <v>211020501</v>
      </c>
      <c r="AC391" s="9" t="s">
        <v>537</v>
      </c>
      <c r="AD391" s="9">
        <v>7</v>
      </c>
      <c r="AF391" s="9">
        <v>4000</v>
      </c>
      <c r="AI391" s="56">
        <f t="shared" ca="1" si="116"/>
        <v>255</v>
      </c>
      <c r="AJ391" s="10">
        <f ca="1">AO391+AQ391+(IFERROR(OFFSET(ITEM_RES!$T$1,MATCH(AU391,ITEM_RES!$A:$A,0)-1,0),0)*AW391+IFERROR(OFFSET(ITEM_RES!$T$1,MATCH(AZ391,ITEM_RES!$A:$A,0)-1,0),0)*BB391+IFERROR(OFFSET(ITEM_RES!$T$1,MATCH(BE391,ITEM_RES!$A:$A,0)-1,0),0)*BG391+IFERROR(OFFSET(ITEM_RES!$T$1,MATCH(BJ391,ITEM_RES!$A:$A,0)-1,0),0)*BL391+IFERROR(OFFSET(ITEM_RES!$T$1,MATCH(BO391,ITEM_RES!$A:$A,0)-1,0),0)*BQ391)/1000</f>
        <v>255</v>
      </c>
      <c r="AK391" s="183">
        <f t="shared" ca="1" si="125"/>
        <v>882.5</v>
      </c>
      <c r="AM391" s="11">
        <f t="shared" si="11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20"/>
        <v>2</v>
      </c>
      <c r="AU391" s="11">
        <f ca="1">IFERROR(OFFSET(ITEM_RES!$A$1,MATCH(AV391,ITEM_RES!$J:$J,0)-1,0),0)</f>
        <v>211020401</v>
      </c>
      <c r="AV391" s="10" t="s">
        <v>443</v>
      </c>
      <c r="AW391" s="11">
        <v>500</v>
      </c>
      <c r="AZ391" s="11">
        <f ca="1">IFERROR(OFFSET(ITEM_RES!$A$1,MATCH(BA391,ITEM_RES!$J:$J,0)-1,0),0)</f>
        <v>211020801</v>
      </c>
      <c r="BA391" s="10" t="s">
        <v>444</v>
      </c>
      <c r="BB391" s="11">
        <v>500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112060008</v>
      </c>
      <c r="B392" s="13">
        <v>11</v>
      </c>
      <c r="C392" s="12">
        <f t="shared" si="122"/>
        <v>2</v>
      </c>
      <c r="D392" s="13">
        <v>6</v>
      </c>
      <c r="E392" s="13">
        <v>0</v>
      </c>
      <c r="F392" s="12">
        <f t="shared" si="123"/>
        <v>8</v>
      </c>
      <c r="H392" s="9">
        <v>2</v>
      </c>
      <c r="I392" s="9">
        <v>8</v>
      </c>
      <c r="K392" s="9" t="s">
        <v>429</v>
      </c>
      <c r="M392" s="9" t="s">
        <v>975</v>
      </c>
      <c r="N392" s="9" t="s">
        <v>994</v>
      </c>
      <c r="O392" s="9">
        <v>1</v>
      </c>
      <c r="P392" s="9">
        <v>15</v>
      </c>
      <c r="U392" s="9" t="s">
        <v>735</v>
      </c>
      <c r="W392" s="85" t="s">
        <v>564</v>
      </c>
      <c r="X392" s="9">
        <f ca="1">IFERROR(OFFSET(ITEM_RES!$A$5,MATCH(BUILDING!W392,ITEM_RES!$J$5:$J$226,0)-1,0),0)</f>
        <v>211020401</v>
      </c>
      <c r="Y392" s="11">
        <v>1</v>
      </c>
      <c r="Z392" s="85" t="s">
        <v>559</v>
      </c>
      <c r="AA392" s="9">
        <f ca="1">IFERROR(OFFSET(ITEM_RES!$A$5,MATCH(BUILDING!Z392,ITEM_RES!$J$5:$J$226,0)-1,0),0)</f>
        <v>211020501</v>
      </c>
      <c r="AC392" s="9" t="s">
        <v>537</v>
      </c>
      <c r="AD392" s="9">
        <v>8</v>
      </c>
      <c r="AF392" s="9">
        <v>4000</v>
      </c>
      <c r="AI392" s="56">
        <f t="shared" ca="1" si="116"/>
        <v>255</v>
      </c>
      <c r="AJ392" s="10">
        <f ca="1">AO392+AQ392+(IFERROR(OFFSET(ITEM_RES!$T$1,MATCH(AU392,ITEM_RES!$A:$A,0)-1,0),0)*AW392+IFERROR(OFFSET(ITEM_RES!$T$1,MATCH(AZ392,ITEM_RES!$A:$A,0)-1,0),0)*BB392+IFERROR(OFFSET(ITEM_RES!$T$1,MATCH(BE392,ITEM_RES!$A:$A,0)-1,0),0)*BG392+IFERROR(OFFSET(ITEM_RES!$T$1,MATCH(BJ392,ITEM_RES!$A:$A,0)-1,0),0)*BL392+IFERROR(OFFSET(ITEM_RES!$T$1,MATCH(BO392,ITEM_RES!$A:$A,0)-1,0),0)*BQ392)/1000</f>
        <v>255</v>
      </c>
      <c r="AK392" s="183">
        <f t="shared" ca="1" si="125"/>
        <v>510</v>
      </c>
      <c r="AM392" s="11">
        <f t="shared" si="11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20"/>
        <v>2</v>
      </c>
      <c r="AU392" s="11">
        <f ca="1">IFERROR(OFFSET(ITEM_RES!$A$1,MATCH(AV392,ITEM_RES!$J:$J,0)-1,0),0)</f>
        <v>211020401</v>
      </c>
      <c r="AV392" s="10" t="s">
        <v>443</v>
      </c>
      <c r="AW392" s="11">
        <v>500</v>
      </c>
      <c r="AZ392" s="11">
        <f ca="1">IFERROR(OFFSET(ITEM_RES!$A$1,MATCH(BA392,ITEM_RES!$J:$J,0)-1,0),0)</f>
        <v>211020801</v>
      </c>
      <c r="BA392" s="10" t="s">
        <v>444</v>
      </c>
      <c r="BB392" s="11">
        <v>500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112060009</v>
      </c>
      <c r="B393" s="13">
        <v>11</v>
      </c>
      <c r="C393" s="12">
        <f t="shared" si="122"/>
        <v>2</v>
      </c>
      <c r="D393" s="13">
        <v>6</v>
      </c>
      <c r="E393" s="13">
        <v>0</v>
      </c>
      <c r="F393" s="12">
        <f t="shared" si="123"/>
        <v>9</v>
      </c>
      <c r="H393" s="9">
        <v>2</v>
      </c>
      <c r="I393" s="9">
        <v>9</v>
      </c>
      <c r="K393" s="9" t="s">
        <v>429</v>
      </c>
      <c r="M393" s="9" t="s">
        <v>975</v>
      </c>
      <c r="N393" s="9" t="s">
        <v>994</v>
      </c>
      <c r="O393" s="9">
        <v>1</v>
      </c>
      <c r="P393" s="9">
        <v>15</v>
      </c>
      <c r="U393" s="9" t="s">
        <v>735</v>
      </c>
      <c r="W393" s="85" t="s">
        <v>564</v>
      </c>
      <c r="X393" s="9">
        <f ca="1">IFERROR(OFFSET(ITEM_RES!$A$5,MATCH(BUILDING!W393,ITEM_RES!$J$5:$J$226,0)-1,0),0)</f>
        <v>211020401</v>
      </c>
      <c r="Y393" s="11">
        <v>1</v>
      </c>
      <c r="Z393" s="85" t="s">
        <v>559</v>
      </c>
      <c r="AA393" s="9">
        <f ca="1">IFERROR(OFFSET(ITEM_RES!$A$5,MATCH(BUILDING!Z393,ITEM_RES!$J$5:$J$226,0)-1,0),0)</f>
        <v>211020501</v>
      </c>
      <c r="AC393" s="9" t="s">
        <v>537</v>
      </c>
      <c r="AD393" s="9">
        <v>9</v>
      </c>
      <c r="AF393" s="9">
        <v>6000</v>
      </c>
      <c r="AI393" s="56">
        <f t="shared" ca="1" si="116"/>
        <v>383</v>
      </c>
      <c r="AJ393" s="10">
        <f ca="1">AO393+AQ393+(IFERROR(OFFSET(ITEM_RES!$T$1,MATCH(AU393,ITEM_RES!$A:$A,0)-1,0),0)*AW393+IFERROR(OFFSET(ITEM_RES!$T$1,MATCH(AZ393,ITEM_RES!$A:$A,0)-1,0),0)*BB393+IFERROR(OFFSET(ITEM_RES!$T$1,MATCH(BE393,ITEM_RES!$A:$A,0)-1,0),0)*BG393+IFERROR(OFFSET(ITEM_RES!$T$1,MATCH(BJ393,ITEM_RES!$A:$A,0)-1,0),0)*BL393+IFERROR(OFFSET(ITEM_RES!$T$1,MATCH(BO393,ITEM_RES!$A:$A,0)-1,0),0)*BQ393)/1000</f>
        <v>382.5</v>
      </c>
      <c r="AK393" s="183">
        <f t="shared" ca="1" si="125"/>
        <v>637.5</v>
      </c>
      <c r="AM393" s="11">
        <f t="shared" si="11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20"/>
        <v>2</v>
      </c>
      <c r="AU393" s="11">
        <f ca="1">IFERROR(OFFSET(ITEM_RES!$A$1,MATCH(AV393,ITEM_RES!$J:$J,0)-1,0),0)</f>
        <v>211020401</v>
      </c>
      <c r="AV393" s="10" t="s">
        <v>443</v>
      </c>
      <c r="AW393" s="11">
        <v>750</v>
      </c>
      <c r="AZ393" s="11">
        <f ca="1">IFERROR(OFFSET(ITEM_RES!$A$1,MATCH(BA393,ITEM_RES!$J:$J,0)-1,0),0)</f>
        <v>211020801</v>
      </c>
      <c r="BA393" s="10" t="s">
        <v>444</v>
      </c>
      <c r="BB393" s="11">
        <v>750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112060010</v>
      </c>
      <c r="B394" s="13">
        <v>11</v>
      </c>
      <c r="C394" s="12">
        <f t="shared" si="122"/>
        <v>2</v>
      </c>
      <c r="D394" s="13">
        <v>6</v>
      </c>
      <c r="E394" s="13">
        <v>0</v>
      </c>
      <c r="F394" s="12">
        <f t="shared" si="123"/>
        <v>10</v>
      </c>
      <c r="H394" s="9">
        <v>2</v>
      </c>
      <c r="I394" s="9">
        <v>10</v>
      </c>
      <c r="K394" s="9" t="s">
        <v>429</v>
      </c>
      <c r="M394" s="9" t="s">
        <v>975</v>
      </c>
      <c r="N394" s="9" t="s">
        <v>994</v>
      </c>
      <c r="O394" s="9">
        <v>1</v>
      </c>
      <c r="P394" s="9">
        <v>15</v>
      </c>
      <c r="U394" s="9" t="s">
        <v>735</v>
      </c>
      <c r="W394" s="85" t="s">
        <v>564</v>
      </c>
      <c r="X394" s="9">
        <f ca="1">IFERROR(OFFSET(ITEM_RES!$A$5,MATCH(BUILDING!W394,ITEM_RES!$J$5:$J$226,0)-1,0),0)</f>
        <v>211020401</v>
      </c>
      <c r="Y394" s="11">
        <v>1</v>
      </c>
      <c r="Z394" s="85" t="s">
        <v>559</v>
      </c>
      <c r="AA394" s="9">
        <f ca="1">IFERROR(OFFSET(ITEM_RES!$A$5,MATCH(BUILDING!Z394,ITEM_RES!$J$5:$J$226,0)-1,0),0)</f>
        <v>211020501</v>
      </c>
      <c r="AC394" s="9" t="s">
        <v>537</v>
      </c>
      <c r="AD394" s="9">
        <v>10</v>
      </c>
      <c r="AF394" s="9">
        <v>8000</v>
      </c>
      <c r="AI394" s="56">
        <f t="shared" ca="1" si="116"/>
        <v>510</v>
      </c>
      <c r="AJ394" s="10">
        <f ca="1">AO394+AQ394+(IFERROR(OFFSET(ITEM_RES!$T$1,MATCH(AU394,ITEM_RES!$A:$A,0)-1,0),0)*AW394+IFERROR(OFFSET(ITEM_RES!$T$1,MATCH(AZ394,ITEM_RES!$A:$A,0)-1,0),0)*BB394+IFERROR(OFFSET(ITEM_RES!$T$1,MATCH(BE394,ITEM_RES!$A:$A,0)-1,0),0)*BG394+IFERROR(OFFSET(ITEM_RES!$T$1,MATCH(BJ394,ITEM_RES!$A:$A,0)-1,0),0)*BL394+IFERROR(OFFSET(ITEM_RES!$T$1,MATCH(BO394,ITEM_RES!$A:$A,0)-1,0),0)*BQ394)/1000</f>
        <v>510</v>
      </c>
      <c r="AK394" s="183">
        <f t="shared" ca="1" si="125"/>
        <v>892.5</v>
      </c>
      <c r="AM394" s="11">
        <f t="shared" si="11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20"/>
        <v>2</v>
      </c>
      <c r="AU394" s="11">
        <f ca="1">IFERROR(OFFSET(ITEM_RES!$A$1,MATCH(AV394,ITEM_RES!$J:$J,0)-1,0),0)</f>
        <v>211020401</v>
      </c>
      <c r="AV394" s="10" t="s">
        <v>443</v>
      </c>
      <c r="AW394" s="11">
        <v>1000</v>
      </c>
      <c r="AZ394" s="11">
        <f ca="1">IFERROR(OFFSET(ITEM_RES!$A$1,MATCH(BA394,ITEM_RES!$J:$J,0)-1,0),0)</f>
        <v>211020801</v>
      </c>
      <c r="BA394" s="10" t="s">
        <v>444</v>
      </c>
      <c r="BB394" s="11">
        <v>1000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112060011</v>
      </c>
      <c r="B395" s="13">
        <v>11</v>
      </c>
      <c r="C395" s="12">
        <f t="shared" si="122"/>
        <v>2</v>
      </c>
      <c r="D395" s="13">
        <v>6</v>
      </c>
      <c r="E395" s="13">
        <v>0</v>
      </c>
      <c r="F395" s="12">
        <f t="shared" si="123"/>
        <v>11</v>
      </c>
      <c r="H395" s="9">
        <v>2</v>
      </c>
      <c r="I395" s="9">
        <v>11</v>
      </c>
      <c r="K395" s="9" t="s">
        <v>429</v>
      </c>
      <c r="M395" s="9" t="s">
        <v>975</v>
      </c>
      <c r="N395" s="9" t="s">
        <v>994</v>
      </c>
      <c r="O395" s="9">
        <v>1</v>
      </c>
      <c r="P395" s="9">
        <v>15</v>
      </c>
      <c r="U395" s="9" t="s">
        <v>735</v>
      </c>
      <c r="W395" s="85" t="s">
        <v>564</v>
      </c>
      <c r="X395" s="9">
        <f ca="1">IFERROR(OFFSET(ITEM_RES!$A$5,MATCH(BUILDING!W395,ITEM_RES!$J$5:$J$226,0)-1,0),0)</f>
        <v>211020401</v>
      </c>
      <c r="Y395" s="11">
        <v>1</v>
      </c>
      <c r="Z395" s="85" t="s">
        <v>559</v>
      </c>
      <c r="AA395" s="9">
        <f ca="1">IFERROR(OFFSET(ITEM_RES!$A$5,MATCH(BUILDING!Z395,ITEM_RES!$J$5:$J$226,0)-1,0),0)</f>
        <v>211020501</v>
      </c>
      <c r="AC395" s="9" t="s">
        <v>537</v>
      </c>
      <c r="AD395" s="9">
        <v>11</v>
      </c>
      <c r="AF395" s="9">
        <v>10000</v>
      </c>
      <c r="AI395" s="56">
        <f t="shared" ca="1" si="116"/>
        <v>638</v>
      </c>
      <c r="AJ395" s="10">
        <f ca="1">AO395+AQ395+(IFERROR(OFFSET(ITEM_RES!$T$1,MATCH(AU395,ITEM_RES!$A:$A,0)-1,0),0)*AW395+IFERROR(OFFSET(ITEM_RES!$T$1,MATCH(AZ395,ITEM_RES!$A:$A,0)-1,0),0)*BB395+IFERROR(OFFSET(ITEM_RES!$T$1,MATCH(BE395,ITEM_RES!$A:$A,0)-1,0),0)*BG395+IFERROR(OFFSET(ITEM_RES!$T$1,MATCH(BJ395,ITEM_RES!$A:$A,0)-1,0),0)*BL395+IFERROR(OFFSET(ITEM_RES!$T$1,MATCH(BO395,ITEM_RES!$A:$A,0)-1,0),0)*BQ395)/1000</f>
        <v>637.5</v>
      </c>
      <c r="AK395" s="183">
        <f t="shared" ca="1" si="125"/>
        <v>1147.5</v>
      </c>
      <c r="AM395" s="11">
        <f t="shared" si="11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20"/>
        <v>2</v>
      </c>
      <c r="AU395" s="11">
        <f ca="1">IFERROR(OFFSET(ITEM_RES!$A$1,MATCH(AV395,ITEM_RES!$J:$J,0)-1,0),0)</f>
        <v>211020401</v>
      </c>
      <c r="AV395" s="10" t="s">
        <v>443</v>
      </c>
      <c r="AW395" s="11">
        <v>1250</v>
      </c>
      <c r="AZ395" s="11">
        <f ca="1">IFERROR(OFFSET(ITEM_RES!$A$1,MATCH(BA395,ITEM_RES!$J:$J,0)-1,0),0)</f>
        <v>211020801</v>
      </c>
      <c r="BA395" s="10" t="s">
        <v>444</v>
      </c>
      <c r="BB395" s="11">
        <v>1250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112060012</v>
      </c>
      <c r="B396" s="13">
        <v>11</v>
      </c>
      <c r="C396" s="12">
        <f t="shared" si="122"/>
        <v>2</v>
      </c>
      <c r="D396" s="13">
        <v>6</v>
      </c>
      <c r="E396" s="13">
        <v>0</v>
      </c>
      <c r="F396" s="12">
        <f t="shared" si="123"/>
        <v>12</v>
      </c>
      <c r="H396" s="9">
        <v>2</v>
      </c>
      <c r="I396" s="9">
        <v>12</v>
      </c>
      <c r="K396" s="9" t="s">
        <v>429</v>
      </c>
      <c r="M396" s="9" t="s">
        <v>975</v>
      </c>
      <c r="N396" s="9" t="s">
        <v>994</v>
      </c>
      <c r="O396" s="9">
        <v>1</v>
      </c>
      <c r="P396" s="9">
        <v>15</v>
      </c>
      <c r="U396" s="9" t="s">
        <v>735</v>
      </c>
      <c r="W396" s="85" t="s">
        <v>564</v>
      </c>
      <c r="X396" s="9">
        <f ca="1">IFERROR(OFFSET(ITEM_RES!$A$5,MATCH(BUILDING!W396,ITEM_RES!$J$5:$J$226,0)-1,0),0)</f>
        <v>211020401</v>
      </c>
      <c r="Y396" s="11">
        <v>1</v>
      </c>
      <c r="Z396" s="85" t="s">
        <v>559</v>
      </c>
      <c r="AA396" s="9">
        <f ca="1">IFERROR(OFFSET(ITEM_RES!$A$5,MATCH(BUILDING!Z396,ITEM_RES!$J$5:$J$226,0)-1,0),0)</f>
        <v>211020501</v>
      </c>
      <c r="AC396" s="9" t="s">
        <v>537</v>
      </c>
      <c r="AD396" s="9">
        <v>12</v>
      </c>
      <c r="AF396" s="9">
        <v>12000</v>
      </c>
      <c r="AI396" s="56">
        <f t="shared" ca="1" si="116"/>
        <v>765</v>
      </c>
      <c r="AJ396" s="10">
        <f ca="1">AO396+AQ396+(IFERROR(OFFSET(ITEM_RES!$T$1,MATCH(AU396,ITEM_RES!$A:$A,0)-1,0),0)*AW396+IFERROR(OFFSET(ITEM_RES!$T$1,MATCH(AZ396,ITEM_RES!$A:$A,0)-1,0),0)*BB396+IFERROR(OFFSET(ITEM_RES!$T$1,MATCH(BE396,ITEM_RES!$A:$A,0)-1,0),0)*BG396+IFERROR(OFFSET(ITEM_RES!$T$1,MATCH(BJ396,ITEM_RES!$A:$A,0)-1,0),0)*BL396+IFERROR(OFFSET(ITEM_RES!$T$1,MATCH(BO396,ITEM_RES!$A:$A,0)-1,0),0)*BQ396)/1000</f>
        <v>765</v>
      </c>
      <c r="AK396" s="183">
        <f t="shared" ca="1" si="125"/>
        <v>1402.5</v>
      </c>
      <c r="AM396" s="11">
        <f t="shared" si="11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20"/>
        <v>2</v>
      </c>
      <c r="AU396" s="11">
        <f ca="1">IFERROR(OFFSET(ITEM_RES!$A$1,MATCH(AV396,ITEM_RES!$J:$J,0)-1,0),0)</f>
        <v>211020401</v>
      </c>
      <c r="AV396" s="10" t="s">
        <v>443</v>
      </c>
      <c r="AW396" s="11">
        <v>1500</v>
      </c>
      <c r="AZ396" s="11">
        <f ca="1">IFERROR(OFFSET(ITEM_RES!$A$1,MATCH(BA396,ITEM_RES!$J:$J,0)-1,0),0)</f>
        <v>211020801</v>
      </c>
      <c r="BA396" s="10" t="s">
        <v>444</v>
      </c>
      <c r="BB396" s="11">
        <v>1500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112060013</v>
      </c>
      <c r="B397" s="13">
        <v>11</v>
      </c>
      <c r="C397" s="12">
        <f t="shared" si="122"/>
        <v>2</v>
      </c>
      <c r="D397" s="13">
        <v>6</v>
      </c>
      <c r="E397" s="13">
        <v>0</v>
      </c>
      <c r="F397" s="12">
        <f t="shared" si="123"/>
        <v>13</v>
      </c>
      <c r="H397" s="9">
        <v>2</v>
      </c>
      <c r="I397" s="9">
        <v>13</v>
      </c>
      <c r="K397" s="9" t="s">
        <v>429</v>
      </c>
      <c r="M397" s="9" t="s">
        <v>975</v>
      </c>
      <c r="N397" s="9" t="s">
        <v>994</v>
      </c>
      <c r="O397" s="9">
        <v>1</v>
      </c>
      <c r="P397" s="9">
        <v>15</v>
      </c>
      <c r="U397" s="9" t="s">
        <v>735</v>
      </c>
      <c r="W397" s="85" t="s">
        <v>564</v>
      </c>
      <c r="X397" s="9">
        <f ca="1">IFERROR(OFFSET(ITEM_RES!$A$5,MATCH(BUILDING!W397,ITEM_RES!$J$5:$J$226,0)-1,0),0)</f>
        <v>211020401</v>
      </c>
      <c r="Y397" s="11">
        <v>1</v>
      </c>
      <c r="Z397" s="85" t="s">
        <v>559</v>
      </c>
      <c r="AA397" s="9">
        <f ca="1">IFERROR(OFFSET(ITEM_RES!$A$5,MATCH(BUILDING!Z397,ITEM_RES!$J$5:$J$226,0)-1,0),0)</f>
        <v>211020501</v>
      </c>
      <c r="AC397" s="9" t="s">
        <v>537</v>
      </c>
      <c r="AD397" s="9">
        <v>13</v>
      </c>
      <c r="AF397" s="9">
        <v>14000</v>
      </c>
      <c r="AI397" s="56">
        <f t="shared" ca="1" si="116"/>
        <v>893</v>
      </c>
      <c r="AJ397" s="10">
        <f ca="1">AO397+AQ397+(IFERROR(OFFSET(ITEM_RES!$T$1,MATCH(AU397,ITEM_RES!$A:$A,0)-1,0),0)*AW397+IFERROR(OFFSET(ITEM_RES!$T$1,MATCH(AZ397,ITEM_RES!$A:$A,0)-1,0),0)*BB397+IFERROR(OFFSET(ITEM_RES!$T$1,MATCH(BE397,ITEM_RES!$A:$A,0)-1,0),0)*BG397+IFERROR(OFFSET(ITEM_RES!$T$1,MATCH(BJ397,ITEM_RES!$A:$A,0)-1,0),0)*BL397+IFERROR(OFFSET(ITEM_RES!$T$1,MATCH(BO397,ITEM_RES!$A:$A,0)-1,0),0)*BQ397)/1000</f>
        <v>892.5</v>
      </c>
      <c r="AK397" s="183">
        <f t="shared" ca="1" si="125"/>
        <v>1657.5</v>
      </c>
      <c r="AM397" s="11">
        <f t="shared" si="11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20"/>
        <v>2</v>
      </c>
      <c r="AU397" s="11">
        <f ca="1">IFERROR(OFFSET(ITEM_RES!$A$1,MATCH(AV397,ITEM_RES!$J:$J,0)-1,0),0)</f>
        <v>211020401</v>
      </c>
      <c r="AV397" s="10" t="s">
        <v>443</v>
      </c>
      <c r="AW397" s="11">
        <v>1750</v>
      </c>
      <c r="AZ397" s="11">
        <f ca="1">IFERROR(OFFSET(ITEM_RES!$A$1,MATCH(BA397,ITEM_RES!$J:$J,0)-1,0),0)</f>
        <v>211020801</v>
      </c>
      <c r="BA397" s="10" t="s">
        <v>444</v>
      </c>
      <c r="BB397" s="11">
        <v>1750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112060014</v>
      </c>
      <c r="B398" s="13">
        <v>11</v>
      </c>
      <c r="C398" s="12">
        <f t="shared" si="122"/>
        <v>2</v>
      </c>
      <c r="D398" s="13">
        <v>6</v>
      </c>
      <c r="E398" s="13">
        <v>0</v>
      </c>
      <c r="F398" s="12">
        <f t="shared" si="123"/>
        <v>14</v>
      </c>
      <c r="H398" s="9">
        <v>2</v>
      </c>
      <c r="I398" s="9">
        <v>14</v>
      </c>
      <c r="K398" s="9" t="s">
        <v>429</v>
      </c>
      <c r="M398" s="9" t="s">
        <v>975</v>
      </c>
      <c r="N398" s="9" t="s">
        <v>994</v>
      </c>
      <c r="O398" s="9">
        <v>1</v>
      </c>
      <c r="P398" s="9">
        <v>15</v>
      </c>
      <c r="U398" s="9" t="s">
        <v>735</v>
      </c>
      <c r="W398" s="85" t="s">
        <v>564</v>
      </c>
      <c r="X398" s="9">
        <f ca="1">IFERROR(OFFSET(ITEM_RES!$A$5,MATCH(BUILDING!W398,ITEM_RES!$J$5:$J$226,0)-1,0),0)</f>
        <v>211020401</v>
      </c>
      <c r="Y398" s="11">
        <v>1</v>
      </c>
      <c r="Z398" s="85" t="s">
        <v>559</v>
      </c>
      <c r="AA398" s="9">
        <f ca="1">IFERROR(OFFSET(ITEM_RES!$A$5,MATCH(BUILDING!Z398,ITEM_RES!$J$5:$J$226,0)-1,0),0)</f>
        <v>211020501</v>
      </c>
      <c r="AC398" s="9" t="s">
        <v>537</v>
      </c>
      <c r="AD398" s="9">
        <v>14</v>
      </c>
      <c r="AF398" s="9">
        <v>18000</v>
      </c>
      <c r="AI398" s="56">
        <f t="shared" ca="1" si="116"/>
        <v>1148</v>
      </c>
      <c r="AJ398" s="10">
        <f ca="1">AO398+AQ398+(IFERROR(OFFSET(ITEM_RES!$T$1,MATCH(AU398,ITEM_RES!$A:$A,0)-1,0),0)*AW398+IFERROR(OFFSET(ITEM_RES!$T$1,MATCH(AZ398,ITEM_RES!$A:$A,0)-1,0),0)*BB398+IFERROR(OFFSET(ITEM_RES!$T$1,MATCH(BE398,ITEM_RES!$A:$A,0)-1,0),0)*BG398+IFERROR(OFFSET(ITEM_RES!$T$1,MATCH(BJ398,ITEM_RES!$A:$A,0)-1,0),0)*BL398+IFERROR(OFFSET(ITEM_RES!$T$1,MATCH(BO398,ITEM_RES!$A:$A,0)-1,0),0)*BQ398)/1000</f>
        <v>1147.5</v>
      </c>
      <c r="AK398" s="183">
        <f t="shared" ca="1" si="125"/>
        <v>2040</v>
      </c>
      <c r="AM398" s="11">
        <f t="shared" si="11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20"/>
        <v>2</v>
      </c>
      <c r="AU398" s="11">
        <f ca="1">IFERROR(OFFSET(ITEM_RES!$A$1,MATCH(AV398,ITEM_RES!$J:$J,0)-1,0),0)</f>
        <v>211020401</v>
      </c>
      <c r="AV398" s="10" t="s">
        <v>443</v>
      </c>
      <c r="AW398" s="11">
        <v>2250</v>
      </c>
      <c r="AZ398" s="11">
        <f ca="1">IFERROR(OFFSET(ITEM_RES!$A$1,MATCH(BA398,ITEM_RES!$J:$J,0)-1,0),0)</f>
        <v>211020801</v>
      </c>
      <c r="BA398" s="10" t="s">
        <v>444</v>
      </c>
      <c r="BB398" s="11">
        <v>2250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112060015</v>
      </c>
      <c r="B399" s="13">
        <v>11</v>
      </c>
      <c r="C399" s="12">
        <f t="shared" si="122"/>
        <v>2</v>
      </c>
      <c r="D399" s="13">
        <v>6</v>
      </c>
      <c r="E399" s="13">
        <v>0</v>
      </c>
      <c r="F399" s="12">
        <f t="shared" si="123"/>
        <v>15</v>
      </c>
      <c r="H399" s="9">
        <v>2</v>
      </c>
      <c r="I399" s="9">
        <v>15</v>
      </c>
      <c r="K399" s="9" t="s">
        <v>429</v>
      </c>
      <c r="M399" s="9" t="s">
        <v>975</v>
      </c>
      <c r="N399" s="9" t="s">
        <v>994</v>
      </c>
      <c r="O399" s="9">
        <v>1</v>
      </c>
      <c r="P399" s="9">
        <v>15</v>
      </c>
      <c r="U399" s="9" t="s">
        <v>735</v>
      </c>
      <c r="W399" s="85" t="s">
        <v>564</v>
      </c>
      <c r="X399" s="9">
        <f ca="1">IFERROR(OFFSET(ITEM_RES!$A$5,MATCH(BUILDING!W399,ITEM_RES!$J$5:$J$226,0)-1,0),0)</f>
        <v>211020401</v>
      </c>
      <c r="Y399" s="11">
        <v>1</v>
      </c>
      <c r="Z399" s="85" t="s">
        <v>559</v>
      </c>
      <c r="AA399" s="9">
        <f ca="1">IFERROR(OFFSET(ITEM_RES!$A$5,MATCH(BUILDING!Z399,ITEM_RES!$J$5:$J$226,0)-1,0),0)</f>
        <v>211020501</v>
      </c>
      <c r="AC399" s="9" t="s">
        <v>537</v>
      </c>
      <c r="AD399" s="9">
        <v>15</v>
      </c>
      <c r="AF399" s="9">
        <v>22000</v>
      </c>
      <c r="AI399" s="56">
        <f t="shared" ca="1" si="116"/>
        <v>1925</v>
      </c>
      <c r="AJ399" s="10">
        <f ca="1">AO399+AQ399+(IFERROR(OFFSET(ITEM_RES!$T$1,MATCH(AU399,ITEM_RES!$A:$A,0)-1,0),0)*AW399+IFERROR(OFFSET(ITEM_RES!$T$1,MATCH(AZ399,ITEM_RES!$A:$A,0)-1,0),0)*BB399+IFERROR(OFFSET(ITEM_RES!$T$1,MATCH(BE399,ITEM_RES!$A:$A,0)-1,0),0)*BG399+IFERROR(OFFSET(ITEM_RES!$T$1,MATCH(BJ399,ITEM_RES!$A:$A,0)-1,0),0)*BL399+IFERROR(OFFSET(ITEM_RES!$T$1,MATCH(BO399,ITEM_RES!$A:$A,0)-1,0),0)*BQ399)/1000</f>
        <v>1925</v>
      </c>
      <c r="AK399" s="183">
        <f t="shared" ca="1" si="125"/>
        <v>3072.5</v>
      </c>
      <c r="AM399" s="11">
        <f t="shared" si="11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20"/>
        <v>2</v>
      </c>
      <c r="AU399" s="11">
        <f ca="1">IFERROR(OFFSET(ITEM_RES!$A$1,MATCH(AV399,ITEM_RES!$J:$J,0)-1,0),0)</f>
        <v>211020501</v>
      </c>
      <c r="AV399" s="10" t="s">
        <v>440</v>
      </c>
      <c r="AW399" s="11">
        <v>2750</v>
      </c>
      <c r="AZ399" s="11">
        <f ca="1">IFERROR(OFFSET(ITEM_RES!$A$1,MATCH(BA399,ITEM_RES!$J:$J,0)-1,0),0)</f>
        <v>211020801</v>
      </c>
      <c r="BA399" s="10" t="s">
        <v>444</v>
      </c>
      <c r="BB399" s="11">
        <v>2750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112060016</v>
      </c>
      <c r="B400" s="13">
        <v>11</v>
      </c>
      <c r="C400" s="12">
        <f t="shared" si="122"/>
        <v>2</v>
      </c>
      <c r="D400" s="13">
        <v>6</v>
      </c>
      <c r="E400" s="13">
        <v>0</v>
      </c>
      <c r="F400" s="12">
        <f t="shared" si="123"/>
        <v>16</v>
      </c>
      <c r="H400" s="9">
        <v>2</v>
      </c>
      <c r="I400" s="9">
        <v>16</v>
      </c>
      <c r="K400" s="9" t="s">
        <v>429</v>
      </c>
      <c r="M400" s="9" t="s">
        <v>975</v>
      </c>
      <c r="N400" s="9" t="s">
        <v>994</v>
      </c>
      <c r="O400" s="9">
        <v>0</v>
      </c>
      <c r="P400" s="9">
        <v>15</v>
      </c>
      <c r="U400" s="9" t="s">
        <v>735</v>
      </c>
      <c r="W400" s="85" t="s">
        <v>564</v>
      </c>
      <c r="X400" s="9">
        <f ca="1">IFERROR(OFFSET(ITEM_RES!$A$5,MATCH(BUILDING!W400,ITEM_RES!$J$5:$J$226,0)-1,0),0)</f>
        <v>211020401</v>
      </c>
      <c r="Y400" s="11">
        <v>1</v>
      </c>
      <c r="Z400" s="85" t="s">
        <v>559</v>
      </c>
      <c r="AA400" s="9">
        <f ca="1">IFERROR(OFFSET(ITEM_RES!$A$5,MATCH(BUILDING!Z400,ITEM_RES!$J$5:$J$226,0)-1,0),0)</f>
        <v>211020501</v>
      </c>
      <c r="AC400" s="9" t="s">
        <v>537</v>
      </c>
      <c r="AD400" s="9">
        <v>16</v>
      </c>
      <c r="AF400" s="9">
        <v>28000</v>
      </c>
      <c r="AI400" s="56">
        <f t="shared" ca="1" si="116"/>
        <v>2450</v>
      </c>
      <c r="AJ400" s="10">
        <f ca="1">AO400+AQ400+(IFERROR(OFFSET(ITEM_RES!$T$1,MATCH(AU400,ITEM_RES!$A:$A,0)-1,0),0)*AW400+IFERROR(OFFSET(ITEM_RES!$T$1,MATCH(AZ400,ITEM_RES!$A:$A,0)-1,0),0)*BB400+IFERROR(OFFSET(ITEM_RES!$T$1,MATCH(BE400,ITEM_RES!$A:$A,0)-1,0),0)*BG400+IFERROR(OFFSET(ITEM_RES!$T$1,MATCH(BJ400,ITEM_RES!$A:$A,0)-1,0),0)*BL400+IFERROR(OFFSET(ITEM_RES!$T$1,MATCH(BO400,ITEM_RES!$A:$A,0)-1,0),0)*BQ400)/1000</f>
        <v>2450</v>
      </c>
      <c r="AK400" s="183">
        <f t="shared" ca="1" si="125"/>
        <v>4375</v>
      </c>
      <c r="AM400" s="11">
        <f t="shared" si="11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20"/>
        <v>2</v>
      </c>
      <c r="AU400" s="11">
        <f ca="1">IFERROR(OFFSET(ITEM_RES!$A$1,MATCH(AV400,ITEM_RES!$J:$J,0)-1,0),0)</f>
        <v>211020501</v>
      </c>
      <c r="AV400" s="10" t="s">
        <v>440</v>
      </c>
      <c r="AW400" s="11">
        <v>3500</v>
      </c>
      <c r="AZ400" s="11">
        <f ca="1">IFERROR(OFFSET(ITEM_RES!$A$1,MATCH(BA400,ITEM_RES!$J:$J,0)-1,0),0)</f>
        <v>211020801</v>
      </c>
      <c r="BA400" s="10" t="s">
        <v>444</v>
      </c>
      <c r="BB400" s="11">
        <v>3500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112060017</v>
      </c>
      <c r="B401" s="13">
        <v>11</v>
      </c>
      <c r="C401" s="12">
        <f t="shared" si="122"/>
        <v>2</v>
      </c>
      <c r="D401" s="13">
        <v>6</v>
      </c>
      <c r="E401" s="13">
        <v>0</v>
      </c>
      <c r="F401" s="12">
        <f t="shared" si="123"/>
        <v>17</v>
      </c>
      <c r="H401" s="9">
        <v>2</v>
      </c>
      <c r="I401" s="9">
        <v>17</v>
      </c>
      <c r="K401" s="9" t="s">
        <v>429</v>
      </c>
      <c r="M401" s="9" t="s">
        <v>975</v>
      </c>
      <c r="N401" s="9" t="s">
        <v>994</v>
      </c>
      <c r="O401" s="9">
        <v>0</v>
      </c>
      <c r="P401" s="9">
        <v>15</v>
      </c>
      <c r="U401" s="9" t="s">
        <v>735</v>
      </c>
      <c r="W401" s="85" t="s">
        <v>564</v>
      </c>
      <c r="X401" s="9">
        <f ca="1">IFERROR(OFFSET(ITEM_RES!$A$5,MATCH(BUILDING!W401,ITEM_RES!$J$5:$J$226,0)-1,0),0)</f>
        <v>211020401</v>
      </c>
      <c r="Y401" s="11">
        <v>1</v>
      </c>
      <c r="Z401" s="85" t="s">
        <v>559</v>
      </c>
      <c r="AA401" s="9">
        <f ca="1">IFERROR(OFFSET(ITEM_RES!$A$5,MATCH(BUILDING!Z401,ITEM_RES!$J$5:$J$226,0)-1,0),0)</f>
        <v>211020501</v>
      </c>
      <c r="AC401" s="9" t="s">
        <v>537</v>
      </c>
      <c r="AD401" s="9">
        <v>17</v>
      </c>
      <c r="AF401" s="9">
        <v>34000</v>
      </c>
      <c r="AI401" s="56">
        <f t="shared" ca="1" si="116"/>
        <v>2975</v>
      </c>
      <c r="AJ401" s="10">
        <f ca="1">AO401+AQ401+(IFERROR(OFFSET(ITEM_RES!$T$1,MATCH(AU401,ITEM_RES!$A:$A,0)-1,0),0)*AW401+IFERROR(OFFSET(ITEM_RES!$T$1,MATCH(AZ401,ITEM_RES!$A:$A,0)-1,0),0)*BB401+IFERROR(OFFSET(ITEM_RES!$T$1,MATCH(BE401,ITEM_RES!$A:$A,0)-1,0),0)*BG401+IFERROR(OFFSET(ITEM_RES!$T$1,MATCH(BJ401,ITEM_RES!$A:$A,0)-1,0),0)*BL401+IFERROR(OFFSET(ITEM_RES!$T$1,MATCH(BO401,ITEM_RES!$A:$A,0)-1,0),0)*BQ401)/1000</f>
        <v>2975</v>
      </c>
      <c r="AK401" s="183">
        <f t="shared" ca="1" si="125"/>
        <v>5425</v>
      </c>
      <c r="AM401" s="11">
        <f t="shared" si="11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20"/>
        <v>2</v>
      </c>
      <c r="AU401" s="11">
        <f ca="1">IFERROR(OFFSET(ITEM_RES!$A$1,MATCH(AV401,ITEM_RES!$J:$J,0)-1,0),0)</f>
        <v>211020501</v>
      </c>
      <c r="AV401" s="10" t="s">
        <v>440</v>
      </c>
      <c r="AW401" s="11">
        <v>4250</v>
      </c>
      <c r="AZ401" s="11">
        <f ca="1">IFERROR(OFFSET(ITEM_RES!$A$1,MATCH(BA401,ITEM_RES!$J:$J,0)-1,0),0)</f>
        <v>211020801</v>
      </c>
      <c r="BA401" s="10" t="s">
        <v>444</v>
      </c>
      <c r="BB401" s="11">
        <v>4250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112060018</v>
      </c>
      <c r="B402" s="13">
        <v>11</v>
      </c>
      <c r="C402" s="12">
        <f t="shared" si="122"/>
        <v>2</v>
      </c>
      <c r="D402" s="13">
        <v>6</v>
      </c>
      <c r="E402" s="13">
        <v>0</v>
      </c>
      <c r="F402" s="12">
        <f t="shared" si="123"/>
        <v>18</v>
      </c>
      <c r="H402" s="9">
        <v>2</v>
      </c>
      <c r="I402" s="9">
        <v>18</v>
      </c>
      <c r="K402" s="9" t="s">
        <v>429</v>
      </c>
      <c r="M402" s="9" t="s">
        <v>975</v>
      </c>
      <c r="N402" s="9" t="s">
        <v>994</v>
      </c>
      <c r="O402" s="9">
        <v>0</v>
      </c>
      <c r="P402" s="9">
        <v>15</v>
      </c>
      <c r="U402" s="9" t="s">
        <v>735</v>
      </c>
      <c r="W402" s="85" t="s">
        <v>564</v>
      </c>
      <c r="X402" s="9">
        <f ca="1">IFERROR(OFFSET(ITEM_RES!$A$5,MATCH(BUILDING!W402,ITEM_RES!$J$5:$J$226,0)-1,0),0)</f>
        <v>211020401</v>
      </c>
      <c r="Y402" s="11">
        <v>1</v>
      </c>
      <c r="Z402" s="85" t="s">
        <v>559</v>
      </c>
      <c r="AA402" s="9">
        <f ca="1">IFERROR(OFFSET(ITEM_RES!$A$5,MATCH(BUILDING!Z402,ITEM_RES!$J$5:$J$226,0)-1,0),0)</f>
        <v>211020501</v>
      </c>
      <c r="AC402" s="9" t="s">
        <v>537</v>
      </c>
      <c r="AD402" s="9">
        <v>18</v>
      </c>
      <c r="AF402" s="9">
        <v>42000</v>
      </c>
      <c r="AI402" s="56">
        <f t="shared" ca="1" si="116"/>
        <v>3675</v>
      </c>
      <c r="AJ402" s="10">
        <f ca="1">AO402+AQ402+(IFERROR(OFFSET(ITEM_RES!$T$1,MATCH(AU402,ITEM_RES!$A:$A,0)-1,0),0)*AW402+IFERROR(OFFSET(ITEM_RES!$T$1,MATCH(AZ402,ITEM_RES!$A:$A,0)-1,0),0)*BB402+IFERROR(OFFSET(ITEM_RES!$T$1,MATCH(BE402,ITEM_RES!$A:$A,0)-1,0),0)*BG402+IFERROR(OFFSET(ITEM_RES!$T$1,MATCH(BJ402,ITEM_RES!$A:$A,0)-1,0),0)*BL402+IFERROR(OFFSET(ITEM_RES!$T$1,MATCH(BO402,ITEM_RES!$A:$A,0)-1,0),0)*BQ402)/1000</f>
        <v>3675</v>
      </c>
      <c r="AK402" s="183">
        <f t="shared" ca="1" si="125"/>
        <v>6650</v>
      </c>
      <c r="AM402" s="11">
        <f t="shared" si="11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20"/>
        <v>2</v>
      </c>
      <c r="AU402" s="11">
        <f ca="1">IFERROR(OFFSET(ITEM_RES!$A$1,MATCH(AV402,ITEM_RES!$J:$J,0)-1,0),0)</f>
        <v>211020501</v>
      </c>
      <c r="AV402" s="10" t="s">
        <v>440</v>
      </c>
      <c r="AW402" s="11">
        <v>5250</v>
      </c>
      <c r="AZ402" s="11">
        <f ca="1">IFERROR(OFFSET(ITEM_RES!$A$1,MATCH(BA402,ITEM_RES!$J:$J,0)-1,0),0)</f>
        <v>211020801</v>
      </c>
      <c r="BA402" s="10" t="s">
        <v>444</v>
      </c>
      <c r="BB402" s="11">
        <v>5250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112060019</v>
      </c>
      <c r="B403" s="13">
        <v>11</v>
      </c>
      <c r="C403" s="12">
        <f t="shared" si="122"/>
        <v>2</v>
      </c>
      <c r="D403" s="13">
        <v>6</v>
      </c>
      <c r="E403" s="13">
        <v>0</v>
      </c>
      <c r="F403" s="12">
        <f t="shared" si="123"/>
        <v>19</v>
      </c>
      <c r="H403" s="9">
        <v>2</v>
      </c>
      <c r="I403" s="9">
        <v>19</v>
      </c>
      <c r="K403" s="9" t="s">
        <v>429</v>
      </c>
      <c r="M403" s="9" t="s">
        <v>975</v>
      </c>
      <c r="N403" s="9" t="s">
        <v>994</v>
      </c>
      <c r="O403" s="9">
        <v>0</v>
      </c>
      <c r="P403" s="9">
        <v>15</v>
      </c>
      <c r="U403" s="9" t="s">
        <v>735</v>
      </c>
      <c r="W403" s="85" t="s">
        <v>564</v>
      </c>
      <c r="X403" s="9">
        <f ca="1">IFERROR(OFFSET(ITEM_RES!$A$5,MATCH(BUILDING!W403,ITEM_RES!$J$5:$J$226,0)-1,0),0)</f>
        <v>211020401</v>
      </c>
      <c r="Y403" s="11">
        <v>1</v>
      </c>
      <c r="Z403" s="85" t="s">
        <v>559</v>
      </c>
      <c r="AA403" s="9">
        <f ca="1">IFERROR(OFFSET(ITEM_RES!$A$5,MATCH(BUILDING!Z403,ITEM_RES!$J$5:$J$226,0)-1,0),0)</f>
        <v>211020501</v>
      </c>
      <c r="AC403" s="9" t="s">
        <v>537</v>
      </c>
      <c r="AD403" s="9">
        <v>19</v>
      </c>
      <c r="AF403" s="9">
        <v>50000</v>
      </c>
      <c r="AI403" s="56">
        <f t="shared" ca="1" si="116"/>
        <v>4375</v>
      </c>
      <c r="AJ403" s="10">
        <f ca="1">AO403+AQ403+(IFERROR(OFFSET(ITEM_RES!$T$1,MATCH(AU403,ITEM_RES!$A:$A,0)-1,0),0)*AW403+IFERROR(OFFSET(ITEM_RES!$T$1,MATCH(AZ403,ITEM_RES!$A:$A,0)-1,0),0)*BB403+IFERROR(OFFSET(ITEM_RES!$T$1,MATCH(BE403,ITEM_RES!$A:$A,0)-1,0),0)*BG403+IFERROR(OFFSET(ITEM_RES!$T$1,MATCH(BJ403,ITEM_RES!$A:$A,0)-1,0),0)*BL403+IFERROR(OFFSET(ITEM_RES!$T$1,MATCH(BO403,ITEM_RES!$A:$A,0)-1,0),0)*BQ403)/1000</f>
        <v>4375</v>
      </c>
      <c r="AK403" s="183">
        <f t="shared" ca="1" si="125"/>
        <v>8050</v>
      </c>
      <c r="AM403" s="11">
        <f t="shared" si="11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20"/>
        <v>2</v>
      </c>
      <c r="AU403" s="11">
        <f ca="1">IFERROR(OFFSET(ITEM_RES!$A$1,MATCH(AV403,ITEM_RES!$J:$J,0)-1,0),0)</f>
        <v>211020501</v>
      </c>
      <c r="AV403" s="10" t="s">
        <v>440</v>
      </c>
      <c r="AW403" s="11">
        <v>6250</v>
      </c>
      <c r="AZ403" s="11">
        <f ca="1">IFERROR(OFFSET(ITEM_RES!$A$1,MATCH(BA403,ITEM_RES!$J:$J,0)-1,0),0)</f>
        <v>211020801</v>
      </c>
      <c r="BA403" s="10" t="s">
        <v>444</v>
      </c>
      <c r="BB403" s="11">
        <v>6250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112060020</v>
      </c>
      <c r="B404" s="13">
        <v>11</v>
      </c>
      <c r="C404" s="12">
        <f t="shared" si="122"/>
        <v>2</v>
      </c>
      <c r="D404" s="13">
        <v>6</v>
      </c>
      <c r="E404" s="13">
        <v>0</v>
      </c>
      <c r="F404" s="12">
        <f t="shared" si="123"/>
        <v>20</v>
      </c>
      <c r="H404" s="9">
        <v>2</v>
      </c>
      <c r="I404" s="9">
        <v>20</v>
      </c>
      <c r="K404" s="9" t="s">
        <v>429</v>
      </c>
      <c r="M404" s="9" t="s">
        <v>975</v>
      </c>
      <c r="N404" s="9" t="s">
        <v>994</v>
      </c>
      <c r="O404" s="9">
        <v>0</v>
      </c>
      <c r="P404" s="9">
        <v>15</v>
      </c>
      <c r="U404" s="9" t="s">
        <v>735</v>
      </c>
      <c r="W404" s="85" t="s">
        <v>564</v>
      </c>
      <c r="X404" s="9">
        <f ca="1">IFERROR(OFFSET(ITEM_RES!$A$5,MATCH(BUILDING!W404,ITEM_RES!$J$5:$J$226,0)-1,0),0)</f>
        <v>211020401</v>
      </c>
      <c r="Y404" s="11">
        <v>1</v>
      </c>
      <c r="Z404" s="85" t="s">
        <v>559</v>
      </c>
      <c r="AA404" s="9">
        <f ca="1">IFERROR(OFFSET(ITEM_RES!$A$5,MATCH(BUILDING!Z404,ITEM_RES!$J$5:$J$226,0)-1,0),0)</f>
        <v>211020501</v>
      </c>
      <c r="AC404" s="9" t="s">
        <v>537</v>
      </c>
      <c r="AD404" s="9">
        <v>20</v>
      </c>
      <c r="AF404" s="9">
        <v>60000</v>
      </c>
      <c r="AI404" s="56">
        <f t="shared" ca="1" si="116"/>
        <v>5250</v>
      </c>
      <c r="AJ404" s="10">
        <f ca="1">AO404+AQ404+(IFERROR(OFFSET(ITEM_RES!$T$1,MATCH(AU404,ITEM_RES!$A:$A,0)-1,0),0)*AW404+IFERROR(OFFSET(ITEM_RES!$T$1,MATCH(AZ404,ITEM_RES!$A:$A,0)-1,0),0)*BB404+IFERROR(OFFSET(ITEM_RES!$T$1,MATCH(BE404,ITEM_RES!$A:$A,0)-1,0),0)*BG404+IFERROR(OFFSET(ITEM_RES!$T$1,MATCH(BJ404,ITEM_RES!$A:$A,0)-1,0),0)*BL404+IFERROR(OFFSET(ITEM_RES!$T$1,MATCH(BO404,ITEM_RES!$A:$A,0)-1,0),0)*BQ404)/1000</f>
        <v>5250</v>
      </c>
      <c r="AK404" s="183">
        <f t="shared" ca="1" si="125"/>
        <v>9625</v>
      </c>
      <c r="AM404" s="11">
        <f t="shared" si="11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20"/>
        <v>2</v>
      </c>
      <c r="AU404" s="11">
        <f ca="1">IFERROR(OFFSET(ITEM_RES!$A$1,MATCH(AV404,ITEM_RES!$J:$J,0)-1,0),0)</f>
        <v>211020501</v>
      </c>
      <c r="AV404" s="10" t="s">
        <v>440</v>
      </c>
      <c r="AW404" s="11">
        <v>7500</v>
      </c>
      <c r="AZ404" s="11">
        <f ca="1">IFERROR(OFFSET(ITEM_RES!$A$1,MATCH(BA404,ITEM_RES!$J:$J,0)-1,0),0)</f>
        <v>211020801</v>
      </c>
      <c r="BA404" s="10" t="s">
        <v>444</v>
      </c>
      <c r="BB404" s="11">
        <v>7500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si="121"/>
        <v>112070001</v>
      </c>
      <c r="B405" s="20">
        <v>11</v>
      </c>
      <c r="C405" s="19">
        <f t="shared" si="122"/>
        <v>2</v>
      </c>
      <c r="D405" s="20">
        <v>7</v>
      </c>
      <c r="E405" s="20">
        <v>0</v>
      </c>
      <c r="F405" s="19">
        <f t="shared" si="123"/>
        <v>1</v>
      </c>
      <c r="G405" s="79"/>
      <c r="H405" s="16">
        <v>2</v>
      </c>
      <c r="I405" s="16">
        <v>1</v>
      </c>
      <c r="J405" s="79"/>
      <c r="K405" s="16" t="s">
        <v>543</v>
      </c>
      <c r="L405" s="16">
        <v>6</v>
      </c>
      <c r="M405" s="16" t="s">
        <v>976</v>
      </c>
      <c r="N405" s="16" t="s">
        <v>995</v>
      </c>
      <c r="O405" s="16">
        <v>1</v>
      </c>
      <c r="P405" s="16">
        <v>15</v>
      </c>
      <c r="Q405" s="16" t="s">
        <v>794</v>
      </c>
      <c r="R405" s="17"/>
      <c r="S405" s="17"/>
      <c r="T405" s="18"/>
      <c r="U405" s="16" t="s">
        <v>731</v>
      </c>
      <c r="V405" s="79"/>
      <c r="W405" s="87" t="s">
        <v>558</v>
      </c>
      <c r="X405" s="16">
        <f ca="1">IFERROR(OFFSET(ITEM_RES!$A$5,MATCH(BUILDING!W405,ITEM_RES!$J$5:$J$226,0)-1,0),0)</f>
        <v>211020201</v>
      </c>
      <c r="Y405" s="18">
        <v>1</v>
      </c>
      <c r="Z405" s="87" t="s">
        <v>560</v>
      </c>
      <c r="AA405" s="16">
        <f ca="1">IFERROR(OFFSET(ITEM_RES!$A$5,MATCH(BUILDING!Z405,ITEM_RES!$J$5:$J$226,0)-1,0),0)</f>
        <v>211020301</v>
      </c>
      <c r="AB405" s="79"/>
      <c r="AC405" s="16" t="s">
        <v>538</v>
      </c>
      <c r="AD405" s="16">
        <v>1</v>
      </c>
      <c r="AE405" s="79"/>
      <c r="AF405" s="16">
        <v>0</v>
      </c>
      <c r="AG405" s="17"/>
      <c r="AH405" s="79"/>
      <c r="AI405" s="57">
        <f t="shared" ca="1" si="116"/>
        <v>111</v>
      </c>
      <c r="AJ405" s="17">
        <f ca="1">AO405+AQ405+(IFERROR(OFFSET(ITEM_RES!$T$1,MATCH(AU405,ITEM_RES!$A:$A,0)-1,0),0)*AW405+IFERROR(OFFSET(ITEM_RES!$T$1,MATCH(AZ405,ITEM_RES!$A:$A,0)-1,0),0)*BB405+IFERROR(OFFSET(ITEM_RES!$T$1,MATCH(BE405,ITEM_RES!$A:$A,0)-1,0),0)*BG405+IFERROR(OFFSET(ITEM_RES!$T$1,MATCH(BJ405,ITEM_RES!$A:$A,0)-1,0),0)*BL405+IFERROR(OFFSET(ITEM_RES!$T$1,MATCH(BO405,ITEM_RES!$A:$A,0)-1,0),0)*BQ405)/1000</f>
        <v>110.5</v>
      </c>
      <c r="AK405" s="185">
        <f ca="1">AJ405</f>
        <v>110.5</v>
      </c>
      <c r="AL405" s="79"/>
      <c r="AM405" s="18">
        <f t="shared" si="118"/>
        <v>5</v>
      </c>
      <c r="AN405" s="17">
        <v>5</v>
      </c>
      <c r="AO405" s="18">
        <f t="shared" si="124"/>
        <v>5</v>
      </c>
      <c r="AP405" s="17">
        <v>5</v>
      </c>
      <c r="AQ405" s="18">
        <f t="shared" si="124"/>
        <v>5</v>
      </c>
      <c r="AR405" s="17">
        <v>5</v>
      </c>
      <c r="AS405" s="57">
        <f t="shared" si="120"/>
        <v>3</v>
      </c>
      <c r="AT405" s="18"/>
      <c r="AU405" s="18">
        <f ca="1">IFERROR(OFFSET(ITEM_RES!$A$1,MATCH(AV405,ITEM_RES!$J:$J,0)-1,0),0)</f>
        <v>211020401</v>
      </c>
      <c r="AV405" s="17" t="s">
        <v>443</v>
      </c>
      <c r="AW405" s="18">
        <v>25</v>
      </c>
      <c r="AX405" s="17"/>
      <c r="AY405" s="18"/>
      <c r="AZ405" s="18">
        <f ca="1">IFERROR(OFFSET(ITEM_RES!$A$1,MATCH(BA405,ITEM_RES!$J:$J,0)-1,0),0)</f>
        <v>211020201</v>
      </c>
      <c r="BA405" s="17" t="s">
        <v>437</v>
      </c>
      <c r="BB405" s="18">
        <v>25</v>
      </c>
      <c r="BC405" s="17"/>
      <c r="BD405" s="18"/>
      <c r="BE405" s="18">
        <f ca="1">IFERROR(OFFSET(ITEM_RES!$A$1,MATCH(BF405,ITEM_RES!$J:$J,0)-1,0),0)</f>
        <v>213010101</v>
      </c>
      <c r="BF405" s="17" t="s">
        <v>463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21"/>
        <v>112070002</v>
      </c>
      <c r="B406" s="13">
        <v>11</v>
      </c>
      <c r="C406" s="12">
        <f t="shared" si="122"/>
        <v>2</v>
      </c>
      <c r="D406" s="13">
        <v>7</v>
      </c>
      <c r="E406" s="13">
        <v>0</v>
      </c>
      <c r="F406" s="12">
        <f t="shared" si="123"/>
        <v>2</v>
      </c>
      <c r="H406" s="9">
        <v>2</v>
      </c>
      <c r="I406" s="9">
        <v>2</v>
      </c>
      <c r="K406" s="9" t="s">
        <v>368</v>
      </c>
      <c r="M406" s="9" t="s">
        <v>976</v>
      </c>
      <c r="N406" s="9" t="s">
        <v>995</v>
      </c>
      <c r="O406" s="9">
        <v>1</v>
      </c>
      <c r="P406" s="9">
        <v>15</v>
      </c>
      <c r="Q406" s="9" t="s">
        <v>794</v>
      </c>
      <c r="U406" s="9" t="s">
        <v>731</v>
      </c>
      <c r="W406" s="85" t="s">
        <v>558</v>
      </c>
      <c r="X406" s="9">
        <f ca="1">IFERROR(OFFSET(ITEM_RES!$A$5,MATCH(BUILDING!W406,ITEM_RES!$J$5:$J$226,0)-1,0),0)</f>
        <v>211020201</v>
      </c>
      <c r="Y406" s="11">
        <v>1</v>
      </c>
      <c r="Z406" s="85" t="s">
        <v>560</v>
      </c>
      <c r="AA406" s="9">
        <f ca="1">IFERROR(OFFSET(ITEM_RES!$A$5,MATCH(BUILDING!Z406,ITEM_RES!$J$5:$J$226,0)-1,0),0)</f>
        <v>211020301</v>
      </c>
      <c r="AC406" s="9" t="s">
        <v>538</v>
      </c>
      <c r="AD406" s="9">
        <v>2</v>
      </c>
      <c r="AF406" s="9">
        <v>800</v>
      </c>
      <c r="AI406" s="56">
        <f t="shared" ca="1" si="116"/>
        <v>21</v>
      </c>
      <c r="AJ406" s="10">
        <f ca="1">AO406+AQ406+(IFERROR(OFFSET(ITEM_RES!$T$1,MATCH(AU406,ITEM_RES!$A:$A,0)-1,0),0)*AW406+IFERROR(OFFSET(ITEM_RES!$T$1,MATCH(AZ406,ITEM_RES!$A:$A,0)-1,0),0)*BB406+IFERROR(OFFSET(ITEM_RES!$T$1,MATCH(BE406,ITEM_RES!$A:$A,0)-1,0),0)*BG406+IFERROR(OFFSET(ITEM_RES!$T$1,MATCH(BJ406,ITEM_RES!$A:$A,0)-1,0),0)*BL406+IFERROR(OFFSET(ITEM_RES!$T$1,MATCH(BO406,ITEM_RES!$A:$A,0)-1,0),0)*BQ406)/1000</f>
        <v>21</v>
      </c>
      <c r="AK406" s="183">
        <f t="shared" ref="AK406:AK424" ca="1" si="126">AJ405+AJ406</f>
        <v>131.5</v>
      </c>
      <c r="AM406" s="11">
        <f t="shared" si="118"/>
        <v>10</v>
      </c>
      <c r="AN406" s="10">
        <v>10</v>
      </c>
      <c r="AO406" s="11">
        <f t="shared" si="124"/>
        <v>10</v>
      </c>
      <c r="AP406" s="10">
        <v>10</v>
      </c>
      <c r="AQ406" s="11">
        <f t="shared" si="124"/>
        <v>10</v>
      </c>
      <c r="AR406" s="10">
        <v>10</v>
      </c>
      <c r="AS406" s="56">
        <f t="shared" si="120"/>
        <v>2</v>
      </c>
      <c r="AU406" s="11">
        <f ca="1">IFERROR(OFFSET(ITEM_RES!$A$1,MATCH(AV406,ITEM_RES!$J:$J,0)-1,0),0)</f>
        <v>211020401</v>
      </c>
      <c r="AV406" s="10" t="s">
        <v>443</v>
      </c>
      <c r="AW406" s="11">
        <v>50</v>
      </c>
      <c r="AZ406" s="11">
        <f ca="1">IFERROR(OFFSET(ITEM_RES!$A$1,MATCH(BA406,ITEM_RES!$J:$J,0)-1,0),0)</f>
        <v>211020201</v>
      </c>
      <c r="BA406" s="10" t="s">
        <v>437</v>
      </c>
      <c r="BB406" s="11">
        <v>50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21"/>
        <v>112070003</v>
      </c>
      <c r="B407" s="13">
        <v>11</v>
      </c>
      <c r="C407" s="12">
        <f t="shared" si="122"/>
        <v>2</v>
      </c>
      <c r="D407" s="13">
        <v>7</v>
      </c>
      <c r="E407" s="13">
        <v>0</v>
      </c>
      <c r="F407" s="12">
        <f t="shared" si="123"/>
        <v>3</v>
      </c>
      <c r="H407" s="9">
        <v>2</v>
      </c>
      <c r="I407" s="9">
        <v>3</v>
      </c>
      <c r="K407" s="9" t="s">
        <v>368</v>
      </c>
      <c r="M407" s="9" t="s">
        <v>976</v>
      </c>
      <c r="N407" s="9" t="s">
        <v>995</v>
      </c>
      <c r="O407" s="9">
        <v>1</v>
      </c>
      <c r="P407" s="9">
        <v>15</v>
      </c>
      <c r="Q407" s="9" t="s">
        <v>794</v>
      </c>
      <c r="U407" s="9" t="s">
        <v>731</v>
      </c>
      <c r="W407" s="85" t="s">
        <v>558</v>
      </c>
      <c r="X407" s="9">
        <f ca="1">IFERROR(OFFSET(ITEM_RES!$A$5,MATCH(BUILDING!W407,ITEM_RES!$J$5:$J$226,0)-1,0),0)</f>
        <v>211020201</v>
      </c>
      <c r="Y407" s="11">
        <v>1</v>
      </c>
      <c r="Z407" s="85" t="s">
        <v>560</v>
      </c>
      <c r="AA407" s="9">
        <f ca="1">IFERROR(OFFSET(ITEM_RES!$A$5,MATCH(BUILDING!Z407,ITEM_RES!$J$5:$J$226,0)-1,0),0)</f>
        <v>211020301</v>
      </c>
      <c r="AC407" s="9" t="s">
        <v>538</v>
      </c>
      <c r="AD407" s="9">
        <v>3</v>
      </c>
      <c r="AF407" s="9">
        <v>1200</v>
      </c>
      <c r="AI407" s="56">
        <f t="shared" ca="1" si="116"/>
        <v>32</v>
      </c>
      <c r="AJ407" s="10">
        <f ca="1">AO407+AQ407+(IFERROR(OFFSET(ITEM_RES!$T$1,MATCH(AU407,ITEM_RES!$A:$A,0)-1,0),0)*AW407+IFERROR(OFFSET(ITEM_RES!$T$1,MATCH(AZ407,ITEM_RES!$A:$A,0)-1,0),0)*BB407+IFERROR(OFFSET(ITEM_RES!$T$1,MATCH(BE407,ITEM_RES!$A:$A,0)-1,0),0)*BG407+IFERROR(OFFSET(ITEM_RES!$T$1,MATCH(BJ407,ITEM_RES!$A:$A,0)-1,0),0)*BL407+IFERROR(OFFSET(ITEM_RES!$T$1,MATCH(BO407,ITEM_RES!$A:$A,0)-1,0),0)*BQ407)/1000</f>
        <v>31.5</v>
      </c>
      <c r="AK407" s="183">
        <f t="shared" ca="1" si="126"/>
        <v>52.5</v>
      </c>
      <c r="AM407" s="11">
        <f t="shared" si="118"/>
        <v>15</v>
      </c>
      <c r="AN407" s="10">
        <v>15</v>
      </c>
      <c r="AO407" s="11">
        <f t="shared" si="124"/>
        <v>15</v>
      </c>
      <c r="AP407" s="10">
        <v>15</v>
      </c>
      <c r="AQ407" s="11">
        <f t="shared" si="124"/>
        <v>15</v>
      </c>
      <c r="AR407" s="10">
        <v>15</v>
      </c>
      <c r="AS407" s="56">
        <f t="shared" si="120"/>
        <v>2</v>
      </c>
      <c r="AU407" s="11">
        <f ca="1">IFERROR(OFFSET(ITEM_RES!$A$1,MATCH(AV407,ITEM_RES!$J:$J,0)-1,0),0)</f>
        <v>211020401</v>
      </c>
      <c r="AV407" s="10" t="s">
        <v>443</v>
      </c>
      <c r="AW407" s="11">
        <v>75</v>
      </c>
      <c r="AZ407" s="11">
        <f ca="1">IFERROR(OFFSET(ITEM_RES!$A$1,MATCH(BA407,ITEM_RES!$J:$J,0)-1,0),0)</f>
        <v>211020201</v>
      </c>
      <c r="BA407" s="10" t="s">
        <v>437</v>
      </c>
      <c r="BB407" s="11">
        <v>75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21"/>
        <v>112070004</v>
      </c>
      <c r="B408" s="13">
        <v>11</v>
      </c>
      <c r="C408" s="12">
        <f t="shared" si="122"/>
        <v>2</v>
      </c>
      <c r="D408" s="13">
        <v>7</v>
      </c>
      <c r="E408" s="13">
        <v>0</v>
      </c>
      <c r="F408" s="12">
        <f t="shared" si="123"/>
        <v>4</v>
      </c>
      <c r="H408" s="9">
        <v>2</v>
      </c>
      <c r="I408" s="9">
        <v>4</v>
      </c>
      <c r="K408" s="9" t="s">
        <v>368</v>
      </c>
      <c r="M408" s="9" t="s">
        <v>976</v>
      </c>
      <c r="N408" s="9" t="s">
        <v>995</v>
      </c>
      <c r="O408" s="9">
        <v>1</v>
      </c>
      <c r="P408" s="9">
        <v>15</v>
      </c>
      <c r="Q408" s="9" t="s">
        <v>794</v>
      </c>
      <c r="U408" s="9" t="s">
        <v>731</v>
      </c>
      <c r="W408" s="85" t="s">
        <v>558</v>
      </c>
      <c r="X408" s="9">
        <f ca="1">IFERROR(OFFSET(ITEM_RES!$A$5,MATCH(BUILDING!W408,ITEM_RES!$J$5:$J$226,0)-1,0),0)</f>
        <v>211020201</v>
      </c>
      <c r="Y408" s="11">
        <v>1</v>
      </c>
      <c r="Z408" s="85" t="s">
        <v>560</v>
      </c>
      <c r="AA408" s="9">
        <f ca="1">IFERROR(OFFSET(ITEM_RES!$A$5,MATCH(BUILDING!Z408,ITEM_RES!$J$5:$J$226,0)-1,0),0)</f>
        <v>211020301</v>
      </c>
      <c r="AC408" s="9" t="s">
        <v>538</v>
      </c>
      <c r="AD408" s="9">
        <v>4</v>
      </c>
      <c r="AF408" s="9">
        <v>2000</v>
      </c>
      <c r="AI408" s="56">
        <f t="shared" ca="1" si="116"/>
        <v>53</v>
      </c>
      <c r="AJ408" s="10">
        <f ca="1">AO408+AQ408+(IFERROR(OFFSET(ITEM_RES!$T$1,MATCH(AU408,ITEM_RES!$A:$A,0)-1,0),0)*AW408+IFERROR(OFFSET(ITEM_RES!$T$1,MATCH(AZ408,ITEM_RES!$A:$A,0)-1,0),0)*BB408+IFERROR(OFFSET(ITEM_RES!$T$1,MATCH(BE408,ITEM_RES!$A:$A,0)-1,0),0)*BG408+IFERROR(OFFSET(ITEM_RES!$T$1,MATCH(BJ408,ITEM_RES!$A:$A,0)-1,0),0)*BL408+IFERROR(OFFSET(ITEM_RES!$T$1,MATCH(BO408,ITEM_RES!$A:$A,0)-1,0),0)*BQ408)/1000</f>
        <v>52.5</v>
      </c>
      <c r="AK408" s="183">
        <f t="shared" ca="1" si="126"/>
        <v>84</v>
      </c>
      <c r="AM408" s="11">
        <f t="shared" si="118"/>
        <v>20</v>
      </c>
      <c r="AN408" s="10">
        <v>20</v>
      </c>
      <c r="AO408" s="11">
        <f t="shared" si="124"/>
        <v>25</v>
      </c>
      <c r="AP408" s="10">
        <v>25</v>
      </c>
      <c r="AQ408" s="11">
        <f t="shared" si="124"/>
        <v>25</v>
      </c>
      <c r="AR408" s="10">
        <v>25</v>
      </c>
      <c r="AS408" s="56">
        <f t="shared" si="120"/>
        <v>2</v>
      </c>
      <c r="AU408" s="11">
        <f ca="1">IFERROR(OFFSET(ITEM_RES!$A$1,MATCH(AV408,ITEM_RES!$J:$J,0)-1,0),0)</f>
        <v>211020401</v>
      </c>
      <c r="AV408" s="10" t="s">
        <v>443</v>
      </c>
      <c r="AW408" s="11">
        <v>125</v>
      </c>
      <c r="AZ408" s="11">
        <f ca="1">IFERROR(OFFSET(ITEM_RES!$A$1,MATCH(BA408,ITEM_RES!$J:$J,0)-1,0),0)</f>
        <v>211020201</v>
      </c>
      <c r="BA408" s="10" t="s">
        <v>437</v>
      </c>
      <c r="BB408" s="11">
        <v>125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21"/>
        <v>112070005</v>
      </c>
      <c r="B409" s="13">
        <v>11</v>
      </c>
      <c r="C409" s="12">
        <f t="shared" si="122"/>
        <v>2</v>
      </c>
      <c r="D409" s="13">
        <v>7</v>
      </c>
      <c r="E409" s="13">
        <v>0</v>
      </c>
      <c r="F409" s="12">
        <f t="shared" si="123"/>
        <v>5</v>
      </c>
      <c r="H409" s="9">
        <v>2</v>
      </c>
      <c r="I409" s="9">
        <v>5</v>
      </c>
      <c r="K409" s="9" t="s">
        <v>368</v>
      </c>
      <c r="M409" s="9" t="s">
        <v>976</v>
      </c>
      <c r="N409" s="9" t="s">
        <v>995</v>
      </c>
      <c r="O409" s="9">
        <v>1</v>
      </c>
      <c r="P409" s="9">
        <v>15</v>
      </c>
      <c r="Q409" s="9" t="s">
        <v>794</v>
      </c>
      <c r="U409" s="9" t="s">
        <v>731</v>
      </c>
      <c r="W409" s="85" t="s">
        <v>558</v>
      </c>
      <c r="X409" s="9">
        <f ca="1">IFERROR(OFFSET(ITEM_RES!$A$5,MATCH(BUILDING!W409,ITEM_RES!$J$5:$J$226,0)-1,0),0)</f>
        <v>211020201</v>
      </c>
      <c r="Y409" s="11">
        <v>1</v>
      </c>
      <c r="Z409" s="85" t="s">
        <v>560</v>
      </c>
      <c r="AA409" s="9">
        <f ca="1">IFERROR(OFFSET(ITEM_RES!$A$5,MATCH(BUILDING!Z409,ITEM_RES!$J$5:$J$226,0)-1,0),0)</f>
        <v>211020301</v>
      </c>
      <c r="AC409" s="9" t="s">
        <v>538</v>
      </c>
      <c r="AD409" s="9">
        <v>5</v>
      </c>
      <c r="AF409" s="9">
        <v>3200</v>
      </c>
      <c r="AI409" s="56">
        <f t="shared" ca="1" si="116"/>
        <v>84</v>
      </c>
      <c r="AJ409" s="10">
        <f ca="1">AO409+AQ409+(IFERROR(OFFSET(ITEM_RES!$T$1,MATCH(AU409,ITEM_RES!$A:$A,0)-1,0),0)*AW409+IFERROR(OFFSET(ITEM_RES!$T$1,MATCH(AZ409,ITEM_RES!$A:$A,0)-1,0),0)*BB409+IFERROR(OFFSET(ITEM_RES!$T$1,MATCH(BE409,ITEM_RES!$A:$A,0)-1,0),0)*BG409+IFERROR(OFFSET(ITEM_RES!$T$1,MATCH(BJ409,ITEM_RES!$A:$A,0)-1,0),0)*BL409+IFERROR(OFFSET(ITEM_RES!$T$1,MATCH(BO409,ITEM_RES!$A:$A,0)-1,0),0)*BQ409)/1000</f>
        <v>84</v>
      </c>
      <c r="AK409" s="183">
        <f t="shared" ca="1" si="126"/>
        <v>136.5</v>
      </c>
      <c r="AM409" s="11">
        <f t="shared" ref="AM409:AM472" si="127">ROUND(AN409,0)</f>
        <v>25</v>
      </c>
      <c r="AN409" s="10">
        <v>25</v>
      </c>
      <c r="AO409" s="11">
        <f t="shared" si="124"/>
        <v>40</v>
      </c>
      <c r="AP409" s="10">
        <v>40</v>
      </c>
      <c r="AQ409" s="11">
        <f t="shared" si="124"/>
        <v>40</v>
      </c>
      <c r="AR409" s="10">
        <v>40</v>
      </c>
      <c r="AS409" s="56">
        <f t="shared" si="120"/>
        <v>2</v>
      </c>
      <c r="AU409" s="11">
        <f ca="1">IFERROR(OFFSET(ITEM_RES!$A$1,MATCH(AV409,ITEM_RES!$J:$J,0)-1,0),0)</f>
        <v>211020401</v>
      </c>
      <c r="AV409" s="10" t="s">
        <v>443</v>
      </c>
      <c r="AW409" s="11">
        <v>200</v>
      </c>
      <c r="AZ409" s="11">
        <f ca="1">IFERROR(OFFSET(ITEM_RES!$A$1,MATCH(BA409,ITEM_RES!$J:$J,0)-1,0),0)</f>
        <v>211020201</v>
      </c>
      <c r="BA409" s="10" t="s">
        <v>437</v>
      </c>
      <c r="BB409" s="11">
        <v>200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21"/>
        <v>112070006</v>
      </c>
      <c r="B410" s="13">
        <v>11</v>
      </c>
      <c r="C410" s="12">
        <f t="shared" si="122"/>
        <v>2</v>
      </c>
      <c r="D410" s="13">
        <v>7</v>
      </c>
      <c r="E410" s="13">
        <v>0</v>
      </c>
      <c r="F410" s="12">
        <f t="shared" si="123"/>
        <v>6</v>
      </c>
      <c r="H410" s="9">
        <v>2</v>
      </c>
      <c r="I410" s="9">
        <v>6</v>
      </c>
      <c r="K410" s="9" t="s">
        <v>368</v>
      </c>
      <c r="M410" s="9" t="s">
        <v>976</v>
      </c>
      <c r="N410" s="9" t="s">
        <v>995</v>
      </c>
      <c r="O410" s="9">
        <v>1</v>
      </c>
      <c r="P410" s="9">
        <v>15</v>
      </c>
      <c r="Q410" s="9" t="s">
        <v>794</v>
      </c>
      <c r="U410" s="9" t="s">
        <v>731</v>
      </c>
      <c r="W410" s="85" t="s">
        <v>558</v>
      </c>
      <c r="X410" s="9">
        <f ca="1">IFERROR(OFFSET(ITEM_RES!$A$5,MATCH(BUILDING!W410,ITEM_RES!$J$5:$J$226,0)-1,0),0)</f>
        <v>211020201</v>
      </c>
      <c r="Y410" s="11">
        <v>1</v>
      </c>
      <c r="Z410" s="85" t="s">
        <v>560</v>
      </c>
      <c r="AA410" s="9">
        <f ca="1">IFERROR(OFFSET(ITEM_RES!$A$5,MATCH(BUILDING!Z410,ITEM_RES!$J$5:$J$226,0)-1,0),0)</f>
        <v>211020301</v>
      </c>
      <c r="AC410" s="9" t="s">
        <v>538</v>
      </c>
      <c r="AD410" s="9">
        <v>6</v>
      </c>
      <c r="AF410" s="9">
        <v>4000</v>
      </c>
      <c r="AI410" s="56">
        <f t="shared" ref="AI410:AI473" ca="1" si="128">ROUND(AJ410,0)</f>
        <v>105</v>
      </c>
      <c r="AJ410" s="10">
        <f ca="1">AO410+AQ410+(IFERROR(OFFSET(ITEM_RES!$T$1,MATCH(AU410,ITEM_RES!$A:$A,0)-1,0),0)*AW410+IFERROR(OFFSET(ITEM_RES!$T$1,MATCH(AZ410,ITEM_RES!$A:$A,0)-1,0),0)*BB410+IFERROR(OFFSET(ITEM_RES!$T$1,MATCH(BE410,ITEM_RES!$A:$A,0)-1,0),0)*BG410+IFERROR(OFFSET(ITEM_RES!$T$1,MATCH(BJ410,ITEM_RES!$A:$A,0)-1,0),0)*BL410+IFERROR(OFFSET(ITEM_RES!$T$1,MATCH(BO410,ITEM_RES!$A:$A,0)-1,0),0)*BQ410)/1000</f>
        <v>105</v>
      </c>
      <c r="AK410" s="183">
        <f t="shared" ca="1" si="126"/>
        <v>189</v>
      </c>
      <c r="AM410" s="11">
        <f t="shared" si="127"/>
        <v>30</v>
      </c>
      <c r="AN410" s="10">
        <v>30</v>
      </c>
      <c r="AO410" s="11">
        <f t="shared" si="124"/>
        <v>50</v>
      </c>
      <c r="AP410" s="10">
        <v>50</v>
      </c>
      <c r="AQ410" s="11">
        <f t="shared" si="124"/>
        <v>50</v>
      </c>
      <c r="AR410" s="10">
        <v>50</v>
      </c>
      <c r="AS410" s="56">
        <f t="shared" ref="AS410:AS473" si="129">(AW410&gt;0)*1+(BB410&gt;0)*1+(BG410&gt;0)*1+(BL410&gt;0)*1+(BQ410&gt;0)*1</f>
        <v>2</v>
      </c>
      <c r="AU410" s="11">
        <f ca="1">IFERROR(OFFSET(ITEM_RES!$A$1,MATCH(AV410,ITEM_RES!$J:$J,0)-1,0),0)</f>
        <v>211020401</v>
      </c>
      <c r="AV410" s="10" t="s">
        <v>443</v>
      </c>
      <c r="AW410" s="11">
        <v>250</v>
      </c>
      <c r="AZ410" s="11">
        <f ca="1">IFERROR(OFFSET(ITEM_RES!$A$1,MATCH(BA410,ITEM_RES!$J:$J,0)-1,0),0)</f>
        <v>211020201</v>
      </c>
      <c r="BA410" s="10" t="s">
        <v>437</v>
      </c>
      <c r="BB410" s="11">
        <v>250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  <c r="BO410" s="11">
        <f ca="1">IFERROR(OFFSET(ITEM_RES!$A$1,MATCH(BP410,ITEM_RES!$J:$J,0)-1,0),0)</f>
        <v>0</v>
      </c>
    </row>
    <row r="411" spans="1:70" x14ac:dyDescent="0.3">
      <c r="A411" s="14">
        <f t="shared" si="121"/>
        <v>112070007</v>
      </c>
      <c r="B411" s="13">
        <v>11</v>
      </c>
      <c r="C411" s="12">
        <f t="shared" si="122"/>
        <v>2</v>
      </c>
      <c r="D411" s="13">
        <v>7</v>
      </c>
      <c r="E411" s="13">
        <v>0</v>
      </c>
      <c r="F411" s="12">
        <f t="shared" si="123"/>
        <v>7</v>
      </c>
      <c r="H411" s="9">
        <v>2</v>
      </c>
      <c r="I411" s="9">
        <v>7</v>
      </c>
      <c r="K411" s="9" t="s">
        <v>368</v>
      </c>
      <c r="M411" s="9" t="s">
        <v>976</v>
      </c>
      <c r="N411" s="9" t="s">
        <v>995</v>
      </c>
      <c r="O411" s="9">
        <v>1</v>
      </c>
      <c r="P411" s="9">
        <v>15</v>
      </c>
      <c r="Q411" s="9" t="s">
        <v>794</v>
      </c>
      <c r="U411" s="9" t="s">
        <v>731</v>
      </c>
      <c r="W411" s="85" t="s">
        <v>558</v>
      </c>
      <c r="X411" s="9">
        <f ca="1">IFERROR(OFFSET(ITEM_RES!$A$5,MATCH(BUILDING!W411,ITEM_RES!$J$5:$J$226,0)-1,0),0)</f>
        <v>211020201</v>
      </c>
      <c r="Y411" s="11">
        <v>1</v>
      </c>
      <c r="Z411" s="85" t="s">
        <v>560</v>
      </c>
      <c r="AA411" s="9">
        <f ca="1">IFERROR(OFFSET(ITEM_RES!$A$5,MATCH(BUILDING!Z411,ITEM_RES!$J$5:$J$226,0)-1,0),0)</f>
        <v>211020301</v>
      </c>
      <c r="AC411" s="9" t="s">
        <v>538</v>
      </c>
      <c r="AD411" s="9">
        <v>7</v>
      </c>
      <c r="AF411" s="9">
        <v>8000</v>
      </c>
      <c r="AI411" s="56">
        <f t="shared" ca="1" si="128"/>
        <v>210</v>
      </c>
      <c r="AJ411" s="10">
        <f ca="1">AO411+AQ411+(IFERROR(OFFSET(ITEM_RES!$T$1,MATCH(AU411,ITEM_RES!$A:$A,0)-1,0),0)*AW411+IFERROR(OFFSET(ITEM_RES!$T$1,MATCH(AZ411,ITEM_RES!$A:$A,0)-1,0),0)*BB411+IFERROR(OFFSET(ITEM_RES!$T$1,MATCH(BE411,ITEM_RES!$A:$A,0)-1,0),0)*BG411+IFERROR(OFFSET(ITEM_RES!$T$1,MATCH(BJ411,ITEM_RES!$A:$A,0)-1,0),0)*BL411+IFERROR(OFFSET(ITEM_RES!$T$1,MATCH(BO411,ITEM_RES!$A:$A,0)-1,0),0)*BQ411)/1000</f>
        <v>210</v>
      </c>
      <c r="AK411" s="183">
        <f t="shared" ca="1" si="126"/>
        <v>315</v>
      </c>
      <c r="AM411" s="11">
        <f t="shared" si="127"/>
        <v>35</v>
      </c>
      <c r="AN411" s="10">
        <v>35</v>
      </c>
      <c r="AO411" s="11">
        <f t="shared" si="124"/>
        <v>100</v>
      </c>
      <c r="AP411" s="10">
        <v>100</v>
      </c>
      <c r="AQ411" s="11">
        <f t="shared" si="124"/>
        <v>100</v>
      </c>
      <c r="AR411" s="10">
        <v>100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443</v>
      </c>
      <c r="AW411" s="11">
        <v>500</v>
      </c>
      <c r="AZ411" s="11">
        <f ca="1">IFERROR(OFFSET(ITEM_RES!$A$1,MATCH(BA411,ITEM_RES!$J:$J,0)-1,0),0)</f>
        <v>211020201</v>
      </c>
      <c r="BA411" s="10" t="s">
        <v>437</v>
      </c>
      <c r="BB411" s="11">
        <v>500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21"/>
        <v>112070008</v>
      </c>
      <c r="B412" s="13">
        <v>11</v>
      </c>
      <c r="C412" s="12">
        <f t="shared" si="122"/>
        <v>2</v>
      </c>
      <c r="D412" s="13">
        <v>7</v>
      </c>
      <c r="E412" s="13">
        <v>0</v>
      </c>
      <c r="F412" s="12">
        <f t="shared" si="123"/>
        <v>8</v>
      </c>
      <c r="H412" s="9">
        <v>2</v>
      </c>
      <c r="I412" s="9">
        <v>8</v>
      </c>
      <c r="K412" s="9" t="s">
        <v>368</v>
      </c>
      <c r="M412" s="9" t="s">
        <v>976</v>
      </c>
      <c r="N412" s="9" t="s">
        <v>995</v>
      </c>
      <c r="O412" s="9">
        <v>1</v>
      </c>
      <c r="P412" s="9">
        <v>15</v>
      </c>
      <c r="Q412" s="9" t="s">
        <v>794</v>
      </c>
      <c r="U412" s="9" t="s">
        <v>731</v>
      </c>
      <c r="W412" s="85" t="s">
        <v>558</v>
      </c>
      <c r="X412" s="9">
        <f ca="1">IFERROR(OFFSET(ITEM_RES!$A$5,MATCH(BUILDING!W412,ITEM_RES!$J$5:$J$226,0)-1,0),0)</f>
        <v>211020201</v>
      </c>
      <c r="Y412" s="11">
        <v>1</v>
      </c>
      <c r="Z412" s="85" t="s">
        <v>560</v>
      </c>
      <c r="AA412" s="9">
        <f ca="1">IFERROR(OFFSET(ITEM_RES!$A$5,MATCH(BUILDING!Z412,ITEM_RES!$J$5:$J$226,0)-1,0),0)</f>
        <v>211020301</v>
      </c>
      <c r="AC412" s="9" t="s">
        <v>538</v>
      </c>
      <c r="AD412" s="9">
        <v>8</v>
      </c>
      <c r="AF412" s="9">
        <v>8000</v>
      </c>
      <c r="AI412" s="56">
        <f t="shared" ca="1" si="128"/>
        <v>210</v>
      </c>
      <c r="AJ412" s="10">
        <f ca="1">AO412+AQ412+(IFERROR(OFFSET(ITEM_RES!$T$1,MATCH(AU412,ITEM_RES!$A:$A,0)-1,0),0)*AW412+IFERROR(OFFSET(ITEM_RES!$T$1,MATCH(AZ412,ITEM_RES!$A:$A,0)-1,0),0)*BB412+IFERROR(OFFSET(ITEM_RES!$T$1,MATCH(BE412,ITEM_RES!$A:$A,0)-1,0),0)*BG412+IFERROR(OFFSET(ITEM_RES!$T$1,MATCH(BJ412,ITEM_RES!$A:$A,0)-1,0),0)*BL412+IFERROR(OFFSET(ITEM_RES!$T$1,MATCH(BO412,ITEM_RES!$A:$A,0)-1,0),0)*BQ412)/1000</f>
        <v>210</v>
      </c>
      <c r="AK412" s="183">
        <f t="shared" ca="1" si="126"/>
        <v>420</v>
      </c>
      <c r="AM412" s="11">
        <f t="shared" si="127"/>
        <v>40</v>
      </c>
      <c r="AN412" s="10">
        <v>40</v>
      </c>
      <c r="AO412" s="11">
        <f t="shared" si="124"/>
        <v>100</v>
      </c>
      <c r="AP412" s="10">
        <v>100</v>
      </c>
      <c r="AQ412" s="11">
        <f t="shared" si="124"/>
        <v>100</v>
      </c>
      <c r="AR412" s="10">
        <v>100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443</v>
      </c>
      <c r="AW412" s="11">
        <v>500</v>
      </c>
      <c r="AZ412" s="11">
        <f ca="1">IFERROR(OFFSET(ITEM_RES!$A$1,MATCH(BA412,ITEM_RES!$J:$J,0)-1,0),0)</f>
        <v>211020201</v>
      </c>
      <c r="BA412" s="10" t="s">
        <v>437</v>
      </c>
      <c r="BB412" s="11">
        <v>500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21"/>
        <v>112070009</v>
      </c>
      <c r="B413" s="13">
        <v>11</v>
      </c>
      <c r="C413" s="12">
        <f t="shared" si="122"/>
        <v>2</v>
      </c>
      <c r="D413" s="13">
        <v>7</v>
      </c>
      <c r="E413" s="13">
        <v>0</v>
      </c>
      <c r="F413" s="12">
        <f t="shared" si="123"/>
        <v>9</v>
      </c>
      <c r="H413" s="9">
        <v>2</v>
      </c>
      <c r="I413" s="9">
        <v>9</v>
      </c>
      <c r="K413" s="9" t="s">
        <v>368</v>
      </c>
      <c r="M413" s="9" t="s">
        <v>976</v>
      </c>
      <c r="N413" s="9" t="s">
        <v>995</v>
      </c>
      <c r="O413" s="9">
        <v>1</v>
      </c>
      <c r="P413" s="9">
        <v>15</v>
      </c>
      <c r="Q413" s="9" t="s">
        <v>794</v>
      </c>
      <c r="U413" s="9" t="s">
        <v>731</v>
      </c>
      <c r="W413" s="85" t="s">
        <v>558</v>
      </c>
      <c r="X413" s="9">
        <f ca="1">IFERROR(OFFSET(ITEM_RES!$A$5,MATCH(BUILDING!W413,ITEM_RES!$J$5:$J$226,0)-1,0),0)</f>
        <v>211020201</v>
      </c>
      <c r="Y413" s="11">
        <v>1</v>
      </c>
      <c r="Z413" s="85" t="s">
        <v>560</v>
      </c>
      <c r="AA413" s="9">
        <f ca="1">IFERROR(OFFSET(ITEM_RES!$A$5,MATCH(BUILDING!Z413,ITEM_RES!$J$5:$J$226,0)-1,0),0)</f>
        <v>211020301</v>
      </c>
      <c r="AC413" s="9" t="s">
        <v>538</v>
      </c>
      <c r="AD413" s="9">
        <v>9</v>
      </c>
      <c r="AF413" s="9">
        <v>12000</v>
      </c>
      <c r="AI413" s="56">
        <f t="shared" ca="1" si="128"/>
        <v>315</v>
      </c>
      <c r="AJ413" s="10">
        <f ca="1">AO413+AQ413+(IFERROR(OFFSET(ITEM_RES!$T$1,MATCH(AU413,ITEM_RES!$A:$A,0)-1,0),0)*AW413+IFERROR(OFFSET(ITEM_RES!$T$1,MATCH(AZ413,ITEM_RES!$A:$A,0)-1,0),0)*BB413+IFERROR(OFFSET(ITEM_RES!$T$1,MATCH(BE413,ITEM_RES!$A:$A,0)-1,0),0)*BG413+IFERROR(OFFSET(ITEM_RES!$T$1,MATCH(BJ413,ITEM_RES!$A:$A,0)-1,0),0)*BL413+IFERROR(OFFSET(ITEM_RES!$T$1,MATCH(BO413,ITEM_RES!$A:$A,0)-1,0),0)*BQ413)/1000</f>
        <v>315</v>
      </c>
      <c r="AK413" s="183">
        <f t="shared" ca="1" si="126"/>
        <v>525</v>
      </c>
      <c r="AM413" s="11">
        <f t="shared" si="127"/>
        <v>45</v>
      </c>
      <c r="AN413" s="10">
        <v>45</v>
      </c>
      <c r="AO413" s="11">
        <f t="shared" si="124"/>
        <v>150</v>
      </c>
      <c r="AP413" s="10">
        <v>150</v>
      </c>
      <c r="AQ413" s="11">
        <f t="shared" si="124"/>
        <v>150</v>
      </c>
      <c r="AR413" s="10">
        <v>150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443</v>
      </c>
      <c r="AW413" s="11">
        <v>750</v>
      </c>
      <c r="AZ413" s="11">
        <f ca="1">IFERROR(OFFSET(ITEM_RES!$A$1,MATCH(BA413,ITEM_RES!$J:$J,0)-1,0),0)</f>
        <v>211020201</v>
      </c>
      <c r="BA413" s="10" t="s">
        <v>437</v>
      </c>
      <c r="BB413" s="11">
        <v>750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21"/>
        <v>112070010</v>
      </c>
      <c r="B414" s="13">
        <v>11</v>
      </c>
      <c r="C414" s="12">
        <f t="shared" si="122"/>
        <v>2</v>
      </c>
      <c r="D414" s="13">
        <v>7</v>
      </c>
      <c r="E414" s="13">
        <v>0</v>
      </c>
      <c r="F414" s="12">
        <f t="shared" si="123"/>
        <v>10</v>
      </c>
      <c r="H414" s="9">
        <v>2</v>
      </c>
      <c r="I414" s="9">
        <v>10</v>
      </c>
      <c r="K414" s="9" t="s">
        <v>368</v>
      </c>
      <c r="M414" s="9" t="s">
        <v>976</v>
      </c>
      <c r="N414" s="9" t="s">
        <v>995</v>
      </c>
      <c r="O414" s="9">
        <v>1</v>
      </c>
      <c r="P414" s="9">
        <v>15</v>
      </c>
      <c r="Q414" s="9" t="s">
        <v>794</v>
      </c>
      <c r="U414" s="9" t="s">
        <v>731</v>
      </c>
      <c r="W414" s="85" t="s">
        <v>558</v>
      </c>
      <c r="X414" s="9">
        <f ca="1">IFERROR(OFFSET(ITEM_RES!$A$5,MATCH(BUILDING!W414,ITEM_RES!$J$5:$J$226,0)-1,0),0)</f>
        <v>211020201</v>
      </c>
      <c r="Y414" s="11">
        <v>1</v>
      </c>
      <c r="Z414" s="85" t="s">
        <v>560</v>
      </c>
      <c r="AA414" s="9">
        <f ca="1">IFERROR(OFFSET(ITEM_RES!$A$5,MATCH(BUILDING!Z414,ITEM_RES!$J$5:$J$226,0)-1,0),0)</f>
        <v>211020301</v>
      </c>
      <c r="AC414" s="9" t="s">
        <v>538</v>
      </c>
      <c r="AD414" s="9">
        <v>10</v>
      </c>
      <c r="AF414" s="9">
        <v>16000</v>
      </c>
      <c r="AI414" s="56">
        <f t="shared" ca="1" si="128"/>
        <v>420</v>
      </c>
      <c r="AJ414" s="10">
        <f ca="1">AO414+AQ414+(IFERROR(OFFSET(ITEM_RES!$T$1,MATCH(AU414,ITEM_RES!$A:$A,0)-1,0),0)*AW414+IFERROR(OFFSET(ITEM_RES!$T$1,MATCH(AZ414,ITEM_RES!$A:$A,0)-1,0),0)*BB414+IFERROR(OFFSET(ITEM_RES!$T$1,MATCH(BE414,ITEM_RES!$A:$A,0)-1,0),0)*BG414+IFERROR(OFFSET(ITEM_RES!$T$1,MATCH(BJ414,ITEM_RES!$A:$A,0)-1,0),0)*BL414+IFERROR(OFFSET(ITEM_RES!$T$1,MATCH(BO414,ITEM_RES!$A:$A,0)-1,0),0)*BQ414)/1000</f>
        <v>420</v>
      </c>
      <c r="AK414" s="183">
        <f t="shared" ca="1" si="126"/>
        <v>735</v>
      </c>
      <c r="AM414" s="11">
        <f t="shared" si="127"/>
        <v>50</v>
      </c>
      <c r="AN414" s="10">
        <v>50</v>
      </c>
      <c r="AO414" s="11">
        <f t="shared" si="124"/>
        <v>200</v>
      </c>
      <c r="AP414" s="10">
        <v>200</v>
      </c>
      <c r="AQ414" s="11">
        <f t="shared" si="124"/>
        <v>200</v>
      </c>
      <c r="AR414" s="10">
        <v>200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443</v>
      </c>
      <c r="AW414" s="11">
        <v>1000</v>
      </c>
      <c r="AZ414" s="11">
        <f ca="1">IFERROR(OFFSET(ITEM_RES!$A$1,MATCH(BA414,ITEM_RES!$J:$J,0)-1,0),0)</f>
        <v>211020201</v>
      </c>
      <c r="BA414" s="10" t="s">
        <v>437</v>
      </c>
      <c r="BB414" s="11">
        <v>1000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21"/>
        <v>112070011</v>
      </c>
      <c r="B415" s="13">
        <v>11</v>
      </c>
      <c r="C415" s="12">
        <f t="shared" si="122"/>
        <v>2</v>
      </c>
      <c r="D415" s="13">
        <v>7</v>
      </c>
      <c r="E415" s="13">
        <v>0</v>
      </c>
      <c r="F415" s="12">
        <f t="shared" si="123"/>
        <v>11</v>
      </c>
      <c r="H415" s="9">
        <v>2</v>
      </c>
      <c r="I415" s="9">
        <v>11</v>
      </c>
      <c r="K415" s="9" t="s">
        <v>368</v>
      </c>
      <c r="M415" s="9" t="s">
        <v>976</v>
      </c>
      <c r="N415" s="9" t="s">
        <v>995</v>
      </c>
      <c r="O415" s="9">
        <v>1</v>
      </c>
      <c r="P415" s="9">
        <v>15</v>
      </c>
      <c r="Q415" s="9" t="s">
        <v>794</v>
      </c>
      <c r="U415" s="9" t="s">
        <v>731</v>
      </c>
      <c r="W415" s="85" t="s">
        <v>558</v>
      </c>
      <c r="X415" s="9">
        <f ca="1">IFERROR(OFFSET(ITEM_RES!$A$5,MATCH(BUILDING!W415,ITEM_RES!$J$5:$J$226,0)-1,0),0)</f>
        <v>211020201</v>
      </c>
      <c r="Y415" s="11">
        <v>1</v>
      </c>
      <c r="Z415" s="85" t="s">
        <v>560</v>
      </c>
      <c r="AA415" s="9">
        <f ca="1">IFERROR(OFFSET(ITEM_RES!$A$5,MATCH(BUILDING!Z415,ITEM_RES!$J$5:$J$226,0)-1,0),0)</f>
        <v>211020301</v>
      </c>
      <c r="AC415" s="9" t="s">
        <v>538</v>
      </c>
      <c r="AD415" s="9">
        <v>11</v>
      </c>
      <c r="AF415" s="9">
        <v>20000</v>
      </c>
      <c r="AI415" s="56">
        <f t="shared" ca="1" si="128"/>
        <v>825</v>
      </c>
      <c r="AJ415" s="10">
        <f ca="1">AO415+AQ415+(IFERROR(OFFSET(ITEM_RES!$T$1,MATCH(AU415,ITEM_RES!$A:$A,0)-1,0),0)*AW415+IFERROR(OFFSET(ITEM_RES!$T$1,MATCH(AZ415,ITEM_RES!$A:$A,0)-1,0),0)*BB415+IFERROR(OFFSET(ITEM_RES!$T$1,MATCH(BE415,ITEM_RES!$A:$A,0)-1,0),0)*BG415+IFERROR(OFFSET(ITEM_RES!$T$1,MATCH(BJ415,ITEM_RES!$A:$A,0)-1,0),0)*BL415+IFERROR(OFFSET(ITEM_RES!$T$1,MATCH(BO415,ITEM_RES!$A:$A,0)-1,0),0)*BQ415)/1000</f>
        <v>825</v>
      </c>
      <c r="AK415" s="183">
        <f t="shared" ca="1" si="126"/>
        <v>1245</v>
      </c>
      <c r="AM415" s="11">
        <f t="shared" si="127"/>
        <v>55</v>
      </c>
      <c r="AN415" s="10">
        <v>55</v>
      </c>
      <c r="AO415" s="11">
        <f t="shared" si="124"/>
        <v>250</v>
      </c>
      <c r="AP415" s="10">
        <v>250</v>
      </c>
      <c r="AQ415" s="11">
        <f t="shared" si="124"/>
        <v>250</v>
      </c>
      <c r="AR415" s="10">
        <v>250</v>
      </c>
      <c r="AS415" s="56">
        <f t="shared" si="129"/>
        <v>3</v>
      </c>
      <c r="AU415" s="11">
        <f ca="1">IFERROR(OFFSET(ITEM_RES!$A$1,MATCH(AV415,ITEM_RES!$J:$J,0)-1,0),0)</f>
        <v>211020401</v>
      </c>
      <c r="AV415" s="10" t="s">
        <v>443</v>
      </c>
      <c r="AW415" s="11">
        <v>1250</v>
      </c>
      <c r="AZ415" s="11">
        <f ca="1">IFERROR(OFFSET(ITEM_RES!$A$1,MATCH(BA415,ITEM_RES!$J:$J,0)-1,0),0)</f>
        <v>211020201</v>
      </c>
      <c r="BA415" s="10" t="s">
        <v>437</v>
      </c>
      <c r="BB415" s="11">
        <v>1250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213011201</v>
      </c>
      <c r="BK415" s="10" t="s">
        <v>478</v>
      </c>
      <c r="BL415" s="11">
        <v>1</v>
      </c>
      <c r="BO415" s="11">
        <f ca="1">IFERROR(OFFSET(ITEM_RES!$A$1,MATCH(BP415,ITEM_RES!$J:$J,0)-1,0),0)</f>
        <v>0</v>
      </c>
    </row>
    <row r="416" spans="1:70" x14ac:dyDescent="0.3">
      <c r="A416" s="14">
        <f t="shared" si="121"/>
        <v>112070012</v>
      </c>
      <c r="B416" s="13">
        <v>11</v>
      </c>
      <c r="C416" s="12">
        <f t="shared" si="122"/>
        <v>2</v>
      </c>
      <c r="D416" s="13">
        <v>7</v>
      </c>
      <c r="E416" s="13">
        <v>0</v>
      </c>
      <c r="F416" s="12">
        <f t="shared" si="123"/>
        <v>12</v>
      </c>
      <c r="H416" s="9">
        <v>2</v>
      </c>
      <c r="I416" s="9">
        <v>12</v>
      </c>
      <c r="K416" s="9" t="s">
        <v>368</v>
      </c>
      <c r="M416" s="9" t="s">
        <v>976</v>
      </c>
      <c r="N416" s="9" t="s">
        <v>995</v>
      </c>
      <c r="O416" s="9">
        <v>1</v>
      </c>
      <c r="P416" s="9">
        <v>15</v>
      </c>
      <c r="Q416" s="9" t="s">
        <v>794</v>
      </c>
      <c r="U416" s="9" t="s">
        <v>731</v>
      </c>
      <c r="W416" s="85" t="s">
        <v>558</v>
      </c>
      <c r="X416" s="9">
        <f ca="1">IFERROR(OFFSET(ITEM_RES!$A$5,MATCH(BUILDING!W416,ITEM_RES!$J$5:$J$226,0)-1,0),0)</f>
        <v>211020201</v>
      </c>
      <c r="Y416" s="11">
        <v>1</v>
      </c>
      <c r="Z416" s="85" t="s">
        <v>560</v>
      </c>
      <c r="AA416" s="9">
        <f ca="1">IFERROR(OFFSET(ITEM_RES!$A$5,MATCH(BUILDING!Z416,ITEM_RES!$J$5:$J$226,0)-1,0),0)</f>
        <v>211020301</v>
      </c>
      <c r="AC416" s="9" t="s">
        <v>538</v>
      </c>
      <c r="AD416" s="9">
        <v>12</v>
      </c>
      <c r="AF416" s="9">
        <v>24000</v>
      </c>
      <c r="AI416" s="56">
        <f t="shared" ca="1" si="128"/>
        <v>630</v>
      </c>
      <c r="AJ416" s="10">
        <f ca="1">AO416+AQ416+(IFERROR(OFFSET(ITEM_RES!$T$1,MATCH(AU416,ITEM_RES!$A:$A,0)-1,0),0)*AW416+IFERROR(OFFSET(ITEM_RES!$T$1,MATCH(AZ416,ITEM_RES!$A:$A,0)-1,0),0)*BB416+IFERROR(OFFSET(ITEM_RES!$T$1,MATCH(BE416,ITEM_RES!$A:$A,0)-1,0),0)*BG416+IFERROR(OFFSET(ITEM_RES!$T$1,MATCH(BJ416,ITEM_RES!$A:$A,0)-1,0),0)*BL416+IFERROR(OFFSET(ITEM_RES!$T$1,MATCH(BO416,ITEM_RES!$A:$A,0)-1,0),0)*BQ416)/1000</f>
        <v>630</v>
      </c>
      <c r="AK416" s="183">
        <f t="shared" ca="1" si="126"/>
        <v>1455</v>
      </c>
      <c r="AM416" s="11">
        <f t="shared" si="127"/>
        <v>60</v>
      </c>
      <c r="AN416" s="10">
        <v>60</v>
      </c>
      <c r="AO416" s="11">
        <f t="shared" si="124"/>
        <v>300</v>
      </c>
      <c r="AP416" s="10">
        <v>300</v>
      </c>
      <c r="AQ416" s="11">
        <f t="shared" si="124"/>
        <v>300</v>
      </c>
      <c r="AR416" s="10">
        <v>300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443</v>
      </c>
      <c r="AW416" s="11">
        <v>1500</v>
      </c>
      <c r="AZ416" s="11">
        <f ca="1">IFERROR(OFFSET(ITEM_RES!$A$1,MATCH(BA416,ITEM_RES!$J:$J,0)-1,0),0)</f>
        <v>211020201</v>
      </c>
      <c r="BA416" s="10" t="s">
        <v>437</v>
      </c>
      <c r="BB416" s="11">
        <v>1500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21"/>
        <v>112070013</v>
      </c>
      <c r="B417" s="13">
        <v>11</v>
      </c>
      <c r="C417" s="12">
        <f t="shared" si="122"/>
        <v>2</v>
      </c>
      <c r="D417" s="13">
        <v>7</v>
      </c>
      <c r="E417" s="13">
        <v>0</v>
      </c>
      <c r="F417" s="12">
        <f t="shared" si="123"/>
        <v>13</v>
      </c>
      <c r="H417" s="9">
        <v>2</v>
      </c>
      <c r="I417" s="9">
        <v>13</v>
      </c>
      <c r="K417" s="9" t="s">
        <v>368</v>
      </c>
      <c r="M417" s="9" t="s">
        <v>976</v>
      </c>
      <c r="N417" s="9" t="s">
        <v>995</v>
      </c>
      <c r="O417" s="9">
        <v>1</v>
      </c>
      <c r="P417" s="9">
        <v>15</v>
      </c>
      <c r="Q417" s="9" t="s">
        <v>794</v>
      </c>
      <c r="U417" s="9" t="s">
        <v>731</v>
      </c>
      <c r="W417" s="85" t="s">
        <v>558</v>
      </c>
      <c r="X417" s="9">
        <f ca="1">IFERROR(OFFSET(ITEM_RES!$A$5,MATCH(BUILDING!W417,ITEM_RES!$J$5:$J$226,0)-1,0),0)</f>
        <v>211020201</v>
      </c>
      <c r="Y417" s="11">
        <v>1</v>
      </c>
      <c r="Z417" s="85" t="s">
        <v>560</v>
      </c>
      <c r="AA417" s="9">
        <f ca="1">IFERROR(OFFSET(ITEM_RES!$A$5,MATCH(BUILDING!Z417,ITEM_RES!$J$5:$J$226,0)-1,0),0)</f>
        <v>211020301</v>
      </c>
      <c r="AC417" s="9" t="s">
        <v>538</v>
      </c>
      <c r="AD417" s="9">
        <v>13</v>
      </c>
      <c r="AF417" s="9">
        <v>28000</v>
      </c>
      <c r="AI417" s="56">
        <f t="shared" ca="1" si="128"/>
        <v>735</v>
      </c>
      <c r="AJ417" s="10">
        <f ca="1">AO417+AQ417+(IFERROR(OFFSET(ITEM_RES!$T$1,MATCH(AU417,ITEM_RES!$A:$A,0)-1,0),0)*AW417+IFERROR(OFFSET(ITEM_RES!$T$1,MATCH(AZ417,ITEM_RES!$A:$A,0)-1,0),0)*BB417+IFERROR(OFFSET(ITEM_RES!$T$1,MATCH(BE417,ITEM_RES!$A:$A,0)-1,0),0)*BG417+IFERROR(OFFSET(ITEM_RES!$T$1,MATCH(BJ417,ITEM_RES!$A:$A,0)-1,0),0)*BL417+IFERROR(OFFSET(ITEM_RES!$T$1,MATCH(BO417,ITEM_RES!$A:$A,0)-1,0),0)*BQ417)/1000</f>
        <v>735</v>
      </c>
      <c r="AK417" s="183">
        <f t="shared" ca="1" si="126"/>
        <v>1365</v>
      </c>
      <c r="AM417" s="11">
        <f t="shared" si="127"/>
        <v>65</v>
      </c>
      <c r="AN417" s="10">
        <v>65</v>
      </c>
      <c r="AO417" s="11">
        <f t="shared" si="124"/>
        <v>350</v>
      </c>
      <c r="AP417" s="10">
        <v>350</v>
      </c>
      <c r="AQ417" s="11">
        <f t="shared" si="124"/>
        <v>350</v>
      </c>
      <c r="AR417" s="10">
        <v>350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443</v>
      </c>
      <c r="AW417" s="11">
        <v>1750</v>
      </c>
      <c r="AZ417" s="11">
        <f ca="1">IFERROR(OFFSET(ITEM_RES!$A$1,MATCH(BA417,ITEM_RES!$J:$J,0)-1,0),0)</f>
        <v>211020201</v>
      </c>
      <c r="BA417" s="10" t="s">
        <v>437</v>
      </c>
      <c r="BB417" s="11">
        <v>1750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21"/>
        <v>112070014</v>
      </c>
      <c r="B418" s="13">
        <v>11</v>
      </c>
      <c r="C418" s="12">
        <f t="shared" si="122"/>
        <v>2</v>
      </c>
      <c r="D418" s="13">
        <v>7</v>
      </c>
      <c r="E418" s="13">
        <v>0</v>
      </c>
      <c r="F418" s="12">
        <f t="shared" si="123"/>
        <v>14</v>
      </c>
      <c r="H418" s="9">
        <v>2</v>
      </c>
      <c r="I418" s="9">
        <v>14</v>
      </c>
      <c r="K418" s="9" t="s">
        <v>368</v>
      </c>
      <c r="M418" s="9" t="s">
        <v>976</v>
      </c>
      <c r="N418" s="9" t="s">
        <v>995</v>
      </c>
      <c r="O418" s="9">
        <v>1</v>
      </c>
      <c r="P418" s="9">
        <v>15</v>
      </c>
      <c r="Q418" s="9" t="s">
        <v>794</v>
      </c>
      <c r="U418" s="9" t="s">
        <v>731</v>
      </c>
      <c r="W418" s="85" t="s">
        <v>558</v>
      </c>
      <c r="X418" s="9">
        <f ca="1">IFERROR(OFFSET(ITEM_RES!$A$5,MATCH(BUILDING!W418,ITEM_RES!$J$5:$J$226,0)-1,0),0)</f>
        <v>211020201</v>
      </c>
      <c r="Y418" s="11">
        <v>1</v>
      </c>
      <c r="Z418" s="85" t="s">
        <v>560</v>
      </c>
      <c r="AA418" s="9">
        <f ca="1">IFERROR(OFFSET(ITEM_RES!$A$5,MATCH(BUILDING!Z418,ITEM_RES!$J$5:$J$226,0)-1,0),0)</f>
        <v>211020301</v>
      </c>
      <c r="AC418" s="9" t="s">
        <v>538</v>
      </c>
      <c r="AD418" s="9">
        <v>14</v>
      </c>
      <c r="AF418" s="9">
        <v>36000</v>
      </c>
      <c r="AI418" s="56">
        <f t="shared" ca="1" si="128"/>
        <v>923</v>
      </c>
      <c r="AJ418" s="10">
        <f ca="1">AO418+AQ418+(IFERROR(OFFSET(ITEM_RES!$T$1,MATCH(AU418,ITEM_RES!$A:$A,0)-1,0),0)*AW418+IFERROR(OFFSET(ITEM_RES!$T$1,MATCH(AZ418,ITEM_RES!$A:$A,0)-1,0),0)*BB418+IFERROR(OFFSET(ITEM_RES!$T$1,MATCH(BE418,ITEM_RES!$A:$A,0)-1,0),0)*BG418+IFERROR(OFFSET(ITEM_RES!$T$1,MATCH(BJ418,ITEM_RES!$A:$A,0)-1,0),0)*BL418+IFERROR(OFFSET(ITEM_RES!$T$1,MATCH(BO418,ITEM_RES!$A:$A,0)-1,0),0)*BQ418)/1000</f>
        <v>922.5</v>
      </c>
      <c r="AK418" s="183">
        <f t="shared" ca="1" si="126"/>
        <v>1657.5</v>
      </c>
      <c r="AM418" s="11">
        <f t="shared" si="127"/>
        <v>70</v>
      </c>
      <c r="AN418" s="10">
        <v>70</v>
      </c>
      <c r="AO418" s="11">
        <f t="shared" si="124"/>
        <v>450</v>
      </c>
      <c r="AP418" s="10">
        <v>450</v>
      </c>
      <c r="AQ418" s="11">
        <f t="shared" si="124"/>
        <v>450</v>
      </c>
      <c r="AR418" s="10">
        <v>450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443</v>
      </c>
      <c r="AW418" s="11">
        <v>2250</v>
      </c>
      <c r="AZ418" s="11">
        <f ca="1">IFERROR(OFFSET(ITEM_RES!$A$1,MATCH(BA418,ITEM_RES!$J:$J,0)-1,0),0)</f>
        <v>0</v>
      </c>
      <c r="BA418" s="10" t="s">
        <v>451</v>
      </c>
      <c r="BB418" s="11">
        <v>2250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21"/>
        <v>112070015</v>
      </c>
      <c r="B419" s="13">
        <v>11</v>
      </c>
      <c r="C419" s="12">
        <f t="shared" si="122"/>
        <v>2</v>
      </c>
      <c r="D419" s="13">
        <v>7</v>
      </c>
      <c r="E419" s="13">
        <v>0</v>
      </c>
      <c r="F419" s="12">
        <f t="shared" si="123"/>
        <v>15</v>
      </c>
      <c r="H419" s="9">
        <v>2</v>
      </c>
      <c r="I419" s="9">
        <v>15</v>
      </c>
      <c r="K419" s="9" t="s">
        <v>368</v>
      </c>
      <c r="M419" s="9" t="s">
        <v>976</v>
      </c>
      <c r="N419" s="9" t="s">
        <v>995</v>
      </c>
      <c r="O419" s="9">
        <v>1</v>
      </c>
      <c r="P419" s="9">
        <v>15</v>
      </c>
      <c r="Q419" s="9" t="s">
        <v>794</v>
      </c>
      <c r="U419" s="9" t="s">
        <v>731</v>
      </c>
      <c r="W419" s="85" t="s">
        <v>558</v>
      </c>
      <c r="X419" s="9">
        <f ca="1">IFERROR(OFFSET(ITEM_RES!$A$5,MATCH(BUILDING!W419,ITEM_RES!$J$5:$J$226,0)-1,0),0)</f>
        <v>211020201</v>
      </c>
      <c r="Y419" s="11">
        <v>1</v>
      </c>
      <c r="Z419" s="85" t="s">
        <v>560</v>
      </c>
      <c r="AA419" s="9">
        <f ca="1">IFERROR(OFFSET(ITEM_RES!$A$5,MATCH(BUILDING!Z419,ITEM_RES!$J$5:$J$226,0)-1,0),0)</f>
        <v>211020301</v>
      </c>
      <c r="AC419" s="9" t="s">
        <v>538</v>
      </c>
      <c r="AD419" s="9">
        <v>15</v>
      </c>
      <c r="AF419" s="9">
        <v>44000</v>
      </c>
      <c r="AI419" s="56">
        <f t="shared" ca="1" si="128"/>
        <v>1650</v>
      </c>
      <c r="AJ419" s="10">
        <f ca="1">AO419+AQ419+(IFERROR(OFFSET(ITEM_RES!$T$1,MATCH(AU419,ITEM_RES!$A:$A,0)-1,0),0)*AW419+IFERROR(OFFSET(ITEM_RES!$T$1,MATCH(AZ419,ITEM_RES!$A:$A,0)-1,0),0)*BB419+IFERROR(OFFSET(ITEM_RES!$T$1,MATCH(BE419,ITEM_RES!$A:$A,0)-1,0),0)*BG419+IFERROR(OFFSET(ITEM_RES!$T$1,MATCH(BJ419,ITEM_RES!$A:$A,0)-1,0),0)*BL419+IFERROR(OFFSET(ITEM_RES!$T$1,MATCH(BO419,ITEM_RES!$A:$A,0)-1,0),0)*BQ419)/1000</f>
        <v>1650</v>
      </c>
      <c r="AK419" s="183">
        <f t="shared" ca="1" si="126"/>
        <v>2572.5</v>
      </c>
      <c r="AM419" s="11">
        <f t="shared" si="127"/>
        <v>75</v>
      </c>
      <c r="AN419" s="10">
        <v>75</v>
      </c>
      <c r="AO419" s="11">
        <f t="shared" si="124"/>
        <v>550</v>
      </c>
      <c r="AP419" s="10">
        <v>550</v>
      </c>
      <c r="AQ419" s="11">
        <f t="shared" si="124"/>
        <v>550</v>
      </c>
      <c r="AR419" s="10">
        <v>550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440</v>
      </c>
      <c r="AW419" s="11">
        <v>2750</v>
      </c>
      <c r="AZ419" s="11">
        <f ca="1">IFERROR(OFFSET(ITEM_RES!$A$1,MATCH(BA419,ITEM_RES!$J:$J,0)-1,0),0)</f>
        <v>0</v>
      </c>
      <c r="BA419" s="10" t="s">
        <v>451</v>
      </c>
      <c r="BB419" s="11">
        <v>2750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21"/>
        <v>112070016</v>
      </c>
      <c r="B420" s="13">
        <v>11</v>
      </c>
      <c r="C420" s="12">
        <f t="shared" si="122"/>
        <v>2</v>
      </c>
      <c r="D420" s="13">
        <v>7</v>
      </c>
      <c r="E420" s="13">
        <v>0</v>
      </c>
      <c r="F420" s="12">
        <f t="shared" si="123"/>
        <v>16</v>
      </c>
      <c r="H420" s="9">
        <v>2</v>
      </c>
      <c r="I420" s="9">
        <v>16</v>
      </c>
      <c r="K420" s="9" t="s">
        <v>368</v>
      </c>
      <c r="M420" s="9" t="s">
        <v>976</v>
      </c>
      <c r="N420" s="9" t="s">
        <v>995</v>
      </c>
      <c r="O420" s="9">
        <v>0</v>
      </c>
      <c r="P420" s="9">
        <v>15</v>
      </c>
      <c r="Q420" s="9" t="s">
        <v>794</v>
      </c>
      <c r="U420" s="9" t="s">
        <v>731</v>
      </c>
      <c r="W420" s="85" t="s">
        <v>558</v>
      </c>
      <c r="X420" s="9">
        <f ca="1">IFERROR(OFFSET(ITEM_RES!$A$5,MATCH(BUILDING!W420,ITEM_RES!$J$5:$J$226,0)-1,0),0)</f>
        <v>211020201</v>
      </c>
      <c r="Y420" s="11">
        <v>1</v>
      </c>
      <c r="Z420" s="85" t="s">
        <v>560</v>
      </c>
      <c r="AA420" s="9">
        <f ca="1">IFERROR(OFFSET(ITEM_RES!$A$5,MATCH(BUILDING!Z420,ITEM_RES!$J$5:$J$226,0)-1,0),0)</f>
        <v>211020301</v>
      </c>
      <c r="AC420" s="9" t="s">
        <v>538</v>
      </c>
      <c r="AD420" s="9">
        <v>16</v>
      </c>
      <c r="AF420" s="9">
        <v>56000</v>
      </c>
      <c r="AI420" s="56">
        <f t="shared" ca="1" si="128"/>
        <v>2100</v>
      </c>
      <c r="AJ420" s="10">
        <f ca="1">AO420+AQ420+(IFERROR(OFFSET(ITEM_RES!$T$1,MATCH(AU420,ITEM_RES!$A:$A,0)-1,0),0)*AW420+IFERROR(OFFSET(ITEM_RES!$T$1,MATCH(AZ420,ITEM_RES!$A:$A,0)-1,0),0)*BB420+IFERROR(OFFSET(ITEM_RES!$T$1,MATCH(BE420,ITEM_RES!$A:$A,0)-1,0),0)*BG420+IFERROR(OFFSET(ITEM_RES!$T$1,MATCH(BJ420,ITEM_RES!$A:$A,0)-1,0),0)*BL420+IFERROR(OFFSET(ITEM_RES!$T$1,MATCH(BO420,ITEM_RES!$A:$A,0)-1,0),0)*BQ420)/1000</f>
        <v>2100</v>
      </c>
      <c r="AK420" s="183">
        <f t="shared" ca="1" si="126"/>
        <v>3750</v>
      </c>
      <c r="AM420" s="11">
        <f t="shared" si="127"/>
        <v>80</v>
      </c>
      <c r="AN420" s="10">
        <v>80</v>
      </c>
      <c r="AO420" s="11">
        <f t="shared" si="124"/>
        <v>700</v>
      </c>
      <c r="AP420" s="10">
        <v>700</v>
      </c>
      <c r="AQ420" s="11">
        <f t="shared" si="124"/>
        <v>700</v>
      </c>
      <c r="AR420" s="10">
        <v>700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440</v>
      </c>
      <c r="AW420" s="11">
        <v>3500</v>
      </c>
      <c r="AZ420" s="11">
        <f ca="1">IFERROR(OFFSET(ITEM_RES!$A$1,MATCH(BA420,ITEM_RES!$J:$J,0)-1,0),0)</f>
        <v>0</v>
      </c>
      <c r="BA420" s="10" t="s">
        <v>451</v>
      </c>
      <c r="BB420" s="11">
        <v>3500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21"/>
        <v>112070017</v>
      </c>
      <c r="B421" s="13">
        <v>11</v>
      </c>
      <c r="C421" s="12">
        <f t="shared" si="122"/>
        <v>2</v>
      </c>
      <c r="D421" s="13">
        <v>7</v>
      </c>
      <c r="E421" s="13">
        <v>0</v>
      </c>
      <c r="F421" s="12">
        <f t="shared" si="123"/>
        <v>17</v>
      </c>
      <c r="H421" s="9">
        <v>2</v>
      </c>
      <c r="I421" s="9">
        <v>17</v>
      </c>
      <c r="K421" s="9" t="s">
        <v>368</v>
      </c>
      <c r="M421" s="9" t="s">
        <v>976</v>
      </c>
      <c r="N421" s="9" t="s">
        <v>995</v>
      </c>
      <c r="O421" s="9">
        <v>0</v>
      </c>
      <c r="P421" s="9">
        <v>15</v>
      </c>
      <c r="Q421" s="9" t="s">
        <v>794</v>
      </c>
      <c r="U421" s="9" t="s">
        <v>731</v>
      </c>
      <c r="W421" s="85" t="s">
        <v>558</v>
      </c>
      <c r="X421" s="9">
        <f ca="1">IFERROR(OFFSET(ITEM_RES!$A$5,MATCH(BUILDING!W421,ITEM_RES!$J$5:$J$226,0)-1,0),0)</f>
        <v>211020201</v>
      </c>
      <c r="Y421" s="11">
        <v>1</v>
      </c>
      <c r="Z421" s="85" t="s">
        <v>560</v>
      </c>
      <c r="AA421" s="9">
        <f ca="1">IFERROR(OFFSET(ITEM_RES!$A$5,MATCH(BUILDING!Z421,ITEM_RES!$J$5:$J$226,0)-1,0),0)</f>
        <v>211020301</v>
      </c>
      <c r="AC421" s="9" t="s">
        <v>538</v>
      </c>
      <c r="AD421" s="9">
        <v>17</v>
      </c>
      <c r="AF421" s="9">
        <v>68000</v>
      </c>
      <c r="AI421" s="56">
        <f t="shared" ca="1" si="128"/>
        <v>2550</v>
      </c>
      <c r="AJ421" s="10">
        <f ca="1">AO421+AQ421+(IFERROR(OFFSET(ITEM_RES!$T$1,MATCH(AU421,ITEM_RES!$A:$A,0)-1,0),0)*AW421+IFERROR(OFFSET(ITEM_RES!$T$1,MATCH(AZ421,ITEM_RES!$A:$A,0)-1,0),0)*BB421+IFERROR(OFFSET(ITEM_RES!$T$1,MATCH(BE421,ITEM_RES!$A:$A,0)-1,0),0)*BG421+IFERROR(OFFSET(ITEM_RES!$T$1,MATCH(BJ421,ITEM_RES!$A:$A,0)-1,0),0)*BL421+IFERROR(OFFSET(ITEM_RES!$T$1,MATCH(BO421,ITEM_RES!$A:$A,0)-1,0),0)*BQ421)/1000</f>
        <v>2550</v>
      </c>
      <c r="AK421" s="183">
        <f t="shared" ca="1" si="126"/>
        <v>4650</v>
      </c>
      <c r="AM421" s="11">
        <f t="shared" si="127"/>
        <v>85</v>
      </c>
      <c r="AN421" s="10">
        <v>85</v>
      </c>
      <c r="AO421" s="11">
        <f t="shared" si="124"/>
        <v>850</v>
      </c>
      <c r="AP421" s="10">
        <v>850</v>
      </c>
      <c r="AQ421" s="11">
        <f t="shared" si="124"/>
        <v>850</v>
      </c>
      <c r="AR421" s="10">
        <v>850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440</v>
      </c>
      <c r="AW421" s="11">
        <v>4250</v>
      </c>
      <c r="AZ421" s="11">
        <f ca="1">IFERROR(OFFSET(ITEM_RES!$A$1,MATCH(BA421,ITEM_RES!$J:$J,0)-1,0),0)</f>
        <v>0</v>
      </c>
      <c r="BA421" s="10" t="s">
        <v>451</v>
      </c>
      <c r="BB421" s="11">
        <v>4250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21"/>
        <v>112070018</v>
      </c>
      <c r="B422" s="13">
        <v>11</v>
      </c>
      <c r="C422" s="12">
        <f t="shared" si="122"/>
        <v>2</v>
      </c>
      <c r="D422" s="13">
        <v>7</v>
      </c>
      <c r="E422" s="13">
        <v>0</v>
      </c>
      <c r="F422" s="12">
        <f t="shared" si="123"/>
        <v>18</v>
      </c>
      <c r="H422" s="9">
        <v>2</v>
      </c>
      <c r="I422" s="9">
        <v>18</v>
      </c>
      <c r="K422" s="9" t="s">
        <v>368</v>
      </c>
      <c r="M422" s="9" t="s">
        <v>976</v>
      </c>
      <c r="N422" s="9" t="s">
        <v>995</v>
      </c>
      <c r="O422" s="9">
        <v>0</v>
      </c>
      <c r="P422" s="9">
        <v>15</v>
      </c>
      <c r="Q422" s="9" t="s">
        <v>794</v>
      </c>
      <c r="U422" s="9" t="s">
        <v>731</v>
      </c>
      <c r="W422" s="85" t="s">
        <v>558</v>
      </c>
      <c r="X422" s="9">
        <f ca="1">IFERROR(OFFSET(ITEM_RES!$A$5,MATCH(BUILDING!W422,ITEM_RES!$J$5:$J$226,0)-1,0),0)</f>
        <v>211020201</v>
      </c>
      <c r="Y422" s="11">
        <v>1</v>
      </c>
      <c r="Z422" s="85" t="s">
        <v>560</v>
      </c>
      <c r="AA422" s="9">
        <f ca="1">IFERROR(OFFSET(ITEM_RES!$A$5,MATCH(BUILDING!Z422,ITEM_RES!$J$5:$J$226,0)-1,0),0)</f>
        <v>211020301</v>
      </c>
      <c r="AC422" s="9" t="s">
        <v>538</v>
      </c>
      <c r="AD422" s="9">
        <v>18</v>
      </c>
      <c r="AF422" s="9">
        <v>84000</v>
      </c>
      <c r="AI422" s="56">
        <f t="shared" ca="1" si="128"/>
        <v>3150</v>
      </c>
      <c r="AJ422" s="10">
        <f ca="1">AO422+AQ422+(IFERROR(OFFSET(ITEM_RES!$T$1,MATCH(AU422,ITEM_RES!$A:$A,0)-1,0),0)*AW422+IFERROR(OFFSET(ITEM_RES!$T$1,MATCH(AZ422,ITEM_RES!$A:$A,0)-1,0),0)*BB422+IFERROR(OFFSET(ITEM_RES!$T$1,MATCH(BE422,ITEM_RES!$A:$A,0)-1,0),0)*BG422+IFERROR(OFFSET(ITEM_RES!$T$1,MATCH(BJ422,ITEM_RES!$A:$A,0)-1,0),0)*BL422+IFERROR(OFFSET(ITEM_RES!$T$1,MATCH(BO422,ITEM_RES!$A:$A,0)-1,0),0)*BQ422)/1000</f>
        <v>3150</v>
      </c>
      <c r="AK422" s="183">
        <f t="shared" ca="1" si="126"/>
        <v>5700</v>
      </c>
      <c r="AM422" s="11">
        <f t="shared" si="127"/>
        <v>90</v>
      </c>
      <c r="AN422" s="10">
        <v>90</v>
      </c>
      <c r="AO422" s="11">
        <f t="shared" si="124"/>
        <v>1050</v>
      </c>
      <c r="AP422" s="10">
        <v>1050</v>
      </c>
      <c r="AQ422" s="11">
        <f t="shared" si="124"/>
        <v>1050</v>
      </c>
      <c r="AR422" s="10">
        <v>1050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440</v>
      </c>
      <c r="AW422" s="11">
        <v>5250</v>
      </c>
      <c r="AZ422" s="11">
        <f ca="1">IFERROR(OFFSET(ITEM_RES!$A$1,MATCH(BA422,ITEM_RES!$J:$J,0)-1,0),0)</f>
        <v>0</v>
      </c>
      <c r="BA422" s="10" t="s">
        <v>451</v>
      </c>
      <c r="BB422" s="11">
        <v>5250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21"/>
        <v>112070019</v>
      </c>
      <c r="B423" s="13">
        <v>11</v>
      </c>
      <c r="C423" s="12">
        <f t="shared" si="122"/>
        <v>2</v>
      </c>
      <c r="D423" s="13">
        <v>7</v>
      </c>
      <c r="E423" s="13">
        <v>0</v>
      </c>
      <c r="F423" s="12">
        <f t="shared" si="123"/>
        <v>19</v>
      </c>
      <c r="H423" s="9">
        <v>2</v>
      </c>
      <c r="I423" s="9">
        <v>19</v>
      </c>
      <c r="K423" s="9" t="s">
        <v>368</v>
      </c>
      <c r="M423" s="9" t="s">
        <v>976</v>
      </c>
      <c r="N423" s="9" t="s">
        <v>995</v>
      </c>
      <c r="O423" s="9">
        <v>0</v>
      </c>
      <c r="P423" s="9">
        <v>15</v>
      </c>
      <c r="Q423" s="9" t="s">
        <v>794</v>
      </c>
      <c r="U423" s="9" t="s">
        <v>731</v>
      </c>
      <c r="W423" s="85" t="s">
        <v>558</v>
      </c>
      <c r="X423" s="9">
        <f ca="1">IFERROR(OFFSET(ITEM_RES!$A$5,MATCH(BUILDING!W423,ITEM_RES!$J$5:$J$226,0)-1,0),0)</f>
        <v>211020201</v>
      </c>
      <c r="Y423" s="11">
        <v>1</v>
      </c>
      <c r="Z423" s="85" t="s">
        <v>560</v>
      </c>
      <c r="AA423" s="9">
        <f ca="1">IFERROR(OFFSET(ITEM_RES!$A$5,MATCH(BUILDING!Z423,ITEM_RES!$J$5:$J$226,0)-1,0),0)</f>
        <v>211020301</v>
      </c>
      <c r="AC423" s="9" t="s">
        <v>538</v>
      </c>
      <c r="AD423" s="9">
        <v>19</v>
      </c>
      <c r="AF423" s="9">
        <v>100000</v>
      </c>
      <c r="AI423" s="56">
        <f t="shared" ca="1" si="128"/>
        <v>3750</v>
      </c>
      <c r="AJ423" s="10">
        <f ca="1">AO423+AQ423+(IFERROR(OFFSET(ITEM_RES!$T$1,MATCH(AU423,ITEM_RES!$A:$A,0)-1,0),0)*AW423+IFERROR(OFFSET(ITEM_RES!$T$1,MATCH(AZ423,ITEM_RES!$A:$A,0)-1,0),0)*BB423+IFERROR(OFFSET(ITEM_RES!$T$1,MATCH(BE423,ITEM_RES!$A:$A,0)-1,0),0)*BG423+IFERROR(OFFSET(ITEM_RES!$T$1,MATCH(BJ423,ITEM_RES!$A:$A,0)-1,0),0)*BL423+IFERROR(OFFSET(ITEM_RES!$T$1,MATCH(BO423,ITEM_RES!$A:$A,0)-1,0),0)*BQ423)/1000</f>
        <v>3750</v>
      </c>
      <c r="AK423" s="183">
        <f t="shared" ca="1" si="126"/>
        <v>6900</v>
      </c>
      <c r="AM423" s="11">
        <f t="shared" si="127"/>
        <v>95</v>
      </c>
      <c r="AN423" s="10">
        <v>95</v>
      </c>
      <c r="AO423" s="11">
        <f t="shared" si="124"/>
        <v>1250</v>
      </c>
      <c r="AP423" s="10">
        <v>1250</v>
      </c>
      <c r="AQ423" s="11">
        <f t="shared" si="124"/>
        <v>1250</v>
      </c>
      <c r="AR423" s="10">
        <v>1250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440</v>
      </c>
      <c r="AW423" s="11">
        <v>6250</v>
      </c>
      <c r="AZ423" s="11">
        <f ca="1">IFERROR(OFFSET(ITEM_RES!$A$1,MATCH(BA423,ITEM_RES!$J:$J,0)-1,0),0)</f>
        <v>0</v>
      </c>
      <c r="BA423" s="10" t="s">
        <v>451</v>
      </c>
      <c r="BB423" s="11">
        <v>6250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21"/>
        <v>112070020</v>
      </c>
      <c r="B424" s="13">
        <v>11</v>
      </c>
      <c r="C424" s="12">
        <f t="shared" si="122"/>
        <v>2</v>
      </c>
      <c r="D424" s="13">
        <v>7</v>
      </c>
      <c r="E424" s="13">
        <v>0</v>
      </c>
      <c r="F424" s="12">
        <f t="shared" si="123"/>
        <v>20</v>
      </c>
      <c r="H424" s="9">
        <v>2</v>
      </c>
      <c r="I424" s="9">
        <v>20</v>
      </c>
      <c r="K424" s="9" t="s">
        <v>368</v>
      </c>
      <c r="M424" s="9" t="s">
        <v>976</v>
      </c>
      <c r="N424" s="9" t="s">
        <v>995</v>
      </c>
      <c r="O424" s="9">
        <v>0</v>
      </c>
      <c r="P424" s="9">
        <v>15</v>
      </c>
      <c r="Q424" s="9" t="s">
        <v>794</v>
      </c>
      <c r="U424" s="9" t="s">
        <v>731</v>
      </c>
      <c r="W424" s="85" t="s">
        <v>558</v>
      </c>
      <c r="X424" s="9">
        <f ca="1">IFERROR(OFFSET(ITEM_RES!$A$5,MATCH(BUILDING!W424,ITEM_RES!$J$5:$J$226,0)-1,0),0)</f>
        <v>211020201</v>
      </c>
      <c r="Y424" s="11">
        <v>1</v>
      </c>
      <c r="Z424" s="85" t="s">
        <v>560</v>
      </c>
      <c r="AA424" s="9">
        <f ca="1">IFERROR(OFFSET(ITEM_RES!$A$5,MATCH(BUILDING!Z424,ITEM_RES!$J$5:$J$226,0)-1,0),0)</f>
        <v>211020301</v>
      </c>
      <c r="AC424" s="9" t="s">
        <v>538</v>
      </c>
      <c r="AD424" s="9">
        <v>20</v>
      </c>
      <c r="AF424" s="9">
        <v>120000</v>
      </c>
      <c r="AI424" s="56">
        <f t="shared" ca="1" si="128"/>
        <v>4500</v>
      </c>
      <c r="AJ424" s="10">
        <f ca="1">AO424+AQ424+(IFERROR(OFFSET(ITEM_RES!$T$1,MATCH(AU424,ITEM_RES!$A:$A,0)-1,0),0)*AW424+IFERROR(OFFSET(ITEM_RES!$T$1,MATCH(AZ424,ITEM_RES!$A:$A,0)-1,0),0)*BB424+IFERROR(OFFSET(ITEM_RES!$T$1,MATCH(BE424,ITEM_RES!$A:$A,0)-1,0),0)*BG424+IFERROR(OFFSET(ITEM_RES!$T$1,MATCH(BJ424,ITEM_RES!$A:$A,0)-1,0),0)*BL424+IFERROR(OFFSET(ITEM_RES!$T$1,MATCH(BO424,ITEM_RES!$A:$A,0)-1,0),0)*BQ424)/1000</f>
        <v>4500</v>
      </c>
      <c r="AK424" s="183">
        <f t="shared" ca="1" si="126"/>
        <v>8250</v>
      </c>
      <c r="AM424" s="11">
        <f t="shared" si="127"/>
        <v>100</v>
      </c>
      <c r="AN424" s="10">
        <v>100</v>
      </c>
      <c r="AO424" s="11">
        <f t="shared" si="124"/>
        <v>1500</v>
      </c>
      <c r="AP424" s="10">
        <v>1500</v>
      </c>
      <c r="AQ424" s="11">
        <f t="shared" si="124"/>
        <v>1500</v>
      </c>
      <c r="AR424" s="10">
        <v>1500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440</v>
      </c>
      <c r="AW424" s="11">
        <v>7500</v>
      </c>
      <c r="AZ424" s="11">
        <f ca="1">IFERROR(OFFSET(ITEM_RES!$A$1,MATCH(BA424,ITEM_RES!$J:$J,0)-1,0),0)</f>
        <v>0</v>
      </c>
      <c r="BA424" s="10" t="s">
        <v>451</v>
      </c>
      <c r="BB424" s="11">
        <v>7500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21"/>
        <v>114010001</v>
      </c>
      <c r="B425" s="20">
        <v>11</v>
      </c>
      <c r="C425" s="19">
        <f t="shared" si="122"/>
        <v>4</v>
      </c>
      <c r="D425" s="20">
        <v>1</v>
      </c>
      <c r="E425" s="20">
        <v>0</v>
      </c>
      <c r="F425" s="19">
        <f t="shared" si="123"/>
        <v>1</v>
      </c>
      <c r="G425" s="79"/>
      <c r="H425" s="16">
        <v>4</v>
      </c>
      <c r="I425" s="16">
        <v>1</v>
      </c>
      <c r="J425" s="79"/>
      <c r="K425" s="16" t="s">
        <v>445</v>
      </c>
      <c r="L425" s="16"/>
      <c r="M425" s="16"/>
      <c r="N425" s="16"/>
      <c r="O425" s="16">
        <v>1</v>
      </c>
      <c r="P425" s="16">
        <v>15</v>
      </c>
      <c r="Q425" s="141"/>
      <c r="R425" s="17"/>
      <c r="S425" s="17"/>
      <c r="T425" s="18"/>
      <c r="U425" s="16" t="s">
        <v>732</v>
      </c>
      <c r="V425" s="79"/>
      <c r="W425" s="87"/>
      <c r="X425" s="16">
        <f ca="1">IFERROR(OFFSET(ITEM_RES!$A$5,MATCH(BUILDING!W425,ITEM_RES!$J$5:$J$226,0)-1,0),0)</f>
        <v>0</v>
      </c>
      <c r="Y425" s="18"/>
      <c r="Z425" s="87"/>
      <c r="AA425" s="16">
        <f ca="1">IFERROR(OFFSET(ITEM_RES!$A$5,MATCH(BUILDING!Z425,ITEM_RES!$J$5:$J$226,0)-1,0),0)</f>
        <v>0</v>
      </c>
      <c r="AB425" s="79"/>
      <c r="AC425" s="16" t="s">
        <v>539</v>
      </c>
      <c r="AD425" s="16">
        <v>1</v>
      </c>
      <c r="AE425" s="79"/>
      <c r="AF425" s="16">
        <v>0</v>
      </c>
      <c r="AG425" s="17"/>
      <c r="AH425" s="79"/>
      <c r="AI425" s="57">
        <f t="shared" ca="1" si="128"/>
        <v>110</v>
      </c>
      <c r="AJ425" s="17">
        <f ca="1">AO425+AQ425+(IFERROR(OFFSET(ITEM_RES!$T$1,MATCH(AU425,ITEM_RES!$A:$A,0)-1,0),0)*AW425+IFERROR(OFFSET(ITEM_RES!$T$1,MATCH(AZ425,ITEM_RES!$A:$A,0)-1,0),0)*BB425+IFERROR(OFFSET(ITEM_RES!$T$1,MATCH(BE425,ITEM_RES!$A:$A,0)-1,0),0)*BG425+IFERROR(OFFSET(ITEM_RES!$T$1,MATCH(BJ425,ITEM_RES!$A:$A,0)-1,0),0)*BL425+IFERROR(OFFSET(ITEM_RES!$T$1,MATCH(BO425,ITEM_RES!$A:$A,0)-1,0),0)*BQ425)/1000</f>
        <v>110.25</v>
      </c>
      <c r="AK425" s="185">
        <f ca="1">AJ425</f>
        <v>110.25</v>
      </c>
      <c r="AL425" s="79"/>
      <c r="AM425" s="18">
        <f t="shared" si="127"/>
        <v>5</v>
      </c>
      <c r="AN425" s="17">
        <v>5</v>
      </c>
      <c r="AO425" s="18">
        <f t="shared" si="124"/>
        <v>5</v>
      </c>
      <c r="AP425" s="17">
        <v>5</v>
      </c>
      <c r="AQ425" s="18">
        <f t="shared" si="124"/>
        <v>5</v>
      </c>
      <c r="AR425" s="17">
        <v>5</v>
      </c>
      <c r="AS425" s="57">
        <f t="shared" si="129"/>
        <v>2</v>
      </c>
      <c r="AT425" s="18"/>
      <c r="AU425" s="18">
        <f ca="1">IFERROR(OFFSET(ITEM_RES!$A$1,MATCH(AV425,ITEM_RES!$J:$J,0)-1,0),0)</f>
        <v>211020401</v>
      </c>
      <c r="AV425" s="17" t="s">
        <v>443</v>
      </c>
      <c r="AW425" s="18">
        <v>25</v>
      </c>
      <c r="AX425" s="17"/>
      <c r="AY425" s="18"/>
      <c r="AZ425" s="18">
        <f ca="1">IFERROR(OFFSET(ITEM_RES!$A$1,MATCH(BA425,ITEM_RES!$J:$J,0)-1,0),0)</f>
        <v>0</v>
      </c>
      <c r="BA425" s="17"/>
      <c r="BB425" s="18"/>
      <c r="BC425" s="17"/>
      <c r="BD425" s="18"/>
      <c r="BE425" s="18">
        <f ca="1">IFERROR(OFFSET(ITEM_RES!$A$1,MATCH(BF425,ITEM_RES!$J:$J,0)-1,0),0)</f>
        <v>213010101</v>
      </c>
      <c r="BF425" s="17" t="s">
        <v>463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21"/>
        <v>114010002</v>
      </c>
      <c r="B426" s="13">
        <v>11</v>
      </c>
      <c r="C426" s="12">
        <f t="shared" si="122"/>
        <v>4</v>
      </c>
      <c r="D426" s="13">
        <v>1</v>
      </c>
      <c r="E426" s="13">
        <v>0</v>
      </c>
      <c r="F426" s="12">
        <f t="shared" si="123"/>
        <v>2</v>
      </c>
      <c r="H426" s="9">
        <v>4</v>
      </c>
      <c r="I426" s="9">
        <v>2</v>
      </c>
      <c r="K426" s="9" t="s">
        <v>445</v>
      </c>
      <c r="O426" s="9">
        <v>1</v>
      </c>
      <c r="P426" s="9">
        <v>15</v>
      </c>
      <c r="Q426" s="142"/>
      <c r="U426" s="9" t="s">
        <v>732</v>
      </c>
      <c r="X426" s="9">
        <f ca="1">IFERROR(OFFSET(ITEM_RES!$A$5,MATCH(BUILDING!W426,ITEM_RES!$J$5:$J$226,0)-1,0),0)</f>
        <v>0</v>
      </c>
      <c r="AA426" s="9">
        <f ca="1">IFERROR(OFFSET(ITEM_RES!$A$5,MATCH(BUILDING!Z426,ITEM_RES!$J$5:$J$226,0)-1,0),0)</f>
        <v>0</v>
      </c>
      <c r="AC426" s="9" t="s">
        <v>539</v>
      </c>
      <c r="AD426" s="9">
        <v>2</v>
      </c>
      <c r="AF426" s="9">
        <v>400</v>
      </c>
      <c r="AI426" s="56">
        <f t="shared" ca="1" si="128"/>
        <v>21</v>
      </c>
      <c r="AJ426" s="10">
        <f ca="1">AO426+AQ426+(IFERROR(OFFSET(ITEM_RES!$T$1,MATCH(AU426,ITEM_RES!$A:$A,0)-1,0),0)*AW426+IFERROR(OFFSET(ITEM_RES!$T$1,MATCH(AZ426,ITEM_RES!$A:$A,0)-1,0),0)*BB426+IFERROR(OFFSET(ITEM_RES!$T$1,MATCH(BE426,ITEM_RES!$A:$A,0)-1,0),0)*BG426+IFERROR(OFFSET(ITEM_RES!$T$1,MATCH(BJ426,ITEM_RES!$A:$A,0)-1,0),0)*BL426+IFERROR(OFFSET(ITEM_RES!$T$1,MATCH(BO426,ITEM_RES!$A:$A,0)-1,0),0)*BQ426)/1000</f>
        <v>20.5</v>
      </c>
      <c r="AK426" s="183">
        <f t="shared" ref="AK426:AK444" ca="1" si="130">AJ425+AJ426</f>
        <v>130.75</v>
      </c>
      <c r="AM426" s="11">
        <f t="shared" si="127"/>
        <v>10</v>
      </c>
      <c r="AN426" s="10">
        <v>10</v>
      </c>
      <c r="AO426" s="11">
        <f t="shared" si="124"/>
        <v>10</v>
      </c>
      <c r="AP426" s="10">
        <v>10</v>
      </c>
      <c r="AQ426" s="11">
        <f t="shared" si="124"/>
        <v>10</v>
      </c>
      <c r="AR426" s="10">
        <v>10</v>
      </c>
      <c r="AS426" s="56">
        <f t="shared" si="129"/>
        <v>1</v>
      </c>
      <c r="AU426" s="11">
        <f ca="1">IFERROR(OFFSET(ITEM_RES!$A$1,MATCH(AV426,ITEM_RES!$J:$J,0)-1,0),0)</f>
        <v>211020401</v>
      </c>
      <c r="AV426" s="10" t="s">
        <v>443</v>
      </c>
      <c r="AW426" s="11">
        <v>50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21"/>
        <v>114010003</v>
      </c>
      <c r="B427" s="13">
        <v>11</v>
      </c>
      <c r="C427" s="12">
        <f t="shared" si="122"/>
        <v>4</v>
      </c>
      <c r="D427" s="13">
        <v>1</v>
      </c>
      <c r="E427" s="13">
        <v>0</v>
      </c>
      <c r="F427" s="12">
        <f t="shared" si="123"/>
        <v>3</v>
      </c>
      <c r="H427" s="9">
        <v>4</v>
      </c>
      <c r="I427" s="9">
        <v>3</v>
      </c>
      <c r="K427" s="9" t="s">
        <v>445</v>
      </c>
      <c r="O427" s="9">
        <v>1</v>
      </c>
      <c r="P427" s="9">
        <v>15</v>
      </c>
      <c r="Q427" s="142"/>
      <c r="U427" s="9" t="s">
        <v>732</v>
      </c>
      <c r="X427" s="9">
        <f ca="1">IFERROR(OFFSET(ITEM_RES!$A$5,MATCH(BUILDING!W427,ITEM_RES!$J$5:$J$226,0)-1,0),0)</f>
        <v>0</v>
      </c>
      <c r="AA427" s="9">
        <f ca="1">IFERROR(OFFSET(ITEM_RES!$A$5,MATCH(BUILDING!Z427,ITEM_RES!$J$5:$J$226,0)-1,0),0)</f>
        <v>0</v>
      </c>
      <c r="AC427" s="9" t="s">
        <v>539</v>
      </c>
      <c r="AD427" s="9">
        <v>3</v>
      </c>
      <c r="AF427" s="9">
        <v>1200</v>
      </c>
      <c r="AI427" s="56">
        <f t="shared" ca="1" si="128"/>
        <v>31</v>
      </c>
      <c r="AJ427" s="10">
        <f ca="1">AO427+AQ427+(IFERROR(OFFSET(ITEM_RES!$T$1,MATCH(AU427,ITEM_RES!$A:$A,0)-1,0),0)*AW427+IFERROR(OFFSET(ITEM_RES!$T$1,MATCH(AZ427,ITEM_RES!$A:$A,0)-1,0),0)*BB427+IFERROR(OFFSET(ITEM_RES!$T$1,MATCH(BE427,ITEM_RES!$A:$A,0)-1,0),0)*BG427+IFERROR(OFFSET(ITEM_RES!$T$1,MATCH(BJ427,ITEM_RES!$A:$A,0)-1,0),0)*BL427+IFERROR(OFFSET(ITEM_RES!$T$1,MATCH(BO427,ITEM_RES!$A:$A,0)-1,0),0)*BQ427)/1000</f>
        <v>30.75</v>
      </c>
      <c r="AK427" s="183">
        <f t="shared" ca="1" si="130"/>
        <v>51.25</v>
      </c>
      <c r="AM427" s="11">
        <f t="shared" si="127"/>
        <v>15</v>
      </c>
      <c r="AN427" s="10">
        <v>15</v>
      </c>
      <c r="AO427" s="11">
        <f t="shared" si="124"/>
        <v>15</v>
      </c>
      <c r="AP427" s="10">
        <v>15</v>
      </c>
      <c r="AQ427" s="11">
        <f t="shared" si="124"/>
        <v>15</v>
      </c>
      <c r="AR427" s="10">
        <v>15</v>
      </c>
      <c r="AS427" s="56">
        <f t="shared" si="129"/>
        <v>1</v>
      </c>
      <c r="AU427" s="11">
        <f ca="1">IFERROR(OFFSET(ITEM_RES!$A$1,MATCH(AV427,ITEM_RES!$J:$J,0)-1,0),0)</f>
        <v>211020401</v>
      </c>
      <c r="AV427" s="10" t="s">
        <v>443</v>
      </c>
      <c r="AW427" s="11">
        <v>75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21"/>
        <v>114010004</v>
      </c>
      <c r="B428" s="13">
        <v>11</v>
      </c>
      <c r="C428" s="12">
        <f t="shared" si="122"/>
        <v>4</v>
      </c>
      <c r="D428" s="13">
        <v>1</v>
      </c>
      <c r="E428" s="13">
        <v>0</v>
      </c>
      <c r="F428" s="12">
        <f t="shared" si="123"/>
        <v>4</v>
      </c>
      <c r="H428" s="9">
        <v>4</v>
      </c>
      <c r="I428" s="9">
        <v>4</v>
      </c>
      <c r="K428" s="9" t="s">
        <v>445</v>
      </c>
      <c r="O428" s="9">
        <v>1</v>
      </c>
      <c r="P428" s="9">
        <v>15</v>
      </c>
      <c r="Q428" s="142"/>
      <c r="U428" s="9" t="s">
        <v>732</v>
      </c>
      <c r="X428" s="9">
        <f ca="1">IFERROR(OFFSET(ITEM_RES!$A$5,MATCH(BUILDING!W428,ITEM_RES!$J$5:$J$226,0)-1,0),0)</f>
        <v>0</v>
      </c>
      <c r="AA428" s="9">
        <f ca="1">IFERROR(OFFSET(ITEM_RES!$A$5,MATCH(BUILDING!Z428,ITEM_RES!$J$5:$J$226,0)-1,0),0)</f>
        <v>0</v>
      </c>
      <c r="AC428" s="9" t="s">
        <v>539</v>
      </c>
      <c r="AD428" s="9">
        <v>4</v>
      </c>
      <c r="AF428" s="9">
        <v>2000</v>
      </c>
      <c r="AI428" s="56">
        <f t="shared" ca="1" si="128"/>
        <v>51</v>
      </c>
      <c r="AJ428" s="10">
        <f ca="1">AO428+AQ428+(IFERROR(OFFSET(ITEM_RES!$T$1,MATCH(AU428,ITEM_RES!$A:$A,0)-1,0),0)*AW428+IFERROR(OFFSET(ITEM_RES!$T$1,MATCH(AZ428,ITEM_RES!$A:$A,0)-1,0),0)*BB428+IFERROR(OFFSET(ITEM_RES!$T$1,MATCH(BE428,ITEM_RES!$A:$A,0)-1,0),0)*BG428+IFERROR(OFFSET(ITEM_RES!$T$1,MATCH(BJ428,ITEM_RES!$A:$A,0)-1,0),0)*BL428+IFERROR(OFFSET(ITEM_RES!$T$1,MATCH(BO428,ITEM_RES!$A:$A,0)-1,0),0)*BQ428)/1000</f>
        <v>51.25</v>
      </c>
      <c r="AK428" s="183">
        <f t="shared" ca="1" si="130"/>
        <v>82</v>
      </c>
      <c r="AM428" s="11">
        <f t="shared" si="127"/>
        <v>20</v>
      </c>
      <c r="AN428" s="10">
        <v>20</v>
      </c>
      <c r="AO428" s="11">
        <f t="shared" si="124"/>
        <v>25</v>
      </c>
      <c r="AP428" s="10">
        <v>25</v>
      </c>
      <c r="AQ428" s="11">
        <f t="shared" si="124"/>
        <v>25</v>
      </c>
      <c r="AR428" s="10">
        <v>25</v>
      </c>
      <c r="AS428" s="56">
        <f t="shared" si="129"/>
        <v>1</v>
      </c>
      <c r="AU428" s="11">
        <f ca="1">IFERROR(OFFSET(ITEM_RES!$A$1,MATCH(AV428,ITEM_RES!$J:$J,0)-1,0),0)</f>
        <v>211020401</v>
      </c>
      <c r="AV428" s="10" t="s">
        <v>443</v>
      </c>
      <c r="AW428" s="11">
        <v>125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ref="A429:A492" si="131">B429*10000000+C429*1000000+D429*10000+E429*100+F429</f>
        <v>114010005</v>
      </c>
      <c r="B429" s="13">
        <v>11</v>
      </c>
      <c r="C429" s="12">
        <f t="shared" ref="C429:C492" si="132">H429</f>
        <v>4</v>
      </c>
      <c r="D429" s="13">
        <v>1</v>
      </c>
      <c r="E429" s="13">
        <v>0</v>
      </c>
      <c r="F429" s="12">
        <f t="shared" ref="F429:F492" si="133">I429</f>
        <v>5</v>
      </c>
      <c r="H429" s="9">
        <v>4</v>
      </c>
      <c r="I429" s="9">
        <v>5</v>
      </c>
      <c r="K429" s="9" t="s">
        <v>445</v>
      </c>
      <c r="O429" s="9">
        <v>1</v>
      </c>
      <c r="P429" s="9">
        <v>15</v>
      </c>
      <c r="Q429" s="142"/>
      <c r="U429" s="9" t="s">
        <v>732</v>
      </c>
      <c r="X429" s="9">
        <f ca="1">IFERROR(OFFSET(ITEM_RES!$A$5,MATCH(BUILDING!W429,ITEM_RES!$J$5:$J$226,0)-1,0),0)</f>
        <v>0</v>
      </c>
      <c r="AA429" s="9">
        <f ca="1">IFERROR(OFFSET(ITEM_RES!$A$5,MATCH(BUILDING!Z429,ITEM_RES!$J$5:$J$226,0)-1,0),0)</f>
        <v>0</v>
      </c>
      <c r="AC429" s="9" t="s">
        <v>539</v>
      </c>
      <c r="AD429" s="9">
        <v>5</v>
      </c>
      <c r="AF429" s="9">
        <v>3200</v>
      </c>
      <c r="AI429" s="56">
        <f t="shared" ca="1" si="128"/>
        <v>82</v>
      </c>
      <c r="AJ429" s="10">
        <f ca="1">AO429+AQ429+(IFERROR(OFFSET(ITEM_RES!$T$1,MATCH(AU429,ITEM_RES!$A:$A,0)-1,0),0)*AW429+IFERROR(OFFSET(ITEM_RES!$T$1,MATCH(AZ429,ITEM_RES!$A:$A,0)-1,0),0)*BB429+IFERROR(OFFSET(ITEM_RES!$T$1,MATCH(BE429,ITEM_RES!$A:$A,0)-1,0),0)*BG429+IFERROR(OFFSET(ITEM_RES!$T$1,MATCH(BJ429,ITEM_RES!$A:$A,0)-1,0),0)*BL429+IFERROR(OFFSET(ITEM_RES!$T$1,MATCH(BO429,ITEM_RES!$A:$A,0)-1,0),0)*BQ429)/1000</f>
        <v>82</v>
      </c>
      <c r="AK429" s="183">
        <f t="shared" ca="1" si="130"/>
        <v>133.25</v>
      </c>
      <c r="AM429" s="11">
        <f t="shared" si="127"/>
        <v>25</v>
      </c>
      <c r="AN429" s="10">
        <v>25</v>
      </c>
      <c r="AO429" s="11">
        <f t="shared" si="124"/>
        <v>40</v>
      </c>
      <c r="AP429" s="10">
        <v>40</v>
      </c>
      <c r="AQ429" s="11">
        <f t="shared" si="124"/>
        <v>40</v>
      </c>
      <c r="AR429" s="10">
        <v>40</v>
      </c>
      <c r="AS429" s="56">
        <f t="shared" si="129"/>
        <v>1</v>
      </c>
      <c r="AU429" s="11">
        <f ca="1">IFERROR(OFFSET(ITEM_RES!$A$1,MATCH(AV429,ITEM_RES!$J:$J,0)-1,0),0)</f>
        <v>211020401</v>
      </c>
      <c r="AV429" s="10" t="s">
        <v>443</v>
      </c>
      <c r="AW429" s="11">
        <v>200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114010006</v>
      </c>
      <c r="B430" s="13">
        <v>11</v>
      </c>
      <c r="C430" s="12">
        <f t="shared" si="132"/>
        <v>4</v>
      </c>
      <c r="D430" s="13">
        <v>1</v>
      </c>
      <c r="E430" s="13">
        <v>0</v>
      </c>
      <c r="F430" s="12">
        <f t="shared" si="133"/>
        <v>6</v>
      </c>
      <c r="H430" s="9">
        <v>4</v>
      </c>
      <c r="I430" s="9">
        <v>6</v>
      </c>
      <c r="K430" s="9" t="s">
        <v>445</v>
      </c>
      <c r="O430" s="9">
        <v>1</v>
      </c>
      <c r="P430" s="9">
        <v>15</v>
      </c>
      <c r="Q430" s="142"/>
      <c r="U430" s="9" t="s">
        <v>732</v>
      </c>
      <c r="X430" s="9">
        <f ca="1">IFERROR(OFFSET(ITEM_RES!$A$5,MATCH(BUILDING!W430,ITEM_RES!$J$5:$J$226,0)-1,0),0)</f>
        <v>0</v>
      </c>
      <c r="AA430" s="9">
        <f ca="1">IFERROR(OFFSET(ITEM_RES!$A$5,MATCH(BUILDING!Z430,ITEM_RES!$J$5:$J$226,0)-1,0),0)</f>
        <v>0</v>
      </c>
      <c r="AC430" s="9" t="s">
        <v>539</v>
      </c>
      <c r="AD430" s="9">
        <v>6</v>
      </c>
      <c r="AF430" s="9">
        <v>4000</v>
      </c>
      <c r="AI430" s="56">
        <f t="shared" ca="1" si="128"/>
        <v>103</v>
      </c>
      <c r="AJ430" s="10">
        <f ca="1">AO430+AQ430+(IFERROR(OFFSET(ITEM_RES!$T$1,MATCH(AU430,ITEM_RES!$A:$A,0)-1,0),0)*AW430+IFERROR(OFFSET(ITEM_RES!$T$1,MATCH(AZ430,ITEM_RES!$A:$A,0)-1,0),0)*BB430+IFERROR(OFFSET(ITEM_RES!$T$1,MATCH(BE430,ITEM_RES!$A:$A,0)-1,0),0)*BG430+IFERROR(OFFSET(ITEM_RES!$T$1,MATCH(BJ430,ITEM_RES!$A:$A,0)-1,0),0)*BL430+IFERROR(OFFSET(ITEM_RES!$T$1,MATCH(BO430,ITEM_RES!$A:$A,0)-1,0),0)*BQ430)/1000</f>
        <v>102.5</v>
      </c>
      <c r="AK430" s="183">
        <f t="shared" ca="1" si="130"/>
        <v>184.5</v>
      </c>
      <c r="AM430" s="11">
        <f t="shared" si="127"/>
        <v>30</v>
      </c>
      <c r="AN430" s="10">
        <v>30</v>
      </c>
      <c r="AO430" s="11">
        <f t="shared" ref="AO430:AQ493" si="134">ROUND(AP430,0)</f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si="129"/>
        <v>1</v>
      </c>
      <c r="AU430" s="11">
        <f ca="1">IFERROR(OFFSET(ITEM_RES!$A$1,MATCH(AV430,ITEM_RES!$J:$J,0)-1,0),0)</f>
        <v>211020401</v>
      </c>
      <c r="AV430" s="10" t="s">
        <v>443</v>
      </c>
      <c r="AW430" s="11">
        <v>250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114010007</v>
      </c>
      <c r="B431" s="13">
        <v>11</v>
      </c>
      <c r="C431" s="12">
        <f t="shared" si="132"/>
        <v>4</v>
      </c>
      <c r="D431" s="13">
        <v>1</v>
      </c>
      <c r="E431" s="13">
        <v>0</v>
      </c>
      <c r="F431" s="12">
        <f t="shared" si="133"/>
        <v>7</v>
      </c>
      <c r="H431" s="9">
        <v>4</v>
      </c>
      <c r="I431" s="9">
        <v>7</v>
      </c>
      <c r="K431" s="9" t="s">
        <v>445</v>
      </c>
      <c r="O431" s="9">
        <v>1</v>
      </c>
      <c r="P431" s="9">
        <v>15</v>
      </c>
      <c r="Q431" s="142"/>
      <c r="U431" s="9" t="s">
        <v>732</v>
      </c>
      <c r="X431" s="9">
        <f ca="1">IFERROR(OFFSET(ITEM_RES!$A$5,MATCH(BUILDING!W431,ITEM_RES!$J$5:$J$226,0)-1,0),0)</f>
        <v>0</v>
      </c>
      <c r="AA431" s="9">
        <f ca="1">IFERROR(OFFSET(ITEM_RES!$A$5,MATCH(BUILDING!Z431,ITEM_RES!$J$5:$J$226,0)-1,0),0)</f>
        <v>0</v>
      </c>
      <c r="AC431" s="9" t="s">
        <v>539</v>
      </c>
      <c r="AD431" s="9">
        <v>7</v>
      </c>
      <c r="AF431" s="9">
        <v>8000</v>
      </c>
      <c r="AI431" s="56">
        <f t="shared" ca="1" si="128"/>
        <v>205</v>
      </c>
      <c r="AJ431" s="10">
        <f ca="1">AO431+AQ431+(IFERROR(OFFSET(ITEM_RES!$T$1,MATCH(AU431,ITEM_RES!$A:$A,0)-1,0),0)*AW431+IFERROR(OFFSET(ITEM_RES!$T$1,MATCH(AZ431,ITEM_RES!$A:$A,0)-1,0),0)*BB431+IFERROR(OFFSET(ITEM_RES!$T$1,MATCH(BE431,ITEM_RES!$A:$A,0)-1,0),0)*BG431+IFERROR(OFFSET(ITEM_RES!$T$1,MATCH(BJ431,ITEM_RES!$A:$A,0)-1,0),0)*BL431+IFERROR(OFFSET(ITEM_RES!$T$1,MATCH(BO431,ITEM_RES!$A:$A,0)-1,0),0)*BQ431)/1000</f>
        <v>205</v>
      </c>
      <c r="AK431" s="183">
        <f t="shared" ca="1" si="130"/>
        <v>307.5</v>
      </c>
      <c r="AM431" s="11">
        <f t="shared" si="12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29"/>
        <v>1</v>
      </c>
      <c r="AU431" s="11">
        <f ca="1">IFERROR(OFFSET(ITEM_RES!$A$1,MATCH(AV431,ITEM_RES!$J:$J,0)-1,0),0)</f>
        <v>211020401</v>
      </c>
      <c r="AV431" s="10" t="s">
        <v>443</v>
      </c>
      <c r="AW431" s="11">
        <v>500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114010008</v>
      </c>
      <c r="B432" s="13">
        <v>11</v>
      </c>
      <c r="C432" s="12">
        <f t="shared" si="132"/>
        <v>4</v>
      </c>
      <c r="D432" s="13">
        <v>1</v>
      </c>
      <c r="E432" s="13">
        <v>0</v>
      </c>
      <c r="F432" s="12">
        <f t="shared" si="133"/>
        <v>8</v>
      </c>
      <c r="H432" s="9">
        <v>4</v>
      </c>
      <c r="I432" s="9">
        <v>8</v>
      </c>
      <c r="K432" s="9" t="s">
        <v>379</v>
      </c>
      <c r="O432" s="9">
        <v>1</v>
      </c>
      <c r="P432" s="9">
        <v>15</v>
      </c>
      <c r="Q432" s="142"/>
      <c r="U432" s="9" t="s">
        <v>733</v>
      </c>
      <c r="X432" s="9">
        <f ca="1">IFERROR(OFFSET(ITEM_RES!$A$5,MATCH(BUILDING!W432,ITEM_RES!$J$5:$J$226,0)-1,0),0)</f>
        <v>0</v>
      </c>
      <c r="AA432" s="9">
        <f ca="1">IFERROR(OFFSET(ITEM_RES!$A$5,MATCH(BUILDING!Z432,ITEM_RES!$J$5:$J$226,0)-1,0),0)</f>
        <v>0</v>
      </c>
      <c r="AC432" s="9" t="s">
        <v>539</v>
      </c>
      <c r="AD432" s="9">
        <v>8</v>
      </c>
      <c r="AF432" s="9">
        <v>8000</v>
      </c>
      <c r="AI432" s="56">
        <f t="shared" ca="1" si="128"/>
        <v>300</v>
      </c>
      <c r="AJ432" s="10">
        <f ca="1">AO432+AQ432+(IFERROR(OFFSET(ITEM_RES!$T$1,MATCH(AU432,ITEM_RES!$A:$A,0)-1,0),0)*AW432+IFERROR(OFFSET(ITEM_RES!$T$1,MATCH(AZ432,ITEM_RES!$A:$A,0)-1,0),0)*BB432+IFERROR(OFFSET(ITEM_RES!$T$1,MATCH(BE432,ITEM_RES!$A:$A,0)-1,0),0)*BG432+IFERROR(OFFSET(ITEM_RES!$T$1,MATCH(BJ432,ITEM_RES!$A:$A,0)-1,0),0)*BL432+IFERROR(OFFSET(ITEM_RES!$T$1,MATCH(BO432,ITEM_RES!$A:$A,0)-1,0),0)*BQ432)/1000</f>
        <v>300</v>
      </c>
      <c r="AK432" s="183">
        <f t="shared" ca="1" si="130"/>
        <v>505</v>
      </c>
      <c r="AM432" s="11">
        <f t="shared" si="12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29"/>
        <v>1</v>
      </c>
      <c r="AU432" s="11">
        <f ca="1">IFERROR(OFFSET(ITEM_RES!$A$1,MATCH(AV432,ITEM_RES!$J:$J,0)-1,0),0)</f>
        <v>211020501</v>
      </c>
      <c r="AV432" s="10" t="s">
        <v>440</v>
      </c>
      <c r="AW432" s="11">
        <v>500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114010009</v>
      </c>
      <c r="B433" s="13">
        <v>11</v>
      </c>
      <c r="C433" s="12">
        <f t="shared" si="132"/>
        <v>4</v>
      </c>
      <c r="D433" s="13">
        <v>1</v>
      </c>
      <c r="E433" s="13">
        <v>0</v>
      </c>
      <c r="F433" s="12">
        <f t="shared" si="133"/>
        <v>9</v>
      </c>
      <c r="H433" s="9">
        <v>4</v>
      </c>
      <c r="I433" s="9">
        <v>9</v>
      </c>
      <c r="K433" s="9" t="s">
        <v>379</v>
      </c>
      <c r="O433" s="9">
        <v>1</v>
      </c>
      <c r="P433" s="9">
        <v>15</v>
      </c>
      <c r="Q433" s="142"/>
      <c r="U433" s="9" t="s">
        <v>733</v>
      </c>
      <c r="X433" s="9">
        <f ca="1">IFERROR(OFFSET(ITEM_RES!$A$5,MATCH(BUILDING!W433,ITEM_RES!$J$5:$J$226,0)-1,0),0)</f>
        <v>0</v>
      </c>
      <c r="AA433" s="9">
        <f ca="1">IFERROR(OFFSET(ITEM_RES!$A$5,MATCH(BUILDING!Z433,ITEM_RES!$J$5:$J$226,0)-1,0),0)</f>
        <v>0</v>
      </c>
      <c r="AC433" s="9" t="s">
        <v>539</v>
      </c>
      <c r="AD433" s="9">
        <v>9</v>
      </c>
      <c r="AF433" s="9">
        <v>12000</v>
      </c>
      <c r="AI433" s="56">
        <f t="shared" ca="1" si="128"/>
        <v>450</v>
      </c>
      <c r="AJ433" s="10">
        <f ca="1">AO433+AQ433+(IFERROR(OFFSET(ITEM_RES!$T$1,MATCH(AU433,ITEM_RES!$A:$A,0)-1,0),0)*AW433+IFERROR(OFFSET(ITEM_RES!$T$1,MATCH(AZ433,ITEM_RES!$A:$A,0)-1,0),0)*BB433+IFERROR(OFFSET(ITEM_RES!$T$1,MATCH(BE433,ITEM_RES!$A:$A,0)-1,0),0)*BG433+IFERROR(OFFSET(ITEM_RES!$T$1,MATCH(BJ433,ITEM_RES!$A:$A,0)-1,0),0)*BL433+IFERROR(OFFSET(ITEM_RES!$T$1,MATCH(BO433,ITEM_RES!$A:$A,0)-1,0),0)*BQ433)/1000</f>
        <v>450</v>
      </c>
      <c r="AK433" s="183">
        <f t="shared" ca="1" si="130"/>
        <v>750</v>
      </c>
      <c r="AM433" s="11">
        <f t="shared" si="12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29"/>
        <v>1</v>
      </c>
      <c r="AU433" s="11">
        <f ca="1">IFERROR(OFFSET(ITEM_RES!$A$1,MATCH(AV433,ITEM_RES!$J:$J,0)-1,0),0)</f>
        <v>211020501</v>
      </c>
      <c r="AV433" s="10" t="s">
        <v>440</v>
      </c>
      <c r="AW433" s="11">
        <v>750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114010010</v>
      </c>
      <c r="B434" s="13">
        <v>11</v>
      </c>
      <c r="C434" s="12">
        <f t="shared" si="132"/>
        <v>4</v>
      </c>
      <c r="D434" s="13">
        <v>1</v>
      </c>
      <c r="E434" s="13">
        <v>0</v>
      </c>
      <c r="F434" s="12">
        <f t="shared" si="133"/>
        <v>10</v>
      </c>
      <c r="H434" s="9">
        <v>4</v>
      </c>
      <c r="I434" s="9">
        <v>10</v>
      </c>
      <c r="K434" s="9" t="s">
        <v>379</v>
      </c>
      <c r="O434" s="9">
        <v>1</v>
      </c>
      <c r="P434" s="9">
        <v>15</v>
      </c>
      <c r="Q434" s="142"/>
      <c r="U434" s="9" t="s">
        <v>733</v>
      </c>
      <c r="X434" s="9">
        <f ca="1">IFERROR(OFFSET(ITEM_RES!$A$5,MATCH(BUILDING!W434,ITEM_RES!$J$5:$J$226,0)-1,0),0)</f>
        <v>0</v>
      </c>
      <c r="AA434" s="9">
        <f ca="1">IFERROR(OFFSET(ITEM_RES!$A$5,MATCH(BUILDING!Z434,ITEM_RES!$J$5:$J$226,0)-1,0),0)</f>
        <v>0</v>
      </c>
      <c r="AC434" s="9" t="s">
        <v>539</v>
      </c>
      <c r="AD434" s="9">
        <v>10</v>
      </c>
      <c r="AF434" s="9">
        <v>16000</v>
      </c>
      <c r="AI434" s="56">
        <f t="shared" ca="1" si="128"/>
        <v>600</v>
      </c>
      <c r="AJ434" s="10">
        <f ca="1">AO434+AQ434+(IFERROR(OFFSET(ITEM_RES!$T$1,MATCH(AU434,ITEM_RES!$A:$A,0)-1,0),0)*AW434+IFERROR(OFFSET(ITEM_RES!$T$1,MATCH(AZ434,ITEM_RES!$A:$A,0)-1,0),0)*BB434+IFERROR(OFFSET(ITEM_RES!$T$1,MATCH(BE434,ITEM_RES!$A:$A,0)-1,0),0)*BG434+IFERROR(OFFSET(ITEM_RES!$T$1,MATCH(BJ434,ITEM_RES!$A:$A,0)-1,0),0)*BL434+IFERROR(OFFSET(ITEM_RES!$T$1,MATCH(BO434,ITEM_RES!$A:$A,0)-1,0),0)*BQ434)/1000</f>
        <v>600</v>
      </c>
      <c r="AK434" s="183">
        <f t="shared" ca="1" si="130"/>
        <v>1050</v>
      </c>
      <c r="AM434" s="11">
        <f t="shared" si="12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29"/>
        <v>1</v>
      </c>
      <c r="AU434" s="11">
        <f ca="1">IFERROR(OFFSET(ITEM_RES!$A$1,MATCH(AV434,ITEM_RES!$J:$J,0)-1,0),0)</f>
        <v>211020501</v>
      </c>
      <c r="AV434" s="10" t="s">
        <v>440</v>
      </c>
      <c r="AW434" s="11">
        <v>1000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114010011</v>
      </c>
      <c r="B435" s="13">
        <v>11</v>
      </c>
      <c r="C435" s="12">
        <f t="shared" si="132"/>
        <v>4</v>
      </c>
      <c r="D435" s="13">
        <v>1</v>
      </c>
      <c r="E435" s="13">
        <v>0</v>
      </c>
      <c r="F435" s="12">
        <f t="shared" si="133"/>
        <v>11</v>
      </c>
      <c r="H435" s="9">
        <v>4</v>
      </c>
      <c r="I435" s="9">
        <v>11</v>
      </c>
      <c r="K435" s="9" t="s">
        <v>379</v>
      </c>
      <c r="O435" s="9">
        <v>1</v>
      </c>
      <c r="P435" s="9">
        <v>15</v>
      </c>
      <c r="Q435" s="142"/>
      <c r="U435" s="9" t="s">
        <v>733</v>
      </c>
      <c r="X435" s="9">
        <f ca="1">IFERROR(OFFSET(ITEM_RES!$A$5,MATCH(BUILDING!W435,ITEM_RES!$J$5:$J$226,0)-1,0),0)</f>
        <v>0</v>
      </c>
      <c r="AA435" s="9">
        <f ca="1">IFERROR(OFFSET(ITEM_RES!$A$5,MATCH(BUILDING!Z435,ITEM_RES!$J$5:$J$226,0)-1,0),0)</f>
        <v>0</v>
      </c>
      <c r="AC435" s="9" t="s">
        <v>539</v>
      </c>
      <c r="AD435" s="9">
        <v>11</v>
      </c>
      <c r="AF435" s="9">
        <v>20000</v>
      </c>
      <c r="AI435" s="56">
        <f t="shared" ca="1" si="128"/>
        <v>750</v>
      </c>
      <c r="AJ435" s="10">
        <f ca="1">AO435+AQ435+(IFERROR(OFFSET(ITEM_RES!$T$1,MATCH(AU435,ITEM_RES!$A:$A,0)-1,0),0)*AW435+IFERROR(OFFSET(ITEM_RES!$T$1,MATCH(AZ435,ITEM_RES!$A:$A,0)-1,0),0)*BB435+IFERROR(OFFSET(ITEM_RES!$T$1,MATCH(BE435,ITEM_RES!$A:$A,0)-1,0),0)*BG435+IFERROR(OFFSET(ITEM_RES!$T$1,MATCH(BJ435,ITEM_RES!$A:$A,0)-1,0),0)*BL435+IFERROR(OFFSET(ITEM_RES!$T$1,MATCH(BO435,ITEM_RES!$A:$A,0)-1,0),0)*BQ435)/1000</f>
        <v>750</v>
      </c>
      <c r="AK435" s="183">
        <f t="shared" ca="1" si="130"/>
        <v>1350</v>
      </c>
      <c r="AM435" s="11">
        <f t="shared" si="12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29"/>
        <v>1</v>
      </c>
      <c r="AU435" s="11">
        <f ca="1">IFERROR(OFFSET(ITEM_RES!$A$1,MATCH(AV435,ITEM_RES!$J:$J,0)-1,0),0)</f>
        <v>211020501</v>
      </c>
      <c r="AV435" s="10" t="s">
        <v>440</v>
      </c>
      <c r="AW435" s="11">
        <v>1250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114010012</v>
      </c>
      <c r="B436" s="13">
        <v>11</v>
      </c>
      <c r="C436" s="12">
        <f t="shared" si="132"/>
        <v>4</v>
      </c>
      <c r="D436" s="13">
        <v>1</v>
      </c>
      <c r="E436" s="13">
        <v>0</v>
      </c>
      <c r="F436" s="12">
        <f t="shared" si="133"/>
        <v>12</v>
      </c>
      <c r="H436" s="9">
        <v>4</v>
      </c>
      <c r="I436" s="9">
        <v>12</v>
      </c>
      <c r="K436" s="9" t="s">
        <v>379</v>
      </c>
      <c r="O436" s="9">
        <v>1</v>
      </c>
      <c r="P436" s="9">
        <v>15</v>
      </c>
      <c r="Q436" s="142"/>
      <c r="U436" s="9" t="s">
        <v>733</v>
      </c>
      <c r="X436" s="9">
        <f ca="1">IFERROR(OFFSET(ITEM_RES!$A$5,MATCH(BUILDING!W436,ITEM_RES!$J$5:$J$226,0)-1,0),0)</f>
        <v>0</v>
      </c>
      <c r="AA436" s="9">
        <f ca="1">IFERROR(OFFSET(ITEM_RES!$A$5,MATCH(BUILDING!Z436,ITEM_RES!$J$5:$J$226,0)-1,0),0)</f>
        <v>0</v>
      </c>
      <c r="AC436" s="9" t="s">
        <v>539</v>
      </c>
      <c r="AD436" s="9">
        <v>12</v>
      </c>
      <c r="AF436" s="9">
        <v>24000</v>
      </c>
      <c r="AI436" s="56">
        <f t="shared" ca="1" si="128"/>
        <v>900</v>
      </c>
      <c r="AJ436" s="10">
        <f ca="1">AO436+AQ436+(IFERROR(OFFSET(ITEM_RES!$T$1,MATCH(AU436,ITEM_RES!$A:$A,0)-1,0),0)*AW436+IFERROR(OFFSET(ITEM_RES!$T$1,MATCH(AZ436,ITEM_RES!$A:$A,0)-1,0),0)*BB436+IFERROR(OFFSET(ITEM_RES!$T$1,MATCH(BE436,ITEM_RES!$A:$A,0)-1,0),0)*BG436+IFERROR(OFFSET(ITEM_RES!$T$1,MATCH(BJ436,ITEM_RES!$A:$A,0)-1,0),0)*BL436+IFERROR(OFFSET(ITEM_RES!$T$1,MATCH(BO436,ITEM_RES!$A:$A,0)-1,0),0)*BQ436)/1000</f>
        <v>900</v>
      </c>
      <c r="AK436" s="183">
        <f t="shared" ca="1" si="130"/>
        <v>1650</v>
      </c>
      <c r="AM436" s="11">
        <f t="shared" si="12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29"/>
        <v>1</v>
      </c>
      <c r="AU436" s="11">
        <f ca="1">IFERROR(OFFSET(ITEM_RES!$A$1,MATCH(AV436,ITEM_RES!$J:$J,0)-1,0),0)</f>
        <v>211020501</v>
      </c>
      <c r="AV436" s="10" t="s">
        <v>440</v>
      </c>
      <c r="AW436" s="11">
        <v>1500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114010013</v>
      </c>
      <c r="B437" s="13">
        <v>11</v>
      </c>
      <c r="C437" s="12">
        <f t="shared" si="132"/>
        <v>4</v>
      </c>
      <c r="D437" s="13">
        <v>1</v>
      </c>
      <c r="E437" s="13">
        <v>0</v>
      </c>
      <c r="F437" s="12">
        <f t="shared" si="133"/>
        <v>13</v>
      </c>
      <c r="H437" s="9">
        <v>4</v>
      </c>
      <c r="I437" s="9">
        <v>13</v>
      </c>
      <c r="K437" s="9" t="s">
        <v>379</v>
      </c>
      <c r="O437" s="9">
        <v>1</v>
      </c>
      <c r="P437" s="9">
        <v>15</v>
      </c>
      <c r="Q437" s="142"/>
      <c r="U437" s="9" t="s">
        <v>733</v>
      </c>
      <c r="X437" s="9">
        <f ca="1">IFERROR(OFFSET(ITEM_RES!$A$5,MATCH(BUILDING!W437,ITEM_RES!$J$5:$J$226,0)-1,0),0)</f>
        <v>0</v>
      </c>
      <c r="AA437" s="9">
        <f ca="1">IFERROR(OFFSET(ITEM_RES!$A$5,MATCH(BUILDING!Z437,ITEM_RES!$J$5:$J$226,0)-1,0),0)</f>
        <v>0</v>
      </c>
      <c r="AC437" s="9" t="s">
        <v>539</v>
      </c>
      <c r="AD437" s="9">
        <v>13</v>
      </c>
      <c r="AF437" s="9">
        <v>28000</v>
      </c>
      <c r="AI437" s="56">
        <f t="shared" ca="1" si="128"/>
        <v>1550</v>
      </c>
      <c r="AJ437" s="10">
        <f ca="1">AO437+AQ437+(IFERROR(OFFSET(ITEM_RES!$T$1,MATCH(AU437,ITEM_RES!$A:$A,0)-1,0),0)*AW437+IFERROR(OFFSET(ITEM_RES!$T$1,MATCH(AZ437,ITEM_RES!$A:$A,0)-1,0),0)*BB437+IFERROR(OFFSET(ITEM_RES!$T$1,MATCH(BE437,ITEM_RES!$A:$A,0)-1,0),0)*BG437+IFERROR(OFFSET(ITEM_RES!$T$1,MATCH(BJ437,ITEM_RES!$A:$A,0)-1,0),0)*BL437+IFERROR(OFFSET(ITEM_RES!$T$1,MATCH(BO437,ITEM_RES!$A:$A,0)-1,0),0)*BQ437)/1000</f>
        <v>1550</v>
      </c>
      <c r="AK437" s="183">
        <f t="shared" ca="1" si="130"/>
        <v>2450</v>
      </c>
      <c r="AM437" s="11">
        <f t="shared" si="12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29"/>
        <v>2</v>
      </c>
      <c r="AU437" s="11">
        <f ca="1">IFERROR(OFFSET(ITEM_RES!$A$1,MATCH(AV437,ITEM_RES!$J:$J,0)-1,0),0)</f>
        <v>211020501</v>
      </c>
      <c r="AV437" s="10" t="s">
        <v>440</v>
      </c>
      <c r="AW437" s="11">
        <v>1750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213011301</v>
      </c>
      <c r="BK437" s="10" t="s">
        <v>481</v>
      </c>
      <c r="BL437" s="11">
        <v>1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114010014</v>
      </c>
      <c r="B438" s="13">
        <v>11</v>
      </c>
      <c r="C438" s="12">
        <f t="shared" si="132"/>
        <v>4</v>
      </c>
      <c r="D438" s="13">
        <v>1</v>
      </c>
      <c r="E438" s="13">
        <v>0</v>
      </c>
      <c r="F438" s="12">
        <f t="shared" si="133"/>
        <v>14</v>
      </c>
      <c r="H438" s="9">
        <v>4</v>
      </c>
      <c r="I438" s="9">
        <v>14</v>
      </c>
      <c r="K438" s="9" t="s">
        <v>379</v>
      </c>
      <c r="O438" s="9">
        <v>1</v>
      </c>
      <c r="P438" s="9">
        <v>15</v>
      </c>
      <c r="Q438" s="142"/>
      <c r="U438" s="9" t="s">
        <v>733</v>
      </c>
      <c r="X438" s="9">
        <f ca="1">IFERROR(OFFSET(ITEM_RES!$A$5,MATCH(BUILDING!W438,ITEM_RES!$J$5:$J$226,0)-1,0),0)</f>
        <v>0</v>
      </c>
      <c r="AA438" s="9">
        <f ca="1">IFERROR(OFFSET(ITEM_RES!$A$5,MATCH(BUILDING!Z438,ITEM_RES!$J$5:$J$226,0)-1,0),0)</f>
        <v>0</v>
      </c>
      <c r="AC438" s="9" t="s">
        <v>539</v>
      </c>
      <c r="AD438" s="9">
        <v>14</v>
      </c>
      <c r="AF438" s="9">
        <v>36000</v>
      </c>
      <c r="AI438" s="56">
        <f t="shared" ca="1" si="128"/>
        <v>1350</v>
      </c>
      <c r="AJ438" s="10">
        <f ca="1">AO438+AQ438+(IFERROR(OFFSET(ITEM_RES!$T$1,MATCH(AU438,ITEM_RES!$A:$A,0)-1,0),0)*AW438+IFERROR(OFFSET(ITEM_RES!$T$1,MATCH(AZ438,ITEM_RES!$A:$A,0)-1,0),0)*BB438+IFERROR(OFFSET(ITEM_RES!$T$1,MATCH(BE438,ITEM_RES!$A:$A,0)-1,0),0)*BG438+IFERROR(OFFSET(ITEM_RES!$T$1,MATCH(BJ438,ITEM_RES!$A:$A,0)-1,0),0)*BL438+IFERROR(OFFSET(ITEM_RES!$T$1,MATCH(BO438,ITEM_RES!$A:$A,0)-1,0),0)*BQ438)/1000</f>
        <v>1350</v>
      </c>
      <c r="AK438" s="183">
        <f t="shared" ca="1" si="130"/>
        <v>2900</v>
      </c>
      <c r="AM438" s="11">
        <f t="shared" si="12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29"/>
        <v>1</v>
      </c>
      <c r="AU438" s="11">
        <f ca="1">IFERROR(OFFSET(ITEM_RES!$A$1,MATCH(AV438,ITEM_RES!$J:$J,0)-1,0),0)</f>
        <v>211020501</v>
      </c>
      <c r="AV438" s="10" t="s">
        <v>440</v>
      </c>
      <c r="AW438" s="11">
        <v>2250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114010015</v>
      </c>
      <c r="B439" s="13">
        <v>11</v>
      </c>
      <c r="C439" s="12">
        <f t="shared" si="132"/>
        <v>4</v>
      </c>
      <c r="D439" s="13">
        <v>1</v>
      </c>
      <c r="E439" s="13">
        <v>0</v>
      </c>
      <c r="F439" s="12">
        <f t="shared" si="133"/>
        <v>15</v>
      </c>
      <c r="H439" s="9">
        <v>4</v>
      </c>
      <c r="I439" s="9">
        <v>15</v>
      </c>
      <c r="K439" s="9" t="s">
        <v>379</v>
      </c>
      <c r="O439" s="9">
        <v>1</v>
      </c>
      <c r="P439" s="9">
        <v>15</v>
      </c>
      <c r="Q439" s="142"/>
      <c r="U439" s="9" t="s">
        <v>733</v>
      </c>
      <c r="X439" s="9">
        <f ca="1">IFERROR(OFFSET(ITEM_RES!$A$5,MATCH(BUILDING!W439,ITEM_RES!$J$5:$J$226,0)-1,0),0)</f>
        <v>0</v>
      </c>
      <c r="AA439" s="9">
        <f ca="1">IFERROR(OFFSET(ITEM_RES!$A$5,MATCH(BUILDING!Z439,ITEM_RES!$J$5:$J$226,0)-1,0),0)</f>
        <v>0</v>
      </c>
      <c r="AC439" s="9" t="s">
        <v>539</v>
      </c>
      <c r="AD439" s="9">
        <v>15</v>
      </c>
      <c r="AF439" s="9">
        <v>44000</v>
      </c>
      <c r="AI439" s="56">
        <f t="shared" ca="1" si="128"/>
        <v>1650</v>
      </c>
      <c r="AJ439" s="10">
        <f ca="1">AO439+AQ439+(IFERROR(OFFSET(ITEM_RES!$T$1,MATCH(AU439,ITEM_RES!$A:$A,0)-1,0),0)*AW439+IFERROR(OFFSET(ITEM_RES!$T$1,MATCH(AZ439,ITEM_RES!$A:$A,0)-1,0),0)*BB439+IFERROR(OFFSET(ITEM_RES!$T$1,MATCH(BE439,ITEM_RES!$A:$A,0)-1,0),0)*BG439+IFERROR(OFFSET(ITEM_RES!$T$1,MATCH(BJ439,ITEM_RES!$A:$A,0)-1,0),0)*BL439+IFERROR(OFFSET(ITEM_RES!$T$1,MATCH(BO439,ITEM_RES!$A:$A,0)-1,0),0)*BQ439)/1000</f>
        <v>1650</v>
      </c>
      <c r="AK439" s="183">
        <f t="shared" ca="1" si="130"/>
        <v>3000</v>
      </c>
      <c r="AM439" s="11">
        <f t="shared" si="12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29"/>
        <v>1</v>
      </c>
      <c r="AU439" s="11">
        <f ca="1">IFERROR(OFFSET(ITEM_RES!$A$1,MATCH(AV439,ITEM_RES!$J:$J,0)-1,0),0)</f>
        <v>211020501</v>
      </c>
      <c r="AV439" s="10" t="s">
        <v>440</v>
      </c>
      <c r="AW439" s="11">
        <v>2750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114010016</v>
      </c>
      <c r="B440" s="13">
        <v>11</v>
      </c>
      <c r="C440" s="12">
        <f t="shared" si="132"/>
        <v>4</v>
      </c>
      <c r="D440" s="13">
        <v>1</v>
      </c>
      <c r="E440" s="13">
        <v>0</v>
      </c>
      <c r="F440" s="12">
        <f t="shared" si="133"/>
        <v>16</v>
      </c>
      <c r="H440" s="9">
        <v>4</v>
      </c>
      <c r="I440" s="9">
        <v>16</v>
      </c>
      <c r="K440" s="9" t="s">
        <v>379</v>
      </c>
      <c r="O440" s="9">
        <v>0</v>
      </c>
      <c r="P440" s="9">
        <v>15</v>
      </c>
      <c r="Q440" s="142"/>
      <c r="U440" s="9" t="s">
        <v>733</v>
      </c>
      <c r="X440" s="9">
        <f ca="1">IFERROR(OFFSET(ITEM_RES!$A$5,MATCH(BUILDING!W440,ITEM_RES!$J$5:$J$226,0)-1,0),0)</f>
        <v>0</v>
      </c>
      <c r="AA440" s="9">
        <f ca="1">IFERROR(OFFSET(ITEM_RES!$A$5,MATCH(BUILDING!Z440,ITEM_RES!$J$5:$J$226,0)-1,0),0)</f>
        <v>0</v>
      </c>
      <c r="AC440" s="9" t="s">
        <v>539</v>
      </c>
      <c r="AD440" s="9">
        <v>16</v>
      </c>
      <c r="AF440" s="9">
        <v>56000</v>
      </c>
      <c r="AI440" s="56">
        <f t="shared" ca="1" si="128"/>
        <v>2100</v>
      </c>
      <c r="AJ440" s="10">
        <f ca="1">AO440+AQ440+(IFERROR(OFFSET(ITEM_RES!$T$1,MATCH(AU440,ITEM_RES!$A:$A,0)-1,0),0)*AW440+IFERROR(OFFSET(ITEM_RES!$T$1,MATCH(AZ440,ITEM_RES!$A:$A,0)-1,0),0)*BB440+IFERROR(OFFSET(ITEM_RES!$T$1,MATCH(BE440,ITEM_RES!$A:$A,0)-1,0),0)*BG440+IFERROR(OFFSET(ITEM_RES!$T$1,MATCH(BJ440,ITEM_RES!$A:$A,0)-1,0),0)*BL440+IFERROR(OFFSET(ITEM_RES!$T$1,MATCH(BO440,ITEM_RES!$A:$A,0)-1,0),0)*BQ440)/1000</f>
        <v>2100</v>
      </c>
      <c r="AK440" s="183">
        <f t="shared" ca="1" si="130"/>
        <v>3750</v>
      </c>
      <c r="AM440" s="11">
        <f t="shared" si="12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29"/>
        <v>1</v>
      </c>
      <c r="AU440" s="11">
        <f ca="1">IFERROR(OFFSET(ITEM_RES!$A$1,MATCH(AV440,ITEM_RES!$J:$J,0)-1,0),0)</f>
        <v>211020501</v>
      </c>
      <c r="AV440" s="10" t="s">
        <v>440</v>
      </c>
      <c r="AW440" s="11">
        <v>3500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114010017</v>
      </c>
      <c r="B441" s="13">
        <v>11</v>
      </c>
      <c r="C441" s="12">
        <f t="shared" si="132"/>
        <v>4</v>
      </c>
      <c r="D441" s="13">
        <v>1</v>
      </c>
      <c r="E441" s="13">
        <v>0</v>
      </c>
      <c r="F441" s="12">
        <f t="shared" si="133"/>
        <v>17</v>
      </c>
      <c r="H441" s="9">
        <v>4</v>
      </c>
      <c r="I441" s="9">
        <v>17</v>
      </c>
      <c r="K441" s="9" t="s">
        <v>379</v>
      </c>
      <c r="O441" s="9">
        <v>0</v>
      </c>
      <c r="P441" s="9">
        <v>15</v>
      </c>
      <c r="Q441" s="142"/>
      <c r="U441" s="9" t="s">
        <v>733</v>
      </c>
      <c r="X441" s="9">
        <f ca="1">IFERROR(OFFSET(ITEM_RES!$A$5,MATCH(BUILDING!W441,ITEM_RES!$J$5:$J$226,0)-1,0),0)</f>
        <v>0</v>
      </c>
      <c r="AA441" s="9">
        <f ca="1">IFERROR(OFFSET(ITEM_RES!$A$5,MATCH(BUILDING!Z441,ITEM_RES!$J$5:$J$226,0)-1,0),0)</f>
        <v>0</v>
      </c>
      <c r="AC441" s="9" t="s">
        <v>539</v>
      </c>
      <c r="AD441" s="9">
        <v>17</v>
      </c>
      <c r="AF441" s="9">
        <v>68000</v>
      </c>
      <c r="AI441" s="56">
        <f t="shared" ca="1" si="128"/>
        <v>2550</v>
      </c>
      <c r="AJ441" s="10">
        <f ca="1">AO441+AQ441+(IFERROR(OFFSET(ITEM_RES!$T$1,MATCH(AU441,ITEM_RES!$A:$A,0)-1,0),0)*AW441+IFERROR(OFFSET(ITEM_RES!$T$1,MATCH(AZ441,ITEM_RES!$A:$A,0)-1,0),0)*BB441+IFERROR(OFFSET(ITEM_RES!$T$1,MATCH(BE441,ITEM_RES!$A:$A,0)-1,0),0)*BG441+IFERROR(OFFSET(ITEM_RES!$T$1,MATCH(BJ441,ITEM_RES!$A:$A,0)-1,0),0)*BL441+IFERROR(OFFSET(ITEM_RES!$T$1,MATCH(BO441,ITEM_RES!$A:$A,0)-1,0),0)*BQ441)/1000</f>
        <v>2550</v>
      </c>
      <c r="AK441" s="183">
        <f t="shared" ca="1" si="130"/>
        <v>4650</v>
      </c>
      <c r="AM441" s="11">
        <f t="shared" si="12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29"/>
        <v>1</v>
      </c>
      <c r="AU441" s="11">
        <f ca="1">IFERROR(OFFSET(ITEM_RES!$A$1,MATCH(AV441,ITEM_RES!$J:$J,0)-1,0),0)</f>
        <v>211020501</v>
      </c>
      <c r="AV441" s="10" t="s">
        <v>440</v>
      </c>
      <c r="AW441" s="11">
        <v>4250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114010018</v>
      </c>
      <c r="B442" s="13">
        <v>11</v>
      </c>
      <c r="C442" s="12">
        <f t="shared" si="132"/>
        <v>4</v>
      </c>
      <c r="D442" s="13">
        <v>1</v>
      </c>
      <c r="E442" s="13">
        <v>0</v>
      </c>
      <c r="F442" s="12">
        <f t="shared" si="133"/>
        <v>18</v>
      </c>
      <c r="H442" s="9">
        <v>4</v>
      </c>
      <c r="I442" s="9">
        <v>18</v>
      </c>
      <c r="K442" s="9" t="s">
        <v>379</v>
      </c>
      <c r="O442" s="9">
        <v>0</v>
      </c>
      <c r="P442" s="9">
        <v>15</v>
      </c>
      <c r="Q442" s="142"/>
      <c r="U442" s="9" t="s">
        <v>733</v>
      </c>
      <c r="X442" s="9">
        <f ca="1">IFERROR(OFFSET(ITEM_RES!$A$5,MATCH(BUILDING!W442,ITEM_RES!$J$5:$J$226,0)-1,0),0)</f>
        <v>0</v>
      </c>
      <c r="AA442" s="9">
        <f ca="1">IFERROR(OFFSET(ITEM_RES!$A$5,MATCH(BUILDING!Z442,ITEM_RES!$J$5:$J$226,0)-1,0),0)</f>
        <v>0</v>
      </c>
      <c r="AC442" s="9" t="s">
        <v>539</v>
      </c>
      <c r="AD442" s="9">
        <v>18</v>
      </c>
      <c r="AF442" s="9">
        <v>84000</v>
      </c>
      <c r="AI442" s="56">
        <f t="shared" ca="1" si="128"/>
        <v>3150</v>
      </c>
      <c r="AJ442" s="10">
        <f ca="1">AO442+AQ442+(IFERROR(OFFSET(ITEM_RES!$T$1,MATCH(AU442,ITEM_RES!$A:$A,0)-1,0),0)*AW442+IFERROR(OFFSET(ITEM_RES!$T$1,MATCH(AZ442,ITEM_RES!$A:$A,0)-1,0),0)*BB442+IFERROR(OFFSET(ITEM_RES!$T$1,MATCH(BE442,ITEM_RES!$A:$A,0)-1,0),0)*BG442+IFERROR(OFFSET(ITEM_RES!$T$1,MATCH(BJ442,ITEM_RES!$A:$A,0)-1,0),0)*BL442+IFERROR(OFFSET(ITEM_RES!$T$1,MATCH(BO442,ITEM_RES!$A:$A,0)-1,0),0)*BQ442)/1000</f>
        <v>3150</v>
      </c>
      <c r="AK442" s="183">
        <f t="shared" ca="1" si="130"/>
        <v>5700</v>
      </c>
      <c r="AM442" s="11">
        <f t="shared" si="12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29"/>
        <v>1</v>
      </c>
      <c r="AU442" s="11">
        <f ca="1">IFERROR(OFFSET(ITEM_RES!$A$1,MATCH(AV442,ITEM_RES!$J:$J,0)-1,0),0)</f>
        <v>211020501</v>
      </c>
      <c r="AV442" s="10" t="s">
        <v>440</v>
      </c>
      <c r="AW442" s="11">
        <v>5250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114010019</v>
      </c>
      <c r="B443" s="13">
        <v>11</v>
      </c>
      <c r="C443" s="12">
        <f t="shared" si="132"/>
        <v>4</v>
      </c>
      <c r="D443" s="13">
        <v>1</v>
      </c>
      <c r="E443" s="13">
        <v>0</v>
      </c>
      <c r="F443" s="12">
        <f t="shared" si="133"/>
        <v>19</v>
      </c>
      <c r="H443" s="9">
        <v>4</v>
      </c>
      <c r="I443" s="9">
        <v>19</v>
      </c>
      <c r="K443" s="9" t="s">
        <v>379</v>
      </c>
      <c r="O443" s="9">
        <v>0</v>
      </c>
      <c r="P443" s="9">
        <v>15</v>
      </c>
      <c r="Q443" s="142"/>
      <c r="U443" s="9" t="s">
        <v>733</v>
      </c>
      <c r="X443" s="9">
        <f ca="1">IFERROR(OFFSET(ITEM_RES!$A$5,MATCH(BUILDING!W443,ITEM_RES!$J$5:$J$226,0)-1,0),0)</f>
        <v>0</v>
      </c>
      <c r="AA443" s="9">
        <f ca="1">IFERROR(OFFSET(ITEM_RES!$A$5,MATCH(BUILDING!Z443,ITEM_RES!$J$5:$J$226,0)-1,0),0)</f>
        <v>0</v>
      </c>
      <c r="AC443" s="9" t="s">
        <v>539</v>
      </c>
      <c r="AD443" s="9">
        <v>19</v>
      </c>
      <c r="AF443" s="9">
        <v>100000</v>
      </c>
      <c r="AI443" s="56">
        <f t="shared" ca="1" si="128"/>
        <v>3750</v>
      </c>
      <c r="AJ443" s="10">
        <f ca="1">AO443+AQ443+(IFERROR(OFFSET(ITEM_RES!$T$1,MATCH(AU443,ITEM_RES!$A:$A,0)-1,0),0)*AW443+IFERROR(OFFSET(ITEM_RES!$T$1,MATCH(AZ443,ITEM_RES!$A:$A,0)-1,0),0)*BB443+IFERROR(OFFSET(ITEM_RES!$T$1,MATCH(BE443,ITEM_RES!$A:$A,0)-1,0),0)*BG443+IFERROR(OFFSET(ITEM_RES!$T$1,MATCH(BJ443,ITEM_RES!$A:$A,0)-1,0),0)*BL443+IFERROR(OFFSET(ITEM_RES!$T$1,MATCH(BO443,ITEM_RES!$A:$A,0)-1,0),0)*BQ443)/1000</f>
        <v>3750</v>
      </c>
      <c r="AK443" s="183">
        <f t="shared" ca="1" si="130"/>
        <v>6900</v>
      </c>
      <c r="AM443" s="11">
        <f t="shared" si="12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29"/>
        <v>1</v>
      </c>
      <c r="AU443" s="11">
        <f ca="1">IFERROR(OFFSET(ITEM_RES!$A$1,MATCH(AV443,ITEM_RES!$J:$J,0)-1,0),0)</f>
        <v>211020501</v>
      </c>
      <c r="AV443" s="10" t="s">
        <v>440</v>
      </c>
      <c r="AW443" s="11">
        <v>6250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114010020</v>
      </c>
      <c r="B444" s="13">
        <v>11</v>
      </c>
      <c r="C444" s="12">
        <f t="shared" si="132"/>
        <v>4</v>
      </c>
      <c r="D444" s="13">
        <v>1</v>
      </c>
      <c r="E444" s="13">
        <v>0</v>
      </c>
      <c r="F444" s="12">
        <f t="shared" si="133"/>
        <v>20</v>
      </c>
      <c r="H444" s="9">
        <v>4</v>
      </c>
      <c r="I444" s="9">
        <v>20</v>
      </c>
      <c r="K444" s="9" t="s">
        <v>379</v>
      </c>
      <c r="O444" s="9">
        <v>0</v>
      </c>
      <c r="P444" s="9">
        <v>15</v>
      </c>
      <c r="Q444" s="142"/>
      <c r="U444" s="9" t="s">
        <v>733</v>
      </c>
      <c r="X444" s="9">
        <f ca="1">IFERROR(OFFSET(ITEM_RES!$A$5,MATCH(BUILDING!W444,ITEM_RES!$J$5:$J$226,0)-1,0),0)</f>
        <v>0</v>
      </c>
      <c r="AA444" s="9">
        <f ca="1">IFERROR(OFFSET(ITEM_RES!$A$5,MATCH(BUILDING!Z444,ITEM_RES!$J$5:$J$226,0)-1,0),0)</f>
        <v>0</v>
      </c>
      <c r="AC444" s="9" t="s">
        <v>539</v>
      </c>
      <c r="AD444" s="9">
        <v>20</v>
      </c>
      <c r="AF444" s="9">
        <v>120000</v>
      </c>
      <c r="AI444" s="56">
        <f t="shared" ca="1" si="128"/>
        <v>4500</v>
      </c>
      <c r="AJ444" s="10">
        <f ca="1">AO444+AQ444+(IFERROR(OFFSET(ITEM_RES!$T$1,MATCH(AU444,ITEM_RES!$A:$A,0)-1,0),0)*AW444+IFERROR(OFFSET(ITEM_RES!$T$1,MATCH(AZ444,ITEM_RES!$A:$A,0)-1,0),0)*BB444+IFERROR(OFFSET(ITEM_RES!$T$1,MATCH(BE444,ITEM_RES!$A:$A,0)-1,0),0)*BG444+IFERROR(OFFSET(ITEM_RES!$T$1,MATCH(BJ444,ITEM_RES!$A:$A,0)-1,0),0)*BL444+IFERROR(OFFSET(ITEM_RES!$T$1,MATCH(BO444,ITEM_RES!$A:$A,0)-1,0),0)*BQ444)/1000</f>
        <v>4500</v>
      </c>
      <c r="AK444" s="183">
        <f t="shared" ca="1" si="130"/>
        <v>8250</v>
      </c>
      <c r="AM444" s="11">
        <f t="shared" si="12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29"/>
        <v>1</v>
      </c>
      <c r="AU444" s="11">
        <f ca="1">IFERROR(OFFSET(ITEM_RES!$A$1,MATCH(AV444,ITEM_RES!$J:$J,0)-1,0),0)</f>
        <v>211020501</v>
      </c>
      <c r="AV444" s="10" t="s">
        <v>440</v>
      </c>
      <c r="AW444" s="11">
        <v>7500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114020001</v>
      </c>
      <c r="B445" s="20">
        <v>11</v>
      </c>
      <c r="C445" s="19">
        <f t="shared" si="132"/>
        <v>4</v>
      </c>
      <c r="D445" s="20">
        <v>2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382</v>
      </c>
      <c r="L445" s="16">
        <v>1</v>
      </c>
      <c r="M445" s="16"/>
      <c r="N445" s="16"/>
      <c r="O445" s="16">
        <v>1</v>
      </c>
      <c r="P445" s="16">
        <v>15</v>
      </c>
      <c r="Q445" s="16" t="s">
        <v>793</v>
      </c>
      <c r="R445" s="17"/>
      <c r="S445" s="17"/>
      <c r="T445" s="18"/>
      <c r="U445" s="16" t="s">
        <v>734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540</v>
      </c>
      <c r="AD445" s="16">
        <v>1</v>
      </c>
      <c r="AE445" s="79"/>
      <c r="AF445" s="16">
        <v>0</v>
      </c>
      <c r="AG445" s="17"/>
      <c r="AH445" s="79"/>
      <c r="AI445" s="57">
        <f t="shared" ca="1" si="128"/>
        <v>113</v>
      </c>
      <c r="AJ445" s="17">
        <f ca="1">AO445+AQ445+(IFERROR(OFFSET(ITEM_RES!$T$1,MATCH(AU445,ITEM_RES!$A:$A,0)-1,0),0)*AW445+IFERROR(OFFSET(ITEM_RES!$T$1,MATCH(AZ445,ITEM_RES!$A:$A,0)-1,0),0)*BB445+IFERROR(OFFSET(ITEM_RES!$T$1,MATCH(BE445,ITEM_RES!$A:$A,0)-1,0),0)*BG445+IFERROR(OFFSET(ITEM_RES!$T$1,MATCH(BJ445,ITEM_RES!$A:$A,0)-1,0),0)*BL445+IFERROR(OFFSET(ITEM_RES!$T$1,MATCH(BO445,ITEM_RES!$A:$A,0)-1,0),0)*BQ445)/1000</f>
        <v>112.5</v>
      </c>
      <c r="AK445" s="185">
        <f ca="1">AJ445</f>
        <v>112.5</v>
      </c>
      <c r="AL445" s="79"/>
      <c r="AM445" s="18">
        <f t="shared" si="12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29"/>
        <v>2</v>
      </c>
      <c r="AT445" s="18"/>
      <c r="AU445" s="18">
        <f ca="1">IFERROR(OFFSET(ITEM_RES!$A$1,MATCH(AV445,ITEM_RES!$J:$J,0)-1,0),0)</f>
        <v>211020801</v>
      </c>
      <c r="AV445" s="17" t="s">
        <v>444</v>
      </c>
      <c r="AW445" s="18">
        <v>25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463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114020002</v>
      </c>
      <c r="B446" s="13">
        <v>11</v>
      </c>
      <c r="C446" s="12">
        <f t="shared" si="132"/>
        <v>4</v>
      </c>
      <c r="D446" s="13">
        <v>2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382</v>
      </c>
      <c r="O446" s="9">
        <v>1</v>
      </c>
      <c r="P446" s="9">
        <v>15</v>
      </c>
      <c r="Q446" s="9" t="s">
        <v>793</v>
      </c>
      <c r="U446" s="9" t="s">
        <v>734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540</v>
      </c>
      <c r="AD446" s="9">
        <v>2</v>
      </c>
      <c r="AF446" s="9">
        <v>400</v>
      </c>
      <c r="AI446" s="56">
        <f t="shared" ca="1" si="128"/>
        <v>25</v>
      </c>
      <c r="AJ446" s="10">
        <f ca="1">AO446+AQ446+(IFERROR(OFFSET(ITEM_RES!$T$1,MATCH(AU446,ITEM_RES!$A:$A,0)-1,0),0)*AW446+IFERROR(OFFSET(ITEM_RES!$T$1,MATCH(AZ446,ITEM_RES!$A:$A,0)-1,0),0)*BB446+IFERROR(OFFSET(ITEM_RES!$T$1,MATCH(BE446,ITEM_RES!$A:$A,0)-1,0),0)*BG446+IFERROR(OFFSET(ITEM_RES!$T$1,MATCH(BJ446,ITEM_RES!$A:$A,0)-1,0),0)*BL446+IFERROR(OFFSET(ITEM_RES!$T$1,MATCH(BO446,ITEM_RES!$A:$A,0)-1,0),0)*BQ446)/1000</f>
        <v>25</v>
      </c>
      <c r="AK446" s="183">
        <f t="shared" ref="AK446:AK464" ca="1" si="135">AJ445+AJ446</f>
        <v>137.5</v>
      </c>
      <c r="AM446" s="11">
        <f t="shared" si="12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29"/>
        <v>1</v>
      </c>
      <c r="AU446" s="11">
        <f ca="1">IFERROR(OFFSET(ITEM_RES!$A$1,MATCH(AV446,ITEM_RES!$J:$J,0)-1,0),0)</f>
        <v>211020801</v>
      </c>
      <c r="AV446" s="10" t="s">
        <v>444</v>
      </c>
      <c r="AW446" s="11">
        <v>50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114020003</v>
      </c>
      <c r="B447" s="13">
        <v>11</v>
      </c>
      <c r="C447" s="12">
        <f t="shared" si="132"/>
        <v>4</v>
      </c>
      <c r="D447" s="13">
        <v>2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382</v>
      </c>
      <c r="O447" s="9">
        <v>1</v>
      </c>
      <c r="P447" s="9">
        <v>15</v>
      </c>
      <c r="Q447" s="9" t="s">
        <v>793</v>
      </c>
      <c r="U447" s="9" t="s">
        <v>734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540</v>
      </c>
      <c r="AD447" s="9">
        <v>3</v>
      </c>
      <c r="AF447" s="9">
        <v>1200</v>
      </c>
      <c r="AI447" s="56">
        <f t="shared" ca="1" si="128"/>
        <v>38</v>
      </c>
      <c r="AJ447" s="10">
        <f ca="1">AO447+AQ447+(IFERROR(OFFSET(ITEM_RES!$T$1,MATCH(AU447,ITEM_RES!$A:$A,0)-1,0),0)*AW447+IFERROR(OFFSET(ITEM_RES!$T$1,MATCH(AZ447,ITEM_RES!$A:$A,0)-1,0),0)*BB447+IFERROR(OFFSET(ITEM_RES!$T$1,MATCH(BE447,ITEM_RES!$A:$A,0)-1,0),0)*BG447+IFERROR(OFFSET(ITEM_RES!$T$1,MATCH(BJ447,ITEM_RES!$A:$A,0)-1,0),0)*BL447+IFERROR(OFFSET(ITEM_RES!$T$1,MATCH(BO447,ITEM_RES!$A:$A,0)-1,0),0)*BQ447)/1000</f>
        <v>37.5</v>
      </c>
      <c r="AK447" s="183">
        <f t="shared" ca="1" si="135"/>
        <v>62.5</v>
      </c>
      <c r="AM447" s="11">
        <f t="shared" si="12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29"/>
        <v>1</v>
      </c>
      <c r="AU447" s="11">
        <f ca="1">IFERROR(OFFSET(ITEM_RES!$A$1,MATCH(AV447,ITEM_RES!$J:$J,0)-1,0),0)</f>
        <v>211020801</v>
      </c>
      <c r="AV447" s="10" t="s">
        <v>444</v>
      </c>
      <c r="AW447" s="11">
        <v>75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114020004</v>
      </c>
      <c r="B448" s="13">
        <v>11</v>
      </c>
      <c r="C448" s="12">
        <f t="shared" si="132"/>
        <v>4</v>
      </c>
      <c r="D448" s="13">
        <v>2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382</v>
      </c>
      <c r="O448" s="9">
        <v>1</v>
      </c>
      <c r="P448" s="9">
        <v>15</v>
      </c>
      <c r="Q448" s="9" t="s">
        <v>793</v>
      </c>
      <c r="U448" s="9" t="s">
        <v>734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540</v>
      </c>
      <c r="AD448" s="9">
        <v>4</v>
      </c>
      <c r="AF448" s="9">
        <v>2000</v>
      </c>
      <c r="AI448" s="56">
        <f t="shared" ca="1" si="128"/>
        <v>63</v>
      </c>
      <c r="AJ448" s="10">
        <f ca="1">AO448+AQ448+(IFERROR(OFFSET(ITEM_RES!$T$1,MATCH(AU448,ITEM_RES!$A:$A,0)-1,0),0)*AW448+IFERROR(OFFSET(ITEM_RES!$T$1,MATCH(AZ448,ITEM_RES!$A:$A,0)-1,0),0)*BB448+IFERROR(OFFSET(ITEM_RES!$T$1,MATCH(BE448,ITEM_RES!$A:$A,0)-1,0),0)*BG448+IFERROR(OFFSET(ITEM_RES!$T$1,MATCH(BJ448,ITEM_RES!$A:$A,0)-1,0),0)*BL448+IFERROR(OFFSET(ITEM_RES!$T$1,MATCH(BO448,ITEM_RES!$A:$A,0)-1,0),0)*BQ448)/1000</f>
        <v>62.5</v>
      </c>
      <c r="AK448" s="183">
        <f t="shared" ca="1" si="135"/>
        <v>100</v>
      </c>
      <c r="AM448" s="11">
        <f t="shared" si="12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29"/>
        <v>1</v>
      </c>
      <c r="AU448" s="11">
        <f ca="1">IFERROR(OFFSET(ITEM_RES!$A$1,MATCH(AV448,ITEM_RES!$J:$J,0)-1,0),0)</f>
        <v>211020801</v>
      </c>
      <c r="AV448" s="10" t="s">
        <v>444</v>
      </c>
      <c r="AW448" s="11">
        <v>125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si="131"/>
        <v>114020005</v>
      </c>
      <c r="B449" s="13">
        <v>11</v>
      </c>
      <c r="C449" s="12">
        <f t="shared" si="132"/>
        <v>4</v>
      </c>
      <c r="D449" s="13">
        <v>2</v>
      </c>
      <c r="E449" s="13">
        <v>0</v>
      </c>
      <c r="F449" s="12">
        <f t="shared" si="133"/>
        <v>5</v>
      </c>
      <c r="H449" s="9">
        <v>4</v>
      </c>
      <c r="I449" s="9">
        <v>5</v>
      </c>
      <c r="K449" s="9" t="s">
        <v>382</v>
      </c>
      <c r="O449" s="9">
        <v>1</v>
      </c>
      <c r="P449" s="9">
        <v>15</v>
      </c>
      <c r="Q449" s="9" t="s">
        <v>793</v>
      </c>
      <c r="U449" s="9" t="s">
        <v>734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540</v>
      </c>
      <c r="AD449" s="9">
        <v>5</v>
      </c>
      <c r="AF449" s="9">
        <v>3200</v>
      </c>
      <c r="AI449" s="56">
        <f t="shared" ca="1" si="128"/>
        <v>100</v>
      </c>
      <c r="AJ449" s="10">
        <f ca="1">AO449+AQ449+(IFERROR(OFFSET(ITEM_RES!$T$1,MATCH(AU449,ITEM_RES!$A:$A,0)-1,0),0)*AW449+IFERROR(OFFSET(ITEM_RES!$T$1,MATCH(AZ449,ITEM_RES!$A:$A,0)-1,0),0)*BB449+IFERROR(OFFSET(ITEM_RES!$T$1,MATCH(BE449,ITEM_RES!$A:$A,0)-1,0),0)*BG449+IFERROR(OFFSET(ITEM_RES!$T$1,MATCH(BJ449,ITEM_RES!$A:$A,0)-1,0),0)*BL449+IFERROR(OFFSET(ITEM_RES!$T$1,MATCH(BO449,ITEM_RES!$A:$A,0)-1,0),0)*BQ449)/1000</f>
        <v>100</v>
      </c>
      <c r="AK449" s="183">
        <f t="shared" ca="1" si="135"/>
        <v>162.5</v>
      </c>
      <c r="AM449" s="11">
        <f t="shared" si="12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29"/>
        <v>1</v>
      </c>
      <c r="AU449" s="11">
        <f ca="1">IFERROR(OFFSET(ITEM_RES!$A$1,MATCH(AV449,ITEM_RES!$J:$J,0)-1,0),0)</f>
        <v>211020801</v>
      </c>
      <c r="AV449" s="10" t="s">
        <v>444</v>
      </c>
      <c r="AW449" s="11">
        <v>200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31"/>
        <v>114020006</v>
      </c>
      <c r="B450" s="13">
        <v>11</v>
      </c>
      <c r="C450" s="12">
        <f t="shared" si="132"/>
        <v>4</v>
      </c>
      <c r="D450" s="13">
        <v>2</v>
      </c>
      <c r="E450" s="13">
        <v>0</v>
      </c>
      <c r="F450" s="12">
        <f t="shared" si="133"/>
        <v>6</v>
      </c>
      <c r="H450" s="9">
        <v>4</v>
      </c>
      <c r="I450" s="9">
        <v>6</v>
      </c>
      <c r="K450" s="9" t="s">
        <v>382</v>
      </c>
      <c r="O450" s="9">
        <v>1</v>
      </c>
      <c r="P450" s="9">
        <v>15</v>
      </c>
      <c r="Q450" s="9" t="s">
        <v>793</v>
      </c>
      <c r="U450" s="9" t="s">
        <v>734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540</v>
      </c>
      <c r="AD450" s="9">
        <v>6</v>
      </c>
      <c r="AF450" s="9">
        <v>4000</v>
      </c>
      <c r="AI450" s="56">
        <f t="shared" ca="1" si="128"/>
        <v>125</v>
      </c>
      <c r="AJ450" s="10">
        <f ca="1">AO450+AQ450+(IFERROR(OFFSET(ITEM_RES!$T$1,MATCH(AU450,ITEM_RES!$A:$A,0)-1,0),0)*AW450+IFERROR(OFFSET(ITEM_RES!$T$1,MATCH(AZ450,ITEM_RES!$A:$A,0)-1,0),0)*BB450+IFERROR(OFFSET(ITEM_RES!$T$1,MATCH(BE450,ITEM_RES!$A:$A,0)-1,0),0)*BG450+IFERROR(OFFSET(ITEM_RES!$T$1,MATCH(BJ450,ITEM_RES!$A:$A,0)-1,0),0)*BL450+IFERROR(OFFSET(ITEM_RES!$T$1,MATCH(BO450,ITEM_RES!$A:$A,0)-1,0),0)*BQ450)/1000</f>
        <v>125</v>
      </c>
      <c r="AK450" s="183">
        <f t="shared" ca="1" si="135"/>
        <v>225</v>
      </c>
      <c r="AM450" s="11">
        <f t="shared" si="127"/>
        <v>30</v>
      </c>
      <c r="AN450" s="10">
        <v>30</v>
      </c>
      <c r="AO450" s="11">
        <f t="shared" si="134"/>
        <v>50</v>
      </c>
      <c r="AP450" s="10">
        <v>50</v>
      </c>
      <c r="AQ450" s="11">
        <f t="shared" si="134"/>
        <v>50</v>
      </c>
      <c r="AR450" s="10">
        <v>50</v>
      </c>
      <c r="AS450" s="56">
        <f t="shared" si="129"/>
        <v>1</v>
      </c>
      <c r="AU450" s="11">
        <f ca="1">IFERROR(OFFSET(ITEM_RES!$A$1,MATCH(AV450,ITEM_RES!$J:$J,0)-1,0),0)</f>
        <v>211020801</v>
      </c>
      <c r="AV450" s="10" t="s">
        <v>455</v>
      </c>
      <c r="AW450" s="11">
        <v>250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31"/>
        <v>114020007</v>
      </c>
      <c r="B451" s="13">
        <v>11</v>
      </c>
      <c r="C451" s="12">
        <f t="shared" si="132"/>
        <v>4</v>
      </c>
      <c r="D451" s="13">
        <v>2</v>
      </c>
      <c r="E451" s="13">
        <v>0</v>
      </c>
      <c r="F451" s="12">
        <f t="shared" si="133"/>
        <v>7</v>
      </c>
      <c r="H451" s="9">
        <v>4</v>
      </c>
      <c r="I451" s="9">
        <v>7</v>
      </c>
      <c r="K451" s="9" t="s">
        <v>382</v>
      </c>
      <c r="O451" s="9">
        <v>1</v>
      </c>
      <c r="P451" s="9">
        <v>15</v>
      </c>
      <c r="Q451" s="9" t="s">
        <v>793</v>
      </c>
      <c r="U451" s="9" t="s">
        <v>734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540</v>
      </c>
      <c r="AD451" s="9">
        <v>7</v>
      </c>
      <c r="AF451" s="9">
        <v>8000</v>
      </c>
      <c r="AI451" s="56">
        <f t="shared" ca="1" si="128"/>
        <v>250</v>
      </c>
      <c r="AJ451" s="10">
        <f ca="1">AO451+AQ451+(IFERROR(OFFSET(ITEM_RES!$T$1,MATCH(AU451,ITEM_RES!$A:$A,0)-1,0),0)*AW451+IFERROR(OFFSET(ITEM_RES!$T$1,MATCH(AZ451,ITEM_RES!$A:$A,0)-1,0),0)*BB451+IFERROR(OFFSET(ITEM_RES!$T$1,MATCH(BE451,ITEM_RES!$A:$A,0)-1,0),0)*BG451+IFERROR(OFFSET(ITEM_RES!$T$1,MATCH(BJ451,ITEM_RES!$A:$A,0)-1,0),0)*BL451+IFERROR(OFFSET(ITEM_RES!$T$1,MATCH(BO451,ITEM_RES!$A:$A,0)-1,0),0)*BQ451)/1000</f>
        <v>250</v>
      </c>
      <c r="AK451" s="183">
        <f t="shared" ca="1" si="135"/>
        <v>375</v>
      </c>
      <c r="AM451" s="11">
        <f t="shared" si="127"/>
        <v>35</v>
      </c>
      <c r="AN451" s="10">
        <v>35</v>
      </c>
      <c r="AO451" s="11">
        <f t="shared" si="134"/>
        <v>100</v>
      </c>
      <c r="AP451" s="10">
        <v>100</v>
      </c>
      <c r="AQ451" s="11">
        <f t="shared" si="134"/>
        <v>100</v>
      </c>
      <c r="AR451" s="10">
        <v>100</v>
      </c>
      <c r="AS451" s="56">
        <f t="shared" si="129"/>
        <v>1</v>
      </c>
      <c r="AU451" s="11">
        <f ca="1">IFERROR(OFFSET(ITEM_RES!$A$1,MATCH(AV451,ITEM_RES!$J:$J,0)-1,0),0)</f>
        <v>211020801</v>
      </c>
      <c r="AV451" s="10" t="s">
        <v>444</v>
      </c>
      <c r="AW451" s="11">
        <v>500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31"/>
        <v>114020008</v>
      </c>
      <c r="B452" s="13">
        <v>11</v>
      </c>
      <c r="C452" s="12">
        <f t="shared" si="132"/>
        <v>4</v>
      </c>
      <c r="D452" s="13">
        <v>2</v>
      </c>
      <c r="E452" s="13">
        <v>0</v>
      </c>
      <c r="F452" s="12">
        <f t="shared" si="133"/>
        <v>8</v>
      </c>
      <c r="H452" s="9">
        <v>4</v>
      </c>
      <c r="I452" s="9">
        <v>8</v>
      </c>
      <c r="K452" s="9" t="s">
        <v>382</v>
      </c>
      <c r="O452" s="9">
        <v>1</v>
      </c>
      <c r="P452" s="9">
        <v>15</v>
      </c>
      <c r="Q452" s="9" t="s">
        <v>793</v>
      </c>
      <c r="U452" s="9" t="s">
        <v>734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540</v>
      </c>
      <c r="AD452" s="9">
        <v>8</v>
      </c>
      <c r="AF452" s="9">
        <v>8000</v>
      </c>
      <c r="AI452" s="56">
        <f t="shared" ca="1" si="128"/>
        <v>250</v>
      </c>
      <c r="AJ452" s="10">
        <f ca="1">AO452+AQ452+(IFERROR(OFFSET(ITEM_RES!$T$1,MATCH(AU452,ITEM_RES!$A:$A,0)-1,0),0)*AW452+IFERROR(OFFSET(ITEM_RES!$T$1,MATCH(AZ452,ITEM_RES!$A:$A,0)-1,0),0)*BB452+IFERROR(OFFSET(ITEM_RES!$T$1,MATCH(BE452,ITEM_RES!$A:$A,0)-1,0),0)*BG452+IFERROR(OFFSET(ITEM_RES!$T$1,MATCH(BJ452,ITEM_RES!$A:$A,0)-1,0),0)*BL452+IFERROR(OFFSET(ITEM_RES!$T$1,MATCH(BO452,ITEM_RES!$A:$A,0)-1,0),0)*BQ452)/1000</f>
        <v>250</v>
      </c>
      <c r="AK452" s="183">
        <f t="shared" ca="1" si="135"/>
        <v>500</v>
      </c>
      <c r="AM452" s="11">
        <f t="shared" si="127"/>
        <v>40</v>
      </c>
      <c r="AN452" s="10">
        <v>40</v>
      </c>
      <c r="AO452" s="11">
        <f t="shared" si="134"/>
        <v>100</v>
      </c>
      <c r="AP452" s="10">
        <v>100</v>
      </c>
      <c r="AQ452" s="11">
        <f t="shared" si="134"/>
        <v>100</v>
      </c>
      <c r="AR452" s="10">
        <v>100</v>
      </c>
      <c r="AS452" s="56">
        <f t="shared" si="129"/>
        <v>1</v>
      </c>
      <c r="AU452" s="11">
        <f ca="1">IFERROR(OFFSET(ITEM_RES!$A$1,MATCH(AV452,ITEM_RES!$J:$J,0)-1,0),0)</f>
        <v>211020801</v>
      </c>
      <c r="AV452" s="10" t="s">
        <v>444</v>
      </c>
      <c r="AW452" s="11">
        <v>500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31"/>
        <v>114020009</v>
      </c>
      <c r="B453" s="13">
        <v>11</v>
      </c>
      <c r="C453" s="12">
        <f t="shared" si="132"/>
        <v>4</v>
      </c>
      <c r="D453" s="13">
        <v>2</v>
      </c>
      <c r="E453" s="13">
        <v>0</v>
      </c>
      <c r="F453" s="12">
        <f t="shared" si="133"/>
        <v>9</v>
      </c>
      <c r="H453" s="9">
        <v>4</v>
      </c>
      <c r="I453" s="9">
        <v>9</v>
      </c>
      <c r="K453" s="9" t="s">
        <v>382</v>
      </c>
      <c r="O453" s="9">
        <v>1</v>
      </c>
      <c r="P453" s="9">
        <v>15</v>
      </c>
      <c r="Q453" s="56" t="s">
        <v>793</v>
      </c>
      <c r="U453" s="9" t="s">
        <v>734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540</v>
      </c>
      <c r="AD453" s="9">
        <v>9</v>
      </c>
      <c r="AF453" s="9">
        <v>12000</v>
      </c>
      <c r="AI453" s="56">
        <f t="shared" ca="1" si="128"/>
        <v>450</v>
      </c>
      <c r="AJ453" s="10">
        <f ca="1">AO453+AQ453+(IFERROR(OFFSET(ITEM_RES!$T$1,MATCH(AU453,ITEM_RES!$A:$A,0)-1,0),0)*AW453+IFERROR(OFFSET(ITEM_RES!$T$1,MATCH(AZ453,ITEM_RES!$A:$A,0)-1,0),0)*BB453+IFERROR(OFFSET(ITEM_RES!$T$1,MATCH(BE453,ITEM_RES!$A:$A,0)-1,0),0)*BG453+IFERROR(OFFSET(ITEM_RES!$T$1,MATCH(BJ453,ITEM_RES!$A:$A,0)-1,0),0)*BL453+IFERROR(OFFSET(ITEM_RES!$T$1,MATCH(BO453,ITEM_RES!$A:$A,0)-1,0),0)*BQ453)/1000</f>
        <v>450</v>
      </c>
      <c r="AK453" s="183">
        <f t="shared" ca="1" si="135"/>
        <v>700</v>
      </c>
      <c r="AM453" s="11">
        <f t="shared" si="127"/>
        <v>45</v>
      </c>
      <c r="AN453" s="10">
        <v>45</v>
      </c>
      <c r="AO453" s="11">
        <f t="shared" si="134"/>
        <v>150</v>
      </c>
      <c r="AP453" s="10">
        <v>150</v>
      </c>
      <c r="AQ453" s="11">
        <f t="shared" si="134"/>
        <v>150</v>
      </c>
      <c r="AR453" s="10">
        <v>150</v>
      </c>
      <c r="AS453" s="56">
        <f t="shared" si="129"/>
        <v>1</v>
      </c>
      <c r="AU453" s="11">
        <f ca="1">IFERROR(OFFSET(ITEM_RES!$A$1,MATCH(AV453,ITEM_RES!$J:$J,0)-1,0),0)</f>
        <v>211020901</v>
      </c>
      <c r="AV453" s="10" t="s">
        <v>456</v>
      </c>
      <c r="AW453" s="11">
        <v>750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31"/>
        <v>114020010</v>
      </c>
      <c r="B454" s="13">
        <v>11</v>
      </c>
      <c r="C454" s="12">
        <f t="shared" si="132"/>
        <v>4</v>
      </c>
      <c r="D454" s="13">
        <v>2</v>
      </c>
      <c r="E454" s="13">
        <v>0</v>
      </c>
      <c r="F454" s="12">
        <f t="shared" si="133"/>
        <v>10</v>
      </c>
      <c r="H454" s="9">
        <v>4</v>
      </c>
      <c r="I454" s="9">
        <v>10</v>
      </c>
      <c r="K454" s="9" t="s">
        <v>382</v>
      </c>
      <c r="O454" s="9">
        <v>1</v>
      </c>
      <c r="P454" s="9">
        <v>15</v>
      </c>
      <c r="Q454" s="63" t="s">
        <v>793</v>
      </c>
      <c r="U454" s="9" t="s">
        <v>734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540</v>
      </c>
      <c r="AD454" s="9">
        <v>10</v>
      </c>
      <c r="AF454" s="9">
        <v>16000</v>
      </c>
      <c r="AI454" s="56">
        <f t="shared" ca="1" si="128"/>
        <v>600</v>
      </c>
      <c r="AJ454" s="10">
        <f ca="1">AO454+AQ454+(IFERROR(OFFSET(ITEM_RES!$T$1,MATCH(AU454,ITEM_RES!$A:$A,0)-1,0),0)*AW454+IFERROR(OFFSET(ITEM_RES!$T$1,MATCH(AZ454,ITEM_RES!$A:$A,0)-1,0),0)*BB454+IFERROR(OFFSET(ITEM_RES!$T$1,MATCH(BE454,ITEM_RES!$A:$A,0)-1,0),0)*BG454+IFERROR(OFFSET(ITEM_RES!$T$1,MATCH(BJ454,ITEM_RES!$A:$A,0)-1,0),0)*BL454+IFERROR(OFFSET(ITEM_RES!$T$1,MATCH(BO454,ITEM_RES!$A:$A,0)-1,0),0)*BQ454)/1000</f>
        <v>600</v>
      </c>
      <c r="AK454" s="183">
        <f t="shared" ca="1" si="135"/>
        <v>1050</v>
      </c>
      <c r="AM454" s="11">
        <f t="shared" si="127"/>
        <v>50</v>
      </c>
      <c r="AN454" s="10">
        <v>50</v>
      </c>
      <c r="AO454" s="11">
        <f t="shared" si="134"/>
        <v>200</v>
      </c>
      <c r="AP454" s="10">
        <v>200</v>
      </c>
      <c r="AQ454" s="11">
        <f t="shared" si="134"/>
        <v>200</v>
      </c>
      <c r="AR454" s="10">
        <v>200</v>
      </c>
      <c r="AS454" s="56">
        <f t="shared" si="129"/>
        <v>1</v>
      </c>
      <c r="AU454" s="11">
        <f ca="1">IFERROR(OFFSET(ITEM_RES!$A$1,MATCH(AV454,ITEM_RES!$J:$J,0)-1,0),0)</f>
        <v>211020901</v>
      </c>
      <c r="AV454" s="10" t="s">
        <v>456</v>
      </c>
      <c r="AW454" s="11">
        <v>1000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31"/>
        <v>114020011</v>
      </c>
      <c r="B455" s="13">
        <v>11</v>
      </c>
      <c r="C455" s="12">
        <f t="shared" si="132"/>
        <v>4</v>
      </c>
      <c r="D455" s="13">
        <v>2</v>
      </c>
      <c r="E455" s="13">
        <v>0</v>
      </c>
      <c r="F455" s="12">
        <f t="shared" si="133"/>
        <v>11</v>
      </c>
      <c r="H455" s="9">
        <v>4</v>
      </c>
      <c r="I455" s="9">
        <v>11</v>
      </c>
      <c r="K455" s="9" t="s">
        <v>382</v>
      </c>
      <c r="O455" s="9">
        <v>1</v>
      </c>
      <c r="P455" s="9">
        <v>15</v>
      </c>
      <c r="Q455" s="63" t="s">
        <v>793</v>
      </c>
      <c r="U455" s="9" t="s">
        <v>734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540</v>
      </c>
      <c r="AD455" s="9">
        <v>11</v>
      </c>
      <c r="AF455" s="9">
        <v>20000</v>
      </c>
      <c r="AI455" s="56">
        <f t="shared" ca="1" si="128"/>
        <v>750</v>
      </c>
      <c r="AJ455" s="10">
        <f ca="1">AO455+AQ455+(IFERROR(OFFSET(ITEM_RES!$T$1,MATCH(AU455,ITEM_RES!$A:$A,0)-1,0),0)*AW455+IFERROR(OFFSET(ITEM_RES!$T$1,MATCH(AZ455,ITEM_RES!$A:$A,0)-1,0),0)*BB455+IFERROR(OFFSET(ITEM_RES!$T$1,MATCH(BE455,ITEM_RES!$A:$A,0)-1,0),0)*BG455+IFERROR(OFFSET(ITEM_RES!$T$1,MATCH(BJ455,ITEM_RES!$A:$A,0)-1,0),0)*BL455+IFERROR(OFFSET(ITEM_RES!$T$1,MATCH(BO455,ITEM_RES!$A:$A,0)-1,0),0)*BQ455)/1000</f>
        <v>750</v>
      </c>
      <c r="AK455" s="183">
        <f t="shared" ca="1" si="135"/>
        <v>1350</v>
      </c>
      <c r="AM455" s="11">
        <f t="shared" si="127"/>
        <v>55</v>
      </c>
      <c r="AN455" s="10">
        <v>55</v>
      </c>
      <c r="AO455" s="11">
        <f t="shared" si="134"/>
        <v>250</v>
      </c>
      <c r="AP455" s="10">
        <v>250</v>
      </c>
      <c r="AQ455" s="11">
        <f t="shared" si="134"/>
        <v>250</v>
      </c>
      <c r="AR455" s="10">
        <v>250</v>
      </c>
      <c r="AS455" s="56">
        <f t="shared" si="129"/>
        <v>1</v>
      </c>
      <c r="AU455" s="11">
        <f ca="1">IFERROR(OFFSET(ITEM_RES!$A$1,MATCH(AV455,ITEM_RES!$J:$J,0)-1,0),0)</f>
        <v>211020901</v>
      </c>
      <c r="AV455" s="10" t="s">
        <v>456</v>
      </c>
      <c r="AW455" s="11">
        <v>1250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31"/>
        <v>114020012</v>
      </c>
      <c r="B456" s="13">
        <v>11</v>
      </c>
      <c r="C456" s="12">
        <f t="shared" si="132"/>
        <v>4</v>
      </c>
      <c r="D456" s="13">
        <v>2</v>
      </c>
      <c r="E456" s="13">
        <v>0</v>
      </c>
      <c r="F456" s="12">
        <f t="shared" si="133"/>
        <v>12</v>
      </c>
      <c r="H456" s="9">
        <v>4</v>
      </c>
      <c r="I456" s="9">
        <v>12</v>
      </c>
      <c r="K456" s="9" t="s">
        <v>382</v>
      </c>
      <c r="O456" s="9">
        <v>1</v>
      </c>
      <c r="P456" s="9">
        <v>15</v>
      </c>
      <c r="Q456" s="9" t="s">
        <v>793</v>
      </c>
      <c r="U456" s="9" t="s">
        <v>734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540</v>
      </c>
      <c r="AD456" s="9">
        <v>12</v>
      </c>
      <c r="AF456" s="9">
        <v>24000</v>
      </c>
      <c r="AI456" s="56">
        <f t="shared" ca="1" si="128"/>
        <v>1000</v>
      </c>
      <c r="AJ456" s="10">
        <f ca="1">AO456+AQ456+(IFERROR(OFFSET(ITEM_RES!$T$1,MATCH(AU456,ITEM_RES!$A:$A,0)-1,0),0)*AW456+IFERROR(OFFSET(ITEM_RES!$T$1,MATCH(AZ456,ITEM_RES!$A:$A,0)-1,0),0)*BB456+IFERROR(OFFSET(ITEM_RES!$T$1,MATCH(BE456,ITEM_RES!$A:$A,0)-1,0),0)*BG456+IFERROR(OFFSET(ITEM_RES!$T$1,MATCH(BJ456,ITEM_RES!$A:$A,0)-1,0),0)*BL456+IFERROR(OFFSET(ITEM_RES!$T$1,MATCH(BO456,ITEM_RES!$A:$A,0)-1,0),0)*BQ456)/1000</f>
        <v>1000</v>
      </c>
      <c r="AK456" s="183">
        <f t="shared" ca="1" si="135"/>
        <v>1750</v>
      </c>
      <c r="AM456" s="11">
        <f t="shared" si="127"/>
        <v>60</v>
      </c>
      <c r="AN456" s="10">
        <v>60</v>
      </c>
      <c r="AO456" s="11">
        <f t="shared" si="134"/>
        <v>300</v>
      </c>
      <c r="AP456" s="10">
        <v>300</v>
      </c>
      <c r="AQ456" s="11">
        <f t="shared" si="134"/>
        <v>300</v>
      </c>
      <c r="AR456" s="10">
        <v>300</v>
      </c>
      <c r="AS456" s="56">
        <f t="shared" si="129"/>
        <v>2</v>
      </c>
      <c r="AU456" s="11">
        <f ca="1">IFERROR(OFFSET(ITEM_RES!$A$1,MATCH(AV456,ITEM_RES!$J:$J,0)-1,0),0)</f>
        <v>211020901</v>
      </c>
      <c r="AV456" s="10" t="s">
        <v>456</v>
      </c>
      <c r="AW456" s="11">
        <v>1500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213011401</v>
      </c>
      <c r="BK456" s="10" t="s">
        <v>482</v>
      </c>
      <c r="BL456" s="11">
        <v>1</v>
      </c>
      <c r="BO456" s="11">
        <f ca="1">IFERROR(OFFSET(ITEM_RES!$A$1,MATCH(BP456,ITEM_RES!$J:$J,0)-1,0),0)</f>
        <v>0</v>
      </c>
    </row>
    <row r="457" spans="1:67" x14ac:dyDescent="0.3">
      <c r="A457" s="14">
        <f t="shared" si="131"/>
        <v>114020013</v>
      </c>
      <c r="B457" s="13">
        <v>11</v>
      </c>
      <c r="C457" s="12">
        <f t="shared" si="132"/>
        <v>4</v>
      </c>
      <c r="D457" s="13">
        <v>2</v>
      </c>
      <c r="E457" s="13">
        <v>0</v>
      </c>
      <c r="F457" s="12">
        <f t="shared" si="133"/>
        <v>13</v>
      </c>
      <c r="H457" s="9">
        <v>4</v>
      </c>
      <c r="I457" s="9">
        <v>13</v>
      </c>
      <c r="K457" s="9" t="s">
        <v>382</v>
      </c>
      <c r="O457" s="9">
        <v>1</v>
      </c>
      <c r="P457" s="9">
        <v>15</v>
      </c>
      <c r="Q457" s="9" t="s">
        <v>793</v>
      </c>
      <c r="U457" s="9" t="s">
        <v>734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540</v>
      </c>
      <c r="AD457" s="9">
        <v>13</v>
      </c>
      <c r="AF457" s="9">
        <v>28000</v>
      </c>
      <c r="AI457" s="56">
        <f t="shared" ca="1" si="128"/>
        <v>1050</v>
      </c>
      <c r="AJ457" s="10">
        <f ca="1">AO457+AQ457+(IFERROR(OFFSET(ITEM_RES!$T$1,MATCH(AU457,ITEM_RES!$A:$A,0)-1,0),0)*AW457+IFERROR(OFFSET(ITEM_RES!$T$1,MATCH(AZ457,ITEM_RES!$A:$A,0)-1,0),0)*BB457+IFERROR(OFFSET(ITEM_RES!$T$1,MATCH(BE457,ITEM_RES!$A:$A,0)-1,0),0)*BG457+IFERROR(OFFSET(ITEM_RES!$T$1,MATCH(BJ457,ITEM_RES!$A:$A,0)-1,0),0)*BL457+IFERROR(OFFSET(ITEM_RES!$T$1,MATCH(BO457,ITEM_RES!$A:$A,0)-1,0),0)*BQ457)/1000</f>
        <v>1050</v>
      </c>
      <c r="AK457" s="183">
        <f t="shared" ca="1" si="135"/>
        <v>2050</v>
      </c>
      <c r="AM457" s="11">
        <f t="shared" si="127"/>
        <v>65</v>
      </c>
      <c r="AN457" s="10">
        <v>65</v>
      </c>
      <c r="AO457" s="11">
        <f t="shared" si="134"/>
        <v>350</v>
      </c>
      <c r="AP457" s="10">
        <v>350</v>
      </c>
      <c r="AQ457" s="11">
        <f t="shared" si="134"/>
        <v>350</v>
      </c>
      <c r="AR457" s="10">
        <v>350</v>
      </c>
      <c r="AS457" s="56">
        <f t="shared" si="129"/>
        <v>1</v>
      </c>
      <c r="AU457" s="11">
        <f ca="1">IFERROR(OFFSET(ITEM_RES!$A$1,MATCH(AV457,ITEM_RES!$J:$J,0)-1,0),0)</f>
        <v>211020901</v>
      </c>
      <c r="AV457" s="10" t="s">
        <v>456</v>
      </c>
      <c r="AW457" s="11">
        <v>1750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  <c r="BO457" s="11">
        <f ca="1">IFERROR(OFFSET(ITEM_RES!$A$1,MATCH(BP457,ITEM_RES!$J:$J,0)-1,0),0)</f>
        <v>0</v>
      </c>
    </row>
    <row r="458" spans="1:67" x14ac:dyDescent="0.3">
      <c r="A458" s="14">
        <f t="shared" si="131"/>
        <v>114020014</v>
      </c>
      <c r="B458" s="13">
        <v>11</v>
      </c>
      <c r="C458" s="12">
        <f t="shared" si="132"/>
        <v>4</v>
      </c>
      <c r="D458" s="13">
        <v>2</v>
      </c>
      <c r="E458" s="13">
        <v>0</v>
      </c>
      <c r="F458" s="12">
        <f t="shared" si="133"/>
        <v>14</v>
      </c>
      <c r="H458" s="9">
        <v>4</v>
      </c>
      <c r="I458" s="9">
        <v>14</v>
      </c>
      <c r="K458" s="9" t="s">
        <v>382</v>
      </c>
      <c r="O458" s="9">
        <v>1</v>
      </c>
      <c r="P458" s="9">
        <v>15</v>
      </c>
      <c r="Q458" s="9" t="s">
        <v>793</v>
      </c>
      <c r="U458" s="9" t="s">
        <v>734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540</v>
      </c>
      <c r="AD458" s="9">
        <v>14</v>
      </c>
      <c r="AF458" s="9">
        <v>36000</v>
      </c>
      <c r="AI458" s="56">
        <f t="shared" ca="1" si="128"/>
        <v>1350</v>
      </c>
      <c r="AJ458" s="10">
        <f ca="1">AO458+AQ458+(IFERROR(OFFSET(ITEM_RES!$T$1,MATCH(AU458,ITEM_RES!$A:$A,0)-1,0),0)*AW458+IFERROR(OFFSET(ITEM_RES!$T$1,MATCH(AZ458,ITEM_RES!$A:$A,0)-1,0),0)*BB458+IFERROR(OFFSET(ITEM_RES!$T$1,MATCH(BE458,ITEM_RES!$A:$A,0)-1,0),0)*BG458+IFERROR(OFFSET(ITEM_RES!$T$1,MATCH(BJ458,ITEM_RES!$A:$A,0)-1,0),0)*BL458+IFERROR(OFFSET(ITEM_RES!$T$1,MATCH(BO458,ITEM_RES!$A:$A,0)-1,0),0)*BQ458)/1000</f>
        <v>1350</v>
      </c>
      <c r="AK458" s="183">
        <f t="shared" ca="1" si="135"/>
        <v>2400</v>
      </c>
      <c r="AM458" s="11">
        <f t="shared" si="127"/>
        <v>70</v>
      </c>
      <c r="AN458" s="10">
        <v>70</v>
      </c>
      <c r="AO458" s="11">
        <f t="shared" si="134"/>
        <v>450</v>
      </c>
      <c r="AP458" s="10">
        <v>450</v>
      </c>
      <c r="AQ458" s="11">
        <f t="shared" si="134"/>
        <v>450</v>
      </c>
      <c r="AR458" s="10">
        <v>450</v>
      </c>
      <c r="AS458" s="56">
        <f t="shared" si="129"/>
        <v>1</v>
      </c>
      <c r="AU458" s="11">
        <f ca="1">IFERROR(OFFSET(ITEM_RES!$A$1,MATCH(AV458,ITEM_RES!$J:$J,0)-1,0),0)</f>
        <v>211020901</v>
      </c>
      <c r="AV458" s="10" t="s">
        <v>456</v>
      </c>
      <c r="AW458" s="11">
        <v>2250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31"/>
        <v>114020015</v>
      </c>
      <c r="B459" s="13">
        <v>11</v>
      </c>
      <c r="C459" s="12">
        <f t="shared" si="132"/>
        <v>4</v>
      </c>
      <c r="D459" s="13">
        <v>2</v>
      </c>
      <c r="E459" s="13">
        <v>0</v>
      </c>
      <c r="F459" s="12">
        <f t="shared" si="133"/>
        <v>15</v>
      </c>
      <c r="H459" s="9">
        <v>4</v>
      </c>
      <c r="I459" s="9">
        <v>15</v>
      </c>
      <c r="K459" s="9" t="s">
        <v>382</v>
      </c>
      <c r="O459" s="9">
        <v>1</v>
      </c>
      <c r="P459" s="9">
        <v>15</v>
      </c>
      <c r="Q459" s="9" t="s">
        <v>793</v>
      </c>
      <c r="U459" s="9" t="s">
        <v>734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540</v>
      </c>
      <c r="AD459" s="9">
        <v>15</v>
      </c>
      <c r="AF459" s="9">
        <v>44000</v>
      </c>
      <c r="AI459" s="56">
        <f t="shared" ca="1" si="128"/>
        <v>1650</v>
      </c>
      <c r="AJ459" s="10">
        <f ca="1">AO459+AQ459+(IFERROR(OFFSET(ITEM_RES!$T$1,MATCH(AU459,ITEM_RES!$A:$A,0)-1,0),0)*AW459+IFERROR(OFFSET(ITEM_RES!$T$1,MATCH(AZ459,ITEM_RES!$A:$A,0)-1,0),0)*BB459+IFERROR(OFFSET(ITEM_RES!$T$1,MATCH(BE459,ITEM_RES!$A:$A,0)-1,0),0)*BG459+IFERROR(OFFSET(ITEM_RES!$T$1,MATCH(BJ459,ITEM_RES!$A:$A,0)-1,0),0)*BL459+IFERROR(OFFSET(ITEM_RES!$T$1,MATCH(BO459,ITEM_RES!$A:$A,0)-1,0),0)*BQ459)/1000</f>
        <v>1650</v>
      </c>
      <c r="AK459" s="183">
        <f t="shared" ca="1" si="135"/>
        <v>3000</v>
      </c>
      <c r="AM459" s="11">
        <f t="shared" si="127"/>
        <v>75</v>
      </c>
      <c r="AN459" s="10">
        <v>75</v>
      </c>
      <c r="AO459" s="11">
        <f t="shared" si="134"/>
        <v>550</v>
      </c>
      <c r="AP459" s="10">
        <v>550</v>
      </c>
      <c r="AQ459" s="11">
        <f t="shared" si="134"/>
        <v>550</v>
      </c>
      <c r="AR459" s="10">
        <v>550</v>
      </c>
      <c r="AS459" s="56">
        <f t="shared" si="129"/>
        <v>1</v>
      </c>
      <c r="AU459" s="11">
        <f ca="1">IFERROR(OFFSET(ITEM_RES!$A$1,MATCH(AV459,ITEM_RES!$J:$J,0)-1,0),0)</f>
        <v>211020901</v>
      </c>
      <c r="AV459" s="10" t="s">
        <v>456</v>
      </c>
      <c r="AW459" s="11">
        <v>2750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31"/>
        <v>114020016</v>
      </c>
      <c r="B460" s="13">
        <v>11</v>
      </c>
      <c r="C460" s="12">
        <f t="shared" si="132"/>
        <v>4</v>
      </c>
      <c r="D460" s="13">
        <v>2</v>
      </c>
      <c r="E460" s="13">
        <v>0</v>
      </c>
      <c r="F460" s="12">
        <f t="shared" si="133"/>
        <v>16</v>
      </c>
      <c r="H460" s="9">
        <v>4</v>
      </c>
      <c r="I460" s="9">
        <v>16</v>
      </c>
      <c r="K460" s="9" t="s">
        <v>382</v>
      </c>
      <c r="O460" s="9">
        <v>0</v>
      </c>
      <c r="P460" s="9">
        <v>15</v>
      </c>
      <c r="Q460" s="9" t="s">
        <v>793</v>
      </c>
      <c r="U460" s="9" t="s">
        <v>734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540</v>
      </c>
      <c r="AD460" s="9">
        <v>16</v>
      </c>
      <c r="AF460" s="9">
        <v>56000</v>
      </c>
      <c r="AI460" s="56">
        <f t="shared" ca="1" si="128"/>
        <v>2100</v>
      </c>
      <c r="AJ460" s="10">
        <f ca="1">AO460+AQ460+(IFERROR(OFFSET(ITEM_RES!$T$1,MATCH(AU460,ITEM_RES!$A:$A,0)-1,0),0)*AW460+IFERROR(OFFSET(ITEM_RES!$T$1,MATCH(AZ460,ITEM_RES!$A:$A,0)-1,0),0)*BB460+IFERROR(OFFSET(ITEM_RES!$T$1,MATCH(BE460,ITEM_RES!$A:$A,0)-1,0),0)*BG460+IFERROR(OFFSET(ITEM_RES!$T$1,MATCH(BJ460,ITEM_RES!$A:$A,0)-1,0),0)*BL460+IFERROR(OFFSET(ITEM_RES!$T$1,MATCH(BO460,ITEM_RES!$A:$A,0)-1,0),0)*BQ460)/1000</f>
        <v>2100</v>
      </c>
      <c r="AK460" s="183">
        <f t="shared" ca="1" si="135"/>
        <v>3750</v>
      </c>
      <c r="AM460" s="11">
        <f t="shared" si="127"/>
        <v>80</v>
      </c>
      <c r="AN460" s="10">
        <v>80</v>
      </c>
      <c r="AO460" s="11">
        <f t="shared" si="134"/>
        <v>700</v>
      </c>
      <c r="AP460" s="10">
        <v>700</v>
      </c>
      <c r="AQ460" s="11">
        <f t="shared" si="134"/>
        <v>700</v>
      </c>
      <c r="AR460" s="10">
        <v>700</v>
      </c>
      <c r="AS460" s="56">
        <f t="shared" si="129"/>
        <v>1</v>
      </c>
      <c r="AU460" s="11">
        <f ca="1">IFERROR(OFFSET(ITEM_RES!$A$1,MATCH(AV460,ITEM_RES!$J:$J,0)-1,0),0)</f>
        <v>211020901</v>
      </c>
      <c r="AV460" s="10" t="s">
        <v>456</v>
      </c>
      <c r="AW460" s="11">
        <v>3500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31"/>
        <v>114020017</v>
      </c>
      <c r="B461" s="13">
        <v>11</v>
      </c>
      <c r="C461" s="12">
        <f t="shared" si="132"/>
        <v>4</v>
      </c>
      <c r="D461" s="13">
        <v>2</v>
      </c>
      <c r="E461" s="13">
        <v>0</v>
      </c>
      <c r="F461" s="12">
        <f t="shared" si="133"/>
        <v>17</v>
      </c>
      <c r="H461" s="9">
        <v>4</v>
      </c>
      <c r="I461" s="9">
        <v>17</v>
      </c>
      <c r="K461" s="9" t="s">
        <v>382</v>
      </c>
      <c r="O461" s="9">
        <v>0</v>
      </c>
      <c r="P461" s="9">
        <v>15</v>
      </c>
      <c r="Q461" s="9" t="s">
        <v>793</v>
      </c>
      <c r="U461" s="9" t="s">
        <v>734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540</v>
      </c>
      <c r="AD461" s="9">
        <v>17</v>
      </c>
      <c r="AF461" s="9">
        <v>68000</v>
      </c>
      <c r="AI461" s="56">
        <f t="shared" ca="1" si="128"/>
        <v>2550</v>
      </c>
      <c r="AJ461" s="10">
        <f ca="1">AO461+AQ461+(IFERROR(OFFSET(ITEM_RES!$T$1,MATCH(AU461,ITEM_RES!$A:$A,0)-1,0),0)*AW461+IFERROR(OFFSET(ITEM_RES!$T$1,MATCH(AZ461,ITEM_RES!$A:$A,0)-1,0),0)*BB461+IFERROR(OFFSET(ITEM_RES!$T$1,MATCH(BE461,ITEM_RES!$A:$A,0)-1,0),0)*BG461+IFERROR(OFFSET(ITEM_RES!$T$1,MATCH(BJ461,ITEM_RES!$A:$A,0)-1,0),0)*BL461+IFERROR(OFFSET(ITEM_RES!$T$1,MATCH(BO461,ITEM_RES!$A:$A,0)-1,0),0)*BQ461)/1000</f>
        <v>2550</v>
      </c>
      <c r="AK461" s="183">
        <f t="shared" ca="1" si="135"/>
        <v>4650</v>
      </c>
      <c r="AM461" s="11">
        <f t="shared" si="127"/>
        <v>85</v>
      </c>
      <c r="AN461" s="10">
        <v>85</v>
      </c>
      <c r="AO461" s="11">
        <f t="shared" si="134"/>
        <v>850</v>
      </c>
      <c r="AP461" s="10">
        <v>850</v>
      </c>
      <c r="AQ461" s="11">
        <f t="shared" si="134"/>
        <v>850</v>
      </c>
      <c r="AR461" s="10">
        <v>850</v>
      </c>
      <c r="AS461" s="56">
        <f t="shared" si="129"/>
        <v>1</v>
      </c>
      <c r="AU461" s="11">
        <f ca="1">IFERROR(OFFSET(ITEM_RES!$A$1,MATCH(AV461,ITEM_RES!$J:$J,0)-1,0),0)</f>
        <v>211020901</v>
      </c>
      <c r="AV461" s="10" t="s">
        <v>456</v>
      </c>
      <c r="AW461" s="11">
        <v>4250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31"/>
        <v>114020018</v>
      </c>
      <c r="B462" s="13">
        <v>11</v>
      </c>
      <c r="C462" s="12">
        <f t="shared" si="132"/>
        <v>4</v>
      </c>
      <c r="D462" s="13">
        <v>2</v>
      </c>
      <c r="E462" s="13">
        <v>0</v>
      </c>
      <c r="F462" s="12">
        <f t="shared" si="133"/>
        <v>18</v>
      </c>
      <c r="H462" s="9">
        <v>4</v>
      </c>
      <c r="I462" s="9">
        <v>18</v>
      </c>
      <c r="K462" s="9" t="s">
        <v>382</v>
      </c>
      <c r="O462" s="9">
        <v>0</v>
      </c>
      <c r="P462" s="9">
        <v>15</v>
      </c>
      <c r="Q462" s="9" t="s">
        <v>793</v>
      </c>
      <c r="U462" s="9" t="s">
        <v>734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540</v>
      </c>
      <c r="AD462" s="9">
        <v>18</v>
      </c>
      <c r="AF462" s="9">
        <v>84000</v>
      </c>
      <c r="AI462" s="56">
        <f t="shared" ca="1" si="128"/>
        <v>3150</v>
      </c>
      <c r="AJ462" s="10">
        <f ca="1">AO462+AQ462+(IFERROR(OFFSET(ITEM_RES!$T$1,MATCH(AU462,ITEM_RES!$A:$A,0)-1,0),0)*AW462+IFERROR(OFFSET(ITEM_RES!$T$1,MATCH(AZ462,ITEM_RES!$A:$A,0)-1,0),0)*BB462+IFERROR(OFFSET(ITEM_RES!$T$1,MATCH(BE462,ITEM_RES!$A:$A,0)-1,0),0)*BG462+IFERROR(OFFSET(ITEM_RES!$T$1,MATCH(BJ462,ITEM_RES!$A:$A,0)-1,0),0)*BL462+IFERROR(OFFSET(ITEM_RES!$T$1,MATCH(BO462,ITEM_RES!$A:$A,0)-1,0),0)*BQ462)/1000</f>
        <v>3150</v>
      </c>
      <c r="AK462" s="183">
        <f t="shared" ca="1" si="135"/>
        <v>5700</v>
      </c>
      <c r="AM462" s="11">
        <f t="shared" si="127"/>
        <v>90</v>
      </c>
      <c r="AN462" s="10">
        <v>90</v>
      </c>
      <c r="AO462" s="11">
        <f t="shared" si="134"/>
        <v>1050</v>
      </c>
      <c r="AP462" s="10">
        <v>1050</v>
      </c>
      <c r="AQ462" s="11">
        <f t="shared" si="134"/>
        <v>1050</v>
      </c>
      <c r="AR462" s="10">
        <v>1050</v>
      </c>
      <c r="AS462" s="56">
        <f t="shared" si="129"/>
        <v>1</v>
      </c>
      <c r="AU462" s="11">
        <f ca="1">IFERROR(OFFSET(ITEM_RES!$A$1,MATCH(AV462,ITEM_RES!$J:$J,0)-1,0),0)</f>
        <v>211020901</v>
      </c>
      <c r="AV462" s="10" t="s">
        <v>456</v>
      </c>
      <c r="AW462" s="11">
        <v>5250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31"/>
        <v>114020019</v>
      </c>
      <c r="B463" s="13">
        <v>11</v>
      </c>
      <c r="C463" s="12">
        <f t="shared" si="132"/>
        <v>4</v>
      </c>
      <c r="D463" s="13">
        <v>2</v>
      </c>
      <c r="E463" s="13">
        <v>0</v>
      </c>
      <c r="F463" s="12">
        <f t="shared" si="133"/>
        <v>19</v>
      </c>
      <c r="H463" s="9">
        <v>4</v>
      </c>
      <c r="I463" s="9">
        <v>19</v>
      </c>
      <c r="K463" s="9" t="s">
        <v>382</v>
      </c>
      <c r="O463" s="9">
        <v>0</v>
      </c>
      <c r="P463" s="9">
        <v>15</v>
      </c>
      <c r="Q463" s="9" t="s">
        <v>793</v>
      </c>
      <c r="U463" s="9" t="s">
        <v>734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540</v>
      </c>
      <c r="AD463" s="9">
        <v>19</v>
      </c>
      <c r="AF463" s="9">
        <v>100000</v>
      </c>
      <c r="AI463" s="56">
        <f t="shared" ca="1" si="128"/>
        <v>3750</v>
      </c>
      <c r="AJ463" s="10">
        <f ca="1">AO463+AQ463+(IFERROR(OFFSET(ITEM_RES!$T$1,MATCH(AU463,ITEM_RES!$A:$A,0)-1,0),0)*AW463+IFERROR(OFFSET(ITEM_RES!$T$1,MATCH(AZ463,ITEM_RES!$A:$A,0)-1,0),0)*BB463+IFERROR(OFFSET(ITEM_RES!$T$1,MATCH(BE463,ITEM_RES!$A:$A,0)-1,0),0)*BG463+IFERROR(OFFSET(ITEM_RES!$T$1,MATCH(BJ463,ITEM_RES!$A:$A,0)-1,0),0)*BL463+IFERROR(OFFSET(ITEM_RES!$T$1,MATCH(BO463,ITEM_RES!$A:$A,0)-1,0),0)*BQ463)/1000</f>
        <v>3750</v>
      </c>
      <c r="AK463" s="183">
        <f t="shared" ca="1" si="135"/>
        <v>6900</v>
      </c>
      <c r="AM463" s="11">
        <f t="shared" si="127"/>
        <v>95</v>
      </c>
      <c r="AN463" s="10">
        <v>95</v>
      </c>
      <c r="AO463" s="11">
        <f t="shared" si="134"/>
        <v>1250</v>
      </c>
      <c r="AP463" s="10">
        <v>1250</v>
      </c>
      <c r="AQ463" s="11">
        <f t="shared" si="134"/>
        <v>1250</v>
      </c>
      <c r="AR463" s="10">
        <v>1250</v>
      </c>
      <c r="AS463" s="56">
        <f t="shared" si="129"/>
        <v>1</v>
      </c>
      <c r="AU463" s="11">
        <f ca="1">IFERROR(OFFSET(ITEM_RES!$A$1,MATCH(AV463,ITEM_RES!$J:$J,0)-1,0),0)</f>
        <v>211020901</v>
      </c>
      <c r="AV463" s="10" t="s">
        <v>456</v>
      </c>
      <c r="AW463" s="11">
        <v>6250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31"/>
        <v>114020020</v>
      </c>
      <c r="B464" s="13">
        <v>11</v>
      </c>
      <c r="C464" s="12">
        <f t="shared" si="132"/>
        <v>4</v>
      </c>
      <c r="D464" s="13">
        <v>2</v>
      </c>
      <c r="E464" s="13">
        <v>0</v>
      </c>
      <c r="F464" s="12">
        <f t="shared" si="133"/>
        <v>20</v>
      </c>
      <c r="H464" s="9">
        <v>4</v>
      </c>
      <c r="I464" s="9">
        <v>20</v>
      </c>
      <c r="K464" s="9" t="s">
        <v>382</v>
      </c>
      <c r="O464" s="9">
        <v>0</v>
      </c>
      <c r="P464" s="9">
        <v>15</v>
      </c>
      <c r="Q464" s="9" t="s">
        <v>793</v>
      </c>
      <c r="U464" s="9" t="s">
        <v>734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540</v>
      </c>
      <c r="AD464" s="9">
        <v>20</v>
      </c>
      <c r="AF464" s="9">
        <v>120000</v>
      </c>
      <c r="AI464" s="56">
        <f t="shared" ca="1" si="128"/>
        <v>4500</v>
      </c>
      <c r="AJ464" s="10">
        <f ca="1">AO464+AQ464+(IFERROR(OFFSET(ITEM_RES!$T$1,MATCH(AU464,ITEM_RES!$A:$A,0)-1,0),0)*AW464+IFERROR(OFFSET(ITEM_RES!$T$1,MATCH(AZ464,ITEM_RES!$A:$A,0)-1,0),0)*BB464+IFERROR(OFFSET(ITEM_RES!$T$1,MATCH(BE464,ITEM_RES!$A:$A,0)-1,0),0)*BG464+IFERROR(OFFSET(ITEM_RES!$T$1,MATCH(BJ464,ITEM_RES!$A:$A,0)-1,0),0)*BL464+IFERROR(OFFSET(ITEM_RES!$T$1,MATCH(BO464,ITEM_RES!$A:$A,0)-1,0),0)*BQ464)/1000</f>
        <v>4500</v>
      </c>
      <c r="AK464" s="183">
        <f t="shared" ca="1" si="135"/>
        <v>8250</v>
      </c>
      <c r="AM464" s="11">
        <f t="shared" si="127"/>
        <v>100</v>
      </c>
      <c r="AN464" s="10">
        <v>100</v>
      </c>
      <c r="AO464" s="11">
        <f t="shared" si="134"/>
        <v>1500</v>
      </c>
      <c r="AP464" s="10">
        <v>1500</v>
      </c>
      <c r="AQ464" s="11">
        <f t="shared" si="134"/>
        <v>1500</v>
      </c>
      <c r="AR464" s="10">
        <v>1500</v>
      </c>
      <c r="AS464" s="56">
        <f t="shared" si="129"/>
        <v>1</v>
      </c>
      <c r="AU464" s="11">
        <f ca="1">IFERROR(OFFSET(ITEM_RES!$A$1,MATCH(AV464,ITEM_RES!$J:$J,0)-1,0),0)</f>
        <v>211020901</v>
      </c>
      <c r="AV464" s="10" t="s">
        <v>456</v>
      </c>
      <c r="AW464" s="11">
        <v>7500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31"/>
        <v>115010001</v>
      </c>
      <c r="B465" s="20">
        <v>11</v>
      </c>
      <c r="C465" s="19">
        <f t="shared" si="132"/>
        <v>5</v>
      </c>
      <c r="D465" s="20">
        <v>1</v>
      </c>
      <c r="E465" s="20">
        <v>0</v>
      </c>
      <c r="F465" s="19">
        <f t="shared" si="133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>
        <v>1</v>
      </c>
      <c r="M465" s="16"/>
      <c r="N465" s="16"/>
      <c r="O465" s="16">
        <v>1</v>
      </c>
      <c r="P465" s="16">
        <v>15</v>
      </c>
      <c r="Q465" s="16"/>
      <c r="R465" s="17"/>
      <c r="S465" s="17"/>
      <c r="T465" s="18"/>
      <c r="U465" s="16">
        <v>2222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541</v>
      </c>
      <c r="AD465" s="16">
        <v>1</v>
      </c>
      <c r="AE465" s="79"/>
      <c r="AF465" s="16">
        <v>0</v>
      </c>
      <c r="AG465" s="17"/>
      <c r="AH465" s="79"/>
      <c r="AI465" s="57">
        <f t="shared" ca="1" si="128"/>
        <v>213</v>
      </c>
      <c r="AJ465" s="17">
        <f ca="1">AO465+AQ465+(IFERROR(OFFSET(ITEM_RES!$T$1,MATCH(AU465,ITEM_RES!$A:$A,0)-1,0),0)*AW465+IFERROR(OFFSET(ITEM_RES!$T$1,MATCH(AZ465,ITEM_RES!$A:$A,0)-1,0),0)*BB465+IFERROR(OFFSET(ITEM_RES!$T$1,MATCH(BE465,ITEM_RES!$A:$A,0)-1,0),0)*BG465+IFERROR(OFFSET(ITEM_RES!$T$1,MATCH(BJ465,ITEM_RES!$A:$A,0)-1,0),0)*BL465+IFERROR(OFFSET(ITEM_RES!$T$1,MATCH(BO465,ITEM_RES!$A:$A,0)-1,0),0)*BQ465)/1000</f>
        <v>212.5</v>
      </c>
      <c r="AK465" s="185">
        <f ca="1">AJ465</f>
        <v>212.5</v>
      </c>
      <c r="AL465" s="79"/>
      <c r="AM465" s="18">
        <f t="shared" si="127"/>
        <v>5</v>
      </c>
      <c r="AN465" s="17">
        <v>5</v>
      </c>
      <c r="AO465" s="18">
        <f t="shared" si="134"/>
        <v>5</v>
      </c>
      <c r="AP465" s="17">
        <v>5</v>
      </c>
      <c r="AQ465" s="18">
        <f t="shared" si="134"/>
        <v>5</v>
      </c>
      <c r="AR465" s="17">
        <v>5</v>
      </c>
      <c r="AS465" s="57">
        <f t="shared" si="129"/>
        <v>3</v>
      </c>
      <c r="AT465" s="18"/>
      <c r="AU465" s="18">
        <f ca="1">IFERROR(OFFSET(ITEM_RES!$A$1,MATCH(AV465,ITEM_RES!$J:$J,0)-1,0),0)</f>
        <v>211020801</v>
      </c>
      <c r="AV465" s="17" t="s">
        <v>444</v>
      </c>
      <c r="AW465" s="18">
        <v>25</v>
      </c>
      <c r="AX465" s="17"/>
      <c r="AY465" s="18"/>
      <c r="AZ465" s="18">
        <f ca="1">IFERROR(OFFSET(ITEM_RES!$A$1,MATCH(BA465,ITEM_RES!$J:$J,0)-1,0),0)</f>
        <v>0</v>
      </c>
      <c r="BA465" s="17"/>
      <c r="BB465" s="18"/>
      <c r="BC465" s="17"/>
      <c r="BD465" s="18"/>
      <c r="BE465" s="18">
        <f ca="1">IFERROR(OFFSET(ITEM_RES!$A$1,MATCH(BF465,ITEM_RES!$J:$J,0)-1,0),0)</f>
        <v>213010101</v>
      </c>
      <c r="BF465" s="17" t="s">
        <v>463</v>
      </c>
      <c r="BG465" s="18">
        <v>1</v>
      </c>
      <c r="BH465" s="17"/>
      <c r="BI465" s="18"/>
      <c r="BJ465" s="18">
        <f ca="1">IFERROR(OFFSET(ITEM_RES!$A$1,MATCH(BK465,ITEM_RES!$J:$J,0)-1,0),0)</f>
        <v>213010201</v>
      </c>
      <c r="BK465" s="17" t="s">
        <v>485</v>
      </c>
      <c r="BL465" s="18">
        <v>1</v>
      </c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31"/>
        <v>115010002</v>
      </c>
      <c r="B466" s="13">
        <v>11</v>
      </c>
      <c r="C466" s="12">
        <f t="shared" si="132"/>
        <v>5</v>
      </c>
      <c r="D466" s="13">
        <v>1</v>
      </c>
      <c r="E466" s="13">
        <v>0</v>
      </c>
      <c r="F466" s="12">
        <f t="shared" si="133"/>
        <v>2</v>
      </c>
      <c r="H466" s="9">
        <v>5</v>
      </c>
      <c r="I466" s="9">
        <v>2</v>
      </c>
      <c r="K466" s="9" t="s">
        <v>365</v>
      </c>
      <c r="O466" s="9">
        <v>1</v>
      </c>
      <c r="P466" s="9">
        <v>15</v>
      </c>
      <c r="U466" s="9">
        <v>2222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541</v>
      </c>
      <c r="AD466" s="9">
        <v>2</v>
      </c>
      <c r="AF466" s="9">
        <v>200</v>
      </c>
      <c r="AI466" s="56">
        <f t="shared" ca="1" si="128"/>
        <v>25</v>
      </c>
      <c r="AJ466" s="10">
        <f ca="1">AO466+AQ466+(IFERROR(OFFSET(ITEM_RES!$T$1,MATCH(AU466,ITEM_RES!$A:$A,0)-1,0),0)*AW466+IFERROR(OFFSET(ITEM_RES!$T$1,MATCH(AZ466,ITEM_RES!$A:$A,0)-1,0),0)*BB466+IFERROR(OFFSET(ITEM_RES!$T$1,MATCH(BE466,ITEM_RES!$A:$A,0)-1,0),0)*BG466+IFERROR(OFFSET(ITEM_RES!$T$1,MATCH(BJ466,ITEM_RES!$A:$A,0)-1,0),0)*BL466+IFERROR(OFFSET(ITEM_RES!$T$1,MATCH(BO466,ITEM_RES!$A:$A,0)-1,0),0)*BQ466)/1000</f>
        <v>25</v>
      </c>
      <c r="AK466" s="183">
        <f t="shared" ref="AK466:AK484" ca="1" si="136">AJ465+AJ466</f>
        <v>237.5</v>
      </c>
      <c r="AM466" s="11">
        <f t="shared" si="127"/>
        <v>10</v>
      </c>
      <c r="AN466" s="10">
        <v>10</v>
      </c>
      <c r="AO466" s="11">
        <f t="shared" si="134"/>
        <v>10</v>
      </c>
      <c r="AP466" s="10">
        <v>10</v>
      </c>
      <c r="AQ466" s="11">
        <f t="shared" si="134"/>
        <v>10</v>
      </c>
      <c r="AR466" s="10">
        <v>10</v>
      </c>
      <c r="AS466" s="56">
        <f t="shared" si="129"/>
        <v>1</v>
      </c>
      <c r="AU466" s="11">
        <f ca="1">IFERROR(OFFSET(ITEM_RES!$A$1,MATCH(AV466,ITEM_RES!$J:$J,0)-1,0),0)</f>
        <v>211020801</v>
      </c>
      <c r="AV466" s="10" t="s">
        <v>444</v>
      </c>
      <c r="AW466" s="11">
        <v>50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31"/>
        <v>115010003</v>
      </c>
      <c r="B467" s="13">
        <v>11</v>
      </c>
      <c r="C467" s="12">
        <f t="shared" si="132"/>
        <v>5</v>
      </c>
      <c r="D467" s="13">
        <v>1</v>
      </c>
      <c r="E467" s="13">
        <v>0</v>
      </c>
      <c r="F467" s="12">
        <f t="shared" si="133"/>
        <v>3</v>
      </c>
      <c r="H467" s="9">
        <v>5</v>
      </c>
      <c r="I467" s="9">
        <v>3</v>
      </c>
      <c r="K467" s="9" t="s">
        <v>364</v>
      </c>
      <c r="O467" s="9">
        <v>1</v>
      </c>
      <c r="P467" s="9">
        <v>15</v>
      </c>
      <c r="U467" s="9">
        <v>2222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541</v>
      </c>
      <c r="AD467" s="9">
        <v>3</v>
      </c>
      <c r="AF467" s="9">
        <v>600</v>
      </c>
      <c r="AI467" s="56">
        <f t="shared" ca="1" si="128"/>
        <v>38</v>
      </c>
      <c r="AJ467" s="10">
        <f ca="1">AO467+AQ467+(IFERROR(OFFSET(ITEM_RES!$T$1,MATCH(AU467,ITEM_RES!$A:$A,0)-1,0),0)*AW467+IFERROR(OFFSET(ITEM_RES!$T$1,MATCH(AZ467,ITEM_RES!$A:$A,0)-1,0),0)*BB467+IFERROR(OFFSET(ITEM_RES!$T$1,MATCH(BE467,ITEM_RES!$A:$A,0)-1,0),0)*BG467+IFERROR(OFFSET(ITEM_RES!$T$1,MATCH(BJ467,ITEM_RES!$A:$A,0)-1,0),0)*BL467+IFERROR(OFFSET(ITEM_RES!$T$1,MATCH(BO467,ITEM_RES!$A:$A,0)-1,0),0)*BQ467)/1000</f>
        <v>37.5</v>
      </c>
      <c r="AK467" s="183">
        <f t="shared" ca="1" si="136"/>
        <v>62.5</v>
      </c>
      <c r="AM467" s="11">
        <f t="shared" si="127"/>
        <v>15</v>
      </c>
      <c r="AN467" s="10">
        <v>15</v>
      </c>
      <c r="AO467" s="11">
        <f t="shared" si="134"/>
        <v>15</v>
      </c>
      <c r="AP467" s="10">
        <v>15</v>
      </c>
      <c r="AQ467" s="11">
        <f t="shared" si="134"/>
        <v>15</v>
      </c>
      <c r="AR467" s="10">
        <v>15</v>
      </c>
      <c r="AS467" s="56">
        <f t="shared" si="129"/>
        <v>1</v>
      </c>
      <c r="AU467" s="11">
        <f ca="1">IFERROR(OFFSET(ITEM_RES!$A$1,MATCH(AV467,ITEM_RES!$J:$J,0)-1,0),0)</f>
        <v>211020801</v>
      </c>
      <c r="AV467" s="10" t="s">
        <v>444</v>
      </c>
      <c r="AW467" s="11">
        <v>75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31"/>
        <v>115010004</v>
      </c>
      <c r="B468" s="13">
        <v>11</v>
      </c>
      <c r="C468" s="12">
        <f t="shared" si="132"/>
        <v>5</v>
      </c>
      <c r="D468" s="13">
        <v>1</v>
      </c>
      <c r="E468" s="13">
        <v>0</v>
      </c>
      <c r="F468" s="12">
        <f t="shared" si="133"/>
        <v>4</v>
      </c>
      <c r="H468" s="9">
        <v>5</v>
      </c>
      <c r="I468" s="9">
        <v>4</v>
      </c>
      <c r="K468" s="9" t="s">
        <v>364</v>
      </c>
      <c r="O468" s="9">
        <v>1</v>
      </c>
      <c r="P468" s="9">
        <v>15</v>
      </c>
      <c r="U468" s="9">
        <v>2222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541</v>
      </c>
      <c r="AD468" s="9">
        <v>4</v>
      </c>
      <c r="AF468" s="9">
        <v>1000</v>
      </c>
      <c r="AI468" s="56">
        <f t="shared" ca="1" si="128"/>
        <v>63</v>
      </c>
      <c r="AJ468" s="10">
        <f ca="1">AO468+AQ468+(IFERROR(OFFSET(ITEM_RES!$T$1,MATCH(AU468,ITEM_RES!$A:$A,0)-1,0),0)*AW468+IFERROR(OFFSET(ITEM_RES!$T$1,MATCH(AZ468,ITEM_RES!$A:$A,0)-1,0),0)*BB468+IFERROR(OFFSET(ITEM_RES!$T$1,MATCH(BE468,ITEM_RES!$A:$A,0)-1,0),0)*BG468+IFERROR(OFFSET(ITEM_RES!$T$1,MATCH(BJ468,ITEM_RES!$A:$A,0)-1,0),0)*BL468+IFERROR(OFFSET(ITEM_RES!$T$1,MATCH(BO468,ITEM_RES!$A:$A,0)-1,0),0)*BQ468)/1000</f>
        <v>62.5</v>
      </c>
      <c r="AK468" s="183">
        <f t="shared" ca="1" si="136"/>
        <v>100</v>
      </c>
      <c r="AM468" s="11">
        <f t="shared" si="127"/>
        <v>20</v>
      </c>
      <c r="AN468" s="10">
        <v>20</v>
      </c>
      <c r="AO468" s="11">
        <f t="shared" si="134"/>
        <v>25</v>
      </c>
      <c r="AP468" s="10">
        <v>25</v>
      </c>
      <c r="AQ468" s="11">
        <f t="shared" si="134"/>
        <v>25</v>
      </c>
      <c r="AR468" s="10">
        <v>25</v>
      </c>
      <c r="AS468" s="56">
        <f t="shared" si="129"/>
        <v>1</v>
      </c>
      <c r="AU468" s="11">
        <f ca="1">IFERROR(OFFSET(ITEM_RES!$A$1,MATCH(AV468,ITEM_RES!$J:$J,0)-1,0),0)</f>
        <v>211020801</v>
      </c>
      <c r="AV468" s="10" t="s">
        <v>444</v>
      </c>
      <c r="AW468" s="11">
        <v>125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31"/>
        <v>115010005</v>
      </c>
      <c r="B469" s="13">
        <v>11</v>
      </c>
      <c r="C469" s="12">
        <f t="shared" si="132"/>
        <v>5</v>
      </c>
      <c r="D469" s="13">
        <v>1</v>
      </c>
      <c r="E469" s="13">
        <v>0</v>
      </c>
      <c r="F469" s="12">
        <f t="shared" si="133"/>
        <v>5</v>
      </c>
      <c r="H469" s="9">
        <v>5</v>
      </c>
      <c r="I469" s="9">
        <v>5</v>
      </c>
      <c r="K469" s="9" t="s">
        <v>364</v>
      </c>
      <c r="O469" s="9">
        <v>1</v>
      </c>
      <c r="P469" s="9">
        <v>15</v>
      </c>
      <c r="U469" s="9">
        <v>2222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541</v>
      </c>
      <c r="AD469" s="9">
        <v>5</v>
      </c>
      <c r="AF469" s="9">
        <v>1600</v>
      </c>
      <c r="AI469" s="56">
        <f t="shared" ca="1" si="128"/>
        <v>100</v>
      </c>
      <c r="AJ469" s="10">
        <f ca="1">AO469+AQ469+(IFERROR(OFFSET(ITEM_RES!$T$1,MATCH(AU469,ITEM_RES!$A:$A,0)-1,0),0)*AW469+IFERROR(OFFSET(ITEM_RES!$T$1,MATCH(AZ469,ITEM_RES!$A:$A,0)-1,0),0)*BB469+IFERROR(OFFSET(ITEM_RES!$T$1,MATCH(BE469,ITEM_RES!$A:$A,0)-1,0),0)*BG469+IFERROR(OFFSET(ITEM_RES!$T$1,MATCH(BJ469,ITEM_RES!$A:$A,0)-1,0),0)*BL469+IFERROR(OFFSET(ITEM_RES!$T$1,MATCH(BO469,ITEM_RES!$A:$A,0)-1,0),0)*BQ469)/1000</f>
        <v>100</v>
      </c>
      <c r="AK469" s="183">
        <f t="shared" ca="1" si="136"/>
        <v>162.5</v>
      </c>
      <c r="AM469" s="11">
        <f t="shared" si="127"/>
        <v>25</v>
      </c>
      <c r="AN469" s="10">
        <v>25</v>
      </c>
      <c r="AO469" s="11">
        <f t="shared" si="134"/>
        <v>40</v>
      </c>
      <c r="AP469" s="10">
        <v>40</v>
      </c>
      <c r="AQ469" s="11">
        <f t="shared" si="134"/>
        <v>40</v>
      </c>
      <c r="AR469" s="10">
        <v>40</v>
      </c>
      <c r="AS469" s="56">
        <f t="shared" si="129"/>
        <v>1</v>
      </c>
      <c r="AU469" s="11">
        <f ca="1">IFERROR(OFFSET(ITEM_RES!$A$1,MATCH(AV469,ITEM_RES!$J:$J,0)-1,0),0)</f>
        <v>211020801</v>
      </c>
      <c r="AV469" s="10" t="s">
        <v>444</v>
      </c>
      <c r="AW469" s="11">
        <v>200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31"/>
        <v>115010006</v>
      </c>
      <c r="B470" s="13">
        <v>11</v>
      </c>
      <c r="C470" s="12">
        <f t="shared" si="132"/>
        <v>5</v>
      </c>
      <c r="D470" s="13">
        <v>1</v>
      </c>
      <c r="E470" s="13">
        <v>0</v>
      </c>
      <c r="F470" s="12">
        <f t="shared" si="133"/>
        <v>6</v>
      </c>
      <c r="H470" s="9">
        <v>5</v>
      </c>
      <c r="I470" s="9">
        <v>6</v>
      </c>
      <c r="K470" s="9" t="s">
        <v>364</v>
      </c>
      <c r="O470" s="9">
        <v>1</v>
      </c>
      <c r="P470" s="9">
        <v>15</v>
      </c>
      <c r="U470" s="9">
        <v>2222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541</v>
      </c>
      <c r="AD470" s="9">
        <v>6</v>
      </c>
      <c r="AF470" s="9">
        <v>2000</v>
      </c>
      <c r="AI470" s="56">
        <f t="shared" ca="1" si="128"/>
        <v>125</v>
      </c>
      <c r="AJ470" s="10">
        <f ca="1">AO470+AQ470+(IFERROR(OFFSET(ITEM_RES!$T$1,MATCH(AU470,ITEM_RES!$A:$A,0)-1,0),0)*AW470+IFERROR(OFFSET(ITEM_RES!$T$1,MATCH(AZ470,ITEM_RES!$A:$A,0)-1,0),0)*BB470+IFERROR(OFFSET(ITEM_RES!$T$1,MATCH(BE470,ITEM_RES!$A:$A,0)-1,0),0)*BG470+IFERROR(OFFSET(ITEM_RES!$T$1,MATCH(BJ470,ITEM_RES!$A:$A,0)-1,0),0)*BL470+IFERROR(OFFSET(ITEM_RES!$T$1,MATCH(BO470,ITEM_RES!$A:$A,0)-1,0),0)*BQ470)/1000</f>
        <v>125</v>
      </c>
      <c r="AK470" s="183">
        <f t="shared" ca="1" si="136"/>
        <v>225</v>
      </c>
      <c r="AM470" s="11">
        <f t="shared" si="127"/>
        <v>30</v>
      </c>
      <c r="AN470" s="10">
        <v>30</v>
      </c>
      <c r="AO470" s="11">
        <f t="shared" si="134"/>
        <v>50</v>
      </c>
      <c r="AP470" s="10">
        <v>50</v>
      </c>
      <c r="AQ470" s="11">
        <f t="shared" si="134"/>
        <v>50</v>
      </c>
      <c r="AR470" s="10">
        <v>50</v>
      </c>
      <c r="AS470" s="56">
        <f t="shared" si="129"/>
        <v>1</v>
      </c>
      <c r="AU470" s="11">
        <f ca="1">IFERROR(OFFSET(ITEM_RES!$A$1,MATCH(AV470,ITEM_RES!$J:$J,0)-1,0),0)</f>
        <v>211020801</v>
      </c>
      <c r="AV470" s="10" t="s">
        <v>444</v>
      </c>
      <c r="AW470" s="11">
        <v>250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31"/>
        <v>115010007</v>
      </c>
      <c r="B471" s="13">
        <v>11</v>
      </c>
      <c r="C471" s="12">
        <f t="shared" si="132"/>
        <v>5</v>
      </c>
      <c r="D471" s="13">
        <v>1</v>
      </c>
      <c r="E471" s="13">
        <v>0</v>
      </c>
      <c r="F471" s="12">
        <f t="shared" si="133"/>
        <v>7</v>
      </c>
      <c r="H471" s="9">
        <v>5</v>
      </c>
      <c r="I471" s="9">
        <v>7</v>
      </c>
      <c r="K471" s="9" t="s">
        <v>364</v>
      </c>
      <c r="O471" s="9">
        <v>1</v>
      </c>
      <c r="P471" s="9">
        <v>15</v>
      </c>
      <c r="U471" s="9">
        <v>2222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541</v>
      </c>
      <c r="AD471" s="9">
        <v>7</v>
      </c>
      <c r="AF471" s="9">
        <v>4000</v>
      </c>
      <c r="AI471" s="56">
        <f t="shared" ca="1" si="128"/>
        <v>250</v>
      </c>
      <c r="AJ471" s="10">
        <f ca="1">AO471+AQ471+(IFERROR(OFFSET(ITEM_RES!$T$1,MATCH(AU471,ITEM_RES!$A:$A,0)-1,0),0)*AW471+IFERROR(OFFSET(ITEM_RES!$T$1,MATCH(AZ471,ITEM_RES!$A:$A,0)-1,0),0)*BB471+IFERROR(OFFSET(ITEM_RES!$T$1,MATCH(BE471,ITEM_RES!$A:$A,0)-1,0),0)*BG471+IFERROR(OFFSET(ITEM_RES!$T$1,MATCH(BJ471,ITEM_RES!$A:$A,0)-1,0),0)*BL471+IFERROR(OFFSET(ITEM_RES!$T$1,MATCH(BO471,ITEM_RES!$A:$A,0)-1,0),0)*BQ471)/1000</f>
        <v>250</v>
      </c>
      <c r="AK471" s="183">
        <f t="shared" ca="1" si="136"/>
        <v>375</v>
      </c>
      <c r="AM471" s="11">
        <f t="shared" si="127"/>
        <v>35</v>
      </c>
      <c r="AN471" s="10">
        <v>35</v>
      </c>
      <c r="AO471" s="11">
        <f t="shared" si="134"/>
        <v>100</v>
      </c>
      <c r="AP471" s="10">
        <v>100</v>
      </c>
      <c r="AQ471" s="11">
        <f t="shared" si="134"/>
        <v>100</v>
      </c>
      <c r="AR471" s="10">
        <v>100</v>
      </c>
      <c r="AS471" s="56">
        <f t="shared" si="129"/>
        <v>1</v>
      </c>
      <c r="AU471" s="11">
        <f ca="1">IFERROR(OFFSET(ITEM_RES!$A$1,MATCH(AV471,ITEM_RES!$J:$J,0)-1,0),0)</f>
        <v>211020801</v>
      </c>
      <c r="AV471" s="10" t="s">
        <v>444</v>
      </c>
      <c r="AW471" s="11">
        <v>500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31"/>
        <v>115010008</v>
      </c>
      <c r="B472" s="13">
        <v>11</v>
      </c>
      <c r="C472" s="12">
        <f t="shared" si="132"/>
        <v>5</v>
      </c>
      <c r="D472" s="13">
        <v>1</v>
      </c>
      <c r="E472" s="13">
        <v>0</v>
      </c>
      <c r="F472" s="12">
        <f t="shared" si="133"/>
        <v>8</v>
      </c>
      <c r="H472" s="9">
        <v>5</v>
      </c>
      <c r="I472" s="9">
        <v>8</v>
      </c>
      <c r="K472" s="9" t="s">
        <v>364</v>
      </c>
      <c r="O472" s="9">
        <v>1</v>
      </c>
      <c r="P472" s="9">
        <v>15</v>
      </c>
      <c r="U472" s="9">
        <v>2222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541</v>
      </c>
      <c r="AD472" s="9">
        <v>8</v>
      </c>
      <c r="AF472" s="9">
        <v>4000</v>
      </c>
      <c r="AI472" s="56">
        <f t="shared" ca="1" si="128"/>
        <v>250</v>
      </c>
      <c r="AJ472" s="10">
        <f ca="1">AO472+AQ472+(IFERROR(OFFSET(ITEM_RES!$T$1,MATCH(AU472,ITEM_RES!$A:$A,0)-1,0),0)*AW472+IFERROR(OFFSET(ITEM_RES!$T$1,MATCH(AZ472,ITEM_RES!$A:$A,0)-1,0),0)*BB472+IFERROR(OFFSET(ITEM_RES!$T$1,MATCH(BE472,ITEM_RES!$A:$A,0)-1,0),0)*BG472+IFERROR(OFFSET(ITEM_RES!$T$1,MATCH(BJ472,ITEM_RES!$A:$A,0)-1,0),0)*BL472+IFERROR(OFFSET(ITEM_RES!$T$1,MATCH(BO472,ITEM_RES!$A:$A,0)-1,0),0)*BQ472)/1000</f>
        <v>250</v>
      </c>
      <c r="AK472" s="183">
        <f t="shared" ca="1" si="136"/>
        <v>500</v>
      </c>
      <c r="AM472" s="11">
        <f t="shared" si="127"/>
        <v>40</v>
      </c>
      <c r="AN472" s="10">
        <v>40</v>
      </c>
      <c r="AO472" s="11">
        <f t="shared" si="134"/>
        <v>100</v>
      </c>
      <c r="AP472" s="10">
        <v>100</v>
      </c>
      <c r="AQ472" s="11">
        <f t="shared" si="134"/>
        <v>100</v>
      </c>
      <c r="AR472" s="10">
        <v>100</v>
      </c>
      <c r="AS472" s="56">
        <f t="shared" si="129"/>
        <v>1</v>
      </c>
      <c r="AU472" s="11">
        <f ca="1">IFERROR(OFFSET(ITEM_RES!$A$1,MATCH(AV472,ITEM_RES!$J:$J,0)-1,0),0)</f>
        <v>211020801</v>
      </c>
      <c r="AV472" s="10" t="s">
        <v>444</v>
      </c>
      <c r="AW472" s="11">
        <v>500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31"/>
        <v>115010009</v>
      </c>
      <c r="B473" s="13">
        <v>11</v>
      </c>
      <c r="C473" s="12">
        <f t="shared" si="132"/>
        <v>5</v>
      </c>
      <c r="D473" s="13">
        <v>1</v>
      </c>
      <c r="E473" s="13">
        <v>0</v>
      </c>
      <c r="F473" s="12">
        <f t="shared" si="133"/>
        <v>9</v>
      </c>
      <c r="H473" s="9">
        <v>5</v>
      </c>
      <c r="I473" s="9">
        <v>9</v>
      </c>
      <c r="K473" s="9" t="s">
        <v>364</v>
      </c>
      <c r="O473" s="9">
        <v>1</v>
      </c>
      <c r="P473" s="9">
        <v>15</v>
      </c>
      <c r="U473" s="9">
        <v>2222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541</v>
      </c>
      <c r="AD473" s="9">
        <v>9</v>
      </c>
      <c r="AF473" s="9">
        <v>6000</v>
      </c>
      <c r="AI473" s="56">
        <f t="shared" ca="1" si="128"/>
        <v>375</v>
      </c>
      <c r="AJ473" s="10">
        <f ca="1">AO473+AQ473+(IFERROR(OFFSET(ITEM_RES!$T$1,MATCH(AU473,ITEM_RES!$A:$A,0)-1,0),0)*AW473+IFERROR(OFFSET(ITEM_RES!$T$1,MATCH(AZ473,ITEM_RES!$A:$A,0)-1,0),0)*BB473+IFERROR(OFFSET(ITEM_RES!$T$1,MATCH(BE473,ITEM_RES!$A:$A,0)-1,0),0)*BG473+IFERROR(OFFSET(ITEM_RES!$T$1,MATCH(BJ473,ITEM_RES!$A:$A,0)-1,0),0)*BL473+IFERROR(OFFSET(ITEM_RES!$T$1,MATCH(BO473,ITEM_RES!$A:$A,0)-1,0),0)*BQ473)/1000</f>
        <v>375</v>
      </c>
      <c r="AK473" s="183">
        <f t="shared" ca="1" si="136"/>
        <v>625</v>
      </c>
      <c r="AM473" s="11">
        <f t="shared" ref="AM473:AM536" si="137">ROUND(AN473,0)</f>
        <v>45</v>
      </c>
      <c r="AN473" s="10">
        <v>45</v>
      </c>
      <c r="AO473" s="11">
        <f t="shared" si="134"/>
        <v>150</v>
      </c>
      <c r="AP473" s="10">
        <v>150</v>
      </c>
      <c r="AQ473" s="11">
        <f t="shared" si="134"/>
        <v>150</v>
      </c>
      <c r="AR473" s="10">
        <v>150</v>
      </c>
      <c r="AS473" s="56">
        <f t="shared" si="129"/>
        <v>1</v>
      </c>
      <c r="AU473" s="11">
        <f ca="1">IFERROR(OFFSET(ITEM_RES!$A$1,MATCH(AV473,ITEM_RES!$J:$J,0)-1,0),0)</f>
        <v>211020801</v>
      </c>
      <c r="AV473" s="10" t="s">
        <v>444</v>
      </c>
      <c r="AW473" s="11">
        <v>750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31"/>
        <v>115010010</v>
      </c>
      <c r="B474" s="13">
        <v>11</v>
      </c>
      <c r="C474" s="12">
        <f t="shared" si="132"/>
        <v>5</v>
      </c>
      <c r="D474" s="13">
        <v>1</v>
      </c>
      <c r="E474" s="13">
        <v>0</v>
      </c>
      <c r="F474" s="12">
        <f t="shared" si="133"/>
        <v>10</v>
      </c>
      <c r="H474" s="9">
        <v>5</v>
      </c>
      <c r="I474" s="9">
        <v>10</v>
      </c>
      <c r="K474" s="9" t="s">
        <v>364</v>
      </c>
      <c r="O474" s="9">
        <v>1</v>
      </c>
      <c r="P474" s="9">
        <v>15</v>
      </c>
      <c r="U474" s="9">
        <v>2222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541</v>
      </c>
      <c r="AD474" s="9">
        <v>10</v>
      </c>
      <c r="AF474" s="9">
        <v>8000</v>
      </c>
      <c r="AI474" s="56">
        <f t="shared" ref="AI474:AI537" ca="1" si="138">ROUND(AJ474,0)</f>
        <v>600</v>
      </c>
      <c r="AJ474" s="10">
        <f ca="1">AO474+AQ474+(IFERROR(OFFSET(ITEM_RES!$T$1,MATCH(AU474,ITEM_RES!$A:$A,0)-1,0),0)*AW474+IFERROR(OFFSET(ITEM_RES!$T$1,MATCH(AZ474,ITEM_RES!$A:$A,0)-1,0),0)*BB474+IFERROR(OFFSET(ITEM_RES!$T$1,MATCH(BE474,ITEM_RES!$A:$A,0)-1,0),0)*BG474+IFERROR(OFFSET(ITEM_RES!$T$1,MATCH(BJ474,ITEM_RES!$A:$A,0)-1,0),0)*BL474+IFERROR(OFFSET(ITEM_RES!$T$1,MATCH(BO474,ITEM_RES!$A:$A,0)-1,0),0)*BQ474)/1000</f>
        <v>600</v>
      </c>
      <c r="AK474" s="183">
        <f t="shared" ca="1" si="136"/>
        <v>975</v>
      </c>
      <c r="AM474" s="11">
        <f t="shared" si="137"/>
        <v>50</v>
      </c>
      <c r="AN474" s="10">
        <v>50</v>
      </c>
      <c r="AO474" s="11">
        <f t="shared" si="134"/>
        <v>200</v>
      </c>
      <c r="AP474" s="10">
        <v>200</v>
      </c>
      <c r="AQ474" s="11">
        <f t="shared" si="134"/>
        <v>200</v>
      </c>
      <c r="AR474" s="10">
        <v>200</v>
      </c>
      <c r="AS474" s="56">
        <f t="shared" ref="AS474:AS537" si="139">(AW474&gt;0)*1+(BB474&gt;0)*1+(BG474&gt;0)*1+(BL474&gt;0)*1+(BQ474&gt;0)*1</f>
        <v>2</v>
      </c>
      <c r="AU474" s="11">
        <f ca="1">IFERROR(OFFSET(ITEM_RES!$A$1,MATCH(AV474,ITEM_RES!$J:$J,0)-1,0),0)</f>
        <v>211020801</v>
      </c>
      <c r="AV474" s="10" t="s">
        <v>444</v>
      </c>
      <c r="AW474" s="11">
        <v>1000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213011501</v>
      </c>
      <c r="BK474" s="10" t="s">
        <v>487</v>
      </c>
      <c r="BL474" s="11">
        <v>1</v>
      </c>
      <c r="BO474" s="11">
        <f ca="1">IFERROR(OFFSET(ITEM_RES!$A$1,MATCH(BP474,ITEM_RES!$J:$J,0)-1,0),0)</f>
        <v>0</v>
      </c>
    </row>
    <row r="475" spans="1:70" x14ac:dyDescent="0.3">
      <c r="A475" s="14">
        <f t="shared" si="131"/>
        <v>115010011</v>
      </c>
      <c r="B475" s="13">
        <v>11</v>
      </c>
      <c r="C475" s="12">
        <f t="shared" si="132"/>
        <v>5</v>
      </c>
      <c r="D475" s="13">
        <v>1</v>
      </c>
      <c r="E475" s="13">
        <v>0</v>
      </c>
      <c r="F475" s="12">
        <f t="shared" si="133"/>
        <v>11</v>
      </c>
      <c r="H475" s="9">
        <v>5</v>
      </c>
      <c r="I475" s="9">
        <v>11</v>
      </c>
      <c r="K475" s="9" t="s">
        <v>364</v>
      </c>
      <c r="O475" s="9">
        <v>1</v>
      </c>
      <c r="P475" s="9">
        <v>15</v>
      </c>
      <c r="U475" s="9">
        <v>2222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541</v>
      </c>
      <c r="AD475" s="9">
        <v>11</v>
      </c>
      <c r="AF475" s="9">
        <v>10000</v>
      </c>
      <c r="AI475" s="56">
        <f t="shared" ca="1" si="138"/>
        <v>625</v>
      </c>
      <c r="AJ475" s="10">
        <f ca="1">AO475+AQ475+(IFERROR(OFFSET(ITEM_RES!$T$1,MATCH(AU475,ITEM_RES!$A:$A,0)-1,0),0)*AW475+IFERROR(OFFSET(ITEM_RES!$T$1,MATCH(AZ475,ITEM_RES!$A:$A,0)-1,0),0)*BB475+IFERROR(OFFSET(ITEM_RES!$T$1,MATCH(BE475,ITEM_RES!$A:$A,0)-1,0),0)*BG475+IFERROR(OFFSET(ITEM_RES!$T$1,MATCH(BJ475,ITEM_RES!$A:$A,0)-1,0),0)*BL475+IFERROR(OFFSET(ITEM_RES!$T$1,MATCH(BO475,ITEM_RES!$A:$A,0)-1,0),0)*BQ475)/1000</f>
        <v>625</v>
      </c>
      <c r="AK475" s="183">
        <f t="shared" ca="1" si="136"/>
        <v>1225</v>
      </c>
      <c r="AM475" s="11">
        <f t="shared" si="137"/>
        <v>55</v>
      </c>
      <c r="AN475" s="10">
        <v>55</v>
      </c>
      <c r="AO475" s="11">
        <f t="shared" si="134"/>
        <v>250</v>
      </c>
      <c r="AP475" s="10">
        <v>250</v>
      </c>
      <c r="AQ475" s="11">
        <f t="shared" si="134"/>
        <v>250</v>
      </c>
      <c r="AR475" s="10">
        <v>250</v>
      </c>
      <c r="AS475" s="56">
        <f t="shared" si="139"/>
        <v>1</v>
      </c>
      <c r="AU475" s="11">
        <f ca="1">IFERROR(OFFSET(ITEM_RES!$A$1,MATCH(AV475,ITEM_RES!$J:$J,0)-1,0),0)</f>
        <v>211020801</v>
      </c>
      <c r="AV475" s="10" t="s">
        <v>444</v>
      </c>
      <c r="AW475" s="11">
        <v>1250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31"/>
        <v>115010012</v>
      </c>
      <c r="B476" s="13">
        <v>11</v>
      </c>
      <c r="C476" s="12">
        <f t="shared" si="132"/>
        <v>5</v>
      </c>
      <c r="D476" s="13">
        <v>1</v>
      </c>
      <c r="E476" s="13">
        <v>0</v>
      </c>
      <c r="F476" s="12">
        <f t="shared" si="133"/>
        <v>12</v>
      </c>
      <c r="H476" s="9">
        <v>5</v>
      </c>
      <c r="I476" s="9">
        <v>12</v>
      </c>
      <c r="K476" s="9" t="s">
        <v>364</v>
      </c>
      <c r="O476" s="9">
        <v>1</v>
      </c>
      <c r="P476" s="9">
        <v>15</v>
      </c>
      <c r="U476" s="9">
        <v>2222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541</v>
      </c>
      <c r="AD476" s="9">
        <v>12</v>
      </c>
      <c r="AF476" s="9">
        <v>12000</v>
      </c>
      <c r="AI476" s="56">
        <f t="shared" ca="1" si="138"/>
        <v>750</v>
      </c>
      <c r="AJ476" s="10">
        <f ca="1">AO476+AQ476+(IFERROR(OFFSET(ITEM_RES!$T$1,MATCH(AU476,ITEM_RES!$A:$A,0)-1,0),0)*AW476+IFERROR(OFFSET(ITEM_RES!$T$1,MATCH(AZ476,ITEM_RES!$A:$A,0)-1,0),0)*BB476+IFERROR(OFFSET(ITEM_RES!$T$1,MATCH(BE476,ITEM_RES!$A:$A,0)-1,0),0)*BG476+IFERROR(OFFSET(ITEM_RES!$T$1,MATCH(BJ476,ITEM_RES!$A:$A,0)-1,0),0)*BL476+IFERROR(OFFSET(ITEM_RES!$T$1,MATCH(BO476,ITEM_RES!$A:$A,0)-1,0),0)*BQ476)/1000</f>
        <v>750</v>
      </c>
      <c r="AK476" s="183">
        <f t="shared" ca="1" si="136"/>
        <v>1375</v>
      </c>
      <c r="AM476" s="11">
        <f t="shared" si="137"/>
        <v>60</v>
      </c>
      <c r="AN476" s="10">
        <v>60</v>
      </c>
      <c r="AO476" s="11">
        <f t="shared" si="134"/>
        <v>300</v>
      </c>
      <c r="AP476" s="10">
        <v>300</v>
      </c>
      <c r="AQ476" s="11">
        <f t="shared" si="134"/>
        <v>300</v>
      </c>
      <c r="AR476" s="10">
        <v>300</v>
      </c>
      <c r="AS476" s="56">
        <f t="shared" si="139"/>
        <v>1</v>
      </c>
      <c r="AU476" s="11">
        <f ca="1">IFERROR(OFFSET(ITEM_RES!$A$1,MATCH(AV476,ITEM_RES!$J:$J,0)-1,0),0)</f>
        <v>211020801</v>
      </c>
      <c r="AV476" s="10" t="s">
        <v>444</v>
      </c>
      <c r="AW476" s="11">
        <v>1500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  <c r="BO476" s="11">
        <f ca="1">IFERROR(OFFSET(ITEM_RES!$A$1,MATCH(BP476,ITEM_RES!$J:$J,0)-1,0),0)</f>
        <v>0</v>
      </c>
    </row>
    <row r="477" spans="1:70" x14ac:dyDescent="0.3">
      <c r="A477" s="14">
        <f t="shared" si="131"/>
        <v>115010013</v>
      </c>
      <c r="B477" s="13">
        <v>11</v>
      </c>
      <c r="C477" s="12">
        <f t="shared" si="132"/>
        <v>5</v>
      </c>
      <c r="D477" s="13">
        <v>1</v>
      </c>
      <c r="E477" s="13">
        <v>0</v>
      </c>
      <c r="F477" s="12">
        <f t="shared" si="133"/>
        <v>13</v>
      </c>
      <c r="H477" s="9">
        <v>5</v>
      </c>
      <c r="I477" s="9">
        <v>13</v>
      </c>
      <c r="K477" s="9" t="s">
        <v>364</v>
      </c>
      <c r="O477" s="9">
        <v>1</v>
      </c>
      <c r="P477" s="9">
        <v>15</v>
      </c>
      <c r="U477" s="9">
        <v>2222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541</v>
      </c>
      <c r="AD477" s="9">
        <v>13</v>
      </c>
      <c r="AF477" s="9">
        <v>14000</v>
      </c>
      <c r="AI477" s="56">
        <f t="shared" ca="1" si="138"/>
        <v>875</v>
      </c>
      <c r="AJ477" s="10">
        <f ca="1">AO477+AQ477+(IFERROR(OFFSET(ITEM_RES!$T$1,MATCH(AU477,ITEM_RES!$A:$A,0)-1,0),0)*AW477+IFERROR(OFFSET(ITEM_RES!$T$1,MATCH(AZ477,ITEM_RES!$A:$A,0)-1,0),0)*BB477+IFERROR(OFFSET(ITEM_RES!$T$1,MATCH(BE477,ITEM_RES!$A:$A,0)-1,0),0)*BG477+IFERROR(OFFSET(ITEM_RES!$T$1,MATCH(BJ477,ITEM_RES!$A:$A,0)-1,0),0)*BL477+IFERROR(OFFSET(ITEM_RES!$T$1,MATCH(BO477,ITEM_RES!$A:$A,0)-1,0),0)*BQ477)/1000</f>
        <v>875</v>
      </c>
      <c r="AK477" s="183">
        <f t="shared" ca="1" si="136"/>
        <v>1625</v>
      </c>
      <c r="AM477" s="11">
        <f t="shared" si="137"/>
        <v>65</v>
      </c>
      <c r="AN477" s="10">
        <v>65</v>
      </c>
      <c r="AO477" s="11">
        <f t="shared" si="134"/>
        <v>350</v>
      </c>
      <c r="AP477" s="10">
        <v>350</v>
      </c>
      <c r="AQ477" s="11">
        <f t="shared" si="134"/>
        <v>350</v>
      </c>
      <c r="AR477" s="10">
        <v>350</v>
      </c>
      <c r="AS477" s="56">
        <f t="shared" si="139"/>
        <v>1</v>
      </c>
      <c r="AU477" s="11">
        <f ca="1">IFERROR(OFFSET(ITEM_RES!$A$1,MATCH(AV477,ITEM_RES!$J:$J,0)-1,0),0)</f>
        <v>211020801</v>
      </c>
      <c r="AV477" s="10" t="s">
        <v>444</v>
      </c>
      <c r="AW477" s="11">
        <v>1750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31"/>
        <v>115010014</v>
      </c>
      <c r="B478" s="13">
        <v>11</v>
      </c>
      <c r="C478" s="12">
        <f t="shared" si="132"/>
        <v>5</v>
      </c>
      <c r="D478" s="13">
        <v>1</v>
      </c>
      <c r="E478" s="13">
        <v>0</v>
      </c>
      <c r="F478" s="12">
        <f t="shared" si="133"/>
        <v>14</v>
      </c>
      <c r="H478" s="9">
        <v>5</v>
      </c>
      <c r="I478" s="9">
        <v>14</v>
      </c>
      <c r="K478" s="9" t="s">
        <v>364</v>
      </c>
      <c r="O478" s="9">
        <v>1</v>
      </c>
      <c r="P478" s="9">
        <v>15</v>
      </c>
      <c r="U478" s="9">
        <v>2222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541</v>
      </c>
      <c r="AD478" s="9">
        <v>14</v>
      </c>
      <c r="AF478" s="9">
        <v>18000</v>
      </c>
      <c r="AI478" s="56">
        <f t="shared" ca="1" si="138"/>
        <v>1125</v>
      </c>
      <c r="AJ478" s="10">
        <f ca="1">AO478+AQ478+(IFERROR(OFFSET(ITEM_RES!$T$1,MATCH(AU478,ITEM_RES!$A:$A,0)-1,0),0)*AW478+IFERROR(OFFSET(ITEM_RES!$T$1,MATCH(AZ478,ITEM_RES!$A:$A,0)-1,0),0)*BB478+IFERROR(OFFSET(ITEM_RES!$T$1,MATCH(BE478,ITEM_RES!$A:$A,0)-1,0),0)*BG478+IFERROR(OFFSET(ITEM_RES!$T$1,MATCH(BJ478,ITEM_RES!$A:$A,0)-1,0),0)*BL478+IFERROR(OFFSET(ITEM_RES!$T$1,MATCH(BO478,ITEM_RES!$A:$A,0)-1,0),0)*BQ478)/1000</f>
        <v>1125</v>
      </c>
      <c r="AK478" s="183">
        <f t="shared" ca="1" si="136"/>
        <v>2000</v>
      </c>
      <c r="AM478" s="11">
        <f t="shared" si="137"/>
        <v>70</v>
      </c>
      <c r="AN478" s="10">
        <v>70</v>
      </c>
      <c r="AO478" s="11">
        <f t="shared" si="134"/>
        <v>450</v>
      </c>
      <c r="AP478" s="10">
        <v>450</v>
      </c>
      <c r="AQ478" s="11">
        <f t="shared" si="134"/>
        <v>450</v>
      </c>
      <c r="AR478" s="10">
        <v>450</v>
      </c>
      <c r="AS478" s="56">
        <f t="shared" si="139"/>
        <v>1</v>
      </c>
      <c r="AU478" s="11">
        <f ca="1">IFERROR(OFFSET(ITEM_RES!$A$1,MATCH(AV478,ITEM_RES!$J:$J,0)-1,0),0)</f>
        <v>211020801</v>
      </c>
      <c r="AV478" s="10" t="s">
        <v>444</v>
      </c>
      <c r="AW478" s="11">
        <v>2250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31"/>
        <v>115010015</v>
      </c>
      <c r="B479" s="13">
        <v>11</v>
      </c>
      <c r="C479" s="12">
        <f t="shared" si="132"/>
        <v>5</v>
      </c>
      <c r="D479" s="13">
        <v>1</v>
      </c>
      <c r="E479" s="13">
        <v>0</v>
      </c>
      <c r="F479" s="12">
        <f t="shared" si="133"/>
        <v>15</v>
      </c>
      <c r="H479" s="9">
        <v>5</v>
      </c>
      <c r="I479" s="9">
        <v>15</v>
      </c>
      <c r="K479" s="9" t="s">
        <v>364</v>
      </c>
      <c r="O479" s="9">
        <v>1</v>
      </c>
      <c r="P479" s="9">
        <v>15</v>
      </c>
      <c r="U479" s="9">
        <v>2222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541</v>
      </c>
      <c r="AD479" s="9">
        <v>15</v>
      </c>
      <c r="AF479" s="9">
        <v>22000</v>
      </c>
      <c r="AI479" s="56">
        <f t="shared" ca="1" si="138"/>
        <v>1375</v>
      </c>
      <c r="AJ479" s="10">
        <f ca="1">AO479+AQ479+(IFERROR(OFFSET(ITEM_RES!$T$1,MATCH(AU479,ITEM_RES!$A:$A,0)-1,0),0)*AW479+IFERROR(OFFSET(ITEM_RES!$T$1,MATCH(AZ479,ITEM_RES!$A:$A,0)-1,0),0)*BB479+IFERROR(OFFSET(ITEM_RES!$T$1,MATCH(BE479,ITEM_RES!$A:$A,0)-1,0),0)*BG479+IFERROR(OFFSET(ITEM_RES!$T$1,MATCH(BJ479,ITEM_RES!$A:$A,0)-1,0),0)*BL479+IFERROR(OFFSET(ITEM_RES!$T$1,MATCH(BO479,ITEM_RES!$A:$A,0)-1,0),0)*BQ479)/1000</f>
        <v>1375</v>
      </c>
      <c r="AK479" s="183">
        <f t="shared" ca="1" si="136"/>
        <v>2500</v>
      </c>
      <c r="AM479" s="11">
        <f t="shared" si="137"/>
        <v>75</v>
      </c>
      <c r="AN479" s="10">
        <v>75</v>
      </c>
      <c r="AO479" s="11">
        <f t="shared" si="134"/>
        <v>550</v>
      </c>
      <c r="AP479" s="10">
        <v>550</v>
      </c>
      <c r="AQ479" s="11">
        <f t="shared" si="134"/>
        <v>550</v>
      </c>
      <c r="AR479" s="10">
        <v>550</v>
      </c>
      <c r="AS479" s="56">
        <f t="shared" si="139"/>
        <v>1</v>
      </c>
      <c r="AU479" s="11">
        <f ca="1">IFERROR(OFFSET(ITEM_RES!$A$1,MATCH(AV479,ITEM_RES!$J:$J,0)-1,0),0)</f>
        <v>211020801</v>
      </c>
      <c r="AV479" s="10" t="s">
        <v>444</v>
      </c>
      <c r="AW479" s="11">
        <v>2750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31"/>
        <v>115010016</v>
      </c>
      <c r="B480" s="13">
        <v>11</v>
      </c>
      <c r="C480" s="12">
        <f t="shared" si="132"/>
        <v>5</v>
      </c>
      <c r="D480" s="13">
        <v>1</v>
      </c>
      <c r="E480" s="13">
        <v>0</v>
      </c>
      <c r="F480" s="12">
        <f t="shared" si="133"/>
        <v>16</v>
      </c>
      <c r="H480" s="9">
        <v>5</v>
      </c>
      <c r="I480" s="9">
        <v>16</v>
      </c>
      <c r="K480" s="9" t="s">
        <v>364</v>
      </c>
      <c r="O480" s="9">
        <v>0</v>
      </c>
      <c r="P480" s="9">
        <v>15</v>
      </c>
      <c r="U480" s="9">
        <v>2222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541</v>
      </c>
      <c r="AD480" s="9">
        <v>16</v>
      </c>
      <c r="AF480" s="9">
        <v>28000</v>
      </c>
      <c r="AI480" s="56">
        <f t="shared" ca="1" si="138"/>
        <v>2100</v>
      </c>
      <c r="AJ480" s="10">
        <f ca="1">AO480+AQ480+(IFERROR(OFFSET(ITEM_RES!$T$1,MATCH(AU480,ITEM_RES!$A:$A,0)-1,0),0)*AW480+IFERROR(OFFSET(ITEM_RES!$T$1,MATCH(AZ480,ITEM_RES!$A:$A,0)-1,0),0)*BB480+IFERROR(OFFSET(ITEM_RES!$T$1,MATCH(BE480,ITEM_RES!$A:$A,0)-1,0),0)*BG480+IFERROR(OFFSET(ITEM_RES!$T$1,MATCH(BJ480,ITEM_RES!$A:$A,0)-1,0),0)*BL480+IFERROR(OFFSET(ITEM_RES!$T$1,MATCH(BO480,ITEM_RES!$A:$A,0)-1,0),0)*BQ480)/1000</f>
        <v>2100</v>
      </c>
      <c r="AK480" s="183">
        <f t="shared" ca="1" si="136"/>
        <v>3475</v>
      </c>
      <c r="AM480" s="11">
        <f t="shared" si="137"/>
        <v>80</v>
      </c>
      <c r="AN480" s="10">
        <v>80</v>
      </c>
      <c r="AO480" s="11">
        <f t="shared" si="134"/>
        <v>700</v>
      </c>
      <c r="AP480" s="10">
        <v>700</v>
      </c>
      <c r="AQ480" s="11">
        <f t="shared" si="134"/>
        <v>700</v>
      </c>
      <c r="AR480" s="10">
        <v>700</v>
      </c>
      <c r="AS480" s="56">
        <f t="shared" si="139"/>
        <v>1</v>
      </c>
      <c r="AU480" s="11">
        <f ca="1">IFERROR(OFFSET(ITEM_RES!$A$1,MATCH(AV480,ITEM_RES!$J:$J,0)-1,0),0)</f>
        <v>211020901</v>
      </c>
      <c r="AV480" s="10" t="s">
        <v>453</v>
      </c>
      <c r="AW480" s="11">
        <v>3500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31"/>
        <v>115010017</v>
      </c>
      <c r="B481" s="13">
        <v>11</v>
      </c>
      <c r="C481" s="12">
        <f t="shared" si="132"/>
        <v>5</v>
      </c>
      <c r="D481" s="13">
        <v>1</v>
      </c>
      <c r="E481" s="13">
        <v>0</v>
      </c>
      <c r="F481" s="12">
        <f t="shared" si="133"/>
        <v>17</v>
      </c>
      <c r="H481" s="9">
        <v>5</v>
      </c>
      <c r="I481" s="9">
        <v>17</v>
      </c>
      <c r="K481" s="9" t="s">
        <v>364</v>
      </c>
      <c r="O481" s="9">
        <v>0</v>
      </c>
      <c r="P481" s="9">
        <v>15</v>
      </c>
      <c r="U481" s="9">
        <v>2222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541</v>
      </c>
      <c r="AD481" s="9">
        <v>17</v>
      </c>
      <c r="AF481" s="9">
        <v>34000</v>
      </c>
      <c r="AI481" s="56">
        <f t="shared" ca="1" si="138"/>
        <v>2550</v>
      </c>
      <c r="AJ481" s="10">
        <f ca="1">AO481+AQ481+(IFERROR(OFFSET(ITEM_RES!$T$1,MATCH(AU481,ITEM_RES!$A:$A,0)-1,0),0)*AW481+IFERROR(OFFSET(ITEM_RES!$T$1,MATCH(AZ481,ITEM_RES!$A:$A,0)-1,0),0)*BB481+IFERROR(OFFSET(ITEM_RES!$T$1,MATCH(BE481,ITEM_RES!$A:$A,0)-1,0),0)*BG481+IFERROR(OFFSET(ITEM_RES!$T$1,MATCH(BJ481,ITEM_RES!$A:$A,0)-1,0),0)*BL481+IFERROR(OFFSET(ITEM_RES!$T$1,MATCH(BO481,ITEM_RES!$A:$A,0)-1,0),0)*BQ481)/1000</f>
        <v>2550</v>
      </c>
      <c r="AK481" s="183">
        <f t="shared" ca="1" si="136"/>
        <v>4650</v>
      </c>
      <c r="AM481" s="11">
        <f t="shared" si="137"/>
        <v>85</v>
      </c>
      <c r="AN481" s="10">
        <v>85</v>
      </c>
      <c r="AO481" s="11">
        <f t="shared" si="134"/>
        <v>850</v>
      </c>
      <c r="AP481" s="10">
        <v>850</v>
      </c>
      <c r="AQ481" s="11">
        <f t="shared" si="134"/>
        <v>850</v>
      </c>
      <c r="AR481" s="10">
        <v>850</v>
      </c>
      <c r="AS481" s="56">
        <f t="shared" si="139"/>
        <v>1</v>
      </c>
      <c r="AU481" s="11">
        <f ca="1">IFERROR(OFFSET(ITEM_RES!$A$1,MATCH(AV481,ITEM_RES!$J:$J,0)-1,0),0)</f>
        <v>211020901</v>
      </c>
      <c r="AV481" s="10" t="s">
        <v>453</v>
      </c>
      <c r="AW481" s="11">
        <v>4250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31"/>
        <v>115010018</v>
      </c>
      <c r="B482" s="13">
        <v>11</v>
      </c>
      <c r="C482" s="12">
        <f t="shared" si="132"/>
        <v>5</v>
      </c>
      <c r="D482" s="13">
        <v>1</v>
      </c>
      <c r="E482" s="13">
        <v>0</v>
      </c>
      <c r="F482" s="12">
        <f t="shared" si="133"/>
        <v>18</v>
      </c>
      <c r="H482" s="9">
        <v>5</v>
      </c>
      <c r="I482" s="9">
        <v>18</v>
      </c>
      <c r="K482" s="9" t="s">
        <v>364</v>
      </c>
      <c r="O482" s="9">
        <v>0</v>
      </c>
      <c r="P482" s="9">
        <v>15</v>
      </c>
      <c r="U482" s="9">
        <v>2222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541</v>
      </c>
      <c r="AD482" s="9">
        <v>18</v>
      </c>
      <c r="AF482" s="9">
        <v>42000</v>
      </c>
      <c r="AI482" s="56">
        <f t="shared" ca="1" si="138"/>
        <v>3150</v>
      </c>
      <c r="AJ482" s="10">
        <f ca="1">AO482+AQ482+(IFERROR(OFFSET(ITEM_RES!$T$1,MATCH(AU482,ITEM_RES!$A:$A,0)-1,0),0)*AW482+IFERROR(OFFSET(ITEM_RES!$T$1,MATCH(AZ482,ITEM_RES!$A:$A,0)-1,0),0)*BB482+IFERROR(OFFSET(ITEM_RES!$T$1,MATCH(BE482,ITEM_RES!$A:$A,0)-1,0),0)*BG482+IFERROR(OFFSET(ITEM_RES!$T$1,MATCH(BJ482,ITEM_RES!$A:$A,0)-1,0),0)*BL482+IFERROR(OFFSET(ITEM_RES!$T$1,MATCH(BO482,ITEM_RES!$A:$A,0)-1,0),0)*BQ482)/1000</f>
        <v>3150</v>
      </c>
      <c r="AK482" s="183">
        <f t="shared" ca="1" si="136"/>
        <v>5700</v>
      </c>
      <c r="AM482" s="11">
        <f t="shared" si="137"/>
        <v>90</v>
      </c>
      <c r="AN482" s="10">
        <v>90</v>
      </c>
      <c r="AO482" s="11">
        <f t="shared" si="134"/>
        <v>1050</v>
      </c>
      <c r="AP482" s="10">
        <v>1050</v>
      </c>
      <c r="AQ482" s="11">
        <f t="shared" si="134"/>
        <v>1050</v>
      </c>
      <c r="AR482" s="10">
        <v>1050</v>
      </c>
      <c r="AS482" s="56">
        <f t="shared" si="139"/>
        <v>1</v>
      </c>
      <c r="AU482" s="11">
        <f ca="1">IFERROR(OFFSET(ITEM_RES!$A$1,MATCH(AV482,ITEM_RES!$J:$J,0)-1,0),0)</f>
        <v>211020901</v>
      </c>
      <c r="AV482" s="10" t="s">
        <v>453</v>
      </c>
      <c r="AW482" s="11">
        <v>5250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31"/>
        <v>115010019</v>
      </c>
      <c r="B483" s="13">
        <v>11</v>
      </c>
      <c r="C483" s="12">
        <f t="shared" si="132"/>
        <v>5</v>
      </c>
      <c r="D483" s="13">
        <v>1</v>
      </c>
      <c r="E483" s="13">
        <v>0</v>
      </c>
      <c r="F483" s="12">
        <f t="shared" si="133"/>
        <v>19</v>
      </c>
      <c r="H483" s="9">
        <v>5</v>
      </c>
      <c r="I483" s="9">
        <v>19</v>
      </c>
      <c r="K483" s="9" t="s">
        <v>364</v>
      </c>
      <c r="O483" s="9">
        <v>0</v>
      </c>
      <c r="P483" s="9">
        <v>15</v>
      </c>
      <c r="U483" s="9">
        <v>2222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541</v>
      </c>
      <c r="AD483" s="9">
        <v>19</v>
      </c>
      <c r="AF483" s="9">
        <v>50000</v>
      </c>
      <c r="AI483" s="56">
        <f t="shared" ca="1" si="138"/>
        <v>3750</v>
      </c>
      <c r="AJ483" s="10">
        <f ca="1">AO483+AQ483+(IFERROR(OFFSET(ITEM_RES!$T$1,MATCH(AU483,ITEM_RES!$A:$A,0)-1,0),0)*AW483+IFERROR(OFFSET(ITEM_RES!$T$1,MATCH(AZ483,ITEM_RES!$A:$A,0)-1,0),0)*BB483+IFERROR(OFFSET(ITEM_RES!$T$1,MATCH(BE483,ITEM_RES!$A:$A,0)-1,0),0)*BG483+IFERROR(OFFSET(ITEM_RES!$T$1,MATCH(BJ483,ITEM_RES!$A:$A,0)-1,0),0)*BL483+IFERROR(OFFSET(ITEM_RES!$T$1,MATCH(BO483,ITEM_RES!$A:$A,0)-1,0),0)*BQ483)/1000</f>
        <v>3750</v>
      </c>
      <c r="AK483" s="183">
        <f t="shared" ca="1" si="136"/>
        <v>6900</v>
      </c>
      <c r="AM483" s="11">
        <f t="shared" si="137"/>
        <v>95</v>
      </c>
      <c r="AN483" s="10">
        <v>95</v>
      </c>
      <c r="AO483" s="11">
        <f t="shared" si="134"/>
        <v>1250</v>
      </c>
      <c r="AP483" s="10">
        <v>1250</v>
      </c>
      <c r="AQ483" s="11">
        <f t="shared" si="134"/>
        <v>1250</v>
      </c>
      <c r="AR483" s="10">
        <v>1250</v>
      </c>
      <c r="AS483" s="56">
        <f t="shared" si="139"/>
        <v>1</v>
      </c>
      <c r="AU483" s="11">
        <f ca="1">IFERROR(OFFSET(ITEM_RES!$A$1,MATCH(AV483,ITEM_RES!$J:$J,0)-1,0),0)</f>
        <v>211020901</v>
      </c>
      <c r="AV483" s="10" t="s">
        <v>453</v>
      </c>
      <c r="AW483" s="11">
        <v>6250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31"/>
        <v>115010020</v>
      </c>
      <c r="B484" s="13">
        <v>11</v>
      </c>
      <c r="C484" s="12">
        <f t="shared" si="132"/>
        <v>5</v>
      </c>
      <c r="D484" s="13">
        <v>1</v>
      </c>
      <c r="E484" s="13">
        <v>0</v>
      </c>
      <c r="F484" s="12">
        <f t="shared" si="133"/>
        <v>20</v>
      </c>
      <c r="H484" s="9">
        <v>5</v>
      </c>
      <c r="I484" s="9">
        <v>20</v>
      </c>
      <c r="K484" s="9" t="s">
        <v>364</v>
      </c>
      <c r="O484" s="9">
        <v>0</v>
      </c>
      <c r="P484" s="9">
        <v>15</v>
      </c>
      <c r="U484" s="9">
        <v>2222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541</v>
      </c>
      <c r="AD484" s="9">
        <v>20</v>
      </c>
      <c r="AF484" s="9">
        <v>60000</v>
      </c>
      <c r="AI484" s="56">
        <f t="shared" ca="1" si="138"/>
        <v>4500</v>
      </c>
      <c r="AJ484" s="10">
        <f ca="1">AO484+AQ484+(IFERROR(OFFSET(ITEM_RES!$T$1,MATCH(AU484,ITEM_RES!$A:$A,0)-1,0),0)*AW484+IFERROR(OFFSET(ITEM_RES!$T$1,MATCH(AZ484,ITEM_RES!$A:$A,0)-1,0),0)*BB484+IFERROR(OFFSET(ITEM_RES!$T$1,MATCH(BE484,ITEM_RES!$A:$A,0)-1,0),0)*BG484+IFERROR(OFFSET(ITEM_RES!$T$1,MATCH(BJ484,ITEM_RES!$A:$A,0)-1,0),0)*BL484+IFERROR(OFFSET(ITEM_RES!$T$1,MATCH(BO484,ITEM_RES!$A:$A,0)-1,0),0)*BQ484)/1000</f>
        <v>4500</v>
      </c>
      <c r="AK484" s="183">
        <f t="shared" ca="1" si="136"/>
        <v>8250</v>
      </c>
      <c r="AM484" s="11">
        <f t="shared" si="137"/>
        <v>100</v>
      </c>
      <c r="AN484" s="10">
        <v>100</v>
      </c>
      <c r="AO484" s="11">
        <f t="shared" si="134"/>
        <v>1500</v>
      </c>
      <c r="AP484" s="10">
        <v>1500</v>
      </c>
      <c r="AQ484" s="11">
        <f t="shared" si="134"/>
        <v>1500</v>
      </c>
      <c r="AR484" s="10">
        <v>1500</v>
      </c>
      <c r="AS484" s="56">
        <f t="shared" si="139"/>
        <v>1</v>
      </c>
      <c r="AU484" s="11">
        <f ca="1">IFERROR(OFFSET(ITEM_RES!$A$1,MATCH(AV484,ITEM_RES!$J:$J,0)-1,0),0)</f>
        <v>211020901</v>
      </c>
      <c r="AV484" s="10" t="s">
        <v>453</v>
      </c>
      <c r="AW484" s="11">
        <v>7500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31"/>
        <v>115020001</v>
      </c>
      <c r="B485" s="20">
        <v>11</v>
      </c>
      <c r="C485" s="19">
        <f t="shared" si="132"/>
        <v>5</v>
      </c>
      <c r="D485" s="20">
        <v>2</v>
      </c>
      <c r="E485" s="20">
        <v>0</v>
      </c>
      <c r="F485" s="19">
        <f t="shared" si="133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>
        <v>1</v>
      </c>
      <c r="M485" s="16"/>
      <c r="N485" s="16"/>
      <c r="O485" s="16">
        <v>1</v>
      </c>
      <c r="P485" s="16">
        <v>15</v>
      </c>
      <c r="Q485" s="16"/>
      <c r="R485" s="17"/>
      <c r="S485" s="17"/>
      <c r="T485" s="18"/>
      <c r="U485" s="16">
        <v>3333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389</v>
      </c>
      <c r="AD485" s="16">
        <v>1</v>
      </c>
      <c r="AE485" s="79"/>
      <c r="AF485" s="16">
        <v>0</v>
      </c>
      <c r="AG485" s="17"/>
      <c r="AH485" s="79"/>
      <c r="AI485" s="57">
        <f t="shared" ca="1" si="138"/>
        <v>213</v>
      </c>
      <c r="AJ485" s="17">
        <f ca="1">AO485+AQ485+(IFERROR(OFFSET(ITEM_RES!$T$1,MATCH(AU485,ITEM_RES!$A:$A,0)-1,0),0)*AW485+IFERROR(OFFSET(ITEM_RES!$T$1,MATCH(AZ485,ITEM_RES!$A:$A,0)-1,0),0)*BB485+IFERROR(OFFSET(ITEM_RES!$T$1,MATCH(BE485,ITEM_RES!$A:$A,0)-1,0),0)*BG485+IFERROR(OFFSET(ITEM_RES!$T$1,MATCH(BJ485,ITEM_RES!$A:$A,0)-1,0),0)*BL485+IFERROR(OFFSET(ITEM_RES!$T$1,MATCH(BO485,ITEM_RES!$A:$A,0)-1,0),0)*BQ485)/1000</f>
        <v>212.5</v>
      </c>
      <c r="AK485" s="185">
        <f ca="1">AJ485</f>
        <v>212.5</v>
      </c>
      <c r="AL485" s="79"/>
      <c r="AM485" s="18">
        <f t="shared" si="137"/>
        <v>5</v>
      </c>
      <c r="AN485" s="17">
        <v>5</v>
      </c>
      <c r="AO485" s="18">
        <f t="shared" si="134"/>
        <v>5</v>
      </c>
      <c r="AP485" s="17">
        <v>5</v>
      </c>
      <c r="AQ485" s="18">
        <f t="shared" si="13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444</v>
      </c>
      <c r="AW485" s="18">
        <v>25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463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485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31"/>
        <v>115020002</v>
      </c>
      <c r="B486" s="13">
        <v>11</v>
      </c>
      <c r="C486" s="12">
        <f t="shared" si="132"/>
        <v>5</v>
      </c>
      <c r="D486" s="13">
        <v>2</v>
      </c>
      <c r="E486" s="13">
        <v>0</v>
      </c>
      <c r="F486" s="12">
        <f t="shared" si="133"/>
        <v>2</v>
      </c>
      <c r="H486" s="9">
        <v>5</v>
      </c>
      <c r="I486" s="9">
        <v>2</v>
      </c>
      <c r="K486" s="9" t="s">
        <v>362</v>
      </c>
      <c r="O486" s="9">
        <v>1</v>
      </c>
      <c r="P486" s="9">
        <v>15</v>
      </c>
      <c r="U486" s="9">
        <v>3333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385</v>
      </c>
      <c r="AD486" s="9">
        <v>2</v>
      </c>
      <c r="AF486" s="9">
        <v>400</v>
      </c>
      <c r="AI486" s="56">
        <f t="shared" ca="1" si="138"/>
        <v>25</v>
      </c>
      <c r="AJ486" s="10">
        <f ca="1">AO486+AQ486+(IFERROR(OFFSET(ITEM_RES!$T$1,MATCH(AU486,ITEM_RES!$A:$A,0)-1,0),0)*AW486+IFERROR(OFFSET(ITEM_RES!$T$1,MATCH(AZ486,ITEM_RES!$A:$A,0)-1,0),0)*BB486+IFERROR(OFFSET(ITEM_RES!$T$1,MATCH(BE486,ITEM_RES!$A:$A,0)-1,0),0)*BG486+IFERROR(OFFSET(ITEM_RES!$T$1,MATCH(BJ486,ITEM_RES!$A:$A,0)-1,0),0)*BL486+IFERROR(OFFSET(ITEM_RES!$T$1,MATCH(BO486,ITEM_RES!$A:$A,0)-1,0),0)*BQ486)/1000</f>
        <v>25</v>
      </c>
      <c r="AK486" s="183">
        <f t="shared" ref="AK486:AK504" ca="1" si="140">AJ485+AJ486</f>
        <v>237.5</v>
      </c>
      <c r="AM486" s="11">
        <f t="shared" si="137"/>
        <v>10</v>
      </c>
      <c r="AN486" s="10">
        <v>10</v>
      </c>
      <c r="AO486" s="11">
        <f t="shared" si="134"/>
        <v>10</v>
      </c>
      <c r="AP486" s="10">
        <v>10</v>
      </c>
      <c r="AQ486" s="11">
        <f t="shared" si="13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444</v>
      </c>
      <c r="AW486" s="11">
        <v>50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31"/>
        <v>115020003</v>
      </c>
      <c r="B487" s="13">
        <v>11</v>
      </c>
      <c r="C487" s="12">
        <f t="shared" si="132"/>
        <v>5</v>
      </c>
      <c r="D487" s="13">
        <v>2</v>
      </c>
      <c r="E487" s="13">
        <v>0</v>
      </c>
      <c r="F487" s="12">
        <f t="shared" si="133"/>
        <v>3</v>
      </c>
      <c r="H487" s="9">
        <v>5</v>
      </c>
      <c r="I487" s="9">
        <v>3</v>
      </c>
      <c r="K487" s="9" t="s">
        <v>362</v>
      </c>
      <c r="O487" s="9">
        <v>1</v>
      </c>
      <c r="P487" s="9">
        <v>15</v>
      </c>
      <c r="U487" s="9">
        <v>3333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384</v>
      </c>
      <c r="AD487" s="9">
        <v>3</v>
      </c>
      <c r="AF487" s="9">
        <v>1200</v>
      </c>
      <c r="AI487" s="56">
        <f t="shared" ca="1" si="138"/>
        <v>38</v>
      </c>
      <c r="AJ487" s="10">
        <f ca="1">AO487+AQ487+(IFERROR(OFFSET(ITEM_RES!$T$1,MATCH(AU487,ITEM_RES!$A:$A,0)-1,0),0)*AW487+IFERROR(OFFSET(ITEM_RES!$T$1,MATCH(AZ487,ITEM_RES!$A:$A,0)-1,0),0)*BB487+IFERROR(OFFSET(ITEM_RES!$T$1,MATCH(BE487,ITEM_RES!$A:$A,0)-1,0),0)*BG487+IFERROR(OFFSET(ITEM_RES!$T$1,MATCH(BJ487,ITEM_RES!$A:$A,0)-1,0),0)*BL487+IFERROR(OFFSET(ITEM_RES!$T$1,MATCH(BO487,ITEM_RES!$A:$A,0)-1,0),0)*BQ487)/1000</f>
        <v>37.5</v>
      </c>
      <c r="AK487" s="183">
        <f t="shared" ca="1" si="140"/>
        <v>62.5</v>
      </c>
      <c r="AM487" s="11">
        <f t="shared" si="137"/>
        <v>15</v>
      </c>
      <c r="AN487" s="10">
        <v>15</v>
      </c>
      <c r="AO487" s="11">
        <f t="shared" si="134"/>
        <v>15</v>
      </c>
      <c r="AP487" s="10">
        <v>15</v>
      </c>
      <c r="AQ487" s="11">
        <f t="shared" si="13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444</v>
      </c>
      <c r="AW487" s="11">
        <v>75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31"/>
        <v>115020004</v>
      </c>
      <c r="B488" s="13">
        <v>11</v>
      </c>
      <c r="C488" s="12">
        <f t="shared" si="132"/>
        <v>5</v>
      </c>
      <c r="D488" s="13">
        <v>2</v>
      </c>
      <c r="E488" s="13">
        <v>0</v>
      </c>
      <c r="F488" s="12">
        <f t="shared" si="133"/>
        <v>4</v>
      </c>
      <c r="H488" s="9">
        <v>5</v>
      </c>
      <c r="I488" s="9">
        <v>4</v>
      </c>
      <c r="K488" s="9" t="s">
        <v>362</v>
      </c>
      <c r="O488" s="9">
        <v>1</v>
      </c>
      <c r="P488" s="9">
        <v>15</v>
      </c>
      <c r="U488" s="9">
        <v>3333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384</v>
      </c>
      <c r="AD488" s="9">
        <v>4</v>
      </c>
      <c r="AF488" s="9">
        <v>2000</v>
      </c>
      <c r="AI488" s="56">
        <f t="shared" ca="1" si="138"/>
        <v>63</v>
      </c>
      <c r="AJ488" s="10">
        <f ca="1">AO488+AQ488+(IFERROR(OFFSET(ITEM_RES!$T$1,MATCH(AU488,ITEM_RES!$A:$A,0)-1,0),0)*AW488+IFERROR(OFFSET(ITEM_RES!$T$1,MATCH(AZ488,ITEM_RES!$A:$A,0)-1,0),0)*BB488+IFERROR(OFFSET(ITEM_RES!$T$1,MATCH(BE488,ITEM_RES!$A:$A,0)-1,0),0)*BG488+IFERROR(OFFSET(ITEM_RES!$T$1,MATCH(BJ488,ITEM_RES!$A:$A,0)-1,0),0)*BL488+IFERROR(OFFSET(ITEM_RES!$T$1,MATCH(BO488,ITEM_RES!$A:$A,0)-1,0),0)*BQ488)/1000</f>
        <v>62.5</v>
      </c>
      <c r="AK488" s="183">
        <f t="shared" ca="1" si="140"/>
        <v>100</v>
      </c>
      <c r="AM488" s="11">
        <f t="shared" si="137"/>
        <v>20</v>
      </c>
      <c r="AN488" s="10">
        <v>20</v>
      </c>
      <c r="AO488" s="11">
        <f t="shared" si="134"/>
        <v>25</v>
      </c>
      <c r="AP488" s="10">
        <v>25</v>
      </c>
      <c r="AQ488" s="11">
        <f t="shared" si="13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444</v>
      </c>
      <c r="AW488" s="11">
        <v>125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31"/>
        <v>115020005</v>
      </c>
      <c r="B489" s="13">
        <v>11</v>
      </c>
      <c r="C489" s="12">
        <f t="shared" si="132"/>
        <v>5</v>
      </c>
      <c r="D489" s="13">
        <v>2</v>
      </c>
      <c r="E489" s="13">
        <v>0</v>
      </c>
      <c r="F489" s="12">
        <f t="shared" si="133"/>
        <v>5</v>
      </c>
      <c r="H489" s="9">
        <v>5</v>
      </c>
      <c r="I489" s="9">
        <v>5</v>
      </c>
      <c r="K489" s="9" t="s">
        <v>362</v>
      </c>
      <c r="O489" s="9">
        <v>1</v>
      </c>
      <c r="P489" s="9">
        <v>15</v>
      </c>
      <c r="U489" s="9">
        <v>3333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384</v>
      </c>
      <c r="AD489" s="9">
        <v>5</v>
      </c>
      <c r="AF489" s="9">
        <v>3200</v>
      </c>
      <c r="AI489" s="56">
        <f t="shared" ca="1" si="138"/>
        <v>100</v>
      </c>
      <c r="AJ489" s="10">
        <f ca="1">AO489+AQ489+(IFERROR(OFFSET(ITEM_RES!$T$1,MATCH(AU489,ITEM_RES!$A:$A,0)-1,0),0)*AW489+IFERROR(OFFSET(ITEM_RES!$T$1,MATCH(AZ489,ITEM_RES!$A:$A,0)-1,0),0)*BB489+IFERROR(OFFSET(ITEM_RES!$T$1,MATCH(BE489,ITEM_RES!$A:$A,0)-1,0),0)*BG489+IFERROR(OFFSET(ITEM_RES!$T$1,MATCH(BJ489,ITEM_RES!$A:$A,0)-1,0),0)*BL489+IFERROR(OFFSET(ITEM_RES!$T$1,MATCH(BO489,ITEM_RES!$A:$A,0)-1,0),0)*BQ489)/1000</f>
        <v>100</v>
      </c>
      <c r="AK489" s="183">
        <f t="shared" ca="1" si="140"/>
        <v>162.5</v>
      </c>
      <c r="AM489" s="11">
        <f t="shared" si="137"/>
        <v>25</v>
      </c>
      <c r="AN489" s="10">
        <v>25</v>
      </c>
      <c r="AO489" s="11">
        <f t="shared" si="134"/>
        <v>40</v>
      </c>
      <c r="AP489" s="10">
        <v>40</v>
      </c>
      <c r="AQ489" s="11">
        <f t="shared" si="13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444</v>
      </c>
      <c r="AW489" s="11">
        <v>200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31"/>
        <v>115020006</v>
      </c>
      <c r="B490" s="13">
        <v>11</v>
      </c>
      <c r="C490" s="12">
        <f t="shared" si="132"/>
        <v>5</v>
      </c>
      <c r="D490" s="13">
        <v>2</v>
      </c>
      <c r="E490" s="13">
        <v>0</v>
      </c>
      <c r="F490" s="12">
        <f t="shared" si="133"/>
        <v>6</v>
      </c>
      <c r="H490" s="9">
        <v>5</v>
      </c>
      <c r="I490" s="9">
        <v>6</v>
      </c>
      <c r="K490" s="9" t="s">
        <v>362</v>
      </c>
      <c r="O490" s="9">
        <v>1</v>
      </c>
      <c r="P490" s="9">
        <v>15</v>
      </c>
      <c r="U490" s="9">
        <v>3333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384</v>
      </c>
      <c r="AD490" s="9">
        <v>6</v>
      </c>
      <c r="AF490" s="9">
        <v>4000</v>
      </c>
      <c r="AI490" s="56">
        <f t="shared" ca="1" si="138"/>
        <v>125</v>
      </c>
      <c r="AJ490" s="10">
        <f ca="1">AO490+AQ490+(IFERROR(OFFSET(ITEM_RES!$T$1,MATCH(AU490,ITEM_RES!$A:$A,0)-1,0),0)*AW490+IFERROR(OFFSET(ITEM_RES!$T$1,MATCH(AZ490,ITEM_RES!$A:$A,0)-1,0),0)*BB490+IFERROR(OFFSET(ITEM_RES!$T$1,MATCH(BE490,ITEM_RES!$A:$A,0)-1,0),0)*BG490+IFERROR(OFFSET(ITEM_RES!$T$1,MATCH(BJ490,ITEM_RES!$A:$A,0)-1,0),0)*BL490+IFERROR(OFFSET(ITEM_RES!$T$1,MATCH(BO490,ITEM_RES!$A:$A,0)-1,0),0)*BQ490)/1000</f>
        <v>125</v>
      </c>
      <c r="AK490" s="183">
        <f t="shared" ca="1" si="140"/>
        <v>225</v>
      </c>
      <c r="AM490" s="11">
        <f t="shared" si="137"/>
        <v>30</v>
      </c>
      <c r="AN490" s="10">
        <v>30</v>
      </c>
      <c r="AO490" s="11">
        <f t="shared" si="134"/>
        <v>50</v>
      </c>
      <c r="AP490" s="10">
        <v>50</v>
      </c>
      <c r="AQ490" s="11">
        <f t="shared" si="13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444</v>
      </c>
      <c r="AW490" s="11">
        <v>250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31"/>
        <v>115020007</v>
      </c>
      <c r="B491" s="13">
        <v>11</v>
      </c>
      <c r="C491" s="12">
        <f t="shared" si="132"/>
        <v>5</v>
      </c>
      <c r="D491" s="13">
        <v>2</v>
      </c>
      <c r="E491" s="13">
        <v>0</v>
      </c>
      <c r="F491" s="12">
        <f t="shared" si="133"/>
        <v>7</v>
      </c>
      <c r="H491" s="9">
        <v>5</v>
      </c>
      <c r="I491" s="9">
        <v>7</v>
      </c>
      <c r="K491" s="9" t="s">
        <v>362</v>
      </c>
      <c r="O491" s="9">
        <v>1</v>
      </c>
      <c r="P491" s="9">
        <v>15</v>
      </c>
      <c r="U491" s="9">
        <v>3333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384</v>
      </c>
      <c r="AD491" s="9">
        <v>7</v>
      </c>
      <c r="AF491" s="9">
        <v>8000</v>
      </c>
      <c r="AI491" s="56">
        <f t="shared" ca="1" si="138"/>
        <v>250</v>
      </c>
      <c r="AJ491" s="10">
        <f ca="1">AO491+AQ491+(IFERROR(OFFSET(ITEM_RES!$T$1,MATCH(AU491,ITEM_RES!$A:$A,0)-1,0),0)*AW491+IFERROR(OFFSET(ITEM_RES!$T$1,MATCH(AZ491,ITEM_RES!$A:$A,0)-1,0),0)*BB491+IFERROR(OFFSET(ITEM_RES!$T$1,MATCH(BE491,ITEM_RES!$A:$A,0)-1,0),0)*BG491+IFERROR(OFFSET(ITEM_RES!$T$1,MATCH(BJ491,ITEM_RES!$A:$A,0)-1,0),0)*BL491+IFERROR(OFFSET(ITEM_RES!$T$1,MATCH(BO491,ITEM_RES!$A:$A,0)-1,0),0)*BQ491)/1000</f>
        <v>250</v>
      </c>
      <c r="AK491" s="183">
        <f t="shared" ca="1" si="140"/>
        <v>375</v>
      </c>
      <c r="AM491" s="11">
        <f t="shared" si="137"/>
        <v>35</v>
      </c>
      <c r="AN491" s="10">
        <v>35</v>
      </c>
      <c r="AO491" s="11">
        <f t="shared" si="134"/>
        <v>100</v>
      </c>
      <c r="AP491" s="10">
        <v>100</v>
      </c>
      <c r="AQ491" s="11">
        <f t="shared" si="13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444</v>
      </c>
      <c r="AW491" s="11">
        <v>500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31"/>
        <v>115020008</v>
      </c>
      <c r="B492" s="13">
        <v>11</v>
      </c>
      <c r="C492" s="12">
        <f t="shared" si="132"/>
        <v>5</v>
      </c>
      <c r="D492" s="13">
        <v>2</v>
      </c>
      <c r="E492" s="13">
        <v>0</v>
      </c>
      <c r="F492" s="12">
        <f t="shared" si="133"/>
        <v>8</v>
      </c>
      <c r="H492" s="9">
        <v>5</v>
      </c>
      <c r="I492" s="9">
        <v>8</v>
      </c>
      <c r="K492" s="9" t="s">
        <v>362</v>
      </c>
      <c r="O492" s="9">
        <v>1</v>
      </c>
      <c r="P492" s="9">
        <v>15</v>
      </c>
      <c r="U492" s="9">
        <v>3333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384</v>
      </c>
      <c r="AD492" s="9">
        <v>8</v>
      </c>
      <c r="AF492" s="9">
        <v>8000</v>
      </c>
      <c r="AI492" s="56">
        <f t="shared" ca="1" si="138"/>
        <v>250</v>
      </c>
      <c r="AJ492" s="10">
        <f ca="1">AO492+AQ492+(IFERROR(OFFSET(ITEM_RES!$T$1,MATCH(AU492,ITEM_RES!$A:$A,0)-1,0),0)*AW492+IFERROR(OFFSET(ITEM_RES!$T$1,MATCH(AZ492,ITEM_RES!$A:$A,0)-1,0),0)*BB492+IFERROR(OFFSET(ITEM_RES!$T$1,MATCH(BE492,ITEM_RES!$A:$A,0)-1,0),0)*BG492+IFERROR(OFFSET(ITEM_RES!$T$1,MATCH(BJ492,ITEM_RES!$A:$A,0)-1,0),0)*BL492+IFERROR(OFFSET(ITEM_RES!$T$1,MATCH(BO492,ITEM_RES!$A:$A,0)-1,0),0)*BQ492)/1000</f>
        <v>250</v>
      </c>
      <c r="AK492" s="183">
        <f t="shared" ca="1" si="140"/>
        <v>500</v>
      </c>
      <c r="AM492" s="11">
        <f t="shared" si="137"/>
        <v>40</v>
      </c>
      <c r="AN492" s="10">
        <v>40</v>
      </c>
      <c r="AO492" s="11">
        <f t="shared" si="134"/>
        <v>100</v>
      </c>
      <c r="AP492" s="10">
        <v>100</v>
      </c>
      <c r="AQ492" s="11">
        <f t="shared" si="13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444</v>
      </c>
      <c r="AW492" s="11">
        <v>500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ref="A493:A544" si="141">B493*10000000+C493*1000000+D493*10000+E493*100+F493</f>
        <v>115020009</v>
      </c>
      <c r="B493" s="13">
        <v>11</v>
      </c>
      <c r="C493" s="12">
        <f t="shared" ref="C493:C544" si="142">H493</f>
        <v>5</v>
      </c>
      <c r="D493" s="13">
        <v>2</v>
      </c>
      <c r="E493" s="13">
        <v>0</v>
      </c>
      <c r="F493" s="12">
        <f t="shared" ref="F493:F544" si="143">I493</f>
        <v>9</v>
      </c>
      <c r="H493" s="9">
        <v>5</v>
      </c>
      <c r="I493" s="9">
        <v>9</v>
      </c>
      <c r="K493" s="9" t="s">
        <v>362</v>
      </c>
      <c r="O493" s="9">
        <v>1</v>
      </c>
      <c r="P493" s="9">
        <v>15</v>
      </c>
      <c r="U493" s="9">
        <v>3333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384</v>
      </c>
      <c r="AD493" s="9">
        <v>9</v>
      </c>
      <c r="AF493" s="9">
        <v>12000</v>
      </c>
      <c r="AI493" s="56">
        <f t="shared" ca="1" si="138"/>
        <v>375</v>
      </c>
      <c r="AJ493" s="10">
        <f ca="1">AO493+AQ493+(IFERROR(OFFSET(ITEM_RES!$T$1,MATCH(AU493,ITEM_RES!$A:$A,0)-1,0),0)*AW493+IFERROR(OFFSET(ITEM_RES!$T$1,MATCH(AZ493,ITEM_RES!$A:$A,0)-1,0),0)*BB493+IFERROR(OFFSET(ITEM_RES!$T$1,MATCH(BE493,ITEM_RES!$A:$A,0)-1,0),0)*BG493+IFERROR(OFFSET(ITEM_RES!$T$1,MATCH(BJ493,ITEM_RES!$A:$A,0)-1,0),0)*BL493+IFERROR(OFFSET(ITEM_RES!$T$1,MATCH(BO493,ITEM_RES!$A:$A,0)-1,0),0)*BQ493)/1000</f>
        <v>375</v>
      </c>
      <c r="AK493" s="183">
        <f t="shared" ca="1" si="140"/>
        <v>625</v>
      </c>
      <c r="AM493" s="11">
        <f t="shared" si="137"/>
        <v>45</v>
      </c>
      <c r="AN493" s="10">
        <v>45</v>
      </c>
      <c r="AO493" s="11">
        <f t="shared" si="134"/>
        <v>150</v>
      </c>
      <c r="AP493" s="10">
        <v>150</v>
      </c>
      <c r="AQ493" s="11">
        <f t="shared" si="13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444</v>
      </c>
      <c r="AW493" s="11">
        <v>750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115020010</v>
      </c>
      <c r="B494" s="13">
        <v>11</v>
      </c>
      <c r="C494" s="12">
        <f t="shared" si="142"/>
        <v>5</v>
      </c>
      <c r="D494" s="13">
        <v>2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362</v>
      </c>
      <c r="O494" s="9">
        <v>1</v>
      </c>
      <c r="P494" s="9">
        <v>15</v>
      </c>
      <c r="U494" s="9">
        <v>3333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384</v>
      </c>
      <c r="AD494" s="9">
        <v>10</v>
      </c>
      <c r="AF494" s="9">
        <v>16000</v>
      </c>
      <c r="AI494" s="56">
        <f t="shared" ca="1" si="138"/>
        <v>1000</v>
      </c>
      <c r="AJ494" s="10">
        <f ca="1">AO494+AQ494+(IFERROR(OFFSET(ITEM_RES!$T$1,MATCH(AU494,ITEM_RES!$A:$A,0)-1,0),0)*AW494+IFERROR(OFFSET(ITEM_RES!$T$1,MATCH(AZ494,ITEM_RES!$A:$A,0)-1,0),0)*BB494+IFERROR(OFFSET(ITEM_RES!$T$1,MATCH(BE494,ITEM_RES!$A:$A,0)-1,0),0)*BG494+IFERROR(OFFSET(ITEM_RES!$T$1,MATCH(BJ494,ITEM_RES!$A:$A,0)-1,0),0)*BL494+IFERROR(OFFSET(ITEM_RES!$T$1,MATCH(BO494,ITEM_RES!$A:$A,0)-1,0),0)*BQ494)/1000</f>
        <v>1000</v>
      </c>
      <c r="AK494" s="183">
        <f t="shared" ca="1" si="140"/>
        <v>1375</v>
      </c>
      <c r="AM494" s="11">
        <f t="shared" si="137"/>
        <v>50</v>
      </c>
      <c r="AN494" s="10">
        <v>50</v>
      </c>
      <c r="AO494" s="11">
        <f t="shared" ref="AO494:AQ544" si="144">ROUND(AP494,0)</f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si="139"/>
        <v>2</v>
      </c>
      <c r="AU494" s="11">
        <f ca="1">IFERROR(OFFSET(ITEM_RES!$A$1,MATCH(AV494,ITEM_RES!$J:$J,0)-1,0),0)</f>
        <v>211020801</v>
      </c>
      <c r="AV494" s="10" t="s">
        <v>444</v>
      </c>
      <c r="AW494" s="11">
        <v>1000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213011601</v>
      </c>
      <c r="BK494" s="10" t="s">
        <v>493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115020011</v>
      </c>
      <c r="B495" s="13">
        <v>11</v>
      </c>
      <c r="C495" s="12">
        <f t="shared" si="142"/>
        <v>5</v>
      </c>
      <c r="D495" s="13">
        <v>2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362</v>
      </c>
      <c r="O495" s="9">
        <v>1</v>
      </c>
      <c r="P495" s="9">
        <v>15</v>
      </c>
      <c r="U495" s="9">
        <v>3333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384</v>
      </c>
      <c r="AD495" s="9">
        <v>11</v>
      </c>
      <c r="AF495" s="9">
        <v>20000</v>
      </c>
      <c r="AI495" s="56">
        <f t="shared" ca="1" si="138"/>
        <v>625</v>
      </c>
      <c r="AJ495" s="10">
        <f ca="1">AO495+AQ495+(IFERROR(OFFSET(ITEM_RES!$T$1,MATCH(AU495,ITEM_RES!$A:$A,0)-1,0),0)*AW495+IFERROR(OFFSET(ITEM_RES!$T$1,MATCH(AZ495,ITEM_RES!$A:$A,0)-1,0),0)*BB495+IFERROR(OFFSET(ITEM_RES!$T$1,MATCH(BE495,ITEM_RES!$A:$A,0)-1,0),0)*BG495+IFERROR(OFFSET(ITEM_RES!$T$1,MATCH(BJ495,ITEM_RES!$A:$A,0)-1,0),0)*BL495+IFERROR(OFFSET(ITEM_RES!$T$1,MATCH(BO495,ITEM_RES!$A:$A,0)-1,0),0)*BQ495)/1000</f>
        <v>625</v>
      </c>
      <c r="AK495" s="183">
        <f t="shared" ca="1" si="140"/>
        <v>1625</v>
      </c>
      <c r="AM495" s="11">
        <f t="shared" si="13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39"/>
        <v>1</v>
      </c>
      <c r="AU495" s="11">
        <f ca="1">IFERROR(OFFSET(ITEM_RES!$A$1,MATCH(AV495,ITEM_RES!$J:$J,0)-1,0),0)</f>
        <v>211020801</v>
      </c>
      <c r="AV495" s="10" t="s">
        <v>444</v>
      </c>
      <c r="AW495" s="11">
        <v>1250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115020012</v>
      </c>
      <c r="B496" s="13">
        <v>11</v>
      </c>
      <c r="C496" s="12">
        <f t="shared" si="142"/>
        <v>5</v>
      </c>
      <c r="D496" s="13">
        <v>2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362</v>
      </c>
      <c r="O496" s="9">
        <v>1</v>
      </c>
      <c r="P496" s="9">
        <v>15</v>
      </c>
      <c r="U496" s="9">
        <v>3333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384</v>
      </c>
      <c r="AD496" s="9">
        <v>12</v>
      </c>
      <c r="AF496" s="9">
        <v>24000</v>
      </c>
      <c r="AI496" s="56">
        <f t="shared" ca="1" si="138"/>
        <v>750</v>
      </c>
      <c r="AJ496" s="10">
        <f ca="1">AO496+AQ496+(IFERROR(OFFSET(ITEM_RES!$T$1,MATCH(AU496,ITEM_RES!$A:$A,0)-1,0),0)*AW496+IFERROR(OFFSET(ITEM_RES!$T$1,MATCH(AZ496,ITEM_RES!$A:$A,0)-1,0),0)*BB496+IFERROR(OFFSET(ITEM_RES!$T$1,MATCH(BE496,ITEM_RES!$A:$A,0)-1,0),0)*BG496+IFERROR(OFFSET(ITEM_RES!$T$1,MATCH(BJ496,ITEM_RES!$A:$A,0)-1,0),0)*BL496+IFERROR(OFFSET(ITEM_RES!$T$1,MATCH(BO496,ITEM_RES!$A:$A,0)-1,0),0)*BQ496)/1000</f>
        <v>750</v>
      </c>
      <c r="AK496" s="183">
        <f t="shared" ca="1" si="140"/>
        <v>1375</v>
      </c>
      <c r="AM496" s="11">
        <f t="shared" si="13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39"/>
        <v>1</v>
      </c>
      <c r="AU496" s="11">
        <f ca="1">IFERROR(OFFSET(ITEM_RES!$A$1,MATCH(AV496,ITEM_RES!$J:$J,0)-1,0),0)</f>
        <v>211020801</v>
      </c>
      <c r="AV496" s="10" t="s">
        <v>444</v>
      </c>
      <c r="AW496" s="11">
        <v>1500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115020013</v>
      </c>
      <c r="B497" s="13">
        <v>11</v>
      </c>
      <c r="C497" s="12">
        <f t="shared" si="142"/>
        <v>5</v>
      </c>
      <c r="D497" s="13">
        <v>2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362</v>
      </c>
      <c r="O497" s="9">
        <v>1</v>
      </c>
      <c r="P497" s="9">
        <v>15</v>
      </c>
      <c r="U497" s="9">
        <v>3333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384</v>
      </c>
      <c r="AD497" s="9">
        <v>13</v>
      </c>
      <c r="AF497" s="9">
        <v>28000</v>
      </c>
      <c r="AI497" s="56">
        <f t="shared" ca="1" si="138"/>
        <v>875</v>
      </c>
      <c r="AJ497" s="10">
        <f ca="1">AO497+AQ497+(IFERROR(OFFSET(ITEM_RES!$T$1,MATCH(AU497,ITEM_RES!$A:$A,0)-1,0),0)*AW497+IFERROR(OFFSET(ITEM_RES!$T$1,MATCH(AZ497,ITEM_RES!$A:$A,0)-1,0),0)*BB497+IFERROR(OFFSET(ITEM_RES!$T$1,MATCH(BE497,ITEM_RES!$A:$A,0)-1,0),0)*BG497+IFERROR(OFFSET(ITEM_RES!$T$1,MATCH(BJ497,ITEM_RES!$A:$A,0)-1,0),0)*BL497+IFERROR(OFFSET(ITEM_RES!$T$1,MATCH(BO497,ITEM_RES!$A:$A,0)-1,0),0)*BQ497)/1000</f>
        <v>875</v>
      </c>
      <c r="AK497" s="183">
        <f t="shared" ca="1" si="140"/>
        <v>1625</v>
      </c>
      <c r="AM497" s="11">
        <f t="shared" si="13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39"/>
        <v>1</v>
      </c>
      <c r="AU497" s="11">
        <f ca="1">IFERROR(OFFSET(ITEM_RES!$A$1,MATCH(AV497,ITEM_RES!$J:$J,0)-1,0),0)</f>
        <v>211020801</v>
      </c>
      <c r="AV497" s="10" t="s">
        <v>444</v>
      </c>
      <c r="AW497" s="11">
        <v>1750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115020014</v>
      </c>
      <c r="B498" s="13">
        <v>11</v>
      </c>
      <c r="C498" s="12">
        <f t="shared" si="142"/>
        <v>5</v>
      </c>
      <c r="D498" s="13">
        <v>2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362</v>
      </c>
      <c r="O498" s="9">
        <v>1</v>
      </c>
      <c r="P498" s="9">
        <v>15</v>
      </c>
      <c r="U498" s="9">
        <v>3333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384</v>
      </c>
      <c r="AD498" s="9">
        <v>14</v>
      </c>
      <c r="AF498" s="9">
        <v>36000</v>
      </c>
      <c r="AI498" s="56">
        <f t="shared" ca="1" si="138"/>
        <v>1125</v>
      </c>
      <c r="AJ498" s="10">
        <f ca="1">AO498+AQ498+(IFERROR(OFFSET(ITEM_RES!$T$1,MATCH(AU498,ITEM_RES!$A:$A,0)-1,0),0)*AW498+IFERROR(OFFSET(ITEM_RES!$T$1,MATCH(AZ498,ITEM_RES!$A:$A,0)-1,0),0)*BB498+IFERROR(OFFSET(ITEM_RES!$T$1,MATCH(BE498,ITEM_RES!$A:$A,0)-1,0),0)*BG498+IFERROR(OFFSET(ITEM_RES!$T$1,MATCH(BJ498,ITEM_RES!$A:$A,0)-1,0),0)*BL498+IFERROR(OFFSET(ITEM_RES!$T$1,MATCH(BO498,ITEM_RES!$A:$A,0)-1,0),0)*BQ498)/1000</f>
        <v>1125</v>
      </c>
      <c r="AK498" s="183">
        <f t="shared" ca="1" si="140"/>
        <v>2000</v>
      </c>
      <c r="AM498" s="11">
        <f t="shared" si="13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39"/>
        <v>1</v>
      </c>
      <c r="AU498" s="11">
        <f ca="1">IFERROR(OFFSET(ITEM_RES!$A$1,MATCH(AV498,ITEM_RES!$J:$J,0)-1,0),0)</f>
        <v>211020801</v>
      </c>
      <c r="AV498" s="10" t="s">
        <v>444</v>
      </c>
      <c r="AW498" s="11">
        <v>2250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115020015</v>
      </c>
      <c r="B499" s="13">
        <v>11</v>
      </c>
      <c r="C499" s="12">
        <f t="shared" si="142"/>
        <v>5</v>
      </c>
      <c r="D499" s="13">
        <v>2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362</v>
      </c>
      <c r="O499" s="9">
        <v>1</v>
      </c>
      <c r="P499" s="9">
        <v>15</v>
      </c>
      <c r="U499" s="9">
        <v>3333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384</v>
      </c>
      <c r="AD499" s="9">
        <v>15</v>
      </c>
      <c r="AF499" s="9">
        <v>44000</v>
      </c>
      <c r="AI499" s="56">
        <f t="shared" ca="1" si="138"/>
        <v>1650</v>
      </c>
      <c r="AJ499" s="10">
        <f ca="1">AO499+AQ499+(IFERROR(OFFSET(ITEM_RES!$T$1,MATCH(AU499,ITEM_RES!$A:$A,0)-1,0),0)*AW499+IFERROR(OFFSET(ITEM_RES!$T$1,MATCH(AZ499,ITEM_RES!$A:$A,0)-1,0),0)*BB499+IFERROR(OFFSET(ITEM_RES!$T$1,MATCH(BE499,ITEM_RES!$A:$A,0)-1,0),0)*BG499+IFERROR(OFFSET(ITEM_RES!$T$1,MATCH(BJ499,ITEM_RES!$A:$A,0)-1,0),0)*BL499+IFERROR(OFFSET(ITEM_RES!$T$1,MATCH(BO499,ITEM_RES!$A:$A,0)-1,0),0)*BQ499)/1000</f>
        <v>1650</v>
      </c>
      <c r="AK499" s="183">
        <f t="shared" ca="1" si="140"/>
        <v>2775</v>
      </c>
      <c r="AM499" s="11">
        <f t="shared" si="13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39"/>
        <v>1</v>
      </c>
      <c r="AU499" s="11">
        <f ca="1">IFERROR(OFFSET(ITEM_RES!$A$1,MATCH(AV499,ITEM_RES!$J:$J,0)-1,0),0)</f>
        <v>211020901</v>
      </c>
      <c r="AV499" s="10" t="s">
        <v>453</v>
      </c>
      <c r="AW499" s="11">
        <v>2750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115020016</v>
      </c>
      <c r="B500" s="13">
        <v>11</v>
      </c>
      <c r="C500" s="12">
        <f t="shared" si="142"/>
        <v>5</v>
      </c>
      <c r="D500" s="13">
        <v>2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362</v>
      </c>
      <c r="O500" s="9">
        <v>0</v>
      </c>
      <c r="P500" s="9">
        <v>15</v>
      </c>
      <c r="U500" s="9">
        <v>3333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384</v>
      </c>
      <c r="AD500" s="9">
        <v>16</v>
      </c>
      <c r="AF500" s="9">
        <v>56000</v>
      </c>
      <c r="AI500" s="56">
        <f t="shared" ca="1" si="138"/>
        <v>2100</v>
      </c>
      <c r="AJ500" s="10">
        <f ca="1">AO500+AQ500+(IFERROR(OFFSET(ITEM_RES!$T$1,MATCH(AU500,ITEM_RES!$A:$A,0)-1,0),0)*AW500+IFERROR(OFFSET(ITEM_RES!$T$1,MATCH(AZ500,ITEM_RES!$A:$A,0)-1,0),0)*BB500+IFERROR(OFFSET(ITEM_RES!$T$1,MATCH(BE500,ITEM_RES!$A:$A,0)-1,0),0)*BG500+IFERROR(OFFSET(ITEM_RES!$T$1,MATCH(BJ500,ITEM_RES!$A:$A,0)-1,0),0)*BL500+IFERROR(OFFSET(ITEM_RES!$T$1,MATCH(BO500,ITEM_RES!$A:$A,0)-1,0),0)*BQ500)/1000</f>
        <v>2100</v>
      </c>
      <c r="AK500" s="183">
        <f t="shared" ca="1" si="140"/>
        <v>3750</v>
      </c>
      <c r="AM500" s="11">
        <f t="shared" si="13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39"/>
        <v>1</v>
      </c>
      <c r="AU500" s="11">
        <f ca="1">IFERROR(OFFSET(ITEM_RES!$A$1,MATCH(AV500,ITEM_RES!$J:$J,0)-1,0),0)</f>
        <v>211020901</v>
      </c>
      <c r="AV500" s="10" t="s">
        <v>453</v>
      </c>
      <c r="AW500" s="11">
        <v>3500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115020017</v>
      </c>
      <c r="B501" s="13">
        <v>11</v>
      </c>
      <c r="C501" s="12">
        <f t="shared" si="142"/>
        <v>5</v>
      </c>
      <c r="D501" s="13">
        <v>2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362</v>
      </c>
      <c r="O501" s="9">
        <v>0</v>
      </c>
      <c r="P501" s="9">
        <v>15</v>
      </c>
      <c r="U501" s="9">
        <v>3333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384</v>
      </c>
      <c r="AD501" s="9">
        <v>17</v>
      </c>
      <c r="AF501" s="9">
        <v>68000</v>
      </c>
      <c r="AI501" s="56">
        <f t="shared" ca="1" si="138"/>
        <v>2550</v>
      </c>
      <c r="AJ501" s="10">
        <f ca="1">AO501+AQ501+(IFERROR(OFFSET(ITEM_RES!$T$1,MATCH(AU501,ITEM_RES!$A:$A,0)-1,0),0)*AW501+IFERROR(OFFSET(ITEM_RES!$T$1,MATCH(AZ501,ITEM_RES!$A:$A,0)-1,0),0)*BB501+IFERROR(OFFSET(ITEM_RES!$T$1,MATCH(BE501,ITEM_RES!$A:$A,0)-1,0),0)*BG501+IFERROR(OFFSET(ITEM_RES!$T$1,MATCH(BJ501,ITEM_RES!$A:$A,0)-1,0),0)*BL501+IFERROR(OFFSET(ITEM_RES!$T$1,MATCH(BO501,ITEM_RES!$A:$A,0)-1,0),0)*BQ501)/1000</f>
        <v>2550</v>
      </c>
      <c r="AK501" s="183">
        <f t="shared" ca="1" si="140"/>
        <v>4650</v>
      </c>
      <c r="AM501" s="11">
        <f t="shared" si="13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39"/>
        <v>1</v>
      </c>
      <c r="AU501" s="11">
        <f ca="1">IFERROR(OFFSET(ITEM_RES!$A$1,MATCH(AV501,ITEM_RES!$J:$J,0)-1,0),0)</f>
        <v>211020901</v>
      </c>
      <c r="AV501" s="10" t="s">
        <v>453</v>
      </c>
      <c r="AW501" s="11">
        <v>4250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115020018</v>
      </c>
      <c r="B502" s="13">
        <v>11</v>
      </c>
      <c r="C502" s="12">
        <f t="shared" si="142"/>
        <v>5</v>
      </c>
      <c r="D502" s="13">
        <v>2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362</v>
      </c>
      <c r="O502" s="9">
        <v>0</v>
      </c>
      <c r="P502" s="9">
        <v>15</v>
      </c>
      <c r="U502" s="9">
        <v>3333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384</v>
      </c>
      <c r="AD502" s="9">
        <v>18</v>
      </c>
      <c r="AF502" s="9">
        <v>84000</v>
      </c>
      <c r="AI502" s="56">
        <f t="shared" ca="1" si="138"/>
        <v>3150</v>
      </c>
      <c r="AJ502" s="10">
        <f ca="1">AO502+AQ502+(IFERROR(OFFSET(ITEM_RES!$T$1,MATCH(AU502,ITEM_RES!$A:$A,0)-1,0),0)*AW502+IFERROR(OFFSET(ITEM_RES!$T$1,MATCH(AZ502,ITEM_RES!$A:$A,0)-1,0),0)*BB502+IFERROR(OFFSET(ITEM_RES!$T$1,MATCH(BE502,ITEM_RES!$A:$A,0)-1,0),0)*BG502+IFERROR(OFFSET(ITEM_RES!$T$1,MATCH(BJ502,ITEM_RES!$A:$A,0)-1,0),0)*BL502+IFERROR(OFFSET(ITEM_RES!$T$1,MATCH(BO502,ITEM_RES!$A:$A,0)-1,0),0)*BQ502)/1000</f>
        <v>3150</v>
      </c>
      <c r="AK502" s="183">
        <f t="shared" ca="1" si="140"/>
        <v>5700</v>
      </c>
      <c r="AM502" s="11">
        <f t="shared" si="13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39"/>
        <v>1</v>
      </c>
      <c r="AU502" s="11">
        <f ca="1">IFERROR(OFFSET(ITEM_RES!$A$1,MATCH(AV502,ITEM_RES!$J:$J,0)-1,0),0)</f>
        <v>211020901</v>
      </c>
      <c r="AV502" s="10" t="s">
        <v>453</v>
      </c>
      <c r="AW502" s="11">
        <v>5250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115020019</v>
      </c>
      <c r="B503" s="13">
        <v>11</v>
      </c>
      <c r="C503" s="12">
        <f t="shared" si="142"/>
        <v>5</v>
      </c>
      <c r="D503" s="13">
        <v>2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362</v>
      </c>
      <c r="O503" s="9">
        <v>0</v>
      </c>
      <c r="P503" s="9">
        <v>15</v>
      </c>
      <c r="U503" s="9">
        <v>3333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384</v>
      </c>
      <c r="AD503" s="9">
        <v>19</v>
      </c>
      <c r="AF503" s="9">
        <v>100000</v>
      </c>
      <c r="AI503" s="56">
        <f t="shared" ca="1" si="138"/>
        <v>3750</v>
      </c>
      <c r="AJ503" s="10">
        <f ca="1">AO503+AQ503+(IFERROR(OFFSET(ITEM_RES!$T$1,MATCH(AU503,ITEM_RES!$A:$A,0)-1,0),0)*AW503+IFERROR(OFFSET(ITEM_RES!$T$1,MATCH(AZ503,ITEM_RES!$A:$A,0)-1,0),0)*BB503+IFERROR(OFFSET(ITEM_RES!$T$1,MATCH(BE503,ITEM_RES!$A:$A,0)-1,0),0)*BG503+IFERROR(OFFSET(ITEM_RES!$T$1,MATCH(BJ503,ITEM_RES!$A:$A,0)-1,0),0)*BL503+IFERROR(OFFSET(ITEM_RES!$T$1,MATCH(BO503,ITEM_RES!$A:$A,0)-1,0),0)*BQ503)/1000</f>
        <v>3750</v>
      </c>
      <c r="AK503" s="183">
        <f t="shared" ca="1" si="140"/>
        <v>6900</v>
      </c>
      <c r="AM503" s="11">
        <f t="shared" si="13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39"/>
        <v>1</v>
      </c>
      <c r="AU503" s="11">
        <f ca="1">IFERROR(OFFSET(ITEM_RES!$A$1,MATCH(AV503,ITEM_RES!$J:$J,0)-1,0),0)</f>
        <v>211020901</v>
      </c>
      <c r="AV503" s="10" t="s">
        <v>453</v>
      </c>
      <c r="AW503" s="11">
        <v>6250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115020020</v>
      </c>
      <c r="B504" s="13">
        <v>11</v>
      </c>
      <c r="C504" s="12">
        <f t="shared" si="142"/>
        <v>5</v>
      </c>
      <c r="D504" s="13">
        <v>2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362</v>
      </c>
      <c r="O504" s="9">
        <v>0</v>
      </c>
      <c r="P504" s="9">
        <v>15</v>
      </c>
      <c r="U504" s="9">
        <v>3333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384</v>
      </c>
      <c r="AD504" s="9">
        <v>20</v>
      </c>
      <c r="AF504" s="9">
        <v>120000</v>
      </c>
      <c r="AI504" s="56">
        <f t="shared" ca="1" si="138"/>
        <v>4500</v>
      </c>
      <c r="AJ504" s="10">
        <f ca="1">AO504+AQ504+(IFERROR(OFFSET(ITEM_RES!$T$1,MATCH(AU504,ITEM_RES!$A:$A,0)-1,0),0)*AW504+IFERROR(OFFSET(ITEM_RES!$T$1,MATCH(AZ504,ITEM_RES!$A:$A,0)-1,0),0)*BB504+IFERROR(OFFSET(ITEM_RES!$T$1,MATCH(BE504,ITEM_RES!$A:$A,0)-1,0),0)*BG504+IFERROR(OFFSET(ITEM_RES!$T$1,MATCH(BJ504,ITEM_RES!$A:$A,0)-1,0),0)*BL504+IFERROR(OFFSET(ITEM_RES!$T$1,MATCH(BO504,ITEM_RES!$A:$A,0)-1,0),0)*BQ504)/1000</f>
        <v>4500</v>
      </c>
      <c r="AK504" s="183">
        <f t="shared" ca="1" si="140"/>
        <v>8250</v>
      </c>
      <c r="AM504" s="11">
        <f t="shared" si="13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39"/>
        <v>1</v>
      </c>
      <c r="AU504" s="11">
        <f ca="1">IFERROR(OFFSET(ITEM_RES!$A$1,MATCH(AV504,ITEM_RES!$J:$J,0)-1,0),0)</f>
        <v>211020901</v>
      </c>
      <c r="AV504" s="10" t="s">
        <v>453</v>
      </c>
      <c r="AW504" s="11">
        <v>7500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115030001</v>
      </c>
      <c r="B505" s="20">
        <v>11</v>
      </c>
      <c r="C505" s="19">
        <f t="shared" si="142"/>
        <v>5</v>
      </c>
      <c r="D505" s="20">
        <v>3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>
        <v>10</v>
      </c>
      <c r="M505" s="16"/>
      <c r="N505" s="16"/>
      <c r="O505" s="16">
        <v>1</v>
      </c>
      <c r="P505" s="16">
        <v>15</v>
      </c>
      <c r="Q505" s="16"/>
      <c r="R505" s="17"/>
      <c r="S505" s="17"/>
      <c r="T505" s="18"/>
      <c r="U505" s="16">
        <v>4444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387</v>
      </c>
      <c r="AD505" s="16">
        <v>1</v>
      </c>
      <c r="AE505" s="79"/>
      <c r="AF505" s="16">
        <v>0</v>
      </c>
      <c r="AG505" s="17"/>
      <c r="AH505" s="79"/>
      <c r="AI505" s="57">
        <f t="shared" ca="1" si="138"/>
        <v>213</v>
      </c>
      <c r="AJ505" s="17">
        <f ca="1">AO505+AQ505+(IFERROR(OFFSET(ITEM_RES!$T$1,MATCH(AU505,ITEM_RES!$A:$A,0)-1,0),0)*AW505+IFERROR(OFFSET(ITEM_RES!$T$1,MATCH(AZ505,ITEM_RES!$A:$A,0)-1,0),0)*BB505+IFERROR(OFFSET(ITEM_RES!$T$1,MATCH(BE505,ITEM_RES!$A:$A,0)-1,0),0)*BG505+IFERROR(OFFSET(ITEM_RES!$T$1,MATCH(BJ505,ITEM_RES!$A:$A,0)-1,0),0)*BL505+IFERROR(OFFSET(ITEM_RES!$T$1,MATCH(BO505,ITEM_RES!$A:$A,0)-1,0),0)*BQ505)/1000</f>
        <v>212.5</v>
      </c>
      <c r="AK505" s="185">
        <f ca="1">AJ505</f>
        <v>212.5</v>
      </c>
      <c r="AL505" s="79"/>
      <c r="AM505" s="18">
        <f t="shared" si="13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39"/>
        <v>3</v>
      </c>
      <c r="AT505" s="18"/>
      <c r="AU505" s="18">
        <f ca="1">IFERROR(OFFSET(ITEM_RES!$A$1,MATCH(AV505,ITEM_RES!$J:$J,0)-1,0),0)</f>
        <v>211020801</v>
      </c>
      <c r="AV505" s="17" t="s">
        <v>441</v>
      </c>
      <c r="AW505" s="18">
        <v>25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463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485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115030002</v>
      </c>
      <c r="B506" s="13">
        <v>11</v>
      </c>
      <c r="C506" s="12">
        <f t="shared" si="142"/>
        <v>5</v>
      </c>
      <c r="D506" s="13">
        <v>3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363</v>
      </c>
      <c r="O506" s="9">
        <v>1</v>
      </c>
      <c r="P506" s="9">
        <v>15</v>
      </c>
      <c r="U506" s="9">
        <v>4444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386</v>
      </c>
      <c r="AD506" s="9">
        <v>2</v>
      </c>
      <c r="AF506" s="9">
        <v>200</v>
      </c>
      <c r="AI506" s="56">
        <f t="shared" ca="1" si="138"/>
        <v>25</v>
      </c>
      <c r="AJ506" s="10">
        <f ca="1">AO506+AQ506+(IFERROR(OFFSET(ITEM_RES!$T$1,MATCH(AU506,ITEM_RES!$A:$A,0)-1,0),0)*AW506+IFERROR(OFFSET(ITEM_RES!$T$1,MATCH(AZ506,ITEM_RES!$A:$A,0)-1,0),0)*BB506+IFERROR(OFFSET(ITEM_RES!$T$1,MATCH(BE506,ITEM_RES!$A:$A,0)-1,0),0)*BG506+IFERROR(OFFSET(ITEM_RES!$T$1,MATCH(BJ506,ITEM_RES!$A:$A,0)-1,0),0)*BL506+IFERROR(OFFSET(ITEM_RES!$T$1,MATCH(BO506,ITEM_RES!$A:$A,0)-1,0),0)*BQ506)/1000</f>
        <v>25</v>
      </c>
      <c r="AK506" s="183">
        <f t="shared" ref="AK506:AK524" ca="1" si="145">AJ505+AJ506</f>
        <v>237.5</v>
      </c>
      <c r="AM506" s="11">
        <f t="shared" si="13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39"/>
        <v>1</v>
      </c>
      <c r="AU506" s="11">
        <f ca="1">IFERROR(OFFSET(ITEM_RES!$A$1,MATCH(AV506,ITEM_RES!$J:$J,0)-1,0),0)</f>
        <v>211020801</v>
      </c>
      <c r="AV506" s="10" t="s">
        <v>441</v>
      </c>
      <c r="AW506" s="11">
        <v>50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115030003</v>
      </c>
      <c r="B507" s="13">
        <v>11</v>
      </c>
      <c r="C507" s="12">
        <f t="shared" si="142"/>
        <v>5</v>
      </c>
      <c r="D507" s="13">
        <v>3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363</v>
      </c>
      <c r="O507" s="9">
        <v>1</v>
      </c>
      <c r="P507" s="9">
        <v>15</v>
      </c>
      <c r="U507" s="9">
        <v>4444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386</v>
      </c>
      <c r="AD507" s="9">
        <v>3</v>
      </c>
      <c r="AF507" s="9">
        <v>600</v>
      </c>
      <c r="AI507" s="56">
        <f t="shared" ca="1" si="138"/>
        <v>38</v>
      </c>
      <c r="AJ507" s="10">
        <f ca="1">AO507+AQ507+(IFERROR(OFFSET(ITEM_RES!$T$1,MATCH(AU507,ITEM_RES!$A:$A,0)-1,0),0)*AW507+IFERROR(OFFSET(ITEM_RES!$T$1,MATCH(AZ507,ITEM_RES!$A:$A,0)-1,0),0)*BB507+IFERROR(OFFSET(ITEM_RES!$T$1,MATCH(BE507,ITEM_RES!$A:$A,0)-1,0),0)*BG507+IFERROR(OFFSET(ITEM_RES!$T$1,MATCH(BJ507,ITEM_RES!$A:$A,0)-1,0),0)*BL507+IFERROR(OFFSET(ITEM_RES!$T$1,MATCH(BO507,ITEM_RES!$A:$A,0)-1,0),0)*BQ507)/1000</f>
        <v>37.5</v>
      </c>
      <c r="AK507" s="183">
        <f t="shared" ca="1" si="145"/>
        <v>62.5</v>
      </c>
      <c r="AM507" s="11">
        <f t="shared" si="13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39"/>
        <v>1</v>
      </c>
      <c r="AU507" s="11">
        <f ca="1">IFERROR(OFFSET(ITEM_RES!$A$1,MATCH(AV507,ITEM_RES!$J:$J,0)-1,0),0)</f>
        <v>211020801</v>
      </c>
      <c r="AV507" s="10" t="s">
        <v>441</v>
      </c>
      <c r="AW507" s="11">
        <v>75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115030004</v>
      </c>
      <c r="B508" s="13">
        <v>11</v>
      </c>
      <c r="C508" s="12">
        <f t="shared" si="142"/>
        <v>5</v>
      </c>
      <c r="D508" s="13">
        <v>3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363</v>
      </c>
      <c r="O508" s="9">
        <v>1</v>
      </c>
      <c r="P508" s="9">
        <v>15</v>
      </c>
      <c r="U508" s="9">
        <v>4444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386</v>
      </c>
      <c r="AD508" s="9">
        <v>4</v>
      </c>
      <c r="AF508" s="9">
        <v>1000</v>
      </c>
      <c r="AI508" s="56">
        <f t="shared" ca="1" si="138"/>
        <v>63</v>
      </c>
      <c r="AJ508" s="10">
        <f ca="1">AO508+AQ508+(IFERROR(OFFSET(ITEM_RES!$T$1,MATCH(AU508,ITEM_RES!$A:$A,0)-1,0),0)*AW508+IFERROR(OFFSET(ITEM_RES!$T$1,MATCH(AZ508,ITEM_RES!$A:$A,0)-1,0),0)*BB508+IFERROR(OFFSET(ITEM_RES!$T$1,MATCH(BE508,ITEM_RES!$A:$A,0)-1,0),0)*BG508+IFERROR(OFFSET(ITEM_RES!$T$1,MATCH(BJ508,ITEM_RES!$A:$A,0)-1,0),0)*BL508+IFERROR(OFFSET(ITEM_RES!$T$1,MATCH(BO508,ITEM_RES!$A:$A,0)-1,0),0)*BQ508)/1000</f>
        <v>62.5</v>
      </c>
      <c r="AK508" s="183">
        <f t="shared" ca="1" si="145"/>
        <v>100</v>
      </c>
      <c r="AM508" s="11">
        <f t="shared" si="13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39"/>
        <v>1</v>
      </c>
      <c r="AU508" s="11">
        <f ca="1">IFERROR(OFFSET(ITEM_RES!$A$1,MATCH(AV508,ITEM_RES!$J:$J,0)-1,0),0)</f>
        <v>211020801</v>
      </c>
      <c r="AV508" s="10" t="s">
        <v>441</v>
      </c>
      <c r="AW508" s="11">
        <v>125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115030005</v>
      </c>
      <c r="B509" s="13">
        <v>11</v>
      </c>
      <c r="C509" s="12">
        <f t="shared" si="142"/>
        <v>5</v>
      </c>
      <c r="D509" s="13">
        <v>3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363</v>
      </c>
      <c r="O509" s="9">
        <v>1</v>
      </c>
      <c r="P509" s="9">
        <v>15</v>
      </c>
      <c r="U509" s="9">
        <v>4444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386</v>
      </c>
      <c r="AD509" s="9">
        <v>5</v>
      </c>
      <c r="AF509" s="9">
        <v>1600</v>
      </c>
      <c r="AI509" s="56">
        <f t="shared" ca="1" si="138"/>
        <v>100</v>
      </c>
      <c r="AJ509" s="10">
        <f ca="1">AO509+AQ509+(IFERROR(OFFSET(ITEM_RES!$T$1,MATCH(AU509,ITEM_RES!$A:$A,0)-1,0),0)*AW509+IFERROR(OFFSET(ITEM_RES!$T$1,MATCH(AZ509,ITEM_RES!$A:$A,0)-1,0),0)*BB509+IFERROR(OFFSET(ITEM_RES!$T$1,MATCH(BE509,ITEM_RES!$A:$A,0)-1,0),0)*BG509+IFERROR(OFFSET(ITEM_RES!$T$1,MATCH(BJ509,ITEM_RES!$A:$A,0)-1,0),0)*BL509+IFERROR(OFFSET(ITEM_RES!$T$1,MATCH(BO509,ITEM_RES!$A:$A,0)-1,0),0)*BQ509)/1000</f>
        <v>100</v>
      </c>
      <c r="AK509" s="183">
        <f t="shared" ca="1" si="145"/>
        <v>162.5</v>
      </c>
      <c r="AM509" s="11">
        <f t="shared" si="13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39"/>
        <v>1</v>
      </c>
      <c r="AU509" s="11">
        <f ca="1">IFERROR(OFFSET(ITEM_RES!$A$1,MATCH(AV509,ITEM_RES!$J:$J,0)-1,0),0)</f>
        <v>211020801</v>
      </c>
      <c r="AV509" s="10" t="s">
        <v>441</v>
      </c>
      <c r="AW509" s="11">
        <v>200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115030006</v>
      </c>
      <c r="B510" s="13">
        <v>11</v>
      </c>
      <c r="C510" s="12">
        <f t="shared" si="142"/>
        <v>5</v>
      </c>
      <c r="D510" s="13">
        <v>3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363</v>
      </c>
      <c r="O510" s="9">
        <v>1</v>
      </c>
      <c r="P510" s="9">
        <v>15</v>
      </c>
      <c r="U510" s="9">
        <v>4444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386</v>
      </c>
      <c r="AD510" s="9">
        <v>6</v>
      </c>
      <c r="AF510" s="9">
        <v>2000</v>
      </c>
      <c r="AI510" s="56">
        <f t="shared" ca="1" si="138"/>
        <v>125</v>
      </c>
      <c r="AJ510" s="10">
        <f ca="1">AO510+AQ510+(IFERROR(OFFSET(ITEM_RES!$T$1,MATCH(AU510,ITEM_RES!$A:$A,0)-1,0),0)*AW510+IFERROR(OFFSET(ITEM_RES!$T$1,MATCH(AZ510,ITEM_RES!$A:$A,0)-1,0),0)*BB510+IFERROR(OFFSET(ITEM_RES!$T$1,MATCH(BE510,ITEM_RES!$A:$A,0)-1,0),0)*BG510+IFERROR(OFFSET(ITEM_RES!$T$1,MATCH(BJ510,ITEM_RES!$A:$A,0)-1,0),0)*BL510+IFERROR(OFFSET(ITEM_RES!$T$1,MATCH(BO510,ITEM_RES!$A:$A,0)-1,0),0)*BQ510)/1000</f>
        <v>125</v>
      </c>
      <c r="AK510" s="183">
        <f t="shared" ca="1" si="145"/>
        <v>225</v>
      </c>
      <c r="AM510" s="11">
        <f t="shared" si="13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39"/>
        <v>1</v>
      </c>
      <c r="AU510" s="11">
        <f ca="1">IFERROR(OFFSET(ITEM_RES!$A$1,MATCH(AV510,ITEM_RES!$J:$J,0)-1,0),0)</f>
        <v>211020801</v>
      </c>
      <c r="AV510" s="10" t="s">
        <v>441</v>
      </c>
      <c r="AW510" s="11">
        <v>250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115030007</v>
      </c>
      <c r="B511" s="13">
        <v>11</v>
      </c>
      <c r="C511" s="12">
        <f t="shared" si="142"/>
        <v>5</v>
      </c>
      <c r="D511" s="13">
        <v>3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363</v>
      </c>
      <c r="O511" s="9">
        <v>1</v>
      </c>
      <c r="P511" s="9">
        <v>15</v>
      </c>
      <c r="U511" s="9">
        <v>4444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386</v>
      </c>
      <c r="AD511" s="9">
        <v>7</v>
      </c>
      <c r="AF511" s="9">
        <v>4000</v>
      </c>
      <c r="AI511" s="56">
        <f t="shared" ca="1" si="138"/>
        <v>250</v>
      </c>
      <c r="AJ511" s="10">
        <f ca="1">AO511+AQ511+(IFERROR(OFFSET(ITEM_RES!$T$1,MATCH(AU511,ITEM_RES!$A:$A,0)-1,0),0)*AW511+IFERROR(OFFSET(ITEM_RES!$T$1,MATCH(AZ511,ITEM_RES!$A:$A,0)-1,0),0)*BB511+IFERROR(OFFSET(ITEM_RES!$T$1,MATCH(BE511,ITEM_RES!$A:$A,0)-1,0),0)*BG511+IFERROR(OFFSET(ITEM_RES!$T$1,MATCH(BJ511,ITEM_RES!$A:$A,0)-1,0),0)*BL511+IFERROR(OFFSET(ITEM_RES!$T$1,MATCH(BO511,ITEM_RES!$A:$A,0)-1,0),0)*BQ511)/1000</f>
        <v>250</v>
      </c>
      <c r="AK511" s="183">
        <f t="shared" ca="1" si="145"/>
        <v>375</v>
      </c>
      <c r="AM511" s="11">
        <f t="shared" si="13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39"/>
        <v>1</v>
      </c>
      <c r="AU511" s="11">
        <f ca="1">IFERROR(OFFSET(ITEM_RES!$A$1,MATCH(AV511,ITEM_RES!$J:$J,0)-1,0),0)</f>
        <v>211020801</v>
      </c>
      <c r="AV511" s="10" t="s">
        <v>441</v>
      </c>
      <c r="AW511" s="11">
        <v>500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115030008</v>
      </c>
      <c r="B512" s="13">
        <v>11</v>
      </c>
      <c r="C512" s="12">
        <f t="shared" si="142"/>
        <v>5</v>
      </c>
      <c r="D512" s="13">
        <v>3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363</v>
      </c>
      <c r="O512" s="9">
        <v>1</v>
      </c>
      <c r="P512" s="9">
        <v>15</v>
      </c>
      <c r="U512" s="9">
        <v>4444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386</v>
      </c>
      <c r="AD512" s="9">
        <v>8</v>
      </c>
      <c r="AF512" s="9">
        <v>4000</v>
      </c>
      <c r="AI512" s="56">
        <f t="shared" ca="1" si="138"/>
        <v>1250</v>
      </c>
      <c r="AJ512" s="10">
        <f ca="1">AO512+AQ512+(IFERROR(OFFSET(ITEM_RES!$T$1,MATCH(AU512,ITEM_RES!$A:$A,0)-1,0),0)*AW512+IFERROR(OFFSET(ITEM_RES!$T$1,MATCH(AZ512,ITEM_RES!$A:$A,0)-1,0),0)*BB512+IFERROR(OFFSET(ITEM_RES!$T$1,MATCH(BE512,ITEM_RES!$A:$A,0)-1,0),0)*BG512+IFERROR(OFFSET(ITEM_RES!$T$1,MATCH(BJ512,ITEM_RES!$A:$A,0)-1,0),0)*BL512+IFERROR(OFFSET(ITEM_RES!$T$1,MATCH(BO512,ITEM_RES!$A:$A,0)-1,0),0)*BQ512)/1000</f>
        <v>1250</v>
      </c>
      <c r="AK512" s="183">
        <f t="shared" ca="1" si="145"/>
        <v>1500</v>
      </c>
      <c r="AM512" s="11">
        <f t="shared" si="13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39"/>
        <v>2</v>
      </c>
      <c r="AU512" s="11">
        <f ca="1">IFERROR(OFFSET(ITEM_RES!$A$1,MATCH(AV512,ITEM_RES!$J:$J,0)-1,0),0)</f>
        <v>211020801</v>
      </c>
      <c r="AV512" s="10" t="s">
        <v>441</v>
      </c>
      <c r="AW512" s="11">
        <v>500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213011701</v>
      </c>
      <c r="BK512" s="10" t="s">
        <v>489</v>
      </c>
      <c r="BL512" s="11">
        <v>1</v>
      </c>
      <c r="BO512" s="11">
        <f ca="1">IFERROR(OFFSET(ITEM_RES!$A$1,MATCH(BP512,ITEM_RES!$J:$J,0)-1,0),0)</f>
        <v>0</v>
      </c>
    </row>
    <row r="513" spans="1:70" x14ac:dyDescent="0.3">
      <c r="A513" s="14">
        <f t="shared" si="141"/>
        <v>115030009</v>
      </c>
      <c r="B513" s="13">
        <v>11</v>
      </c>
      <c r="C513" s="12">
        <f t="shared" si="142"/>
        <v>5</v>
      </c>
      <c r="D513" s="13">
        <v>3</v>
      </c>
      <c r="E513" s="13">
        <v>0</v>
      </c>
      <c r="F513" s="12">
        <f t="shared" si="143"/>
        <v>9</v>
      </c>
      <c r="H513" s="9">
        <v>5</v>
      </c>
      <c r="I513" s="9">
        <v>9</v>
      </c>
      <c r="K513" s="9" t="s">
        <v>363</v>
      </c>
      <c r="O513" s="9">
        <v>1</v>
      </c>
      <c r="P513" s="9">
        <v>15</v>
      </c>
      <c r="U513" s="9">
        <v>4444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386</v>
      </c>
      <c r="AD513" s="9">
        <v>9</v>
      </c>
      <c r="AF513" s="9">
        <v>6000</v>
      </c>
      <c r="AI513" s="56">
        <f t="shared" ca="1" si="138"/>
        <v>375</v>
      </c>
      <c r="AJ513" s="10">
        <f ca="1">AO513+AQ513+(IFERROR(OFFSET(ITEM_RES!$T$1,MATCH(AU513,ITEM_RES!$A:$A,0)-1,0),0)*AW513+IFERROR(OFFSET(ITEM_RES!$T$1,MATCH(AZ513,ITEM_RES!$A:$A,0)-1,0),0)*BB513+IFERROR(OFFSET(ITEM_RES!$T$1,MATCH(BE513,ITEM_RES!$A:$A,0)-1,0),0)*BG513+IFERROR(OFFSET(ITEM_RES!$T$1,MATCH(BJ513,ITEM_RES!$A:$A,0)-1,0),0)*BL513+IFERROR(OFFSET(ITEM_RES!$T$1,MATCH(BO513,ITEM_RES!$A:$A,0)-1,0),0)*BQ513)/1000</f>
        <v>375</v>
      </c>
      <c r="AK513" s="183">
        <f t="shared" ca="1" si="145"/>
        <v>1625</v>
      </c>
      <c r="AM513" s="11">
        <f t="shared" si="13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39"/>
        <v>1</v>
      </c>
      <c r="AU513" s="11">
        <f ca="1">IFERROR(OFFSET(ITEM_RES!$A$1,MATCH(AV513,ITEM_RES!$J:$J,0)-1,0),0)</f>
        <v>211020801</v>
      </c>
      <c r="AV513" s="10" t="s">
        <v>441</v>
      </c>
      <c r="AW513" s="11">
        <v>750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41"/>
        <v>115030010</v>
      </c>
      <c r="B514" s="13">
        <v>11</v>
      </c>
      <c r="C514" s="12">
        <f t="shared" si="142"/>
        <v>5</v>
      </c>
      <c r="D514" s="13">
        <v>3</v>
      </c>
      <c r="E514" s="13">
        <v>0</v>
      </c>
      <c r="F514" s="12">
        <f t="shared" si="143"/>
        <v>10</v>
      </c>
      <c r="H514" s="9">
        <v>5</v>
      </c>
      <c r="I514" s="9">
        <v>10</v>
      </c>
      <c r="K514" s="9" t="s">
        <v>363</v>
      </c>
      <c r="O514" s="9">
        <v>1</v>
      </c>
      <c r="P514" s="9">
        <v>15</v>
      </c>
      <c r="U514" s="9">
        <v>4444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386</v>
      </c>
      <c r="AD514" s="9">
        <v>10</v>
      </c>
      <c r="AF514" s="9">
        <v>8000</v>
      </c>
      <c r="AI514" s="56">
        <f t="shared" ca="1" si="138"/>
        <v>500</v>
      </c>
      <c r="AJ514" s="10">
        <f ca="1">AO514+AQ514+(IFERROR(OFFSET(ITEM_RES!$T$1,MATCH(AU514,ITEM_RES!$A:$A,0)-1,0),0)*AW514+IFERROR(OFFSET(ITEM_RES!$T$1,MATCH(AZ514,ITEM_RES!$A:$A,0)-1,0),0)*BB514+IFERROR(OFFSET(ITEM_RES!$T$1,MATCH(BE514,ITEM_RES!$A:$A,0)-1,0),0)*BG514+IFERROR(OFFSET(ITEM_RES!$T$1,MATCH(BJ514,ITEM_RES!$A:$A,0)-1,0),0)*BL514+IFERROR(OFFSET(ITEM_RES!$T$1,MATCH(BO514,ITEM_RES!$A:$A,0)-1,0),0)*BQ514)/1000</f>
        <v>500</v>
      </c>
      <c r="AK514" s="183">
        <f t="shared" ca="1" si="145"/>
        <v>875</v>
      </c>
      <c r="AM514" s="11">
        <f t="shared" si="137"/>
        <v>50</v>
      </c>
      <c r="AN514" s="10">
        <v>50</v>
      </c>
      <c r="AO514" s="11">
        <f t="shared" si="144"/>
        <v>200</v>
      </c>
      <c r="AP514" s="10">
        <v>200</v>
      </c>
      <c r="AQ514" s="11">
        <f t="shared" si="144"/>
        <v>200</v>
      </c>
      <c r="AR514" s="10">
        <v>200</v>
      </c>
      <c r="AS514" s="56">
        <f t="shared" si="139"/>
        <v>1</v>
      </c>
      <c r="AU514" s="11">
        <f ca="1">IFERROR(OFFSET(ITEM_RES!$A$1,MATCH(AV514,ITEM_RES!$J:$J,0)-1,0),0)</f>
        <v>211020801</v>
      </c>
      <c r="AV514" s="10" t="s">
        <v>441</v>
      </c>
      <c r="AW514" s="11">
        <v>1000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  <c r="BO514" s="11">
        <f ca="1">IFERROR(OFFSET(ITEM_RES!$A$1,MATCH(BP514,ITEM_RES!$J:$J,0)-1,0),0)</f>
        <v>0</v>
      </c>
    </row>
    <row r="515" spans="1:70" x14ac:dyDescent="0.3">
      <c r="A515" s="14">
        <f t="shared" si="141"/>
        <v>115030011</v>
      </c>
      <c r="B515" s="13">
        <v>11</v>
      </c>
      <c r="C515" s="12">
        <f t="shared" si="142"/>
        <v>5</v>
      </c>
      <c r="D515" s="13">
        <v>3</v>
      </c>
      <c r="E515" s="13">
        <v>0</v>
      </c>
      <c r="F515" s="12">
        <f t="shared" si="143"/>
        <v>11</v>
      </c>
      <c r="H515" s="9">
        <v>5</v>
      </c>
      <c r="I515" s="9">
        <v>11</v>
      </c>
      <c r="K515" s="9" t="s">
        <v>363</v>
      </c>
      <c r="O515" s="9">
        <v>1</v>
      </c>
      <c r="P515" s="9">
        <v>15</v>
      </c>
      <c r="U515" s="9">
        <v>4444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386</v>
      </c>
      <c r="AD515" s="9">
        <v>11</v>
      </c>
      <c r="AF515" s="9">
        <v>10000</v>
      </c>
      <c r="AI515" s="56">
        <f t="shared" ca="1" si="138"/>
        <v>625</v>
      </c>
      <c r="AJ515" s="10">
        <f ca="1">AO515+AQ515+(IFERROR(OFFSET(ITEM_RES!$T$1,MATCH(AU515,ITEM_RES!$A:$A,0)-1,0),0)*AW515+IFERROR(OFFSET(ITEM_RES!$T$1,MATCH(AZ515,ITEM_RES!$A:$A,0)-1,0),0)*BB515+IFERROR(OFFSET(ITEM_RES!$T$1,MATCH(BE515,ITEM_RES!$A:$A,0)-1,0),0)*BG515+IFERROR(OFFSET(ITEM_RES!$T$1,MATCH(BJ515,ITEM_RES!$A:$A,0)-1,0),0)*BL515+IFERROR(OFFSET(ITEM_RES!$T$1,MATCH(BO515,ITEM_RES!$A:$A,0)-1,0),0)*BQ515)/1000</f>
        <v>625</v>
      </c>
      <c r="AK515" s="183">
        <f t="shared" ca="1" si="145"/>
        <v>1125</v>
      </c>
      <c r="AM515" s="11">
        <f t="shared" si="137"/>
        <v>55</v>
      </c>
      <c r="AN515" s="10">
        <v>55</v>
      </c>
      <c r="AO515" s="11">
        <f t="shared" si="144"/>
        <v>250</v>
      </c>
      <c r="AP515" s="10">
        <v>250</v>
      </c>
      <c r="AQ515" s="11">
        <f t="shared" si="144"/>
        <v>250</v>
      </c>
      <c r="AR515" s="10">
        <v>250</v>
      </c>
      <c r="AS515" s="56">
        <f t="shared" si="139"/>
        <v>1</v>
      </c>
      <c r="AU515" s="11">
        <f ca="1">IFERROR(OFFSET(ITEM_RES!$A$1,MATCH(AV515,ITEM_RES!$J:$J,0)-1,0),0)</f>
        <v>211020801</v>
      </c>
      <c r="AV515" s="10" t="s">
        <v>441</v>
      </c>
      <c r="AW515" s="11">
        <v>1250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41"/>
        <v>115030012</v>
      </c>
      <c r="B516" s="13">
        <v>11</v>
      </c>
      <c r="C516" s="12">
        <f t="shared" si="142"/>
        <v>5</v>
      </c>
      <c r="D516" s="13">
        <v>3</v>
      </c>
      <c r="E516" s="13">
        <v>0</v>
      </c>
      <c r="F516" s="12">
        <f t="shared" si="143"/>
        <v>12</v>
      </c>
      <c r="H516" s="9">
        <v>5</v>
      </c>
      <c r="I516" s="9">
        <v>12</v>
      </c>
      <c r="K516" s="9" t="s">
        <v>363</v>
      </c>
      <c r="O516" s="9">
        <v>1</v>
      </c>
      <c r="P516" s="9">
        <v>15</v>
      </c>
      <c r="U516" s="9">
        <v>4444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386</v>
      </c>
      <c r="AD516" s="9">
        <v>12</v>
      </c>
      <c r="AF516" s="9">
        <v>12000</v>
      </c>
      <c r="AI516" s="56">
        <f t="shared" ca="1" si="138"/>
        <v>750</v>
      </c>
      <c r="AJ516" s="10">
        <f ca="1">AO516+AQ516+(IFERROR(OFFSET(ITEM_RES!$T$1,MATCH(AU516,ITEM_RES!$A:$A,0)-1,0),0)*AW516+IFERROR(OFFSET(ITEM_RES!$T$1,MATCH(AZ516,ITEM_RES!$A:$A,0)-1,0),0)*BB516+IFERROR(OFFSET(ITEM_RES!$T$1,MATCH(BE516,ITEM_RES!$A:$A,0)-1,0),0)*BG516+IFERROR(OFFSET(ITEM_RES!$T$1,MATCH(BJ516,ITEM_RES!$A:$A,0)-1,0),0)*BL516+IFERROR(OFFSET(ITEM_RES!$T$1,MATCH(BO516,ITEM_RES!$A:$A,0)-1,0),0)*BQ516)/1000</f>
        <v>750</v>
      </c>
      <c r="AK516" s="183">
        <f t="shared" ca="1" si="145"/>
        <v>1375</v>
      </c>
      <c r="AM516" s="11">
        <f t="shared" si="137"/>
        <v>60</v>
      </c>
      <c r="AN516" s="10">
        <v>60</v>
      </c>
      <c r="AO516" s="11">
        <f t="shared" si="144"/>
        <v>300</v>
      </c>
      <c r="AP516" s="10">
        <v>300</v>
      </c>
      <c r="AQ516" s="11">
        <f t="shared" si="144"/>
        <v>300</v>
      </c>
      <c r="AR516" s="10">
        <v>300</v>
      </c>
      <c r="AS516" s="56">
        <f t="shared" si="139"/>
        <v>1</v>
      </c>
      <c r="AU516" s="11">
        <f ca="1">IFERROR(OFFSET(ITEM_RES!$A$1,MATCH(AV516,ITEM_RES!$J:$J,0)-1,0),0)</f>
        <v>211020801</v>
      </c>
      <c r="AV516" s="10" t="s">
        <v>441</v>
      </c>
      <c r="AW516" s="11">
        <v>1500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41"/>
        <v>115030013</v>
      </c>
      <c r="B517" s="13">
        <v>11</v>
      </c>
      <c r="C517" s="12">
        <f t="shared" si="142"/>
        <v>5</v>
      </c>
      <c r="D517" s="13">
        <v>3</v>
      </c>
      <c r="E517" s="13">
        <v>0</v>
      </c>
      <c r="F517" s="12">
        <f t="shared" si="143"/>
        <v>13</v>
      </c>
      <c r="H517" s="9">
        <v>5</v>
      </c>
      <c r="I517" s="9">
        <v>13</v>
      </c>
      <c r="K517" s="9" t="s">
        <v>363</v>
      </c>
      <c r="O517" s="9">
        <v>1</v>
      </c>
      <c r="P517" s="9">
        <v>15</v>
      </c>
      <c r="U517" s="9">
        <v>4444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386</v>
      </c>
      <c r="AD517" s="9">
        <v>13</v>
      </c>
      <c r="AF517" s="9">
        <v>14000</v>
      </c>
      <c r="AI517" s="56">
        <f t="shared" ca="1" si="138"/>
        <v>875</v>
      </c>
      <c r="AJ517" s="10">
        <f ca="1">AO517+AQ517+(IFERROR(OFFSET(ITEM_RES!$T$1,MATCH(AU517,ITEM_RES!$A:$A,0)-1,0),0)*AW517+IFERROR(OFFSET(ITEM_RES!$T$1,MATCH(AZ517,ITEM_RES!$A:$A,0)-1,0),0)*BB517+IFERROR(OFFSET(ITEM_RES!$T$1,MATCH(BE517,ITEM_RES!$A:$A,0)-1,0),0)*BG517+IFERROR(OFFSET(ITEM_RES!$T$1,MATCH(BJ517,ITEM_RES!$A:$A,0)-1,0),0)*BL517+IFERROR(OFFSET(ITEM_RES!$T$1,MATCH(BO517,ITEM_RES!$A:$A,0)-1,0),0)*BQ517)/1000</f>
        <v>875</v>
      </c>
      <c r="AK517" s="183">
        <f t="shared" ca="1" si="145"/>
        <v>1625</v>
      </c>
      <c r="AM517" s="11">
        <f t="shared" si="137"/>
        <v>65</v>
      </c>
      <c r="AN517" s="10">
        <v>65</v>
      </c>
      <c r="AO517" s="11">
        <f t="shared" si="144"/>
        <v>350</v>
      </c>
      <c r="AP517" s="10">
        <v>350</v>
      </c>
      <c r="AQ517" s="11">
        <f t="shared" si="144"/>
        <v>350</v>
      </c>
      <c r="AR517" s="10">
        <v>350</v>
      </c>
      <c r="AS517" s="56">
        <f t="shared" si="139"/>
        <v>1</v>
      </c>
      <c r="AU517" s="11">
        <f ca="1">IFERROR(OFFSET(ITEM_RES!$A$1,MATCH(AV517,ITEM_RES!$J:$J,0)-1,0),0)</f>
        <v>211020801</v>
      </c>
      <c r="AV517" s="10" t="s">
        <v>441</v>
      </c>
      <c r="AW517" s="11">
        <v>1750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41"/>
        <v>115030014</v>
      </c>
      <c r="B518" s="13">
        <v>11</v>
      </c>
      <c r="C518" s="12">
        <f t="shared" si="142"/>
        <v>5</v>
      </c>
      <c r="D518" s="13">
        <v>3</v>
      </c>
      <c r="E518" s="13">
        <v>0</v>
      </c>
      <c r="F518" s="12">
        <f t="shared" si="143"/>
        <v>14</v>
      </c>
      <c r="H518" s="9">
        <v>5</v>
      </c>
      <c r="I518" s="9">
        <v>14</v>
      </c>
      <c r="K518" s="9" t="s">
        <v>363</v>
      </c>
      <c r="O518" s="9">
        <v>1</v>
      </c>
      <c r="P518" s="9">
        <v>15</v>
      </c>
      <c r="U518" s="9">
        <v>4444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386</v>
      </c>
      <c r="AD518" s="9">
        <v>14</v>
      </c>
      <c r="AF518" s="9">
        <v>18000</v>
      </c>
      <c r="AI518" s="56">
        <f t="shared" ca="1" si="138"/>
        <v>1350</v>
      </c>
      <c r="AJ518" s="10">
        <f ca="1">AO518+AQ518+(IFERROR(OFFSET(ITEM_RES!$T$1,MATCH(AU518,ITEM_RES!$A:$A,0)-1,0),0)*AW518+IFERROR(OFFSET(ITEM_RES!$T$1,MATCH(AZ518,ITEM_RES!$A:$A,0)-1,0),0)*BB518+IFERROR(OFFSET(ITEM_RES!$T$1,MATCH(BE518,ITEM_RES!$A:$A,0)-1,0),0)*BG518+IFERROR(OFFSET(ITEM_RES!$T$1,MATCH(BJ518,ITEM_RES!$A:$A,0)-1,0),0)*BL518+IFERROR(OFFSET(ITEM_RES!$T$1,MATCH(BO518,ITEM_RES!$A:$A,0)-1,0),0)*BQ518)/1000</f>
        <v>1350</v>
      </c>
      <c r="AK518" s="183">
        <f t="shared" ca="1" si="145"/>
        <v>2225</v>
      </c>
      <c r="AM518" s="11">
        <f t="shared" si="137"/>
        <v>70</v>
      </c>
      <c r="AN518" s="10">
        <v>70</v>
      </c>
      <c r="AO518" s="11">
        <f t="shared" si="144"/>
        <v>450</v>
      </c>
      <c r="AP518" s="10">
        <v>450</v>
      </c>
      <c r="AQ518" s="11">
        <f t="shared" si="144"/>
        <v>450</v>
      </c>
      <c r="AR518" s="10">
        <v>450</v>
      </c>
      <c r="AS518" s="56">
        <f t="shared" si="139"/>
        <v>1</v>
      </c>
      <c r="AU518" s="11">
        <f ca="1">IFERROR(OFFSET(ITEM_RES!$A$1,MATCH(AV518,ITEM_RES!$J:$J,0)-1,0),0)</f>
        <v>211020901</v>
      </c>
      <c r="AV518" s="10" t="s">
        <v>453</v>
      </c>
      <c r="AW518" s="11">
        <v>2250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41"/>
        <v>115030015</v>
      </c>
      <c r="B519" s="13">
        <v>11</v>
      </c>
      <c r="C519" s="12">
        <f t="shared" si="142"/>
        <v>5</v>
      </c>
      <c r="D519" s="13">
        <v>3</v>
      </c>
      <c r="E519" s="13">
        <v>0</v>
      </c>
      <c r="F519" s="12">
        <f t="shared" si="143"/>
        <v>15</v>
      </c>
      <c r="H519" s="9">
        <v>5</v>
      </c>
      <c r="I519" s="9">
        <v>15</v>
      </c>
      <c r="K519" s="9" t="s">
        <v>363</v>
      </c>
      <c r="O519" s="9">
        <v>1</v>
      </c>
      <c r="P519" s="9">
        <v>15</v>
      </c>
      <c r="U519" s="9">
        <v>4444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386</v>
      </c>
      <c r="AD519" s="9">
        <v>15</v>
      </c>
      <c r="AF519" s="9">
        <v>22000</v>
      </c>
      <c r="AI519" s="56">
        <f t="shared" ca="1" si="138"/>
        <v>1650</v>
      </c>
      <c r="AJ519" s="10">
        <f ca="1">AO519+AQ519+(IFERROR(OFFSET(ITEM_RES!$T$1,MATCH(AU519,ITEM_RES!$A:$A,0)-1,0),0)*AW519+IFERROR(OFFSET(ITEM_RES!$T$1,MATCH(AZ519,ITEM_RES!$A:$A,0)-1,0),0)*BB519+IFERROR(OFFSET(ITEM_RES!$T$1,MATCH(BE519,ITEM_RES!$A:$A,0)-1,0),0)*BG519+IFERROR(OFFSET(ITEM_RES!$T$1,MATCH(BJ519,ITEM_RES!$A:$A,0)-1,0),0)*BL519+IFERROR(OFFSET(ITEM_RES!$T$1,MATCH(BO519,ITEM_RES!$A:$A,0)-1,0),0)*BQ519)/1000</f>
        <v>1650</v>
      </c>
      <c r="AK519" s="183">
        <f t="shared" ca="1" si="145"/>
        <v>3000</v>
      </c>
      <c r="AM519" s="11">
        <f t="shared" si="137"/>
        <v>75</v>
      </c>
      <c r="AN519" s="10">
        <v>75</v>
      </c>
      <c r="AO519" s="11">
        <f t="shared" si="144"/>
        <v>550</v>
      </c>
      <c r="AP519" s="10">
        <v>550</v>
      </c>
      <c r="AQ519" s="11">
        <f t="shared" si="144"/>
        <v>550</v>
      </c>
      <c r="AR519" s="10">
        <v>550</v>
      </c>
      <c r="AS519" s="56">
        <f t="shared" si="139"/>
        <v>1</v>
      </c>
      <c r="AU519" s="11">
        <f ca="1">IFERROR(OFFSET(ITEM_RES!$A$1,MATCH(AV519,ITEM_RES!$J:$J,0)-1,0),0)</f>
        <v>211020901</v>
      </c>
      <c r="AV519" s="10" t="s">
        <v>453</v>
      </c>
      <c r="AW519" s="11">
        <v>2750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41"/>
        <v>115030016</v>
      </c>
      <c r="B520" s="13">
        <v>11</v>
      </c>
      <c r="C520" s="12">
        <f t="shared" si="142"/>
        <v>5</v>
      </c>
      <c r="D520" s="13">
        <v>3</v>
      </c>
      <c r="E520" s="13">
        <v>0</v>
      </c>
      <c r="F520" s="12">
        <f t="shared" si="143"/>
        <v>16</v>
      </c>
      <c r="H520" s="9">
        <v>5</v>
      </c>
      <c r="I520" s="9">
        <v>16</v>
      </c>
      <c r="K520" s="9" t="s">
        <v>363</v>
      </c>
      <c r="O520" s="9">
        <v>0</v>
      </c>
      <c r="P520" s="9">
        <v>15</v>
      </c>
      <c r="U520" s="9">
        <v>4444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386</v>
      </c>
      <c r="AD520" s="9">
        <v>16</v>
      </c>
      <c r="AF520" s="9">
        <v>28000</v>
      </c>
      <c r="AI520" s="56">
        <f t="shared" ca="1" si="138"/>
        <v>2100</v>
      </c>
      <c r="AJ520" s="10">
        <f ca="1">AO520+AQ520+(IFERROR(OFFSET(ITEM_RES!$T$1,MATCH(AU520,ITEM_RES!$A:$A,0)-1,0),0)*AW520+IFERROR(OFFSET(ITEM_RES!$T$1,MATCH(AZ520,ITEM_RES!$A:$A,0)-1,0),0)*BB520+IFERROR(OFFSET(ITEM_RES!$T$1,MATCH(BE520,ITEM_RES!$A:$A,0)-1,0),0)*BG520+IFERROR(OFFSET(ITEM_RES!$T$1,MATCH(BJ520,ITEM_RES!$A:$A,0)-1,0),0)*BL520+IFERROR(OFFSET(ITEM_RES!$T$1,MATCH(BO520,ITEM_RES!$A:$A,0)-1,0),0)*BQ520)/1000</f>
        <v>2100</v>
      </c>
      <c r="AK520" s="183">
        <f t="shared" ca="1" si="145"/>
        <v>3750</v>
      </c>
      <c r="AM520" s="11">
        <f t="shared" si="137"/>
        <v>80</v>
      </c>
      <c r="AN520" s="10">
        <v>80</v>
      </c>
      <c r="AO520" s="11">
        <f t="shared" si="144"/>
        <v>700</v>
      </c>
      <c r="AP520" s="10">
        <v>700</v>
      </c>
      <c r="AQ520" s="11">
        <f t="shared" si="144"/>
        <v>700</v>
      </c>
      <c r="AR520" s="10">
        <v>700</v>
      </c>
      <c r="AS520" s="56">
        <f t="shared" si="139"/>
        <v>1</v>
      </c>
      <c r="AU520" s="11">
        <f ca="1">IFERROR(OFFSET(ITEM_RES!$A$1,MATCH(AV520,ITEM_RES!$J:$J,0)-1,0),0)</f>
        <v>211020901</v>
      </c>
      <c r="AV520" s="10" t="s">
        <v>453</v>
      </c>
      <c r="AW520" s="11">
        <v>3500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41"/>
        <v>115030017</v>
      </c>
      <c r="B521" s="13">
        <v>11</v>
      </c>
      <c r="C521" s="12">
        <f t="shared" si="142"/>
        <v>5</v>
      </c>
      <c r="D521" s="13">
        <v>3</v>
      </c>
      <c r="E521" s="13">
        <v>0</v>
      </c>
      <c r="F521" s="12">
        <f t="shared" si="143"/>
        <v>17</v>
      </c>
      <c r="H521" s="9">
        <v>5</v>
      </c>
      <c r="I521" s="9">
        <v>17</v>
      </c>
      <c r="K521" s="9" t="s">
        <v>363</v>
      </c>
      <c r="O521" s="9">
        <v>0</v>
      </c>
      <c r="P521" s="9">
        <v>15</v>
      </c>
      <c r="U521" s="9">
        <v>4444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386</v>
      </c>
      <c r="AD521" s="9">
        <v>17</v>
      </c>
      <c r="AF521" s="9">
        <v>34000</v>
      </c>
      <c r="AI521" s="56">
        <f t="shared" ca="1" si="138"/>
        <v>2550</v>
      </c>
      <c r="AJ521" s="10">
        <f ca="1">AO521+AQ521+(IFERROR(OFFSET(ITEM_RES!$T$1,MATCH(AU521,ITEM_RES!$A:$A,0)-1,0),0)*AW521+IFERROR(OFFSET(ITEM_RES!$T$1,MATCH(AZ521,ITEM_RES!$A:$A,0)-1,0),0)*BB521+IFERROR(OFFSET(ITEM_RES!$T$1,MATCH(BE521,ITEM_RES!$A:$A,0)-1,0),0)*BG521+IFERROR(OFFSET(ITEM_RES!$T$1,MATCH(BJ521,ITEM_RES!$A:$A,0)-1,0),0)*BL521+IFERROR(OFFSET(ITEM_RES!$T$1,MATCH(BO521,ITEM_RES!$A:$A,0)-1,0),0)*BQ521)/1000</f>
        <v>2550</v>
      </c>
      <c r="AK521" s="183">
        <f t="shared" ca="1" si="145"/>
        <v>4650</v>
      </c>
      <c r="AM521" s="11">
        <f t="shared" si="137"/>
        <v>85</v>
      </c>
      <c r="AN521" s="10">
        <v>85</v>
      </c>
      <c r="AO521" s="11">
        <f t="shared" si="144"/>
        <v>850</v>
      </c>
      <c r="AP521" s="10">
        <v>850</v>
      </c>
      <c r="AQ521" s="11">
        <f t="shared" si="144"/>
        <v>850</v>
      </c>
      <c r="AR521" s="10">
        <v>850</v>
      </c>
      <c r="AS521" s="56">
        <f t="shared" si="139"/>
        <v>1</v>
      </c>
      <c r="AU521" s="11">
        <f ca="1">IFERROR(OFFSET(ITEM_RES!$A$1,MATCH(AV521,ITEM_RES!$J:$J,0)-1,0),0)</f>
        <v>211020901</v>
      </c>
      <c r="AV521" s="10" t="s">
        <v>453</v>
      </c>
      <c r="AW521" s="11">
        <v>4250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41"/>
        <v>115030018</v>
      </c>
      <c r="B522" s="13">
        <v>11</v>
      </c>
      <c r="C522" s="12">
        <f t="shared" si="142"/>
        <v>5</v>
      </c>
      <c r="D522" s="13">
        <v>3</v>
      </c>
      <c r="E522" s="13">
        <v>0</v>
      </c>
      <c r="F522" s="12">
        <f t="shared" si="143"/>
        <v>18</v>
      </c>
      <c r="H522" s="9">
        <v>5</v>
      </c>
      <c r="I522" s="9">
        <v>18</v>
      </c>
      <c r="K522" s="9" t="s">
        <v>363</v>
      </c>
      <c r="O522" s="9">
        <v>0</v>
      </c>
      <c r="P522" s="9">
        <v>15</v>
      </c>
      <c r="U522" s="9">
        <v>4444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386</v>
      </c>
      <c r="AD522" s="9">
        <v>18</v>
      </c>
      <c r="AF522" s="9">
        <v>42000</v>
      </c>
      <c r="AI522" s="56">
        <f t="shared" ca="1" si="138"/>
        <v>3150</v>
      </c>
      <c r="AJ522" s="10">
        <f ca="1">AO522+AQ522+(IFERROR(OFFSET(ITEM_RES!$T$1,MATCH(AU522,ITEM_RES!$A:$A,0)-1,0),0)*AW522+IFERROR(OFFSET(ITEM_RES!$T$1,MATCH(AZ522,ITEM_RES!$A:$A,0)-1,0),0)*BB522+IFERROR(OFFSET(ITEM_RES!$T$1,MATCH(BE522,ITEM_RES!$A:$A,0)-1,0),0)*BG522+IFERROR(OFFSET(ITEM_RES!$T$1,MATCH(BJ522,ITEM_RES!$A:$A,0)-1,0),0)*BL522+IFERROR(OFFSET(ITEM_RES!$T$1,MATCH(BO522,ITEM_RES!$A:$A,0)-1,0),0)*BQ522)/1000</f>
        <v>3150</v>
      </c>
      <c r="AK522" s="183">
        <f t="shared" ca="1" si="145"/>
        <v>5700</v>
      </c>
      <c r="AM522" s="11">
        <f t="shared" si="137"/>
        <v>90</v>
      </c>
      <c r="AN522" s="10">
        <v>90</v>
      </c>
      <c r="AO522" s="11">
        <f t="shared" si="144"/>
        <v>1050</v>
      </c>
      <c r="AP522" s="10">
        <v>1050</v>
      </c>
      <c r="AQ522" s="11">
        <f t="shared" si="144"/>
        <v>1050</v>
      </c>
      <c r="AR522" s="10">
        <v>1050</v>
      </c>
      <c r="AS522" s="56">
        <f t="shared" si="139"/>
        <v>1</v>
      </c>
      <c r="AU522" s="11">
        <f ca="1">IFERROR(OFFSET(ITEM_RES!$A$1,MATCH(AV522,ITEM_RES!$J:$J,0)-1,0),0)</f>
        <v>211020901</v>
      </c>
      <c r="AV522" s="10" t="s">
        <v>453</v>
      </c>
      <c r="AW522" s="11">
        <v>5250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41"/>
        <v>115030019</v>
      </c>
      <c r="B523" s="13">
        <v>11</v>
      </c>
      <c r="C523" s="12">
        <f t="shared" si="142"/>
        <v>5</v>
      </c>
      <c r="D523" s="13">
        <v>3</v>
      </c>
      <c r="E523" s="13">
        <v>0</v>
      </c>
      <c r="F523" s="12">
        <f t="shared" si="143"/>
        <v>19</v>
      </c>
      <c r="H523" s="9">
        <v>5</v>
      </c>
      <c r="I523" s="9">
        <v>19</v>
      </c>
      <c r="K523" s="9" t="s">
        <v>363</v>
      </c>
      <c r="O523" s="9">
        <v>0</v>
      </c>
      <c r="P523" s="9">
        <v>15</v>
      </c>
      <c r="U523" s="9">
        <v>4444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386</v>
      </c>
      <c r="AD523" s="9">
        <v>19</v>
      </c>
      <c r="AF523" s="9">
        <v>50000</v>
      </c>
      <c r="AI523" s="56">
        <f t="shared" ca="1" si="138"/>
        <v>3750</v>
      </c>
      <c r="AJ523" s="10">
        <f ca="1">AO523+AQ523+(IFERROR(OFFSET(ITEM_RES!$T$1,MATCH(AU523,ITEM_RES!$A:$A,0)-1,0),0)*AW523+IFERROR(OFFSET(ITEM_RES!$T$1,MATCH(AZ523,ITEM_RES!$A:$A,0)-1,0),0)*BB523+IFERROR(OFFSET(ITEM_RES!$T$1,MATCH(BE523,ITEM_RES!$A:$A,0)-1,0),0)*BG523+IFERROR(OFFSET(ITEM_RES!$T$1,MATCH(BJ523,ITEM_RES!$A:$A,0)-1,0),0)*BL523+IFERROR(OFFSET(ITEM_RES!$T$1,MATCH(BO523,ITEM_RES!$A:$A,0)-1,0),0)*BQ523)/1000</f>
        <v>3750</v>
      </c>
      <c r="AK523" s="183">
        <f t="shared" ca="1" si="145"/>
        <v>6900</v>
      </c>
      <c r="AM523" s="11">
        <f t="shared" si="137"/>
        <v>95</v>
      </c>
      <c r="AN523" s="10">
        <v>95</v>
      </c>
      <c r="AO523" s="11">
        <f t="shared" si="144"/>
        <v>1250</v>
      </c>
      <c r="AP523" s="10">
        <v>1250</v>
      </c>
      <c r="AQ523" s="11">
        <f t="shared" si="144"/>
        <v>1250</v>
      </c>
      <c r="AR523" s="10">
        <v>1250</v>
      </c>
      <c r="AS523" s="56">
        <f t="shared" si="139"/>
        <v>1</v>
      </c>
      <c r="AU523" s="11">
        <f ca="1">IFERROR(OFFSET(ITEM_RES!$A$1,MATCH(AV523,ITEM_RES!$J:$J,0)-1,0),0)</f>
        <v>211020901</v>
      </c>
      <c r="AV523" s="10" t="s">
        <v>453</v>
      </c>
      <c r="AW523" s="11">
        <v>6250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41"/>
        <v>115030020</v>
      </c>
      <c r="B524" s="13">
        <v>11</v>
      </c>
      <c r="C524" s="12">
        <f t="shared" si="142"/>
        <v>5</v>
      </c>
      <c r="D524" s="13">
        <v>3</v>
      </c>
      <c r="E524" s="13">
        <v>0</v>
      </c>
      <c r="F524" s="12">
        <f t="shared" si="143"/>
        <v>20</v>
      </c>
      <c r="H524" s="9">
        <v>5</v>
      </c>
      <c r="I524" s="9">
        <v>20</v>
      </c>
      <c r="K524" s="9" t="s">
        <v>363</v>
      </c>
      <c r="O524" s="9">
        <v>0</v>
      </c>
      <c r="P524" s="9">
        <v>15</v>
      </c>
      <c r="U524" s="9">
        <v>4444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386</v>
      </c>
      <c r="AD524" s="9">
        <v>20</v>
      </c>
      <c r="AF524" s="9">
        <v>60000</v>
      </c>
      <c r="AI524" s="56">
        <f t="shared" ca="1" si="138"/>
        <v>4500</v>
      </c>
      <c r="AJ524" s="10">
        <f ca="1">AO524+AQ524+(IFERROR(OFFSET(ITEM_RES!$T$1,MATCH(AU524,ITEM_RES!$A:$A,0)-1,0),0)*AW524+IFERROR(OFFSET(ITEM_RES!$T$1,MATCH(AZ524,ITEM_RES!$A:$A,0)-1,0),0)*BB524+IFERROR(OFFSET(ITEM_RES!$T$1,MATCH(BE524,ITEM_RES!$A:$A,0)-1,0),0)*BG524+IFERROR(OFFSET(ITEM_RES!$T$1,MATCH(BJ524,ITEM_RES!$A:$A,0)-1,0),0)*BL524+IFERROR(OFFSET(ITEM_RES!$T$1,MATCH(BO524,ITEM_RES!$A:$A,0)-1,0),0)*BQ524)/1000</f>
        <v>4500</v>
      </c>
      <c r="AK524" s="183">
        <f t="shared" ca="1" si="145"/>
        <v>8250</v>
      </c>
      <c r="AM524" s="11">
        <f t="shared" si="137"/>
        <v>100</v>
      </c>
      <c r="AN524" s="10">
        <v>100</v>
      </c>
      <c r="AO524" s="11">
        <f t="shared" si="144"/>
        <v>1500</v>
      </c>
      <c r="AP524" s="10">
        <v>1500</v>
      </c>
      <c r="AQ524" s="11">
        <f t="shared" si="144"/>
        <v>1500</v>
      </c>
      <c r="AR524" s="10">
        <v>1500</v>
      </c>
      <c r="AS524" s="56">
        <f t="shared" si="139"/>
        <v>1</v>
      </c>
      <c r="AU524" s="11">
        <f ca="1">IFERROR(OFFSET(ITEM_RES!$A$1,MATCH(AV524,ITEM_RES!$J:$J,0)-1,0),0)</f>
        <v>211020901</v>
      </c>
      <c r="AV524" s="10" t="s">
        <v>453</v>
      </c>
      <c r="AW524" s="11">
        <v>7500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41"/>
        <v>115040001</v>
      </c>
      <c r="B525" s="20">
        <v>11</v>
      </c>
      <c r="C525" s="19">
        <f t="shared" si="142"/>
        <v>5</v>
      </c>
      <c r="D525" s="20">
        <v>4</v>
      </c>
      <c r="E525" s="20">
        <v>0</v>
      </c>
      <c r="F525" s="19">
        <f t="shared" si="143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>
        <v>10</v>
      </c>
      <c r="M525" s="16"/>
      <c r="N525" s="16"/>
      <c r="O525" s="16">
        <v>1</v>
      </c>
      <c r="P525" s="16">
        <v>15</v>
      </c>
      <c r="Q525" s="16"/>
      <c r="R525" s="17"/>
      <c r="S525" s="17"/>
      <c r="T525" s="18"/>
      <c r="U525" s="16">
        <v>5555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388</v>
      </c>
      <c r="AD525" s="16">
        <v>1</v>
      </c>
      <c r="AE525" s="79"/>
      <c r="AF525" s="16">
        <v>0</v>
      </c>
      <c r="AG525" s="17"/>
      <c r="AH525" s="79"/>
      <c r="AI525" s="57">
        <f t="shared" ca="1" si="138"/>
        <v>213</v>
      </c>
      <c r="AJ525" s="17">
        <f ca="1">AO525+AQ525+(IFERROR(OFFSET(ITEM_RES!$T$1,MATCH(AU525,ITEM_RES!$A:$A,0)-1,0),0)*AW525+IFERROR(OFFSET(ITEM_RES!$T$1,MATCH(AZ525,ITEM_RES!$A:$A,0)-1,0),0)*BB525+IFERROR(OFFSET(ITEM_RES!$T$1,MATCH(BE525,ITEM_RES!$A:$A,0)-1,0),0)*BG525+IFERROR(OFFSET(ITEM_RES!$T$1,MATCH(BJ525,ITEM_RES!$A:$A,0)-1,0),0)*BL525+IFERROR(OFFSET(ITEM_RES!$T$1,MATCH(BO525,ITEM_RES!$A:$A,0)-1,0),0)*BQ525)/1000</f>
        <v>212.5</v>
      </c>
      <c r="AK525" s="185">
        <f ca="1">AJ525</f>
        <v>212.5</v>
      </c>
      <c r="AL525" s="79"/>
      <c r="AM525" s="18">
        <f t="shared" si="137"/>
        <v>5</v>
      </c>
      <c r="AN525" s="17">
        <v>5</v>
      </c>
      <c r="AO525" s="18">
        <f t="shared" si="144"/>
        <v>5</v>
      </c>
      <c r="AP525" s="17">
        <v>5</v>
      </c>
      <c r="AQ525" s="18">
        <f t="shared" si="144"/>
        <v>5</v>
      </c>
      <c r="AR525" s="17">
        <v>5</v>
      </c>
      <c r="AS525" s="57">
        <f t="shared" si="139"/>
        <v>3</v>
      </c>
      <c r="AT525" s="18"/>
      <c r="AU525" s="18">
        <f ca="1">IFERROR(OFFSET(ITEM_RES!$A$1,MATCH(AV525,ITEM_RES!$J:$J,0)-1,0),0)</f>
        <v>211020801</v>
      </c>
      <c r="AV525" s="17" t="s">
        <v>446</v>
      </c>
      <c r="AW525" s="18">
        <v>25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463</v>
      </c>
      <c r="BG525" s="18">
        <v>1</v>
      </c>
      <c r="BH525" s="17"/>
      <c r="BI525" s="18"/>
      <c r="BJ525" s="18">
        <f ca="1">IFERROR(OFFSET(ITEM_RES!$A$1,MATCH(BK525,ITEM_RES!$J:$J,0)-1,0),0)</f>
        <v>213010401</v>
      </c>
      <c r="BK525" s="17" t="s">
        <v>486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41"/>
        <v>115040002</v>
      </c>
      <c r="B526" s="13">
        <v>11</v>
      </c>
      <c r="C526" s="12">
        <f t="shared" si="142"/>
        <v>5</v>
      </c>
      <c r="D526" s="13">
        <v>4</v>
      </c>
      <c r="E526" s="13">
        <v>0</v>
      </c>
      <c r="F526" s="12">
        <f t="shared" si="143"/>
        <v>2</v>
      </c>
      <c r="H526" s="9">
        <v>5</v>
      </c>
      <c r="I526" s="9">
        <v>2</v>
      </c>
      <c r="K526" s="9" t="s">
        <v>370</v>
      </c>
      <c r="O526" s="9">
        <v>1</v>
      </c>
      <c r="P526" s="9">
        <v>15</v>
      </c>
      <c r="U526" s="9">
        <v>5555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388</v>
      </c>
      <c r="AD526" s="9">
        <v>2</v>
      </c>
      <c r="AF526" s="9">
        <v>400</v>
      </c>
      <c r="AI526" s="56">
        <f t="shared" ca="1" si="138"/>
        <v>25</v>
      </c>
      <c r="AJ526" s="10">
        <f ca="1">AO526+AQ526+(IFERROR(OFFSET(ITEM_RES!$T$1,MATCH(AU526,ITEM_RES!$A:$A,0)-1,0),0)*AW526+IFERROR(OFFSET(ITEM_RES!$T$1,MATCH(AZ526,ITEM_RES!$A:$A,0)-1,0),0)*BB526+IFERROR(OFFSET(ITEM_RES!$T$1,MATCH(BE526,ITEM_RES!$A:$A,0)-1,0),0)*BG526+IFERROR(OFFSET(ITEM_RES!$T$1,MATCH(BJ526,ITEM_RES!$A:$A,0)-1,0),0)*BL526+IFERROR(OFFSET(ITEM_RES!$T$1,MATCH(BO526,ITEM_RES!$A:$A,0)-1,0),0)*BQ526)/1000</f>
        <v>25</v>
      </c>
      <c r="AK526" s="183">
        <f t="shared" ref="AK526:AK544" ca="1" si="146">AJ525+AJ526</f>
        <v>237.5</v>
      </c>
      <c r="AM526" s="11">
        <f t="shared" si="137"/>
        <v>10</v>
      </c>
      <c r="AN526" s="10">
        <v>10</v>
      </c>
      <c r="AO526" s="11">
        <f t="shared" si="144"/>
        <v>10</v>
      </c>
      <c r="AP526" s="10">
        <v>10</v>
      </c>
      <c r="AQ526" s="11">
        <f t="shared" si="144"/>
        <v>10</v>
      </c>
      <c r="AR526" s="10">
        <v>10</v>
      </c>
      <c r="AS526" s="56">
        <f t="shared" si="139"/>
        <v>1</v>
      </c>
      <c r="AU526" s="11">
        <f ca="1">IFERROR(OFFSET(ITEM_RES!$A$1,MATCH(AV526,ITEM_RES!$J:$J,0)-1,0),0)</f>
        <v>211020801</v>
      </c>
      <c r="AV526" s="10" t="s">
        <v>446</v>
      </c>
      <c r="AW526" s="11">
        <v>50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41"/>
        <v>115040003</v>
      </c>
      <c r="B527" s="13">
        <v>11</v>
      </c>
      <c r="C527" s="12">
        <f t="shared" si="142"/>
        <v>5</v>
      </c>
      <c r="D527" s="13">
        <v>4</v>
      </c>
      <c r="E527" s="13">
        <v>0</v>
      </c>
      <c r="F527" s="12">
        <f t="shared" si="143"/>
        <v>3</v>
      </c>
      <c r="H527" s="9">
        <v>5</v>
      </c>
      <c r="I527" s="9">
        <v>3</v>
      </c>
      <c r="K527" s="9" t="s">
        <v>370</v>
      </c>
      <c r="O527" s="9">
        <v>1</v>
      </c>
      <c r="P527" s="9">
        <v>15</v>
      </c>
      <c r="U527" s="9">
        <v>5555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369</v>
      </c>
      <c r="AD527" s="9">
        <v>3</v>
      </c>
      <c r="AF527" s="9">
        <v>1200</v>
      </c>
      <c r="AI527" s="56">
        <f t="shared" ca="1" si="138"/>
        <v>38</v>
      </c>
      <c r="AJ527" s="10">
        <f ca="1">AO527+AQ527+(IFERROR(OFFSET(ITEM_RES!$T$1,MATCH(AU527,ITEM_RES!$A:$A,0)-1,0),0)*AW527+IFERROR(OFFSET(ITEM_RES!$T$1,MATCH(AZ527,ITEM_RES!$A:$A,0)-1,0),0)*BB527+IFERROR(OFFSET(ITEM_RES!$T$1,MATCH(BE527,ITEM_RES!$A:$A,0)-1,0),0)*BG527+IFERROR(OFFSET(ITEM_RES!$T$1,MATCH(BJ527,ITEM_RES!$A:$A,0)-1,0),0)*BL527+IFERROR(OFFSET(ITEM_RES!$T$1,MATCH(BO527,ITEM_RES!$A:$A,0)-1,0),0)*BQ527)/1000</f>
        <v>37.5</v>
      </c>
      <c r="AK527" s="183">
        <f t="shared" ca="1" si="146"/>
        <v>62.5</v>
      </c>
      <c r="AM527" s="11">
        <f t="shared" si="137"/>
        <v>15</v>
      </c>
      <c r="AN527" s="10">
        <v>15</v>
      </c>
      <c r="AO527" s="11">
        <f t="shared" si="144"/>
        <v>15</v>
      </c>
      <c r="AP527" s="10">
        <v>15</v>
      </c>
      <c r="AQ527" s="11">
        <f t="shared" si="144"/>
        <v>15</v>
      </c>
      <c r="AR527" s="10">
        <v>15</v>
      </c>
      <c r="AS527" s="56">
        <f t="shared" si="139"/>
        <v>1</v>
      </c>
      <c r="AU527" s="11">
        <f ca="1">IFERROR(OFFSET(ITEM_RES!$A$1,MATCH(AV527,ITEM_RES!$J:$J,0)-1,0),0)</f>
        <v>211020801</v>
      </c>
      <c r="AV527" s="10" t="s">
        <v>446</v>
      </c>
      <c r="AW527" s="11">
        <v>75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41"/>
        <v>115040004</v>
      </c>
      <c r="B528" s="13">
        <v>11</v>
      </c>
      <c r="C528" s="12">
        <f t="shared" si="142"/>
        <v>5</v>
      </c>
      <c r="D528" s="13">
        <v>4</v>
      </c>
      <c r="E528" s="13">
        <v>0</v>
      </c>
      <c r="F528" s="12">
        <f t="shared" si="143"/>
        <v>4</v>
      </c>
      <c r="H528" s="9">
        <v>5</v>
      </c>
      <c r="I528" s="9">
        <v>4</v>
      </c>
      <c r="K528" s="9" t="s">
        <v>369</v>
      </c>
      <c r="O528" s="9">
        <v>1</v>
      </c>
      <c r="P528" s="9">
        <v>15</v>
      </c>
      <c r="U528" s="9">
        <v>5555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369</v>
      </c>
      <c r="AD528" s="9">
        <v>4</v>
      </c>
      <c r="AF528" s="9">
        <v>2000</v>
      </c>
      <c r="AI528" s="56">
        <f t="shared" ca="1" si="138"/>
        <v>63</v>
      </c>
      <c r="AJ528" s="10">
        <f ca="1">AO528+AQ528+(IFERROR(OFFSET(ITEM_RES!$T$1,MATCH(AU528,ITEM_RES!$A:$A,0)-1,0),0)*AW528+IFERROR(OFFSET(ITEM_RES!$T$1,MATCH(AZ528,ITEM_RES!$A:$A,0)-1,0),0)*BB528+IFERROR(OFFSET(ITEM_RES!$T$1,MATCH(BE528,ITEM_RES!$A:$A,0)-1,0),0)*BG528+IFERROR(OFFSET(ITEM_RES!$T$1,MATCH(BJ528,ITEM_RES!$A:$A,0)-1,0),0)*BL528+IFERROR(OFFSET(ITEM_RES!$T$1,MATCH(BO528,ITEM_RES!$A:$A,0)-1,0),0)*BQ528)/1000</f>
        <v>62.5</v>
      </c>
      <c r="AK528" s="183">
        <f t="shared" ca="1" si="146"/>
        <v>100</v>
      </c>
      <c r="AM528" s="11">
        <f t="shared" si="137"/>
        <v>20</v>
      </c>
      <c r="AN528" s="10">
        <v>20</v>
      </c>
      <c r="AO528" s="11">
        <f t="shared" si="144"/>
        <v>25</v>
      </c>
      <c r="AP528" s="10">
        <v>25</v>
      </c>
      <c r="AQ528" s="11">
        <f t="shared" si="144"/>
        <v>25</v>
      </c>
      <c r="AR528" s="10">
        <v>25</v>
      </c>
      <c r="AS528" s="56">
        <f t="shared" si="139"/>
        <v>1</v>
      </c>
      <c r="AU528" s="11">
        <f ca="1">IFERROR(OFFSET(ITEM_RES!$A$1,MATCH(AV528,ITEM_RES!$J:$J,0)-1,0),0)</f>
        <v>211020801</v>
      </c>
      <c r="AV528" s="10" t="s">
        <v>446</v>
      </c>
      <c r="AW528" s="11">
        <v>125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41"/>
        <v>115040005</v>
      </c>
      <c r="B529" s="13">
        <v>11</v>
      </c>
      <c r="C529" s="12">
        <f t="shared" si="142"/>
        <v>5</v>
      </c>
      <c r="D529" s="13">
        <v>4</v>
      </c>
      <c r="E529" s="13">
        <v>0</v>
      </c>
      <c r="F529" s="12">
        <f t="shared" si="143"/>
        <v>5</v>
      </c>
      <c r="H529" s="9">
        <v>5</v>
      </c>
      <c r="I529" s="9">
        <v>5</v>
      </c>
      <c r="K529" s="9" t="s">
        <v>369</v>
      </c>
      <c r="O529" s="9">
        <v>1</v>
      </c>
      <c r="P529" s="9">
        <v>15</v>
      </c>
      <c r="U529" s="9">
        <v>5555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369</v>
      </c>
      <c r="AD529" s="9">
        <v>5</v>
      </c>
      <c r="AF529" s="9">
        <v>3200</v>
      </c>
      <c r="AI529" s="56">
        <f t="shared" ca="1" si="138"/>
        <v>100</v>
      </c>
      <c r="AJ529" s="10">
        <f ca="1">AO529+AQ529+(IFERROR(OFFSET(ITEM_RES!$T$1,MATCH(AU529,ITEM_RES!$A:$A,0)-1,0),0)*AW529+IFERROR(OFFSET(ITEM_RES!$T$1,MATCH(AZ529,ITEM_RES!$A:$A,0)-1,0),0)*BB529+IFERROR(OFFSET(ITEM_RES!$T$1,MATCH(BE529,ITEM_RES!$A:$A,0)-1,0),0)*BG529+IFERROR(OFFSET(ITEM_RES!$T$1,MATCH(BJ529,ITEM_RES!$A:$A,0)-1,0),0)*BL529+IFERROR(OFFSET(ITEM_RES!$T$1,MATCH(BO529,ITEM_RES!$A:$A,0)-1,0),0)*BQ529)/1000</f>
        <v>100</v>
      </c>
      <c r="AK529" s="183">
        <f t="shared" ca="1" si="146"/>
        <v>162.5</v>
      </c>
      <c r="AM529" s="11">
        <f t="shared" si="137"/>
        <v>25</v>
      </c>
      <c r="AN529" s="10">
        <v>25</v>
      </c>
      <c r="AO529" s="11">
        <f t="shared" si="144"/>
        <v>40</v>
      </c>
      <c r="AP529" s="10">
        <v>40</v>
      </c>
      <c r="AQ529" s="11">
        <f t="shared" si="144"/>
        <v>40</v>
      </c>
      <c r="AR529" s="10">
        <v>40</v>
      </c>
      <c r="AS529" s="56">
        <f t="shared" si="139"/>
        <v>1</v>
      </c>
      <c r="AU529" s="11">
        <f ca="1">IFERROR(OFFSET(ITEM_RES!$A$1,MATCH(AV529,ITEM_RES!$J:$J,0)-1,0),0)</f>
        <v>211020801</v>
      </c>
      <c r="AV529" s="10" t="s">
        <v>446</v>
      </c>
      <c r="AW529" s="11">
        <v>200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41"/>
        <v>115040006</v>
      </c>
      <c r="B530" s="13">
        <v>11</v>
      </c>
      <c r="C530" s="12">
        <f t="shared" si="142"/>
        <v>5</v>
      </c>
      <c r="D530" s="13">
        <v>4</v>
      </c>
      <c r="E530" s="13">
        <v>0</v>
      </c>
      <c r="F530" s="12">
        <f t="shared" si="143"/>
        <v>6</v>
      </c>
      <c r="H530" s="9">
        <v>5</v>
      </c>
      <c r="I530" s="9">
        <v>6</v>
      </c>
      <c r="K530" s="9" t="s">
        <v>369</v>
      </c>
      <c r="O530" s="9">
        <v>1</v>
      </c>
      <c r="P530" s="9">
        <v>15</v>
      </c>
      <c r="U530" s="9">
        <v>5555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369</v>
      </c>
      <c r="AD530" s="9">
        <v>6</v>
      </c>
      <c r="AF530" s="9">
        <v>4000</v>
      </c>
      <c r="AI530" s="56">
        <f t="shared" ca="1" si="138"/>
        <v>125</v>
      </c>
      <c r="AJ530" s="10">
        <f ca="1">AO530+AQ530+(IFERROR(OFFSET(ITEM_RES!$T$1,MATCH(AU530,ITEM_RES!$A:$A,0)-1,0),0)*AW530+IFERROR(OFFSET(ITEM_RES!$T$1,MATCH(AZ530,ITEM_RES!$A:$A,0)-1,0),0)*BB530+IFERROR(OFFSET(ITEM_RES!$T$1,MATCH(BE530,ITEM_RES!$A:$A,0)-1,0),0)*BG530+IFERROR(OFFSET(ITEM_RES!$T$1,MATCH(BJ530,ITEM_RES!$A:$A,0)-1,0),0)*BL530+IFERROR(OFFSET(ITEM_RES!$T$1,MATCH(BO530,ITEM_RES!$A:$A,0)-1,0),0)*BQ530)/1000</f>
        <v>125</v>
      </c>
      <c r="AK530" s="183">
        <f t="shared" ca="1" si="146"/>
        <v>225</v>
      </c>
      <c r="AM530" s="11">
        <f t="shared" si="137"/>
        <v>30</v>
      </c>
      <c r="AN530" s="10">
        <v>30</v>
      </c>
      <c r="AO530" s="11">
        <f t="shared" si="144"/>
        <v>50</v>
      </c>
      <c r="AP530" s="10">
        <v>50</v>
      </c>
      <c r="AQ530" s="11">
        <f t="shared" si="144"/>
        <v>50</v>
      </c>
      <c r="AR530" s="10">
        <v>50</v>
      </c>
      <c r="AS530" s="56">
        <f t="shared" si="139"/>
        <v>1</v>
      </c>
      <c r="AU530" s="11">
        <f ca="1">IFERROR(OFFSET(ITEM_RES!$A$1,MATCH(AV530,ITEM_RES!$J:$J,0)-1,0),0)</f>
        <v>211020801</v>
      </c>
      <c r="AV530" s="10" t="s">
        <v>446</v>
      </c>
      <c r="AW530" s="11">
        <v>250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41"/>
        <v>115040007</v>
      </c>
      <c r="B531" s="13">
        <v>11</v>
      </c>
      <c r="C531" s="12">
        <f t="shared" si="142"/>
        <v>5</v>
      </c>
      <c r="D531" s="13">
        <v>4</v>
      </c>
      <c r="E531" s="13">
        <v>0</v>
      </c>
      <c r="F531" s="12">
        <f t="shared" si="143"/>
        <v>7</v>
      </c>
      <c r="H531" s="9">
        <v>5</v>
      </c>
      <c r="I531" s="9">
        <v>7</v>
      </c>
      <c r="K531" s="9" t="s">
        <v>369</v>
      </c>
      <c r="O531" s="9">
        <v>1</v>
      </c>
      <c r="P531" s="9">
        <v>15</v>
      </c>
      <c r="U531" s="9">
        <v>5555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369</v>
      </c>
      <c r="AD531" s="9">
        <v>7</v>
      </c>
      <c r="AF531" s="9">
        <v>8000</v>
      </c>
      <c r="AI531" s="56">
        <f t="shared" ca="1" si="138"/>
        <v>250</v>
      </c>
      <c r="AJ531" s="10">
        <f ca="1">AO531+AQ531+(IFERROR(OFFSET(ITEM_RES!$T$1,MATCH(AU531,ITEM_RES!$A:$A,0)-1,0),0)*AW531+IFERROR(OFFSET(ITEM_RES!$T$1,MATCH(AZ531,ITEM_RES!$A:$A,0)-1,0),0)*BB531+IFERROR(OFFSET(ITEM_RES!$T$1,MATCH(BE531,ITEM_RES!$A:$A,0)-1,0),0)*BG531+IFERROR(OFFSET(ITEM_RES!$T$1,MATCH(BJ531,ITEM_RES!$A:$A,0)-1,0),0)*BL531+IFERROR(OFFSET(ITEM_RES!$T$1,MATCH(BO531,ITEM_RES!$A:$A,0)-1,0),0)*BQ531)/1000</f>
        <v>250</v>
      </c>
      <c r="AK531" s="183">
        <f t="shared" ca="1" si="146"/>
        <v>375</v>
      </c>
      <c r="AM531" s="11">
        <f t="shared" si="137"/>
        <v>35</v>
      </c>
      <c r="AN531" s="10">
        <v>35</v>
      </c>
      <c r="AO531" s="11">
        <f t="shared" si="144"/>
        <v>100</v>
      </c>
      <c r="AP531" s="10">
        <v>100</v>
      </c>
      <c r="AQ531" s="11">
        <f t="shared" si="144"/>
        <v>100</v>
      </c>
      <c r="AR531" s="10">
        <v>100</v>
      </c>
      <c r="AS531" s="56">
        <f t="shared" si="139"/>
        <v>1</v>
      </c>
      <c r="AU531" s="11">
        <f ca="1">IFERROR(OFFSET(ITEM_RES!$A$1,MATCH(AV531,ITEM_RES!$J:$J,0)-1,0),0)</f>
        <v>211020801</v>
      </c>
      <c r="AV531" s="10" t="s">
        <v>446</v>
      </c>
      <c r="AW531" s="11">
        <v>500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41"/>
        <v>115040008</v>
      </c>
      <c r="B532" s="13">
        <v>11</v>
      </c>
      <c r="C532" s="12">
        <f t="shared" si="142"/>
        <v>5</v>
      </c>
      <c r="D532" s="13">
        <v>4</v>
      </c>
      <c r="E532" s="13">
        <v>0</v>
      </c>
      <c r="F532" s="12">
        <f t="shared" si="143"/>
        <v>8</v>
      </c>
      <c r="H532" s="9">
        <v>5</v>
      </c>
      <c r="I532" s="9">
        <v>8</v>
      </c>
      <c r="K532" s="9" t="s">
        <v>369</v>
      </c>
      <c r="O532" s="9">
        <v>1</v>
      </c>
      <c r="P532" s="9">
        <v>15</v>
      </c>
      <c r="U532" s="9">
        <v>5555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369</v>
      </c>
      <c r="AD532" s="9">
        <v>8</v>
      </c>
      <c r="AF532" s="9">
        <v>8000</v>
      </c>
      <c r="AI532" s="56">
        <f t="shared" ca="1" si="138"/>
        <v>250</v>
      </c>
      <c r="AJ532" s="10">
        <f ca="1">AO532+AQ532+(IFERROR(OFFSET(ITEM_RES!$T$1,MATCH(AU532,ITEM_RES!$A:$A,0)-1,0),0)*AW532+IFERROR(OFFSET(ITEM_RES!$T$1,MATCH(AZ532,ITEM_RES!$A:$A,0)-1,0),0)*BB532+IFERROR(OFFSET(ITEM_RES!$T$1,MATCH(BE532,ITEM_RES!$A:$A,0)-1,0),0)*BG532+IFERROR(OFFSET(ITEM_RES!$T$1,MATCH(BJ532,ITEM_RES!$A:$A,0)-1,0),0)*BL532+IFERROR(OFFSET(ITEM_RES!$T$1,MATCH(BO532,ITEM_RES!$A:$A,0)-1,0),0)*BQ532)/1000</f>
        <v>250</v>
      </c>
      <c r="AK532" s="183">
        <f t="shared" ca="1" si="146"/>
        <v>500</v>
      </c>
      <c r="AM532" s="11">
        <f t="shared" si="137"/>
        <v>40</v>
      </c>
      <c r="AN532" s="10">
        <v>40</v>
      </c>
      <c r="AO532" s="11">
        <f t="shared" si="144"/>
        <v>100</v>
      </c>
      <c r="AP532" s="10">
        <v>100</v>
      </c>
      <c r="AQ532" s="11">
        <f t="shared" si="144"/>
        <v>100</v>
      </c>
      <c r="AR532" s="10">
        <v>100</v>
      </c>
      <c r="AS532" s="56">
        <f t="shared" si="139"/>
        <v>1</v>
      </c>
      <c r="AU532" s="11">
        <f ca="1">IFERROR(OFFSET(ITEM_RES!$A$1,MATCH(AV532,ITEM_RES!$J:$J,0)-1,0),0)</f>
        <v>211020801</v>
      </c>
      <c r="AV532" s="10" t="s">
        <v>446</v>
      </c>
      <c r="AW532" s="11">
        <v>500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  <c r="BO532" s="11">
        <f ca="1">IFERROR(OFFSET(ITEM_RES!$A$1,MATCH(BP532,ITEM_RES!$J:$J,0)-1,0),0)</f>
        <v>0</v>
      </c>
    </row>
    <row r="533" spans="1:67" x14ac:dyDescent="0.3">
      <c r="A533" s="14">
        <f t="shared" si="141"/>
        <v>115040009</v>
      </c>
      <c r="B533" s="13">
        <v>11</v>
      </c>
      <c r="C533" s="12">
        <f t="shared" si="142"/>
        <v>5</v>
      </c>
      <c r="D533" s="13">
        <v>4</v>
      </c>
      <c r="E533" s="13">
        <v>0</v>
      </c>
      <c r="F533" s="12">
        <f t="shared" si="143"/>
        <v>9</v>
      </c>
      <c r="H533" s="9">
        <v>5</v>
      </c>
      <c r="I533" s="9">
        <v>9</v>
      </c>
      <c r="K533" s="9" t="s">
        <v>369</v>
      </c>
      <c r="O533" s="9">
        <v>1</v>
      </c>
      <c r="P533" s="9">
        <v>15</v>
      </c>
      <c r="U533" s="9">
        <v>5555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369</v>
      </c>
      <c r="AD533" s="9">
        <v>9</v>
      </c>
      <c r="AF533" s="9">
        <v>12000</v>
      </c>
      <c r="AI533" s="56">
        <f t="shared" ca="1" si="138"/>
        <v>375</v>
      </c>
      <c r="AJ533" s="10">
        <f ca="1">AO533+AQ533+(IFERROR(OFFSET(ITEM_RES!$T$1,MATCH(AU533,ITEM_RES!$A:$A,0)-1,0),0)*AW533+IFERROR(OFFSET(ITEM_RES!$T$1,MATCH(AZ533,ITEM_RES!$A:$A,0)-1,0),0)*BB533+IFERROR(OFFSET(ITEM_RES!$T$1,MATCH(BE533,ITEM_RES!$A:$A,0)-1,0),0)*BG533+IFERROR(OFFSET(ITEM_RES!$T$1,MATCH(BJ533,ITEM_RES!$A:$A,0)-1,0),0)*BL533+IFERROR(OFFSET(ITEM_RES!$T$1,MATCH(BO533,ITEM_RES!$A:$A,0)-1,0),0)*BQ533)/1000</f>
        <v>375</v>
      </c>
      <c r="AK533" s="183">
        <f t="shared" ca="1" si="146"/>
        <v>625</v>
      </c>
      <c r="AM533" s="11">
        <f t="shared" si="137"/>
        <v>45</v>
      </c>
      <c r="AN533" s="10">
        <v>45</v>
      </c>
      <c r="AO533" s="11">
        <f t="shared" si="144"/>
        <v>150</v>
      </c>
      <c r="AP533" s="10">
        <v>150</v>
      </c>
      <c r="AQ533" s="11">
        <f t="shared" si="144"/>
        <v>150</v>
      </c>
      <c r="AR533" s="10">
        <v>150</v>
      </c>
      <c r="AS533" s="56">
        <f t="shared" si="139"/>
        <v>1</v>
      </c>
      <c r="AU533" s="11">
        <f ca="1">IFERROR(OFFSET(ITEM_RES!$A$1,MATCH(AV533,ITEM_RES!$J:$J,0)-1,0),0)</f>
        <v>211020801</v>
      </c>
      <c r="AV533" s="10" t="s">
        <v>446</v>
      </c>
      <c r="AW533" s="11">
        <v>750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41"/>
        <v>115040010</v>
      </c>
      <c r="B534" s="13">
        <v>11</v>
      </c>
      <c r="C534" s="12">
        <f t="shared" si="142"/>
        <v>5</v>
      </c>
      <c r="D534" s="13">
        <v>4</v>
      </c>
      <c r="E534" s="13">
        <v>0</v>
      </c>
      <c r="F534" s="12">
        <f t="shared" si="143"/>
        <v>10</v>
      </c>
      <c r="H534" s="9">
        <v>5</v>
      </c>
      <c r="I534" s="9">
        <v>10</v>
      </c>
      <c r="K534" s="9" t="s">
        <v>369</v>
      </c>
      <c r="O534" s="9">
        <v>1</v>
      </c>
      <c r="P534" s="9">
        <v>15</v>
      </c>
      <c r="U534" s="9">
        <v>5555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369</v>
      </c>
      <c r="AD534" s="9">
        <v>10</v>
      </c>
      <c r="AF534" s="9">
        <v>16000</v>
      </c>
      <c r="AI534" s="56">
        <f t="shared" ca="1" si="138"/>
        <v>500</v>
      </c>
      <c r="AJ534" s="10">
        <f ca="1">AO534+AQ534+(IFERROR(OFFSET(ITEM_RES!$T$1,MATCH(AU534,ITEM_RES!$A:$A,0)-1,0),0)*AW534+IFERROR(OFFSET(ITEM_RES!$T$1,MATCH(AZ534,ITEM_RES!$A:$A,0)-1,0),0)*BB534+IFERROR(OFFSET(ITEM_RES!$T$1,MATCH(BE534,ITEM_RES!$A:$A,0)-1,0),0)*BG534+IFERROR(OFFSET(ITEM_RES!$T$1,MATCH(BJ534,ITEM_RES!$A:$A,0)-1,0),0)*BL534+IFERROR(OFFSET(ITEM_RES!$T$1,MATCH(BO534,ITEM_RES!$A:$A,0)-1,0),0)*BQ534)/1000</f>
        <v>500</v>
      </c>
      <c r="AK534" s="183">
        <f t="shared" ca="1" si="146"/>
        <v>875</v>
      </c>
      <c r="AM534" s="11">
        <f t="shared" si="137"/>
        <v>50</v>
      </c>
      <c r="AN534" s="10">
        <v>50</v>
      </c>
      <c r="AO534" s="11">
        <f t="shared" si="144"/>
        <v>200</v>
      </c>
      <c r="AP534" s="10">
        <v>200</v>
      </c>
      <c r="AQ534" s="11">
        <f t="shared" si="144"/>
        <v>200</v>
      </c>
      <c r="AR534" s="10">
        <v>200</v>
      </c>
      <c r="AS534" s="56">
        <f t="shared" si="139"/>
        <v>1</v>
      </c>
      <c r="AU534" s="11">
        <f ca="1">IFERROR(OFFSET(ITEM_RES!$A$1,MATCH(AV534,ITEM_RES!$J:$J,0)-1,0),0)</f>
        <v>211020801</v>
      </c>
      <c r="AV534" s="10" t="s">
        <v>446</v>
      </c>
      <c r="AW534" s="11">
        <v>1000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41"/>
        <v>115040011</v>
      </c>
      <c r="B535" s="13">
        <v>11</v>
      </c>
      <c r="C535" s="12">
        <f t="shared" si="142"/>
        <v>5</v>
      </c>
      <c r="D535" s="13">
        <v>4</v>
      </c>
      <c r="E535" s="13">
        <v>0</v>
      </c>
      <c r="F535" s="12">
        <f t="shared" si="143"/>
        <v>11</v>
      </c>
      <c r="H535" s="9">
        <v>5</v>
      </c>
      <c r="I535" s="9">
        <v>11</v>
      </c>
      <c r="K535" s="9" t="s">
        <v>369</v>
      </c>
      <c r="O535" s="9">
        <v>1</v>
      </c>
      <c r="P535" s="9">
        <v>15</v>
      </c>
      <c r="U535" s="9">
        <v>5555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369</v>
      </c>
      <c r="AD535" s="9">
        <v>11</v>
      </c>
      <c r="AF535" s="9">
        <v>20000</v>
      </c>
      <c r="AI535" s="56">
        <f t="shared" ca="1" si="138"/>
        <v>625</v>
      </c>
      <c r="AJ535" s="10">
        <f ca="1">AO535+AQ535+(IFERROR(OFFSET(ITEM_RES!$T$1,MATCH(AU535,ITEM_RES!$A:$A,0)-1,0),0)*AW535+IFERROR(OFFSET(ITEM_RES!$T$1,MATCH(AZ535,ITEM_RES!$A:$A,0)-1,0),0)*BB535+IFERROR(OFFSET(ITEM_RES!$T$1,MATCH(BE535,ITEM_RES!$A:$A,0)-1,0),0)*BG535+IFERROR(OFFSET(ITEM_RES!$T$1,MATCH(BJ535,ITEM_RES!$A:$A,0)-1,0),0)*BL535+IFERROR(OFFSET(ITEM_RES!$T$1,MATCH(BO535,ITEM_RES!$A:$A,0)-1,0),0)*BQ535)/1000</f>
        <v>625</v>
      </c>
      <c r="AK535" s="183">
        <f t="shared" ca="1" si="146"/>
        <v>1125</v>
      </c>
      <c r="AM535" s="11">
        <f t="shared" si="137"/>
        <v>55</v>
      </c>
      <c r="AN535" s="10">
        <v>55</v>
      </c>
      <c r="AO535" s="11">
        <f t="shared" si="144"/>
        <v>250</v>
      </c>
      <c r="AP535" s="10">
        <v>250</v>
      </c>
      <c r="AQ535" s="11">
        <f t="shared" si="144"/>
        <v>250</v>
      </c>
      <c r="AR535" s="10">
        <v>250</v>
      </c>
      <c r="AS535" s="56">
        <f t="shared" si="139"/>
        <v>1</v>
      </c>
      <c r="AU535" s="11">
        <f ca="1">IFERROR(OFFSET(ITEM_RES!$A$1,MATCH(AV535,ITEM_RES!$J:$J,0)-1,0),0)</f>
        <v>211020801</v>
      </c>
      <c r="AV535" s="10" t="s">
        <v>446</v>
      </c>
      <c r="AW535" s="11">
        <v>1250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41"/>
        <v>115040012</v>
      </c>
      <c r="B536" s="13">
        <v>11</v>
      </c>
      <c r="C536" s="12">
        <f t="shared" si="142"/>
        <v>5</v>
      </c>
      <c r="D536" s="13">
        <v>4</v>
      </c>
      <c r="E536" s="13">
        <v>0</v>
      </c>
      <c r="F536" s="12">
        <f t="shared" si="143"/>
        <v>12</v>
      </c>
      <c r="H536" s="9">
        <v>5</v>
      </c>
      <c r="I536" s="9">
        <v>12</v>
      </c>
      <c r="K536" s="9" t="s">
        <v>369</v>
      </c>
      <c r="O536" s="9">
        <v>1</v>
      </c>
      <c r="P536" s="9">
        <v>15</v>
      </c>
      <c r="U536" s="9">
        <v>5555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369</v>
      </c>
      <c r="AD536" s="9">
        <v>12</v>
      </c>
      <c r="AF536" s="9">
        <v>24000</v>
      </c>
      <c r="AI536" s="56">
        <f t="shared" ca="1" si="138"/>
        <v>1750</v>
      </c>
      <c r="AJ536" s="10">
        <f ca="1">AO536+AQ536+(IFERROR(OFFSET(ITEM_RES!$T$1,MATCH(AU536,ITEM_RES!$A:$A,0)-1,0),0)*AW536+IFERROR(OFFSET(ITEM_RES!$T$1,MATCH(AZ536,ITEM_RES!$A:$A,0)-1,0),0)*BB536+IFERROR(OFFSET(ITEM_RES!$T$1,MATCH(BE536,ITEM_RES!$A:$A,0)-1,0),0)*BG536+IFERROR(OFFSET(ITEM_RES!$T$1,MATCH(BJ536,ITEM_RES!$A:$A,0)-1,0),0)*BL536+IFERROR(OFFSET(ITEM_RES!$T$1,MATCH(BO536,ITEM_RES!$A:$A,0)-1,0),0)*BQ536)/1000</f>
        <v>1750</v>
      </c>
      <c r="AK536" s="183">
        <f t="shared" ca="1" si="146"/>
        <v>2375</v>
      </c>
      <c r="AM536" s="11">
        <f t="shared" si="137"/>
        <v>60</v>
      </c>
      <c r="AN536" s="10">
        <v>60</v>
      </c>
      <c r="AO536" s="11">
        <f t="shared" si="144"/>
        <v>300</v>
      </c>
      <c r="AP536" s="10">
        <v>300</v>
      </c>
      <c r="AQ536" s="11">
        <f t="shared" si="144"/>
        <v>300</v>
      </c>
      <c r="AR536" s="10">
        <v>300</v>
      </c>
      <c r="AS536" s="56">
        <f t="shared" si="139"/>
        <v>2</v>
      </c>
      <c r="AU536" s="11">
        <f ca="1">IFERROR(OFFSET(ITEM_RES!$A$1,MATCH(AV536,ITEM_RES!$J:$J,0)-1,0),0)</f>
        <v>211020801</v>
      </c>
      <c r="AV536" s="10" t="s">
        <v>446</v>
      </c>
      <c r="AW536" s="11">
        <v>1500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213011701</v>
      </c>
      <c r="BK536" s="10" t="s">
        <v>489</v>
      </c>
      <c r="BL536" s="11">
        <v>1</v>
      </c>
      <c r="BO536" s="11">
        <f ca="1">IFERROR(OFFSET(ITEM_RES!$A$1,MATCH(BP536,ITEM_RES!$J:$J,0)-1,0),0)</f>
        <v>0</v>
      </c>
    </row>
    <row r="537" spans="1:67" x14ac:dyDescent="0.3">
      <c r="A537" s="14">
        <f t="shared" si="141"/>
        <v>115040013</v>
      </c>
      <c r="B537" s="13">
        <v>11</v>
      </c>
      <c r="C537" s="12">
        <f t="shared" si="142"/>
        <v>5</v>
      </c>
      <c r="D537" s="13">
        <v>4</v>
      </c>
      <c r="E537" s="13">
        <v>0</v>
      </c>
      <c r="F537" s="12">
        <f t="shared" si="143"/>
        <v>13</v>
      </c>
      <c r="H537" s="9">
        <v>5</v>
      </c>
      <c r="I537" s="9">
        <v>13</v>
      </c>
      <c r="K537" s="9" t="s">
        <v>369</v>
      </c>
      <c r="O537" s="9">
        <v>1</v>
      </c>
      <c r="P537" s="9">
        <v>15</v>
      </c>
      <c r="U537" s="9">
        <v>5555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369</v>
      </c>
      <c r="AD537" s="9">
        <v>13</v>
      </c>
      <c r="AF537" s="9">
        <v>28000</v>
      </c>
      <c r="AI537" s="56">
        <f t="shared" ca="1" si="138"/>
        <v>1050</v>
      </c>
      <c r="AJ537" s="10">
        <f ca="1">AO537+AQ537+(IFERROR(OFFSET(ITEM_RES!$T$1,MATCH(AU537,ITEM_RES!$A:$A,0)-1,0),0)*AW537+IFERROR(OFFSET(ITEM_RES!$T$1,MATCH(AZ537,ITEM_RES!$A:$A,0)-1,0),0)*BB537+IFERROR(OFFSET(ITEM_RES!$T$1,MATCH(BE537,ITEM_RES!$A:$A,0)-1,0),0)*BG537+IFERROR(OFFSET(ITEM_RES!$T$1,MATCH(BJ537,ITEM_RES!$A:$A,0)-1,0),0)*BL537+IFERROR(OFFSET(ITEM_RES!$T$1,MATCH(BO537,ITEM_RES!$A:$A,0)-1,0),0)*BQ537)/1000</f>
        <v>1050</v>
      </c>
      <c r="AK537" s="183">
        <f t="shared" ca="1" si="146"/>
        <v>2800</v>
      </c>
      <c r="AM537" s="11">
        <f t="shared" ref="AM537:AM544" si="147">ROUND(AN537,0)</f>
        <v>65</v>
      </c>
      <c r="AN537" s="10">
        <v>65</v>
      </c>
      <c r="AO537" s="11">
        <f t="shared" si="144"/>
        <v>350</v>
      </c>
      <c r="AP537" s="10">
        <v>350</v>
      </c>
      <c r="AQ537" s="11">
        <f t="shared" si="144"/>
        <v>350</v>
      </c>
      <c r="AR537" s="10">
        <v>350</v>
      </c>
      <c r="AS537" s="56">
        <f t="shared" si="139"/>
        <v>1</v>
      </c>
      <c r="AU537" s="11">
        <f ca="1">IFERROR(OFFSET(ITEM_RES!$A$1,MATCH(AV537,ITEM_RES!$J:$J,0)-1,0),0)</f>
        <v>211020901</v>
      </c>
      <c r="AV537" s="10" t="s">
        <v>454</v>
      </c>
      <c r="AW537" s="11">
        <v>1750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41"/>
        <v>115040014</v>
      </c>
      <c r="B538" s="13">
        <v>11</v>
      </c>
      <c r="C538" s="12">
        <f t="shared" si="142"/>
        <v>5</v>
      </c>
      <c r="D538" s="13">
        <v>4</v>
      </c>
      <c r="E538" s="13">
        <v>0</v>
      </c>
      <c r="F538" s="12">
        <f t="shared" si="143"/>
        <v>14</v>
      </c>
      <c r="H538" s="9">
        <v>5</v>
      </c>
      <c r="I538" s="9">
        <v>14</v>
      </c>
      <c r="K538" s="9" t="s">
        <v>369</v>
      </c>
      <c r="O538" s="9">
        <v>1</v>
      </c>
      <c r="P538" s="9">
        <v>15</v>
      </c>
      <c r="U538" s="9">
        <v>5555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369</v>
      </c>
      <c r="AD538" s="9">
        <v>14</v>
      </c>
      <c r="AF538" s="9">
        <v>36000</v>
      </c>
      <c r="AI538" s="56">
        <f t="shared" ref="AI538:AI544" ca="1" si="148">ROUND(AJ538,0)</f>
        <v>1350</v>
      </c>
      <c r="AJ538" s="10">
        <f ca="1">AO538+AQ538+(IFERROR(OFFSET(ITEM_RES!$T$1,MATCH(AU538,ITEM_RES!$A:$A,0)-1,0),0)*AW538+IFERROR(OFFSET(ITEM_RES!$T$1,MATCH(AZ538,ITEM_RES!$A:$A,0)-1,0),0)*BB538+IFERROR(OFFSET(ITEM_RES!$T$1,MATCH(BE538,ITEM_RES!$A:$A,0)-1,0),0)*BG538+IFERROR(OFFSET(ITEM_RES!$T$1,MATCH(BJ538,ITEM_RES!$A:$A,0)-1,0),0)*BL538+IFERROR(OFFSET(ITEM_RES!$T$1,MATCH(BO538,ITEM_RES!$A:$A,0)-1,0),0)*BQ538)/1000</f>
        <v>1350</v>
      </c>
      <c r="AK538" s="183">
        <f t="shared" ca="1" si="146"/>
        <v>2400</v>
      </c>
      <c r="AM538" s="11">
        <f t="shared" si="147"/>
        <v>70</v>
      </c>
      <c r="AN538" s="10">
        <v>70</v>
      </c>
      <c r="AO538" s="11">
        <f t="shared" si="144"/>
        <v>450</v>
      </c>
      <c r="AP538" s="10">
        <v>450</v>
      </c>
      <c r="AQ538" s="11">
        <f t="shared" si="144"/>
        <v>450</v>
      </c>
      <c r="AR538" s="10">
        <v>450</v>
      </c>
      <c r="AS538" s="56">
        <f t="shared" ref="AS538:AS544" si="149">(AW538&gt;0)*1+(BB538&gt;0)*1+(BG538&gt;0)*1+(BL538&gt;0)*1+(BQ538&gt;0)*1</f>
        <v>1</v>
      </c>
      <c r="AU538" s="11">
        <f ca="1">IFERROR(OFFSET(ITEM_RES!$A$1,MATCH(AV538,ITEM_RES!$J:$J,0)-1,0),0)</f>
        <v>211020901</v>
      </c>
      <c r="AV538" s="10" t="s">
        <v>454</v>
      </c>
      <c r="AW538" s="11">
        <v>2250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41"/>
        <v>115040015</v>
      </c>
      <c r="B539" s="13">
        <v>11</v>
      </c>
      <c r="C539" s="12">
        <f t="shared" si="142"/>
        <v>5</v>
      </c>
      <c r="D539" s="13">
        <v>4</v>
      </c>
      <c r="E539" s="13">
        <v>0</v>
      </c>
      <c r="F539" s="12">
        <f t="shared" si="143"/>
        <v>15</v>
      </c>
      <c r="H539" s="9">
        <v>5</v>
      </c>
      <c r="I539" s="9">
        <v>15</v>
      </c>
      <c r="K539" s="9" t="s">
        <v>369</v>
      </c>
      <c r="O539" s="9">
        <v>1</v>
      </c>
      <c r="P539" s="9">
        <v>15</v>
      </c>
      <c r="U539" s="9">
        <v>5555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369</v>
      </c>
      <c r="AD539" s="9">
        <v>15</v>
      </c>
      <c r="AF539" s="9">
        <v>44000</v>
      </c>
      <c r="AI539" s="56">
        <f t="shared" ca="1" si="148"/>
        <v>1650</v>
      </c>
      <c r="AJ539" s="10">
        <f ca="1">AO539+AQ539+(IFERROR(OFFSET(ITEM_RES!$T$1,MATCH(AU539,ITEM_RES!$A:$A,0)-1,0),0)*AW539+IFERROR(OFFSET(ITEM_RES!$T$1,MATCH(AZ539,ITEM_RES!$A:$A,0)-1,0),0)*BB539+IFERROR(OFFSET(ITEM_RES!$T$1,MATCH(BE539,ITEM_RES!$A:$A,0)-1,0),0)*BG539+IFERROR(OFFSET(ITEM_RES!$T$1,MATCH(BJ539,ITEM_RES!$A:$A,0)-1,0),0)*BL539+IFERROR(OFFSET(ITEM_RES!$T$1,MATCH(BO539,ITEM_RES!$A:$A,0)-1,0),0)*BQ539)/1000</f>
        <v>1650</v>
      </c>
      <c r="AK539" s="183">
        <f t="shared" ca="1" si="146"/>
        <v>3000</v>
      </c>
      <c r="AM539" s="11">
        <f t="shared" si="147"/>
        <v>75</v>
      </c>
      <c r="AN539" s="10">
        <v>75</v>
      </c>
      <c r="AO539" s="11">
        <f t="shared" si="144"/>
        <v>550</v>
      </c>
      <c r="AP539" s="10">
        <v>550</v>
      </c>
      <c r="AQ539" s="11">
        <f t="shared" si="14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454</v>
      </c>
      <c r="AW539" s="11">
        <v>2750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41"/>
        <v>115040016</v>
      </c>
      <c r="B540" s="13">
        <v>11</v>
      </c>
      <c r="C540" s="12">
        <f t="shared" si="142"/>
        <v>5</v>
      </c>
      <c r="D540" s="13">
        <v>4</v>
      </c>
      <c r="E540" s="13">
        <v>0</v>
      </c>
      <c r="F540" s="12">
        <f t="shared" si="143"/>
        <v>16</v>
      </c>
      <c r="H540" s="9">
        <v>5</v>
      </c>
      <c r="I540" s="9">
        <v>16</v>
      </c>
      <c r="K540" s="9" t="s">
        <v>369</v>
      </c>
      <c r="O540" s="9">
        <v>0</v>
      </c>
      <c r="P540" s="9">
        <v>15</v>
      </c>
      <c r="U540" s="9">
        <v>5555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369</v>
      </c>
      <c r="AD540" s="9">
        <v>16</v>
      </c>
      <c r="AF540" s="9">
        <v>56000</v>
      </c>
      <c r="AI540" s="56">
        <f t="shared" ca="1" si="148"/>
        <v>2100</v>
      </c>
      <c r="AJ540" s="10">
        <f ca="1">AO540+AQ540+(IFERROR(OFFSET(ITEM_RES!$T$1,MATCH(AU540,ITEM_RES!$A:$A,0)-1,0),0)*AW540+IFERROR(OFFSET(ITEM_RES!$T$1,MATCH(AZ540,ITEM_RES!$A:$A,0)-1,0),0)*BB540+IFERROR(OFFSET(ITEM_RES!$T$1,MATCH(BE540,ITEM_RES!$A:$A,0)-1,0),0)*BG540+IFERROR(OFFSET(ITEM_RES!$T$1,MATCH(BJ540,ITEM_RES!$A:$A,0)-1,0),0)*BL540+IFERROR(OFFSET(ITEM_RES!$T$1,MATCH(BO540,ITEM_RES!$A:$A,0)-1,0),0)*BQ540)/1000</f>
        <v>2100</v>
      </c>
      <c r="AK540" s="183">
        <f t="shared" ca="1" si="146"/>
        <v>3750</v>
      </c>
      <c r="AM540" s="11">
        <f t="shared" si="147"/>
        <v>80</v>
      </c>
      <c r="AN540" s="10">
        <v>80</v>
      </c>
      <c r="AO540" s="11">
        <f t="shared" si="144"/>
        <v>700</v>
      </c>
      <c r="AP540" s="10">
        <v>700</v>
      </c>
      <c r="AQ540" s="11">
        <f t="shared" si="14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454</v>
      </c>
      <c r="AW540" s="11">
        <v>3500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41"/>
        <v>115040017</v>
      </c>
      <c r="B541" s="13">
        <v>11</v>
      </c>
      <c r="C541" s="12">
        <f t="shared" si="142"/>
        <v>5</v>
      </c>
      <c r="D541" s="13">
        <v>4</v>
      </c>
      <c r="E541" s="13">
        <v>0</v>
      </c>
      <c r="F541" s="12">
        <f t="shared" si="143"/>
        <v>17</v>
      </c>
      <c r="H541" s="9">
        <v>5</v>
      </c>
      <c r="I541" s="9">
        <v>17</v>
      </c>
      <c r="K541" s="9" t="s">
        <v>369</v>
      </c>
      <c r="O541" s="9">
        <v>0</v>
      </c>
      <c r="P541" s="9">
        <v>15</v>
      </c>
      <c r="U541" s="9">
        <v>5555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369</v>
      </c>
      <c r="AD541" s="9">
        <v>17</v>
      </c>
      <c r="AF541" s="9">
        <v>68000</v>
      </c>
      <c r="AI541" s="56">
        <f t="shared" ca="1" si="148"/>
        <v>2550</v>
      </c>
      <c r="AJ541" s="10">
        <f ca="1">AO541+AQ541+(IFERROR(OFFSET(ITEM_RES!$T$1,MATCH(AU541,ITEM_RES!$A:$A,0)-1,0),0)*AW541+IFERROR(OFFSET(ITEM_RES!$T$1,MATCH(AZ541,ITEM_RES!$A:$A,0)-1,0),0)*BB541+IFERROR(OFFSET(ITEM_RES!$T$1,MATCH(BE541,ITEM_RES!$A:$A,0)-1,0),0)*BG541+IFERROR(OFFSET(ITEM_RES!$T$1,MATCH(BJ541,ITEM_RES!$A:$A,0)-1,0),0)*BL541+IFERROR(OFFSET(ITEM_RES!$T$1,MATCH(BO541,ITEM_RES!$A:$A,0)-1,0),0)*BQ541)/1000</f>
        <v>2550</v>
      </c>
      <c r="AK541" s="183">
        <f t="shared" ca="1" si="146"/>
        <v>4650</v>
      </c>
      <c r="AM541" s="11">
        <f t="shared" si="147"/>
        <v>85</v>
      </c>
      <c r="AN541" s="10">
        <v>85</v>
      </c>
      <c r="AO541" s="11">
        <f t="shared" si="144"/>
        <v>850</v>
      </c>
      <c r="AP541" s="10">
        <v>850</v>
      </c>
      <c r="AQ541" s="11">
        <f t="shared" si="14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454</v>
      </c>
      <c r="AW541" s="11">
        <v>4250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41"/>
        <v>115040018</v>
      </c>
      <c r="B542" s="13">
        <v>11</v>
      </c>
      <c r="C542" s="12">
        <f t="shared" si="142"/>
        <v>5</v>
      </c>
      <c r="D542" s="13">
        <v>4</v>
      </c>
      <c r="E542" s="13">
        <v>0</v>
      </c>
      <c r="F542" s="12">
        <f t="shared" si="143"/>
        <v>18</v>
      </c>
      <c r="H542" s="9">
        <v>5</v>
      </c>
      <c r="I542" s="9">
        <v>18</v>
      </c>
      <c r="K542" s="9" t="s">
        <v>369</v>
      </c>
      <c r="O542" s="9">
        <v>0</v>
      </c>
      <c r="P542" s="9">
        <v>15</v>
      </c>
      <c r="U542" s="9">
        <v>5555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369</v>
      </c>
      <c r="AD542" s="9">
        <v>18</v>
      </c>
      <c r="AF542" s="9">
        <v>84000</v>
      </c>
      <c r="AI542" s="56">
        <f t="shared" ca="1" si="148"/>
        <v>3150</v>
      </c>
      <c r="AJ542" s="10">
        <f ca="1">AO542+AQ542+(IFERROR(OFFSET(ITEM_RES!$T$1,MATCH(AU542,ITEM_RES!$A:$A,0)-1,0),0)*AW542+IFERROR(OFFSET(ITEM_RES!$T$1,MATCH(AZ542,ITEM_RES!$A:$A,0)-1,0),0)*BB542+IFERROR(OFFSET(ITEM_RES!$T$1,MATCH(BE542,ITEM_RES!$A:$A,0)-1,0),0)*BG542+IFERROR(OFFSET(ITEM_RES!$T$1,MATCH(BJ542,ITEM_RES!$A:$A,0)-1,0),0)*BL542+IFERROR(OFFSET(ITEM_RES!$T$1,MATCH(BO542,ITEM_RES!$A:$A,0)-1,0),0)*BQ542)/1000</f>
        <v>3150</v>
      </c>
      <c r="AK542" s="183">
        <f t="shared" ca="1" si="146"/>
        <v>5700</v>
      </c>
      <c r="AM542" s="11">
        <f t="shared" si="147"/>
        <v>90</v>
      </c>
      <c r="AN542" s="10">
        <v>90</v>
      </c>
      <c r="AO542" s="11">
        <f t="shared" si="144"/>
        <v>1050</v>
      </c>
      <c r="AP542" s="10">
        <v>1050</v>
      </c>
      <c r="AQ542" s="11">
        <f t="shared" si="14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454</v>
      </c>
      <c r="AW542" s="11">
        <v>5250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41"/>
        <v>115040019</v>
      </c>
      <c r="B543" s="13">
        <v>11</v>
      </c>
      <c r="C543" s="12">
        <f t="shared" si="142"/>
        <v>5</v>
      </c>
      <c r="D543" s="13">
        <v>4</v>
      </c>
      <c r="E543" s="13">
        <v>0</v>
      </c>
      <c r="F543" s="12">
        <f t="shared" si="143"/>
        <v>19</v>
      </c>
      <c r="H543" s="9">
        <v>5</v>
      </c>
      <c r="I543" s="9">
        <v>19</v>
      </c>
      <c r="K543" s="9" t="s">
        <v>369</v>
      </c>
      <c r="O543" s="9">
        <v>0</v>
      </c>
      <c r="P543" s="9">
        <v>15</v>
      </c>
      <c r="U543" s="9">
        <v>5555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369</v>
      </c>
      <c r="AD543" s="9">
        <v>19</v>
      </c>
      <c r="AF543" s="9">
        <v>100000</v>
      </c>
      <c r="AI543" s="56">
        <f t="shared" ca="1" si="148"/>
        <v>3750</v>
      </c>
      <c r="AJ543" s="10">
        <f ca="1">AO543+AQ543+(IFERROR(OFFSET(ITEM_RES!$T$1,MATCH(AU543,ITEM_RES!$A:$A,0)-1,0),0)*AW543+IFERROR(OFFSET(ITEM_RES!$T$1,MATCH(AZ543,ITEM_RES!$A:$A,0)-1,0),0)*BB543+IFERROR(OFFSET(ITEM_RES!$T$1,MATCH(BE543,ITEM_RES!$A:$A,0)-1,0),0)*BG543+IFERROR(OFFSET(ITEM_RES!$T$1,MATCH(BJ543,ITEM_RES!$A:$A,0)-1,0),0)*BL543+IFERROR(OFFSET(ITEM_RES!$T$1,MATCH(BO543,ITEM_RES!$A:$A,0)-1,0),0)*BQ543)/1000</f>
        <v>3750</v>
      </c>
      <c r="AK543" s="183">
        <f t="shared" ca="1" si="146"/>
        <v>6900</v>
      </c>
      <c r="AM543" s="11">
        <f t="shared" si="147"/>
        <v>95</v>
      </c>
      <c r="AN543" s="10">
        <v>95</v>
      </c>
      <c r="AO543" s="11">
        <f t="shared" si="144"/>
        <v>1250</v>
      </c>
      <c r="AP543" s="10">
        <v>1250</v>
      </c>
      <c r="AQ543" s="11">
        <f t="shared" si="14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454</v>
      </c>
      <c r="AW543" s="11">
        <v>6250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41"/>
        <v>115040020</v>
      </c>
      <c r="B544" s="13">
        <v>11</v>
      </c>
      <c r="C544" s="12">
        <f t="shared" si="142"/>
        <v>5</v>
      </c>
      <c r="D544" s="13">
        <v>4</v>
      </c>
      <c r="E544" s="13">
        <v>0</v>
      </c>
      <c r="F544" s="12">
        <f t="shared" si="143"/>
        <v>20</v>
      </c>
      <c r="H544" s="9">
        <v>5</v>
      </c>
      <c r="I544" s="9">
        <v>20</v>
      </c>
      <c r="K544" s="9" t="s">
        <v>369</v>
      </c>
      <c r="O544" s="9">
        <v>0</v>
      </c>
      <c r="P544" s="9">
        <v>15</v>
      </c>
      <c r="U544" s="9">
        <v>5555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369</v>
      </c>
      <c r="AD544" s="9">
        <v>20</v>
      </c>
      <c r="AF544" s="9">
        <v>120000</v>
      </c>
      <c r="AI544" s="56">
        <f t="shared" ca="1" si="148"/>
        <v>4500</v>
      </c>
      <c r="AJ544" s="10">
        <f ca="1">AO544+AQ544+(IFERROR(OFFSET(ITEM_RES!$T$1,MATCH(AU544,ITEM_RES!$A:$A,0)-1,0),0)*AW544+IFERROR(OFFSET(ITEM_RES!$T$1,MATCH(AZ544,ITEM_RES!$A:$A,0)-1,0),0)*BB544+IFERROR(OFFSET(ITEM_RES!$T$1,MATCH(BE544,ITEM_RES!$A:$A,0)-1,0),0)*BG544+IFERROR(OFFSET(ITEM_RES!$T$1,MATCH(BJ544,ITEM_RES!$A:$A,0)-1,0),0)*BL544+IFERROR(OFFSET(ITEM_RES!$T$1,MATCH(BO544,ITEM_RES!$A:$A,0)-1,0),0)*BQ544)/1000</f>
        <v>4500</v>
      </c>
      <c r="AK544" s="183">
        <f t="shared" ca="1" si="146"/>
        <v>8250</v>
      </c>
      <c r="AM544" s="11">
        <f t="shared" si="147"/>
        <v>100</v>
      </c>
      <c r="AN544" s="10">
        <v>100</v>
      </c>
      <c r="AO544" s="11">
        <f t="shared" si="144"/>
        <v>1500</v>
      </c>
      <c r="AP544" s="10">
        <v>1500</v>
      </c>
      <c r="AQ544" s="11">
        <f t="shared" si="14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454</v>
      </c>
      <c r="AW544" s="11">
        <v>7500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/>
      <c r="B545" s="20"/>
      <c r="C545" s="19"/>
      <c r="D545" s="20"/>
      <c r="E545" s="20"/>
      <c r="F545" s="19"/>
      <c r="G545" s="79"/>
      <c r="H545" s="16"/>
      <c r="I545" s="16"/>
      <c r="J545" s="79"/>
      <c r="K545" s="16"/>
      <c r="L545" s="16"/>
      <c r="M545" s="16"/>
      <c r="N545" s="16"/>
      <c r="O545" s="16"/>
      <c r="P545" s="16"/>
      <c r="Q545" s="16"/>
      <c r="R545" s="17"/>
      <c r="S545" s="17"/>
      <c r="T545" s="18"/>
      <c r="U545" s="16"/>
      <c r="V545" s="79"/>
      <c r="W545" s="87"/>
      <c r="X545" s="16"/>
      <c r="Y545" s="18"/>
      <c r="Z545" s="87"/>
      <c r="AA545" s="16"/>
      <c r="AB545" s="79"/>
      <c r="AC545" s="16"/>
      <c r="AD545" s="16"/>
      <c r="AE545" s="79"/>
      <c r="AF545" s="16"/>
      <c r="AG545" s="17"/>
      <c r="AH545" s="79"/>
      <c r="AI545" s="57"/>
      <c r="AJ545" s="17"/>
      <c r="AK545" s="185"/>
      <c r="AL545" s="79"/>
      <c r="AM545" s="18"/>
      <c r="AN545" s="17"/>
      <c r="AO545" s="18"/>
      <c r="AP545" s="17"/>
      <c r="AQ545" s="18"/>
      <c r="AR545" s="17"/>
      <c r="AS545" s="57"/>
      <c r="AT545" s="18"/>
      <c r="AU545" s="18"/>
      <c r="AV545" s="17"/>
      <c r="AW545" s="18"/>
      <c r="AX545" s="17"/>
      <c r="AY545" s="18"/>
      <c r="AZ545" s="18"/>
      <c r="BA545" s="17"/>
      <c r="BB545" s="18"/>
      <c r="BC545" s="17"/>
      <c r="BD545" s="18"/>
      <c r="BE545" s="18"/>
      <c r="BF545" s="17"/>
      <c r="BG545" s="18"/>
      <c r="BH545" s="17"/>
      <c r="BI545" s="18"/>
      <c r="BJ545" s="18"/>
      <c r="BK545" s="17"/>
      <c r="BL545" s="18"/>
      <c r="BM545" s="17"/>
      <c r="BN545" s="18"/>
      <c r="BO545" s="18"/>
      <c r="BP545" s="17"/>
      <c r="BQ545" s="18"/>
      <c r="BR54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F105"/>
  <sheetViews>
    <sheetView topLeftCell="E1" zoomScale="90" zoomScaleNormal="90" workbookViewId="0">
      <selection activeCell="U52" sqref="J52:U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9.875" style="36" customWidth="1"/>
    <col min="16" max="16" width="39.125" style="34" bestFit="1" customWidth="1"/>
    <col min="17" max="17" width="12.5" style="35" customWidth="1"/>
    <col min="18" max="18" width="24.375" style="35" customWidth="1"/>
    <col min="19" max="19" width="5.75" style="75" customWidth="1"/>
    <col min="20" max="20" width="11.875" style="34" bestFit="1" customWidth="1"/>
    <col min="21" max="21" width="11.875" style="36" bestFit="1" customWidth="1"/>
    <col min="22" max="22" width="5.75" style="75" bestFit="1" customWidth="1"/>
    <col min="23" max="23" width="10.25" style="35" bestFit="1" customWidth="1"/>
    <col min="24" max="24" width="5.75" style="75" bestFit="1" customWidth="1"/>
    <col min="25" max="26" width="10.25" style="35" bestFit="1" customWidth="1"/>
    <col min="27" max="29" width="10.25" style="150" bestFit="1" customWidth="1"/>
    <col min="30" max="30" width="10.25" style="35" bestFit="1" customWidth="1"/>
    <col min="31" max="31" width="10.25" style="150" bestFit="1" customWidth="1"/>
    <col min="32" max="32" width="10.25" style="35" bestFit="1" customWidth="1"/>
    <col min="33" max="16384" width="8.75" style="34"/>
  </cols>
  <sheetData>
    <row r="1" spans="1:32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844</v>
      </c>
      <c r="L1" s="35" t="s">
        <v>614</v>
      </c>
      <c r="P1" s="34" t="s">
        <v>60</v>
      </c>
      <c r="Q1" s="35" t="s">
        <v>60</v>
      </c>
      <c r="R1" s="35" t="s">
        <v>60</v>
      </c>
      <c r="S1" s="70"/>
      <c r="T1" s="34" t="s">
        <v>60</v>
      </c>
      <c r="V1" s="70"/>
      <c r="W1" s="1" t="s">
        <v>60</v>
      </c>
      <c r="X1" s="70"/>
      <c r="Y1" s="1"/>
      <c r="Z1" s="1"/>
      <c r="AA1" s="148"/>
      <c r="AB1" s="148"/>
      <c r="AC1" s="148"/>
      <c r="AD1" s="1"/>
      <c r="AE1" s="148"/>
      <c r="AF1" s="1"/>
    </row>
    <row r="2" spans="1:32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843</v>
      </c>
      <c r="L2" s="35" t="s">
        <v>957</v>
      </c>
      <c r="P2" s="34" t="s">
        <v>62</v>
      </c>
      <c r="Q2" s="35" t="s">
        <v>62</v>
      </c>
      <c r="R2" s="35" t="s">
        <v>62</v>
      </c>
      <c r="S2" s="70"/>
      <c r="T2" s="34" t="s">
        <v>882</v>
      </c>
      <c r="V2" s="70"/>
      <c r="W2" s="1" t="s">
        <v>61</v>
      </c>
      <c r="X2" s="70"/>
      <c r="Y2" s="1"/>
      <c r="Z2" s="1"/>
      <c r="AA2" s="148"/>
      <c r="AB2" s="148"/>
      <c r="AC2" s="148"/>
      <c r="AD2" s="1"/>
      <c r="AE2" s="148"/>
      <c r="AF2" s="1"/>
    </row>
    <row r="3" spans="1:32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842</v>
      </c>
      <c r="L3" s="35" t="s">
        <v>953</v>
      </c>
      <c r="P3" s="34" t="s">
        <v>322</v>
      </c>
      <c r="Q3" s="35" t="s">
        <v>347</v>
      </c>
      <c r="R3" s="35" t="s">
        <v>324</v>
      </c>
      <c r="S3" s="70"/>
      <c r="T3" s="34" t="s">
        <v>428</v>
      </c>
      <c r="V3" s="70"/>
      <c r="W3" s="1" t="s">
        <v>336</v>
      </c>
      <c r="X3" s="70"/>
      <c r="Y3" s="1"/>
      <c r="Z3" s="1"/>
      <c r="AA3" s="148"/>
      <c r="AB3" s="148"/>
      <c r="AC3" s="148"/>
      <c r="AD3" s="1"/>
      <c r="AE3" s="148"/>
      <c r="AF3" s="1"/>
    </row>
    <row r="4" spans="1:32" s="80" customFormat="1" ht="83.25" thickBot="1" x14ac:dyDescent="0.2">
      <c r="A4" s="80" t="s">
        <v>337</v>
      </c>
      <c r="B4" s="81" t="s">
        <v>421</v>
      </c>
      <c r="C4" s="81" t="s">
        <v>620</v>
      </c>
      <c r="D4" s="81" t="s">
        <v>621</v>
      </c>
      <c r="E4" s="81" t="s">
        <v>422</v>
      </c>
      <c r="F4" s="81" t="s">
        <v>423</v>
      </c>
      <c r="G4" s="71" t="s">
        <v>355</v>
      </c>
      <c r="H4" s="82" t="s">
        <v>344</v>
      </c>
      <c r="I4" s="71" t="s">
        <v>354</v>
      </c>
      <c r="J4" s="82" t="s">
        <v>419</v>
      </c>
      <c r="K4" s="82" t="s">
        <v>885</v>
      </c>
      <c r="L4" s="82" t="s">
        <v>956</v>
      </c>
      <c r="M4" s="83" t="s">
        <v>417</v>
      </c>
      <c r="N4" s="83" t="s">
        <v>418</v>
      </c>
      <c r="O4" s="83"/>
      <c r="P4" s="80" t="s">
        <v>323</v>
      </c>
      <c r="Q4" s="82" t="s">
        <v>348</v>
      </c>
      <c r="R4" s="82" t="s">
        <v>325</v>
      </c>
      <c r="S4" s="71" t="s">
        <v>958</v>
      </c>
      <c r="T4" s="80" t="s">
        <v>954</v>
      </c>
      <c r="U4" s="81" t="s">
        <v>955</v>
      </c>
      <c r="V4" s="71" t="s">
        <v>346</v>
      </c>
      <c r="W4" s="2" t="s">
        <v>420</v>
      </c>
      <c r="X4" s="71" t="s">
        <v>927</v>
      </c>
      <c r="Y4" s="2" t="s">
        <v>928</v>
      </c>
      <c r="Z4" s="2" t="s">
        <v>926</v>
      </c>
      <c r="AA4" s="149" t="s">
        <v>931</v>
      </c>
      <c r="AB4" s="149" t="s">
        <v>932</v>
      </c>
      <c r="AC4" s="149" t="s">
        <v>935</v>
      </c>
      <c r="AD4" s="2" t="s">
        <v>936</v>
      </c>
      <c r="AE4" s="149" t="s">
        <v>933</v>
      </c>
      <c r="AF4" s="2" t="s">
        <v>934</v>
      </c>
    </row>
    <row r="5" spans="1:32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390</v>
      </c>
      <c r="K5" s="38" t="s">
        <v>845</v>
      </c>
      <c r="L5" s="38">
        <v>1</v>
      </c>
      <c r="M5" s="39" t="s">
        <v>416</v>
      </c>
      <c r="N5" s="39" t="s">
        <v>413</v>
      </c>
      <c r="O5" s="39">
        <v>1</v>
      </c>
      <c r="P5" s="37" t="s">
        <v>822</v>
      </c>
      <c r="Q5" s="38"/>
      <c r="R5" s="38" t="s">
        <v>740</v>
      </c>
      <c r="S5" s="73"/>
      <c r="T5" s="37">
        <f>U5*1000</f>
        <v>10</v>
      </c>
      <c r="U5" s="39">
        <v>0.01</v>
      </c>
      <c r="V5" s="73"/>
      <c r="W5" s="38">
        <v>1</v>
      </c>
      <c r="X5" s="73"/>
      <c r="Y5" s="38">
        <v>1</v>
      </c>
      <c r="Z5" s="38"/>
      <c r="AA5" s="150">
        <v>10</v>
      </c>
      <c r="AB5" s="150"/>
      <c r="AC5" s="150">
        <v>1</v>
      </c>
      <c r="AD5" s="38">
        <v>50</v>
      </c>
      <c r="AE5" s="150">
        <v>1</v>
      </c>
      <c r="AF5" s="38">
        <v>50</v>
      </c>
    </row>
    <row r="6" spans="1:32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391</v>
      </c>
      <c r="K6" s="62" t="s">
        <v>846</v>
      </c>
      <c r="L6" s="62">
        <v>2</v>
      </c>
      <c r="M6" s="39" t="s">
        <v>416</v>
      </c>
      <c r="N6" s="39" t="s">
        <v>413</v>
      </c>
      <c r="O6" s="39">
        <v>1</v>
      </c>
      <c r="P6" s="69" t="s">
        <v>823</v>
      </c>
      <c r="Q6" s="62"/>
      <c r="R6" s="38" t="s">
        <v>741</v>
      </c>
      <c r="S6" s="76"/>
      <c r="T6" s="37">
        <f t="shared" ref="T6:T56" si="2">U6*1000</f>
        <v>20</v>
      </c>
      <c r="U6" s="152">
        <v>0.02</v>
      </c>
      <c r="V6" s="76"/>
      <c r="W6" s="62">
        <v>1</v>
      </c>
      <c r="X6" s="76"/>
      <c r="Y6" s="62">
        <v>1</v>
      </c>
      <c r="Z6" s="62"/>
      <c r="AA6" s="151">
        <v>1</v>
      </c>
      <c r="AB6" s="151">
        <v>1</v>
      </c>
      <c r="AC6" s="151">
        <v>1</v>
      </c>
      <c r="AD6" s="62">
        <v>80</v>
      </c>
      <c r="AE6" s="151">
        <v>1</v>
      </c>
      <c r="AF6" s="62">
        <v>80</v>
      </c>
    </row>
    <row r="7" spans="1:32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392</v>
      </c>
      <c r="K7" s="62" t="s">
        <v>847</v>
      </c>
      <c r="L7" s="62">
        <v>3</v>
      </c>
      <c r="M7" s="39" t="s">
        <v>416</v>
      </c>
      <c r="N7" s="39" t="s">
        <v>413</v>
      </c>
      <c r="O7" s="39">
        <v>1</v>
      </c>
      <c r="P7" s="69" t="s">
        <v>824</v>
      </c>
      <c r="Q7" s="62"/>
      <c r="R7" s="38" t="s">
        <v>742</v>
      </c>
      <c r="S7" s="76"/>
      <c r="T7" s="37">
        <f t="shared" si="2"/>
        <v>20</v>
      </c>
      <c r="U7" s="152">
        <v>0.02</v>
      </c>
      <c r="V7" s="76"/>
      <c r="W7" s="62">
        <v>1</v>
      </c>
      <c r="X7" s="76"/>
      <c r="Y7" s="62">
        <v>1</v>
      </c>
      <c r="Z7" s="62"/>
      <c r="AA7" s="151">
        <v>1</v>
      </c>
      <c r="AB7" s="151">
        <v>1</v>
      </c>
      <c r="AC7" s="151">
        <v>1</v>
      </c>
      <c r="AD7" s="62">
        <v>100</v>
      </c>
      <c r="AE7" s="151">
        <v>1</v>
      </c>
      <c r="AF7" s="62">
        <v>80</v>
      </c>
    </row>
    <row r="8" spans="1:32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459</v>
      </c>
      <c r="K8" s="62" t="s">
        <v>848</v>
      </c>
      <c r="L8" s="62">
        <v>4</v>
      </c>
      <c r="M8" s="39" t="s">
        <v>448</v>
      </c>
      <c r="N8" s="39" t="s">
        <v>460</v>
      </c>
      <c r="O8" s="39">
        <v>1</v>
      </c>
      <c r="P8" s="69" t="s">
        <v>825</v>
      </c>
      <c r="Q8" s="62"/>
      <c r="R8" s="38" t="s">
        <v>743</v>
      </c>
      <c r="S8" s="76"/>
      <c r="T8" s="37">
        <f t="shared" si="2"/>
        <v>20</v>
      </c>
      <c r="U8" s="152">
        <v>0.02</v>
      </c>
      <c r="V8" s="76"/>
      <c r="W8" s="62">
        <v>1</v>
      </c>
      <c r="X8" s="76"/>
      <c r="Y8" s="62">
        <v>0</v>
      </c>
      <c r="Z8" s="62"/>
      <c r="AA8" s="151"/>
      <c r="AB8" s="151"/>
      <c r="AC8" s="151"/>
      <c r="AD8" s="62"/>
      <c r="AE8" s="151"/>
      <c r="AF8" s="62"/>
    </row>
    <row r="9" spans="1:32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393</v>
      </c>
      <c r="K9" s="35" t="s">
        <v>849</v>
      </c>
      <c r="L9" s="38">
        <v>5</v>
      </c>
      <c r="M9" s="39" t="s">
        <v>416</v>
      </c>
      <c r="N9" s="39" t="s">
        <v>413</v>
      </c>
      <c r="O9" s="39">
        <v>1</v>
      </c>
      <c r="P9" s="69" t="s">
        <v>826</v>
      </c>
      <c r="Q9" s="62"/>
      <c r="R9" s="38" t="s">
        <v>744</v>
      </c>
      <c r="S9" s="76"/>
      <c r="T9" s="37">
        <f t="shared" si="2"/>
        <v>10</v>
      </c>
      <c r="U9" s="39">
        <v>0.01</v>
      </c>
      <c r="V9" s="76"/>
      <c r="W9" s="62">
        <v>1</v>
      </c>
      <c r="X9" s="76"/>
      <c r="Y9" s="62">
        <v>1</v>
      </c>
      <c r="Z9" s="62"/>
      <c r="AA9" s="151"/>
      <c r="AB9" s="151">
        <v>50</v>
      </c>
      <c r="AC9" s="151"/>
      <c r="AD9" s="62"/>
      <c r="AE9" s="151"/>
      <c r="AF9" s="62"/>
    </row>
    <row r="10" spans="1:32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542</v>
      </c>
      <c r="K10" s="35" t="s">
        <v>850</v>
      </c>
      <c r="L10" s="62">
        <v>6</v>
      </c>
      <c r="M10" s="39" t="s">
        <v>416</v>
      </c>
      <c r="N10" s="39" t="s">
        <v>413</v>
      </c>
      <c r="O10" s="39">
        <v>1</v>
      </c>
      <c r="P10" s="34" t="s">
        <v>827</v>
      </c>
      <c r="R10" s="38" t="s">
        <v>745</v>
      </c>
      <c r="T10" s="37">
        <f t="shared" si="2"/>
        <v>10</v>
      </c>
      <c r="U10" s="152">
        <v>0.01</v>
      </c>
      <c r="W10" s="35">
        <v>1</v>
      </c>
      <c r="Y10" s="35">
        <v>0</v>
      </c>
    </row>
    <row r="11" spans="1:32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458</v>
      </c>
      <c r="K11" s="35" t="s">
        <v>851</v>
      </c>
      <c r="L11" s="62">
        <v>7</v>
      </c>
      <c r="M11" s="39" t="s">
        <v>413</v>
      </c>
      <c r="N11" s="39"/>
      <c r="O11" s="39">
        <v>1</v>
      </c>
      <c r="P11" s="34" t="s">
        <v>828</v>
      </c>
      <c r="R11" s="38" t="s">
        <v>746</v>
      </c>
      <c r="T11" s="37">
        <f t="shared" si="2"/>
        <v>10</v>
      </c>
      <c r="U11" s="152">
        <v>0.01</v>
      </c>
      <c r="W11" s="35">
        <v>1</v>
      </c>
      <c r="Y11" s="35">
        <v>0</v>
      </c>
    </row>
    <row r="12" spans="1:32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412</v>
      </c>
      <c r="K12" s="62" t="s">
        <v>852</v>
      </c>
      <c r="L12" s="62">
        <v>8</v>
      </c>
      <c r="M12" s="39" t="s">
        <v>413</v>
      </c>
      <c r="O12" s="36">
        <v>1</v>
      </c>
      <c r="P12" s="34" t="s">
        <v>829</v>
      </c>
      <c r="R12" s="38" t="s">
        <v>929</v>
      </c>
      <c r="T12" s="37">
        <f t="shared" si="2"/>
        <v>5</v>
      </c>
      <c r="U12" s="152">
        <v>5.0000000000000001E-3</v>
      </c>
      <c r="W12" s="35">
        <v>1</v>
      </c>
      <c r="Y12" s="35">
        <v>1</v>
      </c>
      <c r="AA12" s="150">
        <v>10</v>
      </c>
      <c r="AB12" s="150">
        <v>10</v>
      </c>
      <c r="AC12" s="150">
        <v>-10</v>
      </c>
    </row>
    <row r="13" spans="1:32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397</v>
      </c>
      <c r="K13" s="35" t="s">
        <v>853</v>
      </c>
      <c r="L13" s="38">
        <v>9</v>
      </c>
      <c r="M13" s="36" t="s">
        <v>413</v>
      </c>
      <c r="O13" s="36">
        <v>1</v>
      </c>
      <c r="P13" s="34" t="s">
        <v>830</v>
      </c>
      <c r="R13" s="38" t="s">
        <v>747</v>
      </c>
      <c r="T13" s="37">
        <f t="shared" si="2"/>
        <v>100</v>
      </c>
      <c r="U13" s="152">
        <v>0.1</v>
      </c>
      <c r="W13" s="35">
        <v>1</v>
      </c>
      <c r="Y13" s="35">
        <v>0</v>
      </c>
    </row>
    <row r="14" spans="1:32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399</v>
      </c>
      <c r="K14" s="35" t="s">
        <v>854</v>
      </c>
      <c r="L14" s="62">
        <v>10</v>
      </c>
      <c r="M14" s="36" t="s">
        <v>413</v>
      </c>
      <c r="O14" s="36">
        <v>1</v>
      </c>
      <c r="P14" s="34" t="s">
        <v>831</v>
      </c>
      <c r="R14" s="38" t="s">
        <v>748</v>
      </c>
      <c r="T14" s="37">
        <f t="shared" si="2"/>
        <v>100</v>
      </c>
      <c r="U14" s="39">
        <v>0.1</v>
      </c>
      <c r="W14" s="35">
        <v>1</v>
      </c>
      <c r="Y14" s="35">
        <v>0</v>
      </c>
    </row>
    <row r="15" spans="1:32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510</v>
      </c>
      <c r="K15" s="35" t="s">
        <v>855</v>
      </c>
      <c r="L15" s="62">
        <v>15</v>
      </c>
      <c r="M15" s="36" t="s">
        <v>511</v>
      </c>
      <c r="N15" s="36" t="s">
        <v>512</v>
      </c>
      <c r="P15" s="34" t="s">
        <v>832</v>
      </c>
      <c r="R15" s="38" t="s">
        <v>749</v>
      </c>
      <c r="T15" s="37">
        <f t="shared" si="2"/>
        <v>1000</v>
      </c>
      <c r="U15" s="152">
        <v>1</v>
      </c>
      <c r="W15" s="35">
        <v>1</v>
      </c>
      <c r="Y15" s="35">
        <v>1</v>
      </c>
      <c r="Z15" s="35">
        <v>50</v>
      </c>
    </row>
    <row r="16" spans="1:32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402</v>
      </c>
      <c r="K16" s="35" t="s">
        <v>856</v>
      </c>
      <c r="L16" s="35">
        <v>10</v>
      </c>
      <c r="M16" s="36" t="s">
        <v>413</v>
      </c>
      <c r="O16" s="36">
        <v>1</v>
      </c>
      <c r="P16" s="34" t="s">
        <v>833</v>
      </c>
      <c r="R16" s="38" t="s">
        <v>750</v>
      </c>
      <c r="T16" s="37">
        <f t="shared" si="2"/>
        <v>100000</v>
      </c>
      <c r="U16" s="152">
        <v>100</v>
      </c>
      <c r="W16" s="35">
        <v>1</v>
      </c>
      <c r="Y16" s="35">
        <v>0</v>
      </c>
    </row>
    <row r="17" spans="1:25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403</v>
      </c>
      <c r="K17" s="35" t="s">
        <v>857</v>
      </c>
      <c r="L17" s="35">
        <v>5</v>
      </c>
      <c r="M17" s="36" t="s">
        <v>413</v>
      </c>
      <c r="O17" s="36">
        <v>1</v>
      </c>
      <c r="P17" s="34" t="s">
        <v>834</v>
      </c>
      <c r="R17" s="38" t="s">
        <v>751</v>
      </c>
      <c r="T17" s="37">
        <f t="shared" si="2"/>
        <v>100000</v>
      </c>
      <c r="U17" s="39">
        <v>100</v>
      </c>
      <c r="W17" s="35">
        <v>1</v>
      </c>
      <c r="Y17" s="35">
        <v>0</v>
      </c>
    </row>
    <row r="18" spans="1:25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404</v>
      </c>
      <c r="K18" s="35" t="s">
        <v>858</v>
      </c>
      <c r="L18" s="35">
        <v>6</v>
      </c>
      <c r="M18" s="36" t="s">
        <v>413</v>
      </c>
      <c r="O18" s="36">
        <v>1</v>
      </c>
      <c r="P18" s="34" t="s">
        <v>834</v>
      </c>
      <c r="R18" s="38" t="s">
        <v>752</v>
      </c>
      <c r="T18" s="37">
        <f t="shared" si="2"/>
        <v>100000</v>
      </c>
      <c r="U18" s="39">
        <v>100</v>
      </c>
      <c r="W18" s="35">
        <v>1</v>
      </c>
      <c r="Y18" s="35">
        <v>0</v>
      </c>
    </row>
    <row r="19" spans="1:25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405</v>
      </c>
      <c r="K19" s="35" t="s">
        <v>859</v>
      </c>
      <c r="L19" s="35">
        <v>7</v>
      </c>
      <c r="M19" s="36" t="s">
        <v>413</v>
      </c>
      <c r="O19" s="36">
        <v>1</v>
      </c>
      <c r="P19" s="34" t="s">
        <v>834</v>
      </c>
      <c r="R19" s="38" t="s">
        <v>753</v>
      </c>
      <c r="T19" s="37">
        <f t="shared" si="2"/>
        <v>100000</v>
      </c>
      <c r="U19" s="39">
        <v>100</v>
      </c>
      <c r="W19" s="35">
        <v>1</v>
      </c>
      <c r="Y19" s="35">
        <v>0</v>
      </c>
    </row>
    <row r="20" spans="1:25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464</v>
      </c>
      <c r="K20" s="35" t="s">
        <v>860</v>
      </c>
      <c r="L20" s="35">
        <v>8</v>
      </c>
      <c r="M20" s="36" t="s">
        <v>460</v>
      </c>
      <c r="O20" s="36">
        <v>1</v>
      </c>
      <c r="P20" s="34" t="s">
        <v>833</v>
      </c>
      <c r="R20" s="38" t="s">
        <v>754</v>
      </c>
      <c r="T20" s="37">
        <f t="shared" si="2"/>
        <v>100000</v>
      </c>
      <c r="U20" s="39">
        <v>100</v>
      </c>
      <c r="W20" s="35">
        <v>1</v>
      </c>
      <c r="Y20" s="35">
        <v>0</v>
      </c>
    </row>
    <row r="21" spans="1:25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465</v>
      </c>
      <c r="K21" s="35" t="s">
        <v>861</v>
      </c>
      <c r="L21" s="35">
        <v>9</v>
      </c>
      <c r="M21" s="36" t="s">
        <v>460</v>
      </c>
      <c r="O21" s="36">
        <v>1</v>
      </c>
      <c r="P21" s="34" t="s">
        <v>833</v>
      </c>
      <c r="R21" s="38" t="s">
        <v>755</v>
      </c>
      <c r="T21" s="37">
        <f t="shared" si="2"/>
        <v>100000</v>
      </c>
      <c r="U21" s="39">
        <v>100</v>
      </c>
      <c r="W21" s="35">
        <v>1</v>
      </c>
      <c r="Y21" s="35">
        <v>0</v>
      </c>
    </row>
    <row r="22" spans="1:25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466</v>
      </c>
      <c r="K22" s="35" t="s">
        <v>862</v>
      </c>
      <c r="L22" s="35">
        <v>10</v>
      </c>
      <c r="M22" s="36" t="s">
        <v>460</v>
      </c>
      <c r="O22" s="36">
        <v>1</v>
      </c>
      <c r="P22" s="34" t="s">
        <v>833</v>
      </c>
      <c r="R22" s="38" t="s">
        <v>756</v>
      </c>
      <c r="T22" s="37">
        <f t="shared" si="2"/>
        <v>500000</v>
      </c>
      <c r="U22" s="39">
        <v>500</v>
      </c>
      <c r="W22" s="35">
        <v>1</v>
      </c>
      <c r="Y22" s="35">
        <v>0</v>
      </c>
    </row>
    <row r="23" spans="1:25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473</v>
      </c>
      <c r="K23" s="35" t="s">
        <v>863</v>
      </c>
      <c r="L23" s="35">
        <v>11</v>
      </c>
      <c r="M23" s="36" t="s">
        <v>460</v>
      </c>
      <c r="O23" s="36">
        <v>1</v>
      </c>
      <c r="P23" s="34" t="s">
        <v>833</v>
      </c>
      <c r="R23" s="38" t="s">
        <v>757</v>
      </c>
      <c r="T23" s="37">
        <f t="shared" si="2"/>
        <v>100000</v>
      </c>
      <c r="U23" s="39">
        <v>100</v>
      </c>
      <c r="W23" s="35">
        <v>1</v>
      </c>
      <c r="Y23" s="35">
        <v>0</v>
      </c>
    </row>
    <row r="24" spans="1:25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467</v>
      </c>
      <c r="K24" s="35" t="s">
        <v>864</v>
      </c>
      <c r="L24" s="35">
        <v>12</v>
      </c>
      <c r="M24" s="36" t="s">
        <v>460</v>
      </c>
      <c r="O24" s="36">
        <v>1</v>
      </c>
      <c r="P24" s="34" t="s">
        <v>833</v>
      </c>
      <c r="R24" s="38" t="s">
        <v>759</v>
      </c>
      <c r="T24" s="37">
        <f t="shared" si="2"/>
        <v>100000</v>
      </c>
      <c r="U24" s="39">
        <v>100</v>
      </c>
      <c r="W24" s="35">
        <v>1</v>
      </c>
      <c r="Y24" s="35">
        <v>0</v>
      </c>
    </row>
    <row r="25" spans="1:25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468</v>
      </c>
      <c r="K25" s="35" t="s">
        <v>865</v>
      </c>
      <c r="L25" s="35">
        <v>13</v>
      </c>
      <c r="M25" s="36" t="s">
        <v>460</v>
      </c>
      <c r="O25" s="36">
        <v>1</v>
      </c>
      <c r="P25" s="34" t="s">
        <v>833</v>
      </c>
      <c r="R25" s="38" t="s">
        <v>758</v>
      </c>
      <c r="T25" s="37">
        <f t="shared" si="2"/>
        <v>500000</v>
      </c>
      <c r="U25" s="39">
        <v>500</v>
      </c>
      <c r="W25" s="35">
        <v>1</v>
      </c>
      <c r="Y25" s="35">
        <v>0</v>
      </c>
    </row>
    <row r="26" spans="1:25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469</v>
      </c>
      <c r="K26" s="35" t="s">
        <v>866</v>
      </c>
      <c r="L26" s="35">
        <v>14</v>
      </c>
      <c r="M26" s="36" t="s">
        <v>460</v>
      </c>
      <c r="O26" s="36">
        <v>1</v>
      </c>
      <c r="P26" s="34" t="s">
        <v>833</v>
      </c>
      <c r="R26" s="38" t="s">
        <v>760</v>
      </c>
      <c r="T26" s="37">
        <f t="shared" si="2"/>
        <v>1000000</v>
      </c>
      <c r="U26" s="39">
        <v>1000</v>
      </c>
      <c r="W26" s="35">
        <v>1</v>
      </c>
      <c r="Y26" s="35">
        <v>0</v>
      </c>
    </row>
    <row r="27" spans="1:25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479</v>
      </c>
      <c r="K27" s="35" t="s">
        <v>867</v>
      </c>
      <c r="L27" s="35">
        <v>15</v>
      </c>
      <c r="M27" s="36" t="s">
        <v>460</v>
      </c>
      <c r="O27" s="36">
        <v>1</v>
      </c>
      <c r="P27" s="34" t="s">
        <v>833</v>
      </c>
      <c r="R27" s="38" t="s">
        <v>761</v>
      </c>
      <c r="T27" s="37">
        <f t="shared" si="2"/>
        <v>300000</v>
      </c>
      <c r="U27" s="39">
        <v>300</v>
      </c>
      <c r="W27" s="35">
        <v>1</v>
      </c>
      <c r="Y27" s="35">
        <v>0</v>
      </c>
    </row>
    <row r="28" spans="1:25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483</v>
      </c>
      <c r="K28" s="35" t="s">
        <v>868</v>
      </c>
      <c r="L28" s="35">
        <v>15</v>
      </c>
      <c r="M28" s="36" t="s">
        <v>460</v>
      </c>
      <c r="O28" s="36">
        <v>1</v>
      </c>
      <c r="P28" s="34" t="s">
        <v>833</v>
      </c>
      <c r="R28" s="38" t="s">
        <v>762</v>
      </c>
      <c r="T28" s="37">
        <f t="shared" si="2"/>
        <v>500000</v>
      </c>
      <c r="U28" s="39">
        <v>500</v>
      </c>
      <c r="W28" s="35">
        <v>1</v>
      </c>
      <c r="Y28" s="35">
        <v>0</v>
      </c>
    </row>
    <row r="29" spans="1:25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484</v>
      </c>
      <c r="K29" s="35" t="s">
        <v>869</v>
      </c>
      <c r="L29" s="35">
        <v>15</v>
      </c>
      <c r="M29" s="36" t="s">
        <v>460</v>
      </c>
      <c r="O29" s="36">
        <v>1</v>
      </c>
      <c r="P29" s="34" t="s">
        <v>833</v>
      </c>
      <c r="R29" s="38" t="s">
        <v>763</v>
      </c>
      <c r="T29" s="37">
        <f t="shared" si="2"/>
        <v>100000</v>
      </c>
      <c r="U29" s="39">
        <v>100</v>
      </c>
      <c r="W29" s="35">
        <v>1</v>
      </c>
      <c r="Y29" s="35">
        <v>0</v>
      </c>
    </row>
    <row r="30" spans="1:25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488</v>
      </c>
      <c r="K30" s="35" t="s">
        <v>870</v>
      </c>
      <c r="L30" s="35">
        <v>15</v>
      </c>
      <c r="M30" s="36" t="s">
        <v>460</v>
      </c>
      <c r="O30" s="36">
        <v>1</v>
      </c>
      <c r="P30" s="34" t="s">
        <v>833</v>
      </c>
      <c r="R30" s="38" t="s">
        <v>764</v>
      </c>
      <c r="T30" s="37">
        <f t="shared" si="2"/>
        <v>100000</v>
      </c>
      <c r="U30" s="39">
        <v>100</v>
      </c>
      <c r="W30" s="35">
        <v>1</v>
      </c>
      <c r="Y30" s="35">
        <v>0</v>
      </c>
    </row>
    <row r="31" spans="1:25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494</v>
      </c>
      <c r="K31" s="35" t="s">
        <v>871</v>
      </c>
      <c r="L31" s="35">
        <v>15</v>
      </c>
      <c r="M31" s="36" t="s">
        <v>460</v>
      </c>
      <c r="O31" s="36">
        <v>1</v>
      </c>
      <c r="P31" s="34" t="s">
        <v>833</v>
      </c>
      <c r="R31" s="38" t="s">
        <v>765</v>
      </c>
      <c r="T31" s="37">
        <f t="shared" si="2"/>
        <v>500000</v>
      </c>
      <c r="U31" s="39">
        <v>500</v>
      </c>
      <c r="W31" s="35">
        <v>1</v>
      </c>
      <c r="Y31" s="35">
        <v>0</v>
      </c>
    </row>
    <row r="32" spans="1:25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490</v>
      </c>
      <c r="K32" s="35" t="s">
        <v>872</v>
      </c>
      <c r="L32" s="35">
        <v>15</v>
      </c>
      <c r="M32" s="36" t="s">
        <v>460</v>
      </c>
      <c r="O32" s="36">
        <v>1</v>
      </c>
      <c r="P32" s="34" t="s">
        <v>833</v>
      </c>
      <c r="R32" s="38" t="s">
        <v>766</v>
      </c>
      <c r="T32" s="37">
        <f t="shared" si="2"/>
        <v>1000000</v>
      </c>
      <c r="U32" s="39">
        <v>1000</v>
      </c>
      <c r="W32" s="35">
        <v>1</v>
      </c>
      <c r="Y32" s="35">
        <v>0</v>
      </c>
    </row>
    <row r="33" spans="1:25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491</v>
      </c>
      <c r="K33" s="35" t="s">
        <v>873</v>
      </c>
      <c r="L33" s="35">
        <v>15</v>
      </c>
      <c r="M33" s="36" t="s">
        <v>460</v>
      </c>
      <c r="O33" s="36">
        <v>1</v>
      </c>
      <c r="P33" s="34" t="s">
        <v>833</v>
      </c>
      <c r="R33" s="38" t="s">
        <v>767</v>
      </c>
      <c r="S33" s="88" t="s">
        <v>513</v>
      </c>
      <c r="T33" s="37">
        <f t="shared" si="2"/>
        <v>1000000</v>
      </c>
      <c r="U33" s="39">
        <v>1000</v>
      </c>
      <c r="W33" s="35">
        <v>1</v>
      </c>
      <c r="Y33" s="35">
        <v>0</v>
      </c>
    </row>
    <row r="34" spans="1:25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492</v>
      </c>
      <c r="K34" s="35" t="s">
        <v>874</v>
      </c>
      <c r="L34" s="35">
        <v>15</v>
      </c>
      <c r="M34" s="36" t="s">
        <v>460</v>
      </c>
      <c r="O34" s="36">
        <v>1</v>
      </c>
      <c r="P34" s="34" t="s">
        <v>833</v>
      </c>
      <c r="R34" s="38" t="s">
        <v>768</v>
      </c>
      <c r="T34" s="37">
        <f t="shared" si="2"/>
        <v>1000000</v>
      </c>
      <c r="U34" s="39">
        <v>1000</v>
      </c>
      <c r="W34" s="35">
        <v>1</v>
      </c>
      <c r="Y34" s="35">
        <v>0</v>
      </c>
    </row>
    <row r="35" spans="1:25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500</v>
      </c>
      <c r="K35" s="35" t="s">
        <v>937</v>
      </c>
      <c r="L35" s="35">
        <v>5</v>
      </c>
      <c r="M35" s="36" t="s">
        <v>509</v>
      </c>
      <c r="O35" s="36">
        <v>1</v>
      </c>
      <c r="R35" s="38" t="s">
        <v>769</v>
      </c>
      <c r="T35" s="37">
        <f t="shared" si="2"/>
        <v>10000</v>
      </c>
      <c r="U35" s="39">
        <v>10</v>
      </c>
      <c r="W35" s="35">
        <v>1</v>
      </c>
      <c r="Y35" s="35">
        <v>0</v>
      </c>
    </row>
    <row r="36" spans="1:25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501</v>
      </c>
      <c r="K36" s="35" t="s">
        <v>938</v>
      </c>
      <c r="L36" s="35">
        <v>6</v>
      </c>
      <c r="M36" s="36" t="s">
        <v>509</v>
      </c>
      <c r="O36" s="36">
        <v>1</v>
      </c>
      <c r="R36" s="38" t="s">
        <v>769</v>
      </c>
      <c r="T36" s="37">
        <f t="shared" si="2"/>
        <v>100000</v>
      </c>
      <c r="U36" s="39">
        <v>100</v>
      </c>
      <c r="W36" s="35">
        <v>1</v>
      </c>
      <c r="Y36" s="35">
        <v>0</v>
      </c>
    </row>
    <row r="37" spans="1:25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502</v>
      </c>
      <c r="K37" s="35" t="s">
        <v>939</v>
      </c>
      <c r="L37" s="35">
        <v>7</v>
      </c>
      <c r="M37" s="36" t="s">
        <v>509</v>
      </c>
      <c r="O37" s="36">
        <v>1</v>
      </c>
      <c r="R37" s="38" t="s">
        <v>769</v>
      </c>
      <c r="T37" s="37">
        <f t="shared" si="2"/>
        <v>1000000</v>
      </c>
      <c r="U37" s="39">
        <v>1000</v>
      </c>
      <c r="W37" s="35">
        <v>1</v>
      </c>
      <c r="Y37" s="35">
        <v>0</v>
      </c>
    </row>
    <row r="38" spans="1:25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406</v>
      </c>
      <c r="K38" s="35" t="s">
        <v>940</v>
      </c>
      <c r="L38" s="35">
        <v>8</v>
      </c>
      <c r="M38" s="36" t="s">
        <v>413</v>
      </c>
      <c r="O38" s="36">
        <v>1</v>
      </c>
      <c r="R38" s="38" t="s">
        <v>770</v>
      </c>
      <c r="T38" s="37">
        <f t="shared" si="2"/>
        <v>10000</v>
      </c>
      <c r="U38" s="39">
        <v>10</v>
      </c>
      <c r="W38" s="35">
        <v>1</v>
      </c>
      <c r="Y38" s="35">
        <v>0</v>
      </c>
    </row>
    <row r="39" spans="1:25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407</v>
      </c>
      <c r="K39" s="35" t="s">
        <v>941</v>
      </c>
      <c r="L39" s="35">
        <v>9</v>
      </c>
      <c r="M39" s="36" t="s">
        <v>413</v>
      </c>
      <c r="O39" s="36">
        <v>1</v>
      </c>
      <c r="R39" s="38" t="s">
        <v>771</v>
      </c>
      <c r="T39" s="37">
        <f t="shared" si="2"/>
        <v>100000</v>
      </c>
      <c r="U39" s="39">
        <v>100</v>
      </c>
      <c r="W39" s="35">
        <v>1</v>
      </c>
      <c r="Y39" s="35">
        <v>0</v>
      </c>
    </row>
    <row r="40" spans="1:25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408</v>
      </c>
      <c r="K40" s="35" t="s">
        <v>942</v>
      </c>
      <c r="L40" s="35">
        <v>10</v>
      </c>
      <c r="M40" s="36" t="s">
        <v>413</v>
      </c>
      <c r="O40" s="36">
        <v>1</v>
      </c>
      <c r="R40" s="38" t="s">
        <v>772</v>
      </c>
      <c r="T40" s="37">
        <f t="shared" si="2"/>
        <v>1000000</v>
      </c>
      <c r="U40" s="39">
        <v>1000</v>
      </c>
      <c r="W40" s="35">
        <v>1</v>
      </c>
      <c r="Y40" s="35">
        <v>0</v>
      </c>
    </row>
    <row r="41" spans="1:25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409</v>
      </c>
      <c r="K41" s="35" t="s">
        <v>943</v>
      </c>
      <c r="L41" s="35">
        <v>11</v>
      </c>
      <c r="M41" s="36" t="s">
        <v>413</v>
      </c>
      <c r="O41" s="36">
        <v>1</v>
      </c>
      <c r="R41" s="38" t="s">
        <v>773</v>
      </c>
      <c r="T41" s="37">
        <f t="shared" si="2"/>
        <v>10000</v>
      </c>
      <c r="U41" s="39">
        <v>10</v>
      </c>
      <c r="W41" s="35">
        <v>1</v>
      </c>
      <c r="Y41" s="35">
        <v>0</v>
      </c>
    </row>
    <row r="42" spans="1:25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410</v>
      </c>
      <c r="K42" s="35" t="s">
        <v>944</v>
      </c>
      <c r="L42" s="35">
        <v>12</v>
      </c>
      <c r="M42" s="36" t="s">
        <v>413</v>
      </c>
      <c r="O42" s="36">
        <v>1</v>
      </c>
      <c r="R42" s="38" t="s">
        <v>774</v>
      </c>
      <c r="T42" s="37">
        <f t="shared" si="2"/>
        <v>100000</v>
      </c>
      <c r="U42" s="39">
        <v>100</v>
      </c>
      <c r="W42" s="35">
        <v>1</v>
      </c>
      <c r="Y42" s="35">
        <v>0</v>
      </c>
    </row>
    <row r="43" spans="1:25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411</v>
      </c>
      <c r="K43" s="35" t="s">
        <v>945</v>
      </c>
      <c r="L43" s="35">
        <v>13</v>
      </c>
      <c r="M43" s="36" t="s">
        <v>413</v>
      </c>
      <c r="O43" s="36">
        <v>1</v>
      </c>
      <c r="R43" s="38" t="s">
        <v>775</v>
      </c>
      <c r="T43" s="37">
        <f t="shared" si="2"/>
        <v>1000000</v>
      </c>
      <c r="U43" s="39">
        <v>1000</v>
      </c>
      <c r="W43" s="35">
        <v>1</v>
      </c>
      <c r="Y43" s="35">
        <v>0</v>
      </c>
    </row>
    <row r="44" spans="1:25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503</v>
      </c>
      <c r="K44" s="35" t="s">
        <v>946</v>
      </c>
      <c r="L44" s="35">
        <v>14</v>
      </c>
      <c r="M44" s="36" t="s">
        <v>413</v>
      </c>
      <c r="O44" s="36">
        <v>1</v>
      </c>
      <c r="R44" s="38" t="s">
        <v>776</v>
      </c>
      <c r="T44" s="37">
        <f t="shared" si="2"/>
        <v>10000</v>
      </c>
      <c r="U44" s="39">
        <v>10</v>
      </c>
      <c r="W44" s="35">
        <v>1</v>
      </c>
      <c r="Y44" s="35">
        <v>0</v>
      </c>
    </row>
    <row r="45" spans="1:25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504</v>
      </c>
      <c r="K45" s="35" t="s">
        <v>947</v>
      </c>
      <c r="L45" s="35">
        <v>15</v>
      </c>
      <c r="M45" s="36" t="s">
        <v>413</v>
      </c>
      <c r="O45" s="36">
        <v>1</v>
      </c>
      <c r="R45" s="38" t="s">
        <v>777</v>
      </c>
      <c r="T45" s="37">
        <f t="shared" si="2"/>
        <v>100000</v>
      </c>
      <c r="U45" s="39">
        <v>100</v>
      </c>
      <c r="W45" s="35">
        <v>1</v>
      </c>
      <c r="Y45" s="35">
        <v>0</v>
      </c>
    </row>
    <row r="46" spans="1:25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505</v>
      </c>
      <c r="K46" s="35" t="s">
        <v>948</v>
      </c>
      <c r="L46" s="35">
        <v>16</v>
      </c>
      <c r="M46" s="36" t="s">
        <v>413</v>
      </c>
      <c r="O46" s="36">
        <v>1</v>
      </c>
      <c r="R46" s="38" t="s">
        <v>778</v>
      </c>
      <c r="T46" s="37">
        <f t="shared" si="2"/>
        <v>1000000</v>
      </c>
      <c r="U46" s="39">
        <v>1000</v>
      </c>
      <c r="W46" s="35">
        <v>1</v>
      </c>
      <c r="Y46" s="35">
        <v>0</v>
      </c>
    </row>
    <row r="47" spans="1:25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506</v>
      </c>
      <c r="K47" s="35" t="s">
        <v>949</v>
      </c>
      <c r="L47" s="35">
        <v>17</v>
      </c>
      <c r="M47" s="36" t="s">
        <v>413</v>
      </c>
      <c r="O47" s="36">
        <v>1</v>
      </c>
      <c r="R47" s="38" t="s">
        <v>779</v>
      </c>
      <c r="T47" s="37">
        <f t="shared" si="2"/>
        <v>10000</v>
      </c>
      <c r="U47" s="39">
        <v>10</v>
      </c>
      <c r="W47" s="35">
        <v>1</v>
      </c>
      <c r="Y47" s="35">
        <v>0</v>
      </c>
    </row>
    <row r="48" spans="1:25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507</v>
      </c>
      <c r="K48" s="35" t="s">
        <v>950</v>
      </c>
      <c r="L48" s="35">
        <v>18</v>
      </c>
      <c r="M48" s="36" t="s">
        <v>413</v>
      </c>
      <c r="O48" s="36">
        <v>1</v>
      </c>
      <c r="R48" s="38" t="s">
        <v>780</v>
      </c>
      <c r="T48" s="37">
        <f t="shared" si="2"/>
        <v>100000</v>
      </c>
      <c r="U48" s="39">
        <v>100</v>
      </c>
      <c r="W48" s="35">
        <v>1</v>
      </c>
      <c r="Y48" s="35">
        <v>0</v>
      </c>
    </row>
    <row r="49" spans="1:29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508</v>
      </c>
      <c r="K49" s="35" t="s">
        <v>951</v>
      </c>
      <c r="L49" s="35">
        <v>19</v>
      </c>
      <c r="M49" s="36" t="s">
        <v>413</v>
      </c>
      <c r="O49" s="36">
        <v>1</v>
      </c>
      <c r="R49" s="38" t="s">
        <v>781</v>
      </c>
      <c r="T49" s="37">
        <f t="shared" si="2"/>
        <v>1000000</v>
      </c>
      <c r="U49" s="39">
        <v>1000</v>
      </c>
      <c r="W49" s="35">
        <v>1</v>
      </c>
      <c r="Y49" s="35">
        <v>0</v>
      </c>
    </row>
    <row r="50" spans="1:29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394</v>
      </c>
      <c r="K50" s="35" t="s">
        <v>952</v>
      </c>
      <c r="L50" s="35">
        <v>10</v>
      </c>
      <c r="M50" s="36" t="s">
        <v>415</v>
      </c>
      <c r="O50" s="36">
        <v>1</v>
      </c>
      <c r="P50" s="34" t="s">
        <v>835</v>
      </c>
      <c r="R50" s="38" t="s">
        <v>782</v>
      </c>
      <c r="T50" s="37">
        <f t="shared" si="2"/>
        <v>20</v>
      </c>
      <c r="U50" s="39">
        <v>0.02</v>
      </c>
      <c r="W50" s="35">
        <v>1</v>
      </c>
      <c r="Y50" s="35">
        <v>1</v>
      </c>
      <c r="AB50" s="150">
        <v>100</v>
      </c>
    </row>
    <row r="51" spans="1:29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396</v>
      </c>
      <c r="K51" s="35" t="s">
        <v>876</v>
      </c>
      <c r="L51" s="35">
        <v>11</v>
      </c>
      <c r="M51" s="36" t="s">
        <v>415</v>
      </c>
      <c r="O51" s="36">
        <v>1</v>
      </c>
      <c r="P51" s="34" t="s">
        <v>836</v>
      </c>
      <c r="R51" s="38" t="s">
        <v>930</v>
      </c>
      <c r="T51" s="37">
        <f t="shared" si="2"/>
        <v>10</v>
      </c>
      <c r="U51" s="152">
        <v>0.01</v>
      </c>
      <c r="W51" s="35">
        <v>1</v>
      </c>
      <c r="Y51" s="35">
        <v>1</v>
      </c>
      <c r="AA51" s="150">
        <v>10</v>
      </c>
      <c r="AB51" s="150">
        <v>-10</v>
      </c>
      <c r="AC51" s="150">
        <v>-10</v>
      </c>
    </row>
    <row r="52" spans="1:29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395</v>
      </c>
      <c r="K52" s="35" t="s">
        <v>877</v>
      </c>
      <c r="L52" s="35">
        <v>12</v>
      </c>
      <c r="M52" s="36" t="s">
        <v>414</v>
      </c>
      <c r="O52" s="36">
        <v>1</v>
      </c>
      <c r="P52" s="34" t="s">
        <v>837</v>
      </c>
      <c r="R52" s="38" t="s">
        <v>783</v>
      </c>
      <c r="T52" s="37">
        <f t="shared" si="2"/>
        <v>200</v>
      </c>
      <c r="U52" s="39">
        <v>0.2</v>
      </c>
      <c r="W52" s="35">
        <v>1</v>
      </c>
      <c r="Y52" s="35">
        <v>1</v>
      </c>
      <c r="AA52" s="150">
        <v>50</v>
      </c>
      <c r="AC52" s="150">
        <v>10</v>
      </c>
    </row>
    <row r="53" spans="1:29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398</v>
      </c>
      <c r="K53" s="35" t="s">
        <v>878</v>
      </c>
      <c r="L53" s="35">
        <v>13</v>
      </c>
      <c r="M53" s="36" t="s">
        <v>414</v>
      </c>
      <c r="P53" s="34" t="s">
        <v>838</v>
      </c>
      <c r="R53" s="38" t="s">
        <v>784</v>
      </c>
      <c r="T53" s="37">
        <f t="shared" si="2"/>
        <v>200</v>
      </c>
      <c r="U53" s="152">
        <v>0.2</v>
      </c>
      <c r="W53" s="35">
        <v>1</v>
      </c>
      <c r="Y53" s="35">
        <v>0</v>
      </c>
    </row>
    <row r="54" spans="1:29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400</v>
      </c>
      <c r="K54" s="35" t="s">
        <v>879</v>
      </c>
      <c r="L54" s="35">
        <v>14</v>
      </c>
      <c r="M54" s="36" t="s">
        <v>414</v>
      </c>
      <c r="O54" s="36">
        <v>1</v>
      </c>
      <c r="P54" s="34" t="s">
        <v>839</v>
      </c>
      <c r="R54" s="38" t="s">
        <v>785</v>
      </c>
      <c r="T54" s="37">
        <f t="shared" si="2"/>
        <v>200</v>
      </c>
      <c r="U54" s="39">
        <v>0.2</v>
      </c>
      <c r="W54" s="35">
        <v>1</v>
      </c>
      <c r="Y54" s="35">
        <v>0</v>
      </c>
    </row>
    <row r="55" spans="1:29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401</v>
      </c>
      <c r="K55" s="35" t="s">
        <v>880</v>
      </c>
      <c r="L55" s="35">
        <v>15</v>
      </c>
      <c r="M55" s="36" t="s">
        <v>414</v>
      </c>
      <c r="O55" s="36">
        <v>1</v>
      </c>
      <c r="P55" s="34" t="s">
        <v>840</v>
      </c>
      <c r="R55" s="38" t="s">
        <v>786</v>
      </c>
      <c r="T55" s="37">
        <f t="shared" si="2"/>
        <v>200</v>
      </c>
      <c r="U55" s="152">
        <v>0.2</v>
      </c>
      <c r="W55" s="35">
        <v>1</v>
      </c>
      <c r="Y55" s="35">
        <v>0</v>
      </c>
    </row>
    <row r="56" spans="1:29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432</v>
      </c>
      <c r="K56" s="35" t="s">
        <v>881</v>
      </c>
      <c r="L56" s="35">
        <v>16</v>
      </c>
      <c r="M56" s="36" t="s">
        <v>414</v>
      </c>
      <c r="O56" s="36">
        <v>1</v>
      </c>
      <c r="P56" s="34" t="s">
        <v>841</v>
      </c>
      <c r="R56" s="38" t="s">
        <v>787</v>
      </c>
      <c r="T56" s="37">
        <f t="shared" si="2"/>
        <v>200</v>
      </c>
      <c r="U56" s="39">
        <v>0.2</v>
      </c>
      <c r="W56" s="35">
        <v>1</v>
      </c>
      <c r="Y56" s="35">
        <v>0</v>
      </c>
    </row>
    <row r="57" spans="1:29" x14ac:dyDescent="0.15">
      <c r="G57" s="73"/>
    </row>
    <row r="58" spans="1:29" x14ac:dyDescent="0.15">
      <c r="G58" s="73"/>
    </row>
    <row r="59" spans="1:29" x14ac:dyDescent="0.15">
      <c r="G59" s="73"/>
    </row>
    <row r="60" spans="1:29" x14ac:dyDescent="0.15">
      <c r="G60" s="73"/>
    </row>
    <row r="61" spans="1:29" x14ac:dyDescent="0.15">
      <c r="G61" s="73"/>
    </row>
    <row r="62" spans="1:29" x14ac:dyDescent="0.15">
      <c r="G62" s="73"/>
    </row>
    <row r="63" spans="1:29" x14ac:dyDescent="0.15">
      <c r="G63" s="73"/>
    </row>
    <row r="64" spans="1:29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588</v>
      </c>
      <c r="B3" s="38" t="s">
        <v>845</v>
      </c>
      <c r="C3" s="62" t="s">
        <v>846</v>
      </c>
      <c r="D3" s="62" t="s">
        <v>847</v>
      </c>
      <c r="E3" s="62" t="s">
        <v>848</v>
      </c>
      <c r="F3" s="35" t="s">
        <v>849</v>
      </c>
      <c r="G3" s="35" t="s">
        <v>850</v>
      </c>
      <c r="H3" s="35" t="s">
        <v>851</v>
      </c>
      <c r="I3" s="62" t="s">
        <v>852</v>
      </c>
      <c r="J3" s="35" t="s">
        <v>853</v>
      </c>
      <c r="K3" s="35" t="s">
        <v>854</v>
      </c>
      <c r="L3" s="35" t="s">
        <v>855</v>
      </c>
      <c r="M3" s="35" t="s">
        <v>856</v>
      </c>
      <c r="N3" s="35" t="s">
        <v>857</v>
      </c>
      <c r="O3" s="35" t="s">
        <v>858</v>
      </c>
      <c r="P3" s="35" t="s">
        <v>859</v>
      </c>
      <c r="Q3" s="35" t="s">
        <v>860</v>
      </c>
      <c r="R3" s="35" t="s">
        <v>861</v>
      </c>
      <c r="S3" s="35" t="s">
        <v>862</v>
      </c>
      <c r="T3" s="35" t="s">
        <v>863</v>
      </c>
      <c r="U3" s="35" t="s">
        <v>864</v>
      </c>
      <c r="V3" s="35" t="s">
        <v>865</v>
      </c>
      <c r="W3" s="35" t="s">
        <v>866</v>
      </c>
      <c r="X3" s="35" t="s">
        <v>867</v>
      </c>
      <c r="Y3" s="35" t="s">
        <v>868</v>
      </c>
      <c r="Z3" s="35" t="s">
        <v>869</v>
      </c>
      <c r="AA3" s="35" t="s">
        <v>870</v>
      </c>
      <c r="AB3" s="35" t="s">
        <v>871</v>
      </c>
      <c r="AC3" s="35" t="s">
        <v>872</v>
      </c>
      <c r="AD3" s="35" t="s">
        <v>873</v>
      </c>
      <c r="AE3" s="35" t="s">
        <v>874</v>
      </c>
      <c r="AF3" s="35" t="s">
        <v>937</v>
      </c>
      <c r="AG3" s="35" t="s">
        <v>938</v>
      </c>
      <c r="AH3" s="35" t="s">
        <v>939</v>
      </c>
      <c r="AI3" s="35" t="s">
        <v>940</v>
      </c>
      <c r="AJ3" s="35" t="s">
        <v>941</v>
      </c>
      <c r="AK3" s="35" t="s">
        <v>942</v>
      </c>
      <c r="AL3" s="35" t="s">
        <v>943</v>
      </c>
      <c r="AM3" s="35" t="s">
        <v>944</v>
      </c>
      <c r="AN3" s="35" t="s">
        <v>945</v>
      </c>
      <c r="AO3" s="35" t="s">
        <v>946</v>
      </c>
      <c r="AP3" s="35" t="s">
        <v>947</v>
      </c>
      <c r="AQ3" s="35" t="s">
        <v>948</v>
      </c>
      <c r="AR3" s="35" t="s">
        <v>949</v>
      </c>
      <c r="AS3" s="35" t="s">
        <v>950</v>
      </c>
      <c r="AT3" s="35" t="s">
        <v>951</v>
      </c>
      <c r="AU3" s="35" t="s">
        <v>875</v>
      </c>
      <c r="AV3" s="35" t="s">
        <v>876</v>
      </c>
      <c r="AW3" s="35" t="s">
        <v>877</v>
      </c>
      <c r="AX3" s="35" t="s">
        <v>878</v>
      </c>
      <c r="AY3" s="35" t="s">
        <v>879</v>
      </c>
      <c r="AZ3" s="35" t="s">
        <v>880</v>
      </c>
      <c r="BA3" s="35" t="s">
        <v>881</v>
      </c>
    </row>
    <row r="4" spans="1:53" ht="18" customHeight="1" thickBot="1" x14ac:dyDescent="0.2">
      <c r="A4" s="90" t="s">
        <v>571</v>
      </c>
      <c r="B4" s="38" t="s">
        <v>390</v>
      </c>
      <c r="C4" s="62" t="s">
        <v>391</v>
      </c>
      <c r="D4" s="62" t="s">
        <v>392</v>
      </c>
      <c r="E4" s="62" t="s">
        <v>457</v>
      </c>
      <c r="F4" s="35" t="s">
        <v>393</v>
      </c>
      <c r="G4" s="35" t="s">
        <v>438</v>
      </c>
      <c r="H4" s="35" t="s">
        <v>443</v>
      </c>
      <c r="I4" s="62" t="s">
        <v>412</v>
      </c>
      <c r="J4" s="35" t="s">
        <v>397</v>
      </c>
      <c r="K4" s="35" t="s">
        <v>399</v>
      </c>
      <c r="L4" s="35" t="s">
        <v>510</v>
      </c>
      <c r="M4" s="35" t="s">
        <v>402</v>
      </c>
      <c r="N4" s="35" t="s">
        <v>403</v>
      </c>
      <c r="O4" s="35" t="s">
        <v>404</v>
      </c>
      <c r="P4" s="35" t="s">
        <v>405</v>
      </c>
      <c r="Q4" s="35" t="s">
        <v>464</v>
      </c>
      <c r="R4" s="35" t="s">
        <v>465</v>
      </c>
      <c r="S4" s="35" t="s">
        <v>466</v>
      </c>
      <c r="T4" s="35" t="s">
        <v>473</v>
      </c>
      <c r="U4" s="35" t="s">
        <v>467</v>
      </c>
      <c r="V4" s="35" t="s">
        <v>468</v>
      </c>
      <c r="W4" s="35" t="s">
        <v>469</v>
      </c>
      <c r="X4" s="35" t="s">
        <v>479</v>
      </c>
      <c r="Y4" s="35" t="s">
        <v>481</v>
      </c>
      <c r="Z4" s="35" t="s">
        <v>482</v>
      </c>
      <c r="AA4" s="35" t="s">
        <v>488</v>
      </c>
      <c r="AB4" s="35" t="s">
        <v>494</v>
      </c>
      <c r="AC4" s="35" t="s">
        <v>490</v>
      </c>
      <c r="AD4" s="35" t="s">
        <v>491</v>
      </c>
      <c r="AE4" s="35" t="s">
        <v>492</v>
      </c>
      <c r="AF4" s="35" t="s">
        <v>500</v>
      </c>
      <c r="AG4" s="35" t="s">
        <v>501</v>
      </c>
      <c r="AH4" s="35" t="s">
        <v>502</v>
      </c>
      <c r="AI4" s="35" t="s">
        <v>406</v>
      </c>
      <c r="AJ4" s="35" t="s">
        <v>407</v>
      </c>
      <c r="AK4" s="35" t="s">
        <v>408</v>
      </c>
      <c r="AL4" s="35" t="s">
        <v>409</v>
      </c>
      <c r="AM4" s="35" t="s">
        <v>410</v>
      </c>
      <c r="AN4" s="35" t="s">
        <v>411</v>
      </c>
      <c r="AO4" s="35" t="s">
        <v>503</v>
      </c>
      <c r="AP4" s="35" t="s">
        <v>504</v>
      </c>
      <c r="AQ4" s="35" t="s">
        <v>505</v>
      </c>
      <c r="AR4" s="35" t="s">
        <v>506</v>
      </c>
      <c r="AS4" s="35" t="s">
        <v>507</v>
      </c>
      <c r="AT4" s="35" t="s">
        <v>508</v>
      </c>
      <c r="AU4" s="35" t="s">
        <v>394</v>
      </c>
      <c r="AV4" s="35" t="s">
        <v>396</v>
      </c>
      <c r="AW4" s="35" t="s">
        <v>395</v>
      </c>
      <c r="AX4" s="35" t="s">
        <v>398</v>
      </c>
      <c r="AY4" s="35" t="s">
        <v>400</v>
      </c>
      <c r="AZ4" s="35" t="s">
        <v>401</v>
      </c>
      <c r="BA4" s="35" t="s">
        <v>432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21" sqref="F21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693</v>
      </c>
      <c r="B3" s="56" t="s">
        <v>570</v>
      </c>
    </row>
    <row r="4" spans="1:2" ht="17.25" thickBot="1" x14ac:dyDescent="0.2">
      <c r="A4" s="58" t="s">
        <v>571</v>
      </c>
      <c r="B4" s="58" t="s">
        <v>572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133</v>
      </c>
    </row>
    <row r="7" spans="1:2" x14ac:dyDescent="0.15">
      <c r="A7" s="56">
        <v>3</v>
      </c>
      <c r="B7" s="56">
        <v>54</v>
      </c>
    </row>
    <row r="8" spans="1:2" x14ac:dyDescent="0.15">
      <c r="A8" s="56">
        <v>4</v>
      </c>
      <c r="B8" s="56">
        <v>86</v>
      </c>
    </row>
    <row r="9" spans="1:2" x14ac:dyDescent="0.15">
      <c r="A9" s="56">
        <v>5</v>
      </c>
      <c r="B9" s="56">
        <v>140</v>
      </c>
    </row>
    <row r="10" spans="1:2" x14ac:dyDescent="0.15">
      <c r="A10" s="56">
        <v>6</v>
      </c>
      <c r="B10" s="56">
        <v>194</v>
      </c>
    </row>
    <row r="11" spans="1:2" x14ac:dyDescent="0.15">
      <c r="A11" s="56">
        <v>7</v>
      </c>
      <c r="B11" s="56">
        <v>323</v>
      </c>
    </row>
    <row r="12" spans="1:2" x14ac:dyDescent="0.15">
      <c r="A12" s="56">
        <v>8</v>
      </c>
      <c r="B12" s="56">
        <v>430</v>
      </c>
    </row>
    <row r="13" spans="1:2" x14ac:dyDescent="0.15">
      <c r="A13" s="56">
        <v>9</v>
      </c>
      <c r="B13" s="56">
        <v>538</v>
      </c>
    </row>
    <row r="14" spans="1:2" x14ac:dyDescent="0.15">
      <c r="A14" s="56">
        <v>10</v>
      </c>
      <c r="B14" s="56">
        <v>853</v>
      </c>
    </row>
    <row r="15" spans="1:2" x14ac:dyDescent="0.15">
      <c r="A15" s="56">
        <v>11</v>
      </c>
      <c r="B15" s="56">
        <v>1068</v>
      </c>
    </row>
    <row r="16" spans="1:2" x14ac:dyDescent="0.15">
      <c r="A16" s="56">
        <v>12</v>
      </c>
      <c r="B16" s="56">
        <v>1183</v>
      </c>
    </row>
    <row r="17" spans="1:2" x14ac:dyDescent="0.15">
      <c r="A17" s="56">
        <v>13</v>
      </c>
      <c r="B17" s="56">
        <v>1398</v>
      </c>
    </row>
    <row r="18" spans="1:2" x14ac:dyDescent="0.15">
      <c r="A18" s="56">
        <v>14</v>
      </c>
      <c r="B18" s="56">
        <v>1721</v>
      </c>
    </row>
    <row r="19" spans="1:2" x14ac:dyDescent="0.15">
      <c r="A19" s="56">
        <v>15</v>
      </c>
      <c r="B19" s="56">
        <v>2151</v>
      </c>
    </row>
    <row r="20" spans="1:2" x14ac:dyDescent="0.15">
      <c r="A20" s="56">
        <v>16</v>
      </c>
      <c r="B20" s="56">
        <v>2723</v>
      </c>
    </row>
    <row r="21" spans="1:2" x14ac:dyDescent="0.15">
      <c r="A21" s="56">
        <v>17</v>
      </c>
      <c r="B21" s="56">
        <v>3410</v>
      </c>
    </row>
    <row r="22" spans="1:2" x14ac:dyDescent="0.15">
      <c r="A22" s="56">
        <v>18</v>
      </c>
      <c r="B22" s="56">
        <v>4180</v>
      </c>
    </row>
    <row r="23" spans="1:2" x14ac:dyDescent="0.15">
      <c r="A23" s="56">
        <v>19</v>
      </c>
      <c r="B23" s="56">
        <v>5060</v>
      </c>
    </row>
    <row r="24" spans="1:2" x14ac:dyDescent="0.15">
      <c r="A24" s="56">
        <v>20</v>
      </c>
      <c r="B24" s="56">
        <v>6050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tabSelected="1" workbookViewId="0">
      <selection activeCell="L20" sqref="L20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579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693</v>
      </c>
      <c r="B3" s="56" t="s">
        <v>575</v>
      </c>
    </row>
    <row r="4" spans="1:2" ht="17.25" thickBot="1" x14ac:dyDescent="0.2">
      <c r="A4" s="58" t="s">
        <v>573</v>
      </c>
      <c r="B4" s="58" t="s">
        <v>574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532</v>
      </c>
    </row>
    <row r="7" spans="1:2" x14ac:dyDescent="0.15">
      <c r="A7" s="56">
        <v>3</v>
      </c>
      <c r="B7" s="56">
        <v>216</v>
      </c>
    </row>
    <row r="8" spans="1:2" x14ac:dyDescent="0.15">
      <c r="A8" s="56">
        <v>4</v>
      </c>
      <c r="B8" s="56">
        <v>344</v>
      </c>
    </row>
    <row r="9" spans="1:2" x14ac:dyDescent="0.15">
      <c r="A9" s="56">
        <v>5</v>
      </c>
      <c r="B9" s="56">
        <v>560</v>
      </c>
    </row>
    <row r="10" spans="1:2" x14ac:dyDescent="0.15">
      <c r="A10" s="56">
        <v>6</v>
      </c>
      <c r="B10" s="56">
        <v>776</v>
      </c>
    </row>
    <row r="11" spans="1:2" x14ac:dyDescent="0.15">
      <c r="A11" s="56">
        <v>7</v>
      </c>
      <c r="B11" s="56">
        <v>1292</v>
      </c>
    </row>
    <row r="12" spans="1:2" x14ac:dyDescent="0.15">
      <c r="A12" s="56">
        <v>8</v>
      </c>
      <c r="B12" s="56">
        <v>1720</v>
      </c>
    </row>
    <row r="13" spans="1:2" x14ac:dyDescent="0.15">
      <c r="A13" s="56">
        <v>9</v>
      </c>
      <c r="B13" s="56">
        <v>2152</v>
      </c>
    </row>
    <row r="14" spans="1:2" x14ac:dyDescent="0.15">
      <c r="A14" s="56">
        <v>10</v>
      </c>
      <c r="B14" s="56">
        <v>3412</v>
      </c>
    </row>
    <row r="15" spans="1:2" x14ac:dyDescent="0.15">
      <c r="A15" s="56">
        <v>11</v>
      </c>
      <c r="B15" s="56">
        <v>4272</v>
      </c>
    </row>
    <row r="16" spans="1:2" x14ac:dyDescent="0.15">
      <c r="A16" s="56">
        <v>12</v>
      </c>
      <c r="B16" s="56">
        <v>4732</v>
      </c>
    </row>
    <row r="17" spans="1:2" x14ac:dyDescent="0.15">
      <c r="A17" s="56">
        <v>13</v>
      </c>
      <c r="B17" s="56">
        <v>5592</v>
      </c>
    </row>
    <row r="18" spans="1:2" x14ac:dyDescent="0.15">
      <c r="A18" s="56">
        <v>14</v>
      </c>
      <c r="B18" s="56">
        <v>6884</v>
      </c>
    </row>
    <row r="19" spans="1:2" x14ac:dyDescent="0.15">
      <c r="A19" s="56">
        <v>15</v>
      </c>
      <c r="B19" s="56">
        <v>8604</v>
      </c>
    </row>
    <row r="20" spans="1:2" x14ac:dyDescent="0.15">
      <c r="A20" s="56">
        <v>16</v>
      </c>
      <c r="B20" s="56">
        <v>10892</v>
      </c>
    </row>
    <row r="21" spans="1:2" x14ac:dyDescent="0.15">
      <c r="A21" s="56">
        <v>17</v>
      </c>
      <c r="B21" s="56">
        <v>13640</v>
      </c>
    </row>
    <row r="22" spans="1:2" x14ac:dyDescent="0.15">
      <c r="A22" s="56">
        <v>18</v>
      </c>
      <c r="B22" s="56">
        <v>16720</v>
      </c>
    </row>
    <row r="23" spans="1:2" x14ac:dyDescent="0.15">
      <c r="A23" s="56">
        <v>19</v>
      </c>
      <c r="B23" s="56">
        <v>20240</v>
      </c>
    </row>
    <row r="24" spans="1:2" x14ac:dyDescent="0.15">
      <c r="A24" s="56">
        <v>20</v>
      </c>
      <c r="B24" s="56">
        <v>24200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814</v>
      </c>
      <c r="B1" s="95" t="s">
        <v>815</v>
      </c>
      <c r="C1" s="143" t="s">
        <v>815</v>
      </c>
      <c r="D1" s="95" t="s">
        <v>815</v>
      </c>
      <c r="E1" s="143" t="s">
        <v>815</v>
      </c>
      <c r="F1" s="95" t="s">
        <v>815</v>
      </c>
    </row>
    <row r="2" spans="1:6" x14ac:dyDescent="0.15">
      <c r="A2" s="102" t="s">
        <v>816</v>
      </c>
      <c r="B2" s="95" t="s">
        <v>816</v>
      </c>
      <c r="C2" s="143" t="s">
        <v>816</v>
      </c>
      <c r="D2" s="95" t="s">
        <v>816</v>
      </c>
      <c r="E2" s="143" t="s">
        <v>816</v>
      </c>
      <c r="F2" s="95" t="s">
        <v>816</v>
      </c>
    </row>
    <row r="3" spans="1:6" x14ac:dyDescent="0.15">
      <c r="A3" s="102" t="s">
        <v>817</v>
      </c>
      <c r="B3" s="95" t="s">
        <v>810</v>
      </c>
      <c r="C3" s="143" t="s">
        <v>811</v>
      </c>
      <c r="D3" s="95" t="s">
        <v>808</v>
      </c>
      <c r="E3" s="143" t="s">
        <v>809</v>
      </c>
      <c r="F3" s="95" t="s">
        <v>807</v>
      </c>
    </row>
    <row r="4" spans="1:6" ht="22.5" customHeight="1" x14ac:dyDescent="0.15">
      <c r="A4" s="102" t="s">
        <v>813</v>
      </c>
      <c r="B4" s="95" t="s">
        <v>818</v>
      </c>
      <c r="C4" s="143" t="s">
        <v>819</v>
      </c>
      <c r="D4" s="95" t="s">
        <v>820</v>
      </c>
      <c r="E4" s="143" t="s">
        <v>812</v>
      </c>
      <c r="F4" s="95" t="s">
        <v>821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614</v>
      </c>
      <c r="J1" s="127" t="s">
        <v>648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843</v>
      </c>
      <c r="J2" s="127" t="s">
        <v>643</v>
      </c>
      <c r="L2" s="127" t="s">
        <v>643</v>
      </c>
      <c r="M2" s="127" t="s">
        <v>643</v>
      </c>
      <c r="O2" s="127" t="s">
        <v>643</v>
      </c>
      <c r="Q2" s="127" t="s">
        <v>643</v>
      </c>
      <c r="R2" s="127" t="s">
        <v>643</v>
      </c>
      <c r="S2" s="127" t="s">
        <v>643</v>
      </c>
      <c r="U2" s="127" t="s">
        <v>643</v>
      </c>
      <c r="V2" s="127" t="s">
        <v>643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919</v>
      </c>
      <c r="J3" s="127" t="s">
        <v>649</v>
      </c>
      <c r="L3" s="127" t="s">
        <v>650</v>
      </c>
      <c r="M3" s="127" t="s">
        <v>651</v>
      </c>
      <c r="O3" s="127" t="s">
        <v>652</v>
      </c>
      <c r="Q3" s="127" t="s">
        <v>653</v>
      </c>
      <c r="R3" s="127" t="s">
        <v>654</v>
      </c>
      <c r="S3" s="127" t="s">
        <v>655</v>
      </c>
      <c r="U3" s="127" t="s">
        <v>656</v>
      </c>
      <c r="V3" s="127" t="s">
        <v>657</v>
      </c>
    </row>
    <row r="4" spans="1:22" ht="55.5" customHeight="1" thickBot="1" x14ac:dyDescent="0.35">
      <c r="A4" s="89" t="s">
        <v>626</v>
      </c>
      <c r="B4" s="91" t="s">
        <v>624</v>
      </c>
      <c r="C4" s="107" t="s">
        <v>625</v>
      </c>
      <c r="D4" s="91"/>
      <c r="E4" s="91"/>
      <c r="F4" s="107" t="s">
        <v>647</v>
      </c>
      <c r="G4" s="133" t="s">
        <v>627</v>
      </c>
      <c r="H4" s="90"/>
      <c r="I4" s="91" t="s">
        <v>628</v>
      </c>
      <c r="J4" s="90" t="s">
        <v>629</v>
      </c>
      <c r="K4" s="133" t="s">
        <v>683</v>
      </c>
      <c r="L4" s="90" t="s">
        <v>684</v>
      </c>
      <c r="M4" s="90" t="s">
        <v>685</v>
      </c>
      <c r="N4" s="133" t="s">
        <v>673</v>
      </c>
      <c r="O4" s="90" t="s">
        <v>630</v>
      </c>
      <c r="P4" s="133" t="s">
        <v>677</v>
      </c>
      <c r="Q4" s="90" t="s">
        <v>646</v>
      </c>
      <c r="R4" s="90" t="s">
        <v>644</v>
      </c>
      <c r="S4" s="90" t="s">
        <v>645</v>
      </c>
      <c r="T4" s="133" t="s">
        <v>631</v>
      </c>
      <c r="U4" s="90" t="s">
        <v>644</v>
      </c>
      <c r="V4" s="90" t="s">
        <v>645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632</v>
      </c>
      <c r="H5" s="129"/>
      <c r="J5" s="129">
        <v>100</v>
      </c>
      <c r="K5" s="136"/>
      <c r="L5" s="129"/>
      <c r="M5" s="129"/>
      <c r="N5" s="138" t="s">
        <v>674</v>
      </c>
      <c r="O5" s="129">
        <v>50</v>
      </c>
      <c r="P5" s="138" t="s">
        <v>679</v>
      </c>
      <c r="Q5" s="129"/>
      <c r="R5" s="129">
        <v>2000</v>
      </c>
      <c r="S5" s="129">
        <v>200</v>
      </c>
      <c r="T5" s="136" t="s">
        <v>680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633</v>
      </c>
      <c r="I6" s="126" t="s">
        <v>658</v>
      </c>
      <c r="J6" s="127">
        <v>50</v>
      </c>
      <c r="N6" s="139" t="s">
        <v>675</v>
      </c>
      <c r="O6" s="127">
        <v>200</v>
      </c>
      <c r="P6" s="137" t="s">
        <v>678</v>
      </c>
      <c r="R6" s="127">
        <v>2000</v>
      </c>
      <c r="S6" s="127">
        <v>200</v>
      </c>
      <c r="T6" s="132" t="s">
        <v>682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634</v>
      </c>
      <c r="I7" s="126" t="s">
        <v>658</v>
      </c>
      <c r="J7" s="127">
        <v>30</v>
      </c>
      <c r="N7" s="139" t="s">
        <v>676</v>
      </c>
      <c r="O7" s="127">
        <v>200</v>
      </c>
      <c r="P7" s="137" t="s">
        <v>678</v>
      </c>
      <c r="R7" s="127">
        <v>2000</v>
      </c>
      <c r="S7" s="127">
        <v>200</v>
      </c>
      <c r="T7" s="132" t="s">
        <v>681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635</v>
      </c>
      <c r="H8" s="147" t="s">
        <v>920</v>
      </c>
      <c r="I8" s="126" t="s">
        <v>659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636</v>
      </c>
      <c r="H9" s="147" t="s">
        <v>921</v>
      </c>
      <c r="I9" s="126" t="s">
        <v>660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637</v>
      </c>
      <c r="J10" s="127">
        <v>50</v>
      </c>
      <c r="K10" s="137" t="s">
        <v>666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638</v>
      </c>
      <c r="J11" s="127">
        <v>50</v>
      </c>
      <c r="K11" s="137" t="s">
        <v>666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639</v>
      </c>
      <c r="I12" s="126" t="s">
        <v>661</v>
      </c>
      <c r="J12" s="127">
        <v>50</v>
      </c>
      <c r="K12" s="137" t="s">
        <v>667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640</v>
      </c>
      <c r="I13" s="126" t="s">
        <v>662</v>
      </c>
      <c r="J13" s="127">
        <v>50</v>
      </c>
      <c r="K13" s="137" t="s">
        <v>668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641</v>
      </c>
      <c r="I14" s="126" t="s">
        <v>663</v>
      </c>
      <c r="J14" s="127">
        <v>50</v>
      </c>
      <c r="K14" s="137" t="s">
        <v>670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642</v>
      </c>
      <c r="I15" s="126" t="s">
        <v>665</v>
      </c>
      <c r="J15" s="127">
        <v>50</v>
      </c>
      <c r="K15" s="137" t="s">
        <v>672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664</v>
      </c>
      <c r="I16" s="126" t="s">
        <v>665</v>
      </c>
      <c r="J16" s="127">
        <v>50</v>
      </c>
      <c r="K16" s="137" t="s">
        <v>671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580</v>
      </c>
      <c r="B1" s="13"/>
      <c r="C1" s="12"/>
      <c r="D1" s="13"/>
      <c r="E1" s="13"/>
      <c r="F1" s="12"/>
      <c r="G1" s="56" t="s">
        <v>619</v>
      </c>
      <c r="H1" s="56" t="s">
        <v>614</v>
      </c>
      <c r="I1" s="56" t="s">
        <v>614</v>
      </c>
      <c r="J1" s="56" t="s">
        <v>614</v>
      </c>
      <c r="K1" s="56" t="s">
        <v>614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588</v>
      </c>
      <c r="B3" s="13"/>
      <c r="C3" s="12"/>
      <c r="D3" s="13"/>
      <c r="E3" s="13"/>
      <c r="F3" s="12"/>
      <c r="G3" s="56" t="s">
        <v>608</v>
      </c>
      <c r="H3" s="56" t="s">
        <v>610</v>
      </c>
      <c r="I3" s="56" t="s">
        <v>611</v>
      </c>
      <c r="J3" s="56" t="s">
        <v>623</v>
      </c>
      <c r="K3" s="56" t="s">
        <v>612</v>
      </c>
      <c r="L3" s="56"/>
      <c r="M3" s="10"/>
      <c r="N3" s="10"/>
    </row>
    <row r="4" spans="1:24" s="96" customFormat="1" ht="57.75" customHeight="1" thickBot="1" x14ac:dyDescent="0.2">
      <c r="A4" s="98" t="s">
        <v>583</v>
      </c>
      <c r="B4" s="110" t="s">
        <v>589</v>
      </c>
      <c r="C4" s="111"/>
      <c r="D4" s="110"/>
      <c r="E4" s="110"/>
      <c r="F4" s="111"/>
      <c r="G4" s="93" t="s">
        <v>596</v>
      </c>
      <c r="H4" s="93" t="s">
        <v>585</v>
      </c>
      <c r="I4" s="93" t="s">
        <v>609</v>
      </c>
      <c r="J4" s="93" t="s">
        <v>584</v>
      </c>
      <c r="K4" s="93" t="s">
        <v>613</v>
      </c>
      <c r="L4" s="93"/>
      <c r="M4" s="94" t="s">
        <v>615</v>
      </c>
      <c r="N4" s="94" t="s">
        <v>616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E614"/>
  <sheetViews>
    <sheetView zoomScaleNormal="100" workbookViewId="0">
      <pane xSplit="7" ySplit="4" topLeftCell="H89" activePane="bottomRight" state="frozen"/>
      <selection pane="topRight" activeCell="H1" sqref="H1"/>
      <selection pane="bottomLeft" activeCell="A5" sqref="A5"/>
      <selection pane="bottomRight" activeCell="V85" sqref="V8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10.25" style="172" customWidth="1"/>
    <col min="53" max="53" width="19.125" style="56" customWidth="1"/>
    <col min="54" max="54" width="21.625" style="10" customWidth="1"/>
    <col min="55" max="55" width="13.375" style="56" customWidth="1"/>
    <col min="56" max="58" width="11.75" style="56" customWidth="1"/>
    <col min="59" max="65" width="11.75" style="97" customWidth="1"/>
    <col min="66" max="66" width="17.5" style="145" customWidth="1"/>
    <col min="67" max="85" width="18.5" style="95" customWidth="1"/>
    <col min="86" max="86" width="17.875" style="7" customWidth="1"/>
    <col min="87" max="101" width="17.25" style="95" customWidth="1"/>
    <col min="102" max="102" width="20.125" style="7" customWidth="1"/>
    <col min="103" max="109" width="11.75" style="95" customWidth="1"/>
    <col min="110" max="16384" width="9" style="95"/>
  </cols>
  <sheetData>
    <row r="1" spans="1:109" s="97" customFormat="1" x14ac:dyDescent="0.15">
      <c r="A1" s="11" t="s">
        <v>580</v>
      </c>
      <c r="B1" s="13"/>
      <c r="C1" s="12"/>
      <c r="D1" s="13"/>
      <c r="E1" s="13"/>
      <c r="F1" s="12"/>
      <c r="G1" s="56" t="s">
        <v>844</v>
      </c>
      <c r="H1" s="56" t="s">
        <v>614</v>
      </c>
      <c r="I1" s="56" t="s">
        <v>844</v>
      </c>
      <c r="J1" s="56" t="s">
        <v>614</v>
      </c>
      <c r="K1" s="56" t="s">
        <v>614</v>
      </c>
      <c r="L1" s="165" t="s">
        <v>844</v>
      </c>
      <c r="M1" s="10"/>
      <c r="N1" s="56" t="s">
        <v>844</v>
      </c>
      <c r="O1" s="56" t="s">
        <v>844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1135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614</v>
      </c>
      <c r="AJ1" s="56" t="s">
        <v>614</v>
      </c>
      <c r="AK1" s="56" t="s">
        <v>614</v>
      </c>
      <c r="AL1" s="56" t="s">
        <v>614</v>
      </c>
      <c r="AM1" s="56" t="s">
        <v>614</v>
      </c>
      <c r="AN1" s="56" t="s">
        <v>614</v>
      </c>
      <c r="AO1" s="172"/>
      <c r="AP1" s="56" t="s">
        <v>614</v>
      </c>
      <c r="AQ1" s="56" t="s">
        <v>614</v>
      </c>
      <c r="AR1" s="56" t="s">
        <v>614</v>
      </c>
      <c r="AS1" s="56" t="s">
        <v>614</v>
      </c>
      <c r="AT1" s="56" t="s">
        <v>614</v>
      </c>
      <c r="AU1" s="56" t="s">
        <v>614</v>
      </c>
      <c r="AV1" s="56" t="s">
        <v>614</v>
      </c>
      <c r="AW1" s="172"/>
      <c r="AX1" s="56" t="s">
        <v>614</v>
      </c>
      <c r="AY1" s="56" t="s">
        <v>614</v>
      </c>
      <c r="AZ1" s="172"/>
      <c r="BA1" s="56" t="s">
        <v>614</v>
      </c>
      <c r="BB1" s="10"/>
      <c r="BC1" s="56" t="s">
        <v>614</v>
      </c>
      <c r="BD1" s="56" t="s">
        <v>614</v>
      </c>
      <c r="BE1" s="56" t="s">
        <v>614</v>
      </c>
      <c r="BF1" s="56" t="s">
        <v>614</v>
      </c>
      <c r="BG1" s="56" t="s">
        <v>614</v>
      </c>
      <c r="BH1" s="56" t="s">
        <v>614</v>
      </c>
      <c r="BI1" s="56" t="s">
        <v>614</v>
      </c>
      <c r="BJ1" s="56" t="s">
        <v>614</v>
      </c>
      <c r="BK1" s="56" t="s">
        <v>614</v>
      </c>
      <c r="BL1" s="56" t="s">
        <v>614</v>
      </c>
      <c r="BM1" s="56" t="s">
        <v>614</v>
      </c>
      <c r="BN1" s="10"/>
      <c r="BO1" s="56" t="s">
        <v>614</v>
      </c>
      <c r="BP1" s="56" t="s">
        <v>614</v>
      </c>
      <c r="BQ1" s="56" t="s">
        <v>614</v>
      </c>
      <c r="BR1" s="56" t="s">
        <v>614</v>
      </c>
      <c r="BS1" s="56" t="s">
        <v>614</v>
      </c>
      <c r="BT1" s="56" t="s">
        <v>614</v>
      </c>
      <c r="BU1" s="56" t="s">
        <v>614</v>
      </c>
      <c r="BV1" s="56" t="s">
        <v>614</v>
      </c>
      <c r="BW1" s="56" t="s">
        <v>614</v>
      </c>
      <c r="BX1" s="56" t="s">
        <v>614</v>
      </c>
      <c r="BY1" s="56" t="s">
        <v>614</v>
      </c>
      <c r="BZ1" s="56" t="s">
        <v>614</v>
      </c>
      <c r="CA1" s="56" t="s">
        <v>614</v>
      </c>
      <c r="CB1" s="56" t="s">
        <v>614</v>
      </c>
      <c r="CC1" s="56" t="s">
        <v>614</v>
      </c>
      <c r="CD1" s="56" t="s">
        <v>614</v>
      </c>
      <c r="CE1" s="56" t="s">
        <v>614</v>
      </c>
      <c r="CF1" s="56" t="s">
        <v>614</v>
      </c>
      <c r="CG1" s="56" t="s">
        <v>614</v>
      </c>
      <c r="CH1" s="10"/>
      <c r="CI1" s="56" t="s">
        <v>614</v>
      </c>
      <c r="CJ1" s="56" t="s">
        <v>614</v>
      </c>
      <c r="CK1" s="56" t="s">
        <v>614</v>
      </c>
      <c r="CL1" s="56" t="s">
        <v>614</v>
      </c>
      <c r="CM1" s="56" t="s">
        <v>614</v>
      </c>
      <c r="CN1" s="56" t="s">
        <v>614</v>
      </c>
      <c r="CO1" s="56" t="s">
        <v>614</v>
      </c>
      <c r="CP1" s="56" t="s">
        <v>614</v>
      </c>
      <c r="CQ1" s="56" t="s">
        <v>614</v>
      </c>
      <c r="CR1" s="56" t="s">
        <v>614</v>
      </c>
      <c r="CS1" s="56" t="s">
        <v>614</v>
      </c>
      <c r="CT1" s="56" t="s">
        <v>614</v>
      </c>
      <c r="CU1" s="56" t="s">
        <v>614</v>
      </c>
      <c r="CV1" s="56" t="s">
        <v>614</v>
      </c>
      <c r="CW1" s="56" t="s">
        <v>614</v>
      </c>
      <c r="CX1" s="10"/>
      <c r="CY1" s="56" t="s">
        <v>614</v>
      </c>
      <c r="CZ1" s="56" t="s">
        <v>614</v>
      </c>
      <c r="DA1" s="56" t="s">
        <v>614</v>
      </c>
      <c r="DB1" s="56" t="s">
        <v>614</v>
      </c>
      <c r="DC1" s="56" t="s">
        <v>614</v>
      </c>
      <c r="DD1" s="56" t="s">
        <v>614</v>
      </c>
      <c r="DE1" s="56" t="s">
        <v>614</v>
      </c>
    </row>
    <row r="2" spans="1:109" s="97" customFormat="1" x14ac:dyDescent="0.15">
      <c r="A2" s="11" t="s">
        <v>61</v>
      </c>
      <c r="B2" s="13"/>
      <c r="C2" s="12"/>
      <c r="D2" s="13"/>
      <c r="E2" s="13"/>
      <c r="F2" s="12"/>
      <c r="G2" s="56" t="s">
        <v>843</v>
      </c>
      <c r="H2" s="56" t="s">
        <v>1105</v>
      </c>
      <c r="I2" s="56" t="s">
        <v>843</v>
      </c>
      <c r="J2" s="56" t="s">
        <v>495</v>
      </c>
      <c r="K2" s="56" t="s">
        <v>495</v>
      </c>
      <c r="L2" s="165" t="s">
        <v>882</v>
      </c>
      <c r="M2" s="10"/>
      <c r="N2" s="56" t="s">
        <v>843</v>
      </c>
      <c r="O2" s="56" t="s">
        <v>882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1134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172"/>
      <c r="BA2" s="56" t="s">
        <v>61</v>
      </c>
      <c r="BB2" s="10"/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10"/>
      <c r="BO2" s="56" t="s">
        <v>61</v>
      </c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10"/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10"/>
      <c r="CY2" s="56" t="s">
        <v>61</v>
      </c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</row>
    <row r="3" spans="1:109" s="97" customFormat="1" x14ac:dyDescent="0.15">
      <c r="A3" s="11" t="s">
        <v>588</v>
      </c>
      <c r="B3" s="13"/>
      <c r="C3" s="12"/>
      <c r="D3" s="13"/>
      <c r="E3" s="13"/>
      <c r="F3" s="12"/>
      <c r="G3" s="56" t="s">
        <v>891</v>
      </c>
      <c r="H3" s="56" t="s">
        <v>1104</v>
      </c>
      <c r="I3" s="56" t="s">
        <v>895</v>
      </c>
      <c r="J3" s="56" t="s">
        <v>1117</v>
      </c>
      <c r="K3" s="56" t="s">
        <v>1118</v>
      </c>
      <c r="L3" s="165" t="s">
        <v>912</v>
      </c>
      <c r="M3" s="10"/>
      <c r="N3" s="56" t="s">
        <v>884</v>
      </c>
      <c r="O3" s="56" t="s">
        <v>904</v>
      </c>
      <c r="P3" s="162"/>
      <c r="Q3" s="178"/>
      <c r="R3" s="168"/>
      <c r="S3" s="56" t="s">
        <v>1126</v>
      </c>
      <c r="T3" s="56"/>
      <c r="U3" s="56"/>
      <c r="V3" s="162"/>
      <c r="W3" s="178"/>
      <c r="X3" s="172"/>
      <c r="Y3" s="10"/>
      <c r="Z3" s="56" t="s">
        <v>1133</v>
      </c>
      <c r="AA3" s="56" t="s">
        <v>886</v>
      </c>
      <c r="AB3" s="56" t="s">
        <v>887</v>
      </c>
      <c r="AC3" s="56" t="s">
        <v>888</v>
      </c>
      <c r="AD3" s="56" t="s">
        <v>889</v>
      </c>
      <c r="AE3" s="174"/>
      <c r="AF3" s="56" t="s">
        <v>922</v>
      </c>
      <c r="AG3" s="56" t="s">
        <v>923</v>
      </c>
      <c r="AH3" s="172"/>
      <c r="AI3" s="38" t="s">
        <v>959</v>
      </c>
      <c r="AJ3" s="62" t="s">
        <v>960</v>
      </c>
      <c r="AK3" s="62" t="s">
        <v>961</v>
      </c>
      <c r="AL3" s="62" t="s">
        <v>965</v>
      </c>
      <c r="AM3" s="62" t="s">
        <v>966</v>
      </c>
      <c r="AN3" s="62" t="s">
        <v>974</v>
      </c>
      <c r="AO3" s="172"/>
      <c r="AP3" s="38" t="s">
        <v>980</v>
      </c>
      <c r="AQ3" s="62" t="s">
        <v>981</v>
      </c>
      <c r="AR3" s="62" t="s">
        <v>982</v>
      </c>
      <c r="AS3" s="62" t="s">
        <v>986</v>
      </c>
      <c r="AT3" s="62" t="s">
        <v>987</v>
      </c>
      <c r="AU3" s="62" t="s">
        <v>993</v>
      </c>
      <c r="AV3" s="62" t="s">
        <v>1043</v>
      </c>
      <c r="AW3" s="172"/>
      <c r="AX3" s="38" t="s">
        <v>1037</v>
      </c>
      <c r="AY3" s="62" t="s">
        <v>924</v>
      </c>
      <c r="AZ3" s="172"/>
      <c r="BA3" s="38" t="s">
        <v>901</v>
      </c>
      <c r="BB3" s="10"/>
      <c r="BC3" s="38" t="s">
        <v>845</v>
      </c>
      <c r="BD3" s="62" t="s">
        <v>846</v>
      </c>
      <c r="BE3" s="62" t="s">
        <v>847</v>
      </c>
      <c r="BF3" s="62" t="s">
        <v>848</v>
      </c>
      <c r="BG3" s="35" t="s">
        <v>849</v>
      </c>
      <c r="BH3" s="35" t="s">
        <v>850</v>
      </c>
      <c r="BI3" s="35" t="s">
        <v>851</v>
      </c>
      <c r="BJ3" s="62" t="s">
        <v>852</v>
      </c>
      <c r="BK3" s="35" t="s">
        <v>853</v>
      </c>
      <c r="BL3" s="35" t="s">
        <v>854</v>
      </c>
      <c r="BM3" s="35" t="s">
        <v>855</v>
      </c>
      <c r="BN3" s="36"/>
      <c r="BO3" s="35" t="s">
        <v>856</v>
      </c>
      <c r="BP3" s="35" t="s">
        <v>857</v>
      </c>
      <c r="BQ3" s="35" t="s">
        <v>858</v>
      </c>
      <c r="BR3" s="35" t="s">
        <v>859</v>
      </c>
      <c r="BS3" s="35" t="s">
        <v>860</v>
      </c>
      <c r="BT3" s="35" t="s">
        <v>861</v>
      </c>
      <c r="BU3" s="35" t="s">
        <v>862</v>
      </c>
      <c r="BV3" s="35" t="s">
        <v>863</v>
      </c>
      <c r="BW3" s="35" t="s">
        <v>864</v>
      </c>
      <c r="BX3" s="35" t="s">
        <v>865</v>
      </c>
      <c r="BY3" s="35" t="s">
        <v>866</v>
      </c>
      <c r="BZ3" s="35" t="s">
        <v>867</v>
      </c>
      <c r="CA3" s="35" t="s">
        <v>868</v>
      </c>
      <c r="CB3" s="35" t="s">
        <v>869</v>
      </c>
      <c r="CC3" s="35" t="s">
        <v>870</v>
      </c>
      <c r="CD3" s="35" t="s">
        <v>871</v>
      </c>
      <c r="CE3" s="35" t="s">
        <v>872</v>
      </c>
      <c r="CF3" s="35" t="s">
        <v>873</v>
      </c>
      <c r="CG3" s="35" t="s">
        <v>874</v>
      </c>
      <c r="CH3" s="36"/>
      <c r="CI3" s="35" t="s">
        <v>937</v>
      </c>
      <c r="CJ3" s="35" t="s">
        <v>938</v>
      </c>
      <c r="CK3" s="35" t="s">
        <v>939</v>
      </c>
      <c r="CL3" s="35" t="s">
        <v>940</v>
      </c>
      <c r="CM3" s="35" t="s">
        <v>941</v>
      </c>
      <c r="CN3" s="35" t="s">
        <v>942</v>
      </c>
      <c r="CO3" s="35" t="s">
        <v>943</v>
      </c>
      <c r="CP3" s="35" t="s">
        <v>944</v>
      </c>
      <c r="CQ3" s="35" t="s">
        <v>945</v>
      </c>
      <c r="CR3" s="35" t="s">
        <v>946</v>
      </c>
      <c r="CS3" s="35" t="s">
        <v>947</v>
      </c>
      <c r="CT3" s="35" t="s">
        <v>948</v>
      </c>
      <c r="CU3" s="35" t="s">
        <v>949</v>
      </c>
      <c r="CV3" s="35" t="s">
        <v>950</v>
      </c>
      <c r="CW3" s="35" t="s">
        <v>951</v>
      </c>
      <c r="CX3" s="36"/>
      <c r="CY3" s="35" t="s">
        <v>875</v>
      </c>
      <c r="CZ3" s="35" t="s">
        <v>876</v>
      </c>
      <c r="DA3" s="35" t="s">
        <v>877</v>
      </c>
      <c r="DB3" s="35" t="s">
        <v>878</v>
      </c>
      <c r="DC3" s="35" t="s">
        <v>879</v>
      </c>
      <c r="DD3" s="35" t="s">
        <v>880</v>
      </c>
      <c r="DE3" s="35" t="s">
        <v>881</v>
      </c>
    </row>
    <row r="4" spans="1:109" s="96" customFormat="1" ht="118.5" customHeight="1" thickBot="1" x14ac:dyDescent="0.2">
      <c r="A4" s="98" t="s">
        <v>588</v>
      </c>
      <c r="B4" s="110" t="s">
        <v>618</v>
      </c>
      <c r="C4" s="111"/>
      <c r="D4" s="110" t="s">
        <v>1016</v>
      </c>
      <c r="E4" s="110" t="s">
        <v>1017</v>
      </c>
      <c r="F4" s="111"/>
      <c r="G4" s="58" t="s">
        <v>892</v>
      </c>
      <c r="H4" s="58" t="s">
        <v>1106</v>
      </c>
      <c r="I4" s="58" t="s">
        <v>893</v>
      </c>
      <c r="J4" s="58" t="s">
        <v>1116</v>
      </c>
      <c r="K4" s="58" t="s">
        <v>1120</v>
      </c>
      <c r="L4" s="166" t="s">
        <v>911</v>
      </c>
      <c r="M4" s="146" t="s">
        <v>894</v>
      </c>
      <c r="N4" s="93" t="s">
        <v>883</v>
      </c>
      <c r="O4" s="56" t="s">
        <v>1107</v>
      </c>
      <c r="P4" s="162" t="s">
        <v>1154</v>
      </c>
      <c r="Q4" s="178" t="s">
        <v>1127</v>
      </c>
      <c r="R4" s="168" t="s">
        <v>1130</v>
      </c>
      <c r="S4" s="56" t="s">
        <v>1131</v>
      </c>
      <c r="T4" s="56" t="s">
        <v>1148</v>
      </c>
      <c r="U4" s="56" t="s">
        <v>1149</v>
      </c>
      <c r="V4" s="162" t="s">
        <v>1145</v>
      </c>
      <c r="W4" s="178" t="s">
        <v>1128</v>
      </c>
      <c r="X4" s="172" t="s">
        <v>900</v>
      </c>
      <c r="Y4" s="10" t="s">
        <v>890</v>
      </c>
      <c r="Z4" s="56" t="s">
        <v>1132</v>
      </c>
      <c r="AA4" s="56" t="s">
        <v>1018</v>
      </c>
      <c r="AB4" s="56" t="s">
        <v>1019</v>
      </c>
      <c r="AC4" s="56" t="s">
        <v>1020</v>
      </c>
      <c r="AD4" s="56" t="s">
        <v>1021</v>
      </c>
      <c r="AE4" s="175" t="s">
        <v>1129</v>
      </c>
      <c r="AF4" s="56" t="s">
        <v>1022</v>
      </c>
      <c r="AG4" s="56" t="s">
        <v>1023</v>
      </c>
      <c r="AH4" s="177" t="s">
        <v>1108</v>
      </c>
      <c r="AI4" s="38" t="s">
        <v>1024</v>
      </c>
      <c r="AJ4" s="62" t="s">
        <v>1025</v>
      </c>
      <c r="AK4" s="62" t="s">
        <v>1026</v>
      </c>
      <c r="AL4" s="62" t="s">
        <v>1027</v>
      </c>
      <c r="AM4" s="62" t="s">
        <v>1028</v>
      </c>
      <c r="AN4" s="62" t="s">
        <v>1029</v>
      </c>
      <c r="AO4" s="172" t="s">
        <v>1030</v>
      </c>
      <c r="AP4" s="38" t="s">
        <v>1031</v>
      </c>
      <c r="AQ4" s="62" t="s">
        <v>1032</v>
      </c>
      <c r="AR4" s="62" t="s">
        <v>1033</v>
      </c>
      <c r="AS4" s="62" t="s">
        <v>1034</v>
      </c>
      <c r="AT4" s="62" t="s">
        <v>1035</v>
      </c>
      <c r="AU4" s="62" t="s">
        <v>1036</v>
      </c>
      <c r="AV4" s="62" t="s">
        <v>1044</v>
      </c>
      <c r="AW4" s="172" t="s">
        <v>925</v>
      </c>
      <c r="AX4" s="38" t="s">
        <v>1039</v>
      </c>
      <c r="AY4" s="62" t="s">
        <v>1040</v>
      </c>
      <c r="AZ4" s="172" t="s">
        <v>998</v>
      </c>
      <c r="BA4" s="38" t="s">
        <v>1045</v>
      </c>
      <c r="BB4" s="10" t="s">
        <v>1139</v>
      </c>
      <c r="BC4" s="38" t="s">
        <v>1046</v>
      </c>
      <c r="BD4" s="62" t="s">
        <v>1047</v>
      </c>
      <c r="BE4" s="62" t="s">
        <v>1048</v>
      </c>
      <c r="BF4" s="62" t="s">
        <v>1049</v>
      </c>
      <c r="BG4" s="35" t="s">
        <v>1050</v>
      </c>
      <c r="BH4" s="35" t="s">
        <v>1051</v>
      </c>
      <c r="BI4" s="35" t="s">
        <v>1052</v>
      </c>
      <c r="BJ4" s="62" t="s">
        <v>1053</v>
      </c>
      <c r="BK4" s="35" t="s">
        <v>1054</v>
      </c>
      <c r="BL4" s="35" t="s">
        <v>1055</v>
      </c>
      <c r="BM4" s="35" t="s">
        <v>1056</v>
      </c>
      <c r="BN4" s="36" t="s">
        <v>1138</v>
      </c>
      <c r="BO4" s="35" t="s">
        <v>1057</v>
      </c>
      <c r="BP4" s="35" t="s">
        <v>1058</v>
      </c>
      <c r="BQ4" s="35" t="s">
        <v>1059</v>
      </c>
      <c r="BR4" s="35" t="s">
        <v>1060</v>
      </c>
      <c r="BS4" s="35" t="s">
        <v>1061</v>
      </c>
      <c r="BT4" s="35" t="s">
        <v>1062</v>
      </c>
      <c r="BU4" s="35" t="s">
        <v>1063</v>
      </c>
      <c r="BV4" s="35" t="s">
        <v>1064</v>
      </c>
      <c r="BW4" s="35" t="s">
        <v>1065</v>
      </c>
      <c r="BX4" s="35" t="s">
        <v>1066</v>
      </c>
      <c r="BY4" s="35" t="s">
        <v>1067</v>
      </c>
      <c r="BZ4" s="35" t="s">
        <v>1068</v>
      </c>
      <c r="CA4" s="35" t="s">
        <v>1069</v>
      </c>
      <c r="CB4" s="35" t="s">
        <v>1070</v>
      </c>
      <c r="CC4" s="35" t="s">
        <v>1071</v>
      </c>
      <c r="CD4" s="35" t="s">
        <v>1072</v>
      </c>
      <c r="CE4" s="35" t="s">
        <v>1073</v>
      </c>
      <c r="CF4" s="35" t="s">
        <v>1074</v>
      </c>
      <c r="CG4" s="35" t="s">
        <v>1075</v>
      </c>
      <c r="CH4" s="36" t="s">
        <v>1137</v>
      </c>
      <c r="CI4" s="35" t="s">
        <v>1076</v>
      </c>
      <c r="CJ4" s="35" t="s">
        <v>1077</v>
      </c>
      <c r="CK4" s="35" t="s">
        <v>1078</v>
      </c>
      <c r="CL4" s="35" t="s">
        <v>1079</v>
      </c>
      <c r="CM4" s="35" t="s">
        <v>1080</v>
      </c>
      <c r="CN4" s="35" t="s">
        <v>1081</v>
      </c>
      <c r="CO4" s="35" t="s">
        <v>1082</v>
      </c>
      <c r="CP4" s="35" t="s">
        <v>1083</v>
      </c>
      <c r="CQ4" s="35" t="s">
        <v>1097</v>
      </c>
      <c r="CR4" s="35" t="s">
        <v>1096</v>
      </c>
      <c r="CS4" s="35" t="s">
        <v>1095</v>
      </c>
      <c r="CT4" s="35" t="s">
        <v>1094</v>
      </c>
      <c r="CU4" s="35" t="s">
        <v>1093</v>
      </c>
      <c r="CV4" s="35" t="s">
        <v>1092</v>
      </c>
      <c r="CW4" s="35" t="s">
        <v>1091</v>
      </c>
      <c r="CX4" s="36" t="s">
        <v>1136</v>
      </c>
      <c r="CY4" s="35" t="s">
        <v>1090</v>
      </c>
      <c r="CZ4" s="35" t="s">
        <v>1089</v>
      </c>
      <c r="DA4" s="35" t="s">
        <v>1088</v>
      </c>
      <c r="DB4" s="35" t="s">
        <v>1087</v>
      </c>
      <c r="DC4" s="35" t="s">
        <v>1086</v>
      </c>
      <c r="DD4" s="35" t="s">
        <v>1085</v>
      </c>
      <c r="DE4" s="35" t="s">
        <v>1084</v>
      </c>
    </row>
    <row r="5" spans="1:109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999</v>
      </c>
      <c r="H5" s="57">
        <v>1</v>
      </c>
      <c r="I5" s="57" t="s">
        <v>1119</v>
      </c>
      <c r="J5" s="57" t="s">
        <v>1122</v>
      </c>
      <c r="K5" s="57" t="s">
        <v>1121</v>
      </c>
      <c r="L5" s="167">
        <v>360</v>
      </c>
      <c r="M5" s="17" t="s">
        <v>1101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173"/>
      <c r="BA5" s="154">
        <v>200</v>
      </c>
      <c r="BB5" s="17"/>
      <c r="BC5" s="154">
        <v>110</v>
      </c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44"/>
      <c r="BO5" s="155">
        <v>110</v>
      </c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44"/>
      <c r="CI5" s="155">
        <v>120</v>
      </c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44"/>
      <c r="CY5" s="155">
        <v>120</v>
      </c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</row>
    <row r="6" spans="1:109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896</v>
      </c>
      <c r="H6" s="56">
        <v>3</v>
      </c>
      <c r="L6" s="165">
        <v>360</v>
      </c>
      <c r="M6" s="10" t="s">
        <v>1102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A6" s="153">
        <v>300</v>
      </c>
      <c r="BC6" s="153">
        <v>120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O6" s="156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I6" s="156">
        <v>140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Y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</row>
    <row r="7" spans="1:109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897</v>
      </c>
      <c r="H7" s="56">
        <v>5</v>
      </c>
      <c r="L7" s="165">
        <v>360</v>
      </c>
      <c r="M7" s="157" t="s">
        <v>1103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A7" s="153">
        <v>400</v>
      </c>
      <c r="BC7" s="153">
        <v>130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O7" s="156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I7" s="156">
        <v>160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Y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</row>
    <row r="8" spans="1:109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1000</v>
      </c>
      <c r="H8" s="56">
        <v>1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60</v>
      </c>
      <c r="AD8" s="153">
        <v>90</v>
      </c>
      <c r="BA8" s="153">
        <v>75</v>
      </c>
      <c r="BC8" s="153">
        <v>90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O8" s="156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I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Y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</row>
    <row r="9" spans="1:109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1001</v>
      </c>
      <c r="H9" s="56">
        <v>3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50</v>
      </c>
      <c r="AD9" s="153">
        <v>80</v>
      </c>
      <c r="BA9" s="153">
        <v>60</v>
      </c>
      <c r="BC9" s="153">
        <v>80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O9" s="156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I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Y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</row>
    <row r="10" spans="1:109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1002</v>
      </c>
      <c r="H10" s="56">
        <v>5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30</v>
      </c>
      <c r="AD10" s="153">
        <v>70</v>
      </c>
      <c r="BA10" s="153">
        <v>50</v>
      </c>
      <c r="BC10" s="153">
        <v>70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O10" s="156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I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Y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</row>
    <row r="11" spans="1:109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1003</v>
      </c>
      <c r="H11" s="56">
        <v>1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A11" s="153">
        <v>200</v>
      </c>
      <c r="BC11" s="153">
        <v>110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O11" s="156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I11" s="156">
        <v>120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Y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</row>
    <row r="12" spans="1:109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898</v>
      </c>
      <c r="H12" s="56">
        <v>3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A12" s="153">
        <v>300</v>
      </c>
      <c r="BC12" s="153">
        <v>120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O12" s="156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I12" s="156">
        <v>140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Y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</row>
    <row r="13" spans="1:109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899</v>
      </c>
      <c r="H13" s="56">
        <v>5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A13" s="153">
        <v>400</v>
      </c>
      <c r="BC13" s="153">
        <v>130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O13" s="156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I13" s="156">
        <v>160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Y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</row>
    <row r="14" spans="1:109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09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172"/>
      <c r="BA15" s="56"/>
      <c r="BB15" s="10"/>
      <c r="BC15" s="56"/>
      <c r="BD15" s="56"/>
      <c r="BE15" s="56"/>
      <c r="BF15" s="56"/>
      <c r="BN15" s="145"/>
      <c r="CH15" s="145"/>
      <c r="CX15" s="145"/>
    </row>
    <row r="16" spans="1:109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172"/>
      <c r="BA16" s="56"/>
      <c r="BB16" s="10"/>
      <c r="BC16" s="56"/>
      <c r="BD16" s="56"/>
      <c r="BE16" s="56"/>
      <c r="BF16" s="56"/>
      <c r="BN16" s="145"/>
      <c r="CH16" s="145"/>
      <c r="CX16" s="145"/>
    </row>
    <row r="17" spans="1:109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172"/>
      <c r="BA17" s="56"/>
      <c r="BB17" s="10"/>
      <c r="BC17" s="56"/>
      <c r="BD17" s="56"/>
      <c r="BE17" s="56"/>
      <c r="BF17" s="56"/>
      <c r="BN17" s="145"/>
      <c r="CH17" s="145"/>
      <c r="CX17" s="145"/>
    </row>
    <row r="18" spans="1:109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172"/>
      <c r="BA18" s="56"/>
      <c r="BB18" s="10"/>
      <c r="BC18" s="56"/>
      <c r="BD18" s="56"/>
      <c r="BE18" s="56"/>
      <c r="BF18" s="56"/>
      <c r="BN18" s="145"/>
      <c r="CH18" s="145"/>
      <c r="CX18" s="145"/>
    </row>
    <row r="19" spans="1:109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172"/>
      <c r="BA19" s="56"/>
      <c r="BB19" s="10"/>
      <c r="BC19" s="56"/>
      <c r="BD19" s="56"/>
      <c r="BE19" s="56"/>
      <c r="BF19" s="56"/>
      <c r="BN19" s="145"/>
      <c r="CH19" s="145"/>
      <c r="CX19" s="145"/>
    </row>
    <row r="20" spans="1:109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172"/>
      <c r="BA20" s="56"/>
      <c r="BB20" s="10"/>
      <c r="BC20" s="56"/>
      <c r="BD20" s="56"/>
      <c r="BE20" s="56"/>
      <c r="BF20" s="56"/>
      <c r="BN20" s="145"/>
      <c r="CH20" s="145"/>
      <c r="CX20" s="145"/>
    </row>
    <row r="21" spans="1:109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172"/>
      <c r="BA21" s="56"/>
      <c r="BB21" s="10"/>
      <c r="BC21" s="56"/>
      <c r="BD21" s="56"/>
      <c r="BE21" s="56"/>
      <c r="BF21" s="56"/>
      <c r="BN21" s="145"/>
      <c r="CH21" s="145"/>
      <c r="CX21" s="145"/>
    </row>
    <row r="22" spans="1:109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172"/>
      <c r="BA22" s="56"/>
      <c r="BB22" s="10"/>
      <c r="BC22" s="56"/>
      <c r="BD22" s="56"/>
      <c r="BE22" s="56"/>
      <c r="BF22" s="56"/>
      <c r="BN22" s="145"/>
      <c r="CH22" s="145"/>
      <c r="CX22" s="145"/>
    </row>
    <row r="23" spans="1:109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172"/>
      <c r="BA23" s="56"/>
      <c r="BB23" s="10"/>
      <c r="BC23" s="56"/>
      <c r="BD23" s="56"/>
      <c r="BE23" s="56"/>
      <c r="BF23" s="56"/>
      <c r="BN23" s="145"/>
      <c r="CH23" s="145"/>
      <c r="CX23" s="145"/>
    </row>
    <row r="24" spans="1:109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172"/>
      <c r="BA24" s="56"/>
      <c r="BB24" s="10"/>
      <c r="BC24" s="56"/>
      <c r="BD24" s="56"/>
      <c r="BE24" s="56"/>
      <c r="BF24" s="56"/>
      <c r="BN24" s="145"/>
      <c r="CH24" s="145"/>
      <c r="CX24" s="145"/>
    </row>
    <row r="25" spans="1:109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1098</v>
      </c>
      <c r="H25" s="57">
        <v>1</v>
      </c>
      <c r="I25" s="57"/>
      <c r="J25" s="57"/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173"/>
      <c r="BA25" s="154">
        <v>120</v>
      </c>
      <c r="BB25" s="17"/>
      <c r="BC25" s="154">
        <v>140</v>
      </c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200</v>
      </c>
      <c r="BM25" s="154">
        <v>140</v>
      </c>
      <c r="BN25" s="144"/>
      <c r="BO25" s="155">
        <v>110</v>
      </c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44"/>
      <c r="CI25" s="155">
        <v>150</v>
      </c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44"/>
      <c r="CY25" s="154">
        <v>140</v>
      </c>
      <c r="CZ25" s="154">
        <v>140</v>
      </c>
      <c r="DA25" s="154">
        <v>140</v>
      </c>
      <c r="DB25" s="154">
        <v>140</v>
      </c>
      <c r="DC25" s="154">
        <v>200</v>
      </c>
      <c r="DD25" s="154">
        <v>140</v>
      </c>
      <c r="DE25" s="154">
        <v>140</v>
      </c>
    </row>
    <row r="26" spans="1:109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1099</v>
      </c>
      <c r="H26" s="56">
        <v>3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A26" s="153">
        <v>140</v>
      </c>
      <c r="BC26" s="153">
        <v>180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400</v>
      </c>
      <c r="BM26" s="153">
        <v>180</v>
      </c>
      <c r="BO26" s="156">
        <v>120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I26" s="156">
        <v>200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Y26" s="153">
        <v>180</v>
      </c>
      <c r="CZ26" s="153">
        <v>180</v>
      </c>
      <c r="DA26" s="153">
        <v>180</v>
      </c>
      <c r="DB26" s="153">
        <v>180</v>
      </c>
      <c r="DC26" s="153">
        <v>400</v>
      </c>
      <c r="DD26" s="153">
        <v>180</v>
      </c>
      <c r="DE26" s="153">
        <v>180</v>
      </c>
    </row>
    <row r="27" spans="1:109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1100</v>
      </c>
      <c r="H27" s="56">
        <v>5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A27" s="153">
        <v>160</v>
      </c>
      <c r="BC27" s="153">
        <v>220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800</v>
      </c>
      <c r="BM27" s="153">
        <v>220</v>
      </c>
      <c r="BO27" s="156">
        <v>130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I27" s="156">
        <v>250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Y27" s="153">
        <v>220</v>
      </c>
      <c r="CZ27" s="153">
        <v>220</v>
      </c>
      <c r="DA27" s="153">
        <v>220</v>
      </c>
      <c r="DB27" s="153">
        <v>220</v>
      </c>
      <c r="DC27" s="153">
        <v>800</v>
      </c>
      <c r="DD27" s="153">
        <v>220</v>
      </c>
      <c r="DE27" s="153">
        <v>220</v>
      </c>
    </row>
    <row r="28" spans="1:109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1112</v>
      </c>
      <c r="H28" s="56">
        <v>1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A28" s="153">
        <v>70</v>
      </c>
      <c r="BC28" s="153">
        <v>80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50</v>
      </c>
      <c r="BM28" s="153">
        <v>80</v>
      </c>
      <c r="BO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I28" s="153">
        <v>70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Y28" s="153">
        <v>70</v>
      </c>
      <c r="CZ28" s="153">
        <v>70</v>
      </c>
      <c r="DA28" s="153">
        <v>70</v>
      </c>
      <c r="DB28" s="153">
        <v>70</v>
      </c>
      <c r="DC28" s="153">
        <v>50</v>
      </c>
      <c r="DD28" s="153">
        <v>70</v>
      </c>
      <c r="DE28" s="153">
        <v>70</v>
      </c>
    </row>
    <row r="29" spans="1:109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1113</v>
      </c>
      <c r="H29" s="56">
        <v>3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A29" s="153">
        <v>50</v>
      </c>
      <c r="BC29" s="153">
        <v>70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40</v>
      </c>
      <c r="BM29" s="153">
        <v>70</v>
      </c>
      <c r="BO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I29" s="153">
        <v>60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Y29" s="153">
        <v>60</v>
      </c>
      <c r="CZ29" s="153">
        <v>60</v>
      </c>
      <c r="DA29" s="153">
        <v>60</v>
      </c>
      <c r="DB29" s="153">
        <v>60</v>
      </c>
      <c r="DC29" s="153">
        <v>40</v>
      </c>
      <c r="DD29" s="153">
        <v>60</v>
      </c>
      <c r="DE29" s="153">
        <v>60</v>
      </c>
    </row>
    <row r="30" spans="1:109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1114</v>
      </c>
      <c r="H30" s="56">
        <v>5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A30" s="153">
        <v>20</v>
      </c>
      <c r="BC30" s="153">
        <v>60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30</v>
      </c>
      <c r="BM30" s="153">
        <v>60</v>
      </c>
      <c r="BO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I30" s="153">
        <v>50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Y30" s="153">
        <v>50</v>
      </c>
      <c r="CZ30" s="153">
        <v>50</v>
      </c>
      <c r="DA30" s="153">
        <v>50</v>
      </c>
      <c r="DB30" s="153">
        <v>50</v>
      </c>
      <c r="DC30" s="153">
        <v>30</v>
      </c>
      <c r="DD30" s="153">
        <v>50</v>
      </c>
      <c r="DE30" s="153">
        <v>50</v>
      </c>
    </row>
    <row r="31" spans="1:109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09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8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8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8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172"/>
      <c r="BA35" s="56"/>
      <c r="BB35" s="10"/>
      <c r="BC35" s="56"/>
      <c r="BD35" s="56"/>
      <c r="BE35" s="56"/>
      <c r="BF35" s="56"/>
      <c r="BN35" s="145"/>
      <c r="CH35" s="145"/>
      <c r="CX35" s="145"/>
    </row>
    <row r="36" spans="1:108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172"/>
      <c r="BA36" s="56"/>
      <c r="BB36" s="10"/>
      <c r="BC36" s="56"/>
      <c r="BD36" s="56"/>
      <c r="BE36" s="56"/>
      <c r="BF36" s="56"/>
      <c r="BN36" s="145"/>
      <c r="CH36" s="145"/>
      <c r="CX36" s="145"/>
    </row>
    <row r="37" spans="1:108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172"/>
      <c r="BA37" s="56"/>
      <c r="BB37" s="10"/>
      <c r="BC37" s="56"/>
      <c r="BD37" s="56"/>
      <c r="BE37" s="56"/>
      <c r="BF37" s="56"/>
      <c r="BN37" s="145"/>
      <c r="CH37" s="145"/>
      <c r="CX37" s="145"/>
    </row>
    <row r="38" spans="1:108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172"/>
      <c r="BA38" s="56"/>
      <c r="BB38" s="10"/>
      <c r="BC38" s="56"/>
      <c r="BD38" s="56"/>
      <c r="BE38" s="56"/>
      <c r="BF38" s="56"/>
      <c r="BN38" s="145"/>
      <c r="CH38" s="145"/>
      <c r="CX38" s="145"/>
    </row>
    <row r="39" spans="1:108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172"/>
      <c r="BA39" s="56"/>
      <c r="BB39" s="10"/>
      <c r="BC39" s="56"/>
      <c r="BD39" s="56"/>
      <c r="BE39" s="56"/>
      <c r="BF39" s="56"/>
      <c r="BN39" s="145"/>
      <c r="CH39" s="145"/>
      <c r="CX39" s="145"/>
    </row>
    <row r="40" spans="1:108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172"/>
      <c r="BA40" s="56"/>
      <c r="BB40" s="10"/>
      <c r="BC40" s="56"/>
      <c r="BD40" s="56"/>
      <c r="BE40" s="56"/>
      <c r="BF40" s="56"/>
      <c r="BN40" s="145"/>
      <c r="CH40" s="145"/>
      <c r="CX40" s="145"/>
    </row>
    <row r="41" spans="1:108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172"/>
      <c r="BA41" s="56"/>
      <c r="BB41" s="10"/>
      <c r="BC41" s="56"/>
      <c r="BD41" s="56"/>
      <c r="BE41" s="56"/>
      <c r="BF41" s="56"/>
      <c r="BN41" s="145"/>
      <c r="CH41" s="145"/>
      <c r="CX41" s="145"/>
    </row>
    <row r="42" spans="1:108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172"/>
      <c r="BA42" s="56"/>
      <c r="BB42" s="10"/>
      <c r="BC42" s="56"/>
      <c r="BD42" s="56"/>
      <c r="BE42" s="56"/>
      <c r="BF42" s="56"/>
      <c r="BN42" s="145"/>
      <c r="CH42" s="145"/>
      <c r="CX42" s="145"/>
    </row>
    <row r="43" spans="1:108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172"/>
      <c r="BA43" s="56"/>
      <c r="BB43" s="10"/>
      <c r="BC43" s="56"/>
      <c r="BD43" s="56"/>
      <c r="BE43" s="56"/>
      <c r="BF43" s="56"/>
      <c r="BN43" s="145"/>
      <c r="CH43" s="145"/>
      <c r="CX43" s="145"/>
    </row>
    <row r="44" spans="1:108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172"/>
      <c r="BA44" s="56"/>
      <c r="BB44" s="10"/>
      <c r="BC44" s="56"/>
      <c r="BD44" s="56"/>
      <c r="BE44" s="56"/>
      <c r="BF44" s="56"/>
      <c r="BN44" s="145"/>
      <c r="CH44" s="145"/>
      <c r="CX44" s="145"/>
    </row>
    <row r="45" spans="1:108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905</v>
      </c>
      <c r="H45" s="57">
        <v>1</v>
      </c>
      <c r="I45" s="57"/>
      <c r="J45" s="57"/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173"/>
      <c r="BA45" s="57"/>
      <c r="BB45" s="17"/>
      <c r="BC45" s="154">
        <v>150</v>
      </c>
      <c r="BD45" s="154">
        <v>150</v>
      </c>
      <c r="BE45" s="154">
        <v>150</v>
      </c>
      <c r="BF45" s="57"/>
      <c r="BJ45" s="154">
        <v>150</v>
      </c>
      <c r="BN45" s="144"/>
      <c r="CH45" s="144"/>
      <c r="CX45" s="144"/>
    </row>
    <row r="46" spans="1:108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906</v>
      </c>
      <c r="H46" s="56">
        <v>3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C46" s="153">
        <v>180</v>
      </c>
      <c r="BD46" s="153">
        <v>180</v>
      </c>
      <c r="BE46" s="153">
        <v>180</v>
      </c>
      <c r="BG46" s="109"/>
      <c r="BJ46" s="153">
        <v>180</v>
      </c>
    </row>
    <row r="47" spans="1:108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907</v>
      </c>
      <c r="H47" s="56">
        <v>5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C47" s="153">
        <v>210</v>
      </c>
      <c r="BD47" s="153">
        <v>210</v>
      </c>
      <c r="BE47" s="153">
        <v>210</v>
      </c>
      <c r="BG47" s="109"/>
      <c r="BJ47" s="153">
        <v>210</v>
      </c>
    </row>
    <row r="48" spans="1:108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908</v>
      </c>
      <c r="H48" s="56">
        <v>1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C48" s="153">
        <v>150</v>
      </c>
      <c r="BD48" s="153">
        <v>150</v>
      </c>
      <c r="BE48" s="153">
        <v>150</v>
      </c>
      <c r="BG48" s="153">
        <v>150</v>
      </c>
      <c r="BH48" s="153">
        <v>150</v>
      </c>
      <c r="BJ48" s="153">
        <v>150</v>
      </c>
      <c r="CY48" s="153">
        <v>150</v>
      </c>
      <c r="CZ48" s="156">
        <v>110</v>
      </c>
      <c r="DA48" s="156">
        <v>110</v>
      </c>
      <c r="DD48" s="153">
        <v>150</v>
      </c>
    </row>
    <row r="49" spans="1:108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909</v>
      </c>
      <c r="H49" s="56">
        <v>3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C49" s="153">
        <v>180</v>
      </c>
      <c r="BD49" s="153">
        <v>180</v>
      </c>
      <c r="BE49" s="153">
        <v>180</v>
      </c>
      <c r="BG49" s="153">
        <v>180</v>
      </c>
      <c r="BH49" s="153">
        <v>180</v>
      </c>
      <c r="BJ49" s="153">
        <v>180</v>
      </c>
      <c r="CY49" s="153">
        <v>180</v>
      </c>
      <c r="CZ49" s="156">
        <v>120</v>
      </c>
      <c r="DA49" s="156">
        <v>120</v>
      </c>
      <c r="DD49" s="153">
        <v>180</v>
      </c>
    </row>
    <row r="50" spans="1:108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910</v>
      </c>
      <c r="H50" s="56">
        <v>5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C50" s="153">
        <v>210</v>
      </c>
      <c r="BD50" s="153">
        <v>210</v>
      </c>
      <c r="BE50" s="153">
        <v>210</v>
      </c>
      <c r="BG50" s="153">
        <v>210</v>
      </c>
      <c r="BH50" s="153">
        <v>210</v>
      </c>
      <c r="BJ50" s="153">
        <v>210</v>
      </c>
      <c r="CY50" s="153">
        <v>210</v>
      </c>
      <c r="CZ50" s="156">
        <v>130</v>
      </c>
      <c r="DA50" s="156">
        <v>130</v>
      </c>
      <c r="DD50" s="153">
        <v>210</v>
      </c>
    </row>
    <row r="51" spans="1:108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1004</v>
      </c>
      <c r="H51" s="56">
        <v>1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C51" s="153">
        <v>150</v>
      </c>
      <c r="BD51" s="153">
        <v>150</v>
      </c>
      <c r="BE51" s="153">
        <v>150</v>
      </c>
      <c r="BG51" s="158">
        <v>70</v>
      </c>
      <c r="CY51" s="158">
        <v>70</v>
      </c>
      <c r="CZ51" s="156">
        <v>110</v>
      </c>
      <c r="DA51" s="156">
        <v>110</v>
      </c>
      <c r="DD51" s="153">
        <v>150</v>
      </c>
    </row>
    <row r="52" spans="1:108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1005</v>
      </c>
      <c r="H52" s="56">
        <v>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C52" s="153">
        <v>180</v>
      </c>
      <c r="BD52" s="153">
        <v>180</v>
      </c>
      <c r="BE52" s="153">
        <v>180</v>
      </c>
      <c r="BG52" s="158">
        <v>50</v>
      </c>
      <c r="CY52" s="158">
        <v>50</v>
      </c>
      <c r="CZ52" s="156">
        <v>120</v>
      </c>
      <c r="DA52" s="156">
        <v>120</v>
      </c>
      <c r="DD52" s="153">
        <v>180</v>
      </c>
    </row>
    <row r="53" spans="1:108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1006</v>
      </c>
      <c r="H53" s="56">
        <v>5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C53" s="153">
        <v>210</v>
      </c>
      <c r="BD53" s="153">
        <v>210</v>
      </c>
      <c r="BE53" s="153">
        <v>210</v>
      </c>
      <c r="BG53" s="158">
        <v>20</v>
      </c>
      <c r="CY53" s="158">
        <v>20</v>
      </c>
      <c r="CZ53" s="156">
        <v>130</v>
      </c>
      <c r="DA53" s="156">
        <v>130</v>
      </c>
      <c r="DD53" s="153">
        <v>210</v>
      </c>
    </row>
    <row r="54" spans="1:108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1123</v>
      </c>
      <c r="H54" s="56">
        <v>1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BA54" s="153">
        <v>150</v>
      </c>
      <c r="BC54" s="153">
        <v>150</v>
      </c>
      <c r="BD54" s="153">
        <v>150</v>
      </c>
      <c r="BE54" s="153">
        <v>150</v>
      </c>
      <c r="BH54" s="153">
        <v>150</v>
      </c>
      <c r="BJ54" s="153">
        <v>150</v>
      </c>
      <c r="CZ54" s="156">
        <v>110</v>
      </c>
      <c r="DA54" s="156">
        <v>110</v>
      </c>
      <c r="DD54" s="153">
        <v>150</v>
      </c>
    </row>
    <row r="55" spans="1:108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1124</v>
      </c>
      <c r="H55" s="56">
        <v>3</v>
      </c>
      <c r="I55" s="56"/>
      <c r="J55" s="56"/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72"/>
      <c r="BA55" s="153">
        <v>200</v>
      </c>
      <c r="BB55" s="10"/>
      <c r="BC55" s="153">
        <v>180</v>
      </c>
      <c r="BD55" s="153">
        <v>180</v>
      </c>
      <c r="BE55" s="153">
        <v>180</v>
      </c>
      <c r="BF55" s="56"/>
      <c r="BH55" s="153">
        <v>180</v>
      </c>
      <c r="BJ55" s="153">
        <v>180</v>
      </c>
      <c r="BN55" s="145"/>
      <c r="CH55" s="145"/>
      <c r="CX55" s="145"/>
      <c r="CZ55" s="156">
        <v>120</v>
      </c>
      <c r="DA55" s="156">
        <v>120</v>
      </c>
      <c r="DD55" s="153">
        <v>180</v>
      </c>
    </row>
    <row r="56" spans="1:108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1125</v>
      </c>
      <c r="H56" s="56">
        <v>5</v>
      </c>
      <c r="I56" s="56"/>
      <c r="J56" s="56"/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72"/>
      <c r="BA56" s="153">
        <v>300</v>
      </c>
      <c r="BB56" s="10"/>
      <c r="BC56" s="153">
        <v>210</v>
      </c>
      <c r="BD56" s="153">
        <v>210</v>
      </c>
      <c r="BE56" s="153">
        <v>210</v>
      </c>
      <c r="BF56" s="56"/>
      <c r="BH56" s="153">
        <v>210</v>
      </c>
      <c r="BJ56" s="153">
        <v>210</v>
      </c>
      <c r="BN56" s="145"/>
      <c r="CH56" s="145"/>
      <c r="CX56" s="145"/>
      <c r="CZ56" s="156">
        <v>130</v>
      </c>
      <c r="DA56" s="156">
        <v>130</v>
      </c>
      <c r="DD56" s="153">
        <v>210</v>
      </c>
    </row>
    <row r="57" spans="1:108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1007</v>
      </c>
      <c r="H57" s="56">
        <v>1</v>
      </c>
      <c r="I57" s="56"/>
      <c r="J57" s="56"/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90</v>
      </c>
      <c r="AY57" s="153">
        <v>90</v>
      </c>
      <c r="AZ57" s="172"/>
      <c r="BA57" s="56"/>
      <c r="BB57" s="10"/>
      <c r="BC57" s="56"/>
      <c r="BD57" s="56"/>
      <c r="BE57" s="56"/>
      <c r="BF57" s="56"/>
      <c r="BN57" s="145"/>
      <c r="CH57" s="145"/>
      <c r="CX57" s="145"/>
    </row>
    <row r="58" spans="1:108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1008</v>
      </c>
      <c r="H58" s="56">
        <v>3</v>
      </c>
      <c r="I58" s="56"/>
      <c r="J58" s="56"/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60</v>
      </c>
      <c r="AY58" s="153">
        <v>60</v>
      </c>
      <c r="AZ58" s="172"/>
      <c r="BA58" s="56"/>
      <c r="BB58" s="10"/>
      <c r="BC58" s="56"/>
      <c r="BD58" s="56"/>
      <c r="BE58" s="56"/>
      <c r="BF58" s="56"/>
      <c r="BN58" s="145"/>
      <c r="CH58" s="145"/>
      <c r="CX58" s="145"/>
    </row>
    <row r="59" spans="1:108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1009</v>
      </c>
      <c r="H59" s="56">
        <v>5</v>
      </c>
      <c r="I59" s="56"/>
      <c r="J59" s="56"/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40</v>
      </c>
      <c r="AY59" s="153">
        <v>40</v>
      </c>
      <c r="AZ59" s="172"/>
      <c r="BA59" s="56"/>
      <c r="BB59" s="10"/>
      <c r="BC59" s="56"/>
      <c r="BD59" s="56"/>
      <c r="BE59" s="56"/>
      <c r="BF59" s="56"/>
      <c r="BN59" s="145"/>
      <c r="CH59" s="145"/>
      <c r="CX59" s="145"/>
    </row>
    <row r="60" spans="1:108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913</v>
      </c>
      <c r="H60" s="56">
        <v>1</v>
      </c>
      <c r="I60" s="56"/>
      <c r="J60" s="56"/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172"/>
      <c r="BA60" s="56"/>
      <c r="BB60" s="10"/>
      <c r="BC60" s="153">
        <v>150</v>
      </c>
      <c r="BD60" s="153">
        <v>150</v>
      </c>
      <c r="BE60" s="153">
        <v>150</v>
      </c>
      <c r="BF60" s="56"/>
      <c r="BH60" s="153">
        <v>150</v>
      </c>
      <c r="BJ60" s="153">
        <v>150</v>
      </c>
      <c r="BN60" s="145"/>
      <c r="CH60" s="145"/>
      <c r="CX60" s="145"/>
      <c r="CZ60" s="156">
        <v>110</v>
      </c>
      <c r="DA60" s="156">
        <v>110</v>
      </c>
      <c r="DD60" s="153">
        <v>150</v>
      </c>
    </row>
    <row r="61" spans="1:108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914</v>
      </c>
      <c r="H61" s="56">
        <v>3</v>
      </c>
      <c r="I61" s="56"/>
      <c r="J61" s="56"/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172"/>
      <c r="BA61" s="56"/>
      <c r="BB61" s="10"/>
      <c r="BC61" s="153">
        <v>180</v>
      </c>
      <c r="BD61" s="153">
        <v>180</v>
      </c>
      <c r="BE61" s="153">
        <v>180</v>
      </c>
      <c r="BF61" s="56"/>
      <c r="BH61" s="153">
        <v>180</v>
      </c>
      <c r="BJ61" s="153">
        <v>180</v>
      </c>
      <c r="BN61" s="145"/>
      <c r="CH61" s="145"/>
      <c r="CX61" s="145"/>
      <c r="CZ61" s="156">
        <v>120</v>
      </c>
      <c r="DA61" s="156">
        <v>120</v>
      </c>
      <c r="DD61" s="153">
        <v>180</v>
      </c>
    </row>
    <row r="62" spans="1:108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915</v>
      </c>
      <c r="H62" s="56">
        <v>5</v>
      </c>
      <c r="I62" s="56"/>
      <c r="J62" s="56"/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172"/>
      <c r="BA62" s="56"/>
      <c r="BB62" s="10"/>
      <c r="BC62" s="153">
        <v>260</v>
      </c>
      <c r="BD62" s="153">
        <v>260</v>
      </c>
      <c r="BE62" s="153">
        <v>260</v>
      </c>
      <c r="BF62" s="56"/>
      <c r="BH62" s="153">
        <v>260</v>
      </c>
      <c r="BJ62" s="153">
        <v>260</v>
      </c>
      <c r="BN62" s="145"/>
      <c r="CH62" s="145"/>
      <c r="CX62" s="145"/>
      <c r="CZ62" s="156">
        <v>130</v>
      </c>
      <c r="DA62" s="156">
        <v>130</v>
      </c>
      <c r="DD62" s="153">
        <v>260</v>
      </c>
    </row>
    <row r="63" spans="1:108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1010</v>
      </c>
      <c r="H63" s="56">
        <v>1</v>
      </c>
      <c r="I63" s="56"/>
      <c r="J63" s="56"/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172"/>
      <c r="BA63" s="56"/>
      <c r="BB63" s="10"/>
      <c r="BC63" s="153">
        <v>150</v>
      </c>
      <c r="BD63" s="56"/>
      <c r="BE63" s="56"/>
      <c r="BF63" s="56"/>
      <c r="BN63" s="145"/>
      <c r="CH63" s="145"/>
      <c r="CX63" s="145"/>
      <c r="DA63" s="156">
        <v>110</v>
      </c>
    </row>
    <row r="64" spans="1:108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1011</v>
      </c>
      <c r="H64" s="56">
        <v>3</v>
      </c>
      <c r="I64" s="56"/>
      <c r="J64" s="56"/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172"/>
      <c r="BA64" s="56"/>
      <c r="BB64" s="10"/>
      <c r="BC64" s="153">
        <v>180</v>
      </c>
      <c r="BD64" s="56"/>
      <c r="BE64" s="56"/>
      <c r="BF64" s="56"/>
      <c r="BN64" s="145"/>
      <c r="CH64" s="145"/>
      <c r="CX64" s="145"/>
      <c r="DA64" s="156">
        <v>120</v>
      </c>
    </row>
    <row r="65" spans="1:108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1012</v>
      </c>
      <c r="H65" s="56">
        <v>5</v>
      </c>
      <c r="I65" s="56"/>
      <c r="J65" s="56"/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172"/>
      <c r="BA65" s="56"/>
      <c r="BB65" s="10"/>
      <c r="BC65" s="153">
        <v>260</v>
      </c>
      <c r="BD65" s="56"/>
      <c r="BE65" s="56"/>
      <c r="BF65" s="56"/>
      <c r="BN65" s="145"/>
      <c r="CH65" s="145"/>
      <c r="CX65" s="145"/>
      <c r="DA65" s="156">
        <v>130</v>
      </c>
    </row>
    <row r="66" spans="1:108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1109</v>
      </c>
      <c r="H66" s="56">
        <v>1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110</v>
      </c>
      <c r="AP66" s="153">
        <v>130</v>
      </c>
      <c r="AQ66" s="153">
        <v>130</v>
      </c>
      <c r="AR66" s="153">
        <v>130</v>
      </c>
      <c r="AU66" s="153">
        <v>130</v>
      </c>
      <c r="BC66" s="153">
        <v>80</v>
      </c>
      <c r="BD66" s="153">
        <v>80</v>
      </c>
      <c r="BE66" s="153">
        <v>80</v>
      </c>
      <c r="BF66" s="153">
        <v>130</v>
      </c>
      <c r="BG66" s="109"/>
      <c r="BH66" s="153">
        <v>80</v>
      </c>
      <c r="BJ66" s="153">
        <v>80</v>
      </c>
      <c r="CY66" s="153">
        <v>80</v>
      </c>
      <c r="CZ66" s="153">
        <v>80</v>
      </c>
      <c r="DA66" s="153">
        <v>80</v>
      </c>
      <c r="DB66" s="156">
        <v>130</v>
      </c>
      <c r="DD66" s="153">
        <v>80</v>
      </c>
    </row>
    <row r="67" spans="1:108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1110</v>
      </c>
      <c r="H67" s="56">
        <v>3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120</v>
      </c>
      <c r="AP67" s="153">
        <v>160</v>
      </c>
      <c r="AQ67" s="153">
        <v>160</v>
      </c>
      <c r="AR67" s="153">
        <v>160</v>
      </c>
      <c r="AU67" s="153">
        <v>160</v>
      </c>
      <c r="BC67" s="153">
        <v>70</v>
      </c>
      <c r="BD67" s="153">
        <v>70</v>
      </c>
      <c r="BE67" s="153">
        <v>70</v>
      </c>
      <c r="BF67" s="153">
        <v>150</v>
      </c>
      <c r="BG67" s="109"/>
      <c r="BH67" s="153">
        <v>70</v>
      </c>
      <c r="BJ67" s="153">
        <v>70</v>
      </c>
      <c r="CY67" s="153">
        <v>70</v>
      </c>
      <c r="CZ67" s="153">
        <v>70</v>
      </c>
      <c r="DA67" s="153">
        <v>70</v>
      </c>
      <c r="DB67" s="156">
        <v>140</v>
      </c>
      <c r="DD67" s="153">
        <v>70</v>
      </c>
    </row>
    <row r="68" spans="1:108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1111</v>
      </c>
      <c r="H68" s="56">
        <v>5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130</v>
      </c>
      <c r="AP68" s="153">
        <v>200</v>
      </c>
      <c r="AQ68" s="153">
        <v>200</v>
      </c>
      <c r="AR68" s="153">
        <v>200</v>
      </c>
      <c r="AU68" s="153">
        <v>200</v>
      </c>
      <c r="BC68" s="153">
        <v>50</v>
      </c>
      <c r="BD68" s="153">
        <v>50</v>
      </c>
      <c r="BE68" s="153">
        <v>50</v>
      </c>
      <c r="BF68" s="153">
        <v>200</v>
      </c>
      <c r="BH68" s="153">
        <v>50</v>
      </c>
      <c r="BJ68" s="153">
        <v>50</v>
      </c>
      <c r="CY68" s="153">
        <v>50</v>
      </c>
      <c r="CZ68" s="153">
        <v>50</v>
      </c>
      <c r="DA68" s="153">
        <v>50</v>
      </c>
      <c r="DB68" s="156">
        <v>150</v>
      </c>
      <c r="DD68" s="153">
        <v>50</v>
      </c>
    </row>
    <row r="69" spans="1:108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8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8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8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8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8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8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172"/>
      <c r="BA75" s="56"/>
      <c r="BB75" s="10"/>
      <c r="BC75" s="56"/>
      <c r="BD75" s="56"/>
      <c r="BE75" s="56"/>
      <c r="BF75" s="56"/>
      <c r="BN75" s="145"/>
      <c r="CH75" s="145"/>
      <c r="CX75" s="145"/>
    </row>
    <row r="76" spans="1:108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172"/>
      <c r="BA76" s="56"/>
      <c r="BB76" s="10"/>
      <c r="BC76" s="56"/>
      <c r="BD76" s="56"/>
      <c r="BE76" s="56"/>
      <c r="BF76" s="56"/>
      <c r="BN76" s="145"/>
      <c r="CH76" s="145"/>
      <c r="CX76" s="145"/>
    </row>
    <row r="77" spans="1:108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172"/>
      <c r="BA77" s="56"/>
      <c r="BB77" s="10"/>
      <c r="BC77" s="56"/>
      <c r="BD77" s="56"/>
      <c r="BE77" s="56"/>
      <c r="BF77" s="56"/>
      <c r="BN77" s="145"/>
      <c r="CH77" s="145"/>
      <c r="CX77" s="145"/>
    </row>
    <row r="78" spans="1:108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172"/>
      <c r="BA78" s="56"/>
      <c r="BB78" s="10"/>
      <c r="BC78" s="56"/>
      <c r="BD78" s="56"/>
      <c r="BE78" s="56"/>
      <c r="BF78" s="56"/>
      <c r="BN78" s="145"/>
      <c r="CH78" s="145"/>
      <c r="CX78" s="145"/>
    </row>
    <row r="79" spans="1:108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172"/>
      <c r="BA79" s="56"/>
      <c r="BB79" s="10"/>
      <c r="BC79" s="56"/>
      <c r="BD79" s="56"/>
      <c r="BE79" s="56"/>
      <c r="BF79" s="56"/>
      <c r="BN79" s="145"/>
      <c r="CH79" s="145"/>
      <c r="CX79" s="145"/>
    </row>
    <row r="80" spans="1:108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172"/>
      <c r="BA80" s="56"/>
      <c r="BB80" s="10"/>
      <c r="BC80" s="56"/>
      <c r="BD80" s="56"/>
      <c r="BE80" s="56"/>
      <c r="BF80" s="56"/>
      <c r="BN80" s="145"/>
      <c r="CH80" s="145"/>
      <c r="CX80" s="145"/>
    </row>
    <row r="81" spans="1:105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172"/>
      <c r="BA81" s="56"/>
      <c r="BB81" s="10"/>
      <c r="BC81" s="56"/>
      <c r="BD81" s="56"/>
      <c r="BE81" s="56"/>
      <c r="BF81" s="56"/>
      <c r="BN81" s="145"/>
      <c r="CH81" s="145"/>
      <c r="CX81" s="145"/>
    </row>
    <row r="82" spans="1:105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172"/>
      <c r="BA82" s="56"/>
      <c r="BB82" s="10"/>
      <c r="BC82" s="56"/>
      <c r="BD82" s="56"/>
      <c r="BE82" s="56"/>
      <c r="BF82" s="56"/>
      <c r="BN82" s="145"/>
      <c r="CH82" s="145"/>
      <c r="CX82" s="145"/>
    </row>
    <row r="83" spans="1:105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172"/>
      <c r="BA83" s="56"/>
      <c r="BB83" s="10"/>
      <c r="BC83" s="56"/>
      <c r="BD83" s="56"/>
      <c r="BE83" s="56"/>
      <c r="BF83" s="56"/>
      <c r="BN83" s="145"/>
      <c r="CH83" s="145"/>
      <c r="CX83" s="145"/>
    </row>
    <row r="84" spans="1:105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172"/>
      <c r="BA84" s="56"/>
      <c r="BB84" s="10"/>
      <c r="BC84" s="56"/>
      <c r="BD84" s="56"/>
      <c r="BE84" s="56"/>
      <c r="BF84" s="56"/>
      <c r="BN84" s="145"/>
      <c r="CH84" s="145"/>
      <c r="CX84" s="145"/>
    </row>
    <row r="85" spans="1:105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916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1146</v>
      </c>
      <c r="S85" s="57">
        <v>100</v>
      </c>
      <c r="T85" s="57" t="s">
        <v>1150</v>
      </c>
      <c r="U85" s="57" t="s">
        <v>1151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173"/>
      <c r="BA85" s="57"/>
      <c r="BB85" s="17"/>
      <c r="BC85" s="57"/>
      <c r="BD85" s="154">
        <v>150</v>
      </c>
      <c r="BE85" s="154">
        <v>150</v>
      </c>
      <c r="BF85" s="57"/>
      <c r="BM85" s="154">
        <v>250</v>
      </c>
      <c r="BN85" s="144"/>
      <c r="CH85" s="144"/>
      <c r="CX85" s="144"/>
      <c r="CZ85" s="155">
        <v>90</v>
      </c>
      <c r="DA85" s="155">
        <v>80</v>
      </c>
    </row>
    <row r="86" spans="1:105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917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1147</v>
      </c>
      <c r="S86" s="56">
        <v>200</v>
      </c>
      <c r="T86" s="56" t="s">
        <v>1150</v>
      </c>
      <c r="U86" s="56" t="s">
        <v>1152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D86" s="153">
        <v>180</v>
      </c>
      <c r="BE86" s="153">
        <v>180</v>
      </c>
      <c r="BG86" s="109"/>
      <c r="BM86" s="153">
        <v>280</v>
      </c>
      <c r="CZ86" s="156">
        <v>70</v>
      </c>
      <c r="DA86" s="156">
        <v>60</v>
      </c>
    </row>
    <row r="87" spans="1:105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918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1147</v>
      </c>
      <c r="S87" s="56">
        <v>300</v>
      </c>
      <c r="T87" s="56" t="s">
        <v>1150</v>
      </c>
      <c r="U87" s="56" t="s">
        <v>1153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D87" s="153">
        <v>260</v>
      </c>
      <c r="BE87" s="153">
        <v>260</v>
      </c>
      <c r="BG87" s="109"/>
      <c r="BM87" s="153">
        <v>360</v>
      </c>
      <c r="CZ87" s="156">
        <v>60</v>
      </c>
      <c r="DA87" s="156">
        <v>50</v>
      </c>
    </row>
    <row r="88" spans="1:105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1013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1147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BD88" s="153">
        <v>150</v>
      </c>
      <c r="BE88" s="153">
        <v>150</v>
      </c>
      <c r="BM88" s="153">
        <v>250</v>
      </c>
    </row>
    <row r="89" spans="1:105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1014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1147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BD89" s="153">
        <v>180</v>
      </c>
      <c r="BE89" s="153">
        <v>180</v>
      </c>
      <c r="BM89" s="153">
        <v>280</v>
      </c>
    </row>
    <row r="90" spans="1:105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1015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1147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BD90" s="153">
        <v>260</v>
      </c>
      <c r="BE90" s="153">
        <v>260</v>
      </c>
      <c r="BM90" s="153">
        <v>360</v>
      </c>
    </row>
    <row r="91" spans="1:105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5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5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5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5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172"/>
      <c r="BA95" s="56"/>
      <c r="BB95" s="10"/>
      <c r="BC95" s="56"/>
      <c r="BD95" s="56"/>
      <c r="BE95" s="56"/>
      <c r="BF95" s="56"/>
      <c r="BN95" s="145"/>
      <c r="CH95" s="145"/>
      <c r="CX95" s="145"/>
    </row>
    <row r="96" spans="1:105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172"/>
      <c r="BA96" s="56"/>
      <c r="BB96" s="10"/>
      <c r="BC96" s="56"/>
      <c r="BD96" s="56"/>
      <c r="BE96" s="56"/>
      <c r="BF96" s="56"/>
      <c r="BN96" s="145"/>
      <c r="CH96" s="145"/>
      <c r="CX96" s="145"/>
    </row>
    <row r="97" spans="1:102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172"/>
      <c r="BA97" s="56"/>
      <c r="BB97" s="10"/>
      <c r="BC97" s="56"/>
      <c r="BD97" s="56"/>
      <c r="BE97" s="56"/>
      <c r="BF97" s="56"/>
      <c r="BN97" s="145"/>
      <c r="CH97" s="145"/>
      <c r="CX97" s="145"/>
    </row>
    <row r="98" spans="1:102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172"/>
      <c r="BA98" s="56"/>
      <c r="BB98" s="10"/>
      <c r="BC98" s="56"/>
      <c r="BD98" s="56"/>
      <c r="BE98" s="56"/>
      <c r="BF98" s="56"/>
      <c r="BN98" s="145"/>
      <c r="CH98" s="145"/>
      <c r="CX98" s="145"/>
    </row>
    <row r="99" spans="1:102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172"/>
      <c r="BA99" s="56"/>
      <c r="BB99" s="10"/>
      <c r="BC99" s="56"/>
      <c r="BD99" s="56"/>
      <c r="BE99" s="56"/>
      <c r="BF99" s="56"/>
      <c r="BN99" s="145"/>
      <c r="CH99" s="145"/>
      <c r="CX99" s="145"/>
    </row>
    <row r="100" spans="1:102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172"/>
      <c r="BA100" s="56"/>
      <c r="BB100" s="10"/>
      <c r="BC100" s="56"/>
      <c r="BD100" s="56"/>
      <c r="BE100" s="56"/>
      <c r="BF100" s="56"/>
      <c r="BN100" s="145"/>
      <c r="CH100" s="145"/>
      <c r="CX100" s="145"/>
    </row>
    <row r="101" spans="1:102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172"/>
      <c r="BA101" s="56"/>
      <c r="BB101" s="10"/>
      <c r="BC101" s="56"/>
      <c r="BD101" s="56"/>
      <c r="BE101" s="56"/>
      <c r="BF101" s="56"/>
      <c r="BN101" s="145"/>
      <c r="CH101" s="145"/>
      <c r="CX101" s="145"/>
    </row>
    <row r="102" spans="1:102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172"/>
      <c r="BA102" s="56"/>
      <c r="BB102" s="10"/>
      <c r="BC102" s="56"/>
      <c r="BD102" s="56"/>
      <c r="BE102" s="56"/>
      <c r="BF102" s="56"/>
      <c r="BN102" s="145"/>
      <c r="CH102" s="145"/>
      <c r="CX102" s="145"/>
    </row>
    <row r="103" spans="1:102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172"/>
      <c r="BA103" s="56"/>
      <c r="BB103" s="10"/>
      <c r="BC103" s="56"/>
      <c r="BD103" s="56"/>
      <c r="BE103" s="56"/>
      <c r="BF103" s="56"/>
      <c r="BN103" s="145"/>
      <c r="CH103" s="145"/>
      <c r="CX103" s="145"/>
    </row>
    <row r="104" spans="1:102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172"/>
      <c r="BA104" s="56"/>
      <c r="BB104" s="10"/>
      <c r="BC104" s="56"/>
      <c r="BD104" s="56"/>
      <c r="BE104" s="56"/>
      <c r="BF104" s="56"/>
      <c r="BN104" s="145"/>
      <c r="CH104" s="145"/>
      <c r="CX104" s="145"/>
    </row>
    <row r="105" spans="1:102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173"/>
      <c r="BA105" s="57"/>
      <c r="BB105" s="17"/>
      <c r="BC105" s="57"/>
      <c r="BD105" s="57"/>
      <c r="BE105" s="57"/>
      <c r="BF105" s="57"/>
      <c r="BN105" s="144"/>
      <c r="CH105" s="144"/>
      <c r="CX105" s="144"/>
    </row>
    <row r="106" spans="1:102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G106" s="109"/>
    </row>
    <row r="107" spans="1:102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G107" s="109"/>
    </row>
    <row r="108" spans="1:102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2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2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2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2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2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2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2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172"/>
      <c r="BA115" s="56"/>
      <c r="BB115" s="10"/>
      <c r="BC115" s="56"/>
      <c r="BD115" s="56"/>
      <c r="BE115" s="56"/>
      <c r="BF115" s="56"/>
      <c r="BN115" s="145"/>
      <c r="CH115" s="145"/>
      <c r="CX115" s="145"/>
    </row>
    <row r="116" spans="1:102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172"/>
      <c r="BA116" s="56"/>
      <c r="BB116" s="10"/>
      <c r="BC116" s="56"/>
      <c r="BD116" s="56"/>
      <c r="BE116" s="56"/>
      <c r="BF116" s="56"/>
      <c r="BN116" s="145"/>
      <c r="CH116" s="145"/>
      <c r="CX116" s="145"/>
    </row>
    <row r="117" spans="1:102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172"/>
      <c r="BA117" s="56"/>
      <c r="BB117" s="10"/>
      <c r="BC117" s="56"/>
      <c r="BD117" s="56"/>
      <c r="BE117" s="56"/>
      <c r="BF117" s="56"/>
      <c r="BN117" s="145"/>
      <c r="CH117" s="145"/>
      <c r="CX117" s="145"/>
    </row>
    <row r="118" spans="1:102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172"/>
      <c r="BA118" s="56"/>
      <c r="BB118" s="10"/>
      <c r="BC118" s="56"/>
      <c r="BD118" s="56"/>
      <c r="BE118" s="56"/>
      <c r="BF118" s="56"/>
      <c r="BN118" s="145"/>
      <c r="CH118" s="145"/>
      <c r="CX118" s="145"/>
    </row>
    <row r="119" spans="1:102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172"/>
      <c r="BA119" s="56"/>
      <c r="BB119" s="10"/>
      <c r="BC119" s="56"/>
      <c r="BD119" s="56"/>
      <c r="BE119" s="56"/>
      <c r="BF119" s="56"/>
      <c r="BN119" s="145"/>
      <c r="CH119" s="145"/>
      <c r="CX119" s="145"/>
    </row>
    <row r="120" spans="1:102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172"/>
      <c r="BA120" s="56"/>
      <c r="BB120" s="10"/>
      <c r="BC120" s="56"/>
      <c r="BD120" s="56"/>
      <c r="BE120" s="56"/>
      <c r="BF120" s="56"/>
      <c r="BN120" s="145"/>
      <c r="CH120" s="145"/>
      <c r="CX120" s="145"/>
    </row>
    <row r="121" spans="1:102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172"/>
      <c r="BA121" s="56"/>
      <c r="BB121" s="10"/>
      <c r="BC121" s="56"/>
      <c r="BD121" s="56"/>
      <c r="BE121" s="56"/>
      <c r="BF121" s="56"/>
      <c r="BN121" s="145"/>
      <c r="CH121" s="145"/>
      <c r="CX121" s="145"/>
    </row>
    <row r="122" spans="1:102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172"/>
      <c r="BA122" s="56"/>
      <c r="BB122" s="10"/>
      <c r="BC122" s="56"/>
      <c r="BD122" s="56"/>
      <c r="BE122" s="56"/>
      <c r="BF122" s="56"/>
      <c r="BN122" s="145"/>
      <c r="CH122" s="145"/>
      <c r="CX122" s="145"/>
    </row>
    <row r="123" spans="1:102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172"/>
      <c r="BA123" s="56"/>
      <c r="BB123" s="10"/>
      <c r="BC123" s="56"/>
      <c r="BD123" s="56"/>
      <c r="BE123" s="56"/>
      <c r="BF123" s="56"/>
      <c r="BN123" s="145"/>
      <c r="CH123" s="145"/>
      <c r="CX123" s="145"/>
    </row>
    <row r="124" spans="1:102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172"/>
      <c r="BA124" s="56"/>
      <c r="BB124" s="10"/>
      <c r="BC124" s="56"/>
      <c r="BD124" s="56"/>
      <c r="BE124" s="56"/>
      <c r="BF124" s="56"/>
      <c r="BN124" s="145"/>
      <c r="CH124" s="145"/>
      <c r="CX124" s="145"/>
    </row>
    <row r="125" spans="1:102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173"/>
      <c r="BA125" s="57"/>
      <c r="BB125" s="17"/>
      <c r="BC125" s="57"/>
      <c r="BD125" s="57"/>
      <c r="BE125" s="57"/>
      <c r="BF125" s="57"/>
      <c r="BN125" s="144"/>
      <c r="CH125" s="144"/>
      <c r="CX125" s="144"/>
    </row>
    <row r="126" spans="1:102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G126" s="109"/>
    </row>
    <row r="127" spans="1:102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G127" s="109"/>
    </row>
    <row r="128" spans="1:102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2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2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2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2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2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2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2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172"/>
      <c r="BA135" s="56"/>
      <c r="BB135" s="10"/>
      <c r="BC135" s="56"/>
      <c r="BD135" s="56"/>
      <c r="BE135" s="56"/>
      <c r="BF135" s="56"/>
      <c r="BN135" s="145"/>
      <c r="CH135" s="145"/>
      <c r="CX135" s="145"/>
    </row>
    <row r="136" spans="1:102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172"/>
      <c r="BA136" s="56"/>
      <c r="BB136" s="10"/>
      <c r="BC136" s="56"/>
      <c r="BD136" s="56"/>
      <c r="BE136" s="56"/>
      <c r="BF136" s="56"/>
      <c r="BN136" s="145"/>
      <c r="CH136" s="145"/>
      <c r="CX136" s="145"/>
    </row>
    <row r="137" spans="1:102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172"/>
      <c r="BA137" s="56"/>
      <c r="BB137" s="10"/>
      <c r="BC137" s="56"/>
      <c r="BD137" s="56"/>
      <c r="BE137" s="56"/>
      <c r="BF137" s="56"/>
      <c r="BN137" s="145"/>
      <c r="CH137" s="145"/>
      <c r="CX137" s="145"/>
    </row>
    <row r="138" spans="1:102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172"/>
      <c r="BA138" s="56"/>
      <c r="BB138" s="10"/>
      <c r="BC138" s="56"/>
      <c r="BD138" s="56"/>
      <c r="BE138" s="56"/>
      <c r="BF138" s="56"/>
      <c r="BN138" s="145"/>
      <c r="CH138" s="145"/>
      <c r="CX138" s="145"/>
    </row>
    <row r="139" spans="1:102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172"/>
      <c r="BA139" s="56"/>
      <c r="BB139" s="10"/>
      <c r="BC139" s="56"/>
      <c r="BD139" s="56"/>
      <c r="BE139" s="56"/>
      <c r="BF139" s="56"/>
      <c r="BN139" s="145"/>
      <c r="CH139" s="145"/>
      <c r="CX139" s="145"/>
    </row>
    <row r="140" spans="1:102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172"/>
      <c r="BA140" s="56"/>
      <c r="BB140" s="10"/>
      <c r="BC140" s="56"/>
      <c r="BD140" s="56"/>
      <c r="BE140" s="56"/>
      <c r="BF140" s="56"/>
      <c r="BN140" s="145"/>
      <c r="CH140" s="145"/>
      <c r="CX140" s="145"/>
    </row>
    <row r="141" spans="1:102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172"/>
      <c r="BA141" s="56"/>
      <c r="BB141" s="10"/>
      <c r="BC141" s="56"/>
      <c r="BD141" s="56"/>
      <c r="BE141" s="56"/>
      <c r="BF141" s="56"/>
      <c r="BN141" s="145"/>
      <c r="CH141" s="145"/>
      <c r="CX141" s="145"/>
    </row>
    <row r="142" spans="1:102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172"/>
      <c r="BA142" s="56"/>
      <c r="BB142" s="10"/>
      <c r="BC142" s="56"/>
      <c r="BD142" s="56"/>
      <c r="BE142" s="56"/>
      <c r="BF142" s="56"/>
      <c r="BN142" s="145"/>
      <c r="CH142" s="145"/>
      <c r="CX142" s="145"/>
    </row>
    <row r="143" spans="1:102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172"/>
      <c r="BA143" s="56"/>
      <c r="BB143" s="10"/>
      <c r="BC143" s="56"/>
      <c r="BD143" s="56"/>
      <c r="BE143" s="56"/>
      <c r="BF143" s="56"/>
      <c r="BN143" s="145"/>
      <c r="CH143" s="145"/>
      <c r="CX143" s="145"/>
    </row>
    <row r="144" spans="1:102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172"/>
      <c r="BA144" s="56"/>
      <c r="BB144" s="10"/>
      <c r="BC144" s="56"/>
      <c r="BD144" s="56"/>
      <c r="BE144" s="56"/>
      <c r="BF144" s="56"/>
      <c r="BN144" s="145"/>
      <c r="CH144" s="145"/>
      <c r="CX144" s="145"/>
    </row>
    <row r="145" spans="1:102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173"/>
      <c r="BA145" s="57"/>
      <c r="BB145" s="17"/>
      <c r="BC145" s="57"/>
      <c r="BD145" s="57"/>
      <c r="BE145" s="57"/>
      <c r="BF145" s="57"/>
      <c r="BN145" s="144"/>
      <c r="CH145" s="144"/>
      <c r="CX145" s="144"/>
    </row>
    <row r="146" spans="1:102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G146" s="109"/>
    </row>
    <row r="147" spans="1:102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G147" s="109"/>
    </row>
    <row r="148" spans="1:102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2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2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2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2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2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2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2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172"/>
      <c r="BA155" s="56"/>
      <c r="BB155" s="10"/>
      <c r="BC155" s="56"/>
      <c r="BD155" s="56"/>
      <c r="BE155" s="56"/>
      <c r="BF155" s="56"/>
      <c r="BN155" s="145"/>
      <c r="CH155" s="145"/>
      <c r="CX155" s="145"/>
    </row>
    <row r="156" spans="1:102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172"/>
      <c r="BA156" s="56"/>
      <c r="BB156" s="10"/>
      <c r="BC156" s="56"/>
      <c r="BD156" s="56"/>
      <c r="BE156" s="56"/>
      <c r="BF156" s="56"/>
      <c r="BN156" s="145"/>
      <c r="CH156" s="145"/>
      <c r="CX156" s="145"/>
    </row>
    <row r="157" spans="1:102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172"/>
      <c r="BA157" s="56"/>
      <c r="BB157" s="10"/>
      <c r="BC157" s="56"/>
      <c r="BD157" s="56"/>
      <c r="BE157" s="56"/>
      <c r="BF157" s="56"/>
      <c r="BN157" s="145"/>
      <c r="CH157" s="145"/>
      <c r="CX157" s="145"/>
    </row>
    <row r="158" spans="1:102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172"/>
      <c r="BA158" s="56"/>
      <c r="BB158" s="10"/>
      <c r="BC158" s="56"/>
      <c r="BD158" s="56"/>
      <c r="BE158" s="56"/>
      <c r="BF158" s="56"/>
      <c r="BN158" s="145"/>
      <c r="CH158" s="145"/>
      <c r="CX158" s="145"/>
    </row>
    <row r="159" spans="1:102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172"/>
      <c r="BA159" s="56"/>
      <c r="BB159" s="10"/>
      <c r="BC159" s="56"/>
      <c r="BD159" s="56"/>
      <c r="BE159" s="56"/>
      <c r="BF159" s="56"/>
      <c r="BN159" s="145"/>
      <c r="CH159" s="145"/>
      <c r="CX159" s="145"/>
    </row>
    <row r="160" spans="1:102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172"/>
      <c r="BA160" s="56"/>
      <c r="BB160" s="10"/>
      <c r="BC160" s="56"/>
      <c r="BD160" s="56"/>
      <c r="BE160" s="56"/>
      <c r="BF160" s="56"/>
      <c r="BN160" s="145"/>
      <c r="CH160" s="145"/>
      <c r="CX160" s="145"/>
    </row>
    <row r="161" spans="1:102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172"/>
      <c r="BA161" s="56"/>
      <c r="BB161" s="10"/>
      <c r="BC161" s="56"/>
      <c r="BD161" s="56"/>
      <c r="BE161" s="56"/>
      <c r="BF161" s="56"/>
      <c r="BN161" s="145"/>
      <c r="CH161" s="145"/>
      <c r="CX161" s="145"/>
    </row>
    <row r="162" spans="1:102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172"/>
      <c r="BA162" s="56"/>
      <c r="BB162" s="10"/>
      <c r="BC162" s="56"/>
      <c r="BD162" s="56"/>
      <c r="BE162" s="56"/>
      <c r="BF162" s="56"/>
      <c r="BN162" s="145"/>
      <c r="CH162" s="145"/>
      <c r="CX162" s="145"/>
    </row>
    <row r="163" spans="1:102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172"/>
      <c r="BA163" s="56"/>
      <c r="BB163" s="10"/>
      <c r="BC163" s="56"/>
      <c r="BD163" s="56"/>
      <c r="BE163" s="56"/>
      <c r="BF163" s="56"/>
      <c r="BN163" s="145"/>
      <c r="CH163" s="145"/>
      <c r="CX163" s="145"/>
    </row>
    <row r="164" spans="1:102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172"/>
      <c r="BA164" s="56"/>
      <c r="BB164" s="10"/>
      <c r="BC164" s="56"/>
      <c r="BD164" s="56"/>
      <c r="BE164" s="56"/>
      <c r="BF164" s="56"/>
      <c r="BN164" s="145"/>
      <c r="CH164" s="145"/>
      <c r="CX164" s="145"/>
    </row>
    <row r="165" spans="1:102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173"/>
      <c r="BA165" s="57"/>
      <c r="BB165" s="17"/>
      <c r="BC165" s="57"/>
      <c r="BD165" s="57"/>
      <c r="BE165" s="57"/>
      <c r="BF165" s="57"/>
      <c r="BN165" s="144"/>
      <c r="CH165" s="144"/>
      <c r="CX165" s="144"/>
    </row>
    <row r="166" spans="1:102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G166" s="109"/>
    </row>
    <row r="167" spans="1:102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G167" s="109"/>
    </row>
    <row r="168" spans="1:102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2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2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2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2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2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2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2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172"/>
      <c r="BA175" s="56"/>
      <c r="BB175" s="10"/>
      <c r="BC175" s="56"/>
      <c r="BD175" s="56"/>
      <c r="BE175" s="56"/>
      <c r="BF175" s="56"/>
      <c r="BN175" s="145"/>
      <c r="CH175" s="145"/>
      <c r="CX175" s="145"/>
    </row>
    <row r="176" spans="1:102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172"/>
      <c r="BA176" s="56"/>
      <c r="BB176" s="10"/>
      <c r="BC176" s="56"/>
      <c r="BD176" s="56"/>
      <c r="BE176" s="56"/>
      <c r="BF176" s="56"/>
      <c r="BN176" s="145"/>
      <c r="CH176" s="145"/>
      <c r="CX176" s="145"/>
    </row>
    <row r="177" spans="1:102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172"/>
      <c r="BA177" s="56"/>
      <c r="BB177" s="10"/>
      <c r="BC177" s="56"/>
      <c r="BD177" s="56"/>
      <c r="BE177" s="56"/>
      <c r="BF177" s="56"/>
      <c r="BN177" s="145"/>
      <c r="CH177" s="145"/>
      <c r="CX177" s="145"/>
    </row>
    <row r="178" spans="1:102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172"/>
      <c r="BA178" s="56"/>
      <c r="BB178" s="10"/>
      <c r="BC178" s="56"/>
      <c r="BD178" s="56"/>
      <c r="BE178" s="56"/>
      <c r="BF178" s="56"/>
      <c r="BN178" s="145"/>
      <c r="CH178" s="145"/>
      <c r="CX178" s="145"/>
    </row>
    <row r="179" spans="1:102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172"/>
      <c r="BA179" s="56"/>
      <c r="BB179" s="10"/>
      <c r="BC179" s="56"/>
      <c r="BD179" s="56"/>
      <c r="BE179" s="56"/>
      <c r="BF179" s="56"/>
      <c r="BN179" s="145"/>
      <c r="CH179" s="145"/>
      <c r="CX179" s="145"/>
    </row>
    <row r="180" spans="1:102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172"/>
      <c r="BA180" s="56"/>
      <c r="BB180" s="10"/>
      <c r="BC180" s="56"/>
      <c r="BD180" s="56"/>
      <c r="BE180" s="56"/>
      <c r="BF180" s="56"/>
      <c r="BN180" s="145"/>
      <c r="CH180" s="145"/>
      <c r="CX180" s="145"/>
    </row>
    <row r="181" spans="1:102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172"/>
      <c r="BA181" s="56"/>
      <c r="BB181" s="10"/>
      <c r="BC181" s="56"/>
      <c r="BD181" s="56"/>
      <c r="BE181" s="56"/>
      <c r="BF181" s="56"/>
      <c r="BN181" s="145"/>
      <c r="CH181" s="145"/>
      <c r="CX181" s="145"/>
    </row>
    <row r="182" spans="1:102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172"/>
      <c r="BA182" s="56"/>
      <c r="BB182" s="10"/>
      <c r="BC182" s="56"/>
      <c r="BD182" s="56"/>
      <c r="BE182" s="56"/>
      <c r="BF182" s="56"/>
      <c r="BN182" s="145"/>
      <c r="CH182" s="145"/>
      <c r="CX182" s="145"/>
    </row>
    <row r="183" spans="1:102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172"/>
      <c r="BA183" s="56"/>
      <c r="BB183" s="10"/>
      <c r="BC183" s="56"/>
      <c r="BD183" s="56"/>
      <c r="BE183" s="56"/>
      <c r="BF183" s="56"/>
      <c r="BN183" s="145"/>
      <c r="CH183" s="145"/>
      <c r="CX183" s="145"/>
    </row>
    <row r="184" spans="1:102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172"/>
      <c r="BA184" s="56"/>
      <c r="BB184" s="10"/>
      <c r="BC184" s="56"/>
      <c r="BD184" s="56"/>
      <c r="BE184" s="56"/>
      <c r="BF184" s="56"/>
      <c r="BN184" s="145"/>
      <c r="CH184" s="145"/>
      <c r="CX184" s="145"/>
    </row>
    <row r="185" spans="1:102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173"/>
      <c r="BA185" s="57"/>
      <c r="BB185" s="17"/>
      <c r="BC185" s="57"/>
      <c r="BD185" s="57"/>
      <c r="BE185" s="57"/>
      <c r="BF185" s="57"/>
      <c r="BN185" s="144"/>
      <c r="CH185" s="144"/>
      <c r="CX185" s="144"/>
    </row>
    <row r="186" spans="1:102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G186" s="109"/>
    </row>
    <row r="187" spans="1:102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G187" s="109"/>
    </row>
    <row r="188" spans="1:102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2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2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2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2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2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2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2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172"/>
      <c r="BA195" s="56"/>
      <c r="BB195" s="10"/>
      <c r="BC195" s="56"/>
      <c r="BD195" s="56"/>
      <c r="BE195" s="56"/>
      <c r="BF195" s="56"/>
      <c r="BN195" s="145"/>
      <c r="CH195" s="145"/>
      <c r="CX195" s="145"/>
    </row>
    <row r="196" spans="1:102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172"/>
      <c r="BA196" s="56"/>
      <c r="BB196" s="10"/>
      <c r="BC196" s="56"/>
      <c r="BD196" s="56"/>
      <c r="BE196" s="56"/>
      <c r="BF196" s="56"/>
      <c r="BN196" s="145"/>
      <c r="CH196" s="145"/>
      <c r="CX196" s="145"/>
    </row>
    <row r="197" spans="1:102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172"/>
      <c r="BA197" s="56"/>
      <c r="BB197" s="10"/>
      <c r="BC197" s="56"/>
      <c r="BD197" s="56"/>
      <c r="BE197" s="56"/>
      <c r="BF197" s="56"/>
      <c r="BN197" s="145"/>
      <c r="CH197" s="145"/>
      <c r="CX197" s="145"/>
    </row>
    <row r="198" spans="1:102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172"/>
      <c r="BA198" s="56"/>
      <c r="BB198" s="10"/>
      <c r="BC198" s="56"/>
      <c r="BD198" s="56"/>
      <c r="BE198" s="56"/>
      <c r="BF198" s="56"/>
      <c r="BN198" s="145"/>
      <c r="CH198" s="145"/>
      <c r="CX198" s="145"/>
    </row>
    <row r="199" spans="1:102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172"/>
      <c r="BA199" s="56"/>
      <c r="BB199" s="10"/>
      <c r="BC199" s="56"/>
      <c r="BD199" s="56"/>
      <c r="BE199" s="56"/>
      <c r="BF199" s="56"/>
      <c r="BN199" s="145"/>
      <c r="CH199" s="145"/>
      <c r="CX199" s="145"/>
    </row>
    <row r="200" spans="1:102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172"/>
      <c r="BA200" s="56"/>
      <c r="BB200" s="10"/>
      <c r="BC200" s="56"/>
      <c r="BD200" s="56"/>
      <c r="BE200" s="56"/>
      <c r="BF200" s="56"/>
      <c r="BN200" s="145"/>
      <c r="CH200" s="145"/>
      <c r="CX200" s="145"/>
    </row>
    <row r="201" spans="1:102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172"/>
      <c r="BA201" s="56"/>
      <c r="BB201" s="10"/>
      <c r="BC201" s="56"/>
      <c r="BD201" s="56"/>
      <c r="BE201" s="56"/>
      <c r="BF201" s="56"/>
      <c r="BN201" s="145"/>
      <c r="CH201" s="145"/>
      <c r="CX201" s="145"/>
    </row>
    <row r="202" spans="1:102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172"/>
      <c r="BA202" s="56"/>
      <c r="BB202" s="10"/>
      <c r="BC202" s="56"/>
      <c r="BD202" s="56"/>
      <c r="BE202" s="56"/>
      <c r="BF202" s="56"/>
      <c r="BN202" s="145"/>
      <c r="CH202" s="145"/>
      <c r="CX202" s="145"/>
    </row>
    <row r="203" spans="1:102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172"/>
      <c r="BA203" s="56"/>
      <c r="BB203" s="10"/>
      <c r="BC203" s="56"/>
      <c r="BD203" s="56"/>
      <c r="BE203" s="56"/>
      <c r="BF203" s="56"/>
      <c r="BN203" s="145"/>
      <c r="CH203" s="145"/>
      <c r="CX203" s="145"/>
    </row>
    <row r="204" spans="1:102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172"/>
      <c r="BA204" s="56"/>
      <c r="BB204" s="10"/>
      <c r="BC204" s="56"/>
      <c r="BD204" s="56"/>
      <c r="BE204" s="56"/>
      <c r="BF204" s="56"/>
      <c r="BN204" s="145"/>
      <c r="CH204" s="145"/>
      <c r="CX204" s="145"/>
    </row>
    <row r="205" spans="1:102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173"/>
      <c r="BA205" s="57"/>
      <c r="BB205" s="17"/>
      <c r="BC205" s="57"/>
      <c r="BD205" s="57"/>
      <c r="BE205" s="57"/>
      <c r="BF205" s="57"/>
      <c r="BN205" s="144"/>
      <c r="CH205" s="144"/>
      <c r="CX205" s="144"/>
    </row>
    <row r="206" spans="1:102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G206" s="109"/>
    </row>
    <row r="207" spans="1:102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G207" s="109"/>
    </row>
    <row r="208" spans="1:102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2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2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2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2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2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2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2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172"/>
      <c r="BA215" s="56"/>
      <c r="BB215" s="10"/>
      <c r="BC215" s="56"/>
      <c r="BD215" s="56"/>
      <c r="BE215" s="56"/>
      <c r="BF215" s="56"/>
      <c r="BN215" s="145"/>
      <c r="CH215" s="145"/>
      <c r="CX215" s="145"/>
    </row>
    <row r="216" spans="1:102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172"/>
      <c r="BA216" s="56"/>
      <c r="BB216" s="10"/>
      <c r="BC216" s="56"/>
      <c r="BD216" s="56"/>
      <c r="BE216" s="56"/>
      <c r="BF216" s="56"/>
      <c r="BN216" s="145"/>
      <c r="CH216" s="145"/>
      <c r="CX216" s="145"/>
    </row>
    <row r="217" spans="1:102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172"/>
      <c r="BA217" s="56"/>
      <c r="BB217" s="10"/>
      <c r="BC217" s="56"/>
      <c r="BD217" s="56"/>
      <c r="BE217" s="56"/>
      <c r="BF217" s="56"/>
      <c r="BN217" s="145"/>
      <c r="CH217" s="145"/>
      <c r="CX217" s="145"/>
    </row>
    <row r="218" spans="1:102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172"/>
      <c r="BA218" s="56"/>
      <c r="BB218" s="10"/>
      <c r="BC218" s="56"/>
      <c r="BD218" s="56"/>
      <c r="BE218" s="56"/>
      <c r="BF218" s="56"/>
      <c r="BN218" s="145"/>
      <c r="CH218" s="145"/>
      <c r="CX218" s="145"/>
    </row>
    <row r="219" spans="1:102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172"/>
      <c r="BA219" s="56"/>
      <c r="BB219" s="10"/>
      <c r="BC219" s="56"/>
      <c r="BD219" s="56"/>
      <c r="BE219" s="56"/>
      <c r="BF219" s="56"/>
      <c r="BN219" s="145"/>
      <c r="CH219" s="145"/>
      <c r="CX219" s="145"/>
    </row>
    <row r="220" spans="1:102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172"/>
      <c r="BA220" s="56"/>
      <c r="BB220" s="10"/>
      <c r="BC220" s="56"/>
      <c r="BD220" s="56"/>
      <c r="BE220" s="56"/>
      <c r="BF220" s="56"/>
      <c r="BN220" s="145"/>
      <c r="CH220" s="145"/>
      <c r="CX220" s="145"/>
    </row>
    <row r="221" spans="1:102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172"/>
      <c r="BA221" s="56"/>
      <c r="BB221" s="10"/>
      <c r="BC221" s="56"/>
      <c r="BD221" s="56"/>
      <c r="BE221" s="56"/>
      <c r="BF221" s="56"/>
      <c r="BN221" s="145"/>
      <c r="CH221" s="145"/>
      <c r="CX221" s="145"/>
    </row>
    <row r="222" spans="1:102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172"/>
      <c r="BA222" s="56"/>
      <c r="BB222" s="10"/>
      <c r="BC222" s="56"/>
      <c r="BD222" s="56"/>
      <c r="BE222" s="56"/>
      <c r="BF222" s="56"/>
      <c r="BN222" s="145"/>
      <c r="CH222" s="145"/>
      <c r="CX222" s="145"/>
    </row>
    <row r="223" spans="1:102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172"/>
      <c r="BA223" s="56"/>
      <c r="BB223" s="10"/>
      <c r="BC223" s="56"/>
      <c r="BD223" s="56"/>
      <c r="BE223" s="56"/>
      <c r="BF223" s="56"/>
      <c r="BN223" s="145"/>
      <c r="CH223" s="145"/>
      <c r="CX223" s="145"/>
    </row>
    <row r="224" spans="1:102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172"/>
      <c r="BA224" s="56"/>
      <c r="BB224" s="10"/>
      <c r="BC224" s="56"/>
      <c r="BD224" s="56"/>
      <c r="BE224" s="56"/>
      <c r="BF224" s="56"/>
      <c r="BN224" s="145"/>
      <c r="CH224" s="145"/>
      <c r="CX224" s="145"/>
    </row>
    <row r="225" spans="1:102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173"/>
      <c r="BA225" s="57"/>
      <c r="BB225" s="17"/>
      <c r="BC225" s="57"/>
      <c r="BD225" s="57"/>
      <c r="BE225" s="57"/>
      <c r="BF225" s="57"/>
      <c r="BN225" s="144"/>
      <c r="CH225" s="144"/>
      <c r="CX225" s="144"/>
    </row>
    <row r="226" spans="1:102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172"/>
      <c r="BA226" s="56"/>
      <c r="BB226" s="10"/>
      <c r="BC226" s="56"/>
      <c r="BD226" s="56"/>
      <c r="BE226" s="56"/>
      <c r="BF226" s="56"/>
      <c r="BN226" s="145"/>
      <c r="CH226" s="145"/>
      <c r="CX226" s="145"/>
    </row>
    <row r="227" spans="1:102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172"/>
      <c r="BA227" s="56"/>
      <c r="BB227" s="10"/>
      <c r="BC227" s="56"/>
      <c r="BD227" s="56"/>
      <c r="BE227" s="56"/>
      <c r="BF227" s="56"/>
      <c r="BN227" s="145"/>
      <c r="CH227" s="145"/>
      <c r="CX227" s="145"/>
    </row>
    <row r="228" spans="1:102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172"/>
      <c r="BA228" s="56"/>
      <c r="BB228" s="10"/>
      <c r="BC228" s="56"/>
      <c r="BD228" s="56"/>
      <c r="BE228" s="56"/>
      <c r="BF228" s="56"/>
      <c r="BN228" s="145"/>
      <c r="CH228" s="145"/>
      <c r="CX228" s="145"/>
    </row>
    <row r="229" spans="1:102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172"/>
      <c r="BA229" s="56"/>
      <c r="BB229" s="10"/>
      <c r="BC229" s="56"/>
      <c r="BD229" s="56"/>
      <c r="BE229" s="56"/>
      <c r="BF229" s="56"/>
      <c r="BN229" s="145"/>
      <c r="CH229" s="145"/>
      <c r="CX229" s="145"/>
    </row>
    <row r="230" spans="1:102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172"/>
      <c r="BA230" s="56"/>
      <c r="BB230" s="10"/>
      <c r="BC230" s="56"/>
      <c r="BD230" s="56"/>
      <c r="BE230" s="56"/>
      <c r="BF230" s="56"/>
      <c r="BN230" s="145"/>
      <c r="CH230" s="145"/>
      <c r="CX230" s="145"/>
    </row>
    <row r="231" spans="1:102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172"/>
      <c r="BA231" s="56"/>
      <c r="BB231" s="10"/>
      <c r="BC231" s="56"/>
      <c r="BD231" s="56"/>
      <c r="BE231" s="56"/>
      <c r="BF231" s="56"/>
      <c r="BN231" s="145"/>
      <c r="CH231" s="145"/>
      <c r="CX231" s="145"/>
    </row>
    <row r="232" spans="1:102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172"/>
      <c r="BA232" s="56"/>
      <c r="BB232" s="10"/>
      <c r="BC232" s="56"/>
      <c r="BD232" s="56"/>
      <c r="BE232" s="56"/>
      <c r="BF232" s="56"/>
      <c r="BN232" s="145"/>
      <c r="CH232" s="145"/>
      <c r="CX232" s="145"/>
    </row>
    <row r="233" spans="1:102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172"/>
      <c r="BA233" s="56"/>
      <c r="BB233" s="10"/>
      <c r="BC233" s="56"/>
      <c r="BD233" s="56"/>
      <c r="BE233" s="56"/>
      <c r="BF233" s="56"/>
      <c r="BN233" s="145"/>
      <c r="CH233" s="145"/>
      <c r="CX233" s="145"/>
    </row>
    <row r="234" spans="1:102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172"/>
      <c r="BA234" s="56"/>
      <c r="BB234" s="10"/>
      <c r="BC234" s="56"/>
      <c r="BD234" s="56"/>
      <c r="BE234" s="56"/>
      <c r="BF234" s="56"/>
      <c r="BN234" s="145"/>
      <c r="CH234" s="145"/>
      <c r="CX234" s="145"/>
    </row>
    <row r="235" spans="1:102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172"/>
      <c r="BA235" s="56"/>
      <c r="BB235" s="10"/>
      <c r="BC235" s="56"/>
      <c r="BD235" s="56"/>
      <c r="BE235" s="56"/>
      <c r="BF235" s="56"/>
      <c r="BN235" s="145"/>
      <c r="CH235" s="145"/>
      <c r="CX235" s="145"/>
    </row>
    <row r="236" spans="1:102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172"/>
      <c r="BA236" s="56"/>
      <c r="BB236" s="10"/>
      <c r="BC236" s="56"/>
      <c r="BD236" s="56"/>
      <c r="BE236" s="56"/>
      <c r="BF236" s="56"/>
      <c r="BN236" s="145"/>
      <c r="CH236" s="145"/>
      <c r="CX236" s="145"/>
    </row>
    <row r="237" spans="1:102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172"/>
      <c r="BA237" s="56"/>
      <c r="BB237" s="10"/>
      <c r="BC237" s="56"/>
      <c r="BD237" s="56"/>
      <c r="BE237" s="56"/>
      <c r="BF237" s="56"/>
      <c r="BN237" s="145"/>
      <c r="CH237" s="145"/>
      <c r="CX237" s="145"/>
    </row>
    <row r="238" spans="1:102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172"/>
      <c r="BA238" s="56"/>
      <c r="BB238" s="10"/>
      <c r="BC238" s="56"/>
      <c r="BD238" s="56"/>
      <c r="BE238" s="56"/>
      <c r="BF238" s="56"/>
      <c r="BN238" s="145"/>
      <c r="CH238" s="145"/>
      <c r="CX238" s="145"/>
    </row>
    <row r="239" spans="1:102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172"/>
      <c r="BA239" s="56"/>
      <c r="BB239" s="10"/>
      <c r="BC239" s="56"/>
      <c r="BD239" s="56"/>
      <c r="BE239" s="56"/>
      <c r="BF239" s="56"/>
      <c r="BN239" s="145"/>
      <c r="CH239" s="145"/>
      <c r="CX239" s="145"/>
    </row>
    <row r="240" spans="1:102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172"/>
      <c r="BA240" s="56"/>
      <c r="BB240" s="10"/>
      <c r="BC240" s="56"/>
      <c r="BD240" s="56"/>
      <c r="BE240" s="56"/>
      <c r="BF240" s="56"/>
      <c r="BN240" s="145"/>
      <c r="CH240" s="145"/>
      <c r="CX240" s="145"/>
    </row>
    <row r="241" spans="1:102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172"/>
      <c r="BA241" s="56"/>
      <c r="BB241" s="10"/>
      <c r="BC241" s="56"/>
      <c r="BD241" s="56"/>
      <c r="BE241" s="56"/>
      <c r="BF241" s="56"/>
      <c r="BN241" s="145"/>
      <c r="CH241" s="145"/>
      <c r="CX241" s="145"/>
    </row>
    <row r="242" spans="1:102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172"/>
      <c r="BA242" s="56"/>
      <c r="BB242" s="10"/>
      <c r="BC242" s="56"/>
      <c r="BD242" s="56"/>
      <c r="BE242" s="56"/>
      <c r="BF242" s="56"/>
      <c r="BN242" s="145"/>
      <c r="CH242" s="145"/>
      <c r="CX242" s="145"/>
    </row>
    <row r="243" spans="1:102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172"/>
      <c r="BA243" s="56"/>
      <c r="BB243" s="10"/>
      <c r="BC243" s="56"/>
      <c r="BD243" s="56"/>
      <c r="BE243" s="56"/>
      <c r="BF243" s="56"/>
      <c r="BN243" s="145"/>
      <c r="CH243" s="145"/>
      <c r="CX243" s="145"/>
    </row>
    <row r="244" spans="1:102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172"/>
      <c r="BA244" s="56"/>
      <c r="BB244" s="10"/>
      <c r="BC244" s="56"/>
      <c r="BD244" s="56"/>
      <c r="BE244" s="56"/>
      <c r="BF244" s="56"/>
      <c r="BN244" s="145"/>
      <c r="CH244" s="145"/>
      <c r="CX244" s="145"/>
    </row>
    <row r="245" spans="1:102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172"/>
      <c r="BA245" s="56"/>
      <c r="BB245" s="10"/>
      <c r="BC245" s="56"/>
      <c r="BD245" s="56"/>
      <c r="BE245" s="56"/>
      <c r="BF245" s="56"/>
      <c r="BN245" s="145"/>
      <c r="CH245" s="145"/>
      <c r="CX245" s="145"/>
    </row>
    <row r="246" spans="1:102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172"/>
      <c r="BA246" s="56"/>
      <c r="BB246" s="10"/>
      <c r="BC246" s="56"/>
      <c r="BD246" s="56"/>
      <c r="BE246" s="56"/>
      <c r="BF246" s="56"/>
      <c r="BN246" s="145"/>
      <c r="CH246" s="145"/>
      <c r="CX246" s="145"/>
    </row>
    <row r="247" spans="1:102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172"/>
      <c r="BA247" s="56"/>
      <c r="BB247" s="10"/>
      <c r="BC247" s="56"/>
      <c r="BD247" s="56"/>
      <c r="BE247" s="56"/>
      <c r="BF247" s="56"/>
      <c r="BN247" s="145"/>
      <c r="CH247" s="145"/>
      <c r="CX247" s="145"/>
    </row>
    <row r="248" spans="1:102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172"/>
      <c r="BA248" s="56"/>
      <c r="BB248" s="10"/>
      <c r="BC248" s="56"/>
      <c r="BD248" s="56"/>
      <c r="BE248" s="56"/>
      <c r="BF248" s="56"/>
      <c r="BN248" s="145"/>
      <c r="CH248" s="145"/>
      <c r="CX248" s="145"/>
    </row>
    <row r="249" spans="1:102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172"/>
      <c r="BA249" s="56"/>
      <c r="BB249" s="10"/>
      <c r="BC249" s="56"/>
      <c r="BD249" s="56"/>
      <c r="BE249" s="56"/>
      <c r="BF249" s="56"/>
      <c r="BN249" s="145"/>
      <c r="CH249" s="145"/>
      <c r="CX249" s="145"/>
    </row>
    <row r="250" spans="1:102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172"/>
      <c r="BA250" s="56"/>
      <c r="BB250" s="10"/>
      <c r="BC250" s="56"/>
      <c r="BD250" s="56"/>
      <c r="BE250" s="56"/>
      <c r="BF250" s="56"/>
      <c r="BN250" s="145"/>
      <c r="CH250" s="145"/>
      <c r="CX250" s="145"/>
    </row>
    <row r="251" spans="1:102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172"/>
      <c r="BA251" s="56"/>
      <c r="BB251" s="10"/>
      <c r="BC251" s="56"/>
      <c r="BD251" s="56"/>
      <c r="BE251" s="56"/>
      <c r="BF251" s="56"/>
      <c r="BN251" s="145"/>
      <c r="CH251" s="145"/>
      <c r="CX251" s="145"/>
    </row>
    <row r="252" spans="1:102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172"/>
      <c r="BA252" s="56"/>
      <c r="BB252" s="10"/>
      <c r="BC252" s="56"/>
      <c r="BD252" s="56"/>
      <c r="BE252" s="56"/>
      <c r="BF252" s="56"/>
      <c r="BN252" s="145"/>
      <c r="CH252" s="145"/>
      <c r="CX252" s="145"/>
    </row>
    <row r="253" spans="1:102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172"/>
      <c r="BA253" s="56"/>
      <c r="BB253" s="10"/>
      <c r="BC253" s="56"/>
      <c r="BD253" s="56"/>
      <c r="BE253" s="56"/>
      <c r="BF253" s="56"/>
      <c r="BN253" s="145"/>
      <c r="CH253" s="145"/>
      <c r="CX253" s="145"/>
    </row>
    <row r="254" spans="1:102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172"/>
      <c r="BA254" s="56"/>
      <c r="BB254" s="10"/>
      <c r="BC254" s="56"/>
      <c r="BD254" s="56"/>
      <c r="BE254" s="56"/>
      <c r="BF254" s="56"/>
      <c r="BN254" s="145"/>
      <c r="CH254" s="145"/>
      <c r="CX254" s="145"/>
    </row>
    <row r="255" spans="1:102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172"/>
      <c r="BA255" s="56"/>
      <c r="BB255" s="10"/>
      <c r="BC255" s="56"/>
      <c r="BD255" s="56"/>
      <c r="BE255" s="56"/>
      <c r="BF255" s="56"/>
      <c r="BN255" s="145"/>
      <c r="CH255" s="145"/>
      <c r="CX255" s="145"/>
    </row>
    <row r="256" spans="1:102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172"/>
      <c r="BA256" s="56"/>
      <c r="BB256" s="10"/>
      <c r="BC256" s="56"/>
      <c r="BD256" s="56"/>
      <c r="BE256" s="56"/>
      <c r="BF256" s="56"/>
      <c r="BN256" s="145"/>
      <c r="CH256" s="145"/>
      <c r="CX256" s="145"/>
    </row>
    <row r="257" spans="1:102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172"/>
      <c r="BA257" s="56"/>
      <c r="BB257" s="10"/>
      <c r="BC257" s="56"/>
      <c r="BD257" s="56"/>
      <c r="BE257" s="56"/>
      <c r="BF257" s="56"/>
      <c r="BN257" s="145"/>
      <c r="CH257" s="145"/>
      <c r="CX257" s="145"/>
    </row>
    <row r="258" spans="1:102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172"/>
      <c r="BA258" s="56"/>
      <c r="BB258" s="10"/>
      <c r="BC258" s="56"/>
      <c r="BD258" s="56"/>
      <c r="BE258" s="56"/>
      <c r="BF258" s="56"/>
      <c r="BN258" s="145"/>
      <c r="CH258" s="145"/>
      <c r="CX258" s="145"/>
    </row>
    <row r="259" spans="1:102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172"/>
      <c r="BA259" s="56"/>
      <c r="BB259" s="10"/>
      <c r="BC259" s="56"/>
      <c r="BD259" s="56"/>
      <c r="BE259" s="56"/>
      <c r="BF259" s="56"/>
      <c r="BN259" s="145"/>
      <c r="CH259" s="145"/>
      <c r="CX259" s="145"/>
    </row>
    <row r="260" spans="1:102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172"/>
      <c r="BA260" s="56"/>
      <c r="BB260" s="10"/>
      <c r="BC260" s="56"/>
      <c r="BD260" s="56"/>
      <c r="BE260" s="56"/>
      <c r="BF260" s="56"/>
      <c r="BN260" s="145"/>
      <c r="CH260" s="145"/>
      <c r="CX260" s="145"/>
    </row>
    <row r="261" spans="1:102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172"/>
      <c r="BA261" s="56"/>
      <c r="BB261" s="10"/>
      <c r="BC261" s="56"/>
      <c r="BD261" s="56"/>
      <c r="BE261" s="56"/>
      <c r="BF261" s="56"/>
      <c r="BN261" s="145"/>
      <c r="CH261" s="145"/>
      <c r="CX261" s="145"/>
    </row>
    <row r="262" spans="1:102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172"/>
      <c r="BA262" s="56"/>
      <c r="BB262" s="10"/>
      <c r="BC262" s="56"/>
      <c r="BD262" s="56"/>
      <c r="BE262" s="56"/>
      <c r="BF262" s="56"/>
      <c r="BN262" s="145"/>
      <c r="CH262" s="145"/>
      <c r="CX262" s="145"/>
    </row>
    <row r="263" spans="1:102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172"/>
      <c r="BA263" s="56"/>
      <c r="BB263" s="10"/>
      <c r="BC263" s="56"/>
      <c r="BD263" s="56"/>
      <c r="BE263" s="56"/>
      <c r="BF263" s="56"/>
      <c r="BN263" s="145"/>
      <c r="CH263" s="145"/>
      <c r="CX263" s="145"/>
    </row>
    <row r="264" spans="1:102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172"/>
      <c r="BA264" s="56"/>
      <c r="BB264" s="10"/>
      <c r="BC264" s="56"/>
      <c r="BD264" s="56"/>
      <c r="BE264" s="56"/>
      <c r="BF264" s="56"/>
      <c r="BN264" s="145"/>
      <c r="CH264" s="145"/>
      <c r="CX264" s="145"/>
    </row>
    <row r="265" spans="1:102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172"/>
      <c r="BA265" s="56"/>
      <c r="BB265" s="10"/>
      <c r="BC265" s="56"/>
      <c r="BD265" s="56"/>
      <c r="BE265" s="56"/>
      <c r="BF265" s="56"/>
      <c r="BN265" s="145"/>
      <c r="CH265" s="145"/>
      <c r="CX265" s="145"/>
    </row>
    <row r="266" spans="1:102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172"/>
      <c r="BA266" s="56"/>
      <c r="BB266" s="10"/>
      <c r="BC266" s="56"/>
      <c r="BD266" s="56"/>
      <c r="BE266" s="56"/>
      <c r="BF266" s="56"/>
      <c r="BN266" s="145"/>
      <c r="CH266" s="145"/>
      <c r="CX266" s="145"/>
    </row>
    <row r="267" spans="1:102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172"/>
      <c r="BA267" s="56"/>
      <c r="BB267" s="10"/>
      <c r="BC267" s="56"/>
      <c r="BD267" s="56"/>
      <c r="BE267" s="56"/>
      <c r="BF267" s="56"/>
      <c r="BN267" s="145"/>
      <c r="CH267" s="145"/>
      <c r="CX267" s="145"/>
    </row>
    <row r="268" spans="1:102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172"/>
      <c r="BA268" s="56"/>
      <c r="BB268" s="10"/>
      <c r="BC268" s="56"/>
      <c r="BD268" s="56"/>
      <c r="BE268" s="56"/>
      <c r="BF268" s="56"/>
      <c r="BN268" s="145"/>
      <c r="CH268" s="145"/>
      <c r="CX268" s="145"/>
    </row>
    <row r="269" spans="1:102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172"/>
      <c r="BA269" s="56"/>
      <c r="BB269" s="10"/>
      <c r="BC269" s="56"/>
      <c r="BD269" s="56"/>
      <c r="BE269" s="56"/>
      <c r="BF269" s="56"/>
      <c r="BN269" s="145"/>
      <c r="CH269" s="145"/>
      <c r="CX269" s="145"/>
    </row>
    <row r="270" spans="1:102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172"/>
      <c r="BA270" s="56"/>
      <c r="BB270" s="10"/>
      <c r="BC270" s="56"/>
      <c r="BD270" s="56"/>
      <c r="BE270" s="56"/>
      <c r="BF270" s="56"/>
      <c r="BN270" s="145"/>
      <c r="CH270" s="145"/>
      <c r="CX270" s="145"/>
    </row>
    <row r="271" spans="1:102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172"/>
      <c r="BA271" s="56"/>
      <c r="BB271" s="10"/>
      <c r="BC271" s="56"/>
      <c r="BD271" s="56"/>
      <c r="BE271" s="56"/>
      <c r="BF271" s="56"/>
      <c r="BN271" s="145"/>
      <c r="CH271" s="145"/>
      <c r="CX271" s="145"/>
    </row>
    <row r="272" spans="1:102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172"/>
      <c r="BA272" s="56"/>
      <c r="BB272" s="10"/>
      <c r="BC272" s="56"/>
      <c r="BD272" s="56"/>
      <c r="BE272" s="56"/>
      <c r="BF272" s="56"/>
      <c r="BN272" s="145"/>
      <c r="CH272" s="145"/>
      <c r="CX272" s="145"/>
    </row>
    <row r="273" spans="1:102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172"/>
      <c r="BA273" s="56"/>
      <c r="BB273" s="10"/>
      <c r="BC273" s="56"/>
      <c r="BD273" s="56"/>
      <c r="BE273" s="56"/>
      <c r="BF273" s="56"/>
      <c r="BN273" s="145"/>
      <c r="CH273" s="145"/>
      <c r="CX273" s="145"/>
    </row>
    <row r="274" spans="1:102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172"/>
      <c r="BA274" s="56"/>
      <c r="BB274" s="10"/>
      <c r="BC274" s="56"/>
      <c r="BD274" s="56"/>
      <c r="BE274" s="56"/>
      <c r="BF274" s="56"/>
      <c r="BN274" s="145"/>
      <c r="CH274" s="145"/>
      <c r="CX274" s="145"/>
    </row>
    <row r="275" spans="1:102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172"/>
      <c r="BA275" s="56"/>
      <c r="BB275" s="10"/>
      <c r="BC275" s="56"/>
      <c r="BD275" s="56"/>
      <c r="BE275" s="56"/>
      <c r="BF275" s="56"/>
      <c r="BN275" s="145"/>
      <c r="CH275" s="145"/>
      <c r="CX275" s="145"/>
    </row>
    <row r="276" spans="1:102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172"/>
      <c r="BA276" s="56"/>
      <c r="BB276" s="10"/>
      <c r="BC276" s="56"/>
      <c r="BD276" s="56"/>
      <c r="BE276" s="56"/>
      <c r="BF276" s="56"/>
      <c r="BN276" s="145"/>
      <c r="CH276" s="145"/>
      <c r="CX276" s="145"/>
    </row>
    <row r="277" spans="1:102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172"/>
      <c r="BA277" s="56"/>
      <c r="BB277" s="10"/>
      <c r="BC277" s="56"/>
      <c r="BD277" s="56"/>
      <c r="BE277" s="56"/>
      <c r="BF277" s="56"/>
      <c r="BN277" s="145"/>
      <c r="CH277" s="145"/>
      <c r="CX277" s="145"/>
    </row>
    <row r="278" spans="1:102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172"/>
      <c r="BA278" s="56"/>
      <c r="BB278" s="10"/>
      <c r="BC278" s="56"/>
      <c r="BD278" s="56"/>
      <c r="BE278" s="56"/>
      <c r="BF278" s="56"/>
      <c r="BN278" s="145"/>
      <c r="CH278" s="145"/>
      <c r="CX278" s="145"/>
    </row>
    <row r="279" spans="1:102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172"/>
      <c r="BA279" s="56"/>
      <c r="BB279" s="10"/>
      <c r="BC279" s="56"/>
      <c r="BD279" s="56"/>
      <c r="BE279" s="56"/>
      <c r="BF279" s="56"/>
      <c r="BN279" s="145"/>
      <c r="CH279" s="145"/>
      <c r="CX279" s="145"/>
    </row>
    <row r="280" spans="1:102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172"/>
      <c r="BA280" s="56"/>
      <c r="BB280" s="10"/>
      <c r="BC280" s="56"/>
      <c r="BD280" s="56"/>
      <c r="BE280" s="56"/>
      <c r="BF280" s="56"/>
      <c r="BN280" s="145"/>
      <c r="CH280" s="145"/>
      <c r="CX280" s="145"/>
    </row>
    <row r="281" spans="1:102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172"/>
      <c r="BA281" s="56"/>
      <c r="BB281" s="10"/>
      <c r="BC281" s="56"/>
      <c r="BD281" s="56"/>
      <c r="BE281" s="56"/>
      <c r="BF281" s="56"/>
      <c r="BN281" s="145"/>
      <c r="CH281" s="145"/>
      <c r="CX281" s="145"/>
    </row>
    <row r="282" spans="1:102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172"/>
      <c r="BA282" s="56"/>
      <c r="BB282" s="10"/>
      <c r="BC282" s="56"/>
      <c r="BD282" s="56"/>
      <c r="BE282" s="56"/>
      <c r="BF282" s="56"/>
      <c r="BN282" s="145"/>
      <c r="CH282" s="145"/>
      <c r="CX282" s="145"/>
    </row>
    <row r="283" spans="1:102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172"/>
      <c r="BA283" s="56"/>
      <c r="BB283" s="10"/>
      <c r="BC283" s="56"/>
      <c r="BD283" s="56"/>
      <c r="BE283" s="56"/>
      <c r="BF283" s="56"/>
      <c r="BN283" s="145"/>
      <c r="CH283" s="145"/>
      <c r="CX283" s="145"/>
    </row>
    <row r="284" spans="1:102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172"/>
      <c r="BA284" s="56"/>
      <c r="BB284" s="10"/>
      <c r="BC284" s="56"/>
      <c r="BD284" s="56"/>
      <c r="BE284" s="56"/>
      <c r="BF284" s="56"/>
      <c r="BN284" s="145"/>
      <c r="CH284" s="145"/>
      <c r="CX284" s="145"/>
    </row>
    <row r="285" spans="1:102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172"/>
      <c r="BA285" s="56"/>
      <c r="BB285" s="10"/>
      <c r="BC285" s="56"/>
      <c r="BD285" s="56"/>
      <c r="BE285" s="56"/>
      <c r="BF285" s="56"/>
      <c r="BN285" s="145"/>
      <c r="CH285" s="145"/>
      <c r="CX285" s="145"/>
    </row>
    <row r="286" spans="1:102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172"/>
      <c r="BA286" s="56"/>
      <c r="BB286" s="10"/>
      <c r="BC286" s="56"/>
      <c r="BD286" s="56"/>
      <c r="BE286" s="56"/>
      <c r="BF286" s="56"/>
      <c r="BN286" s="145"/>
      <c r="CH286" s="145"/>
      <c r="CX286" s="145"/>
    </row>
    <row r="287" spans="1:102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172"/>
      <c r="BA287" s="56"/>
      <c r="BB287" s="10"/>
      <c r="BC287" s="56"/>
      <c r="BD287" s="56"/>
      <c r="BE287" s="56"/>
      <c r="BF287" s="56"/>
      <c r="BN287" s="145"/>
      <c r="CH287" s="145"/>
      <c r="CX287" s="145"/>
    </row>
    <row r="288" spans="1:102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172"/>
      <c r="BA288" s="56"/>
      <c r="BB288" s="10"/>
      <c r="BC288" s="56"/>
      <c r="BD288" s="56"/>
      <c r="BE288" s="56"/>
      <c r="BF288" s="56"/>
      <c r="BN288" s="145"/>
      <c r="CH288" s="145"/>
      <c r="CX288" s="145"/>
    </row>
    <row r="289" spans="1:102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172"/>
      <c r="BA289" s="56"/>
      <c r="BB289" s="10"/>
      <c r="BC289" s="56"/>
      <c r="BD289" s="56"/>
      <c r="BE289" s="56"/>
      <c r="BF289" s="56"/>
      <c r="BN289" s="145"/>
      <c r="CH289" s="145"/>
      <c r="CX289" s="145"/>
    </row>
    <row r="290" spans="1:102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172"/>
      <c r="BA290" s="56"/>
      <c r="BB290" s="10"/>
      <c r="BC290" s="56"/>
      <c r="BD290" s="56"/>
      <c r="BE290" s="56"/>
      <c r="BF290" s="56"/>
      <c r="BN290" s="145"/>
      <c r="CH290" s="145"/>
      <c r="CX290" s="145"/>
    </row>
    <row r="291" spans="1:102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172"/>
      <c r="BA291" s="56"/>
      <c r="BB291" s="10"/>
      <c r="BC291" s="56"/>
      <c r="BD291" s="56"/>
      <c r="BE291" s="56"/>
      <c r="BF291" s="56"/>
      <c r="BN291" s="145"/>
      <c r="CH291" s="145"/>
      <c r="CX291" s="145"/>
    </row>
    <row r="292" spans="1:102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172"/>
      <c r="BA292" s="56"/>
      <c r="BB292" s="10"/>
      <c r="BC292" s="56"/>
      <c r="BD292" s="56"/>
      <c r="BE292" s="56"/>
      <c r="BF292" s="56"/>
      <c r="BN292" s="145"/>
      <c r="CH292" s="145"/>
      <c r="CX292" s="145"/>
    </row>
    <row r="293" spans="1:102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172"/>
      <c r="BA293" s="56"/>
      <c r="BB293" s="10"/>
      <c r="BC293" s="56"/>
      <c r="BD293" s="56"/>
      <c r="BE293" s="56"/>
      <c r="BF293" s="56"/>
      <c r="BN293" s="145"/>
      <c r="CH293" s="145"/>
      <c r="CX293" s="145"/>
    </row>
    <row r="294" spans="1:102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172"/>
      <c r="BA294" s="56"/>
      <c r="BB294" s="10"/>
      <c r="BC294" s="56"/>
      <c r="BD294" s="56"/>
      <c r="BE294" s="56"/>
      <c r="BF294" s="56"/>
      <c r="BN294" s="145"/>
      <c r="CH294" s="145"/>
      <c r="CX294" s="145"/>
    </row>
    <row r="295" spans="1:102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172"/>
      <c r="BA295" s="56"/>
      <c r="BB295" s="10"/>
      <c r="BC295" s="56"/>
      <c r="BD295" s="56"/>
      <c r="BE295" s="56"/>
      <c r="BF295" s="56"/>
      <c r="BN295" s="145"/>
      <c r="CH295" s="145"/>
      <c r="CX295" s="145"/>
    </row>
    <row r="296" spans="1:102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172"/>
      <c r="BA296" s="56"/>
      <c r="BB296" s="10"/>
      <c r="BC296" s="56"/>
      <c r="BD296" s="56"/>
      <c r="BE296" s="56"/>
      <c r="BF296" s="56"/>
      <c r="BN296" s="145"/>
      <c r="CH296" s="145"/>
      <c r="CX296" s="145"/>
    </row>
    <row r="297" spans="1:102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172"/>
      <c r="BA297" s="56"/>
      <c r="BB297" s="10"/>
      <c r="BC297" s="56"/>
      <c r="BD297" s="56"/>
      <c r="BE297" s="56"/>
      <c r="BF297" s="56"/>
      <c r="BN297" s="145"/>
      <c r="CH297" s="145"/>
      <c r="CX297" s="145"/>
    </row>
    <row r="298" spans="1:102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172"/>
      <c r="BA298" s="56"/>
      <c r="BB298" s="10"/>
      <c r="BC298" s="56"/>
      <c r="BD298" s="56"/>
      <c r="BE298" s="56"/>
      <c r="BF298" s="56"/>
      <c r="BN298" s="145"/>
      <c r="CH298" s="145"/>
      <c r="CX298" s="145"/>
    </row>
    <row r="299" spans="1:102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172"/>
      <c r="BA299" s="56"/>
      <c r="BB299" s="10"/>
      <c r="BC299" s="56"/>
      <c r="BD299" s="56"/>
      <c r="BE299" s="56"/>
      <c r="BF299" s="56"/>
      <c r="BN299" s="145"/>
      <c r="CH299" s="145"/>
      <c r="CX299" s="145"/>
    </row>
    <row r="300" spans="1:102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172"/>
      <c r="BA300" s="56"/>
      <c r="BB300" s="10"/>
      <c r="BC300" s="56"/>
      <c r="BD300" s="56"/>
      <c r="BE300" s="56"/>
      <c r="BF300" s="56"/>
      <c r="BN300" s="145"/>
      <c r="CH300" s="145"/>
      <c r="CX300" s="145"/>
    </row>
    <row r="301" spans="1:102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172"/>
      <c r="BA301" s="56"/>
      <c r="BB301" s="10"/>
      <c r="BC301" s="56"/>
      <c r="BD301" s="56"/>
      <c r="BE301" s="56"/>
      <c r="BF301" s="56"/>
      <c r="BN301" s="145"/>
      <c r="CH301" s="145"/>
      <c r="CX301" s="145"/>
    </row>
    <row r="302" spans="1:102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172"/>
      <c r="BA302" s="56"/>
      <c r="BB302" s="10"/>
      <c r="BC302" s="56"/>
      <c r="BD302" s="56"/>
      <c r="BE302" s="56"/>
      <c r="BF302" s="56"/>
      <c r="BN302" s="145"/>
      <c r="CH302" s="145"/>
      <c r="CX302" s="145"/>
    </row>
    <row r="303" spans="1:102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172"/>
      <c r="BA303" s="56"/>
      <c r="BB303" s="10"/>
      <c r="BC303" s="56"/>
      <c r="BD303" s="56"/>
      <c r="BE303" s="56"/>
      <c r="BF303" s="56"/>
      <c r="BN303" s="145"/>
      <c r="CH303" s="145"/>
      <c r="CX303" s="145"/>
    </row>
    <row r="304" spans="1:102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172"/>
      <c r="BA304" s="56"/>
      <c r="BB304" s="10"/>
      <c r="BC304" s="56"/>
      <c r="BD304" s="56"/>
      <c r="BE304" s="56"/>
      <c r="BF304" s="56"/>
      <c r="BN304" s="145"/>
      <c r="CH304" s="145"/>
      <c r="CX304" s="145"/>
    </row>
    <row r="305" spans="1:102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172"/>
      <c r="BA305" s="56"/>
      <c r="BB305" s="10"/>
      <c r="BC305" s="56"/>
      <c r="BD305" s="56"/>
      <c r="BE305" s="56"/>
      <c r="BF305" s="56"/>
      <c r="BN305" s="145"/>
      <c r="CH305" s="145"/>
      <c r="CX305" s="145"/>
    </row>
    <row r="306" spans="1:102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172"/>
      <c r="BA306" s="56"/>
      <c r="BB306" s="10"/>
      <c r="BC306" s="56"/>
      <c r="BD306" s="56"/>
      <c r="BE306" s="56"/>
      <c r="BF306" s="56"/>
      <c r="BN306" s="145"/>
      <c r="CH306" s="145"/>
      <c r="CX306" s="145"/>
    </row>
    <row r="307" spans="1:102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172"/>
      <c r="BA307" s="56"/>
      <c r="BB307" s="10"/>
      <c r="BC307" s="56"/>
      <c r="BD307" s="56"/>
      <c r="BE307" s="56"/>
      <c r="BF307" s="56"/>
      <c r="BN307" s="145"/>
      <c r="CH307" s="145"/>
      <c r="CX307" s="145"/>
    </row>
    <row r="308" spans="1:102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172"/>
      <c r="BA308" s="56"/>
      <c r="BB308" s="10"/>
      <c r="BC308" s="56"/>
      <c r="BD308" s="56"/>
      <c r="BE308" s="56"/>
      <c r="BF308" s="56"/>
      <c r="BN308" s="145"/>
      <c r="CH308" s="145"/>
      <c r="CX308" s="145"/>
    </row>
    <row r="309" spans="1:102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172"/>
      <c r="BA309" s="56"/>
      <c r="BB309" s="10"/>
      <c r="BC309" s="56"/>
      <c r="BD309" s="56"/>
      <c r="BE309" s="56"/>
      <c r="BF309" s="56"/>
      <c r="BN309" s="145"/>
      <c r="CH309" s="145"/>
      <c r="CX309" s="145"/>
    </row>
    <row r="310" spans="1:102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172"/>
      <c r="BA310" s="56"/>
      <c r="BB310" s="10"/>
      <c r="BC310" s="56"/>
      <c r="BD310" s="56"/>
      <c r="BE310" s="56"/>
      <c r="BF310" s="56"/>
      <c r="BN310" s="145"/>
      <c r="CH310" s="145"/>
      <c r="CX310" s="145"/>
    </row>
    <row r="311" spans="1:102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172"/>
      <c r="BA311" s="56"/>
      <c r="BB311" s="10"/>
      <c r="BC311" s="56"/>
      <c r="BD311" s="56"/>
      <c r="BE311" s="56"/>
      <c r="BF311" s="56"/>
      <c r="BN311" s="145"/>
      <c r="CH311" s="145"/>
      <c r="CX311" s="145"/>
    </row>
    <row r="312" spans="1:102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172"/>
      <c r="BA312" s="56"/>
      <c r="BB312" s="10"/>
      <c r="BC312" s="56"/>
      <c r="BD312" s="56"/>
      <c r="BE312" s="56"/>
      <c r="BF312" s="56"/>
      <c r="BN312" s="145"/>
      <c r="CH312" s="145"/>
      <c r="CX312" s="145"/>
    </row>
    <row r="313" spans="1:102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172"/>
      <c r="BA313" s="56"/>
      <c r="BB313" s="10"/>
      <c r="BC313" s="56"/>
      <c r="BD313" s="56"/>
      <c r="BE313" s="56"/>
      <c r="BF313" s="56"/>
      <c r="BN313" s="145"/>
      <c r="CH313" s="145"/>
      <c r="CX313" s="145"/>
    </row>
    <row r="314" spans="1:102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172"/>
      <c r="BA314" s="56"/>
      <c r="BB314" s="10"/>
      <c r="BC314" s="56"/>
      <c r="BD314" s="56"/>
      <c r="BE314" s="56"/>
      <c r="BF314" s="56"/>
      <c r="BN314" s="145"/>
      <c r="CH314" s="145"/>
      <c r="CX314" s="145"/>
    </row>
    <row r="315" spans="1:102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172"/>
      <c r="BA315" s="56"/>
      <c r="BB315" s="10"/>
      <c r="BC315" s="56"/>
      <c r="BD315" s="56"/>
      <c r="BE315" s="56"/>
      <c r="BF315" s="56"/>
      <c r="BN315" s="145"/>
      <c r="CH315" s="145"/>
      <c r="CX315" s="145"/>
    </row>
    <row r="316" spans="1:102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172"/>
      <c r="BA316" s="56"/>
      <c r="BB316" s="10"/>
      <c r="BC316" s="56"/>
      <c r="BD316" s="56"/>
      <c r="BE316" s="56"/>
      <c r="BF316" s="56"/>
      <c r="BN316" s="145"/>
      <c r="CH316" s="145"/>
      <c r="CX316" s="145"/>
    </row>
    <row r="317" spans="1:102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172"/>
      <c r="BA317" s="56"/>
      <c r="BB317" s="10"/>
      <c r="BC317" s="56"/>
      <c r="BD317" s="56"/>
      <c r="BE317" s="56"/>
      <c r="BF317" s="56"/>
      <c r="BN317" s="145"/>
      <c r="CH317" s="145"/>
      <c r="CX317" s="145"/>
    </row>
    <row r="318" spans="1:102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172"/>
      <c r="BA318" s="56"/>
      <c r="BB318" s="10"/>
      <c r="BC318" s="56"/>
      <c r="BD318" s="56"/>
      <c r="BE318" s="56"/>
      <c r="BF318" s="56"/>
      <c r="BN318" s="145"/>
      <c r="CH318" s="145"/>
      <c r="CX318" s="145"/>
    </row>
    <row r="319" spans="1:102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172"/>
      <c r="BA319" s="56"/>
      <c r="BB319" s="10"/>
      <c r="BC319" s="56"/>
      <c r="BD319" s="56"/>
      <c r="BE319" s="56"/>
      <c r="BF319" s="56"/>
      <c r="BN319" s="145"/>
      <c r="CH319" s="145"/>
      <c r="CX319" s="145"/>
    </row>
    <row r="320" spans="1:102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172"/>
      <c r="BA320" s="56"/>
      <c r="BB320" s="10"/>
      <c r="BC320" s="56"/>
      <c r="BD320" s="56"/>
      <c r="BE320" s="56"/>
      <c r="BF320" s="56"/>
      <c r="BN320" s="145"/>
      <c r="CH320" s="145"/>
      <c r="CX320" s="145"/>
    </row>
    <row r="321" spans="1:102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172"/>
      <c r="BA321" s="56"/>
      <c r="BB321" s="10"/>
      <c r="BC321" s="56"/>
      <c r="BD321" s="56"/>
      <c r="BE321" s="56"/>
      <c r="BF321" s="56"/>
      <c r="BN321" s="145"/>
      <c r="CH321" s="145"/>
      <c r="CX321" s="145"/>
    </row>
    <row r="322" spans="1:102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172"/>
      <c r="BA322" s="56"/>
      <c r="BB322" s="10"/>
      <c r="BC322" s="56"/>
      <c r="BD322" s="56"/>
      <c r="BE322" s="56"/>
      <c r="BF322" s="56"/>
      <c r="BN322" s="145"/>
      <c r="CH322" s="145"/>
      <c r="CX322" s="145"/>
    </row>
    <row r="323" spans="1:102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172"/>
      <c r="BA323" s="56"/>
      <c r="BB323" s="10"/>
      <c r="BC323" s="56"/>
      <c r="BD323" s="56"/>
      <c r="BE323" s="56"/>
      <c r="BF323" s="56"/>
      <c r="BN323" s="145"/>
      <c r="CH323" s="145"/>
      <c r="CX323" s="145"/>
    </row>
    <row r="324" spans="1:102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172"/>
      <c r="BA324" s="56"/>
      <c r="BB324" s="10"/>
      <c r="BC324" s="56"/>
      <c r="BD324" s="56"/>
      <c r="BE324" s="56"/>
      <c r="BF324" s="56"/>
      <c r="BN324" s="145"/>
      <c r="CH324" s="145"/>
      <c r="CX324" s="145"/>
    </row>
    <row r="325" spans="1:102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172"/>
      <c r="BA325" s="56"/>
      <c r="BB325" s="10"/>
      <c r="BC325" s="56"/>
      <c r="BD325" s="56"/>
      <c r="BE325" s="56"/>
      <c r="BF325" s="56"/>
      <c r="BN325" s="145"/>
      <c r="CH325" s="145"/>
      <c r="CX325" s="145"/>
    </row>
    <row r="326" spans="1:102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172"/>
      <c r="BA326" s="56"/>
      <c r="BB326" s="10"/>
      <c r="BC326" s="56"/>
      <c r="BD326" s="56"/>
      <c r="BE326" s="56"/>
      <c r="BF326" s="56"/>
      <c r="BN326" s="145"/>
      <c r="CH326" s="145"/>
      <c r="CX326" s="145"/>
    </row>
    <row r="327" spans="1:102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172"/>
      <c r="BA327" s="56"/>
      <c r="BB327" s="10"/>
      <c r="BC327" s="56"/>
      <c r="BD327" s="56"/>
      <c r="BE327" s="56"/>
      <c r="BF327" s="56"/>
      <c r="BN327" s="145"/>
      <c r="CH327" s="145"/>
      <c r="CX327" s="145"/>
    </row>
    <row r="328" spans="1:102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172"/>
      <c r="BA328" s="56"/>
      <c r="BB328" s="10"/>
      <c r="BC328" s="56"/>
      <c r="BD328" s="56"/>
      <c r="BE328" s="56"/>
      <c r="BF328" s="56"/>
      <c r="BN328" s="145"/>
      <c r="CH328" s="145"/>
      <c r="CX328" s="145"/>
    </row>
    <row r="329" spans="1:102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172"/>
      <c r="BA329" s="56"/>
      <c r="BB329" s="10"/>
      <c r="BC329" s="56"/>
      <c r="BD329" s="56"/>
      <c r="BE329" s="56"/>
      <c r="BF329" s="56"/>
      <c r="BN329" s="145"/>
      <c r="CH329" s="145"/>
      <c r="CX329" s="145"/>
    </row>
    <row r="330" spans="1:102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172"/>
      <c r="BA330" s="56"/>
      <c r="BB330" s="10"/>
      <c r="BC330" s="56"/>
      <c r="BD330" s="56"/>
      <c r="BE330" s="56"/>
      <c r="BF330" s="56"/>
      <c r="BN330" s="145"/>
      <c r="CH330" s="145"/>
      <c r="CX330" s="145"/>
    </row>
    <row r="331" spans="1:102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172"/>
      <c r="BA331" s="56"/>
      <c r="BB331" s="10"/>
      <c r="BC331" s="56"/>
      <c r="BD331" s="56"/>
      <c r="BE331" s="56"/>
      <c r="BF331" s="56"/>
      <c r="BN331" s="145"/>
      <c r="CH331" s="145"/>
      <c r="CX331" s="145"/>
    </row>
    <row r="332" spans="1:102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172"/>
      <c r="BA332" s="56"/>
      <c r="BB332" s="10"/>
      <c r="BC332" s="56"/>
      <c r="BD332" s="56"/>
      <c r="BE332" s="56"/>
      <c r="BF332" s="56"/>
      <c r="BN332" s="145"/>
      <c r="CH332" s="145"/>
      <c r="CX332" s="145"/>
    </row>
    <row r="333" spans="1:102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172"/>
      <c r="BA333" s="56"/>
      <c r="BB333" s="10"/>
      <c r="BC333" s="56"/>
      <c r="BD333" s="56"/>
      <c r="BE333" s="56"/>
      <c r="BF333" s="56"/>
      <c r="BN333" s="145"/>
      <c r="CH333" s="145"/>
      <c r="CX333" s="145"/>
    </row>
    <row r="334" spans="1:102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172"/>
      <c r="BA334" s="56"/>
      <c r="BB334" s="10"/>
      <c r="BC334" s="56"/>
      <c r="BD334" s="56"/>
      <c r="BE334" s="56"/>
      <c r="BF334" s="56"/>
      <c r="BN334" s="145"/>
      <c r="CH334" s="145"/>
      <c r="CX334" s="145"/>
    </row>
    <row r="335" spans="1:102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172"/>
      <c r="BA335" s="56"/>
      <c r="BB335" s="10"/>
      <c r="BC335" s="56"/>
      <c r="BD335" s="56"/>
      <c r="BE335" s="56"/>
      <c r="BF335" s="56"/>
      <c r="BN335" s="145"/>
      <c r="CH335" s="145"/>
      <c r="CX335" s="145"/>
    </row>
    <row r="336" spans="1:102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172"/>
      <c r="BA336" s="56"/>
      <c r="BB336" s="10"/>
      <c r="BC336" s="56"/>
      <c r="BD336" s="56"/>
      <c r="BE336" s="56"/>
      <c r="BF336" s="56"/>
      <c r="BN336" s="145"/>
      <c r="CH336" s="145"/>
      <c r="CX336" s="145"/>
    </row>
    <row r="337" spans="1:102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172"/>
      <c r="BA337" s="56"/>
      <c r="BB337" s="10"/>
      <c r="BC337" s="56"/>
      <c r="BD337" s="56"/>
      <c r="BE337" s="56"/>
      <c r="BF337" s="56"/>
      <c r="BN337" s="145"/>
      <c r="CH337" s="145"/>
      <c r="CX337" s="145"/>
    </row>
    <row r="338" spans="1:102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172"/>
      <c r="BA338" s="56"/>
      <c r="BB338" s="10"/>
      <c r="BC338" s="56"/>
      <c r="BD338" s="56"/>
      <c r="BE338" s="56"/>
      <c r="BF338" s="56"/>
      <c r="BN338" s="145"/>
      <c r="CH338" s="145"/>
      <c r="CX338" s="145"/>
    </row>
    <row r="339" spans="1:102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172"/>
      <c r="BA339" s="56"/>
      <c r="BB339" s="10"/>
      <c r="BC339" s="56"/>
      <c r="BD339" s="56"/>
      <c r="BE339" s="56"/>
      <c r="BF339" s="56"/>
      <c r="BN339" s="145"/>
      <c r="CH339" s="145"/>
      <c r="CX339" s="145"/>
    </row>
    <row r="340" spans="1:102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172"/>
      <c r="BA340" s="56"/>
      <c r="BB340" s="10"/>
      <c r="BC340" s="56"/>
      <c r="BD340" s="56"/>
      <c r="BE340" s="56"/>
      <c r="BF340" s="56"/>
      <c r="BN340" s="145"/>
      <c r="CH340" s="145"/>
      <c r="CX340" s="145"/>
    </row>
    <row r="341" spans="1:102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172"/>
      <c r="BA341" s="56"/>
      <c r="BB341" s="10"/>
      <c r="BC341" s="56"/>
      <c r="BD341" s="56"/>
      <c r="BE341" s="56"/>
      <c r="BF341" s="56"/>
      <c r="BN341" s="145"/>
      <c r="CH341" s="145"/>
      <c r="CX341" s="145"/>
    </row>
    <row r="342" spans="1:102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172"/>
      <c r="BA342" s="56"/>
      <c r="BB342" s="10"/>
      <c r="BC342" s="56"/>
      <c r="BD342" s="56"/>
      <c r="BE342" s="56"/>
      <c r="BF342" s="56"/>
      <c r="BN342" s="145"/>
      <c r="CH342" s="145"/>
      <c r="CX342" s="145"/>
    </row>
    <row r="343" spans="1:102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172"/>
      <c r="BA343" s="56"/>
      <c r="BB343" s="10"/>
      <c r="BC343" s="56"/>
      <c r="BD343" s="56"/>
      <c r="BE343" s="56"/>
      <c r="BF343" s="56"/>
      <c r="BN343" s="145"/>
      <c r="CH343" s="145"/>
      <c r="CX343" s="145"/>
    </row>
    <row r="344" spans="1:102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172"/>
      <c r="BA344" s="56"/>
      <c r="BB344" s="10"/>
      <c r="BC344" s="56"/>
      <c r="BD344" s="56"/>
      <c r="BE344" s="56"/>
      <c r="BF344" s="56"/>
      <c r="BN344" s="145"/>
      <c r="CH344" s="145"/>
      <c r="CX344" s="145"/>
    </row>
    <row r="345" spans="1:102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172"/>
      <c r="BA345" s="56"/>
      <c r="BB345" s="10"/>
      <c r="BC345" s="56"/>
      <c r="BD345" s="56"/>
      <c r="BE345" s="56"/>
      <c r="BF345" s="56"/>
      <c r="BN345" s="145"/>
      <c r="CH345" s="145"/>
      <c r="CX345" s="145"/>
    </row>
    <row r="346" spans="1:102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172"/>
      <c r="BA346" s="56"/>
      <c r="BB346" s="10"/>
      <c r="BC346" s="56"/>
      <c r="BD346" s="56"/>
      <c r="BE346" s="56"/>
      <c r="BF346" s="56"/>
      <c r="BN346" s="145"/>
      <c r="CH346" s="145"/>
      <c r="CX346" s="145"/>
    </row>
    <row r="347" spans="1:102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172"/>
      <c r="BA347" s="56"/>
      <c r="BB347" s="10"/>
      <c r="BC347" s="56"/>
      <c r="BD347" s="56"/>
      <c r="BE347" s="56"/>
      <c r="BF347" s="56"/>
      <c r="BN347" s="145"/>
      <c r="CH347" s="145"/>
      <c r="CX347" s="145"/>
    </row>
    <row r="348" spans="1:102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172"/>
      <c r="BA348" s="56"/>
      <c r="BB348" s="10"/>
      <c r="BC348" s="56"/>
      <c r="BD348" s="56"/>
      <c r="BE348" s="56"/>
      <c r="BF348" s="56"/>
      <c r="BN348" s="145"/>
      <c r="CH348" s="145"/>
      <c r="CX348" s="145"/>
    </row>
    <row r="349" spans="1:102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172"/>
      <c r="BA349" s="56"/>
      <c r="BB349" s="10"/>
      <c r="BC349" s="56"/>
      <c r="BD349" s="56"/>
      <c r="BE349" s="56"/>
      <c r="BF349" s="56"/>
      <c r="BN349" s="145"/>
      <c r="CH349" s="145"/>
      <c r="CX349" s="145"/>
    </row>
    <row r="350" spans="1:102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172"/>
      <c r="BA350" s="56"/>
      <c r="BB350" s="10"/>
      <c r="BC350" s="56"/>
      <c r="BD350" s="56"/>
      <c r="BE350" s="56"/>
      <c r="BF350" s="56"/>
      <c r="BN350" s="145"/>
      <c r="CH350" s="145"/>
      <c r="CX350" s="145"/>
    </row>
    <row r="351" spans="1:102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172"/>
      <c r="BA351" s="56"/>
      <c r="BB351" s="10"/>
      <c r="BC351" s="56"/>
      <c r="BD351" s="56"/>
      <c r="BE351" s="56"/>
      <c r="BF351" s="56"/>
      <c r="BN351" s="145"/>
      <c r="CH351" s="145"/>
      <c r="CX351" s="145"/>
    </row>
    <row r="352" spans="1:102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172"/>
      <c r="BA352" s="56"/>
      <c r="BB352" s="10"/>
      <c r="BC352" s="56"/>
      <c r="BD352" s="56"/>
      <c r="BE352" s="56"/>
      <c r="BF352" s="56"/>
      <c r="BN352" s="145"/>
      <c r="CH352" s="145"/>
      <c r="CX352" s="145"/>
    </row>
    <row r="353" spans="1:102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172"/>
      <c r="BA353" s="56"/>
      <c r="BB353" s="10"/>
      <c r="BC353" s="56"/>
      <c r="BD353" s="56"/>
      <c r="BE353" s="56"/>
      <c r="BF353" s="56"/>
      <c r="BN353" s="145"/>
      <c r="CH353" s="145"/>
      <c r="CX353" s="145"/>
    </row>
    <row r="354" spans="1:102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172"/>
      <c r="BA354" s="56"/>
      <c r="BB354" s="10"/>
      <c r="BC354" s="56"/>
      <c r="BD354" s="56"/>
      <c r="BE354" s="56"/>
      <c r="BF354" s="56"/>
      <c r="BN354" s="145"/>
      <c r="CH354" s="145"/>
      <c r="CX354" s="145"/>
    </row>
    <row r="355" spans="1:102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172"/>
      <c r="BA355" s="56"/>
      <c r="BB355" s="10"/>
      <c r="BC355" s="56"/>
      <c r="BD355" s="56"/>
      <c r="BE355" s="56"/>
      <c r="BF355" s="56"/>
      <c r="BN355" s="145"/>
      <c r="CH355" s="145"/>
      <c r="CX355" s="145"/>
    </row>
    <row r="356" spans="1:102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172"/>
      <c r="BA356" s="56"/>
      <c r="BB356" s="10"/>
      <c r="BC356" s="56"/>
      <c r="BD356" s="56"/>
      <c r="BE356" s="56"/>
      <c r="BF356" s="56"/>
      <c r="BN356" s="145"/>
      <c r="CH356" s="145"/>
      <c r="CX356" s="145"/>
    </row>
    <row r="357" spans="1:102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172"/>
      <c r="BA357" s="56"/>
      <c r="BB357" s="10"/>
      <c r="BC357" s="56"/>
      <c r="BD357" s="56"/>
      <c r="BE357" s="56"/>
      <c r="BF357" s="56"/>
      <c r="BN357" s="145"/>
      <c r="CH357" s="145"/>
      <c r="CX357" s="145"/>
    </row>
    <row r="358" spans="1:102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172"/>
      <c r="BA358" s="56"/>
      <c r="BB358" s="10"/>
      <c r="BC358" s="56"/>
      <c r="BD358" s="56"/>
      <c r="BE358" s="56"/>
      <c r="BF358" s="56"/>
      <c r="BN358" s="145"/>
      <c r="CH358" s="145"/>
      <c r="CX358" s="145"/>
    </row>
    <row r="359" spans="1:102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172"/>
      <c r="BA359" s="56"/>
      <c r="BB359" s="10"/>
      <c r="BC359" s="56"/>
      <c r="BD359" s="56"/>
      <c r="BE359" s="56"/>
      <c r="BF359" s="56"/>
      <c r="BN359" s="145"/>
      <c r="CH359" s="145"/>
      <c r="CX359" s="145"/>
    </row>
    <row r="360" spans="1:102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172"/>
      <c r="BA360" s="56"/>
      <c r="BB360" s="10"/>
      <c r="BC360" s="56"/>
      <c r="BD360" s="56"/>
      <c r="BE360" s="56"/>
      <c r="BF360" s="56"/>
      <c r="BN360" s="145"/>
      <c r="CH360" s="145"/>
      <c r="CX360" s="145"/>
    </row>
    <row r="361" spans="1:102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172"/>
      <c r="BA361" s="56"/>
      <c r="BB361" s="10"/>
      <c r="BC361" s="56"/>
      <c r="BD361" s="56"/>
      <c r="BE361" s="56"/>
      <c r="BF361" s="56"/>
      <c r="BN361" s="145"/>
      <c r="CH361" s="145"/>
      <c r="CX361" s="145"/>
    </row>
    <row r="362" spans="1:102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172"/>
      <c r="BA362" s="56"/>
      <c r="BB362" s="10"/>
      <c r="BC362" s="56"/>
      <c r="BD362" s="56"/>
      <c r="BE362" s="56"/>
      <c r="BF362" s="56"/>
      <c r="BN362" s="145"/>
      <c r="CH362" s="145"/>
      <c r="CX362" s="145"/>
    </row>
    <row r="363" spans="1:102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172"/>
      <c r="BA363" s="56"/>
      <c r="BB363" s="10"/>
      <c r="BC363" s="56"/>
      <c r="BD363" s="56"/>
      <c r="BE363" s="56"/>
      <c r="BF363" s="56"/>
      <c r="BN363" s="145"/>
      <c r="CH363" s="145"/>
      <c r="CX363" s="145"/>
    </row>
    <row r="364" spans="1:102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172"/>
      <c r="BA364" s="56"/>
      <c r="BB364" s="10"/>
      <c r="BC364" s="56"/>
      <c r="BD364" s="56"/>
      <c r="BE364" s="56"/>
      <c r="BF364" s="56"/>
      <c r="BN364" s="145"/>
      <c r="CH364" s="145"/>
      <c r="CX364" s="145"/>
    </row>
    <row r="365" spans="1:102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172"/>
      <c r="BA365" s="56"/>
      <c r="BB365" s="10"/>
      <c r="BC365" s="56"/>
      <c r="BD365" s="56"/>
      <c r="BE365" s="56"/>
      <c r="BF365" s="56"/>
      <c r="BN365" s="145"/>
      <c r="CH365" s="145"/>
      <c r="CX365" s="145"/>
    </row>
    <row r="366" spans="1:102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172"/>
      <c r="BA366" s="56"/>
      <c r="BB366" s="10"/>
      <c r="BC366" s="56"/>
      <c r="BD366" s="56"/>
      <c r="BE366" s="56"/>
      <c r="BF366" s="56"/>
      <c r="BN366" s="145"/>
      <c r="CH366" s="145"/>
      <c r="CX366" s="145"/>
    </row>
    <row r="367" spans="1:102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172"/>
      <c r="BA367" s="56"/>
      <c r="BB367" s="10"/>
      <c r="BC367" s="56"/>
      <c r="BD367" s="56"/>
      <c r="BE367" s="56"/>
      <c r="BF367" s="56"/>
      <c r="BN367" s="145"/>
      <c r="CH367" s="145"/>
      <c r="CX367" s="145"/>
    </row>
    <row r="368" spans="1:102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172"/>
      <c r="BA368" s="56"/>
      <c r="BB368" s="10"/>
      <c r="BC368" s="56"/>
      <c r="BD368" s="56"/>
      <c r="BE368" s="56"/>
      <c r="BF368" s="56"/>
      <c r="BN368" s="145"/>
      <c r="CH368" s="145"/>
      <c r="CX368" s="145"/>
    </row>
    <row r="369" spans="1:102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172"/>
      <c r="BA369" s="56"/>
      <c r="BB369" s="10"/>
      <c r="BC369" s="56"/>
      <c r="BD369" s="56"/>
      <c r="BE369" s="56"/>
      <c r="BF369" s="56"/>
      <c r="BN369" s="145"/>
      <c r="CH369" s="145"/>
      <c r="CX369" s="145"/>
    </row>
    <row r="370" spans="1:102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172"/>
      <c r="BA370" s="56"/>
      <c r="BB370" s="10"/>
      <c r="BC370" s="56"/>
      <c r="BD370" s="56"/>
      <c r="BE370" s="56"/>
      <c r="BF370" s="56"/>
      <c r="BN370" s="145"/>
      <c r="CH370" s="145"/>
      <c r="CX370" s="145"/>
    </row>
    <row r="371" spans="1:102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172"/>
      <c r="BA371" s="56"/>
      <c r="BB371" s="10"/>
      <c r="BC371" s="56"/>
      <c r="BD371" s="56"/>
      <c r="BE371" s="56"/>
      <c r="BF371" s="56"/>
      <c r="BN371" s="145"/>
      <c r="CH371" s="145"/>
      <c r="CX371" s="145"/>
    </row>
    <row r="372" spans="1:102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172"/>
      <c r="BA372" s="56"/>
      <c r="BB372" s="10"/>
      <c r="BC372" s="56"/>
      <c r="BD372" s="56"/>
      <c r="BE372" s="56"/>
      <c r="BF372" s="56"/>
      <c r="BN372" s="145"/>
      <c r="CH372" s="145"/>
      <c r="CX372" s="145"/>
    </row>
    <row r="373" spans="1:102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172"/>
      <c r="BA373" s="56"/>
      <c r="BB373" s="10"/>
      <c r="BC373" s="56"/>
      <c r="BD373" s="56"/>
      <c r="BE373" s="56"/>
      <c r="BF373" s="56"/>
      <c r="BN373" s="145"/>
      <c r="CH373" s="145"/>
      <c r="CX373" s="145"/>
    </row>
    <row r="374" spans="1:102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172"/>
      <c r="BA374" s="56"/>
      <c r="BB374" s="10"/>
      <c r="BC374" s="56"/>
      <c r="BD374" s="56"/>
      <c r="BE374" s="56"/>
      <c r="BF374" s="56"/>
      <c r="BN374" s="145"/>
      <c r="CH374" s="145"/>
      <c r="CX374" s="145"/>
    </row>
    <row r="375" spans="1:102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172"/>
      <c r="BA375" s="56"/>
      <c r="BB375" s="10"/>
      <c r="BC375" s="56"/>
      <c r="BD375" s="56"/>
      <c r="BE375" s="56"/>
      <c r="BF375" s="56"/>
      <c r="BN375" s="145"/>
      <c r="CH375" s="145"/>
      <c r="CX375" s="145"/>
    </row>
    <row r="376" spans="1:102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172"/>
      <c r="BA376" s="56"/>
      <c r="BB376" s="10"/>
      <c r="BC376" s="56"/>
      <c r="BD376" s="56"/>
      <c r="BE376" s="56"/>
      <c r="BF376" s="56"/>
      <c r="BN376" s="145"/>
      <c r="CH376" s="145"/>
      <c r="CX376" s="145"/>
    </row>
    <row r="377" spans="1:102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172"/>
      <c r="BA377" s="56"/>
      <c r="BB377" s="10"/>
      <c r="BC377" s="56"/>
      <c r="BD377" s="56"/>
      <c r="BE377" s="56"/>
      <c r="BF377" s="56"/>
      <c r="BN377" s="145"/>
      <c r="CH377" s="145"/>
      <c r="CX377" s="145"/>
    </row>
    <row r="378" spans="1:102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172"/>
      <c r="BA378" s="56"/>
      <c r="BB378" s="10"/>
      <c r="BC378" s="56"/>
      <c r="BD378" s="56"/>
      <c r="BE378" s="56"/>
      <c r="BF378" s="56"/>
      <c r="BN378" s="145"/>
      <c r="CH378" s="145"/>
      <c r="CX378" s="145"/>
    </row>
    <row r="379" spans="1:102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172"/>
      <c r="BA379" s="56"/>
      <c r="BB379" s="10"/>
      <c r="BC379" s="56"/>
      <c r="BD379" s="56"/>
      <c r="BE379" s="56"/>
      <c r="BF379" s="56"/>
      <c r="BN379" s="145"/>
      <c r="CH379" s="145"/>
      <c r="CX379" s="145"/>
    </row>
    <row r="380" spans="1:102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172"/>
      <c r="BA380" s="56"/>
      <c r="BB380" s="10"/>
      <c r="BC380" s="56"/>
      <c r="BD380" s="56"/>
      <c r="BE380" s="56"/>
      <c r="BF380" s="56"/>
      <c r="BN380" s="145"/>
      <c r="CH380" s="145"/>
      <c r="CX380" s="145"/>
    </row>
    <row r="381" spans="1:102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172"/>
      <c r="BA381" s="56"/>
      <c r="BB381" s="10"/>
      <c r="BC381" s="56"/>
      <c r="BD381" s="56"/>
      <c r="BE381" s="56"/>
      <c r="BF381" s="56"/>
      <c r="BN381" s="145"/>
      <c r="CH381" s="145"/>
      <c r="CX381" s="145"/>
    </row>
    <row r="382" spans="1:102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172"/>
      <c r="BA382" s="56"/>
      <c r="BB382" s="10"/>
      <c r="BC382" s="56"/>
      <c r="BD382" s="56"/>
      <c r="BE382" s="56"/>
      <c r="BF382" s="56"/>
      <c r="BN382" s="145"/>
      <c r="CH382" s="145"/>
      <c r="CX382" s="145"/>
    </row>
    <row r="383" spans="1:102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172"/>
      <c r="BA383" s="56"/>
      <c r="BB383" s="10"/>
      <c r="BC383" s="56"/>
      <c r="BD383" s="56"/>
      <c r="BE383" s="56"/>
      <c r="BF383" s="56"/>
      <c r="BN383" s="145"/>
      <c r="CH383" s="145"/>
      <c r="CX383" s="145"/>
    </row>
    <row r="384" spans="1:102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172"/>
      <c r="BA384" s="56"/>
      <c r="BB384" s="10"/>
      <c r="BC384" s="56"/>
      <c r="BD384" s="56"/>
      <c r="BE384" s="56"/>
      <c r="BF384" s="56"/>
      <c r="BN384" s="145"/>
      <c r="CH384" s="145"/>
      <c r="CX384" s="145"/>
    </row>
    <row r="385" spans="1:102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172"/>
      <c r="BA385" s="56"/>
      <c r="BB385" s="10"/>
      <c r="BC385" s="56"/>
      <c r="BD385" s="56"/>
      <c r="BE385" s="56"/>
      <c r="BF385" s="56"/>
      <c r="BN385" s="145"/>
      <c r="CH385" s="145"/>
      <c r="CX385" s="145"/>
    </row>
    <row r="386" spans="1:102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172"/>
      <c r="BA386" s="56"/>
      <c r="BB386" s="10"/>
      <c r="BC386" s="56"/>
      <c r="BD386" s="56"/>
      <c r="BE386" s="56"/>
      <c r="BF386" s="56"/>
      <c r="BN386" s="145"/>
      <c r="CH386" s="145"/>
      <c r="CX386" s="145"/>
    </row>
    <row r="387" spans="1:102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172"/>
      <c r="BA387" s="56"/>
      <c r="BB387" s="10"/>
      <c r="BC387" s="56"/>
      <c r="BD387" s="56"/>
      <c r="BE387" s="56"/>
      <c r="BF387" s="56"/>
      <c r="BN387" s="145"/>
      <c r="CH387" s="145"/>
      <c r="CX387" s="145"/>
    </row>
    <row r="388" spans="1:102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172"/>
      <c r="BA388" s="56"/>
      <c r="BB388" s="10"/>
      <c r="BC388" s="56"/>
      <c r="BD388" s="56"/>
      <c r="BE388" s="56"/>
      <c r="BF388" s="56"/>
      <c r="BN388" s="145"/>
      <c r="CH388" s="145"/>
      <c r="CX388" s="145"/>
    </row>
    <row r="389" spans="1:102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172"/>
      <c r="BA389" s="56"/>
      <c r="BB389" s="10"/>
      <c r="BC389" s="56"/>
      <c r="BD389" s="56"/>
      <c r="BE389" s="56"/>
      <c r="BF389" s="56"/>
      <c r="BN389" s="145"/>
      <c r="CH389" s="145"/>
      <c r="CX389" s="145"/>
    </row>
    <row r="390" spans="1:102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172"/>
      <c r="BA390" s="56"/>
      <c r="BB390" s="10"/>
      <c r="BC390" s="56"/>
      <c r="BD390" s="56"/>
      <c r="BE390" s="56"/>
      <c r="BF390" s="56"/>
      <c r="BN390" s="145"/>
      <c r="CH390" s="145"/>
      <c r="CX390" s="145"/>
    </row>
    <row r="391" spans="1:102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172"/>
      <c r="BA391" s="56"/>
      <c r="BB391" s="10"/>
      <c r="BC391" s="56"/>
      <c r="BD391" s="56"/>
      <c r="BE391" s="56"/>
      <c r="BF391" s="56"/>
      <c r="BN391" s="145"/>
      <c r="CH391" s="145"/>
      <c r="CX391" s="145"/>
    </row>
    <row r="392" spans="1:102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172"/>
      <c r="BA392" s="56"/>
      <c r="BB392" s="10"/>
      <c r="BC392" s="56"/>
      <c r="BD392" s="56"/>
      <c r="BE392" s="56"/>
      <c r="BF392" s="56"/>
      <c r="BN392" s="145"/>
      <c r="CH392" s="145"/>
      <c r="CX392" s="145"/>
    </row>
    <row r="393" spans="1:102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172"/>
      <c r="BA393" s="56"/>
      <c r="BB393" s="10"/>
      <c r="BC393" s="56"/>
      <c r="BD393" s="56"/>
      <c r="BE393" s="56"/>
      <c r="BF393" s="56"/>
      <c r="BN393" s="145"/>
      <c r="CH393" s="145"/>
      <c r="CX393" s="145"/>
    </row>
    <row r="394" spans="1:102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172"/>
      <c r="BA394" s="56"/>
      <c r="BB394" s="10"/>
      <c r="BC394" s="56"/>
      <c r="BD394" s="56"/>
      <c r="BE394" s="56"/>
      <c r="BF394" s="56"/>
      <c r="BN394" s="145"/>
      <c r="CH394" s="145"/>
      <c r="CX394" s="145"/>
    </row>
    <row r="395" spans="1:102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172"/>
      <c r="BA395" s="56"/>
      <c r="BB395" s="10"/>
      <c r="BC395" s="56"/>
      <c r="BD395" s="56"/>
      <c r="BE395" s="56"/>
      <c r="BF395" s="56"/>
      <c r="BN395" s="145"/>
      <c r="CH395" s="145"/>
      <c r="CX395" s="145"/>
    </row>
    <row r="396" spans="1:102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172"/>
      <c r="BA396" s="56"/>
      <c r="BB396" s="10"/>
      <c r="BC396" s="56"/>
      <c r="BD396" s="56"/>
      <c r="BE396" s="56"/>
      <c r="BF396" s="56"/>
      <c r="BN396" s="145"/>
      <c r="CH396" s="145"/>
      <c r="CX396" s="145"/>
    </row>
    <row r="397" spans="1:102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172"/>
      <c r="BA397" s="56"/>
      <c r="BB397" s="10"/>
      <c r="BC397" s="56"/>
      <c r="BD397" s="56"/>
      <c r="BE397" s="56"/>
      <c r="BF397" s="56"/>
      <c r="BN397" s="145"/>
      <c r="CH397" s="145"/>
      <c r="CX397" s="145"/>
    </row>
    <row r="398" spans="1:102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172"/>
      <c r="BA398" s="56"/>
      <c r="BB398" s="10"/>
      <c r="BC398" s="56"/>
      <c r="BD398" s="56"/>
      <c r="BE398" s="56"/>
      <c r="BF398" s="56"/>
      <c r="BN398" s="145"/>
      <c r="CH398" s="145"/>
      <c r="CX398" s="145"/>
    </row>
    <row r="399" spans="1:102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172"/>
      <c r="BA399" s="56"/>
      <c r="BB399" s="10"/>
      <c r="BC399" s="56"/>
      <c r="BD399" s="56"/>
      <c r="BE399" s="56"/>
      <c r="BF399" s="56"/>
      <c r="BN399" s="145"/>
      <c r="CH399" s="145"/>
      <c r="CX399" s="145"/>
    </row>
    <row r="400" spans="1:102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172"/>
      <c r="BA400" s="56"/>
      <c r="BB400" s="10"/>
      <c r="BC400" s="56"/>
      <c r="BD400" s="56"/>
      <c r="BE400" s="56"/>
      <c r="BF400" s="56"/>
      <c r="BN400" s="145"/>
      <c r="CH400" s="145"/>
      <c r="CX400" s="145"/>
    </row>
    <row r="401" spans="1:102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172"/>
      <c r="BA401" s="56"/>
      <c r="BB401" s="10"/>
      <c r="BC401" s="56"/>
      <c r="BD401" s="56"/>
      <c r="BE401" s="56"/>
      <c r="BF401" s="56"/>
      <c r="BN401" s="145"/>
      <c r="CH401" s="145"/>
      <c r="CX401" s="145"/>
    </row>
    <row r="402" spans="1:102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172"/>
      <c r="BA402" s="56"/>
      <c r="BB402" s="10"/>
      <c r="BC402" s="56"/>
      <c r="BD402" s="56"/>
      <c r="BE402" s="56"/>
      <c r="BF402" s="56"/>
      <c r="BN402" s="145"/>
      <c r="CH402" s="145"/>
      <c r="CX402" s="145"/>
    </row>
    <row r="403" spans="1:102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172"/>
      <c r="BA403" s="56"/>
      <c r="BB403" s="10"/>
      <c r="BC403" s="56"/>
      <c r="BD403" s="56"/>
      <c r="BE403" s="56"/>
      <c r="BF403" s="56"/>
      <c r="BN403" s="145"/>
      <c r="CH403" s="145"/>
      <c r="CX403" s="145"/>
    </row>
    <row r="404" spans="1:102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172"/>
      <c r="BA404" s="56"/>
      <c r="BB404" s="10"/>
      <c r="BC404" s="56"/>
      <c r="BD404" s="56"/>
      <c r="BE404" s="56"/>
      <c r="BF404" s="56"/>
      <c r="BN404" s="145"/>
      <c r="CH404" s="145"/>
      <c r="CX404" s="145"/>
    </row>
    <row r="405" spans="1:102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172"/>
      <c r="BA405" s="56"/>
      <c r="BB405" s="10"/>
      <c r="BC405" s="56"/>
      <c r="BD405" s="56"/>
      <c r="BE405" s="56"/>
      <c r="BF405" s="56"/>
      <c r="BN405" s="145"/>
      <c r="CH405" s="145"/>
      <c r="CX405" s="145"/>
    </row>
    <row r="406" spans="1:102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172"/>
      <c r="BA406" s="56"/>
      <c r="BB406" s="10"/>
      <c r="BC406" s="56"/>
      <c r="BD406" s="56"/>
      <c r="BE406" s="56"/>
      <c r="BF406" s="56"/>
      <c r="BN406" s="145"/>
      <c r="CH406" s="145"/>
      <c r="CX406" s="145"/>
    </row>
    <row r="407" spans="1:102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172"/>
      <c r="BA407" s="56"/>
      <c r="BB407" s="10"/>
      <c r="BC407" s="56"/>
      <c r="BD407" s="56"/>
      <c r="BE407" s="56"/>
      <c r="BF407" s="56"/>
      <c r="BN407" s="145"/>
      <c r="CH407" s="145"/>
      <c r="CX407" s="145"/>
    </row>
    <row r="408" spans="1:102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172"/>
      <c r="BA408" s="56"/>
      <c r="BB408" s="10"/>
      <c r="BC408" s="56"/>
      <c r="BD408" s="56"/>
      <c r="BE408" s="56"/>
      <c r="BF408" s="56"/>
      <c r="BN408" s="145"/>
      <c r="CH408" s="145"/>
      <c r="CX408" s="145"/>
    </row>
    <row r="409" spans="1:102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172"/>
      <c r="BA409" s="56"/>
      <c r="BB409" s="10"/>
      <c r="BC409" s="56"/>
      <c r="BD409" s="56"/>
      <c r="BE409" s="56"/>
      <c r="BF409" s="56"/>
      <c r="BN409" s="145"/>
      <c r="CH409" s="145"/>
      <c r="CX409" s="145"/>
    </row>
    <row r="410" spans="1:102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172"/>
      <c r="BA410" s="56"/>
      <c r="BB410" s="10"/>
      <c r="BC410" s="56"/>
      <c r="BD410" s="56"/>
      <c r="BE410" s="56"/>
      <c r="BF410" s="56"/>
      <c r="BN410" s="145"/>
      <c r="CH410" s="145"/>
      <c r="CX410" s="145"/>
    </row>
    <row r="411" spans="1:102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172"/>
      <c r="BA411" s="56"/>
      <c r="BB411" s="10"/>
      <c r="BC411" s="56"/>
      <c r="BD411" s="56"/>
      <c r="BE411" s="56"/>
      <c r="BF411" s="56"/>
      <c r="BN411" s="145"/>
      <c r="CH411" s="145"/>
      <c r="CX411" s="145"/>
    </row>
    <row r="412" spans="1:102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172"/>
      <c r="BA412" s="56"/>
      <c r="BB412" s="10"/>
      <c r="BC412" s="56"/>
      <c r="BD412" s="56"/>
      <c r="BE412" s="56"/>
      <c r="BF412" s="56"/>
      <c r="BN412" s="145"/>
      <c r="CH412" s="145"/>
      <c r="CX412" s="145"/>
    </row>
    <row r="413" spans="1:102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172"/>
      <c r="BA413" s="56"/>
      <c r="BB413" s="10"/>
      <c r="BC413" s="56"/>
      <c r="BD413" s="56"/>
      <c r="BE413" s="56"/>
      <c r="BF413" s="56"/>
      <c r="BN413" s="145"/>
      <c r="CH413" s="145"/>
      <c r="CX413" s="145"/>
    </row>
    <row r="414" spans="1:102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172"/>
      <c r="BA414" s="56"/>
      <c r="BB414" s="10"/>
      <c r="BC414" s="56"/>
      <c r="BD414" s="56"/>
      <c r="BE414" s="56"/>
      <c r="BF414" s="56"/>
      <c r="BN414" s="145"/>
      <c r="CH414" s="145"/>
      <c r="CX414" s="145"/>
    </row>
    <row r="415" spans="1:102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172"/>
      <c r="BA415" s="56"/>
      <c r="BB415" s="10"/>
      <c r="BC415" s="56"/>
      <c r="BD415" s="56"/>
      <c r="BE415" s="56"/>
      <c r="BF415" s="56"/>
      <c r="BN415" s="145"/>
      <c r="CH415" s="145"/>
      <c r="CX415" s="145"/>
    </row>
    <row r="416" spans="1:102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172"/>
      <c r="BA416" s="56"/>
      <c r="BB416" s="10"/>
      <c r="BC416" s="56"/>
      <c r="BD416" s="56"/>
      <c r="BE416" s="56"/>
      <c r="BF416" s="56"/>
      <c r="BN416" s="145"/>
      <c r="CH416" s="145"/>
      <c r="CX416" s="145"/>
    </row>
    <row r="417" spans="1:102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172"/>
      <c r="BA417" s="56"/>
      <c r="BB417" s="10"/>
      <c r="BC417" s="56"/>
      <c r="BD417" s="56"/>
      <c r="BE417" s="56"/>
      <c r="BF417" s="56"/>
      <c r="BN417" s="145"/>
      <c r="CH417" s="145"/>
      <c r="CX417" s="145"/>
    </row>
    <row r="418" spans="1:102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172"/>
      <c r="BA418" s="56"/>
      <c r="BB418" s="10"/>
      <c r="BC418" s="56"/>
      <c r="BD418" s="56"/>
      <c r="BE418" s="56"/>
      <c r="BF418" s="56"/>
      <c r="BN418" s="145"/>
      <c r="CH418" s="145"/>
      <c r="CX418" s="145"/>
    </row>
    <row r="419" spans="1:102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172"/>
      <c r="BA419" s="56"/>
      <c r="BB419" s="10"/>
      <c r="BC419" s="56"/>
      <c r="BD419" s="56"/>
      <c r="BE419" s="56"/>
      <c r="BF419" s="56"/>
      <c r="BN419" s="145"/>
      <c r="CH419" s="145"/>
      <c r="CX419" s="145"/>
    </row>
    <row r="420" spans="1:102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172"/>
      <c r="BA420" s="56"/>
      <c r="BB420" s="10"/>
      <c r="BC420" s="56"/>
      <c r="BD420" s="56"/>
      <c r="BE420" s="56"/>
      <c r="BF420" s="56"/>
      <c r="BN420" s="145"/>
      <c r="CH420" s="145"/>
      <c r="CX420" s="145"/>
    </row>
    <row r="421" spans="1:102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172"/>
      <c r="BA421" s="56"/>
      <c r="BB421" s="10"/>
      <c r="BC421" s="56"/>
      <c r="BD421" s="56"/>
      <c r="BE421" s="56"/>
      <c r="BF421" s="56"/>
      <c r="BN421" s="145"/>
      <c r="CH421" s="145"/>
      <c r="CX421" s="145"/>
    </row>
    <row r="422" spans="1:102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172"/>
      <c r="BA422" s="56"/>
      <c r="BB422" s="10"/>
      <c r="BC422" s="56"/>
      <c r="BD422" s="56"/>
      <c r="BE422" s="56"/>
      <c r="BF422" s="56"/>
      <c r="BN422" s="145"/>
      <c r="CH422" s="145"/>
      <c r="CX422" s="145"/>
    </row>
    <row r="423" spans="1:102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172"/>
      <c r="BA423" s="56"/>
      <c r="BB423" s="10"/>
      <c r="BC423" s="56"/>
      <c r="BD423" s="56"/>
      <c r="BE423" s="56"/>
      <c r="BF423" s="56"/>
      <c r="BN423" s="145"/>
      <c r="CH423" s="145"/>
      <c r="CX423" s="145"/>
    </row>
    <row r="424" spans="1:102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172"/>
      <c r="BA424" s="56"/>
      <c r="BB424" s="10"/>
      <c r="BC424" s="56"/>
      <c r="BD424" s="56"/>
      <c r="BE424" s="56"/>
      <c r="BF424" s="56"/>
      <c r="BN424" s="145"/>
      <c r="CH424" s="145"/>
      <c r="CX424" s="145"/>
    </row>
    <row r="425" spans="1:102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172"/>
      <c r="BA425" s="56"/>
      <c r="BB425" s="10"/>
      <c r="BC425" s="56"/>
      <c r="BD425" s="56"/>
      <c r="BE425" s="56"/>
      <c r="BF425" s="56"/>
      <c r="BN425" s="145"/>
      <c r="CH425" s="145"/>
      <c r="CX425" s="145"/>
    </row>
    <row r="426" spans="1:102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172"/>
      <c r="BA426" s="56"/>
      <c r="BB426" s="10"/>
      <c r="BC426" s="56"/>
      <c r="BD426" s="56"/>
      <c r="BE426" s="56"/>
      <c r="BF426" s="56"/>
      <c r="BN426" s="145"/>
      <c r="CH426" s="145"/>
      <c r="CX426" s="145"/>
    </row>
    <row r="427" spans="1:102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172"/>
      <c r="BA427" s="56"/>
      <c r="BB427" s="10"/>
      <c r="BC427" s="56"/>
      <c r="BD427" s="56"/>
      <c r="BE427" s="56"/>
      <c r="BF427" s="56"/>
      <c r="BN427" s="145"/>
      <c r="CH427" s="145"/>
      <c r="CX427" s="145"/>
    </row>
    <row r="428" spans="1:102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172"/>
      <c r="BA428" s="56"/>
      <c r="BB428" s="10"/>
      <c r="BC428" s="56"/>
      <c r="BD428" s="56"/>
      <c r="BE428" s="56"/>
      <c r="BF428" s="56"/>
      <c r="BN428" s="145"/>
      <c r="CH428" s="145"/>
      <c r="CX428" s="145"/>
    </row>
    <row r="429" spans="1:102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172"/>
      <c r="BA429" s="56"/>
      <c r="BB429" s="10"/>
      <c r="BC429" s="56"/>
      <c r="BD429" s="56"/>
      <c r="BE429" s="56"/>
      <c r="BF429" s="56"/>
      <c r="BN429" s="145"/>
      <c r="CH429" s="145"/>
      <c r="CX429" s="145"/>
    </row>
    <row r="430" spans="1:102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172"/>
      <c r="BA430" s="56"/>
      <c r="BB430" s="10"/>
      <c r="BC430" s="56"/>
      <c r="BD430" s="56"/>
      <c r="BE430" s="56"/>
      <c r="BF430" s="56"/>
      <c r="BN430" s="145"/>
      <c r="CH430" s="145"/>
      <c r="CX430" s="145"/>
    </row>
    <row r="431" spans="1:102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172"/>
      <c r="BA431" s="56"/>
      <c r="BB431" s="10"/>
      <c r="BC431" s="56"/>
      <c r="BD431" s="56"/>
      <c r="BE431" s="56"/>
      <c r="BF431" s="56"/>
      <c r="BN431" s="145"/>
      <c r="CH431" s="145"/>
      <c r="CX431" s="145"/>
    </row>
    <row r="432" spans="1:102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172"/>
      <c r="BA432" s="56"/>
      <c r="BB432" s="10"/>
      <c r="BC432" s="56"/>
      <c r="BD432" s="56"/>
      <c r="BE432" s="56"/>
      <c r="BF432" s="56"/>
      <c r="BN432" s="145"/>
      <c r="CH432" s="145"/>
      <c r="CX432" s="145"/>
    </row>
    <row r="433" spans="1:102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172"/>
      <c r="BA433" s="56"/>
      <c r="BB433" s="10"/>
      <c r="BC433" s="56"/>
      <c r="BD433" s="56"/>
      <c r="BE433" s="56"/>
      <c r="BF433" s="56"/>
      <c r="BN433" s="145"/>
      <c r="CH433" s="145"/>
      <c r="CX433" s="145"/>
    </row>
    <row r="434" spans="1:102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172"/>
      <c r="BA434" s="56"/>
      <c r="BB434" s="10"/>
      <c r="BC434" s="56"/>
      <c r="BD434" s="56"/>
      <c r="BE434" s="56"/>
      <c r="BF434" s="56"/>
      <c r="BN434" s="145"/>
      <c r="CH434" s="145"/>
      <c r="CX434" s="145"/>
    </row>
    <row r="435" spans="1:102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172"/>
      <c r="BA435" s="56"/>
      <c r="BB435" s="10"/>
      <c r="BC435" s="56"/>
      <c r="BD435" s="56"/>
      <c r="BE435" s="56"/>
      <c r="BF435" s="56"/>
      <c r="BN435" s="145"/>
      <c r="CH435" s="145"/>
      <c r="CX435" s="145"/>
    </row>
    <row r="436" spans="1:102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172"/>
      <c r="BA436" s="56"/>
      <c r="BB436" s="10"/>
      <c r="BC436" s="56"/>
      <c r="BD436" s="56"/>
      <c r="BE436" s="56"/>
      <c r="BF436" s="56"/>
      <c r="BN436" s="145"/>
      <c r="CH436" s="145"/>
      <c r="CX436" s="145"/>
    </row>
    <row r="437" spans="1:102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172"/>
      <c r="BA437" s="56"/>
      <c r="BB437" s="10"/>
      <c r="BC437" s="56"/>
      <c r="BD437" s="56"/>
      <c r="BE437" s="56"/>
      <c r="BF437" s="56"/>
      <c r="BN437" s="145"/>
      <c r="CH437" s="145"/>
      <c r="CX437" s="145"/>
    </row>
    <row r="438" spans="1:102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172"/>
      <c r="BA438" s="56"/>
      <c r="BB438" s="10"/>
      <c r="BC438" s="56"/>
      <c r="BD438" s="56"/>
      <c r="BE438" s="56"/>
      <c r="BF438" s="56"/>
      <c r="BN438" s="145"/>
      <c r="CH438" s="145"/>
      <c r="CX438" s="145"/>
    </row>
    <row r="439" spans="1:102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172"/>
      <c r="BA439" s="56"/>
      <c r="BB439" s="10"/>
      <c r="BC439" s="56"/>
      <c r="BD439" s="56"/>
      <c r="BE439" s="56"/>
      <c r="BF439" s="56"/>
      <c r="BN439" s="145"/>
      <c r="CH439" s="145"/>
      <c r="CX439" s="145"/>
    </row>
    <row r="440" spans="1:102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172"/>
      <c r="BA440" s="56"/>
      <c r="BB440" s="10"/>
      <c r="BC440" s="56"/>
      <c r="BD440" s="56"/>
      <c r="BE440" s="56"/>
      <c r="BF440" s="56"/>
      <c r="BN440" s="145"/>
      <c r="CH440" s="145"/>
      <c r="CX440" s="145"/>
    </row>
    <row r="441" spans="1:102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172"/>
      <c r="BA441" s="56"/>
      <c r="BB441" s="10"/>
      <c r="BC441" s="56"/>
      <c r="BD441" s="56"/>
      <c r="BE441" s="56"/>
      <c r="BF441" s="56"/>
      <c r="BN441" s="145"/>
      <c r="CH441" s="145"/>
      <c r="CX441" s="145"/>
    </row>
    <row r="442" spans="1:102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172"/>
      <c r="BA442" s="56"/>
      <c r="BB442" s="10"/>
      <c r="BC442" s="56"/>
      <c r="BD442" s="56"/>
      <c r="BE442" s="56"/>
      <c r="BF442" s="56"/>
      <c r="BN442" s="145"/>
      <c r="CH442" s="145"/>
      <c r="CX442" s="145"/>
    </row>
    <row r="443" spans="1:102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172"/>
      <c r="BA443" s="56"/>
      <c r="BB443" s="10"/>
      <c r="BC443" s="56"/>
      <c r="BD443" s="56"/>
      <c r="BE443" s="56"/>
      <c r="BF443" s="56"/>
      <c r="BN443" s="145"/>
      <c r="CH443" s="145"/>
      <c r="CX443" s="145"/>
    </row>
    <row r="444" spans="1:102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172"/>
      <c r="BA444" s="56"/>
      <c r="BB444" s="10"/>
      <c r="BC444" s="56"/>
      <c r="BD444" s="56"/>
      <c r="BE444" s="56"/>
      <c r="BF444" s="56"/>
      <c r="BN444" s="145"/>
      <c r="CH444" s="145"/>
      <c r="CX444" s="145"/>
    </row>
    <row r="445" spans="1:102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172"/>
      <c r="BA445" s="56"/>
      <c r="BB445" s="10"/>
      <c r="BC445" s="56"/>
      <c r="BD445" s="56"/>
      <c r="BE445" s="56"/>
      <c r="BF445" s="56"/>
      <c r="BN445" s="145"/>
      <c r="CH445" s="145"/>
      <c r="CX445" s="145"/>
    </row>
    <row r="446" spans="1:102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172"/>
      <c r="BA446" s="56"/>
      <c r="BB446" s="10"/>
      <c r="BC446" s="56"/>
      <c r="BD446" s="56"/>
      <c r="BE446" s="56"/>
      <c r="BF446" s="56"/>
      <c r="BN446" s="145"/>
      <c r="CH446" s="145"/>
      <c r="CX446" s="145"/>
    </row>
    <row r="447" spans="1:102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172"/>
      <c r="BA447" s="56"/>
      <c r="BB447" s="10"/>
      <c r="BC447" s="56"/>
      <c r="BD447" s="56"/>
      <c r="BE447" s="56"/>
      <c r="BF447" s="56"/>
      <c r="BN447" s="145"/>
      <c r="CH447" s="145"/>
      <c r="CX447" s="145"/>
    </row>
    <row r="448" spans="1:102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172"/>
      <c r="BA448" s="56"/>
      <c r="BB448" s="10"/>
      <c r="BC448" s="56"/>
      <c r="BD448" s="56"/>
      <c r="BE448" s="56"/>
      <c r="BF448" s="56"/>
      <c r="BN448" s="145"/>
      <c r="CH448" s="145"/>
      <c r="CX448" s="145"/>
    </row>
    <row r="449" spans="1:102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172"/>
      <c r="BA449" s="56"/>
      <c r="BB449" s="10"/>
      <c r="BC449" s="56"/>
      <c r="BD449" s="56"/>
      <c r="BE449" s="56"/>
      <c r="BF449" s="56"/>
      <c r="BN449" s="145"/>
      <c r="CH449" s="145"/>
      <c r="CX449" s="145"/>
    </row>
    <row r="450" spans="1:102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172"/>
      <c r="BA450" s="56"/>
      <c r="BB450" s="10"/>
      <c r="BC450" s="56"/>
      <c r="BD450" s="56"/>
      <c r="BE450" s="56"/>
      <c r="BF450" s="56"/>
      <c r="BN450" s="145"/>
      <c r="CH450" s="145"/>
      <c r="CX450" s="145"/>
    </row>
    <row r="451" spans="1:102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172"/>
      <c r="BA451" s="56"/>
      <c r="BB451" s="10"/>
      <c r="BC451" s="56"/>
      <c r="BD451" s="56"/>
      <c r="BE451" s="56"/>
      <c r="BF451" s="56"/>
      <c r="BN451" s="145"/>
      <c r="CH451" s="145"/>
      <c r="CX451" s="145"/>
    </row>
    <row r="452" spans="1:102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172"/>
      <c r="BA452" s="56"/>
      <c r="BB452" s="10"/>
      <c r="BC452" s="56"/>
      <c r="BD452" s="56"/>
      <c r="BE452" s="56"/>
      <c r="BF452" s="56"/>
      <c r="BN452" s="145"/>
      <c r="CH452" s="145"/>
      <c r="CX452" s="145"/>
    </row>
    <row r="453" spans="1:102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172"/>
      <c r="BA453" s="56"/>
      <c r="BB453" s="10"/>
      <c r="BC453" s="56"/>
      <c r="BD453" s="56"/>
      <c r="BE453" s="56"/>
      <c r="BF453" s="56"/>
      <c r="BN453" s="145"/>
      <c r="CH453" s="145"/>
      <c r="CX453" s="145"/>
    </row>
    <row r="454" spans="1:102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172"/>
      <c r="BA454" s="56"/>
      <c r="BB454" s="10"/>
      <c r="BC454" s="56"/>
      <c r="BD454" s="56"/>
      <c r="BE454" s="56"/>
      <c r="BF454" s="56"/>
      <c r="BN454" s="145"/>
      <c r="CH454" s="145"/>
      <c r="CX454" s="145"/>
    </row>
    <row r="455" spans="1:102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172"/>
      <c r="BA455" s="56"/>
      <c r="BB455" s="10"/>
      <c r="BC455" s="56"/>
      <c r="BD455" s="56"/>
      <c r="BE455" s="56"/>
      <c r="BF455" s="56"/>
      <c r="BN455" s="145"/>
      <c r="CH455" s="145"/>
      <c r="CX455" s="145"/>
    </row>
    <row r="456" spans="1:102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172"/>
      <c r="BA456" s="56"/>
      <c r="BB456" s="10"/>
      <c r="BC456" s="56"/>
      <c r="BD456" s="56"/>
      <c r="BE456" s="56"/>
      <c r="BF456" s="56"/>
      <c r="BN456" s="145"/>
      <c r="CH456" s="145"/>
      <c r="CX456" s="145"/>
    </row>
    <row r="457" spans="1:102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172"/>
      <c r="BA457" s="56"/>
      <c r="BB457" s="10"/>
      <c r="BC457" s="56"/>
      <c r="BD457" s="56"/>
      <c r="BE457" s="56"/>
      <c r="BF457" s="56"/>
      <c r="BN457" s="145"/>
      <c r="CH457" s="145"/>
      <c r="CX457" s="145"/>
    </row>
    <row r="458" spans="1:102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172"/>
      <c r="BA458" s="56"/>
      <c r="BB458" s="10"/>
      <c r="BC458" s="56"/>
      <c r="BD458" s="56"/>
      <c r="BE458" s="56"/>
      <c r="BF458" s="56"/>
      <c r="BN458" s="145"/>
      <c r="CH458" s="145"/>
      <c r="CX458" s="145"/>
    </row>
    <row r="459" spans="1:102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172"/>
      <c r="BA459" s="56"/>
      <c r="BB459" s="10"/>
      <c r="BC459" s="56"/>
      <c r="BD459" s="56"/>
      <c r="BE459" s="56"/>
      <c r="BF459" s="56"/>
      <c r="BN459" s="145"/>
      <c r="CH459" s="145"/>
      <c r="CX459" s="145"/>
    </row>
    <row r="460" spans="1:102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172"/>
      <c r="BA460" s="56"/>
      <c r="BB460" s="10"/>
      <c r="BC460" s="56"/>
      <c r="BD460" s="56"/>
      <c r="BE460" s="56"/>
      <c r="BF460" s="56"/>
      <c r="BN460" s="145"/>
      <c r="CH460" s="145"/>
      <c r="CX460" s="145"/>
    </row>
    <row r="461" spans="1:102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172"/>
      <c r="BA461" s="56"/>
      <c r="BB461" s="10"/>
      <c r="BC461" s="56"/>
      <c r="BD461" s="56"/>
      <c r="BE461" s="56"/>
      <c r="BF461" s="56"/>
      <c r="BN461" s="145"/>
      <c r="CH461" s="145"/>
      <c r="CX461" s="145"/>
    </row>
    <row r="462" spans="1:102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172"/>
      <c r="BA462" s="56"/>
      <c r="BB462" s="10"/>
      <c r="BC462" s="56"/>
      <c r="BD462" s="56"/>
      <c r="BE462" s="56"/>
      <c r="BF462" s="56"/>
      <c r="BN462" s="145"/>
      <c r="CH462" s="145"/>
      <c r="CX462" s="145"/>
    </row>
    <row r="463" spans="1:102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172"/>
      <c r="BA463" s="56"/>
      <c r="BB463" s="10"/>
      <c r="BC463" s="56"/>
      <c r="BD463" s="56"/>
      <c r="BE463" s="56"/>
      <c r="BF463" s="56"/>
      <c r="BN463" s="145"/>
      <c r="CH463" s="145"/>
      <c r="CX463" s="145"/>
    </row>
    <row r="464" spans="1:102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172"/>
      <c r="BA464" s="56"/>
      <c r="BB464" s="10"/>
      <c r="BC464" s="56"/>
      <c r="BD464" s="56"/>
      <c r="BE464" s="56"/>
      <c r="BF464" s="56"/>
      <c r="BN464" s="145"/>
      <c r="CH464" s="145"/>
      <c r="CX464" s="145"/>
    </row>
    <row r="465" spans="1:102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172"/>
      <c r="BA465" s="56"/>
      <c r="BB465" s="10"/>
      <c r="BC465" s="56"/>
      <c r="BD465" s="56"/>
      <c r="BE465" s="56"/>
      <c r="BF465" s="56"/>
      <c r="BN465" s="145"/>
      <c r="CH465" s="145"/>
      <c r="CX465" s="145"/>
    </row>
    <row r="466" spans="1:102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172"/>
      <c r="BA466" s="56"/>
      <c r="BB466" s="10"/>
      <c r="BC466" s="56"/>
      <c r="BD466" s="56"/>
      <c r="BE466" s="56"/>
      <c r="BF466" s="56"/>
      <c r="BN466" s="145"/>
      <c r="CH466" s="145"/>
      <c r="CX466" s="145"/>
    </row>
    <row r="467" spans="1:102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172"/>
      <c r="BA467" s="56"/>
      <c r="BB467" s="10"/>
      <c r="BC467" s="56"/>
      <c r="BD467" s="56"/>
      <c r="BE467" s="56"/>
      <c r="BF467" s="56"/>
      <c r="BN467" s="145"/>
      <c r="CH467" s="145"/>
      <c r="CX467" s="145"/>
    </row>
    <row r="468" spans="1:102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172"/>
      <c r="BA468" s="56"/>
      <c r="BB468" s="10"/>
      <c r="BC468" s="56"/>
      <c r="BD468" s="56"/>
      <c r="BE468" s="56"/>
      <c r="BF468" s="56"/>
      <c r="BN468" s="145"/>
      <c r="CH468" s="145"/>
      <c r="CX468" s="145"/>
    </row>
    <row r="469" spans="1:102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172"/>
      <c r="BA469" s="56"/>
      <c r="BB469" s="10"/>
      <c r="BC469" s="56"/>
      <c r="BD469" s="56"/>
      <c r="BE469" s="56"/>
      <c r="BF469" s="56"/>
      <c r="BN469" s="145"/>
      <c r="CH469" s="145"/>
      <c r="CX469" s="145"/>
    </row>
    <row r="470" spans="1:102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172"/>
      <c r="BA470" s="56"/>
      <c r="BB470" s="10"/>
      <c r="BC470" s="56"/>
      <c r="BD470" s="56"/>
      <c r="BE470" s="56"/>
      <c r="BF470" s="56"/>
      <c r="BN470" s="145"/>
      <c r="CH470" s="145"/>
      <c r="CX470" s="145"/>
    </row>
    <row r="471" spans="1:102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172"/>
      <c r="BA471" s="56"/>
      <c r="BB471" s="10"/>
      <c r="BC471" s="56"/>
      <c r="BD471" s="56"/>
      <c r="BE471" s="56"/>
      <c r="BF471" s="56"/>
      <c r="BN471" s="145"/>
      <c r="CH471" s="145"/>
      <c r="CX471" s="145"/>
    </row>
    <row r="472" spans="1:102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172"/>
      <c r="BA472" s="56"/>
      <c r="BB472" s="10"/>
      <c r="BC472" s="56"/>
      <c r="BD472" s="56"/>
      <c r="BE472" s="56"/>
      <c r="BF472" s="56"/>
      <c r="BN472" s="145"/>
      <c r="CH472" s="145"/>
      <c r="CX472" s="145"/>
    </row>
    <row r="473" spans="1:102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172"/>
      <c r="BA473" s="56"/>
      <c r="BB473" s="10"/>
      <c r="BC473" s="56"/>
      <c r="BD473" s="56"/>
      <c r="BE473" s="56"/>
      <c r="BF473" s="56"/>
      <c r="BN473" s="145"/>
      <c r="CH473" s="145"/>
      <c r="CX473" s="145"/>
    </row>
    <row r="474" spans="1:102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172"/>
      <c r="BA474" s="56"/>
      <c r="BB474" s="10"/>
      <c r="BC474" s="56"/>
      <c r="BD474" s="56"/>
      <c r="BE474" s="56"/>
      <c r="BF474" s="56"/>
      <c r="BN474" s="145"/>
      <c r="CH474" s="145"/>
      <c r="CX474" s="145"/>
    </row>
    <row r="475" spans="1:102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172"/>
      <c r="BA475" s="56"/>
      <c r="BB475" s="10"/>
      <c r="BC475" s="56"/>
      <c r="BD475" s="56"/>
      <c r="BE475" s="56"/>
      <c r="BF475" s="56"/>
      <c r="BN475" s="145"/>
      <c r="CH475" s="145"/>
      <c r="CX475" s="145"/>
    </row>
    <row r="476" spans="1:102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172"/>
      <c r="BA476" s="56"/>
      <c r="BB476" s="10"/>
      <c r="BC476" s="56"/>
      <c r="BD476" s="56"/>
      <c r="BE476" s="56"/>
      <c r="BF476" s="56"/>
      <c r="BN476" s="145"/>
      <c r="CH476" s="145"/>
      <c r="CX476" s="145"/>
    </row>
    <row r="477" spans="1:102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172"/>
      <c r="BA477" s="56"/>
      <c r="BB477" s="10"/>
      <c r="BC477" s="56"/>
      <c r="BD477" s="56"/>
      <c r="BE477" s="56"/>
      <c r="BF477" s="56"/>
      <c r="BN477" s="145"/>
      <c r="CH477" s="145"/>
      <c r="CX477" s="145"/>
    </row>
    <row r="478" spans="1:102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172"/>
      <c r="BA478" s="56"/>
      <c r="BB478" s="10"/>
      <c r="BC478" s="56"/>
      <c r="BD478" s="56"/>
      <c r="BE478" s="56"/>
      <c r="BF478" s="56"/>
      <c r="BN478" s="145"/>
      <c r="CH478" s="145"/>
      <c r="CX478" s="145"/>
    </row>
    <row r="479" spans="1:102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172"/>
      <c r="BA479" s="56"/>
      <c r="BB479" s="10"/>
      <c r="BC479" s="56"/>
      <c r="BD479" s="56"/>
      <c r="BE479" s="56"/>
      <c r="BF479" s="56"/>
      <c r="BN479" s="145"/>
      <c r="CH479" s="145"/>
      <c r="CX479" s="145"/>
    </row>
    <row r="480" spans="1:102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172"/>
      <c r="BA480" s="56"/>
      <c r="BB480" s="10"/>
      <c r="BC480" s="56"/>
      <c r="BD480" s="56"/>
      <c r="BE480" s="56"/>
      <c r="BF480" s="56"/>
      <c r="BN480" s="145"/>
      <c r="CH480" s="145"/>
      <c r="CX480" s="145"/>
    </row>
    <row r="481" spans="1:102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172"/>
      <c r="BA481" s="56"/>
      <c r="BB481" s="10"/>
      <c r="BC481" s="56"/>
      <c r="BD481" s="56"/>
      <c r="BE481" s="56"/>
      <c r="BF481" s="56"/>
      <c r="BN481" s="145"/>
      <c r="CH481" s="145"/>
      <c r="CX481" s="145"/>
    </row>
    <row r="482" spans="1:102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172"/>
      <c r="BA482" s="56"/>
      <c r="BB482" s="10"/>
      <c r="BC482" s="56"/>
      <c r="BD482" s="56"/>
      <c r="BE482" s="56"/>
      <c r="BF482" s="56"/>
      <c r="BN482" s="145"/>
      <c r="CH482" s="145"/>
      <c r="CX482" s="145"/>
    </row>
    <row r="483" spans="1:102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172"/>
      <c r="BA483" s="56"/>
      <c r="BB483" s="10"/>
      <c r="BC483" s="56"/>
      <c r="BD483" s="56"/>
      <c r="BE483" s="56"/>
      <c r="BF483" s="56"/>
      <c r="BN483" s="145"/>
      <c r="CH483" s="145"/>
      <c r="CX483" s="145"/>
    </row>
    <row r="484" spans="1:102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172"/>
      <c r="BA484" s="56"/>
      <c r="BB484" s="10"/>
      <c r="BC484" s="56"/>
      <c r="BD484" s="56"/>
      <c r="BE484" s="56"/>
      <c r="BF484" s="56"/>
      <c r="BN484" s="145"/>
      <c r="CH484" s="145"/>
      <c r="CX484" s="145"/>
    </row>
    <row r="485" spans="1:102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172"/>
      <c r="BA485" s="56"/>
      <c r="BB485" s="10"/>
      <c r="BC485" s="56"/>
      <c r="BD485" s="56"/>
      <c r="BE485" s="56"/>
      <c r="BF485" s="56"/>
      <c r="BN485" s="145"/>
      <c r="CH485" s="145"/>
      <c r="CX485" s="145"/>
    </row>
    <row r="486" spans="1:102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172"/>
      <c r="BA486" s="56"/>
      <c r="BB486" s="10"/>
      <c r="BC486" s="56"/>
      <c r="BD486" s="56"/>
      <c r="BE486" s="56"/>
      <c r="BF486" s="56"/>
      <c r="BN486" s="145"/>
      <c r="CH486" s="145"/>
      <c r="CX486" s="145"/>
    </row>
    <row r="487" spans="1:102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172"/>
      <c r="BA487" s="56"/>
      <c r="BB487" s="10"/>
      <c r="BC487" s="56"/>
      <c r="BD487" s="56"/>
      <c r="BE487" s="56"/>
      <c r="BF487" s="56"/>
      <c r="BN487" s="145"/>
      <c r="CH487" s="145"/>
      <c r="CX487" s="145"/>
    </row>
    <row r="488" spans="1:102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172"/>
      <c r="BA488" s="56"/>
      <c r="BB488" s="10"/>
      <c r="BC488" s="56"/>
      <c r="BD488" s="56"/>
      <c r="BE488" s="56"/>
      <c r="BF488" s="56"/>
      <c r="BN488" s="145"/>
      <c r="CH488" s="145"/>
      <c r="CX488" s="145"/>
    </row>
    <row r="489" spans="1:102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172"/>
      <c r="BA489" s="56"/>
      <c r="BB489" s="10"/>
      <c r="BC489" s="56"/>
      <c r="BD489" s="56"/>
      <c r="BE489" s="56"/>
      <c r="BF489" s="56"/>
      <c r="BN489" s="145"/>
      <c r="CH489" s="145"/>
      <c r="CX489" s="145"/>
    </row>
    <row r="490" spans="1:102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172"/>
      <c r="BA490" s="56"/>
      <c r="BB490" s="10"/>
      <c r="BC490" s="56"/>
      <c r="BD490" s="56"/>
      <c r="BE490" s="56"/>
      <c r="BF490" s="56"/>
      <c r="BN490" s="145"/>
      <c r="CH490" s="145"/>
      <c r="CX490" s="145"/>
    </row>
    <row r="491" spans="1:102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172"/>
      <c r="BA491" s="56"/>
      <c r="BB491" s="10"/>
      <c r="BC491" s="56"/>
      <c r="BD491" s="56"/>
      <c r="BE491" s="56"/>
      <c r="BF491" s="56"/>
      <c r="BN491" s="145"/>
      <c r="CH491" s="145"/>
      <c r="CX491" s="145"/>
    </row>
    <row r="492" spans="1:102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172"/>
      <c r="BA492" s="56"/>
      <c r="BB492" s="10"/>
      <c r="BC492" s="56"/>
      <c r="BD492" s="56"/>
      <c r="BE492" s="56"/>
      <c r="BF492" s="56"/>
      <c r="BN492" s="145"/>
      <c r="CH492" s="145"/>
      <c r="CX492" s="145"/>
    </row>
    <row r="493" spans="1:102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172"/>
      <c r="BA493" s="56"/>
      <c r="BB493" s="10"/>
      <c r="BC493" s="56"/>
      <c r="BD493" s="56"/>
      <c r="BE493" s="56"/>
      <c r="BF493" s="56"/>
      <c r="BN493" s="145"/>
      <c r="CH493" s="145"/>
      <c r="CX493" s="145"/>
    </row>
    <row r="494" spans="1:102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172"/>
      <c r="BA494" s="56"/>
      <c r="BB494" s="10"/>
      <c r="BC494" s="56"/>
      <c r="BD494" s="56"/>
      <c r="BE494" s="56"/>
      <c r="BF494" s="56"/>
      <c r="BN494" s="145"/>
      <c r="CH494" s="145"/>
      <c r="CX494" s="145"/>
    </row>
    <row r="495" spans="1:102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172"/>
      <c r="BA495" s="56"/>
      <c r="BB495" s="10"/>
      <c r="BC495" s="56"/>
      <c r="BD495" s="56"/>
      <c r="BE495" s="56"/>
      <c r="BF495" s="56"/>
      <c r="BN495" s="145"/>
      <c r="CH495" s="145"/>
      <c r="CX495" s="145"/>
    </row>
    <row r="496" spans="1:102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172"/>
      <c r="BA496" s="56"/>
      <c r="BB496" s="10"/>
      <c r="BC496" s="56"/>
      <c r="BD496" s="56"/>
      <c r="BE496" s="56"/>
      <c r="BF496" s="56"/>
      <c r="BN496" s="145"/>
      <c r="CH496" s="145"/>
      <c r="CX496" s="145"/>
    </row>
    <row r="497" spans="1:102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172"/>
      <c r="BA497" s="56"/>
      <c r="BB497" s="10"/>
      <c r="BC497" s="56"/>
      <c r="BD497" s="56"/>
      <c r="BE497" s="56"/>
      <c r="BF497" s="56"/>
      <c r="BN497" s="145"/>
      <c r="CH497" s="145"/>
      <c r="CX497" s="145"/>
    </row>
    <row r="498" spans="1:102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172"/>
      <c r="BA498" s="56"/>
      <c r="BB498" s="10"/>
      <c r="BC498" s="56"/>
      <c r="BD498" s="56"/>
      <c r="BE498" s="56"/>
      <c r="BF498" s="56"/>
      <c r="BN498" s="145"/>
      <c r="CH498" s="145"/>
      <c r="CX498" s="145"/>
    </row>
    <row r="499" spans="1:102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172"/>
      <c r="BA499" s="56"/>
      <c r="BB499" s="10"/>
      <c r="BC499" s="56"/>
      <c r="BD499" s="56"/>
      <c r="BE499" s="56"/>
      <c r="BF499" s="56"/>
      <c r="BN499" s="145"/>
      <c r="CH499" s="145"/>
      <c r="CX499" s="145"/>
    </row>
    <row r="500" spans="1:102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172"/>
      <c r="BA500" s="56"/>
      <c r="BB500" s="10"/>
      <c r="BC500" s="56"/>
      <c r="BD500" s="56"/>
      <c r="BE500" s="56"/>
      <c r="BF500" s="56"/>
      <c r="BN500" s="145"/>
      <c r="CH500" s="145"/>
      <c r="CX500" s="145"/>
    </row>
    <row r="501" spans="1:102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172"/>
      <c r="BA501" s="56"/>
      <c r="BB501" s="10"/>
      <c r="BC501" s="56"/>
      <c r="BD501" s="56"/>
      <c r="BE501" s="56"/>
      <c r="BF501" s="56"/>
      <c r="BN501" s="145"/>
      <c r="CH501" s="145"/>
      <c r="CX501" s="145"/>
    </row>
    <row r="502" spans="1:102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172"/>
      <c r="BA502" s="56"/>
      <c r="BB502" s="10"/>
      <c r="BC502" s="56"/>
      <c r="BD502" s="56"/>
      <c r="BE502" s="56"/>
      <c r="BF502" s="56"/>
      <c r="BN502" s="145"/>
      <c r="CH502" s="145"/>
      <c r="CX502" s="145"/>
    </row>
    <row r="503" spans="1:102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172"/>
      <c r="BA503" s="56"/>
      <c r="BB503" s="10"/>
      <c r="BC503" s="56"/>
      <c r="BD503" s="56"/>
      <c r="BE503" s="56"/>
      <c r="BF503" s="56"/>
      <c r="BN503" s="145"/>
      <c r="CH503" s="145"/>
      <c r="CX503" s="145"/>
    </row>
    <row r="504" spans="1:102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172"/>
      <c r="BA504" s="56"/>
      <c r="BB504" s="10"/>
      <c r="BC504" s="56"/>
      <c r="BD504" s="56"/>
      <c r="BE504" s="56"/>
      <c r="BF504" s="56"/>
      <c r="BN504" s="145"/>
      <c r="CH504" s="145"/>
      <c r="CX504" s="145"/>
    </row>
    <row r="505" spans="1:102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172"/>
      <c r="BA505" s="56"/>
      <c r="BB505" s="10"/>
      <c r="BC505" s="56"/>
      <c r="BD505" s="56"/>
      <c r="BE505" s="56"/>
      <c r="BF505" s="56"/>
      <c r="BN505" s="145"/>
      <c r="CH505" s="145"/>
      <c r="CX505" s="145"/>
    </row>
    <row r="506" spans="1:102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172"/>
      <c r="BA506" s="56"/>
      <c r="BB506" s="10"/>
      <c r="BC506" s="56"/>
      <c r="BD506" s="56"/>
      <c r="BE506" s="56"/>
      <c r="BF506" s="56"/>
      <c r="BN506" s="145"/>
      <c r="CH506" s="145"/>
      <c r="CX506" s="145"/>
    </row>
    <row r="507" spans="1:102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172"/>
      <c r="BA507" s="56"/>
      <c r="BB507" s="10"/>
      <c r="BC507" s="56"/>
      <c r="BD507" s="56"/>
      <c r="BE507" s="56"/>
      <c r="BF507" s="56"/>
      <c r="BN507" s="145"/>
      <c r="CH507" s="145"/>
      <c r="CX507" s="145"/>
    </row>
    <row r="508" spans="1:102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172"/>
      <c r="BA508" s="56"/>
      <c r="BB508" s="10"/>
      <c r="BC508" s="56"/>
      <c r="BD508" s="56"/>
      <c r="BE508" s="56"/>
      <c r="BF508" s="56"/>
      <c r="BN508" s="145"/>
      <c r="CH508" s="145"/>
      <c r="CX508" s="145"/>
    </row>
    <row r="509" spans="1:102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172"/>
      <c r="BA509" s="56"/>
      <c r="BB509" s="10"/>
      <c r="BC509" s="56"/>
      <c r="BD509" s="56"/>
      <c r="BE509" s="56"/>
      <c r="BF509" s="56"/>
      <c r="BN509" s="145"/>
      <c r="CH509" s="145"/>
      <c r="CX509" s="145"/>
    </row>
    <row r="510" spans="1:102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172"/>
      <c r="BA510" s="56"/>
      <c r="BB510" s="10"/>
      <c r="BC510" s="56"/>
      <c r="BD510" s="56"/>
      <c r="BE510" s="56"/>
      <c r="BF510" s="56"/>
      <c r="BN510" s="145"/>
      <c r="CH510" s="145"/>
      <c r="CX510" s="145"/>
    </row>
    <row r="511" spans="1:102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172"/>
      <c r="BA511" s="56"/>
      <c r="BB511" s="10"/>
      <c r="BC511" s="56"/>
      <c r="BD511" s="56"/>
      <c r="BE511" s="56"/>
      <c r="BF511" s="56"/>
      <c r="BN511" s="145"/>
      <c r="CH511" s="145"/>
      <c r="CX511" s="145"/>
    </row>
    <row r="512" spans="1:102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172"/>
      <c r="BA512" s="56"/>
      <c r="BB512" s="10"/>
      <c r="BC512" s="56"/>
      <c r="BD512" s="56"/>
      <c r="BE512" s="56"/>
      <c r="BF512" s="56"/>
      <c r="BN512" s="145"/>
      <c r="CH512" s="145"/>
      <c r="CX512" s="145"/>
    </row>
    <row r="513" spans="1:102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172"/>
      <c r="BA513" s="56"/>
      <c r="BB513" s="10"/>
      <c r="BC513" s="56"/>
      <c r="BD513" s="56"/>
      <c r="BE513" s="56"/>
      <c r="BF513" s="56"/>
      <c r="BN513" s="145"/>
      <c r="CH513" s="145"/>
      <c r="CX513" s="145"/>
    </row>
    <row r="514" spans="1:102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172"/>
      <c r="BA514" s="56"/>
      <c r="BB514" s="10"/>
      <c r="BC514" s="56"/>
      <c r="BD514" s="56"/>
      <c r="BE514" s="56"/>
      <c r="BF514" s="56"/>
      <c r="BN514" s="145"/>
      <c r="CH514" s="145"/>
      <c r="CX514" s="145"/>
    </row>
    <row r="515" spans="1:102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172"/>
      <c r="BA515" s="56"/>
      <c r="BB515" s="10"/>
      <c r="BC515" s="56"/>
      <c r="BD515" s="56"/>
      <c r="BE515" s="56"/>
      <c r="BF515" s="56"/>
      <c r="BN515" s="145"/>
      <c r="CH515" s="145"/>
      <c r="CX515" s="145"/>
    </row>
    <row r="516" spans="1:102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172"/>
      <c r="BA516" s="56"/>
      <c r="BB516" s="10"/>
      <c r="BC516" s="56"/>
      <c r="BD516" s="56"/>
      <c r="BE516" s="56"/>
      <c r="BF516" s="56"/>
      <c r="BN516" s="145"/>
      <c r="CH516" s="145"/>
      <c r="CX516" s="145"/>
    </row>
    <row r="517" spans="1:102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172"/>
      <c r="BA517" s="56"/>
      <c r="BB517" s="10"/>
      <c r="BC517" s="56"/>
      <c r="BD517" s="56"/>
      <c r="BE517" s="56"/>
      <c r="BF517" s="56"/>
      <c r="BN517" s="145"/>
      <c r="CH517" s="145"/>
      <c r="CX517" s="145"/>
    </row>
    <row r="518" spans="1:102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172"/>
      <c r="BA518" s="56"/>
      <c r="BB518" s="10"/>
      <c r="BC518" s="56"/>
      <c r="BD518" s="56"/>
      <c r="BE518" s="56"/>
      <c r="BF518" s="56"/>
      <c r="BN518" s="145"/>
      <c r="CH518" s="145"/>
      <c r="CX518" s="145"/>
    </row>
    <row r="519" spans="1:102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172"/>
      <c r="BA519" s="56"/>
      <c r="BB519" s="10"/>
      <c r="BC519" s="56"/>
      <c r="BD519" s="56"/>
      <c r="BE519" s="56"/>
      <c r="BF519" s="56"/>
      <c r="BN519" s="145"/>
      <c r="CH519" s="145"/>
      <c r="CX519" s="145"/>
    </row>
    <row r="520" spans="1:102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172"/>
      <c r="BA520" s="56"/>
      <c r="BB520" s="10"/>
      <c r="BC520" s="56"/>
      <c r="BD520" s="56"/>
      <c r="BE520" s="56"/>
      <c r="BF520" s="56"/>
      <c r="BN520" s="145"/>
      <c r="CH520" s="145"/>
      <c r="CX520" s="145"/>
    </row>
    <row r="521" spans="1:102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172"/>
      <c r="BA521" s="56"/>
      <c r="BB521" s="10"/>
      <c r="BC521" s="56"/>
      <c r="BD521" s="56"/>
      <c r="BE521" s="56"/>
      <c r="BF521" s="56"/>
      <c r="BN521" s="145"/>
      <c r="CH521" s="145"/>
      <c r="CX521" s="145"/>
    </row>
    <row r="522" spans="1:102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172"/>
      <c r="BA522" s="56"/>
      <c r="BB522" s="10"/>
      <c r="BC522" s="56"/>
      <c r="BD522" s="56"/>
      <c r="BE522" s="56"/>
      <c r="BF522" s="56"/>
      <c r="BN522" s="145"/>
      <c r="CH522" s="145"/>
      <c r="CX522" s="145"/>
    </row>
    <row r="523" spans="1:102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172"/>
      <c r="BA523" s="56"/>
      <c r="BB523" s="10"/>
      <c r="BC523" s="56"/>
      <c r="BD523" s="56"/>
      <c r="BE523" s="56"/>
      <c r="BF523" s="56"/>
      <c r="BN523" s="145"/>
      <c r="CH523" s="145"/>
      <c r="CX523" s="145"/>
    </row>
    <row r="524" spans="1:102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172"/>
      <c r="BA524" s="56"/>
      <c r="BB524" s="10"/>
      <c r="BC524" s="56"/>
      <c r="BD524" s="56"/>
      <c r="BE524" s="56"/>
      <c r="BF524" s="56"/>
      <c r="BN524" s="145"/>
      <c r="CH524" s="145"/>
      <c r="CX524" s="145"/>
    </row>
    <row r="525" spans="1:102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172"/>
      <c r="BA525" s="56"/>
      <c r="BB525" s="10"/>
      <c r="BC525" s="56"/>
      <c r="BD525" s="56"/>
      <c r="BE525" s="56"/>
      <c r="BF525" s="56"/>
      <c r="BN525" s="145"/>
      <c r="CH525" s="145"/>
      <c r="CX525" s="145"/>
    </row>
    <row r="526" spans="1:102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172"/>
      <c r="BA526" s="56"/>
      <c r="BB526" s="10"/>
      <c r="BC526" s="56"/>
      <c r="BD526" s="56"/>
      <c r="BE526" s="56"/>
      <c r="BF526" s="56"/>
      <c r="BN526" s="145"/>
      <c r="CH526" s="145"/>
      <c r="CX526" s="145"/>
    </row>
    <row r="527" spans="1:102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172"/>
      <c r="BA527" s="56"/>
      <c r="BB527" s="10"/>
      <c r="BC527" s="56"/>
      <c r="BD527" s="56"/>
      <c r="BE527" s="56"/>
      <c r="BF527" s="56"/>
      <c r="BN527" s="145"/>
      <c r="CH527" s="145"/>
      <c r="CX527" s="145"/>
    </row>
    <row r="528" spans="1:102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172"/>
      <c r="BA528" s="56"/>
      <c r="BB528" s="10"/>
      <c r="BC528" s="56"/>
      <c r="BD528" s="56"/>
      <c r="BE528" s="56"/>
      <c r="BF528" s="56"/>
      <c r="BN528" s="145"/>
      <c r="CH528" s="145"/>
      <c r="CX528" s="145"/>
    </row>
    <row r="529" spans="1:102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172"/>
      <c r="BA529" s="56"/>
      <c r="BB529" s="10"/>
      <c r="BC529" s="56"/>
      <c r="BD529" s="56"/>
      <c r="BE529" s="56"/>
      <c r="BF529" s="56"/>
      <c r="BN529" s="145"/>
      <c r="CH529" s="145"/>
      <c r="CX529" s="145"/>
    </row>
    <row r="530" spans="1:102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172"/>
      <c r="BA530" s="56"/>
      <c r="BB530" s="10"/>
      <c r="BC530" s="56"/>
      <c r="BD530" s="56"/>
      <c r="BE530" s="56"/>
      <c r="BF530" s="56"/>
      <c r="BN530" s="145"/>
      <c r="CH530" s="145"/>
      <c r="CX530" s="145"/>
    </row>
    <row r="531" spans="1:102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172"/>
      <c r="BA531" s="56"/>
      <c r="BB531" s="10"/>
      <c r="BC531" s="56"/>
      <c r="BD531" s="56"/>
      <c r="BE531" s="56"/>
      <c r="BF531" s="56"/>
      <c r="BN531" s="145"/>
      <c r="CH531" s="145"/>
      <c r="CX531" s="145"/>
    </row>
    <row r="532" spans="1:102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172"/>
      <c r="BA532" s="56"/>
      <c r="BB532" s="10"/>
      <c r="BC532" s="56"/>
      <c r="BD532" s="56"/>
      <c r="BE532" s="56"/>
      <c r="BF532" s="56"/>
      <c r="BN532" s="145"/>
      <c r="CH532" s="145"/>
      <c r="CX532" s="145"/>
    </row>
    <row r="533" spans="1:102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172"/>
      <c r="BA533" s="56"/>
      <c r="BB533" s="10"/>
      <c r="BC533" s="56"/>
      <c r="BD533" s="56"/>
      <c r="BE533" s="56"/>
      <c r="BF533" s="56"/>
      <c r="BN533" s="145"/>
      <c r="CH533" s="145"/>
      <c r="CX533" s="145"/>
    </row>
    <row r="534" spans="1:102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172"/>
      <c r="BA534" s="56"/>
      <c r="BB534" s="10"/>
      <c r="BC534" s="56"/>
      <c r="BD534" s="56"/>
      <c r="BE534" s="56"/>
      <c r="BF534" s="56"/>
      <c r="BN534" s="145"/>
      <c r="CH534" s="145"/>
      <c r="CX534" s="145"/>
    </row>
    <row r="535" spans="1:102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172"/>
      <c r="BA535" s="56"/>
      <c r="BB535" s="10"/>
      <c r="BC535" s="56"/>
      <c r="BD535" s="56"/>
      <c r="BE535" s="56"/>
      <c r="BF535" s="56"/>
      <c r="BN535" s="145"/>
      <c r="CH535" s="145"/>
      <c r="CX535" s="145"/>
    </row>
    <row r="536" spans="1:102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172"/>
      <c r="BA536" s="56"/>
      <c r="BB536" s="10"/>
      <c r="BC536" s="56"/>
      <c r="BD536" s="56"/>
      <c r="BE536" s="56"/>
      <c r="BF536" s="56"/>
      <c r="BN536" s="145"/>
      <c r="CH536" s="145"/>
      <c r="CX536" s="145"/>
    </row>
    <row r="537" spans="1:102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172"/>
      <c r="BA537" s="56"/>
      <c r="BB537" s="10"/>
      <c r="BC537" s="56"/>
      <c r="BD537" s="56"/>
      <c r="BE537" s="56"/>
      <c r="BF537" s="56"/>
      <c r="BN537" s="145"/>
      <c r="CH537" s="145"/>
      <c r="CX537" s="145"/>
    </row>
    <row r="538" spans="1:102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172"/>
      <c r="BA538" s="56"/>
      <c r="BB538" s="10"/>
      <c r="BC538" s="56"/>
      <c r="BD538" s="56"/>
      <c r="BE538" s="56"/>
      <c r="BF538" s="56"/>
      <c r="BN538" s="145"/>
      <c r="CH538" s="145"/>
      <c r="CX538" s="145"/>
    </row>
    <row r="539" spans="1:102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172"/>
      <c r="BA539" s="56"/>
      <c r="BB539" s="10"/>
      <c r="BC539" s="56"/>
      <c r="BD539" s="56"/>
      <c r="BE539" s="56"/>
      <c r="BF539" s="56"/>
      <c r="BN539" s="145"/>
      <c r="CH539" s="145"/>
      <c r="CX539" s="145"/>
    </row>
    <row r="540" spans="1:102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172"/>
      <c r="BA540" s="56"/>
      <c r="BB540" s="10"/>
      <c r="BC540" s="56"/>
      <c r="BD540" s="56"/>
      <c r="BE540" s="56"/>
      <c r="BF540" s="56"/>
      <c r="BN540" s="145"/>
      <c r="CH540" s="145"/>
      <c r="CX540" s="145"/>
    </row>
    <row r="541" spans="1:102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172"/>
      <c r="BA541" s="56"/>
      <c r="BB541" s="10"/>
      <c r="BC541" s="56"/>
      <c r="BD541" s="56"/>
      <c r="BE541" s="56"/>
      <c r="BF541" s="56"/>
      <c r="BN541" s="145"/>
      <c r="CH541" s="145"/>
      <c r="CX541" s="145"/>
    </row>
    <row r="542" spans="1:102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172"/>
      <c r="BA542" s="56"/>
      <c r="BB542" s="10"/>
      <c r="BC542" s="56"/>
      <c r="BD542" s="56"/>
      <c r="BE542" s="56"/>
      <c r="BF542" s="56"/>
      <c r="BN542" s="145"/>
      <c r="CH542" s="145"/>
      <c r="CX542" s="145"/>
    </row>
    <row r="543" spans="1:102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172"/>
      <c r="BA543" s="56"/>
      <c r="BB543" s="10"/>
      <c r="BC543" s="56"/>
      <c r="BD543" s="56"/>
      <c r="BE543" s="56"/>
      <c r="BF543" s="56"/>
      <c r="BN543" s="145"/>
      <c r="CH543" s="145"/>
      <c r="CX543" s="145"/>
    </row>
    <row r="544" spans="1:102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172"/>
      <c r="BA544" s="56"/>
      <c r="BB544" s="10"/>
      <c r="BC544" s="56"/>
      <c r="BD544" s="56"/>
      <c r="BE544" s="56"/>
      <c r="BF544" s="56"/>
      <c r="BN544" s="145"/>
      <c r="CH544" s="145"/>
      <c r="CX544" s="145"/>
    </row>
    <row r="545" spans="1:102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172"/>
      <c r="BA545" s="56"/>
      <c r="BB545" s="10"/>
      <c r="BC545" s="56"/>
      <c r="BD545" s="56"/>
      <c r="BE545" s="56"/>
      <c r="BF545" s="56"/>
      <c r="BN545" s="145"/>
      <c r="CH545" s="145"/>
      <c r="CX545" s="145"/>
    </row>
    <row r="546" spans="1:102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172"/>
      <c r="BA546" s="56"/>
      <c r="BB546" s="10"/>
      <c r="BC546" s="56"/>
      <c r="BD546" s="56"/>
      <c r="BE546" s="56"/>
      <c r="BF546" s="56"/>
      <c r="BN546" s="145"/>
      <c r="CH546" s="145"/>
      <c r="CX546" s="145"/>
    </row>
    <row r="547" spans="1:102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172"/>
      <c r="BA547" s="56"/>
      <c r="BB547" s="10"/>
      <c r="BC547" s="56"/>
      <c r="BD547" s="56"/>
      <c r="BE547" s="56"/>
      <c r="BF547" s="56"/>
      <c r="BN547" s="145"/>
      <c r="CH547" s="145"/>
      <c r="CX547" s="145"/>
    </row>
    <row r="548" spans="1:102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172"/>
      <c r="BA548" s="56"/>
      <c r="BB548" s="10"/>
      <c r="BC548" s="56"/>
      <c r="BD548" s="56"/>
      <c r="BE548" s="56"/>
      <c r="BF548" s="56"/>
      <c r="BN548" s="145"/>
      <c r="CH548" s="145"/>
      <c r="CX548" s="145"/>
    </row>
    <row r="549" spans="1:102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172"/>
      <c r="BA549" s="56"/>
      <c r="BB549" s="10"/>
      <c r="BC549" s="56"/>
      <c r="BD549" s="56"/>
      <c r="BE549" s="56"/>
      <c r="BF549" s="56"/>
      <c r="BN549" s="145"/>
      <c r="CH549" s="145"/>
      <c r="CX549" s="145"/>
    </row>
    <row r="550" spans="1:102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172"/>
      <c r="BA550" s="56"/>
      <c r="BB550" s="10"/>
      <c r="BC550" s="56"/>
      <c r="BD550" s="56"/>
      <c r="BE550" s="56"/>
      <c r="BF550" s="56"/>
      <c r="BN550" s="145"/>
      <c r="CH550" s="145"/>
      <c r="CX550" s="145"/>
    </row>
    <row r="551" spans="1:102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172"/>
      <c r="BA551" s="56"/>
      <c r="BB551" s="10"/>
      <c r="BC551" s="56"/>
      <c r="BD551" s="56"/>
      <c r="BE551" s="56"/>
      <c r="BF551" s="56"/>
      <c r="BN551" s="145"/>
      <c r="CH551" s="145"/>
      <c r="CX551" s="145"/>
    </row>
    <row r="552" spans="1:102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172"/>
      <c r="BA552" s="56"/>
      <c r="BB552" s="10"/>
      <c r="BC552" s="56"/>
      <c r="BD552" s="56"/>
      <c r="BE552" s="56"/>
      <c r="BF552" s="56"/>
      <c r="BN552" s="145"/>
      <c r="CH552" s="145"/>
      <c r="CX552" s="145"/>
    </row>
    <row r="553" spans="1:102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172"/>
      <c r="BA553" s="56"/>
      <c r="BB553" s="10"/>
      <c r="BC553" s="56"/>
      <c r="BD553" s="56"/>
      <c r="BE553" s="56"/>
      <c r="BF553" s="56"/>
      <c r="BN553" s="145"/>
      <c r="CH553" s="145"/>
      <c r="CX553" s="145"/>
    </row>
    <row r="554" spans="1:102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172"/>
      <c r="BA554" s="56"/>
      <c r="BB554" s="10"/>
      <c r="BC554" s="56"/>
      <c r="BD554" s="56"/>
      <c r="BE554" s="56"/>
      <c r="BF554" s="56"/>
      <c r="BN554" s="145"/>
      <c r="CH554" s="145"/>
      <c r="CX554" s="145"/>
    </row>
    <row r="555" spans="1:102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172"/>
      <c r="BA555" s="56"/>
      <c r="BB555" s="10"/>
      <c r="BC555" s="56"/>
      <c r="BD555" s="56"/>
      <c r="BE555" s="56"/>
      <c r="BF555" s="56"/>
      <c r="BN555" s="145"/>
      <c r="CH555" s="145"/>
      <c r="CX555" s="145"/>
    </row>
    <row r="556" spans="1:102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172"/>
      <c r="BA556" s="56"/>
      <c r="BB556" s="10"/>
      <c r="BC556" s="56"/>
      <c r="BD556" s="56"/>
      <c r="BE556" s="56"/>
      <c r="BF556" s="56"/>
      <c r="BN556" s="145"/>
      <c r="CH556" s="145"/>
      <c r="CX556" s="145"/>
    </row>
    <row r="557" spans="1:102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172"/>
      <c r="BA557" s="56"/>
      <c r="BB557" s="10"/>
      <c r="BC557" s="56"/>
      <c r="BD557" s="56"/>
      <c r="BE557" s="56"/>
      <c r="BF557" s="56"/>
      <c r="BN557" s="145"/>
      <c r="CH557" s="145"/>
      <c r="CX557" s="145"/>
    </row>
    <row r="558" spans="1:102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172"/>
      <c r="BA558" s="56"/>
      <c r="BB558" s="10"/>
      <c r="BC558" s="56"/>
      <c r="BD558" s="56"/>
      <c r="BE558" s="56"/>
      <c r="BF558" s="56"/>
      <c r="BN558" s="145"/>
      <c r="CH558" s="145"/>
      <c r="CX558" s="145"/>
    </row>
    <row r="559" spans="1:102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172"/>
      <c r="BA559" s="56"/>
      <c r="BB559" s="10"/>
      <c r="BC559" s="56"/>
      <c r="BD559" s="56"/>
      <c r="BE559" s="56"/>
      <c r="BF559" s="56"/>
      <c r="BN559" s="145"/>
      <c r="CH559" s="145"/>
      <c r="CX559" s="145"/>
    </row>
    <row r="560" spans="1:102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172"/>
      <c r="BA560" s="56"/>
      <c r="BB560" s="10"/>
      <c r="BC560" s="56"/>
      <c r="BD560" s="56"/>
      <c r="BE560" s="56"/>
      <c r="BF560" s="56"/>
      <c r="BN560" s="145"/>
      <c r="CH560" s="145"/>
      <c r="CX560" s="145"/>
    </row>
    <row r="561" spans="1:102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172"/>
      <c r="BA561" s="56"/>
      <c r="BB561" s="10"/>
      <c r="BC561" s="56"/>
      <c r="BD561" s="56"/>
      <c r="BE561" s="56"/>
      <c r="BF561" s="56"/>
      <c r="BN561" s="145"/>
      <c r="CH561" s="145"/>
      <c r="CX561" s="145"/>
    </row>
    <row r="562" spans="1:102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172"/>
      <c r="BA562" s="56"/>
      <c r="BB562" s="10"/>
      <c r="BC562" s="56"/>
      <c r="BD562" s="56"/>
      <c r="BE562" s="56"/>
      <c r="BF562" s="56"/>
      <c r="BN562" s="145"/>
      <c r="CH562" s="145"/>
      <c r="CX562" s="145"/>
    </row>
    <row r="563" spans="1:102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172"/>
      <c r="BA563" s="56"/>
      <c r="BB563" s="10"/>
      <c r="BC563" s="56"/>
      <c r="BD563" s="56"/>
      <c r="BE563" s="56"/>
      <c r="BF563" s="56"/>
      <c r="BN563" s="145"/>
      <c r="CH563" s="145"/>
      <c r="CX563" s="145"/>
    </row>
    <row r="564" spans="1:102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172"/>
      <c r="BA564" s="56"/>
      <c r="BB564" s="10"/>
      <c r="BC564" s="56"/>
      <c r="BD564" s="56"/>
      <c r="BE564" s="56"/>
      <c r="BF564" s="56"/>
      <c r="BN564" s="145"/>
      <c r="CH564" s="145"/>
      <c r="CX564" s="145"/>
    </row>
    <row r="565" spans="1:102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172"/>
      <c r="BA565" s="56"/>
      <c r="BB565" s="10"/>
      <c r="BC565" s="56"/>
      <c r="BD565" s="56"/>
      <c r="BE565" s="56"/>
      <c r="BF565" s="56"/>
      <c r="BN565" s="145"/>
      <c r="CH565" s="145"/>
      <c r="CX565" s="145"/>
    </row>
    <row r="566" spans="1:102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172"/>
      <c r="BA566" s="56"/>
      <c r="BB566" s="10"/>
      <c r="BC566" s="56"/>
      <c r="BD566" s="56"/>
      <c r="BE566" s="56"/>
      <c r="BF566" s="56"/>
      <c r="BN566" s="145"/>
      <c r="CH566" s="145"/>
      <c r="CX566" s="145"/>
    </row>
    <row r="567" spans="1:102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172"/>
      <c r="BA567" s="56"/>
      <c r="BB567" s="10"/>
      <c r="BC567" s="56"/>
      <c r="BD567" s="56"/>
      <c r="BE567" s="56"/>
      <c r="BF567" s="56"/>
      <c r="BN567" s="145"/>
      <c r="CH567" s="145"/>
      <c r="CX567" s="145"/>
    </row>
    <row r="568" spans="1:102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172"/>
      <c r="BA568" s="56"/>
      <c r="BB568" s="10"/>
      <c r="BC568" s="56"/>
      <c r="BD568" s="56"/>
      <c r="BE568" s="56"/>
      <c r="BF568" s="56"/>
      <c r="BN568" s="145"/>
      <c r="CH568" s="145"/>
      <c r="CX568" s="145"/>
    </row>
    <row r="569" spans="1:102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172"/>
      <c r="BA569" s="56"/>
      <c r="BB569" s="10"/>
      <c r="BC569" s="56"/>
      <c r="BD569" s="56"/>
      <c r="BE569" s="56"/>
      <c r="BF569" s="56"/>
      <c r="BN569" s="145"/>
      <c r="CH569" s="145"/>
      <c r="CX569" s="145"/>
    </row>
    <row r="570" spans="1:102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172"/>
      <c r="BA570" s="56"/>
      <c r="BB570" s="10"/>
      <c r="BC570" s="56"/>
      <c r="BD570" s="56"/>
      <c r="BE570" s="56"/>
      <c r="BF570" s="56"/>
      <c r="BN570" s="145"/>
      <c r="CH570" s="145"/>
      <c r="CX570" s="145"/>
    </row>
    <row r="571" spans="1:102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172"/>
      <c r="BA571" s="56"/>
      <c r="BB571" s="10"/>
      <c r="BC571" s="56"/>
      <c r="BD571" s="56"/>
      <c r="BE571" s="56"/>
      <c r="BF571" s="56"/>
      <c r="BN571" s="145"/>
      <c r="CH571" s="145"/>
      <c r="CX571" s="145"/>
    </row>
    <row r="572" spans="1:102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172"/>
      <c r="BA572" s="56"/>
      <c r="BB572" s="10"/>
      <c r="BC572" s="56"/>
      <c r="BD572" s="56"/>
      <c r="BE572" s="56"/>
      <c r="BF572" s="56"/>
      <c r="BN572" s="145"/>
      <c r="CH572" s="145"/>
      <c r="CX572" s="145"/>
    </row>
    <row r="573" spans="1:102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172"/>
      <c r="BA573" s="56"/>
      <c r="BB573" s="10"/>
      <c r="BC573" s="56"/>
      <c r="BD573" s="56"/>
      <c r="BE573" s="56"/>
      <c r="BF573" s="56"/>
      <c r="BN573" s="145"/>
      <c r="CH573" s="145"/>
      <c r="CX573" s="145"/>
    </row>
    <row r="574" spans="1:102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172"/>
      <c r="BA574" s="56"/>
      <c r="BB574" s="10"/>
      <c r="BC574" s="56"/>
      <c r="BD574" s="56"/>
      <c r="BE574" s="56"/>
      <c r="BF574" s="56"/>
      <c r="BN574" s="145"/>
      <c r="CH574" s="145"/>
      <c r="CX574" s="145"/>
    </row>
    <row r="575" spans="1:102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172"/>
      <c r="BA575" s="56"/>
      <c r="BB575" s="10"/>
      <c r="BC575" s="56"/>
      <c r="BD575" s="56"/>
      <c r="BE575" s="56"/>
      <c r="BF575" s="56"/>
      <c r="BN575" s="145"/>
      <c r="CH575" s="145"/>
      <c r="CX575" s="145"/>
    </row>
    <row r="576" spans="1:102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172"/>
      <c r="BA576" s="56"/>
      <c r="BB576" s="10"/>
      <c r="BC576" s="56"/>
      <c r="BD576" s="56"/>
      <c r="BE576" s="56"/>
      <c r="BF576" s="56"/>
      <c r="BN576" s="145"/>
      <c r="CH576" s="145"/>
      <c r="CX576" s="145"/>
    </row>
    <row r="577" spans="1:102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172"/>
      <c r="BA577" s="56"/>
      <c r="BB577" s="10"/>
      <c r="BC577" s="56"/>
      <c r="BD577" s="56"/>
      <c r="BE577" s="56"/>
      <c r="BF577" s="56"/>
      <c r="BN577" s="145"/>
      <c r="CH577" s="145"/>
      <c r="CX577" s="145"/>
    </row>
    <row r="578" spans="1:102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172"/>
      <c r="BA578" s="56"/>
      <c r="BB578" s="10"/>
      <c r="BC578" s="56"/>
      <c r="BD578" s="56"/>
      <c r="BE578" s="56"/>
      <c r="BF578" s="56"/>
      <c r="BN578" s="145"/>
      <c r="CH578" s="145"/>
      <c r="CX578" s="145"/>
    </row>
    <row r="579" spans="1:102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172"/>
      <c r="BA579" s="56"/>
      <c r="BB579" s="10"/>
      <c r="BC579" s="56"/>
      <c r="BD579" s="56"/>
      <c r="BE579" s="56"/>
      <c r="BF579" s="56"/>
      <c r="BN579" s="145"/>
      <c r="CH579" s="145"/>
      <c r="CX579" s="145"/>
    </row>
    <row r="580" spans="1:102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172"/>
      <c r="BA580" s="56"/>
      <c r="BB580" s="10"/>
      <c r="BC580" s="56"/>
      <c r="BD580" s="56"/>
      <c r="BE580" s="56"/>
      <c r="BF580" s="56"/>
      <c r="BN580" s="145"/>
      <c r="CH580" s="145"/>
      <c r="CX580" s="145"/>
    </row>
    <row r="581" spans="1:102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172"/>
      <c r="BA581" s="56"/>
      <c r="BB581" s="10"/>
      <c r="BC581" s="56"/>
      <c r="BD581" s="56"/>
      <c r="BE581" s="56"/>
      <c r="BF581" s="56"/>
      <c r="BN581" s="145"/>
      <c r="CH581" s="145"/>
      <c r="CX581" s="145"/>
    </row>
    <row r="582" spans="1:102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172"/>
      <c r="BA582" s="56"/>
      <c r="BB582" s="10"/>
      <c r="BC582" s="56"/>
      <c r="BD582" s="56"/>
      <c r="BE582" s="56"/>
      <c r="BF582" s="56"/>
      <c r="BN582" s="145"/>
      <c r="CH582" s="145"/>
      <c r="CX582" s="145"/>
    </row>
    <row r="583" spans="1:102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172"/>
      <c r="BA583" s="56"/>
      <c r="BB583" s="10"/>
      <c r="BC583" s="56"/>
      <c r="BD583" s="56"/>
      <c r="BE583" s="56"/>
      <c r="BF583" s="56"/>
      <c r="BN583" s="145"/>
      <c r="CH583" s="145"/>
      <c r="CX583" s="145"/>
    </row>
    <row r="584" spans="1:102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172"/>
      <c r="BA584" s="56"/>
      <c r="BB584" s="10"/>
      <c r="BC584" s="56"/>
      <c r="BD584" s="56"/>
      <c r="BE584" s="56"/>
      <c r="BF584" s="56"/>
      <c r="BN584" s="145"/>
      <c r="CH584" s="145"/>
      <c r="CX584" s="145"/>
    </row>
    <row r="585" spans="1:102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172"/>
      <c r="BA585" s="56"/>
      <c r="BB585" s="10"/>
      <c r="BC585" s="56"/>
      <c r="BD585" s="56"/>
      <c r="BE585" s="56"/>
      <c r="BF585" s="56"/>
      <c r="BN585" s="145"/>
      <c r="CH585" s="145"/>
      <c r="CX585" s="145"/>
    </row>
    <row r="586" spans="1:102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172"/>
      <c r="BA586" s="56"/>
      <c r="BB586" s="10"/>
      <c r="BC586" s="56"/>
      <c r="BD586" s="56"/>
      <c r="BE586" s="56"/>
      <c r="BF586" s="56"/>
      <c r="BN586" s="145"/>
      <c r="CH586" s="145"/>
      <c r="CX586" s="145"/>
    </row>
    <row r="587" spans="1:102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172"/>
      <c r="BA587" s="56"/>
      <c r="BB587" s="10"/>
      <c r="BC587" s="56"/>
      <c r="BD587" s="56"/>
      <c r="BE587" s="56"/>
      <c r="BF587" s="56"/>
      <c r="BN587" s="145"/>
      <c r="CH587" s="145"/>
      <c r="CX587" s="145"/>
    </row>
    <row r="588" spans="1:102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172"/>
      <c r="BA588" s="56"/>
      <c r="BB588" s="10"/>
      <c r="BC588" s="56"/>
      <c r="BD588" s="56"/>
      <c r="BE588" s="56"/>
      <c r="BF588" s="56"/>
      <c r="BN588" s="145"/>
      <c r="CH588" s="145"/>
      <c r="CX588" s="145"/>
    </row>
    <row r="589" spans="1:102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172"/>
      <c r="BA589" s="56"/>
      <c r="BB589" s="10"/>
      <c r="BC589" s="56"/>
      <c r="BD589" s="56"/>
      <c r="BE589" s="56"/>
      <c r="BF589" s="56"/>
      <c r="BN589" s="145"/>
      <c r="CH589" s="145"/>
      <c r="CX589" s="145"/>
    </row>
    <row r="590" spans="1:102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172"/>
      <c r="BA590" s="56"/>
      <c r="BB590" s="10"/>
      <c r="BC590" s="56"/>
      <c r="BD590" s="56"/>
      <c r="BE590" s="56"/>
      <c r="BF590" s="56"/>
      <c r="BN590" s="145"/>
      <c r="CH590" s="145"/>
      <c r="CX590" s="145"/>
    </row>
    <row r="591" spans="1:102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172"/>
      <c r="BA591" s="56"/>
      <c r="BB591" s="10"/>
      <c r="BC591" s="56"/>
      <c r="BD591" s="56"/>
      <c r="BE591" s="56"/>
      <c r="BF591" s="56"/>
      <c r="BN591" s="145"/>
      <c r="CH591" s="145"/>
      <c r="CX591" s="145"/>
    </row>
    <row r="592" spans="1:102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172"/>
      <c r="BA592" s="56"/>
      <c r="BB592" s="10"/>
      <c r="BC592" s="56"/>
      <c r="BD592" s="56"/>
      <c r="BE592" s="56"/>
      <c r="BF592" s="56"/>
      <c r="BN592" s="145"/>
      <c r="CH592" s="145"/>
      <c r="CX592" s="145"/>
    </row>
    <row r="593" spans="1:102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172"/>
      <c r="BA593" s="56"/>
      <c r="BB593" s="10"/>
      <c r="BC593" s="56"/>
      <c r="BD593" s="56"/>
      <c r="BE593" s="56"/>
      <c r="BF593" s="56"/>
      <c r="BN593" s="145"/>
      <c r="CH593" s="145"/>
      <c r="CX593" s="145"/>
    </row>
    <row r="594" spans="1:102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172"/>
      <c r="BA594" s="56"/>
      <c r="BB594" s="10"/>
      <c r="BC594" s="56"/>
      <c r="BD594" s="56"/>
      <c r="BE594" s="56"/>
      <c r="BF594" s="56"/>
      <c r="BN594" s="145"/>
      <c r="CH594" s="145"/>
      <c r="CX594" s="145"/>
    </row>
    <row r="595" spans="1:102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172"/>
      <c r="BA595" s="56"/>
      <c r="BB595" s="10"/>
      <c r="BC595" s="56"/>
      <c r="BD595" s="56"/>
      <c r="BE595" s="56"/>
      <c r="BF595" s="56"/>
      <c r="BN595" s="145"/>
      <c r="CH595" s="145"/>
      <c r="CX595" s="145"/>
    </row>
    <row r="596" spans="1:102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172"/>
      <c r="BA596" s="56"/>
      <c r="BB596" s="10"/>
      <c r="BC596" s="56"/>
      <c r="BD596" s="56"/>
      <c r="BE596" s="56"/>
      <c r="BF596" s="56"/>
      <c r="BN596" s="145"/>
      <c r="CH596" s="145"/>
      <c r="CX596" s="145"/>
    </row>
    <row r="597" spans="1:102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172"/>
      <c r="BA597" s="56"/>
      <c r="BB597" s="10"/>
      <c r="BC597" s="56"/>
      <c r="BD597" s="56"/>
      <c r="BE597" s="56"/>
      <c r="BF597" s="56"/>
      <c r="BN597" s="145"/>
      <c r="CH597" s="145"/>
      <c r="CX597" s="145"/>
    </row>
    <row r="598" spans="1:102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172"/>
      <c r="BA598" s="56"/>
      <c r="BB598" s="10"/>
      <c r="BC598" s="56"/>
      <c r="BD598" s="56"/>
      <c r="BE598" s="56"/>
      <c r="BF598" s="56"/>
      <c r="BN598" s="145"/>
      <c r="CH598" s="145"/>
      <c r="CX598" s="145"/>
    </row>
    <row r="599" spans="1:102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172"/>
      <c r="BA599" s="56"/>
      <c r="BB599" s="10"/>
      <c r="BC599" s="56"/>
      <c r="BD599" s="56"/>
      <c r="BE599" s="56"/>
      <c r="BF599" s="56"/>
      <c r="BN599" s="145"/>
      <c r="CH599" s="145"/>
      <c r="CX599" s="145"/>
    </row>
    <row r="600" spans="1:102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172"/>
      <c r="BA600" s="56"/>
      <c r="BB600" s="10"/>
      <c r="BC600" s="56"/>
      <c r="BD600" s="56"/>
      <c r="BE600" s="56"/>
      <c r="BF600" s="56"/>
      <c r="BN600" s="145"/>
      <c r="CH600" s="145"/>
      <c r="CX600" s="145"/>
    </row>
    <row r="601" spans="1:102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172"/>
      <c r="BA601" s="56"/>
      <c r="BB601" s="10"/>
      <c r="BC601" s="56"/>
      <c r="BD601" s="56"/>
      <c r="BE601" s="56"/>
      <c r="BF601" s="56"/>
      <c r="BN601" s="145"/>
      <c r="CH601" s="145"/>
      <c r="CX601" s="145"/>
    </row>
    <row r="602" spans="1:102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172"/>
      <c r="BA602" s="56"/>
      <c r="BB602" s="10"/>
      <c r="BC602" s="56"/>
      <c r="BD602" s="56"/>
      <c r="BE602" s="56"/>
      <c r="BF602" s="56"/>
      <c r="BN602" s="145"/>
      <c r="CH602" s="145"/>
      <c r="CX602" s="145"/>
    </row>
    <row r="603" spans="1:102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172"/>
      <c r="BA603" s="56"/>
      <c r="BB603" s="10"/>
      <c r="BC603" s="56"/>
      <c r="BD603" s="56"/>
      <c r="BE603" s="56"/>
      <c r="BF603" s="56"/>
      <c r="BN603" s="145"/>
      <c r="CH603" s="145"/>
      <c r="CX603" s="145"/>
    </row>
    <row r="604" spans="1:102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172"/>
      <c r="BA604" s="56"/>
      <c r="BB604" s="10"/>
      <c r="BC604" s="56"/>
      <c r="BD604" s="56"/>
      <c r="BE604" s="56"/>
      <c r="BF604" s="56"/>
      <c r="BN604" s="145"/>
      <c r="CH604" s="145"/>
      <c r="CX604" s="145"/>
    </row>
    <row r="605" spans="1:102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172"/>
      <c r="BA605" s="56"/>
      <c r="BB605" s="10"/>
      <c r="BC605" s="56"/>
      <c r="BD605" s="56"/>
      <c r="BE605" s="56"/>
      <c r="BF605" s="56"/>
      <c r="BN605" s="145"/>
      <c r="CH605" s="145"/>
      <c r="CX605" s="145"/>
    </row>
    <row r="606" spans="1:102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172"/>
      <c r="BA606" s="56"/>
      <c r="BB606" s="10"/>
      <c r="BC606" s="56"/>
      <c r="BD606" s="56"/>
      <c r="BE606" s="56"/>
      <c r="BF606" s="56"/>
      <c r="BN606" s="145"/>
      <c r="CH606" s="145"/>
      <c r="CX606" s="145"/>
    </row>
    <row r="607" spans="1:102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172"/>
      <c r="BA607" s="56"/>
      <c r="BB607" s="10"/>
      <c r="BC607" s="56"/>
      <c r="BD607" s="56"/>
      <c r="BE607" s="56"/>
      <c r="BF607" s="56"/>
      <c r="BN607" s="145"/>
      <c r="CH607" s="145"/>
      <c r="CX607" s="145"/>
    </row>
    <row r="608" spans="1:102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172"/>
      <c r="BA608" s="56"/>
      <c r="BB608" s="10"/>
      <c r="BC608" s="56"/>
      <c r="BD608" s="56"/>
      <c r="BE608" s="56"/>
      <c r="BF608" s="56"/>
      <c r="BN608" s="145"/>
      <c r="CH608" s="145"/>
      <c r="CX608" s="145"/>
    </row>
    <row r="609" spans="1:102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172"/>
      <c r="BA609" s="56"/>
      <c r="BB609" s="10"/>
      <c r="BC609" s="56"/>
      <c r="BD609" s="56"/>
      <c r="BE609" s="56"/>
      <c r="BF609" s="56"/>
      <c r="BN609" s="145"/>
      <c r="CH609" s="145"/>
      <c r="CX609" s="145"/>
    </row>
    <row r="610" spans="1:102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172"/>
      <c r="BA610" s="56"/>
      <c r="BB610" s="10"/>
      <c r="BC610" s="56"/>
      <c r="BD610" s="56"/>
      <c r="BE610" s="56"/>
      <c r="BF610" s="56"/>
      <c r="BN610" s="145"/>
      <c r="CH610" s="145"/>
      <c r="CX610" s="145"/>
    </row>
    <row r="611" spans="1:102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172"/>
      <c r="BA611" s="56"/>
      <c r="BB611" s="10"/>
      <c r="BC611" s="56"/>
      <c r="BD611" s="56"/>
      <c r="BE611" s="56"/>
      <c r="BF611" s="56"/>
      <c r="BN611" s="145"/>
      <c r="CH611" s="145"/>
      <c r="CX611" s="145"/>
    </row>
    <row r="612" spans="1:102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172"/>
      <c r="BA612" s="56"/>
      <c r="BB612" s="10"/>
      <c r="BC612" s="56"/>
      <c r="BD612" s="56"/>
      <c r="BE612" s="56"/>
      <c r="BF612" s="56"/>
      <c r="BN612" s="145"/>
      <c r="CH612" s="145"/>
      <c r="CX612" s="145"/>
    </row>
    <row r="613" spans="1:102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172"/>
      <c r="BA613" s="56"/>
      <c r="BB613" s="10"/>
      <c r="BC613" s="56"/>
      <c r="BD613" s="56"/>
      <c r="BE613" s="56"/>
      <c r="BF613" s="56"/>
      <c r="BN613" s="145"/>
      <c r="CH613" s="145"/>
      <c r="CX613" s="145"/>
    </row>
    <row r="614" spans="1:102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172"/>
      <c r="BA614" s="56"/>
      <c r="BB614" s="10"/>
      <c r="BC614" s="56"/>
      <c r="BD614" s="56"/>
      <c r="BE614" s="56"/>
      <c r="BF614" s="56"/>
      <c r="BN614" s="145"/>
      <c r="CH614" s="145"/>
      <c r="CX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5" sqref="H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580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588</v>
      </c>
      <c r="I3" s="56" t="s">
        <v>600</v>
      </c>
      <c r="J3" s="56" t="s">
        <v>601</v>
      </c>
      <c r="K3" s="56" t="s">
        <v>602</v>
      </c>
      <c r="L3" s="56" t="s">
        <v>607</v>
      </c>
      <c r="M3" s="56" t="s">
        <v>622</v>
      </c>
    </row>
    <row r="4" spans="1:24" s="103" customFormat="1" ht="64.5" customHeight="1" thickBot="1" x14ac:dyDescent="0.2">
      <c r="A4" s="98" t="s">
        <v>583</v>
      </c>
      <c r="B4" s="91" t="s">
        <v>698</v>
      </c>
      <c r="C4" s="107"/>
      <c r="D4" s="91"/>
      <c r="E4" s="91"/>
      <c r="F4" s="107"/>
      <c r="G4" s="94" t="s">
        <v>590</v>
      </c>
      <c r="H4" s="94" t="s">
        <v>594</v>
      </c>
      <c r="I4" s="93" t="s">
        <v>688</v>
      </c>
      <c r="J4" s="93" t="s">
        <v>689</v>
      </c>
      <c r="K4" s="93" t="s">
        <v>690</v>
      </c>
      <c r="L4" s="93" t="s">
        <v>605</v>
      </c>
      <c r="M4" s="93" t="s">
        <v>695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591</v>
      </c>
      <c r="H5" s="11" t="s">
        <v>592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598</v>
      </c>
      <c r="H6" s="11" t="s">
        <v>599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595</v>
      </c>
      <c r="H7" s="11" t="s">
        <v>606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593</v>
      </c>
      <c r="H8" s="11" t="s">
        <v>597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596</v>
      </c>
      <c r="H9" s="11" t="s">
        <v>692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703</v>
      </c>
      <c r="H10" s="11" t="s">
        <v>669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686</v>
      </c>
      <c r="H11" s="10" t="s">
        <v>691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687</v>
      </c>
      <c r="H12" s="10" t="s">
        <v>691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694</v>
      </c>
      <c r="H13" s="10" t="s">
        <v>696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700</v>
      </c>
      <c r="H14" s="10" t="s">
        <v>701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705</v>
      </c>
      <c r="H15" s="10" t="s">
        <v>699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706</v>
      </c>
      <c r="H16" s="10" t="s">
        <v>704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707</v>
      </c>
      <c r="H17" s="10" t="s">
        <v>708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902</v>
      </c>
      <c r="H18" s="10" t="s">
        <v>903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1140</v>
      </c>
      <c r="H19" s="159" t="s">
        <v>1115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2018-09-01T07:18:02Z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