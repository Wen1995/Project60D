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  <sheet name="PLAYER_LEVEL" sheetId="44" r:id="rId7"/>
    <sheet name="MANOR_LEVEL" sheetId="45" r:id="rId8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X170" i="9" l="1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<sst xmlns="http://schemas.openxmlformats.org/spreadsheetml/2006/main" count="3543" uniqueCount="638">
  <si>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</si>
  <si>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</si>
  <si>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</si>
  <si>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</si>
  <si>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</si>
  <si>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</si>
  <si>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</si>
  <si>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</si>
  <si>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</si>
  <si>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</si>
  <si>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</si>
  <si>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</si>
  <si>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</si>
  <si>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</si>
  <si>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</si>
  <si>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</si>
  <si>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</si>
  <si>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</si>
  <si>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</si>
  <si>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</si>
  <si>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</si>
  <si>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</si>
  <si>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</si>
  <si>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</si>
  <si>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</si>
  <si>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</si>
  <si>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</si>
  <si>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</si>
  <si>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</si>
  <si>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</si>
  <si>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</si>
  <si>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</si>
  <si>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</si>
  <si>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</si>
  <si>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</si>
  <si>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</si>
  <si>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</si>
  <si>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</si>
  <si>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</si>
  <si>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</si>
  <si>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</si>
  <si>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</si>
  <si>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</si>
  <si>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</si>
  <si>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</si>
  <si>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</si>
  <si>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</si>
  <si>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</si>
  <si>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</si>
  <si>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</si>
  <si>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</si>
  <si>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</si>
  <si>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</si>
  <si>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</si>
  <si>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</si>
  <si>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</si>
  <si>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</si>
  <si>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</si>
  <si>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</si>
  <si>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</si>
  <si>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</si>
  <si>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</si>
  <si>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</si>
  <si>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</si>
  <si>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</si>
  <si>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</si>
  <si>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</si>
  <si>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</si>
  <si>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</si>
  <si>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</si>
  <si>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</si>
  <si>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</si>
  <si>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</si>
  <si>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</si>
  <si>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</si>
  <si>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</si>
  <si>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</si>
  <si>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</si>
  <si>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</si>
  <si>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</si>
  <si>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</si>
  <si>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</si>
  <si>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</si>
  <si>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</si>
  <si>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</si>
  <si>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</si>
  <si>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</si>
  <si>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</si>
  <si>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</si>
  <si>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</si>
  <si>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</si>
  <si>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</si>
  <si>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</si>
  <si>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</si>
  <si>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</si>
  <si>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</si>
  <si>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</si>
  <si>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</si>
  <si>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</si>
  <si>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</si>
  <si>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</si>
  <si>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</si>
  <si>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</si>
  <si>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</si>
  <si>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</si>
  <si>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</si>
  <si>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</si>
  <si>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</si>
  <si>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</si>
  <si>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</si>
  <si>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</si>
  <si>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</si>
  <si>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</si>
  <si>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</si>
  <si>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</si>
  <si>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</si>
  <si>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</si>
  <si>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</si>
  <si>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</si>
  <si>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</si>
  <si>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</si>
  <si>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</si>
  <si>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</si>
  <si>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</si>
  <si>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</si>
  <si>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</si>
  <si>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</si>
  <si>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</si>
  <si>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</si>
  <si>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</si>
  <si>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</si>
  <si>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</si>
  <si>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</si>
  <si>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</si>
  <si>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</si>
  <si>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</si>
  <si>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</si>
  <si>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</si>
  <si>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</si>
  <si>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</si>
  <si>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</si>
  <si>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</si>
  <si>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</si>
  <si>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</si>
  <si>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</si>
  <si>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</si>
  <si>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</si>
  <si>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</si>
  <si>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</si>
  <si>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</si>
  <si>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</si>
  <si>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</si>
  <si>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</si>
  <si>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</si>
  <si>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</si>
  <si>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</si>
  <si>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</si>
  <si>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</si>
  <si>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</si>
  <si>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</si>
  <si>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</si>
  <si>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</si>
  <si>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</si>
  <si>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</si>
  <si>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</si>
  <si>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</si>
  <si>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</si>
  <si>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</si>
  <si>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</si>
  <si>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</si>
  <si>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</si>
  <si>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</si>
  <si>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</si>
  <si>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</si>
  <si>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</si>
  <si>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</si>
  <si>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</si>
  <si>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</si>
  <si>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</si>
  <si>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</si>
  <si>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</si>
  <si>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</si>
  <si>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</si>
  <si>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</si>
  <si>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</si>
  <si>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</si>
  <si>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</si>
  <si>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</si>
  <si>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</si>
  <si>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</si>
  <si>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</si>
  <si>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</si>
  <si>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</si>
  <si>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</si>
  <si>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</si>
  <si>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</si>
  <si>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</si>
  <si>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</si>
  <si>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</si>
  <si>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</si>
  <si>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</si>
  <si>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</si>
  <si>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</si>
  <si>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</si>
  <si>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</si>
  <si>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</si>
  <si>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</si>
  <si>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</si>
  <si>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</si>
  <si>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</si>
  <si>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</si>
  <si>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</si>
  <si>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</si>
  <si>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</si>
  <si>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</si>
  <si>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</si>
  <si>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</si>
  <si>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</si>
  <si>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</si>
  <si>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</si>
  <si>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</si>
  <si>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</si>
  <si>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</si>
  <si>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</si>
  <si>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</si>
  <si>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</si>
  <si>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</si>
  <si>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</si>
  <si>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</si>
  <si>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</si>
  <si>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</si>
  <si>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</si>
  <si>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</si>
  <si>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</si>
  <si>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</si>
  <si>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</si>
  <si>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</si>
  <si>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</si>
  <si>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</si>
  <si>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</si>
  <si>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</si>
  <si>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</si>
  <si>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</si>
  <si>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</si>
  <si>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</si>
  <si>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</si>
  <si>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</si>
  <si>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</si>
  <si>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</si>
  <si>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</si>
  <si>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</si>
  <si>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</si>
  <si>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</si>
  <si>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</si>
  <si>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</si>
  <si>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</si>
  <si>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</si>
  <si>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</si>
  <si>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</si>
  <si>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</si>
  <si>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</si>
  <si>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</si>
  <si>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</si>
  <si>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</si>
  <si>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</si>
  <si>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</si>
  <si>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</si>
  <si>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</si>
  <si>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</si>
  <si>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</si>
  <si>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</si>
  <si>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</si>
  <si>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</si>
  <si>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</si>
  <si>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</si>
  <si>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</si>
  <si>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</si>
  <si>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</si>
  <si>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</si>
  <si>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</si>
  <si>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</si>
  <si>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</si>
  <si>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</si>
  <si>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</si>
  <si>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</si>
  <si>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</si>
  <si>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</si>
  <si>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</si>
  <si>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</si>
  <si>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</si>
  <si>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</si>
  <si>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</si>
  <si>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</si>
  <si>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</si>
  <si>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</si>
  <si>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</si>
  <si>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</si>
  <si>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</si>
  <si>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</si>
  <si>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</si>
  <si>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</si>
  <si>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</si>
  <si>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</si>
  <si>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</si>
  <si>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</si>
  <si>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</si>
  <si>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</si>
  <si>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</si>
  <si>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</si>
  <si>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</si>
  <si>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</si>
  <si>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</si>
  <si>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</si>
  <si>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</si>
  <si>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</si>
  <si>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</si>
  <si>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</si>
  <si>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</si>
  <si>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</si>
  <si>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</si>
  <si>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</si>
  <si>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</si>
  <si>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</si>
  <si>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</si>
  <si>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</si>
  <si>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</si>
  <si>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</si>
  <si>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</si>
  <si>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</si>
  <si>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</si>
  <si>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</si>
  <si>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</si>
  <si>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</si>
  <si>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</si>
  <si>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</si>
  <si>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</si>
  <si>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</si>
  <si>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</si>
  <si>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</si>
  <si>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</si>
  <si>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</si>
  <si>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</si>
  <si>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</si>
  <si>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</si>
  <si>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</si>
  <si>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</si>
  <si>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</si>
  <si>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</si>
  <si>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</si>
  <si>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</si>
  <si>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</si>
  <si>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</si>
  <si>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</si>
  <si>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</si>
  <si>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</si>
  <si>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</si>
  <si>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</si>
  <si>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</si>
  <si>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</si>
  <si>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</si>
  <si>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</si>
  <si>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</si>
  <si>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</si>
  <si>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</si>
  <si>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</si>
  <si>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</si>
  <si>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</si>
  <si>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</si>
  <si>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</si>
  <si>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</si>
  <si>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</si>
  <si>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</si>
  <si>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</si>
  <si>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</si>
  <si>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</si>
  <si>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</si>
  <si>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</si>
  <si>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</si>
  <si>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</si>
  <si>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</si>
  <si>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</si>
  <si>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</si>
  <si>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</si>
  <si>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</si>
  <si>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</si>
  <si>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</si>
  <si>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</si>
  <si>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</si>
  <si>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</si>
  <si>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</si>
  <si>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</si>
  <si>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</si>
  <si>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</si>
  <si>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</si>
  <si>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</si>
  <si>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</si>
  <si>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</si>
  <si>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</si>
  <si>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</si>
  <si>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</si>
  <si>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</si>
  <si>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</si>
  <si>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</si>
  <si>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</si>
  <si>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</si>
  <si>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</si>
  <si>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</si>
  <si>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</si>
  <si>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</si>
  <si>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</si>
  <si>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</si>
  <si>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</si>
  <si>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</si>
  <si>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</si>
  <si>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</si>
  <si>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</si>
  <si>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</si>
  <si>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</si>
  <si>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</si>
  <si>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</si>
  <si>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</si>
  <si>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</si>
  <si>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</si>
  <si>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</si>
  <si>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</si>
  <si>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</si>
  <si>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</si>
  <si>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</si>
  <si>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</si>
  <si>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</si>
  <si>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</si>
  <si>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</si>
  <si>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</si>
  <si>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</si>
  <si>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</si>
  <si>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</si>
  <si>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</si>
  <si>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</si>
  <si>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</si>
  <si>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</si>
  <si>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</si>
  <si>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</si>
  <si>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</si>
  <si>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</si>
  <si>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</si>
  <si>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</si>
  <si>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</si>
  <si>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</si>
  <si>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</si>
  <si>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</si>
  <si>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</si>
  <si>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</si>
  <si>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</si>
  <si>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</si>
  <si>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</si>
  <si>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</si>
  <si>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</si>
  <si>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</si>
  <si>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</si>
  <si>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</si>
  <si>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</si>
  <si>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</si>
  <si>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</si>
  <si>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</si>
  <si>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</si>
  <si>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</si>
  <si>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</si>
  <si>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</si>
  <si>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</si>
  <si>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</si>
  <si>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</si>
  <si>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</si>
  <si>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</si>
  <si>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</si>
  <si>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</si>
  <si>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</si>
  <si>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</si>
  <si>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</si>
  <si>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</si>
  <si>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</si>
  <si>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</si>
  <si>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</si>
  <si>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</si>
  <si>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</si>
  <si>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</si>
  <si>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</si>
  <si>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</si>
  <si>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</si>
  <si>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</si>
  <si>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</si>
  <si>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</si>
  <si>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</si>
  <si>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</si>
  <si>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</si>
  <si>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</si>
  <si>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</si>
  <si>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</si>
  <si>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</si>
  <si>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</si>
  <si>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</si>
  <si>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</si>
  <si>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</si>
  <si>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</si>
  <si>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</si>
  <si>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</si>
  <si>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</si>
  <si>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</si>
  <si>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</si>
  <si>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</si>
  <si>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</si>
  <si>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</si>
  <si>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</si>
  <si>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</si>
  <si>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</si>
  <si>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</si>
  <si>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</si>
  <si>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</si>
  <si>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</si>
  <si>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</si>
  <si>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</si>
  <si>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</si>
  <si>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</si>
  <si>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</si>
  <si>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</si>
  <si>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</si>
  <si>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</si>
  <si>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</si>
  <si>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</si>
  <si>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</si>
  <si>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</si>
  <si>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</si>
  <si>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</si>
  <si>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</si>
  <si>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</si>
  <si>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</si>
  <si>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</si>
  <si>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</si>
  <si>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</si>
  <si>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</si>
  <si>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</si>
  <si>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</si>
  <si>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</si>
  <si>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</si>
  <si>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</si>
  <si>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</si>
  <si>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</si>
  <si>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</si>
  <si>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</si>
  <si>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</si>
  <si>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</si>
  <si>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</si>
  <si>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</si>
  <si>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</si>
  <si>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</si>
  <si>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</si>
  <si>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</si>
  <si>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</si>
  <si>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</si>
  <si>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</si>
  <si>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</si>
  <si>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</si>
  <si>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</si>
  <si>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</si>
  <si>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</si>
  <si>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</si>
  <si>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</si>
  <si>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</si>
  <si>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</si>
  <si>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</si>
  <si>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</si>
  <si>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</si>
  <si>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</si>
  <si>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</si>
  <si>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</si>
  <si>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</si>
  <si>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</si>
  <si>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</si>
  <si>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</si>
  <si>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</si>
  <si>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</si>
  <si>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</si>
  <si>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</si>
  <si>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</si>
  <si>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</si>
  <si>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</si>
  <si>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</si>
  <si>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</si>
  <si>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</si>
  <si>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</si>
  <si>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</si>
  <si>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</si>
  <si>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</si>
  <si>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</si>
  <si>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</si>
  <si>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</si>
  <si>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</si>
  <si>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</si>
  <si>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</si>
  <si>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</si>
  <si>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</si>
  <si>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</si>
  <si>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</si>
  <si>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</si>
  <si>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</si>
  <si>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</si>
  <si>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</si>
  <si>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</si>
  <si>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</si>
  <si>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</si>
  <si>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</si>
  <si>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</si>
  <si>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</si>
  <si>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</si>
  <si>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</si>
  <si>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</si>
  <si>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</si>
  <si>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</si>
  <si>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</si>
  <si>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</si>
  <si>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</si>
  <si>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</si>
  <si>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</si>
  <si>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</si>
  <si>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</si>
  <si>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庄园势力限制</t>
    <phoneticPr fontId="12" type="noConversion"/>
  </si>
  <si>
    <t>增加庄园势力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</si>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</sst>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7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552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topLeftCell="A322" zoomScale="85" zoomScaleNormal="85" workbookViewId="0">
      <selection activeCell="K33" sqref="K3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531</v>
      </c>
      <c r="U2" s="9" t="s">
        <v>571</v>
      </c>
      <c r="V2" s="11" t="s">
        <v>61</v>
      </c>
      <c r="X2" s="9" t="s">
        <v>571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533</v>
      </c>
      <c r="U3" s="9" t="s">
        <v>598</v>
      </c>
      <c r="V3" s="11" t="s">
        <v>622</v>
      </c>
      <c r="X3" s="9" t="s">
        <v>572</v>
      </c>
      <c r="Z3" s="9" t="s">
        <v>335</v>
      </c>
      <c r="AA3" s="9" t="s">
        <v>340</v>
      </c>
      <c r="AC3" s="9" t="s">
        <v>448</v>
      </c>
      <c r="AE3" s="56" t="s">
        <v>477</v>
      </c>
      <c r="AH3" s="31" t="s">
        <v>246</v>
      </c>
      <c r="AI3" s="30"/>
      <c r="AJ3" s="31" t="s">
        <v>450</v>
      </c>
      <c r="AK3" s="30"/>
      <c r="AL3" s="31" t="s">
        <v>551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623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532</v>
      </c>
      <c r="S4" s="79" t="s">
        <v>620</v>
      </c>
      <c r="T4" s="87" t="s">
        <v>602</v>
      </c>
      <c r="U4" s="27" t="s">
        <v>600</v>
      </c>
      <c r="V4" s="94" t="s">
        <v>635</v>
      </c>
      <c r="W4" s="87" t="s">
        <v>601</v>
      </c>
      <c r="X4" s="27" t="s">
        <v>599</v>
      </c>
      <c r="Y4" s="79" t="s">
        <v>619</v>
      </c>
      <c r="Z4" s="27" t="s">
        <v>334</v>
      </c>
      <c r="AA4" s="27" t="s">
        <v>339</v>
      </c>
      <c r="AB4" s="79" t="s">
        <v>446</v>
      </c>
      <c r="AC4" s="27" t="s">
        <v>624</v>
      </c>
      <c r="AD4" s="79" t="s">
        <v>621</v>
      </c>
      <c r="AE4" s="95" t="s">
        <v>534</v>
      </c>
      <c r="AF4" s="96" t="s">
        <v>625</v>
      </c>
      <c r="AG4" s="79" t="s">
        <v>171</v>
      </c>
      <c r="AH4" s="66" t="s">
        <v>318</v>
      </c>
      <c r="AI4" s="65" t="s">
        <v>447</v>
      </c>
      <c r="AJ4" s="66" t="s">
        <v>449</v>
      </c>
      <c r="AK4" s="65" t="s">
        <v>451</v>
      </c>
      <c r="AL4" s="66" t="s">
        <v>459</v>
      </c>
      <c r="AM4" s="65" t="s">
        <v>460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636</v>
      </c>
      <c r="L5" s="16">
        <v>1</v>
      </c>
      <c r="M5" s="16">
        <v>15</v>
      </c>
      <c r="N5" s="16"/>
      <c r="O5" s="17"/>
      <c r="P5" s="17"/>
      <c r="Q5" s="18"/>
      <c r="R5" s="16" t="s">
        <v>393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603</v>
      </c>
      <c r="X5" s="16">
        <f ca="1">IFERROR(OFFSET(ITEM_RES!$A$5,MATCH(BUILDING!W5,ITEM_RES!$J$5:$J$231,0)-1,0),0)</f>
        <v>211010001</v>
      </c>
      <c r="Y5" s="80"/>
      <c r="Z5" s="16" t="s">
        <v>573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461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488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495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636</v>
      </c>
      <c r="L6" s="9">
        <v>1</v>
      </c>
      <c r="M6" s="9">
        <v>15</v>
      </c>
      <c r="R6" s="9" t="s">
        <v>393</v>
      </c>
      <c r="U6" s="9">
        <f ca="1">IFERROR(OFFSET(ITEM_RES!$A$5,MATCH(BUILDING!T6,ITEM_RES!$J$5:$J$231,0)-1,0),0)</f>
        <v>0</v>
      </c>
      <c r="W6" s="86" t="s">
        <v>603</v>
      </c>
      <c r="X6" s="9">
        <f ca="1">IFERROR(OFFSET(ITEM_RES!$A$5,MATCH(BUILDING!W6,ITEM_RES!$J$5:$J$231,0)-1,0),0)</f>
        <v>211010001</v>
      </c>
      <c r="Z6" s="9" t="s">
        <v>573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461</v>
      </c>
      <c r="AR6" s="11">
        <v>50</v>
      </c>
      <c r="AU6" s="11">
        <f ca="1">IFERROR(OFFSET(ITEM_RES!$A$1,MATCH(AV6,ITEM_RES!$J:$J,0)-1,0),0)</f>
        <v>211040001</v>
      </c>
      <c r="AV6" s="10" t="s">
        <v>488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636</v>
      </c>
      <c r="L7" s="9">
        <v>1</v>
      </c>
      <c r="M7" s="9">
        <v>15</v>
      </c>
      <c r="R7" s="9" t="s">
        <v>393</v>
      </c>
      <c r="U7" s="9">
        <f ca="1">IFERROR(OFFSET(ITEM_RES!$A$5,MATCH(BUILDING!T7,ITEM_RES!$J$5:$J$231,0)-1,0),0)</f>
        <v>0</v>
      </c>
      <c r="W7" s="86" t="s">
        <v>603</v>
      </c>
      <c r="X7" s="9">
        <f ca="1">IFERROR(OFFSET(ITEM_RES!$A$5,MATCH(BUILDING!W7,ITEM_RES!$J$5:$J$231,0)-1,0),0)</f>
        <v>211010001</v>
      </c>
      <c r="Z7" s="9" t="s">
        <v>573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461</v>
      </c>
      <c r="AR7" s="11">
        <v>75</v>
      </c>
      <c r="AU7" s="11">
        <f ca="1">IFERROR(OFFSET(ITEM_RES!$A$1,MATCH(AV7,ITEM_RES!$J:$J,0)-1,0),0)</f>
        <v>211040001</v>
      </c>
      <c r="AV7" s="10" t="s">
        <v>488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636</v>
      </c>
      <c r="L8" s="9">
        <v>1</v>
      </c>
      <c r="M8" s="9">
        <v>15</v>
      </c>
      <c r="R8" s="9" t="s">
        <v>393</v>
      </c>
      <c r="U8" s="9">
        <f ca="1">IFERROR(OFFSET(ITEM_RES!$A$5,MATCH(BUILDING!T8,ITEM_RES!$J$5:$J$231,0)-1,0),0)</f>
        <v>0</v>
      </c>
      <c r="W8" s="86" t="s">
        <v>603</v>
      </c>
      <c r="X8" s="9">
        <f ca="1">IFERROR(OFFSET(ITEM_RES!$A$5,MATCH(BUILDING!W8,ITEM_RES!$J$5:$J$231,0)-1,0),0)</f>
        <v>211010001</v>
      </c>
      <c r="Z8" s="9" t="s">
        <v>573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461</v>
      </c>
      <c r="AR8" s="11">
        <v>125</v>
      </c>
      <c r="AU8" s="11">
        <f ca="1">IFERROR(OFFSET(ITEM_RES!$A$1,MATCH(AV8,ITEM_RES!$J:$J,0)-1,0),0)</f>
        <v>211040001</v>
      </c>
      <c r="AV8" s="10" t="s">
        <v>488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636</v>
      </c>
      <c r="L9" s="9">
        <v>1</v>
      </c>
      <c r="M9" s="9">
        <v>15</v>
      </c>
      <c r="R9" s="9" t="s">
        <v>393</v>
      </c>
      <c r="U9" s="9">
        <f ca="1">IFERROR(OFFSET(ITEM_RES!$A$5,MATCH(BUILDING!T9,ITEM_RES!$J$5:$J$231,0)-1,0),0)</f>
        <v>0</v>
      </c>
      <c r="W9" s="86" t="s">
        <v>603</v>
      </c>
      <c r="X9" s="9">
        <f ca="1">IFERROR(OFFSET(ITEM_RES!$A$5,MATCH(BUILDING!W9,ITEM_RES!$J$5:$J$231,0)-1,0),0)</f>
        <v>211010001</v>
      </c>
      <c r="Z9" s="9" t="s">
        <v>573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461</v>
      </c>
      <c r="AR9" s="11">
        <v>200</v>
      </c>
      <c r="AU9" s="11">
        <f ca="1">IFERROR(OFFSET(ITEM_RES!$A$1,MATCH(AV9,ITEM_RES!$J:$J,0)-1,0),0)</f>
        <v>211040001</v>
      </c>
      <c r="AV9" s="10" t="s">
        <v>488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636</v>
      </c>
      <c r="L10" s="9">
        <v>1</v>
      </c>
      <c r="M10" s="9">
        <v>15</v>
      </c>
      <c r="R10" s="9" t="s">
        <v>393</v>
      </c>
      <c r="U10" s="9">
        <f ca="1">IFERROR(OFFSET(ITEM_RES!$A$5,MATCH(BUILDING!T10,ITEM_RES!$J$5:$J$231,0)-1,0),0)</f>
        <v>0</v>
      </c>
      <c r="W10" s="86" t="s">
        <v>603</v>
      </c>
      <c r="X10" s="9">
        <f ca="1">IFERROR(OFFSET(ITEM_RES!$A$5,MATCH(BUILDING!W10,ITEM_RES!$J$5:$J$231,0)-1,0),0)</f>
        <v>211010001</v>
      </c>
      <c r="Z10" s="9" t="s">
        <v>573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461</v>
      </c>
      <c r="AR10" s="11">
        <v>250</v>
      </c>
      <c r="AU10" s="11">
        <f ca="1">IFERROR(OFFSET(ITEM_RES!$A$1,MATCH(AV10,ITEM_RES!$J:$J,0)-1,0),0)</f>
        <v>211040001</v>
      </c>
      <c r="AV10" s="10" t="s">
        <v>488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636</v>
      </c>
      <c r="L11" s="9">
        <v>1</v>
      </c>
      <c r="M11" s="9">
        <v>15</v>
      </c>
      <c r="R11" s="9" t="s">
        <v>393</v>
      </c>
      <c r="U11" s="9">
        <f ca="1">IFERROR(OFFSET(ITEM_RES!$A$5,MATCH(BUILDING!T11,ITEM_RES!$J$5:$J$231,0)-1,0),0)</f>
        <v>0</v>
      </c>
      <c r="W11" s="86" t="s">
        <v>603</v>
      </c>
      <c r="X11" s="9">
        <f ca="1">IFERROR(OFFSET(ITEM_RES!$A$5,MATCH(BUILDING!W11,ITEM_RES!$J$5:$J$231,0)-1,0),0)</f>
        <v>211010001</v>
      </c>
      <c r="Z11" s="9" t="s">
        <v>573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461</v>
      </c>
      <c r="AR11" s="11">
        <v>500</v>
      </c>
      <c r="AU11" s="11">
        <f ca="1">IFERROR(OFFSET(ITEM_RES!$A$1,MATCH(AV11,ITEM_RES!$J:$J,0)-1,0),0)</f>
        <v>211040001</v>
      </c>
      <c r="AV11" s="10" t="s">
        <v>488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636</v>
      </c>
      <c r="L12" s="9">
        <v>1</v>
      </c>
      <c r="M12" s="9">
        <v>15</v>
      </c>
      <c r="R12" s="9" t="s">
        <v>393</v>
      </c>
      <c r="U12" s="9">
        <f ca="1">IFERROR(OFFSET(ITEM_RES!$A$5,MATCH(BUILDING!T12,ITEM_RES!$J$5:$J$231,0)-1,0),0)</f>
        <v>0</v>
      </c>
      <c r="W12" s="86" t="s">
        <v>603</v>
      </c>
      <c r="X12" s="9">
        <f ca="1">IFERROR(OFFSET(ITEM_RES!$A$5,MATCH(BUILDING!W12,ITEM_RES!$J$5:$J$231,0)-1,0),0)</f>
        <v>211010001</v>
      </c>
      <c r="Z12" s="9" t="s">
        <v>573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461</v>
      </c>
      <c r="AR12" s="11">
        <v>500</v>
      </c>
      <c r="AU12" s="11">
        <f ca="1">IFERROR(OFFSET(ITEM_RES!$A$1,MATCH(AV12,ITEM_RES!$J:$J,0)-1,0),0)</f>
        <v>211040001</v>
      </c>
      <c r="AV12" s="10" t="s">
        <v>488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636</v>
      </c>
      <c r="L13" s="9">
        <v>1</v>
      </c>
      <c r="M13" s="9">
        <v>15</v>
      </c>
      <c r="R13" s="9" t="s">
        <v>393</v>
      </c>
      <c r="U13" s="9">
        <f ca="1">IFERROR(OFFSET(ITEM_RES!$A$5,MATCH(BUILDING!T13,ITEM_RES!$J$5:$J$231,0)-1,0),0)</f>
        <v>0</v>
      </c>
      <c r="W13" s="86" t="s">
        <v>603</v>
      </c>
      <c r="X13" s="9">
        <f ca="1">IFERROR(OFFSET(ITEM_RES!$A$5,MATCH(BUILDING!W13,ITEM_RES!$J$5:$J$231,0)-1,0),0)</f>
        <v>211010001</v>
      </c>
      <c r="Z13" s="9" t="s">
        <v>573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461</v>
      </c>
      <c r="AR13" s="11">
        <v>750</v>
      </c>
      <c r="AU13" s="11">
        <f ca="1">IFERROR(OFFSET(ITEM_RES!$A$1,MATCH(AV13,ITEM_RES!$J:$J,0)-1,0),0)</f>
        <v>211040001</v>
      </c>
      <c r="AV13" s="10" t="s">
        <v>488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636</v>
      </c>
      <c r="L14" s="9">
        <v>1</v>
      </c>
      <c r="M14" s="9">
        <v>15</v>
      </c>
      <c r="R14" s="9" t="s">
        <v>393</v>
      </c>
      <c r="U14" s="9">
        <f ca="1">IFERROR(OFFSET(ITEM_RES!$A$5,MATCH(BUILDING!T14,ITEM_RES!$J$5:$J$231,0)-1,0),0)</f>
        <v>0</v>
      </c>
      <c r="W14" s="86" t="s">
        <v>603</v>
      </c>
      <c r="X14" s="9">
        <f ca="1">IFERROR(OFFSET(ITEM_RES!$A$5,MATCH(BUILDING!W14,ITEM_RES!$J$5:$J$231,0)-1,0),0)</f>
        <v>211010001</v>
      </c>
      <c r="Z14" s="9" t="s">
        <v>573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461</v>
      </c>
      <c r="AR14" s="11">
        <v>1000</v>
      </c>
      <c r="AU14" s="11">
        <f ca="1">IFERROR(OFFSET(ITEM_RES!$A$1,MATCH(AV14,ITEM_RES!$J:$J,0)-1,0),0)</f>
        <v>211040001</v>
      </c>
      <c r="AV14" s="10" t="s">
        <v>488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502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636</v>
      </c>
      <c r="L15" s="9">
        <v>1</v>
      </c>
      <c r="M15" s="9">
        <v>15</v>
      </c>
      <c r="R15" s="9" t="s">
        <v>393</v>
      </c>
      <c r="U15" s="9">
        <f ca="1">IFERROR(OFFSET(ITEM_RES!$A$5,MATCH(BUILDING!T15,ITEM_RES!$J$5:$J$231,0)-1,0),0)</f>
        <v>0</v>
      </c>
      <c r="W15" s="86" t="s">
        <v>603</v>
      </c>
      <c r="X15" s="9">
        <f ca="1">IFERROR(OFFSET(ITEM_RES!$A$5,MATCH(BUILDING!W15,ITEM_RES!$J$5:$J$231,0)-1,0),0)</f>
        <v>211010001</v>
      </c>
      <c r="Z15" s="9" t="s">
        <v>573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461</v>
      </c>
      <c r="AR15" s="11">
        <v>1250</v>
      </c>
      <c r="AU15" s="11">
        <f ca="1">IFERROR(OFFSET(ITEM_RES!$A$1,MATCH(AV15,ITEM_RES!$J:$J,0)-1,0),0)</f>
        <v>211040001</v>
      </c>
      <c r="AV15" s="10" t="s">
        <v>488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636</v>
      </c>
      <c r="L16" s="9">
        <v>1</v>
      </c>
      <c r="M16" s="9">
        <v>15</v>
      </c>
      <c r="R16" s="9" t="s">
        <v>393</v>
      </c>
      <c r="U16" s="9">
        <f ca="1">IFERROR(OFFSET(ITEM_RES!$A$5,MATCH(BUILDING!T16,ITEM_RES!$J$5:$J$231,0)-1,0),0)</f>
        <v>0</v>
      </c>
      <c r="W16" s="86" t="s">
        <v>603</v>
      </c>
      <c r="X16" s="9">
        <f ca="1">IFERROR(OFFSET(ITEM_RES!$A$5,MATCH(BUILDING!W16,ITEM_RES!$J$5:$J$231,0)-1,0),0)</f>
        <v>211010001</v>
      </c>
      <c r="Z16" s="9" t="s">
        <v>573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461</v>
      </c>
      <c r="AR16" s="11">
        <v>1500</v>
      </c>
      <c r="AU16" s="11">
        <f ca="1">IFERROR(OFFSET(ITEM_RES!$A$1,MATCH(AV16,ITEM_RES!$J:$J,0)-1,0),0)</f>
        <v>211040001</v>
      </c>
      <c r="AV16" s="10" t="s">
        <v>488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636</v>
      </c>
      <c r="L17" s="9">
        <v>1</v>
      </c>
      <c r="M17" s="9">
        <v>15</v>
      </c>
      <c r="R17" s="9" t="s">
        <v>393</v>
      </c>
      <c r="U17" s="9">
        <f ca="1">IFERROR(OFFSET(ITEM_RES!$A$5,MATCH(BUILDING!T17,ITEM_RES!$J$5:$J$231,0)-1,0),0)</f>
        <v>0</v>
      </c>
      <c r="W17" s="86" t="s">
        <v>603</v>
      </c>
      <c r="X17" s="9">
        <f ca="1">IFERROR(OFFSET(ITEM_RES!$A$5,MATCH(BUILDING!W17,ITEM_RES!$J$5:$J$231,0)-1,0),0)</f>
        <v>211010001</v>
      </c>
      <c r="Z17" s="9" t="s">
        <v>573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461</v>
      </c>
      <c r="AR17" s="11">
        <v>1750</v>
      </c>
      <c r="AU17" s="11">
        <f ca="1">IFERROR(OFFSET(ITEM_RES!$A$1,MATCH(AV17,ITEM_RES!$J:$J,0)-1,0),0)</f>
        <v>211040001</v>
      </c>
      <c r="AV17" s="10" t="s">
        <v>488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636</v>
      </c>
      <c r="L18" s="9">
        <v>1</v>
      </c>
      <c r="M18" s="9">
        <v>15</v>
      </c>
      <c r="R18" s="9" t="s">
        <v>393</v>
      </c>
      <c r="U18" s="9">
        <f ca="1">IFERROR(OFFSET(ITEM_RES!$A$5,MATCH(BUILDING!T18,ITEM_RES!$J$5:$J$231,0)-1,0),0)</f>
        <v>0</v>
      </c>
      <c r="W18" s="86" t="s">
        <v>603</v>
      </c>
      <c r="X18" s="9">
        <f ca="1">IFERROR(OFFSET(ITEM_RES!$A$5,MATCH(BUILDING!W18,ITEM_RES!$J$5:$J$231,0)-1,0),0)</f>
        <v>211010001</v>
      </c>
      <c r="Z18" s="9" t="s">
        <v>573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461</v>
      </c>
      <c r="AR18" s="11">
        <v>2250</v>
      </c>
      <c r="AU18" s="11">
        <f ca="1">IFERROR(OFFSET(ITEM_RES!$A$1,MATCH(AV18,ITEM_RES!$J:$J,0)-1,0),0)</f>
        <v>211040001</v>
      </c>
      <c r="AV18" s="10" t="s">
        <v>488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636</v>
      </c>
      <c r="L19" s="9">
        <v>1</v>
      </c>
      <c r="M19" s="9">
        <v>15</v>
      </c>
      <c r="R19" s="9" t="s">
        <v>393</v>
      </c>
      <c r="U19" s="9">
        <f ca="1">IFERROR(OFFSET(ITEM_RES!$A$5,MATCH(BUILDING!T19,ITEM_RES!$J$5:$J$231,0)-1,0),0)</f>
        <v>0</v>
      </c>
      <c r="W19" s="86" t="s">
        <v>603</v>
      </c>
      <c r="X19" s="9">
        <f ca="1">IFERROR(OFFSET(ITEM_RES!$A$5,MATCH(BUILDING!W19,ITEM_RES!$J$5:$J$231,0)-1,0),0)</f>
        <v>211010001</v>
      </c>
      <c r="Z19" s="9" t="s">
        <v>573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461</v>
      </c>
      <c r="AR19" s="11">
        <v>2750</v>
      </c>
      <c r="AU19" s="11">
        <f ca="1">IFERROR(OFFSET(ITEM_RES!$A$1,MATCH(AV19,ITEM_RES!$J:$J,0)-1,0),0)</f>
        <v>211040001</v>
      </c>
      <c r="AV19" s="10" t="s">
        <v>488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636</v>
      </c>
      <c r="L20" s="9">
        <v>0</v>
      </c>
      <c r="M20" s="9">
        <v>15</v>
      </c>
      <c r="R20" s="9" t="s">
        <v>393</v>
      </c>
      <c r="U20" s="9">
        <f ca="1">IFERROR(OFFSET(ITEM_RES!$A$5,MATCH(BUILDING!T20,ITEM_RES!$J$5:$J$231,0)-1,0),0)</f>
        <v>0</v>
      </c>
      <c r="W20" s="86" t="s">
        <v>603</v>
      </c>
      <c r="X20" s="9">
        <f ca="1">IFERROR(OFFSET(ITEM_RES!$A$5,MATCH(BUILDING!W20,ITEM_RES!$J$5:$J$231,0)-1,0),0)</f>
        <v>211010001</v>
      </c>
      <c r="Z20" s="9" t="s">
        <v>573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215010001</v>
      </c>
      <c r="AQ20" s="10" t="s">
        <v>478</v>
      </c>
      <c r="AR20" s="11">
        <v>3500</v>
      </c>
      <c r="AU20" s="11">
        <f ca="1">IFERROR(OFFSET(ITEM_RES!$A$1,MATCH(AV20,ITEM_RES!$J:$J,0)-1,0),0)</f>
        <v>211040001</v>
      </c>
      <c r="AV20" s="10" t="s">
        <v>488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636</v>
      </c>
      <c r="L21" s="9">
        <v>0</v>
      </c>
      <c r="M21" s="9">
        <v>15</v>
      </c>
      <c r="R21" s="9" t="s">
        <v>393</v>
      </c>
      <c r="U21" s="9">
        <f ca="1">IFERROR(OFFSET(ITEM_RES!$A$5,MATCH(BUILDING!T21,ITEM_RES!$J$5:$J$231,0)-1,0),0)</f>
        <v>0</v>
      </c>
      <c r="W21" s="86" t="s">
        <v>603</v>
      </c>
      <c r="X21" s="9">
        <f ca="1">IFERROR(OFFSET(ITEM_RES!$A$5,MATCH(BUILDING!W21,ITEM_RES!$J$5:$J$231,0)-1,0),0)</f>
        <v>211010001</v>
      </c>
      <c r="Z21" s="9" t="s">
        <v>573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215010001</v>
      </c>
      <c r="AQ21" s="10" t="s">
        <v>478</v>
      </c>
      <c r="AR21" s="11">
        <v>4250</v>
      </c>
      <c r="AU21" s="11">
        <f ca="1">IFERROR(OFFSET(ITEM_RES!$A$1,MATCH(AV21,ITEM_RES!$J:$J,0)-1,0),0)</f>
        <v>211040001</v>
      </c>
      <c r="AV21" s="10" t="s">
        <v>488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636</v>
      </c>
      <c r="L22" s="9">
        <v>0</v>
      </c>
      <c r="M22" s="9">
        <v>15</v>
      </c>
      <c r="R22" s="9" t="s">
        <v>393</v>
      </c>
      <c r="U22" s="9">
        <f ca="1">IFERROR(OFFSET(ITEM_RES!$A$5,MATCH(BUILDING!T22,ITEM_RES!$J$5:$J$231,0)-1,0),0)</f>
        <v>0</v>
      </c>
      <c r="W22" s="86" t="s">
        <v>603</v>
      </c>
      <c r="X22" s="9">
        <f ca="1">IFERROR(OFFSET(ITEM_RES!$A$5,MATCH(BUILDING!W22,ITEM_RES!$J$5:$J$231,0)-1,0),0)</f>
        <v>211010001</v>
      </c>
      <c r="Z22" s="9" t="s">
        <v>573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215010001</v>
      </c>
      <c r="AQ22" s="10" t="s">
        <v>478</v>
      </c>
      <c r="AR22" s="11">
        <v>5250</v>
      </c>
      <c r="AU22" s="11">
        <f ca="1">IFERROR(OFFSET(ITEM_RES!$A$1,MATCH(AV22,ITEM_RES!$J:$J,0)-1,0),0)</f>
        <v>211040001</v>
      </c>
      <c r="AV22" s="10" t="s">
        <v>488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636</v>
      </c>
      <c r="L23" s="9">
        <v>0</v>
      </c>
      <c r="M23" s="9">
        <v>15</v>
      </c>
      <c r="R23" s="9" t="s">
        <v>393</v>
      </c>
      <c r="U23" s="9">
        <f ca="1">IFERROR(OFFSET(ITEM_RES!$A$5,MATCH(BUILDING!T23,ITEM_RES!$J$5:$J$231,0)-1,0),0)</f>
        <v>0</v>
      </c>
      <c r="W23" s="86" t="s">
        <v>603</v>
      </c>
      <c r="X23" s="9">
        <f ca="1">IFERROR(OFFSET(ITEM_RES!$A$5,MATCH(BUILDING!W23,ITEM_RES!$J$5:$J$231,0)-1,0),0)</f>
        <v>211010001</v>
      </c>
      <c r="Z23" s="9" t="s">
        <v>573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215010001</v>
      </c>
      <c r="AQ23" s="10" t="s">
        <v>478</v>
      </c>
      <c r="AR23" s="11">
        <v>6250</v>
      </c>
      <c r="AU23" s="11">
        <f ca="1">IFERROR(OFFSET(ITEM_RES!$A$1,MATCH(AV23,ITEM_RES!$J:$J,0)-1,0),0)</f>
        <v>211040001</v>
      </c>
      <c r="AV23" s="10" t="s">
        <v>488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636</v>
      </c>
      <c r="L24" s="9">
        <v>0</v>
      </c>
      <c r="M24" s="9">
        <v>15</v>
      </c>
      <c r="R24" s="9" t="s">
        <v>393</v>
      </c>
      <c r="U24" s="9">
        <f ca="1">IFERROR(OFFSET(ITEM_RES!$A$5,MATCH(BUILDING!T24,ITEM_RES!$J$5:$J$231,0)-1,0),0)</f>
        <v>0</v>
      </c>
      <c r="W24" s="86" t="s">
        <v>603</v>
      </c>
      <c r="X24" s="9">
        <f ca="1">IFERROR(OFFSET(ITEM_RES!$A$5,MATCH(BUILDING!W24,ITEM_RES!$J$5:$J$231,0)-1,0),0)</f>
        <v>211010001</v>
      </c>
      <c r="Z24" s="9" t="s">
        <v>573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215010001</v>
      </c>
      <c r="AQ24" s="10" t="s">
        <v>478</v>
      </c>
      <c r="AR24" s="11">
        <v>7500</v>
      </c>
      <c r="AU24" s="11">
        <f ca="1">IFERROR(OFFSET(ITEM_RES!$A$1,MATCH(AV24,ITEM_RES!$J:$J,0)-1,0),0)</f>
        <v>211040001</v>
      </c>
      <c r="AV24" s="10" t="s">
        <v>488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637</v>
      </c>
      <c r="L25" s="16">
        <v>1</v>
      </c>
      <c r="M25" s="16">
        <v>15</v>
      </c>
      <c r="N25" s="16"/>
      <c r="O25" s="17"/>
      <c r="P25" s="17"/>
      <c r="Q25" s="18"/>
      <c r="R25" s="16" t="s">
        <v>381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604</v>
      </c>
      <c r="X25" s="16">
        <f ca="1">IFERROR(OFFSET(ITEM_RES!$A$5,MATCH(BUILDING!W25,ITEM_RES!$J$5:$J$231,0)-1,0),0)</f>
        <v>211020001</v>
      </c>
      <c r="Y25" s="80"/>
      <c r="Z25" s="16" t="s">
        <v>574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462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488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495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359</v>
      </c>
      <c r="L26" s="9">
        <v>1</v>
      </c>
      <c r="M26" s="9">
        <v>15</v>
      </c>
      <c r="R26" s="9" t="s">
        <v>381</v>
      </c>
      <c r="U26" s="9">
        <f ca="1">IFERROR(OFFSET(ITEM_RES!$A$5,MATCH(BUILDING!T26,ITEM_RES!$J$5:$J$231,0)-1,0),0)</f>
        <v>0</v>
      </c>
      <c r="W26" s="86" t="s">
        <v>604</v>
      </c>
      <c r="X26" s="9">
        <f ca="1">IFERROR(OFFSET(ITEM_RES!$A$5,MATCH(BUILDING!W26,ITEM_RES!$J$5:$J$231,0)-1,0),0)</f>
        <v>211020001</v>
      </c>
      <c r="Z26" s="9" t="s">
        <v>574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462</v>
      </c>
      <c r="AR26" s="11">
        <v>50</v>
      </c>
      <c r="AU26" s="11">
        <f ca="1">IFERROR(OFFSET(ITEM_RES!$A$1,MATCH(AV26,ITEM_RES!$J:$J,0)-1,0),0)</f>
        <v>211040001</v>
      </c>
      <c r="AV26" s="10" t="s">
        <v>488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359</v>
      </c>
      <c r="L27" s="9">
        <v>1</v>
      </c>
      <c r="M27" s="9">
        <v>15</v>
      </c>
      <c r="R27" s="9" t="s">
        <v>381</v>
      </c>
      <c r="U27" s="9">
        <f ca="1">IFERROR(OFFSET(ITEM_RES!$A$5,MATCH(BUILDING!T27,ITEM_RES!$J$5:$J$231,0)-1,0),0)</f>
        <v>0</v>
      </c>
      <c r="W27" s="86" t="s">
        <v>604</v>
      </c>
      <c r="X27" s="9">
        <f ca="1">IFERROR(OFFSET(ITEM_RES!$A$5,MATCH(BUILDING!W27,ITEM_RES!$J$5:$J$231,0)-1,0),0)</f>
        <v>211020001</v>
      </c>
      <c r="Z27" s="9" t="s">
        <v>574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462</v>
      </c>
      <c r="AR27" s="11">
        <v>75</v>
      </c>
      <c r="AU27" s="11">
        <f ca="1">IFERROR(OFFSET(ITEM_RES!$A$1,MATCH(AV27,ITEM_RES!$J:$J,0)-1,0),0)</f>
        <v>211040001</v>
      </c>
      <c r="AV27" s="10" t="s">
        <v>488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359</v>
      </c>
      <c r="L28" s="9">
        <v>1</v>
      </c>
      <c r="M28" s="9">
        <v>15</v>
      </c>
      <c r="R28" s="9" t="s">
        <v>381</v>
      </c>
      <c r="U28" s="9">
        <f ca="1">IFERROR(OFFSET(ITEM_RES!$A$5,MATCH(BUILDING!T28,ITEM_RES!$J$5:$J$231,0)-1,0),0)</f>
        <v>0</v>
      </c>
      <c r="W28" s="86" t="s">
        <v>604</v>
      </c>
      <c r="X28" s="9">
        <f ca="1">IFERROR(OFFSET(ITEM_RES!$A$5,MATCH(BUILDING!W28,ITEM_RES!$J$5:$J$231,0)-1,0),0)</f>
        <v>211020001</v>
      </c>
      <c r="Z28" s="9" t="s">
        <v>574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462</v>
      </c>
      <c r="AR28" s="11">
        <v>125</v>
      </c>
      <c r="AU28" s="11">
        <f ca="1">IFERROR(OFFSET(ITEM_RES!$A$1,MATCH(AV28,ITEM_RES!$J:$J,0)-1,0),0)</f>
        <v>211040001</v>
      </c>
      <c r="AV28" s="10" t="s">
        <v>488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359</v>
      </c>
      <c r="L29" s="9">
        <v>1</v>
      </c>
      <c r="M29" s="9">
        <v>15</v>
      </c>
      <c r="R29" s="9" t="s">
        <v>381</v>
      </c>
      <c r="U29" s="9">
        <f ca="1">IFERROR(OFFSET(ITEM_RES!$A$5,MATCH(BUILDING!T29,ITEM_RES!$J$5:$J$231,0)-1,0),0)</f>
        <v>0</v>
      </c>
      <c r="W29" s="86" t="s">
        <v>604</v>
      </c>
      <c r="X29" s="9">
        <f ca="1">IFERROR(OFFSET(ITEM_RES!$A$5,MATCH(BUILDING!W29,ITEM_RES!$J$5:$J$231,0)-1,0),0)</f>
        <v>211020001</v>
      </c>
      <c r="Z29" s="9" t="s">
        <v>574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462</v>
      </c>
      <c r="AR29" s="11">
        <v>200</v>
      </c>
      <c r="AU29" s="11">
        <f ca="1">IFERROR(OFFSET(ITEM_RES!$A$1,MATCH(AV29,ITEM_RES!$J:$J,0)-1,0),0)</f>
        <v>211040001</v>
      </c>
      <c r="AV29" s="10" t="s">
        <v>488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359</v>
      </c>
      <c r="L30" s="9">
        <v>1</v>
      </c>
      <c r="M30" s="9">
        <v>15</v>
      </c>
      <c r="R30" s="9" t="s">
        <v>381</v>
      </c>
      <c r="U30" s="9">
        <f ca="1">IFERROR(OFFSET(ITEM_RES!$A$5,MATCH(BUILDING!T30,ITEM_RES!$J$5:$J$231,0)-1,0),0)</f>
        <v>0</v>
      </c>
      <c r="W30" s="86" t="s">
        <v>604</v>
      </c>
      <c r="X30" s="9">
        <f ca="1">IFERROR(OFFSET(ITEM_RES!$A$5,MATCH(BUILDING!W30,ITEM_RES!$J$5:$J$231,0)-1,0),0)</f>
        <v>211020001</v>
      </c>
      <c r="Z30" s="9" t="s">
        <v>574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462</v>
      </c>
      <c r="AR30" s="11">
        <v>250</v>
      </c>
      <c r="AU30" s="11">
        <f ca="1">IFERROR(OFFSET(ITEM_RES!$A$1,MATCH(AV30,ITEM_RES!$J:$J,0)-1,0),0)</f>
        <v>211040001</v>
      </c>
      <c r="AV30" s="10" t="s">
        <v>488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359</v>
      </c>
      <c r="L31" s="9">
        <v>1</v>
      </c>
      <c r="M31" s="9">
        <v>15</v>
      </c>
      <c r="R31" s="9" t="s">
        <v>381</v>
      </c>
      <c r="U31" s="9">
        <f ca="1">IFERROR(OFFSET(ITEM_RES!$A$5,MATCH(BUILDING!T31,ITEM_RES!$J$5:$J$231,0)-1,0),0)</f>
        <v>0</v>
      </c>
      <c r="W31" s="86" t="s">
        <v>604</v>
      </c>
      <c r="X31" s="9">
        <f ca="1">IFERROR(OFFSET(ITEM_RES!$A$5,MATCH(BUILDING!W31,ITEM_RES!$J$5:$J$231,0)-1,0),0)</f>
        <v>211020001</v>
      </c>
      <c r="Z31" s="9" t="s">
        <v>574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462</v>
      </c>
      <c r="AR31" s="11">
        <v>500</v>
      </c>
      <c r="AU31" s="11">
        <f ca="1">IFERROR(OFFSET(ITEM_RES!$A$1,MATCH(AV31,ITEM_RES!$J:$J,0)-1,0),0)</f>
        <v>211040001</v>
      </c>
      <c r="AV31" s="10" t="s">
        <v>488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359</v>
      </c>
      <c r="L32" s="9">
        <v>1</v>
      </c>
      <c r="M32" s="9">
        <v>15</v>
      </c>
      <c r="R32" s="9" t="s">
        <v>381</v>
      </c>
      <c r="U32" s="9">
        <f ca="1">IFERROR(OFFSET(ITEM_RES!$A$5,MATCH(BUILDING!T32,ITEM_RES!$J$5:$J$231,0)-1,0),0)</f>
        <v>0</v>
      </c>
      <c r="W32" s="86" t="s">
        <v>604</v>
      </c>
      <c r="X32" s="9">
        <f ca="1">IFERROR(OFFSET(ITEM_RES!$A$5,MATCH(BUILDING!W32,ITEM_RES!$J$5:$J$231,0)-1,0),0)</f>
        <v>211020001</v>
      </c>
      <c r="Z32" s="9" t="s">
        <v>574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462</v>
      </c>
      <c r="AR32" s="11">
        <v>500</v>
      </c>
      <c r="AU32" s="11">
        <f ca="1">IFERROR(OFFSET(ITEM_RES!$A$1,MATCH(AV32,ITEM_RES!$J:$J,0)-1,0),0)</f>
        <v>211040001</v>
      </c>
      <c r="AV32" s="10" t="s">
        <v>488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359</v>
      </c>
      <c r="L33" s="9">
        <v>1</v>
      </c>
      <c r="M33" s="9">
        <v>15</v>
      </c>
      <c r="R33" s="9" t="s">
        <v>381</v>
      </c>
      <c r="U33" s="9">
        <f ca="1">IFERROR(OFFSET(ITEM_RES!$A$5,MATCH(BUILDING!T33,ITEM_RES!$J$5:$J$231,0)-1,0),0)</f>
        <v>0</v>
      </c>
      <c r="W33" s="86" t="s">
        <v>604</v>
      </c>
      <c r="X33" s="9">
        <f ca="1">IFERROR(OFFSET(ITEM_RES!$A$5,MATCH(BUILDING!W33,ITEM_RES!$J$5:$J$231,0)-1,0),0)</f>
        <v>211020001</v>
      </c>
      <c r="Z33" s="9" t="s">
        <v>574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462</v>
      </c>
      <c r="AR33" s="11">
        <v>750</v>
      </c>
      <c r="AU33" s="11">
        <f ca="1">IFERROR(OFFSET(ITEM_RES!$A$1,MATCH(AV33,ITEM_RES!$J:$J,0)-1,0),0)</f>
        <v>211040001</v>
      </c>
      <c r="AV33" s="10" t="s">
        <v>488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359</v>
      </c>
      <c r="L34" s="9">
        <v>1</v>
      </c>
      <c r="M34" s="9">
        <v>15</v>
      </c>
      <c r="R34" s="9" t="s">
        <v>381</v>
      </c>
      <c r="U34" s="9">
        <f ca="1">IFERROR(OFFSET(ITEM_RES!$A$5,MATCH(BUILDING!T34,ITEM_RES!$J$5:$J$231,0)-1,0),0)</f>
        <v>0</v>
      </c>
      <c r="W34" s="86" t="s">
        <v>604</v>
      </c>
      <c r="X34" s="9">
        <f ca="1">IFERROR(OFFSET(ITEM_RES!$A$5,MATCH(BUILDING!W34,ITEM_RES!$J$5:$J$231,0)-1,0),0)</f>
        <v>211020001</v>
      </c>
      <c r="Z34" s="9" t="s">
        <v>574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462</v>
      </c>
      <c r="AR34" s="11">
        <v>1000</v>
      </c>
      <c r="AU34" s="11">
        <f ca="1">IFERROR(OFFSET(ITEM_RES!$A$1,MATCH(AV34,ITEM_RES!$J:$J,0)-1,0),0)</f>
        <v>211040001</v>
      </c>
      <c r="AV34" s="10" t="s">
        <v>488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386</v>
      </c>
      <c r="L35" s="9">
        <v>1</v>
      </c>
      <c r="M35" s="9">
        <v>15</v>
      </c>
      <c r="R35" s="9" t="s">
        <v>381</v>
      </c>
      <c r="U35" s="9">
        <f ca="1">IFERROR(OFFSET(ITEM_RES!$A$5,MATCH(BUILDING!T35,ITEM_RES!$J$5:$J$231,0)-1,0),0)</f>
        <v>0</v>
      </c>
      <c r="W35" s="86" t="s">
        <v>604</v>
      </c>
      <c r="X35" s="9">
        <f ca="1">IFERROR(OFFSET(ITEM_RES!$A$5,MATCH(BUILDING!W35,ITEM_RES!$J$5:$J$231,0)-1,0),0)</f>
        <v>211020001</v>
      </c>
      <c r="Z35" s="9" t="s">
        <v>574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462</v>
      </c>
      <c r="AR35" s="11">
        <v>1250</v>
      </c>
      <c r="AU35" s="11">
        <f ca="1">IFERROR(OFFSET(ITEM_RES!$A$1,MATCH(AV35,ITEM_RES!$J:$J,0)-1,0),0)</f>
        <v>211040001</v>
      </c>
      <c r="AV35" s="10" t="s">
        <v>488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359</v>
      </c>
      <c r="L36" s="9">
        <v>1</v>
      </c>
      <c r="M36" s="9">
        <v>15</v>
      </c>
      <c r="R36" s="9" t="s">
        <v>381</v>
      </c>
      <c r="U36" s="9">
        <f ca="1">IFERROR(OFFSET(ITEM_RES!$A$5,MATCH(BUILDING!T36,ITEM_RES!$J$5:$J$231,0)-1,0),0)</f>
        <v>0</v>
      </c>
      <c r="W36" s="86" t="s">
        <v>604</v>
      </c>
      <c r="X36" s="9">
        <f ca="1">IFERROR(OFFSET(ITEM_RES!$A$5,MATCH(BUILDING!W36,ITEM_RES!$J$5:$J$231,0)-1,0),0)</f>
        <v>211020001</v>
      </c>
      <c r="Z36" s="9" t="s">
        <v>574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462</v>
      </c>
      <c r="AR36" s="11">
        <v>1500</v>
      </c>
      <c r="AU36" s="11">
        <f ca="1">IFERROR(OFFSET(ITEM_RES!$A$1,MATCH(AV36,ITEM_RES!$J:$J,0)-1,0),0)</f>
        <v>211040001</v>
      </c>
      <c r="AV36" s="10" t="s">
        <v>488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359</v>
      </c>
      <c r="L37" s="9">
        <v>1</v>
      </c>
      <c r="M37" s="9">
        <v>15</v>
      </c>
      <c r="R37" s="9" t="s">
        <v>381</v>
      </c>
      <c r="U37" s="9">
        <f ca="1">IFERROR(OFFSET(ITEM_RES!$A$5,MATCH(BUILDING!T37,ITEM_RES!$J$5:$J$231,0)-1,0),0)</f>
        <v>0</v>
      </c>
      <c r="W37" s="86" t="s">
        <v>604</v>
      </c>
      <c r="X37" s="9">
        <f ca="1">IFERROR(OFFSET(ITEM_RES!$A$5,MATCH(BUILDING!W37,ITEM_RES!$J$5:$J$231,0)-1,0),0)</f>
        <v>211020001</v>
      </c>
      <c r="Z37" s="9" t="s">
        <v>574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462</v>
      </c>
      <c r="AR37" s="11">
        <v>1750</v>
      </c>
      <c r="AU37" s="11">
        <f ca="1">IFERROR(OFFSET(ITEM_RES!$A$1,MATCH(AV37,ITEM_RES!$J:$J,0)-1,0),0)</f>
        <v>211040001</v>
      </c>
      <c r="AV37" s="10" t="s">
        <v>488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359</v>
      </c>
      <c r="L38" s="9">
        <v>1</v>
      </c>
      <c r="M38" s="9">
        <v>15</v>
      </c>
      <c r="R38" s="9" t="s">
        <v>381</v>
      </c>
      <c r="U38" s="9">
        <f ca="1">IFERROR(OFFSET(ITEM_RES!$A$5,MATCH(BUILDING!T38,ITEM_RES!$J$5:$J$231,0)-1,0),0)</f>
        <v>0</v>
      </c>
      <c r="W38" s="86" t="s">
        <v>604</v>
      </c>
      <c r="X38" s="9">
        <f ca="1">IFERROR(OFFSET(ITEM_RES!$A$5,MATCH(BUILDING!W38,ITEM_RES!$J$5:$J$231,0)-1,0),0)</f>
        <v>211020001</v>
      </c>
      <c r="Z38" s="9" t="s">
        <v>574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462</v>
      </c>
      <c r="AR38" s="11">
        <v>2250</v>
      </c>
      <c r="AU38" s="11">
        <f ca="1">IFERROR(OFFSET(ITEM_RES!$A$1,MATCH(AV38,ITEM_RES!$J:$J,0)-1,0),0)</f>
        <v>211040001</v>
      </c>
      <c r="AV38" s="10" t="s">
        <v>488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359</v>
      </c>
      <c r="L39" s="9">
        <v>1</v>
      </c>
      <c r="M39" s="9">
        <v>15</v>
      </c>
      <c r="R39" s="9" t="s">
        <v>381</v>
      </c>
      <c r="U39" s="9">
        <f ca="1">IFERROR(OFFSET(ITEM_RES!$A$5,MATCH(BUILDING!T39,ITEM_RES!$J$5:$J$231,0)-1,0),0)</f>
        <v>0</v>
      </c>
      <c r="W39" s="86" t="s">
        <v>604</v>
      </c>
      <c r="X39" s="9">
        <f ca="1">IFERROR(OFFSET(ITEM_RES!$A$5,MATCH(BUILDING!W39,ITEM_RES!$J$5:$J$231,0)-1,0),0)</f>
        <v>211020001</v>
      </c>
      <c r="Z39" s="9" t="s">
        <v>574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215010001</v>
      </c>
      <c r="AQ39" s="10" t="s">
        <v>478</v>
      </c>
      <c r="AR39" s="11">
        <v>2750</v>
      </c>
      <c r="AU39" s="11">
        <f ca="1">IFERROR(OFFSET(ITEM_RES!$A$1,MATCH(AV39,ITEM_RES!$J:$J,0)-1,0),0)</f>
        <v>211040001</v>
      </c>
      <c r="AV39" s="10" t="s">
        <v>488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359</v>
      </c>
      <c r="L40" s="9">
        <v>0</v>
      </c>
      <c r="M40" s="9">
        <v>15</v>
      </c>
      <c r="R40" s="9" t="s">
        <v>381</v>
      </c>
      <c r="U40" s="9">
        <f ca="1">IFERROR(OFFSET(ITEM_RES!$A$5,MATCH(BUILDING!T40,ITEM_RES!$J$5:$J$231,0)-1,0),0)</f>
        <v>0</v>
      </c>
      <c r="W40" s="86" t="s">
        <v>604</v>
      </c>
      <c r="X40" s="9">
        <f ca="1">IFERROR(OFFSET(ITEM_RES!$A$5,MATCH(BUILDING!W40,ITEM_RES!$J$5:$J$231,0)-1,0),0)</f>
        <v>211020001</v>
      </c>
      <c r="Z40" s="9" t="s">
        <v>574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215010001</v>
      </c>
      <c r="AQ40" s="10" t="s">
        <v>478</v>
      </c>
      <c r="AR40" s="11">
        <v>3500</v>
      </c>
      <c r="AU40" s="11">
        <f ca="1">IFERROR(OFFSET(ITEM_RES!$A$1,MATCH(AV40,ITEM_RES!$J:$J,0)-1,0),0)</f>
        <v>211040001</v>
      </c>
      <c r="AV40" s="10" t="s">
        <v>488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359</v>
      </c>
      <c r="L41" s="9">
        <v>0</v>
      </c>
      <c r="M41" s="9">
        <v>15</v>
      </c>
      <c r="R41" s="9" t="s">
        <v>381</v>
      </c>
      <c r="U41" s="9">
        <f ca="1">IFERROR(OFFSET(ITEM_RES!$A$5,MATCH(BUILDING!T41,ITEM_RES!$J$5:$J$231,0)-1,0),0)</f>
        <v>0</v>
      </c>
      <c r="W41" s="86" t="s">
        <v>604</v>
      </c>
      <c r="X41" s="9">
        <f ca="1">IFERROR(OFFSET(ITEM_RES!$A$5,MATCH(BUILDING!W41,ITEM_RES!$J$5:$J$231,0)-1,0),0)</f>
        <v>211020001</v>
      </c>
      <c r="Z41" s="9" t="s">
        <v>574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215010001</v>
      </c>
      <c r="AQ41" s="10" t="s">
        <v>478</v>
      </c>
      <c r="AR41" s="11">
        <v>4250</v>
      </c>
      <c r="AU41" s="11">
        <f ca="1">IFERROR(OFFSET(ITEM_RES!$A$1,MATCH(AV41,ITEM_RES!$J:$J,0)-1,0),0)</f>
        <v>211040001</v>
      </c>
      <c r="AV41" s="10" t="s">
        <v>488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359</v>
      </c>
      <c r="L42" s="9">
        <v>0</v>
      </c>
      <c r="M42" s="9">
        <v>15</v>
      </c>
      <c r="R42" s="9" t="s">
        <v>381</v>
      </c>
      <c r="U42" s="9">
        <f ca="1">IFERROR(OFFSET(ITEM_RES!$A$5,MATCH(BUILDING!T42,ITEM_RES!$J$5:$J$231,0)-1,0),0)</f>
        <v>0</v>
      </c>
      <c r="W42" s="86" t="s">
        <v>604</v>
      </c>
      <c r="X42" s="9">
        <f ca="1">IFERROR(OFFSET(ITEM_RES!$A$5,MATCH(BUILDING!W42,ITEM_RES!$J$5:$J$231,0)-1,0),0)</f>
        <v>211020001</v>
      </c>
      <c r="Z42" s="9" t="s">
        <v>574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215010001</v>
      </c>
      <c r="AQ42" s="10" t="s">
        <v>478</v>
      </c>
      <c r="AR42" s="11">
        <v>5250</v>
      </c>
      <c r="AU42" s="11">
        <f ca="1">IFERROR(OFFSET(ITEM_RES!$A$1,MATCH(AV42,ITEM_RES!$J:$J,0)-1,0),0)</f>
        <v>211040001</v>
      </c>
      <c r="AV42" s="10" t="s">
        <v>488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359</v>
      </c>
      <c r="L43" s="9">
        <v>0</v>
      </c>
      <c r="M43" s="9">
        <v>15</v>
      </c>
      <c r="R43" s="9" t="s">
        <v>381</v>
      </c>
      <c r="U43" s="9">
        <f ca="1">IFERROR(OFFSET(ITEM_RES!$A$5,MATCH(BUILDING!T43,ITEM_RES!$J$5:$J$231,0)-1,0),0)</f>
        <v>0</v>
      </c>
      <c r="W43" s="86" t="s">
        <v>604</v>
      </c>
      <c r="X43" s="9">
        <f ca="1">IFERROR(OFFSET(ITEM_RES!$A$5,MATCH(BUILDING!W43,ITEM_RES!$J$5:$J$231,0)-1,0),0)</f>
        <v>211020001</v>
      </c>
      <c r="Z43" s="9" t="s">
        <v>574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215010001</v>
      </c>
      <c r="AQ43" s="10" t="s">
        <v>478</v>
      </c>
      <c r="AR43" s="11">
        <v>6250</v>
      </c>
      <c r="AU43" s="11">
        <f ca="1">IFERROR(OFFSET(ITEM_RES!$A$1,MATCH(AV43,ITEM_RES!$J:$J,0)-1,0),0)</f>
        <v>211040001</v>
      </c>
      <c r="AV43" s="10" t="s">
        <v>488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359</v>
      </c>
      <c r="L44" s="9">
        <v>0</v>
      </c>
      <c r="M44" s="9">
        <v>15</v>
      </c>
      <c r="R44" s="9" t="s">
        <v>381</v>
      </c>
      <c r="U44" s="9">
        <f ca="1">IFERROR(OFFSET(ITEM_RES!$A$5,MATCH(BUILDING!T44,ITEM_RES!$J$5:$J$231,0)-1,0),0)</f>
        <v>0</v>
      </c>
      <c r="W44" s="86" t="s">
        <v>604</v>
      </c>
      <c r="X44" s="9">
        <f ca="1">IFERROR(OFFSET(ITEM_RES!$A$5,MATCH(BUILDING!W44,ITEM_RES!$J$5:$J$231,0)-1,0),0)</f>
        <v>211020001</v>
      </c>
      <c r="Z44" s="9" t="s">
        <v>574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215010001</v>
      </c>
      <c r="AQ44" s="10" t="s">
        <v>478</v>
      </c>
      <c r="AR44" s="11">
        <v>7500</v>
      </c>
      <c r="AU44" s="11">
        <f ca="1">IFERROR(OFFSET(ITEM_RES!$A$1,MATCH(AV44,ITEM_RES!$J:$J,0)-1,0),0)</f>
        <v>211040001</v>
      </c>
      <c r="AV44" s="10" t="s">
        <v>488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360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605</v>
      </c>
      <c r="X45" s="16">
        <f ca="1">IFERROR(OFFSET(ITEM_RES!$A$5,MATCH(BUILDING!W45,ITEM_RES!$J$5:$J$231,0)-1,0),0)</f>
        <v>211030001</v>
      </c>
      <c r="Y45" s="80"/>
      <c r="Z45" s="16" t="s">
        <v>575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463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488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495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360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605</v>
      </c>
      <c r="X46" s="9">
        <f ca="1">IFERROR(OFFSET(ITEM_RES!$A$5,MATCH(BUILDING!W46,ITEM_RES!$J$5:$J$231,0)-1,0),0)</f>
        <v>211030001</v>
      </c>
      <c r="Z46" s="9" t="s">
        <v>575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463</v>
      </c>
      <c r="AR46" s="11">
        <v>50</v>
      </c>
      <c r="AU46" s="11">
        <f ca="1">IFERROR(OFFSET(ITEM_RES!$A$1,MATCH(AV46,ITEM_RES!$J:$J,0)-1,0),0)</f>
        <v>211040001</v>
      </c>
      <c r="AV46" s="10" t="s">
        <v>488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360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605</v>
      </c>
      <c r="X47" s="9">
        <f ca="1">IFERROR(OFFSET(ITEM_RES!$A$5,MATCH(BUILDING!W47,ITEM_RES!$J$5:$J$231,0)-1,0),0)</f>
        <v>211030001</v>
      </c>
      <c r="Z47" s="9" t="s">
        <v>575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463</v>
      </c>
      <c r="AR47" s="11">
        <v>75</v>
      </c>
      <c r="AU47" s="11">
        <f ca="1">IFERROR(OFFSET(ITEM_RES!$A$1,MATCH(AV47,ITEM_RES!$J:$J,0)-1,0),0)</f>
        <v>211040001</v>
      </c>
      <c r="AV47" s="10" t="s">
        <v>488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360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605</v>
      </c>
      <c r="X48" s="9">
        <f ca="1">IFERROR(OFFSET(ITEM_RES!$A$5,MATCH(BUILDING!W48,ITEM_RES!$J$5:$J$231,0)-1,0),0)</f>
        <v>211030001</v>
      </c>
      <c r="Z48" s="9" t="s">
        <v>575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463</v>
      </c>
      <c r="AR48" s="11">
        <v>125</v>
      </c>
      <c r="AU48" s="11">
        <f ca="1">IFERROR(OFFSET(ITEM_RES!$A$1,MATCH(AV48,ITEM_RES!$J:$J,0)-1,0),0)</f>
        <v>211040001</v>
      </c>
      <c r="AV48" s="10" t="s">
        <v>488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360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605</v>
      </c>
      <c r="X49" s="9">
        <f ca="1">IFERROR(OFFSET(ITEM_RES!$A$5,MATCH(BUILDING!W49,ITEM_RES!$J$5:$J$231,0)-1,0),0)</f>
        <v>211030001</v>
      </c>
      <c r="Z49" s="9" t="s">
        <v>575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463</v>
      </c>
      <c r="AR49" s="11">
        <v>200</v>
      </c>
      <c r="AU49" s="11">
        <f ca="1">IFERROR(OFFSET(ITEM_RES!$A$1,MATCH(AV49,ITEM_RES!$J:$J,0)-1,0),0)</f>
        <v>211040001</v>
      </c>
      <c r="AV49" s="10" t="s">
        <v>488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360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605</v>
      </c>
      <c r="X50" s="9">
        <f ca="1">IFERROR(OFFSET(ITEM_RES!$A$5,MATCH(BUILDING!W50,ITEM_RES!$J$5:$J$231,0)-1,0),0)</f>
        <v>211030001</v>
      </c>
      <c r="Z50" s="9" t="s">
        <v>575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463</v>
      </c>
      <c r="AR50" s="11">
        <v>250</v>
      </c>
      <c r="AU50" s="11">
        <f ca="1">IFERROR(OFFSET(ITEM_RES!$A$1,MATCH(AV50,ITEM_RES!$J:$J,0)-1,0),0)</f>
        <v>211040001</v>
      </c>
      <c r="AV50" s="10" t="s">
        <v>488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360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605</v>
      </c>
      <c r="X51" s="9">
        <f ca="1">IFERROR(OFFSET(ITEM_RES!$A$5,MATCH(BUILDING!W51,ITEM_RES!$J$5:$J$231,0)-1,0),0)</f>
        <v>211030001</v>
      </c>
      <c r="Z51" s="9" t="s">
        <v>575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463</v>
      </c>
      <c r="AR51" s="11">
        <v>500</v>
      </c>
      <c r="AU51" s="11">
        <f ca="1">IFERROR(OFFSET(ITEM_RES!$A$1,MATCH(AV51,ITEM_RES!$J:$J,0)-1,0),0)</f>
        <v>211040001</v>
      </c>
      <c r="AV51" s="10" t="s">
        <v>488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360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605</v>
      </c>
      <c r="X52" s="9">
        <f ca="1">IFERROR(OFFSET(ITEM_RES!$A$5,MATCH(BUILDING!W52,ITEM_RES!$J$5:$J$231,0)-1,0),0)</f>
        <v>211030001</v>
      </c>
      <c r="Z52" s="9" t="s">
        <v>575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463</v>
      </c>
      <c r="AR52" s="11">
        <v>500</v>
      </c>
      <c r="AU52" s="11">
        <f ca="1">IFERROR(OFFSET(ITEM_RES!$A$1,MATCH(AV52,ITEM_RES!$J:$J,0)-1,0),0)</f>
        <v>211040001</v>
      </c>
      <c r="AV52" s="10" t="s">
        <v>488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387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605</v>
      </c>
      <c r="X53" s="9">
        <f ca="1">IFERROR(OFFSET(ITEM_RES!$A$5,MATCH(BUILDING!W53,ITEM_RES!$J$5:$J$231,0)-1,0),0)</f>
        <v>211030001</v>
      </c>
      <c r="Z53" s="9" t="s">
        <v>575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463</v>
      </c>
      <c r="AR53" s="11">
        <v>750</v>
      </c>
      <c r="AU53" s="11">
        <f ca="1">IFERROR(OFFSET(ITEM_RES!$A$1,MATCH(AV53,ITEM_RES!$J:$J,0)-1,0),0)</f>
        <v>211040001</v>
      </c>
      <c r="AV53" s="10" t="s">
        <v>488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360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605</v>
      </c>
      <c r="X54" s="9">
        <f ca="1">IFERROR(OFFSET(ITEM_RES!$A$5,MATCH(BUILDING!W54,ITEM_RES!$J$5:$J$231,0)-1,0),0)</f>
        <v>211030001</v>
      </c>
      <c r="Z54" s="9" t="s">
        <v>575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463</v>
      </c>
      <c r="AR54" s="11">
        <v>1000</v>
      </c>
      <c r="AU54" s="11">
        <f ca="1">IFERROR(OFFSET(ITEM_RES!$A$1,MATCH(AV54,ITEM_RES!$J:$J,0)-1,0),0)</f>
        <v>211040001</v>
      </c>
      <c r="AV54" s="10" t="s">
        <v>488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360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605</v>
      </c>
      <c r="X55" s="9">
        <f ca="1">IFERROR(OFFSET(ITEM_RES!$A$5,MATCH(BUILDING!W55,ITEM_RES!$J$5:$J$231,0)-1,0),0)</f>
        <v>211030001</v>
      </c>
      <c r="Z55" s="9" t="s">
        <v>575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463</v>
      </c>
      <c r="AR55" s="11">
        <v>1250</v>
      </c>
      <c r="AU55" s="11">
        <f ca="1">IFERROR(OFFSET(ITEM_RES!$A$1,MATCH(AV55,ITEM_RES!$J:$J,0)-1,0),0)</f>
        <v>211040001</v>
      </c>
      <c r="AV55" s="10" t="s">
        <v>488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360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605</v>
      </c>
      <c r="X56" s="9">
        <f ca="1">IFERROR(OFFSET(ITEM_RES!$A$5,MATCH(BUILDING!W56,ITEM_RES!$J$5:$J$231,0)-1,0),0)</f>
        <v>211030001</v>
      </c>
      <c r="Z56" s="9" t="s">
        <v>575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463</v>
      </c>
      <c r="AR56" s="11">
        <v>1500</v>
      </c>
      <c r="AU56" s="11">
        <f ca="1">IFERROR(OFFSET(ITEM_RES!$A$1,MATCH(AV56,ITEM_RES!$J:$J,0)-1,0),0)</f>
        <v>211040001</v>
      </c>
      <c r="AV56" s="10" t="s">
        <v>488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360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605</v>
      </c>
      <c r="X57" s="9">
        <f ca="1">IFERROR(OFFSET(ITEM_RES!$A$5,MATCH(BUILDING!W57,ITEM_RES!$J$5:$J$231,0)-1,0),0)</f>
        <v>211030001</v>
      </c>
      <c r="Z57" s="9" t="s">
        <v>575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463</v>
      </c>
      <c r="AR57" s="11">
        <v>1750</v>
      </c>
      <c r="AU57" s="11">
        <f ca="1">IFERROR(OFFSET(ITEM_RES!$A$1,MATCH(AV57,ITEM_RES!$J:$J,0)-1,0),0)</f>
        <v>211040001</v>
      </c>
      <c r="AV57" s="10" t="s">
        <v>488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360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605</v>
      </c>
      <c r="X58" s="9">
        <f ca="1">IFERROR(OFFSET(ITEM_RES!$A$5,MATCH(BUILDING!W58,ITEM_RES!$J$5:$J$231,0)-1,0),0)</f>
        <v>211030001</v>
      </c>
      <c r="Z58" s="9" t="s">
        <v>575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215010001</v>
      </c>
      <c r="AQ58" s="10" t="s">
        <v>478</v>
      </c>
      <c r="AR58" s="11">
        <v>2250</v>
      </c>
      <c r="AU58" s="11">
        <f ca="1">IFERROR(OFFSET(ITEM_RES!$A$1,MATCH(AV58,ITEM_RES!$J:$J,0)-1,0),0)</f>
        <v>211040001</v>
      </c>
      <c r="AV58" s="10" t="s">
        <v>488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360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605</v>
      </c>
      <c r="X59" s="9">
        <f ca="1">IFERROR(OFFSET(ITEM_RES!$A$5,MATCH(BUILDING!W59,ITEM_RES!$J$5:$J$231,0)-1,0),0)</f>
        <v>211030001</v>
      </c>
      <c r="Z59" s="9" t="s">
        <v>575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215010001</v>
      </c>
      <c r="AQ59" s="10" t="s">
        <v>478</v>
      </c>
      <c r="AR59" s="11">
        <v>2750</v>
      </c>
      <c r="AU59" s="11">
        <f ca="1">IFERROR(OFFSET(ITEM_RES!$A$1,MATCH(AV59,ITEM_RES!$J:$J,0)-1,0),0)</f>
        <v>211040001</v>
      </c>
      <c r="AV59" s="10" t="s">
        <v>488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360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605</v>
      </c>
      <c r="X60" s="9">
        <f ca="1">IFERROR(OFFSET(ITEM_RES!$A$5,MATCH(BUILDING!W60,ITEM_RES!$J$5:$J$231,0)-1,0),0)</f>
        <v>211030001</v>
      </c>
      <c r="Z60" s="9" t="s">
        <v>575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215010001</v>
      </c>
      <c r="AQ60" s="10" t="s">
        <v>478</v>
      </c>
      <c r="AR60" s="11">
        <v>3500</v>
      </c>
      <c r="AU60" s="11">
        <f ca="1">IFERROR(OFFSET(ITEM_RES!$A$1,MATCH(AV60,ITEM_RES!$J:$J,0)-1,0),0)</f>
        <v>211040001</v>
      </c>
      <c r="AV60" s="10" t="s">
        <v>488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360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605</v>
      </c>
      <c r="X61" s="9">
        <f ca="1">IFERROR(OFFSET(ITEM_RES!$A$5,MATCH(BUILDING!W61,ITEM_RES!$J$5:$J$231,0)-1,0),0)</f>
        <v>211030001</v>
      </c>
      <c r="Z61" s="9" t="s">
        <v>575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215010001</v>
      </c>
      <c r="AQ61" s="10" t="s">
        <v>478</v>
      </c>
      <c r="AR61" s="11">
        <v>4250</v>
      </c>
      <c r="AU61" s="11">
        <f ca="1">IFERROR(OFFSET(ITEM_RES!$A$1,MATCH(AV61,ITEM_RES!$J:$J,0)-1,0),0)</f>
        <v>211040001</v>
      </c>
      <c r="AV61" s="10" t="s">
        <v>488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360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605</v>
      </c>
      <c r="X62" s="9">
        <f ca="1">IFERROR(OFFSET(ITEM_RES!$A$5,MATCH(BUILDING!W62,ITEM_RES!$J$5:$J$231,0)-1,0),0)</f>
        <v>211030001</v>
      </c>
      <c r="Z62" s="9" t="s">
        <v>575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215010001</v>
      </c>
      <c r="AQ62" s="10" t="s">
        <v>478</v>
      </c>
      <c r="AR62" s="11">
        <v>5250</v>
      </c>
      <c r="AU62" s="11">
        <f ca="1">IFERROR(OFFSET(ITEM_RES!$A$1,MATCH(AV62,ITEM_RES!$J:$J,0)-1,0),0)</f>
        <v>211040001</v>
      </c>
      <c r="AV62" s="10" t="s">
        <v>488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360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605</v>
      </c>
      <c r="X63" s="9">
        <f ca="1">IFERROR(OFFSET(ITEM_RES!$A$5,MATCH(BUILDING!W63,ITEM_RES!$J$5:$J$231,0)-1,0),0)</f>
        <v>211030001</v>
      </c>
      <c r="Z63" s="9" t="s">
        <v>575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215010001</v>
      </c>
      <c r="AQ63" s="10" t="s">
        <v>478</v>
      </c>
      <c r="AR63" s="11">
        <v>6250</v>
      </c>
      <c r="AU63" s="11">
        <f ca="1">IFERROR(OFFSET(ITEM_RES!$A$1,MATCH(AV63,ITEM_RES!$J:$J,0)-1,0),0)</f>
        <v>211040001</v>
      </c>
      <c r="AV63" s="10" t="s">
        <v>488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360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605</v>
      </c>
      <c r="X64" s="9">
        <f ca="1">IFERROR(OFFSET(ITEM_RES!$A$5,MATCH(BUILDING!W64,ITEM_RES!$J$5:$J$231,0)-1,0),0)</f>
        <v>211030001</v>
      </c>
      <c r="Z64" s="9" t="s">
        <v>575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215010001</v>
      </c>
      <c r="AQ64" s="10" t="s">
        <v>478</v>
      </c>
      <c r="AR64" s="11">
        <v>7500</v>
      </c>
      <c r="AU64" s="11">
        <f ca="1">IFERROR(OFFSET(ITEM_RES!$A$1,MATCH(AV64,ITEM_RES!$J:$J,0)-1,0),0)</f>
        <v>211040001</v>
      </c>
      <c r="AV64" s="10" t="s">
        <v>488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475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606</v>
      </c>
      <c r="X65" s="16">
        <f ca="1">IFERROR(OFFSET(ITEM_RES!$A$5,MATCH(BUILDING!W65,ITEM_RES!$J$5:$J$231,0)-1,0),0)</f>
        <v>211040001</v>
      </c>
      <c r="Y65" s="80"/>
      <c r="Z65" s="16" t="s">
        <v>576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461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472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495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475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606</v>
      </c>
      <c r="X66" s="9">
        <f ca="1">IFERROR(OFFSET(ITEM_RES!$A$5,MATCH(BUILDING!W66,ITEM_RES!$J$5:$J$231,0)-1,0),0)</f>
        <v>211040001</v>
      </c>
      <c r="Z66" s="9" t="s">
        <v>576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463</v>
      </c>
      <c r="AR66" s="11">
        <v>50</v>
      </c>
      <c r="AU66" s="11">
        <f ca="1">IFERROR(OFFSET(ITEM_RES!$A$1,MATCH(AV66,ITEM_RES!$J:$J,0)-1,0),0)</f>
        <v>212040001</v>
      </c>
      <c r="AV66" s="10" t="s">
        <v>472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475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606</v>
      </c>
      <c r="X67" s="9">
        <f ca="1">IFERROR(OFFSET(ITEM_RES!$A$5,MATCH(BUILDING!W67,ITEM_RES!$J$5:$J$231,0)-1,0),0)</f>
        <v>211040001</v>
      </c>
      <c r="Z67" s="9" t="s">
        <v>576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463</v>
      </c>
      <c r="AR67" s="11">
        <v>75</v>
      </c>
      <c r="AU67" s="11">
        <f ca="1">IFERROR(OFFSET(ITEM_RES!$A$1,MATCH(AV67,ITEM_RES!$J:$J,0)-1,0),0)</f>
        <v>212040001</v>
      </c>
      <c r="AV67" s="10" t="s">
        <v>472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475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606</v>
      </c>
      <c r="X68" s="9">
        <f ca="1">IFERROR(OFFSET(ITEM_RES!$A$5,MATCH(BUILDING!W68,ITEM_RES!$J$5:$J$231,0)-1,0),0)</f>
        <v>211040001</v>
      </c>
      <c r="Z68" s="9" t="s">
        <v>576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463</v>
      </c>
      <c r="AR68" s="11">
        <v>125</v>
      </c>
      <c r="AU68" s="11">
        <f ca="1">IFERROR(OFFSET(ITEM_RES!$A$1,MATCH(AV68,ITEM_RES!$J:$J,0)-1,0),0)</f>
        <v>212040001</v>
      </c>
      <c r="AV68" s="10" t="s">
        <v>472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475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606</v>
      </c>
      <c r="X69" s="9">
        <f ca="1">IFERROR(OFFSET(ITEM_RES!$A$5,MATCH(BUILDING!W69,ITEM_RES!$J$5:$J$231,0)-1,0),0)</f>
        <v>211040001</v>
      </c>
      <c r="Z69" s="9" t="s">
        <v>576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463</v>
      </c>
      <c r="AR69" s="11">
        <v>200</v>
      </c>
      <c r="AU69" s="11">
        <f ca="1">IFERROR(OFFSET(ITEM_RES!$A$1,MATCH(AV69,ITEM_RES!$J:$J,0)-1,0),0)</f>
        <v>212040001</v>
      </c>
      <c r="AV69" s="10" t="s">
        <v>472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475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606</v>
      </c>
      <c r="X70" s="9">
        <f ca="1">IFERROR(OFFSET(ITEM_RES!$A$5,MATCH(BUILDING!W70,ITEM_RES!$J$5:$J$231,0)-1,0),0)</f>
        <v>211040001</v>
      </c>
      <c r="Z70" s="9" t="s">
        <v>576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463</v>
      </c>
      <c r="AR70" s="11">
        <v>250</v>
      </c>
      <c r="AU70" s="11">
        <f ca="1">IFERROR(OFFSET(ITEM_RES!$A$1,MATCH(AV70,ITEM_RES!$J:$J,0)-1,0),0)</f>
        <v>212040001</v>
      </c>
      <c r="AV70" s="10" t="s">
        <v>472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475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606</v>
      </c>
      <c r="X71" s="9">
        <f ca="1">IFERROR(OFFSET(ITEM_RES!$A$5,MATCH(BUILDING!W71,ITEM_RES!$J$5:$J$231,0)-1,0),0)</f>
        <v>211040001</v>
      </c>
      <c r="Z71" s="9" t="s">
        <v>576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463</v>
      </c>
      <c r="AR71" s="11">
        <v>500</v>
      </c>
      <c r="AU71" s="11">
        <f ca="1">IFERROR(OFFSET(ITEM_RES!$A$1,MATCH(AV71,ITEM_RES!$J:$J,0)-1,0),0)</f>
        <v>212040001</v>
      </c>
      <c r="AV71" s="10" t="s">
        <v>472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475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606</v>
      </c>
      <c r="X72" s="9">
        <f ca="1">IFERROR(OFFSET(ITEM_RES!$A$5,MATCH(BUILDING!W72,ITEM_RES!$J$5:$J$231,0)-1,0),0)</f>
        <v>211040001</v>
      </c>
      <c r="Z72" s="9" t="s">
        <v>576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463</v>
      </c>
      <c r="AR72" s="11">
        <v>500</v>
      </c>
      <c r="AU72" s="11">
        <f ca="1">IFERROR(OFFSET(ITEM_RES!$A$1,MATCH(AV72,ITEM_RES!$J:$J,0)-1,0),0)</f>
        <v>212040001</v>
      </c>
      <c r="AV72" s="10" t="s">
        <v>472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475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606</v>
      </c>
      <c r="X73" s="9">
        <f ca="1">IFERROR(OFFSET(ITEM_RES!$A$5,MATCH(BUILDING!W73,ITEM_RES!$J$5:$J$231,0)-1,0),0)</f>
        <v>211040001</v>
      </c>
      <c r="Z73" s="9" t="s">
        <v>576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463</v>
      </c>
      <c r="AR73" s="11">
        <v>750</v>
      </c>
      <c r="AU73" s="11">
        <f ca="1">IFERROR(OFFSET(ITEM_RES!$A$1,MATCH(AV73,ITEM_RES!$J:$J,0)-1,0),0)</f>
        <v>212040001</v>
      </c>
      <c r="AV73" s="10" t="s">
        <v>472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475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606</v>
      </c>
      <c r="X74" s="9">
        <f ca="1">IFERROR(OFFSET(ITEM_RES!$A$5,MATCH(BUILDING!W74,ITEM_RES!$J$5:$J$231,0)-1,0),0)</f>
        <v>211040001</v>
      </c>
      <c r="Z74" s="9" t="s">
        <v>576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463</v>
      </c>
      <c r="AR74" s="11">
        <v>1000</v>
      </c>
      <c r="AU74" s="11">
        <f ca="1">IFERROR(OFFSET(ITEM_RES!$A$1,MATCH(AV74,ITEM_RES!$J:$J,0)-1,0),0)</f>
        <v>212040001</v>
      </c>
      <c r="AV74" s="10" t="s">
        <v>472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475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606</v>
      </c>
      <c r="X75" s="9">
        <f ca="1">IFERROR(OFFSET(ITEM_RES!$A$5,MATCH(BUILDING!W75,ITEM_RES!$J$5:$J$231,0)-1,0),0)</f>
        <v>211040001</v>
      </c>
      <c r="Z75" s="9" t="s">
        <v>576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463</v>
      </c>
      <c r="AR75" s="11">
        <v>1250</v>
      </c>
      <c r="AU75" s="11">
        <f ca="1">IFERROR(OFFSET(ITEM_RES!$A$1,MATCH(AV75,ITEM_RES!$J:$J,0)-1,0),0)</f>
        <v>212040001</v>
      </c>
      <c r="AV75" s="10" t="s">
        <v>472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503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475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606</v>
      </c>
      <c r="X76" s="9">
        <f ca="1">IFERROR(OFFSET(ITEM_RES!$A$5,MATCH(BUILDING!W76,ITEM_RES!$J$5:$J$231,0)-1,0),0)</f>
        <v>211040001</v>
      </c>
      <c r="Z76" s="9" t="s">
        <v>576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463</v>
      </c>
      <c r="AR76" s="11">
        <v>1500</v>
      </c>
      <c r="AU76" s="11">
        <f ca="1">IFERROR(OFFSET(ITEM_RES!$A$1,MATCH(AV76,ITEM_RES!$J:$J,0)-1,0),0)</f>
        <v>212040001</v>
      </c>
      <c r="AV76" s="10" t="s">
        <v>472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475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606</v>
      </c>
      <c r="X77" s="9">
        <f ca="1">IFERROR(OFFSET(ITEM_RES!$A$5,MATCH(BUILDING!W77,ITEM_RES!$J$5:$J$231,0)-1,0),0)</f>
        <v>211040001</v>
      </c>
      <c r="Z77" s="9" t="s">
        <v>576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463</v>
      </c>
      <c r="AR77" s="11">
        <v>1750</v>
      </c>
      <c r="AU77" s="11">
        <f ca="1">IFERROR(OFFSET(ITEM_RES!$A$1,MATCH(AV77,ITEM_RES!$J:$J,0)-1,0),0)</f>
        <v>212040001</v>
      </c>
      <c r="AV77" s="10" t="s">
        <v>472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475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606</v>
      </c>
      <c r="X78" s="9">
        <f ca="1">IFERROR(OFFSET(ITEM_RES!$A$5,MATCH(BUILDING!W78,ITEM_RES!$J$5:$J$231,0)-1,0),0)</f>
        <v>211040001</v>
      </c>
      <c r="Z78" s="9" t="s">
        <v>576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463</v>
      </c>
      <c r="AR78" s="11">
        <v>2250</v>
      </c>
      <c r="AU78" s="11">
        <f ca="1">IFERROR(OFFSET(ITEM_RES!$A$1,MATCH(AV78,ITEM_RES!$J:$J,0)-1,0),0)</f>
        <v>215050001</v>
      </c>
      <c r="AV78" s="10" t="s">
        <v>484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475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606</v>
      </c>
      <c r="X79" s="9">
        <f ca="1">IFERROR(OFFSET(ITEM_RES!$A$5,MATCH(BUILDING!W79,ITEM_RES!$J$5:$J$231,0)-1,0),0)</f>
        <v>211040001</v>
      </c>
      <c r="Z79" s="9" t="s">
        <v>576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463</v>
      </c>
      <c r="AR79" s="11">
        <v>2750</v>
      </c>
      <c r="AU79" s="11">
        <f ca="1">IFERROR(OFFSET(ITEM_RES!$A$1,MATCH(AV79,ITEM_RES!$J:$J,0)-1,0),0)</f>
        <v>215050001</v>
      </c>
      <c r="AV79" s="10" t="s">
        <v>484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475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606</v>
      </c>
      <c r="X80" s="9">
        <f ca="1">IFERROR(OFFSET(ITEM_RES!$A$5,MATCH(BUILDING!W80,ITEM_RES!$J$5:$J$231,0)-1,0),0)</f>
        <v>211040001</v>
      </c>
      <c r="Z80" s="9" t="s">
        <v>576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463</v>
      </c>
      <c r="AR80" s="11">
        <v>3500</v>
      </c>
      <c r="AU80" s="11">
        <f ca="1">IFERROR(OFFSET(ITEM_RES!$A$1,MATCH(AV80,ITEM_RES!$J:$J,0)-1,0),0)</f>
        <v>215050001</v>
      </c>
      <c r="AV80" s="10" t="s">
        <v>484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475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606</v>
      </c>
      <c r="X81" s="9">
        <f ca="1">IFERROR(OFFSET(ITEM_RES!$A$5,MATCH(BUILDING!W81,ITEM_RES!$J$5:$J$231,0)-1,0),0)</f>
        <v>211040001</v>
      </c>
      <c r="Z81" s="9" t="s">
        <v>576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463</v>
      </c>
      <c r="AR81" s="11">
        <v>4250</v>
      </c>
      <c r="AU81" s="11">
        <f ca="1">IFERROR(OFFSET(ITEM_RES!$A$1,MATCH(AV81,ITEM_RES!$J:$J,0)-1,0),0)</f>
        <v>215050001</v>
      </c>
      <c r="AV81" s="10" t="s">
        <v>484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475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606</v>
      </c>
      <c r="X82" s="9">
        <f ca="1">IFERROR(OFFSET(ITEM_RES!$A$5,MATCH(BUILDING!W82,ITEM_RES!$J$5:$J$231,0)-1,0),0)</f>
        <v>211040001</v>
      </c>
      <c r="Z82" s="9" t="s">
        <v>576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463</v>
      </c>
      <c r="AR82" s="11">
        <v>5250</v>
      </c>
      <c r="AU82" s="11">
        <f ca="1">IFERROR(OFFSET(ITEM_RES!$A$1,MATCH(AV82,ITEM_RES!$J:$J,0)-1,0),0)</f>
        <v>215050001</v>
      </c>
      <c r="AV82" s="10" t="s">
        <v>484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475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606</v>
      </c>
      <c r="X83" s="9">
        <f ca="1">IFERROR(OFFSET(ITEM_RES!$A$5,MATCH(BUILDING!W83,ITEM_RES!$J$5:$J$231,0)-1,0),0)</f>
        <v>211040001</v>
      </c>
      <c r="Z83" s="9" t="s">
        <v>576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463</v>
      </c>
      <c r="AR83" s="11">
        <v>6250</v>
      </c>
      <c r="AU83" s="11">
        <f ca="1">IFERROR(OFFSET(ITEM_RES!$A$1,MATCH(AV83,ITEM_RES!$J:$J,0)-1,0),0)</f>
        <v>215050001</v>
      </c>
      <c r="AV83" s="10" t="s">
        <v>484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475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606</v>
      </c>
      <c r="X84" s="9">
        <f ca="1">IFERROR(OFFSET(ITEM_RES!$A$5,MATCH(BUILDING!W84,ITEM_RES!$J$5:$J$231,0)-1,0),0)</f>
        <v>211040001</v>
      </c>
      <c r="Z84" s="9" t="s">
        <v>576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461</v>
      </c>
      <c r="AR84" s="11">
        <v>7500</v>
      </c>
      <c r="AU84" s="11">
        <f ca="1">IFERROR(OFFSET(ITEM_RES!$A$1,MATCH(AV84,ITEM_RES!$J:$J,0)-1,0),0)</f>
        <v>215050001</v>
      </c>
      <c r="AV84" s="10" t="s">
        <v>484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382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608</v>
      </c>
      <c r="U85" s="16">
        <f ca="1">IFERROR(OFFSET(ITEM_RES!$A$5,MATCH(BUILDING!T85,ITEM_RES!$J$5:$J$231,0)-1,0),0)</f>
        <v>215020001</v>
      </c>
      <c r="V85" s="18">
        <v>100</v>
      </c>
      <c r="W85" s="88" t="s">
        <v>607</v>
      </c>
      <c r="X85" s="16">
        <f ca="1">IFERROR(OFFSET(ITEM_RES!$A$5,MATCH(BUILDING!W85,ITEM_RES!$J$5:$J$231,0)-1,0),0)</f>
        <v>215030001</v>
      </c>
      <c r="Y85" s="80"/>
      <c r="Z85" s="16" t="s">
        <v>577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465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471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495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382</v>
      </c>
      <c r="L86" s="9">
        <v>1</v>
      </c>
      <c r="M86" s="9">
        <v>15</v>
      </c>
      <c r="R86" s="9">
        <v>22</v>
      </c>
      <c r="T86" s="86" t="s">
        <v>608</v>
      </c>
      <c r="U86" s="9">
        <f ca="1">IFERROR(OFFSET(ITEM_RES!$A$5,MATCH(BUILDING!T86,ITEM_RES!$J$5:$J$231,0)-1,0),0)</f>
        <v>215020001</v>
      </c>
      <c r="V86" s="11">
        <v>100</v>
      </c>
      <c r="W86" s="86" t="s">
        <v>607</v>
      </c>
      <c r="X86" s="9">
        <f ca="1">IFERROR(OFFSET(ITEM_RES!$A$5,MATCH(BUILDING!W86,ITEM_RES!$J$5:$J$231,0)-1,0),0)</f>
        <v>215030001</v>
      </c>
      <c r="Z86" s="9" t="s">
        <v>577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466</v>
      </c>
      <c r="AR86" s="11">
        <v>50</v>
      </c>
      <c r="AU86" s="11">
        <f ca="1">IFERROR(OFFSET(ITEM_RES!$A$1,MATCH(AV86,ITEM_RES!$J:$J,0)-1,0),0)</f>
        <v>212010001</v>
      </c>
      <c r="AV86" s="10" t="s">
        <v>471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382</v>
      </c>
      <c r="L87" s="9">
        <v>1</v>
      </c>
      <c r="M87" s="9">
        <v>15</v>
      </c>
      <c r="R87" s="9">
        <v>22</v>
      </c>
      <c r="T87" s="86" t="s">
        <v>608</v>
      </c>
      <c r="U87" s="9">
        <f ca="1">IFERROR(OFFSET(ITEM_RES!$A$5,MATCH(BUILDING!T87,ITEM_RES!$J$5:$J$231,0)-1,0),0)</f>
        <v>215020001</v>
      </c>
      <c r="V87" s="11">
        <v>100</v>
      </c>
      <c r="W87" s="86" t="s">
        <v>607</v>
      </c>
      <c r="X87" s="9">
        <f ca="1">IFERROR(OFFSET(ITEM_RES!$A$5,MATCH(BUILDING!W87,ITEM_RES!$J$5:$J$231,0)-1,0),0)</f>
        <v>215030001</v>
      </c>
      <c r="Z87" s="9" t="s">
        <v>577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465</v>
      </c>
      <c r="AR87" s="11">
        <v>75</v>
      </c>
      <c r="AU87" s="11">
        <f ca="1">IFERROR(OFFSET(ITEM_RES!$A$1,MATCH(AV87,ITEM_RES!$J:$J,0)-1,0),0)</f>
        <v>212010001</v>
      </c>
      <c r="AV87" s="10" t="s">
        <v>471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382</v>
      </c>
      <c r="L88" s="9">
        <v>1</v>
      </c>
      <c r="M88" s="9">
        <v>15</v>
      </c>
      <c r="R88" s="9">
        <v>22</v>
      </c>
      <c r="T88" s="86" t="s">
        <v>608</v>
      </c>
      <c r="U88" s="9">
        <f ca="1">IFERROR(OFFSET(ITEM_RES!$A$5,MATCH(BUILDING!T88,ITEM_RES!$J$5:$J$231,0)-1,0),0)</f>
        <v>215020001</v>
      </c>
      <c r="V88" s="11">
        <v>100</v>
      </c>
      <c r="W88" s="86" t="s">
        <v>607</v>
      </c>
      <c r="X88" s="9">
        <f ca="1">IFERROR(OFFSET(ITEM_RES!$A$5,MATCH(BUILDING!W88,ITEM_RES!$J$5:$J$231,0)-1,0),0)</f>
        <v>215030001</v>
      </c>
      <c r="Z88" s="9" t="s">
        <v>577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466</v>
      </c>
      <c r="AR88" s="11">
        <v>125</v>
      </c>
      <c r="AU88" s="11">
        <f ca="1">IFERROR(OFFSET(ITEM_RES!$A$1,MATCH(AV88,ITEM_RES!$J:$J,0)-1,0),0)</f>
        <v>212010001</v>
      </c>
      <c r="AV88" s="10" t="s">
        <v>471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382</v>
      </c>
      <c r="L89" s="9">
        <v>1</v>
      </c>
      <c r="M89" s="9">
        <v>15</v>
      </c>
      <c r="R89" s="9">
        <v>22</v>
      </c>
      <c r="T89" s="86" t="s">
        <v>608</v>
      </c>
      <c r="U89" s="9">
        <f ca="1">IFERROR(OFFSET(ITEM_RES!$A$5,MATCH(BUILDING!T89,ITEM_RES!$J$5:$J$231,0)-1,0),0)</f>
        <v>215020001</v>
      </c>
      <c r="V89" s="11">
        <v>100</v>
      </c>
      <c r="W89" s="86" t="s">
        <v>607</v>
      </c>
      <c r="X89" s="9">
        <f ca="1">IFERROR(OFFSET(ITEM_RES!$A$5,MATCH(BUILDING!W89,ITEM_RES!$J$5:$J$231,0)-1,0),0)</f>
        <v>215030001</v>
      </c>
      <c r="Z89" s="9" t="s">
        <v>577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465</v>
      </c>
      <c r="AR89" s="11">
        <v>200</v>
      </c>
      <c r="AU89" s="11">
        <f ca="1">IFERROR(OFFSET(ITEM_RES!$A$1,MATCH(AV89,ITEM_RES!$J:$J,0)-1,0),0)</f>
        <v>212010001</v>
      </c>
      <c r="AV89" s="10" t="s">
        <v>471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382</v>
      </c>
      <c r="L90" s="9">
        <v>1</v>
      </c>
      <c r="M90" s="9">
        <v>15</v>
      </c>
      <c r="R90" s="9">
        <v>22</v>
      </c>
      <c r="T90" s="86" t="s">
        <v>608</v>
      </c>
      <c r="U90" s="9">
        <f ca="1">IFERROR(OFFSET(ITEM_RES!$A$5,MATCH(BUILDING!T90,ITEM_RES!$J$5:$J$231,0)-1,0),0)</f>
        <v>215020001</v>
      </c>
      <c r="V90" s="11">
        <v>100</v>
      </c>
      <c r="W90" s="86" t="s">
        <v>607</v>
      </c>
      <c r="X90" s="9">
        <f ca="1">IFERROR(OFFSET(ITEM_RES!$A$5,MATCH(BUILDING!W90,ITEM_RES!$J$5:$J$231,0)-1,0),0)</f>
        <v>215030001</v>
      </c>
      <c r="Z90" s="9" t="s">
        <v>577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466</v>
      </c>
      <c r="AR90" s="11">
        <v>250</v>
      </c>
      <c r="AU90" s="11">
        <f ca="1">IFERROR(OFFSET(ITEM_RES!$A$1,MATCH(AV90,ITEM_RES!$J:$J,0)-1,0),0)</f>
        <v>212010001</v>
      </c>
      <c r="AV90" s="10" t="s">
        <v>471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382</v>
      </c>
      <c r="L91" s="9">
        <v>1</v>
      </c>
      <c r="M91" s="9">
        <v>15</v>
      </c>
      <c r="R91" s="9">
        <v>22</v>
      </c>
      <c r="T91" s="86" t="s">
        <v>608</v>
      </c>
      <c r="U91" s="9">
        <f ca="1">IFERROR(OFFSET(ITEM_RES!$A$5,MATCH(BUILDING!T91,ITEM_RES!$J$5:$J$231,0)-1,0),0)</f>
        <v>215020001</v>
      </c>
      <c r="V91" s="11">
        <v>100</v>
      </c>
      <c r="W91" s="86" t="s">
        <v>607</v>
      </c>
      <c r="X91" s="9">
        <f ca="1">IFERROR(OFFSET(ITEM_RES!$A$5,MATCH(BUILDING!W91,ITEM_RES!$J$5:$J$231,0)-1,0),0)</f>
        <v>215030001</v>
      </c>
      <c r="Z91" s="9" t="s">
        <v>577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466</v>
      </c>
      <c r="AR91" s="11">
        <v>500</v>
      </c>
      <c r="AU91" s="11">
        <f ca="1">IFERROR(OFFSET(ITEM_RES!$A$1,MATCH(AV91,ITEM_RES!$J:$J,0)-1,0),0)</f>
        <v>212010001</v>
      </c>
      <c r="AV91" s="10" t="s">
        <v>471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382</v>
      </c>
      <c r="L92" s="9">
        <v>1</v>
      </c>
      <c r="M92" s="9">
        <v>15</v>
      </c>
      <c r="R92" s="9">
        <v>22</v>
      </c>
      <c r="T92" s="86" t="s">
        <v>608</v>
      </c>
      <c r="U92" s="9">
        <f ca="1">IFERROR(OFFSET(ITEM_RES!$A$5,MATCH(BUILDING!T92,ITEM_RES!$J$5:$J$231,0)-1,0),0)</f>
        <v>215020001</v>
      </c>
      <c r="V92" s="11">
        <v>100</v>
      </c>
      <c r="W92" s="86" t="s">
        <v>607</v>
      </c>
      <c r="X92" s="9">
        <f ca="1">IFERROR(OFFSET(ITEM_RES!$A$5,MATCH(BUILDING!W92,ITEM_RES!$J$5:$J$231,0)-1,0),0)</f>
        <v>215030001</v>
      </c>
      <c r="Z92" s="9" t="s">
        <v>577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492</v>
      </c>
      <c r="AR92" s="11">
        <v>500</v>
      </c>
      <c r="AU92" s="11">
        <f ca="1">IFERROR(OFFSET(ITEM_RES!$A$1,MATCH(AV92,ITEM_RES!$J:$J,0)-1,0),0)</f>
        <v>212010001</v>
      </c>
      <c r="AV92" s="10" t="s">
        <v>471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382</v>
      </c>
      <c r="L93" s="9">
        <v>1</v>
      </c>
      <c r="M93" s="9">
        <v>15</v>
      </c>
      <c r="R93" s="9">
        <v>22</v>
      </c>
      <c r="T93" s="86" t="s">
        <v>608</v>
      </c>
      <c r="U93" s="9">
        <f ca="1">IFERROR(OFFSET(ITEM_RES!$A$5,MATCH(BUILDING!T93,ITEM_RES!$J$5:$J$231,0)-1,0),0)</f>
        <v>215020001</v>
      </c>
      <c r="V93" s="11">
        <v>100</v>
      </c>
      <c r="W93" s="86" t="s">
        <v>607</v>
      </c>
      <c r="X93" s="9">
        <f ca="1">IFERROR(OFFSET(ITEM_RES!$A$5,MATCH(BUILDING!W93,ITEM_RES!$J$5:$J$231,0)-1,0),0)</f>
        <v>215030001</v>
      </c>
      <c r="Z93" s="9" t="s">
        <v>577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492</v>
      </c>
      <c r="AR93" s="11">
        <v>750</v>
      </c>
      <c r="AU93" s="11">
        <f ca="1">IFERROR(OFFSET(ITEM_RES!$A$1,MATCH(AV93,ITEM_RES!$J:$J,0)-1,0),0)</f>
        <v>212010001</v>
      </c>
      <c r="AV93" s="10" t="s">
        <v>471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382</v>
      </c>
      <c r="L94" s="9">
        <v>1</v>
      </c>
      <c r="M94" s="9">
        <v>15</v>
      </c>
      <c r="R94" s="9">
        <v>22</v>
      </c>
      <c r="T94" s="86" t="s">
        <v>608</v>
      </c>
      <c r="U94" s="9">
        <f ca="1">IFERROR(OFFSET(ITEM_RES!$A$5,MATCH(BUILDING!T94,ITEM_RES!$J$5:$J$231,0)-1,0),0)</f>
        <v>215020001</v>
      </c>
      <c r="V94" s="11">
        <v>100</v>
      </c>
      <c r="W94" s="86" t="s">
        <v>607</v>
      </c>
      <c r="X94" s="9">
        <f ca="1">IFERROR(OFFSET(ITEM_RES!$A$5,MATCH(BUILDING!W94,ITEM_RES!$J$5:$J$231,0)-1,0),0)</f>
        <v>215030001</v>
      </c>
      <c r="Z94" s="9" t="s">
        <v>577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492</v>
      </c>
      <c r="AR94" s="11">
        <v>1000</v>
      </c>
      <c r="AU94" s="11">
        <f ca="1">IFERROR(OFFSET(ITEM_RES!$A$1,MATCH(AV94,ITEM_RES!$J:$J,0)-1,0),0)</f>
        <v>212010001</v>
      </c>
      <c r="AV94" s="10" t="s">
        <v>471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382</v>
      </c>
      <c r="L95" s="9">
        <v>1</v>
      </c>
      <c r="M95" s="9">
        <v>15</v>
      </c>
      <c r="R95" s="9">
        <v>22</v>
      </c>
      <c r="T95" s="86" t="s">
        <v>608</v>
      </c>
      <c r="U95" s="9">
        <f ca="1">IFERROR(OFFSET(ITEM_RES!$A$5,MATCH(BUILDING!T95,ITEM_RES!$J$5:$J$231,0)-1,0),0)</f>
        <v>215020001</v>
      </c>
      <c r="V95" s="11">
        <v>100</v>
      </c>
      <c r="W95" s="86" t="s">
        <v>607</v>
      </c>
      <c r="X95" s="9">
        <f ca="1">IFERROR(OFFSET(ITEM_RES!$A$5,MATCH(BUILDING!W95,ITEM_RES!$J$5:$J$231,0)-1,0),0)</f>
        <v>215030001</v>
      </c>
      <c r="Z95" s="9" t="s">
        <v>577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480</v>
      </c>
      <c r="AR95" s="11">
        <v>1250</v>
      </c>
      <c r="AU95" s="11">
        <f ca="1">IFERROR(OFFSET(ITEM_RES!$A$1,MATCH(AV95,ITEM_RES!$J:$J,0)-1,0),0)</f>
        <v>212010001</v>
      </c>
      <c r="AV95" s="10" t="s">
        <v>471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382</v>
      </c>
      <c r="L96" s="9">
        <v>1</v>
      </c>
      <c r="M96" s="9">
        <v>15</v>
      </c>
      <c r="R96" s="9">
        <v>22</v>
      </c>
      <c r="T96" s="86" t="s">
        <v>608</v>
      </c>
      <c r="U96" s="9">
        <f ca="1">IFERROR(OFFSET(ITEM_RES!$A$5,MATCH(BUILDING!T96,ITEM_RES!$J$5:$J$231,0)-1,0),0)</f>
        <v>215020001</v>
      </c>
      <c r="V96" s="11">
        <v>100</v>
      </c>
      <c r="W96" s="86" t="s">
        <v>607</v>
      </c>
      <c r="X96" s="9">
        <f ca="1">IFERROR(OFFSET(ITEM_RES!$A$5,MATCH(BUILDING!W96,ITEM_RES!$J$5:$J$231,0)-1,0),0)</f>
        <v>215030001</v>
      </c>
      <c r="Z96" s="9" t="s">
        <v>577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480</v>
      </c>
      <c r="AR96" s="11">
        <v>1500</v>
      </c>
      <c r="AU96" s="11">
        <f ca="1">IFERROR(OFFSET(ITEM_RES!$A$1,MATCH(AV96,ITEM_RES!$J:$J,0)-1,0),0)</f>
        <v>212010001</v>
      </c>
      <c r="AV96" s="10" t="s">
        <v>471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504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382</v>
      </c>
      <c r="L97" s="9">
        <v>1</v>
      </c>
      <c r="M97" s="9">
        <v>15</v>
      </c>
      <c r="R97" s="9">
        <v>22</v>
      </c>
      <c r="T97" s="86" t="s">
        <v>608</v>
      </c>
      <c r="U97" s="9">
        <f ca="1">IFERROR(OFFSET(ITEM_RES!$A$5,MATCH(BUILDING!T97,ITEM_RES!$J$5:$J$231,0)-1,0),0)</f>
        <v>215020001</v>
      </c>
      <c r="V97" s="11">
        <v>100</v>
      </c>
      <c r="W97" s="86" t="s">
        <v>607</v>
      </c>
      <c r="X97" s="9">
        <f ca="1">IFERROR(OFFSET(ITEM_RES!$A$5,MATCH(BUILDING!W97,ITEM_RES!$J$5:$J$231,0)-1,0),0)</f>
        <v>215030001</v>
      </c>
      <c r="Z97" s="9" t="s">
        <v>577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480</v>
      </c>
      <c r="AR97" s="11">
        <v>1750</v>
      </c>
      <c r="AU97" s="11">
        <f ca="1">IFERROR(OFFSET(ITEM_RES!$A$1,MATCH(AV97,ITEM_RES!$J:$J,0)-1,0),0)</f>
        <v>212010001</v>
      </c>
      <c r="AV97" s="10" t="s">
        <v>471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382</v>
      </c>
      <c r="L98" s="9">
        <v>1</v>
      </c>
      <c r="M98" s="9">
        <v>15</v>
      </c>
      <c r="R98" s="9">
        <v>22</v>
      </c>
      <c r="T98" s="86" t="s">
        <v>608</v>
      </c>
      <c r="U98" s="9">
        <f ca="1">IFERROR(OFFSET(ITEM_RES!$A$5,MATCH(BUILDING!T98,ITEM_RES!$J$5:$J$231,0)-1,0),0)</f>
        <v>215020001</v>
      </c>
      <c r="V98" s="11">
        <v>100</v>
      </c>
      <c r="W98" s="86" t="s">
        <v>607</v>
      </c>
      <c r="X98" s="9">
        <f ca="1">IFERROR(OFFSET(ITEM_RES!$A$5,MATCH(BUILDING!W98,ITEM_RES!$J$5:$J$231,0)-1,0),0)</f>
        <v>215030001</v>
      </c>
      <c r="Z98" s="9" t="s">
        <v>577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480</v>
      </c>
      <c r="AR98" s="11">
        <v>2250</v>
      </c>
      <c r="AU98" s="11">
        <f ca="1">IFERROR(OFFSET(ITEM_RES!$A$1,MATCH(AV98,ITEM_RES!$J:$J,0)-1,0),0)</f>
        <v>212010001</v>
      </c>
      <c r="AV98" s="10" t="s">
        <v>471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382</v>
      </c>
      <c r="L99" s="9">
        <v>1</v>
      </c>
      <c r="M99" s="9">
        <v>15</v>
      </c>
      <c r="R99" s="9">
        <v>22</v>
      </c>
      <c r="T99" s="86" t="s">
        <v>608</v>
      </c>
      <c r="U99" s="9">
        <f ca="1">IFERROR(OFFSET(ITEM_RES!$A$5,MATCH(BUILDING!T99,ITEM_RES!$J$5:$J$231,0)-1,0),0)</f>
        <v>215020001</v>
      </c>
      <c r="V99" s="11">
        <v>100</v>
      </c>
      <c r="W99" s="86" t="s">
        <v>607</v>
      </c>
      <c r="X99" s="9">
        <f ca="1">IFERROR(OFFSET(ITEM_RES!$A$5,MATCH(BUILDING!W99,ITEM_RES!$J$5:$J$231,0)-1,0),0)</f>
        <v>215030001</v>
      </c>
      <c r="Z99" s="9" t="s">
        <v>577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480</v>
      </c>
      <c r="AR99" s="11">
        <v>2750</v>
      </c>
      <c r="AU99" s="11">
        <f ca="1">IFERROR(OFFSET(ITEM_RES!$A$1,MATCH(AV99,ITEM_RES!$J:$J,0)-1,0),0)</f>
        <v>215070001</v>
      </c>
      <c r="AV99" s="10" t="s">
        <v>467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382</v>
      </c>
      <c r="L100" s="9">
        <v>0</v>
      </c>
      <c r="M100" s="9">
        <v>15</v>
      </c>
      <c r="R100" s="9">
        <v>22</v>
      </c>
      <c r="T100" s="86" t="s">
        <v>608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607</v>
      </c>
      <c r="X100" s="9">
        <f ca="1">IFERROR(OFFSET(ITEM_RES!$A$5,MATCH(BUILDING!W100,ITEM_RES!$J$5:$J$231,0)-1,0),0)</f>
        <v>215030001</v>
      </c>
      <c r="Z100" s="9" t="s">
        <v>577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480</v>
      </c>
      <c r="AR100" s="11">
        <v>3500</v>
      </c>
      <c r="AU100" s="11">
        <f ca="1">IFERROR(OFFSET(ITEM_RES!$A$1,MATCH(AV100,ITEM_RES!$J:$J,0)-1,0),0)</f>
        <v>215070001</v>
      </c>
      <c r="AV100" s="10" t="s">
        <v>467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382</v>
      </c>
      <c r="L101" s="9">
        <v>0</v>
      </c>
      <c r="M101" s="9">
        <v>15</v>
      </c>
      <c r="R101" s="9">
        <v>22</v>
      </c>
      <c r="T101" s="86" t="s">
        <v>608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607</v>
      </c>
      <c r="X101" s="9">
        <f ca="1">IFERROR(OFFSET(ITEM_RES!$A$5,MATCH(BUILDING!W101,ITEM_RES!$J$5:$J$231,0)-1,0),0)</f>
        <v>215030001</v>
      </c>
      <c r="Z101" s="9" t="s">
        <v>577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480</v>
      </c>
      <c r="AR101" s="11">
        <v>4250</v>
      </c>
      <c r="AU101" s="11">
        <f ca="1">IFERROR(OFFSET(ITEM_RES!$A$1,MATCH(AV101,ITEM_RES!$J:$J,0)-1,0),0)</f>
        <v>215070001</v>
      </c>
      <c r="AV101" s="10" t="s">
        <v>467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382</v>
      </c>
      <c r="L102" s="9">
        <v>0</v>
      </c>
      <c r="M102" s="9">
        <v>15</v>
      </c>
      <c r="R102" s="9">
        <v>22</v>
      </c>
      <c r="T102" s="86" t="s">
        <v>608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607</v>
      </c>
      <c r="X102" s="9">
        <f ca="1">IFERROR(OFFSET(ITEM_RES!$A$5,MATCH(BUILDING!W102,ITEM_RES!$J$5:$J$231,0)-1,0),0)</f>
        <v>215030001</v>
      </c>
      <c r="Z102" s="9" t="s">
        <v>577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493</v>
      </c>
      <c r="AR102" s="11">
        <v>5250</v>
      </c>
      <c r="AU102" s="11">
        <f ca="1">IFERROR(OFFSET(ITEM_RES!$A$1,MATCH(AV102,ITEM_RES!$J:$J,0)-1,0),0)</f>
        <v>215070001</v>
      </c>
      <c r="AV102" s="10" t="s">
        <v>467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382</v>
      </c>
      <c r="L103" s="9">
        <v>0</v>
      </c>
      <c r="M103" s="9">
        <v>15</v>
      </c>
      <c r="R103" s="9">
        <v>22</v>
      </c>
      <c r="T103" s="86" t="s">
        <v>608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607</v>
      </c>
      <c r="X103" s="9">
        <f ca="1">IFERROR(OFFSET(ITEM_RES!$A$5,MATCH(BUILDING!W103,ITEM_RES!$J$5:$J$231,0)-1,0),0)</f>
        <v>215030001</v>
      </c>
      <c r="Z103" s="9" t="s">
        <v>577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493</v>
      </c>
      <c r="AR103" s="11">
        <v>6250</v>
      </c>
      <c r="AU103" s="11">
        <f ca="1">IFERROR(OFFSET(ITEM_RES!$A$1,MATCH(AV103,ITEM_RES!$J:$J,0)-1,0),0)</f>
        <v>215070001</v>
      </c>
      <c r="AV103" s="10" t="s">
        <v>467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382</v>
      </c>
      <c r="L104" s="9">
        <v>0</v>
      </c>
      <c r="M104" s="9">
        <v>15</v>
      </c>
      <c r="R104" s="9">
        <v>22</v>
      </c>
      <c r="T104" s="86" t="s">
        <v>608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607</v>
      </c>
      <c r="X104" s="9">
        <f ca="1">IFERROR(OFFSET(ITEM_RES!$A$5,MATCH(BUILDING!W104,ITEM_RES!$J$5:$J$231,0)-1,0),0)</f>
        <v>215030001</v>
      </c>
      <c r="Z104" s="9" t="s">
        <v>577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493</v>
      </c>
      <c r="AR104" s="11">
        <v>7500</v>
      </c>
      <c r="AU104" s="11">
        <f ca="1">IFERROR(OFFSET(ITEM_RES!$A$1,MATCH(AV104,ITEM_RES!$J:$J,0)-1,0),0)</f>
        <v>215070001</v>
      </c>
      <c r="AV104" s="10" t="s">
        <v>467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380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615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608</v>
      </c>
      <c r="X105" s="16">
        <f ca="1">IFERROR(OFFSET(ITEM_RES!$A$5,MATCH(BUILDING!W105,ITEM_RES!$J$5:$J$231,0)-1,0),0)</f>
        <v>215020001</v>
      </c>
      <c r="Y105" s="80"/>
      <c r="Z105" s="16" t="s">
        <v>578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465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456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495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380</v>
      </c>
      <c r="L106" s="9">
        <v>1</v>
      </c>
      <c r="M106" s="9">
        <v>15</v>
      </c>
      <c r="R106" s="9">
        <v>33</v>
      </c>
      <c r="T106" s="86" t="s">
        <v>429</v>
      </c>
      <c r="U106" s="9">
        <f ca="1">IFERROR(OFFSET(ITEM_RES!$A$5,MATCH(BUILDING!T106,ITEM_RES!$J$5:$J$231,0)-1,0),0)</f>
        <v>212020001</v>
      </c>
      <c r="V106" s="11">
        <v>10</v>
      </c>
      <c r="W106" s="86" t="s">
        <v>608</v>
      </c>
      <c r="X106" s="9">
        <f ca="1">IFERROR(OFFSET(ITEM_RES!$A$5,MATCH(BUILDING!W106,ITEM_RES!$J$5:$J$231,0)-1,0),0)</f>
        <v>215020001</v>
      </c>
      <c r="Z106" s="9" t="s">
        <v>578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466</v>
      </c>
      <c r="AR106" s="11">
        <v>50</v>
      </c>
      <c r="AU106" s="11">
        <f ca="1">IFERROR(OFFSET(ITEM_RES!$A$1,MATCH(AV106,ITEM_RES!$J:$J,0)-1,0),0)</f>
        <v>212010001</v>
      </c>
      <c r="AV106" s="10" t="s">
        <v>456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380</v>
      </c>
      <c r="L107" s="9">
        <v>1</v>
      </c>
      <c r="M107" s="9">
        <v>15</v>
      </c>
      <c r="R107" s="9">
        <v>33</v>
      </c>
      <c r="T107" s="86" t="s">
        <v>429</v>
      </c>
      <c r="U107" s="9">
        <f ca="1">IFERROR(OFFSET(ITEM_RES!$A$5,MATCH(BUILDING!T107,ITEM_RES!$J$5:$J$231,0)-1,0),0)</f>
        <v>212020001</v>
      </c>
      <c r="V107" s="11">
        <v>10</v>
      </c>
      <c r="W107" s="86" t="s">
        <v>608</v>
      </c>
      <c r="X107" s="9">
        <f ca="1">IFERROR(OFFSET(ITEM_RES!$A$5,MATCH(BUILDING!W107,ITEM_RES!$J$5:$J$231,0)-1,0),0)</f>
        <v>215020001</v>
      </c>
      <c r="Z107" s="9" t="s">
        <v>578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465</v>
      </c>
      <c r="AR107" s="11">
        <v>75</v>
      </c>
      <c r="AU107" s="11">
        <f ca="1">IFERROR(OFFSET(ITEM_RES!$A$1,MATCH(AV107,ITEM_RES!$J:$J,0)-1,0),0)</f>
        <v>212010001</v>
      </c>
      <c r="AV107" s="10" t="s">
        <v>456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380</v>
      </c>
      <c r="L108" s="9">
        <v>1</v>
      </c>
      <c r="M108" s="9">
        <v>15</v>
      </c>
      <c r="R108" s="9">
        <v>33</v>
      </c>
      <c r="T108" s="86" t="s">
        <v>429</v>
      </c>
      <c r="U108" s="9">
        <f ca="1">IFERROR(OFFSET(ITEM_RES!$A$5,MATCH(BUILDING!T108,ITEM_RES!$J$5:$J$231,0)-1,0),0)</f>
        <v>212020001</v>
      </c>
      <c r="V108" s="11">
        <v>10</v>
      </c>
      <c r="W108" s="86" t="s">
        <v>608</v>
      </c>
      <c r="X108" s="9">
        <f ca="1">IFERROR(OFFSET(ITEM_RES!$A$5,MATCH(BUILDING!W108,ITEM_RES!$J$5:$J$231,0)-1,0),0)</f>
        <v>215020001</v>
      </c>
      <c r="Z108" s="9" t="s">
        <v>578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466</v>
      </c>
      <c r="AR108" s="11">
        <v>125</v>
      </c>
      <c r="AU108" s="11">
        <f ca="1">IFERROR(OFFSET(ITEM_RES!$A$1,MATCH(AV108,ITEM_RES!$J:$J,0)-1,0),0)</f>
        <v>212010001</v>
      </c>
      <c r="AV108" s="10" t="s">
        <v>456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380</v>
      </c>
      <c r="L109" s="9">
        <v>1</v>
      </c>
      <c r="M109" s="9">
        <v>15</v>
      </c>
      <c r="R109" s="9">
        <v>33</v>
      </c>
      <c r="T109" s="86" t="s">
        <v>429</v>
      </c>
      <c r="U109" s="9">
        <f ca="1">IFERROR(OFFSET(ITEM_RES!$A$5,MATCH(BUILDING!T109,ITEM_RES!$J$5:$J$231,0)-1,0),0)</f>
        <v>212020001</v>
      </c>
      <c r="V109" s="11">
        <v>10</v>
      </c>
      <c r="W109" s="86" t="s">
        <v>608</v>
      </c>
      <c r="X109" s="9">
        <f ca="1">IFERROR(OFFSET(ITEM_RES!$A$5,MATCH(BUILDING!W109,ITEM_RES!$J$5:$J$231,0)-1,0),0)</f>
        <v>215020001</v>
      </c>
      <c r="Z109" s="9" t="s">
        <v>578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465</v>
      </c>
      <c r="AR109" s="11">
        <v>200</v>
      </c>
      <c r="AU109" s="11">
        <f ca="1">IFERROR(OFFSET(ITEM_RES!$A$1,MATCH(AV109,ITEM_RES!$J:$J,0)-1,0),0)</f>
        <v>212010001</v>
      </c>
      <c r="AV109" s="10" t="s">
        <v>456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380</v>
      </c>
      <c r="L110" s="9">
        <v>1</v>
      </c>
      <c r="M110" s="9">
        <v>15</v>
      </c>
      <c r="R110" s="9">
        <v>33</v>
      </c>
      <c r="T110" s="86" t="s">
        <v>429</v>
      </c>
      <c r="U110" s="9">
        <f ca="1">IFERROR(OFFSET(ITEM_RES!$A$5,MATCH(BUILDING!T110,ITEM_RES!$J$5:$J$231,0)-1,0),0)</f>
        <v>212020001</v>
      </c>
      <c r="V110" s="11">
        <v>10</v>
      </c>
      <c r="W110" s="86" t="s">
        <v>608</v>
      </c>
      <c r="X110" s="9">
        <f ca="1">IFERROR(OFFSET(ITEM_RES!$A$5,MATCH(BUILDING!W110,ITEM_RES!$J$5:$J$231,0)-1,0),0)</f>
        <v>215020001</v>
      </c>
      <c r="Z110" s="9" t="s">
        <v>578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466</v>
      </c>
      <c r="AR110" s="11">
        <v>250</v>
      </c>
      <c r="AU110" s="11">
        <f ca="1">IFERROR(OFFSET(ITEM_RES!$A$1,MATCH(AV110,ITEM_RES!$J:$J,0)-1,0),0)</f>
        <v>212010001</v>
      </c>
      <c r="AV110" s="10" t="s">
        <v>456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380</v>
      </c>
      <c r="L111" s="9">
        <v>1</v>
      </c>
      <c r="M111" s="9">
        <v>15</v>
      </c>
      <c r="R111" s="9">
        <v>33</v>
      </c>
      <c r="T111" s="86" t="s">
        <v>429</v>
      </c>
      <c r="U111" s="9">
        <f ca="1">IFERROR(OFFSET(ITEM_RES!$A$5,MATCH(BUILDING!T111,ITEM_RES!$J$5:$J$231,0)-1,0),0)</f>
        <v>212020001</v>
      </c>
      <c r="V111" s="11">
        <v>10</v>
      </c>
      <c r="W111" s="86" t="s">
        <v>608</v>
      </c>
      <c r="X111" s="9">
        <f ca="1">IFERROR(OFFSET(ITEM_RES!$A$5,MATCH(BUILDING!W111,ITEM_RES!$J$5:$J$231,0)-1,0),0)</f>
        <v>215020001</v>
      </c>
      <c r="Z111" s="9" t="s">
        <v>578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465</v>
      </c>
      <c r="AR111" s="11">
        <v>500</v>
      </c>
      <c r="AU111" s="11">
        <f ca="1">IFERROR(OFFSET(ITEM_RES!$A$1,MATCH(AV111,ITEM_RES!$J:$J,0)-1,0),0)</f>
        <v>212010001</v>
      </c>
      <c r="AV111" s="10" t="s">
        <v>456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380</v>
      </c>
      <c r="L112" s="9">
        <v>1</v>
      </c>
      <c r="M112" s="9">
        <v>15</v>
      </c>
      <c r="R112" s="9">
        <v>33</v>
      </c>
      <c r="T112" s="86" t="s">
        <v>429</v>
      </c>
      <c r="U112" s="9">
        <f ca="1">IFERROR(OFFSET(ITEM_RES!$A$5,MATCH(BUILDING!T112,ITEM_RES!$J$5:$J$231,0)-1,0),0)</f>
        <v>212020001</v>
      </c>
      <c r="V112" s="11">
        <v>10</v>
      </c>
      <c r="W112" s="86" t="s">
        <v>608</v>
      </c>
      <c r="X112" s="9">
        <f ca="1">IFERROR(OFFSET(ITEM_RES!$A$5,MATCH(BUILDING!W112,ITEM_RES!$J$5:$J$231,0)-1,0),0)</f>
        <v>215020001</v>
      </c>
      <c r="Z112" s="9" t="s">
        <v>578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466</v>
      </c>
      <c r="AR112" s="11">
        <v>500</v>
      </c>
      <c r="AU112" s="11">
        <f ca="1">IFERROR(OFFSET(ITEM_RES!$A$1,MATCH(AV112,ITEM_RES!$J:$J,0)-1,0),0)</f>
        <v>212010001</v>
      </c>
      <c r="AV112" s="10" t="s">
        <v>456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380</v>
      </c>
      <c r="L113" s="9">
        <v>1</v>
      </c>
      <c r="M113" s="9">
        <v>15</v>
      </c>
      <c r="R113" s="9">
        <v>33</v>
      </c>
      <c r="T113" s="86" t="s">
        <v>429</v>
      </c>
      <c r="U113" s="9">
        <f ca="1">IFERROR(OFFSET(ITEM_RES!$A$5,MATCH(BUILDING!T113,ITEM_RES!$J$5:$J$231,0)-1,0),0)</f>
        <v>212020001</v>
      </c>
      <c r="V113" s="11">
        <v>10</v>
      </c>
      <c r="W113" s="86" t="s">
        <v>608</v>
      </c>
      <c r="X113" s="9">
        <f ca="1">IFERROR(OFFSET(ITEM_RES!$A$5,MATCH(BUILDING!W113,ITEM_RES!$J$5:$J$231,0)-1,0),0)</f>
        <v>215020001</v>
      </c>
      <c r="Z113" s="9" t="s">
        <v>578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465</v>
      </c>
      <c r="AR113" s="11">
        <v>750</v>
      </c>
      <c r="AU113" s="11">
        <f ca="1">IFERROR(OFFSET(ITEM_RES!$A$1,MATCH(AV113,ITEM_RES!$J:$J,0)-1,0),0)</f>
        <v>212010001</v>
      </c>
      <c r="AV113" s="10" t="s">
        <v>456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380</v>
      </c>
      <c r="L114" s="9">
        <v>1</v>
      </c>
      <c r="M114" s="9">
        <v>15</v>
      </c>
      <c r="R114" s="9">
        <v>33</v>
      </c>
      <c r="T114" s="86" t="s">
        <v>429</v>
      </c>
      <c r="U114" s="9">
        <f ca="1">IFERROR(OFFSET(ITEM_RES!$A$5,MATCH(BUILDING!T114,ITEM_RES!$J$5:$J$231,0)-1,0),0)</f>
        <v>212020001</v>
      </c>
      <c r="V114" s="11">
        <v>10</v>
      </c>
      <c r="W114" s="86" t="s">
        <v>608</v>
      </c>
      <c r="X114" s="9">
        <f ca="1">IFERROR(OFFSET(ITEM_RES!$A$5,MATCH(BUILDING!W114,ITEM_RES!$J$5:$J$231,0)-1,0),0)</f>
        <v>215020001</v>
      </c>
      <c r="Z114" s="9" t="s">
        <v>578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466</v>
      </c>
      <c r="AR114" s="11">
        <v>1000</v>
      </c>
      <c r="AU114" s="11">
        <f ca="1">IFERROR(OFFSET(ITEM_RES!$A$1,MATCH(AV114,ITEM_RES!$J:$J,0)-1,0),0)</f>
        <v>212010001</v>
      </c>
      <c r="AV114" s="10" t="s">
        <v>456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380</v>
      </c>
      <c r="L115" s="9">
        <v>1</v>
      </c>
      <c r="M115" s="9">
        <v>15</v>
      </c>
      <c r="R115" s="9">
        <v>33</v>
      </c>
      <c r="T115" s="86" t="s">
        <v>429</v>
      </c>
      <c r="U115" s="9">
        <f ca="1">IFERROR(OFFSET(ITEM_RES!$A$5,MATCH(BUILDING!T115,ITEM_RES!$J$5:$J$231,0)-1,0),0)</f>
        <v>212020001</v>
      </c>
      <c r="V115" s="11">
        <v>10</v>
      </c>
      <c r="W115" s="86" t="s">
        <v>608</v>
      </c>
      <c r="X115" s="9">
        <f ca="1">IFERROR(OFFSET(ITEM_RES!$A$5,MATCH(BUILDING!W115,ITEM_RES!$J$5:$J$231,0)-1,0),0)</f>
        <v>215020001</v>
      </c>
      <c r="Z115" s="9" t="s">
        <v>578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492</v>
      </c>
      <c r="AR115" s="11">
        <v>1250</v>
      </c>
      <c r="AU115" s="11">
        <f ca="1">IFERROR(OFFSET(ITEM_RES!$A$1,MATCH(AV115,ITEM_RES!$J:$J,0)-1,0),0)</f>
        <v>212010001</v>
      </c>
      <c r="AV115" s="10" t="s">
        <v>456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380</v>
      </c>
      <c r="L116" s="9">
        <v>1</v>
      </c>
      <c r="M116" s="9">
        <v>15</v>
      </c>
      <c r="R116" s="9">
        <v>33</v>
      </c>
      <c r="T116" s="86" t="s">
        <v>429</v>
      </c>
      <c r="U116" s="9">
        <f ca="1">IFERROR(OFFSET(ITEM_RES!$A$5,MATCH(BUILDING!T116,ITEM_RES!$J$5:$J$231,0)-1,0),0)</f>
        <v>212020001</v>
      </c>
      <c r="V116" s="11">
        <v>10</v>
      </c>
      <c r="W116" s="86" t="s">
        <v>608</v>
      </c>
      <c r="X116" s="9">
        <f ca="1">IFERROR(OFFSET(ITEM_RES!$A$5,MATCH(BUILDING!W116,ITEM_RES!$J$5:$J$231,0)-1,0),0)</f>
        <v>215020001</v>
      </c>
      <c r="Z116" s="9" t="s">
        <v>578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492</v>
      </c>
      <c r="AR116" s="11">
        <v>1500</v>
      </c>
      <c r="AU116" s="11">
        <f ca="1">IFERROR(OFFSET(ITEM_RES!$A$1,MATCH(AV116,ITEM_RES!$J:$J,0)-1,0),0)</f>
        <v>212010001</v>
      </c>
      <c r="AV116" s="10" t="s">
        <v>456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380</v>
      </c>
      <c r="L117" s="9">
        <v>1</v>
      </c>
      <c r="M117" s="9">
        <v>15</v>
      </c>
      <c r="R117" s="9">
        <v>33</v>
      </c>
      <c r="T117" s="86" t="s">
        <v>429</v>
      </c>
      <c r="U117" s="9">
        <f ca="1">IFERROR(OFFSET(ITEM_RES!$A$5,MATCH(BUILDING!T117,ITEM_RES!$J$5:$J$231,0)-1,0),0)</f>
        <v>212020001</v>
      </c>
      <c r="V117" s="11">
        <v>10</v>
      </c>
      <c r="W117" s="86" t="s">
        <v>608</v>
      </c>
      <c r="X117" s="9">
        <f ca="1">IFERROR(OFFSET(ITEM_RES!$A$5,MATCH(BUILDING!W117,ITEM_RES!$J$5:$J$231,0)-1,0),0)</f>
        <v>215020001</v>
      </c>
      <c r="Z117" s="9" t="s">
        <v>578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492</v>
      </c>
      <c r="AR117" s="11">
        <v>1750</v>
      </c>
      <c r="AU117" s="11">
        <f ca="1">IFERROR(OFFSET(ITEM_RES!$A$1,MATCH(AV117,ITEM_RES!$J:$J,0)-1,0),0)</f>
        <v>212010001</v>
      </c>
      <c r="AV117" s="10" t="s">
        <v>456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380</v>
      </c>
      <c r="L118" s="9">
        <v>1</v>
      </c>
      <c r="M118" s="9">
        <v>15</v>
      </c>
      <c r="R118" s="9">
        <v>33</v>
      </c>
      <c r="T118" s="86" t="s">
        <v>429</v>
      </c>
      <c r="U118" s="9">
        <f ca="1">IFERROR(OFFSET(ITEM_RES!$A$5,MATCH(BUILDING!T118,ITEM_RES!$J$5:$J$231,0)-1,0),0)</f>
        <v>212020001</v>
      </c>
      <c r="V118" s="11">
        <v>10</v>
      </c>
      <c r="W118" s="86" t="s">
        <v>608</v>
      </c>
      <c r="X118" s="9">
        <f ca="1">IFERROR(OFFSET(ITEM_RES!$A$5,MATCH(BUILDING!W118,ITEM_RES!$J$5:$J$231,0)-1,0),0)</f>
        <v>215020001</v>
      </c>
      <c r="Z118" s="9" t="s">
        <v>578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492</v>
      </c>
      <c r="AR118" s="11">
        <v>2250</v>
      </c>
      <c r="AU118" s="11">
        <f ca="1">IFERROR(OFFSET(ITEM_RES!$A$1,MATCH(AV118,ITEM_RES!$J:$J,0)-1,0),0)</f>
        <v>212010001</v>
      </c>
      <c r="AV118" s="10" t="s">
        <v>456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380</v>
      </c>
      <c r="L119" s="9">
        <v>1</v>
      </c>
      <c r="M119" s="9">
        <v>15</v>
      </c>
      <c r="R119" s="9">
        <v>33</v>
      </c>
      <c r="T119" s="86" t="s">
        <v>429</v>
      </c>
      <c r="U119" s="9">
        <f ca="1">IFERROR(OFFSET(ITEM_RES!$A$5,MATCH(BUILDING!T119,ITEM_RES!$J$5:$J$231,0)-1,0),0)</f>
        <v>212020001</v>
      </c>
      <c r="V119" s="11">
        <v>10</v>
      </c>
      <c r="W119" s="86" t="s">
        <v>608</v>
      </c>
      <c r="X119" s="9">
        <f ca="1">IFERROR(OFFSET(ITEM_RES!$A$5,MATCH(BUILDING!W119,ITEM_RES!$J$5:$J$231,0)-1,0),0)</f>
        <v>215020001</v>
      </c>
      <c r="Z119" s="9" t="s">
        <v>578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492</v>
      </c>
      <c r="AR119" s="11">
        <v>2750</v>
      </c>
      <c r="AU119" s="11">
        <f ca="1">IFERROR(OFFSET(ITEM_RES!$A$1,MATCH(AV119,ITEM_RES!$J:$J,0)-1,0),0)</f>
        <v>215070001</v>
      </c>
      <c r="AV119" s="10" t="s">
        <v>457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380</v>
      </c>
      <c r="L120" s="9">
        <v>0</v>
      </c>
      <c r="M120" s="9">
        <v>15</v>
      </c>
      <c r="R120" s="9">
        <v>33</v>
      </c>
      <c r="T120" s="86" t="s">
        <v>429</v>
      </c>
      <c r="U120" s="9">
        <f ca="1">IFERROR(OFFSET(ITEM_RES!$A$5,MATCH(BUILDING!T120,ITEM_RES!$J$5:$J$231,0)-1,0),0)</f>
        <v>212020001</v>
      </c>
      <c r="V120" s="11">
        <v>10</v>
      </c>
      <c r="W120" s="86" t="s">
        <v>608</v>
      </c>
      <c r="X120" s="9">
        <f ca="1">IFERROR(OFFSET(ITEM_RES!$A$5,MATCH(BUILDING!W120,ITEM_RES!$J$5:$J$231,0)-1,0),0)</f>
        <v>215020001</v>
      </c>
      <c r="Z120" s="9" t="s">
        <v>578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492</v>
      </c>
      <c r="AR120" s="11">
        <v>3500</v>
      </c>
      <c r="AU120" s="11">
        <f ca="1">IFERROR(OFFSET(ITEM_RES!$A$1,MATCH(AV120,ITEM_RES!$J:$J,0)-1,0),0)</f>
        <v>215070001</v>
      </c>
      <c r="AV120" s="10" t="s">
        <v>457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380</v>
      </c>
      <c r="L121" s="9">
        <v>0</v>
      </c>
      <c r="M121" s="9">
        <v>15</v>
      </c>
      <c r="R121" s="9">
        <v>33</v>
      </c>
      <c r="T121" s="86" t="s">
        <v>429</v>
      </c>
      <c r="U121" s="9">
        <f ca="1">IFERROR(OFFSET(ITEM_RES!$A$5,MATCH(BUILDING!T121,ITEM_RES!$J$5:$J$231,0)-1,0),0)</f>
        <v>212020001</v>
      </c>
      <c r="V121" s="11">
        <v>10</v>
      </c>
      <c r="W121" s="86" t="s">
        <v>608</v>
      </c>
      <c r="X121" s="9">
        <f ca="1">IFERROR(OFFSET(ITEM_RES!$A$5,MATCH(BUILDING!W121,ITEM_RES!$J$5:$J$231,0)-1,0),0)</f>
        <v>215020001</v>
      </c>
      <c r="Z121" s="9" t="s">
        <v>578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480</v>
      </c>
      <c r="AR121" s="11">
        <v>4250</v>
      </c>
      <c r="AU121" s="11">
        <f ca="1">IFERROR(OFFSET(ITEM_RES!$A$1,MATCH(AV121,ITEM_RES!$J:$J,0)-1,0),0)</f>
        <v>215070001</v>
      </c>
      <c r="AV121" s="10" t="s">
        <v>457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380</v>
      </c>
      <c r="L122" s="9">
        <v>0</v>
      </c>
      <c r="M122" s="9">
        <v>15</v>
      </c>
      <c r="R122" s="9">
        <v>33</v>
      </c>
      <c r="T122" s="86" t="s">
        <v>429</v>
      </c>
      <c r="U122" s="9">
        <f ca="1">IFERROR(OFFSET(ITEM_RES!$A$5,MATCH(BUILDING!T122,ITEM_RES!$J$5:$J$231,0)-1,0),0)</f>
        <v>212020001</v>
      </c>
      <c r="V122" s="11">
        <v>10</v>
      </c>
      <c r="W122" s="86" t="s">
        <v>608</v>
      </c>
      <c r="X122" s="9">
        <f ca="1">IFERROR(OFFSET(ITEM_RES!$A$5,MATCH(BUILDING!W122,ITEM_RES!$J$5:$J$231,0)-1,0),0)</f>
        <v>215020001</v>
      </c>
      <c r="Z122" s="9" t="s">
        <v>578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493</v>
      </c>
      <c r="AR122" s="11">
        <v>5250</v>
      </c>
      <c r="AU122" s="11">
        <f ca="1">IFERROR(OFFSET(ITEM_RES!$A$1,MATCH(AV122,ITEM_RES!$J:$J,0)-1,0),0)</f>
        <v>215070001</v>
      </c>
      <c r="AV122" s="10" t="s">
        <v>457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380</v>
      </c>
      <c r="L123" s="9">
        <v>0</v>
      </c>
      <c r="M123" s="9">
        <v>15</v>
      </c>
      <c r="R123" s="9">
        <v>33</v>
      </c>
      <c r="T123" s="86" t="s">
        <v>429</v>
      </c>
      <c r="U123" s="9">
        <f ca="1">IFERROR(OFFSET(ITEM_RES!$A$5,MATCH(BUILDING!T123,ITEM_RES!$J$5:$J$231,0)-1,0),0)</f>
        <v>212020001</v>
      </c>
      <c r="V123" s="11">
        <v>10</v>
      </c>
      <c r="W123" s="86" t="s">
        <v>608</v>
      </c>
      <c r="X123" s="9">
        <f ca="1">IFERROR(OFFSET(ITEM_RES!$A$5,MATCH(BUILDING!W123,ITEM_RES!$J$5:$J$231,0)-1,0),0)</f>
        <v>215020001</v>
      </c>
      <c r="Z123" s="9" t="s">
        <v>578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493</v>
      </c>
      <c r="AR123" s="11">
        <v>6250</v>
      </c>
      <c r="AU123" s="11">
        <f ca="1">IFERROR(OFFSET(ITEM_RES!$A$1,MATCH(AV123,ITEM_RES!$J:$J,0)-1,0),0)</f>
        <v>215070001</v>
      </c>
      <c r="AV123" s="10" t="s">
        <v>457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380</v>
      </c>
      <c r="L124" s="9">
        <v>0</v>
      </c>
      <c r="M124" s="9">
        <v>15</v>
      </c>
      <c r="R124" s="9">
        <v>33</v>
      </c>
      <c r="T124" s="86" t="s">
        <v>429</v>
      </c>
      <c r="U124" s="9">
        <f ca="1">IFERROR(OFFSET(ITEM_RES!$A$5,MATCH(BUILDING!T124,ITEM_RES!$J$5:$J$231,0)-1,0),0)</f>
        <v>212020001</v>
      </c>
      <c r="V124" s="11">
        <v>10</v>
      </c>
      <c r="W124" s="86" t="s">
        <v>608</v>
      </c>
      <c r="X124" s="9">
        <f ca="1">IFERROR(OFFSET(ITEM_RES!$A$5,MATCH(BUILDING!W124,ITEM_RES!$J$5:$J$231,0)-1,0),0)</f>
        <v>215020001</v>
      </c>
      <c r="Z124" s="9" t="s">
        <v>578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493</v>
      </c>
      <c r="AR124" s="11">
        <v>7500</v>
      </c>
      <c r="AU124" s="11">
        <f ca="1">IFERROR(OFFSET(ITEM_RES!$A$1,MATCH(AV124,ITEM_RES!$J:$J,0)-1,0),0)</f>
        <v>215070001</v>
      </c>
      <c r="AV124" s="10" t="s">
        <v>457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362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609</v>
      </c>
      <c r="X125" s="16">
        <f ca="1">IFERROR(OFFSET(ITEM_RES!$A$5,MATCH(BUILDING!W125,ITEM_RES!$J$5:$J$231,0)-1,0),0)</f>
        <v>211050001</v>
      </c>
      <c r="Y125" s="80"/>
      <c r="Z125" s="16" t="s">
        <v>579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471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495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362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609</v>
      </c>
      <c r="X126" s="9">
        <f ca="1">IFERROR(OFFSET(ITEM_RES!$A$5,MATCH(BUILDING!W126,ITEM_RES!$J$5:$J$231,0)-1,0),0)</f>
        <v>211050001</v>
      </c>
      <c r="Z126" s="9" t="s">
        <v>579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471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362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609</v>
      </c>
      <c r="X127" s="9">
        <f ca="1">IFERROR(OFFSET(ITEM_RES!$A$5,MATCH(BUILDING!W127,ITEM_RES!$J$5:$J$231,0)-1,0),0)</f>
        <v>211050001</v>
      </c>
      <c r="Z127" s="9" t="s">
        <v>579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471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362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609</v>
      </c>
      <c r="X128" s="9">
        <f ca="1">IFERROR(OFFSET(ITEM_RES!$A$5,MATCH(BUILDING!W128,ITEM_RES!$J$5:$J$231,0)-1,0),0)</f>
        <v>211050001</v>
      </c>
      <c r="Z128" s="9" t="s">
        <v>579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471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362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609</v>
      </c>
      <c r="X129" s="9">
        <f ca="1">IFERROR(OFFSET(ITEM_RES!$A$5,MATCH(BUILDING!W129,ITEM_RES!$J$5:$J$231,0)-1,0),0)</f>
        <v>211050001</v>
      </c>
      <c r="Z129" s="9" t="s">
        <v>579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471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362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609</v>
      </c>
      <c r="X130" s="9">
        <f ca="1">IFERROR(OFFSET(ITEM_RES!$A$5,MATCH(BUILDING!W130,ITEM_RES!$J$5:$J$231,0)-1,0),0)</f>
        <v>211050001</v>
      </c>
      <c r="Z130" s="9" t="s">
        <v>579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471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362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609</v>
      </c>
      <c r="X131" s="9">
        <f ca="1">IFERROR(OFFSET(ITEM_RES!$A$5,MATCH(BUILDING!W131,ITEM_RES!$J$5:$J$231,0)-1,0),0)</f>
        <v>211050001</v>
      </c>
      <c r="Z131" s="9" t="s">
        <v>579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471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362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609</v>
      </c>
      <c r="X132" s="9">
        <f ca="1">IFERROR(OFFSET(ITEM_RES!$A$5,MATCH(BUILDING!W132,ITEM_RES!$J$5:$J$231,0)-1,0),0)</f>
        <v>211050001</v>
      </c>
      <c r="Z132" s="9" t="s">
        <v>579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471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362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609</v>
      </c>
      <c r="X133" s="9">
        <f ca="1">IFERROR(OFFSET(ITEM_RES!$A$5,MATCH(BUILDING!W133,ITEM_RES!$J$5:$J$231,0)-1,0),0)</f>
        <v>211050001</v>
      </c>
      <c r="Z133" s="9" t="s">
        <v>579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471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362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609</v>
      </c>
      <c r="X134" s="9">
        <f ca="1">IFERROR(OFFSET(ITEM_RES!$A$5,MATCH(BUILDING!W134,ITEM_RES!$J$5:$J$231,0)-1,0),0)</f>
        <v>211050001</v>
      </c>
      <c r="Z134" s="9" t="s">
        <v>579</v>
      </c>
      <c r="AA134" s="9">
        <v>10</v>
      </c>
      <c r="AC134" s="9">
        <v>8000</v>
      </c>
      <c r="AE134" s="56">
        <f t="shared" ref="AE134:AE21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471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362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609</v>
      </c>
      <c r="X135" s="9">
        <f ca="1">IFERROR(OFFSET(ITEM_RES!$A$5,MATCH(BUILDING!W135,ITEM_RES!$J$5:$J$231,0)-1,0),0)</f>
        <v>211050001</v>
      </c>
      <c r="Z135" s="9" t="s">
        <v>579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467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362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609</v>
      </c>
      <c r="X136" s="9">
        <f ca="1">IFERROR(OFFSET(ITEM_RES!$A$5,MATCH(BUILDING!W136,ITEM_RES!$J$5:$J$231,0)-1,0),0)</f>
        <v>211050001</v>
      </c>
      <c r="Z136" s="9" t="s">
        <v>579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467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362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609</v>
      </c>
      <c r="X137" s="9">
        <f ca="1">IFERROR(OFFSET(ITEM_RES!$A$5,MATCH(BUILDING!W137,ITEM_RES!$J$5:$J$231,0)-1,0),0)</f>
        <v>211050001</v>
      </c>
      <c r="Z137" s="9" t="s">
        <v>579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467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362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609</v>
      </c>
      <c r="X138" s="9">
        <f ca="1">IFERROR(OFFSET(ITEM_RES!$A$5,MATCH(BUILDING!W138,ITEM_RES!$J$5:$J$231,0)-1,0),0)</f>
        <v>211050001</v>
      </c>
      <c r="Z138" s="9" t="s">
        <v>579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467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362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609</v>
      </c>
      <c r="X139" s="9">
        <f ca="1">IFERROR(OFFSET(ITEM_RES!$A$5,MATCH(BUILDING!W139,ITEM_RES!$J$5:$J$231,0)-1,0),0)</f>
        <v>211050001</v>
      </c>
      <c r="Z139" s="9" t="s">
        <v>579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467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362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609</v>
      </c>
      <c r="X140" s="9">
        <f ca="1">IFERROR(OFFSET(ITEM_RES!$A$5,MATCH(BUILDING!W140,ITEM_RES!$J$5:$J$231,0)-1,0),0)</f>
        <v>211050001</v>
      </c>
      <c r="Z140" s="9" t="s">
        <v>579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467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362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609</v>
      </c>
      <c r="X141" s="9">
        <f ca="1">IFERROR(OFFSET(ITEM_RES!$A$5,MATCH(BUILDING!W141,ITEM_RES!$J$5:$J$231,0)-1,0),0)</f>
        <v>211050001</v>
      </c>
      <c r="Z141" s="9" t="s">
        <v>579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467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362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609</v>
      </c>
      <c r="X142" s="9">
        <f ca="1">IFERROR(OFFSET(ITEM_RES!$A$5,MATCH(BUILDING!W142,ITEM_RES!$J$5:$J$231,0)-1,0),0)</f>
        <v>211050001</v>
      </c>
      <c r="Z142" s="9" t="s">
        <v>579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467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362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609</v>
      </c>
      <c r="X143" s="9">
        <f ca="1">IFERROR(OFFSET(ITEM_RES!$A$5,MATCH(BUILDING!W143,ITEM_RES!$J$5:$J$231,0)-1,0),0)</f>
        <v>211050001</v>
      </c>
      <c r="Z143" s="9" t="s">
        <v>579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467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362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609</v>
      </c>
      <c r="X144" s="9">
        <f ca="1">IFERROR(OFFSET(ITEM_RES!$A$5,MATCH(BUILDING!W144,ITEM_RES!$J$5:$J$231,0)-1,0),0)</f>
        <v>211050001</v>
      </c>
      <c r="Z144" s="9" t="s">
        <v>579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467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361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609</v>
      </c>
      <c r="X145" s="16">
        <f ca="1">IFERROR(OFFSET(ITEM_RES!$A$5,MATCH(BUILDING!W145,ITEM_RES!$J$5:$J$231,0)-1,0),0)</f>
        <v>211050001</v>
      </c>
      <c r="Y145" s="80"/>
      <c r="Z145" s="16" t="s">
        <v>580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469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495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361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609</v>
      </c>
      <c r="X146" s="9">
        <f ca="1">IFERROR(OFFSET(ITEM_RES!$A$5,MATCH(BUILDING!W146,ITEM_RES!$J$5:$J$231,0)-1,0),0)</f>
        <v>211050001</v>
      </c>
      <c r="Z146" s="9" t="s">
        <v>580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469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361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609</v>
      </c>
      <c r="X147" s="9">
        <f ca="1">IFERROR(OFFSET(ITEM_RES!$A$5,MATCH(BUILDING!W147,ITEM_RES!$J$5:$J$231,0)-1,0),0)</f>
        <v>211050001</v>
      </c>
      <c r="Z147" s="9" t="s">
        <v>580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469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361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609</v>
      </c>
      <c r="X148" s="9">
        <f ca="1">IFERROR(OFFSET(ITEM_RES!$A$5,MATCH(BUILDING!W148,ITEM_RES!$J$5:$J$231,0)-1,0),0)</f>
        <v>211050001</v>
      </c>
      <c r="Z148" s="9" t="s">
        <v>580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469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361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609</v>
      </c>
      <c r="X149" s="9">
        <f ca="1">IFERROR(OFFSET(ITEM_RES!$A$5,MATCH(BUILDING!W149,ITEM_RES!$J$5:$J$231,0)-1,0),0)</f>
        <v>211050001</v>
      </c>
      <c r="Z149" s="9" t="s">
        <v>580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469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361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609</v>
      </c>
      <c r="X150" s="9">
        <f ca="1">IFERROR(OFFSET(ITEM_RES!$A$5,MATCH(BUILDING!W150,ITEM_RES!$J$5:$J$231,0)-1,0),0)</f>
        <v>211050001</v>
      </c>
      <c r="Z150" s="9" t="s">
        <v>580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469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361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609</v>
      </c>
      <c r="X151" s="9">
        <f ca="1">IFERROR(OFFSET(ITEM_RES!$A$5,MATCH(BUILDING!W151,ITEM_RES!$J$5:$J$231,0)-1,0),0)</f>
        <v>211050001</v>
      </c>
      <c r="Z151" s="9" t="s">
        <v>580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469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361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609</v>
      </c>
      <c r="X152" s="9">
        <f ca="1">IFERROR(OFFSET(ITEM_RES!$A$5,MATCH(BUILDING!W152,ITEM_RES!$J$5:$J$231,0)-1,0),0)</f>
        <v>211050001</v>
      </c>
      <c r="Z152" s="9" t="s">
        <v>580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469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361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609</v>
      </c>
      <c r="X153" s="9">
        <f ca="1">IFERROR(OFFSET(ITEM_RES!$A$5,MATCH(BUILDING!W153,ITEM_RES!$J$5:$J$231,0)-1,0),0)</f>
        <v>211050001</v>
      </c>
      <c r="Z153" s="9" t="s">
        <v>580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469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361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609</v>
      </c>
      <c r="X154" s="9">
        <f ca="1">IFERROR(OFFSET(ITEM_RES!$A$5,MATCH(BUILDING!W154,ITEM_RES!$J$5:$J$231,0)-1,0),0)</f>
        <v>211050001</v>
      </c>
      <c r="Z154" s="9" t="s">
        <v>580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469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361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609</v>
      </c>
      <c r="X155" s="9">
        <f ca="1">IFERROR(OFFSET(ITEM_RES!$A$5,MATCH(BUILDING!W155,ITEM_RES!$J$5:$J$231,0)-1,0),0)</f>
        <v>211050001</v>
      </c>
      <c r="Z155" s="9" t="s">
        <v>580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472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361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609</v>
      </c>
      <c r="X156" s="9">
        <f ca="1">IFERROR(OFFSET(ITEM_RES!$A$5,MATCH(BUILDING!W156,ITEM_RES!$J$5:$J$231,0)-1,0),0)</f>
        <v>211050001</v>
      </c>
      <c r="Z156" s="9" t="s">
        <v>580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469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361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609</v>
      </c>
      <c r="X157" s="9">
        <f ca="1">IFERROR(OFFSET(ITEM_RES!$A$5,MATCH(BUILDING!W157,ITEM_RES!$J$5:$J$231,0)-1,0),0)</f>
        <v>211050001</v>
      </c>
      <c r="Z157" s="9" t="s">
        <v>580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361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609</v>
      </c>
      <c r="X158" s="9">
        <f ca="1">IFERROR(OFFSET(ITEM_RES!$A$5,MATCH(BUILDING!W158,ITEM_RES!$J$5:$J$231,0)-1,0),0)</f>
        <v>211050001</v>
      </c>
      <c r="Z158" s="9" t="s">
        <v>580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361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609</v>
      </c>
      <c r="X159" s="9">
        <f ca="1">IFERROR(OFFSET(ITEM_RES!$A$5,MATCH(BUILDING!W159,ITEM_RES!$J$5:$J$231,0)-1,0),0)</f>
        <v>211050001</v>
      </c>
      <c r="Z159" s="9" t="s">
        <v>580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361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609</v>
      </c>
      <c r="X160" s="9">
        <f ca="1">IFERROR(OFFSET(ITEM_RES!$A$5,MATCH(BUILDING!W160,ITEM_RES!$J$5:$J$231,0)-1,0),0)</f>
        <v>211050001</v>
      </c>
      <c r="Z160" s="9" t="s">
        <v>580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361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609</v>
      </c>
      <c r="X161" s="9">
        <f ca="1">IFERROR(OFFSET(ITEM_RES!$A$5,MATCH(BUILDING!W161,ITEM_RES!$J$5:$J$231,0)-1,0),0)</f>
        <v>211050001</v>
      </c>
      <c r="Z161" s="9" t="s">
        <v>580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361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609</v>
      </c>
      <c r="X162" s="9">
        <f ca="1">IFERROR(OFFSET(ITEM_RES!$A$5,MATCH(BUILDING!W162,ITEM_RES!$J$5:$J$231,0)-1,0),0)</f>
        <v>211050001</v>
      </c>
      <c r="Z162" s="9" t="s">
        <v>580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361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609</v>
      </c>
      <c r="X163" s="9">
        <f ca="1">IFERROR(OFFSET(ITEM_RES!$A$5,MATCH(BUILDING!W163,ITEM_RES!$J$5:$J$231,0)-1,0),0)</f>
        <v>211050001</v>
      </c>
      <c r="Z163" s="9" t="s">
        <v>580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361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609</v>
      </c>
      <c r="X164" s="9">
        <f ca="1">IFERROR(OFFSET(ITEM_RES!$A$5,MATCH(BUILDING!W164,ITEM_RES!$J$5:$J$231,0)-1,0),0)</f>
        <v>211050001</v>
      </c>
      <c r="Z164" s="9" t="s">
        <v>580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363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609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610</v>
      </c>
      <c r="X165" s="16">
        <f ca="1">IFERROR(OFFSET(ITEM_RES!$A$5,MATCH(BUILDING!W165,ITEM_RES!$J$5:$J$231,0)-1,0),0)</f>
        <v>215010001</v>
      </c>
      <c r="Y165" s="80"/>
      <c r="Z165" s="16" t="s">
        <v>581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469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495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363</v>
      </c>
      <c r="L166" s="9">
        <v>1</v>
      </c>
      <c r="M166" s="9">
        <v>15</v>
      </c>
      <c r="R166" s="9">
        <v>66</v>
      </c>
      <c r="T166" s="86" t="s">
        <v>609</v>
      </c>
      <c r="U166" s="9">
        <f ca="1">IFERROR(OFFSET(ITEM_RES!$A$5,MATCH(BUILDING!T166,ITEM_RES!$J$5:$J$231,0)-1,0),0)</f>
        <v>211050001</v>
      </c>
      <c r="V166" s="11">
        <v>1</v>
      </c>
      <c r="W166" s="86" t="s">
        <v>610</v>
      </c>
      <c r="X166" s="9">
        <f ca="1">IFERROR(OFFSET(ITEM_RES!$A$5,MATCH(BUILDING!W166,ITEM_RES!$J$5:$J$231,0)-1,0),0)</f>
        <v>215010001</v>
      </c>
      <c r="Z166" s="9" t="s">
        <v>581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469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363</v>
      </c>
      <c r="L167" s="9">
        <v>1</v>
      </c>
      <c r="M167" s="9">
        <v>15</v>
      </c>
      <c r="R167" s="9">
        <v>66</v>
      </c>
      <c r="T167" s="86" t="s">
        <v>609</v>
      </c>
      <c r="U167" s="9">
        <f ca="1">IFERROR(OFFSET(ITEM_RES!$A$5,MATCH(BUILDING!T167,ITEM_RES!$J$5:$J$231,0)-1,0),0)</f>
        <v>211050001</v>
      </c>
      <c r="V167" s="11">
        <v>1</v>
      </c>
      <c r="W167" s="86" t="s">
        <v>610</v>
      </c>
      <c r="X167" s="9">
        <f ca="1">IFERROR(OFFSET(ITEM_RES!$A$5,MATCH(BUILDING!W167,ITEM_RES!$J$5:$J$231,0)-1,0),0)</f>
        <v>215010001</v>
      </c>
      <c r="Z167" s="9" t="s">
        <v>581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469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363</v>
      </c>
      <c r="L168" s="9">
        <v>1</v>
      </c>
      <c r="M168" s="9">
        <v>15</v>
      </c>
      <c r="R168" s="9">
        <v>66</v>
      </c>
      <c r="T168" s="86" t="s">
        <v>609</v>
      </c>
      <c r="U168" s="9">
        <f ca="1">IFERROR(OFFSET(ITEM_RES!$A$5,MATCH(BUILDING!T168,ITEM_RES!$J$5:$J$231,0)-1,0),0)</f>
        <v>211050001</v>
      </c>
      <c r="V168" s="11">
        <v>1</v>
      </c>
      <c r="W168" s="86" t="s">
        <v>610</v>
      </c>
      <c r="X168" s="9">
        <f ca="1">IFERROR(OFFSET(ITEM_RES!$A$5,MATCH(BUILDING!W168,ITEM_RES!$J$5:$J$231,0)-1,0),0)</f>
        <v>215010001</v>
      </c>
      <c r="Z168" s="9" t="s">
        <v>581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469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363</v>
      </c>
      <c r="L169" s="9">
        <v>1</v>
      </c>
      <c r="M169" s="9">
        <v>15</v>
      </c>
      <c r="R169" s="9">
        <v>66</v>
      </c>
      <c r="T169" s="86" t="s">
        <v>609</v>
      </c>
      <c r="U169" s="9">
        <f ca="1">IFERROR(OFFSET(ITEM_RES!$A$5,MATCH(BUILDING!T169,ITEM_RES!$J$5:$J$231,0)-1,0),0)</f>
        <v>211050001</v>
      </c>
      <c r="V169" s="11">
        <v>1</v>
      </c>
      <c r="W169" s="86" t="s">
        <v>610</v>
      </c>
      <c r="X169" s="9">
        <f ca="1">IFERROR(OFFSET(ITEM_RES!$A$5,MATCH(BUILDING!W169,ITEM_RES!$J$5:$J$231,0)-1,0),0)</f>
        <v>215010001</v>
      </c>
      <c r="Z169" s="9" t="s">
        <v>581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469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363</v>
      </c>
      <c r="L170" s="9">
        <v>1</v>
      </c>
      <c r="M170" s="9">
        <v>15</v>
      </c>
      <c r="R170" s="9">
        <v>66</v>
      </c>
      <c r="T170" s="86" t="s">
        <v>609</v>
      </c>
      <c r="U170" s="9">
        <f ca="1">IFERROR(OFFSET(ITEM_RES!$A$5,MATCH(BUILDING!T170,ITEM_RES!$J$5:$J$231,0)-1,0),0)</f>
        <v>211050001</v>
      </c>
      <c r="V170" s="11">
        <v>1</v>
      </c>
      <c r="W170" s="86" t="s">
        <v>610</v>
      </c>
      <c r="X170" s="9">
        <f ca="1">IFERROR(OFFSET(ITEM_RES!$A$5,MATCH(BUILDING!W170,ITEM_RES!$J$5:$J$231,0)-1,0),0)</f>
        <v>215010001</v>
      </c>
      <c r="Z170" s="9" t="s">
        <v>581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469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363</v>
      </c>
      <c r="L171" s="9">
        <v>1</v>
      </c>
      <c r="M171" s="9">
        <v>15</v>
      </c>
      <c r="R171" s="9">
        <v>66</v>
      </c>
      <c r="T171" s="86" t="s">
        <v>609</v>
      </c>
      <c r="U171" s="9">
        <f ca="1">IFERROR(OFFSET(ITEM_RES!$A$5,MATCH(BUILDING!T171,ITEM_RES!$J$5:$J$231,0)-1,0),0)</f>
        <v>211050001</v>
      </c>
      <c r="V171" s="11">
        <v>1</v>
      </c>
      <c r="W171" s="86" t="s">
        <v>610</v>
      </c>
      <c r="X171" s="9">
        <f ca="1">IFERROR(OFFSET(ITEM_RES!$A$5,MATCH(BUILDING!W171,ITEM_RES!$J$5:$J$231,0)-1,0),0)</f>
        <v>215010001</v>
      </c>
      <c r="Z171" s="9" t="s">
        <v>581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469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363</v>
      </c>
      <c r="L172" s="9">
        <v>1</v>
      </c>
      <c r="M172" s="9">
        <v>15</v>
      </c>
      <c r="R172" s="9">
        <v>66</v>
      </c>
      <c r="T172" s="86" t="s">
        <v>609</v>
      </c>
      <c r="U172" s="9">
        <f ca="1">IFERROR(OFFSET(ITEM_RES!$A$5,MATCH(BUILDING!T172,ITEM_RES!$J$5:$J$231,0)-1,0),0)</f>
        <v>211050001</v>
      </c>
      <c r="V172" s="11">
        <v>1</v>
      </c>
      <c r="W172" s="86" t="s">
        <v>610</v>
      </c>
      <c r="X172" s="9">
        <f ca="1">IFERROR(OFFSET(ITEM_RES!$A$5,MATCH(BUILDING!W172,ITEM_RES!$J$5:$J$231,0)-1,0),0)</f>
        <v>215010001</v>
      </c>
      <c r="Z172" s="9" t="s">
        <v>581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469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363</v>
      </c>
      <c r="L173" s="9">
        <v>1</v>
      </c>
      <c r="M173" s="9">
        <v>15</v>
      </c>
      <c r="R173" s="9">
        <v>66</v>
      </c>
      <c r="T173" s="86" t="s">
        <v>609</v>
      </c>
      <c r="U173" s="9">
        <f ca="1">IFERROR(OFFSET(ITEM_RES!$A$5,MATCH(BUILDING!T173,ITEM_RES!$J$5:$J$231,0)-1,0),0)</f>
        <v>211050001</v>
      </c>
      <c r="V173" s="11">
        <v>1</v>
      </c>
      <c r="W173" s="86" t="s">
        <v>610</v>
      </c>
      <c r="X173" s="9">
        <f ca="1">IFERROR(OFFSET(ITEM_RES!$A$5,MATCH(BUILDING!W173,ITEM_RES!$J$5:$J$231,0)-1,0),0)</f>
        <v>215010001</v>
      </c>
      <c r="Z173" s="9" t="s">
        <v>581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469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363</v>
      </c>
      <c r="L174" s="9">
        <v>1</v>
      </c>
      <c r="M174" s="9">
        <v>15</v>
      </c>
      <c r="R174" s="9">
        <v>66</v>
      </c>
      <c r="T174" s="86" t="s">
        <v>609</v>
      </c>
      <c r="U174" s="9">
        <f ca="1">IFERROR(OFFSET(ITEM_RES!$A$5,MATCH(BUILDING!T174,ITEM_RES!$J$5:$J$231,0)-1,0),0)</f>
        <v>211050001</v>
      </c>
      <c r="V174" s="11">
        <v>1</v>
      </c>
      <c r="W174" s="86" t="s">
        <v>610</v>
      </c>
      <c r="X174" s="9">
        <f ca="1">IFERROR(OFFSET(ITEM_RES!$A$5,MATCH(BUILDING!W174,ITEM_RES!$J$5:$J$231,0)-1,0),0)</f>
        <v>215010001</v>
      </c>
      <c r="Z174" s="9" t="s">
        <v>581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469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363</v>
      </c>
      <c r="L175" s="9">
        <v>1</v>
      </c>
      <c r="M175" s="9">
        <v>15</v>
      </c>
      <c r="R175" s="9">
        <v>66</v>
      </c>
      <c r="T175" s="86" t="s">
        <v>609</v>
      </c>
      <c r="U175" s="9">
        <f ca="1">IFERROR(OFFSET(ITEM_RES!$A$5,MATCH(BUILDING!T175,ITEM_RES!$J$5:$J$231,0)-1,0),0)</f>
        <v>211050001</v>
      </c>
      <c r="V175" s="11">
        <v>1</v>
      </c>
      <c r="W175" s="86" t="s">
        <v>610</v>
      </c>
      <c r="X175" s="9">
        <f ca="1">IFERROR(OFFSET(ITEM_RES!$A$5,MATCH(BUILDING!W175,ITEM_RES!$J$5:$J$231,0)-1,0),0)</f>
        <v>215010001</v>
      </c>
      <c r="Z175" s="9" t="s">
        <v>581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469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363</v>
      </c>
      <c r="L176" s="9">
        <v>1</v>
      </c>
      <c r="M176" s="9">
        <v>15</v>
      </c>
      <c r="R176" s="9">
        <v>66</v>
      </c>
      <c r="T176" s="86" t="s">
        <v>609</v>
      </c>
      <c r="U176" s="9">
        <f ca="1">IFERROR(OFFSET(ITEM_RES!$A$5,MATCH(BUILDING!T176,ITEM_RES!$J$5:$J$231,0)-1,0),0)</f>
        <v>211050001</v>
      </c>
      <c r="V176" s="11">
        <v>1</v>
      </c>
      <c r="W176" s="86" t="s">
        <v>610</v>
      </c>
      <c r="X176" s="9">
        <f ca="1">IFERROR(OFFSET(ITEM_RES!$A$5,MATCH(BUILDING!W176,ITEM_RES!$J$5:$J$231,0)-1,0),0)</f>
        <v>215010001</v>
      </c>
      <c r="Z176" s="9" t="s">
        <v>581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469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363</v>
      </c>
      <c r="L177" s="9">
        <v>1</v>
      </c>
      <c r="M177" s="9">
        <v>15</v>
      </c>
      <c r="R177" s="9">
        <v>66</v>
      </c>
      <c r="T177" s="86" t="s">
        <v>609</v>
      </c>
      <c r="U177" s="9">
        <f ca="1">IFERROR(OFFSET(ITEM_RES!$A$5,MATCH(BUILDING!T177,ITEM_RES!$J$5:$J$231,0)-1,0),0)</f>
        <v>211050001</v>
      </c>
      <c r="V177" s="11">
        <v>1</v>
      </c>
      <c r="W177" s="86" t="s">
        <v>610</v>
      </c>
      <c r="X177" s="9">
        <f ca="1">IFERROR(OFFSET(ITEM_RES!$A$5,MATCH(BUILDING!W177,ITEM_RES!$J$5:$J$231,0)-1,0),0)</f>
        <v>215010001</v>
      </c>
      <c r="Z177" s="9" t="s">
        <v>581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469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363</v>
      </c>
      <c r="L178" s="9">
        <v>1</v>
      </c>
      <c r="M178" s="9">
        <v>15</v>
      </c>
      <c r="R178" s="9">
        <v>66</v>
      </c>
      <c r="T178" s="86" t="s">
        <v>609</v>
      </c>
      <c r="U178" s="9">
        <f ca="1">IFERROR(OFFSET(ITEM_RES!$A$5,MATCH(BUILDING!T178,ITEM_RES!$J$5:$J$231,0)-1,0),0)</f>
        <v>211050001</v>
      </c>
      <c r="V178" s="11">
        <v>1</v>
      </c>
      <c r="W178" s="86" t="s">
        <v>610</v>
      </c>
      <c r="X178" s="9">
        <f ca="1">IFERROR(OFFSET(ITEM_RES!$A$5,MATCH(BUILDING!W178,ITEM_RES!$J$5:$J$231,0)-1,0),0)</f>
        <v>215010001</v>
      </c>
      <c r="Z178" s="9" t="s">
        <v>581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469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363</v>
      </c>
      <c r="L179" s="9">
        <v>1</v>
      </c>
      <c r="M179" s="9">
        <v>15</v>
      </c>
      <c r="R179" s="9">
        <v>66</v>
      </c>
      <c r="T179" s="86" t="s">
        <v>609</v>
      </c>
      <c r="U179" s="9">
        <f ca="1">IFERROR(OFFSET(ITEM_RES!$A$5,MATCH(BUILDING!T179,ITEM_RES!$J$5:$J$231,0)-1,0),0)</f>
        <v>211050001</v>
      </c>
      <c r="V179" s="11">
        <v>1</v>
      </c>
      <c r="W179" s="86" t="s">
        <v>610</v>
      </c>
      <c r="X179" s="9">
        <f ca="1">IFERROR(OFFSET(ITEM_RES!$A$5,MATCH(BUILDING!W179,ITEM_RES!$J$5:$J$231,0)-1,0),0)</f>
        <v>215010001</v>
      </c>
      <c r="Z179" s="9" t="s">
        <v>581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469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363</v>
      </c>
      <c r="L180" s="9">
        <v>0</v>
      </c>
      <c r="M180" s="9">
        <v>15</v>
      </c>
      <c r="R180" s="9">
        <v>66</v>
      </c>
      <c r="T180" s="86" t="s">
        <v>609</v>
      </c>
      <c r="U180" s="9">
        <f ca="1">IFERROR(OFFSET(ITEM_RES!$A$5,MATCH(BUILDING!T180,ITEM_RES!$J$5:$J$231,0)-1,0),0)</f>
        <v>211050001</v>
      </c>
      <c r="V180" s="11">
        <v>1</v>
      </c>
      <c r="W180" s="86" t="s">
        <v>610</v>
      </c>
      <c r="X180" s="9">
        <f ca="1">IFERROR(OFFSET(ITEM_RES!$A$5,MATCH(BUILDING!W180,ITEM_RES!$J$5:$J$231,0)-1,0),0)</f>
        <v>215010001</v>
      </c>
      <c r="Z180" s="9" t="s">
        <v>581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469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363</v>
      </c>
      <c r="L181" s="9">
        <v>0</v>
      </c>
      <c r="M181" s="9">
        <v>15</v>
      </c>
      <c r="R181" s="9">
        <v>66</v>
      </c>
      <c r="T181" s="86" t="s">
        <v>609</v>
      </c>
      <c r="U181" s="9">
        <f ca="1">IFERROR(OFFSET(ITEM_RES!$A$5,MATCH(BUILDING!T181,ITEM_RES!$J$5:$J$231,0)-1,0),0)</f>
        <v>211050001</v>
      </c>
      <c r="V181" s="11">
        <v>1</v>
      </c>
      <c r="W181" s="86" t="s">
        <v>610</v>
      </c>
      <c r="X181" s="9">
        <f ca="1">IFERROR(OFFSET(ITEM_RES!$A$5,MATCH(BUILDING!W181,ITEM_RES!$J$5:$J$231,0)-1,0),0)</f>
        <v>215010001</v>
      </c>
      <c r="Z181" s="9" t="s">
        <v>581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363</v>
      </c>
      <c r="L182" s="9">
        <v>0</v>
      </c>
      <c r="M182" s="9">
        <v>15</v>
      </c>
      <c r="R182" s="9">
        <v>66</v>
      </c>
      <c r="T182" s="86" t="s">
        <v>609</v>
      </c>
      <c r="U182" s="9">
        <f ca="1">IFERROR(OFFSET(ITEM_RES!$A$5,MATCH(BUILDING!T182,ITEM_RES!$J$5:$J$231,0)-1,0),0)</f>
        <v>211050001</v>
      </c>
      <c r="V182" s="11">
        <v>1</v>
      </c>
      <c r="W182" s="86" t="s">
        <v>610</v>
      </c>
      <c r="X182" s="9">
        <f ca="1">IFERROR(OFFSET(ITEM_RES!$A$5,MATCH(BUILDING!W182,ITEM_RES!$J$5:$J$231,0)-1,0),0)</f>
        <v>215010001</v>
      </c>
      <c r="Z182" s="9" t="s">
        <v>581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363</v>
      </c>
      <c r="L183" s="9">
        <v>0</v>
      </c>
      <c r="M183" s="9">
        <v>15</v>
      </c>
      <c r="R183" s="9">
        <v>66</v>
      </c>
      <c r="T183" s="86" t="s">
        <v>609</v>
      </c>
      <c r="U183" s="9">
        <f ca="1">IFERROR(OFFSET(ITEM_RES!$A$5,MATCH(BUILDING!T183,ITEM_RES!$J$5:$J$231,0)-1,0),0)</f>
        <v>211050001</v>
      </c>
      <c r="V183" s="11">
        <v>1</v>
      </c>
      <c r="W183" s="86" t="s">
        <v>610</v>
      </c>
      <c r="X183" s="9">
        <f ca="1">IFERROR(OFFSET(ITEM_RES!$A$5,MATCH(BUILDING!W183,ITEM_RES!$J$5:$J$231,0)-1,0),0)</f>
        <v>215010001</v>
      </c>
      <c r="Z183" s="9" t="s">
        <v>581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363</v>
      </c>
      <c r="L184" s="9">
        <v>0</v>
      </c>
      <c r="M184" s="9">
        <v>15</v>
      </c>
      <c r="R184" s="9">
        <v>66</v>
      </c>
      <c r="T184" s="86" t="s">
        <v>609</v>
      </c>
      <c r="U184" s="9">
        <f ca="1">IFERROR(OFFSET(ITEM_RES!$A$5,MATCH(BUILDING!T184,ITEM_RES!$J$5:$J$231,0)-1,0),0)</f>
        <v>211050001</v>
      </c>
      <c r="V184" s="11">
        <v>1</v>
      </c>
      <c r="W184" s="86" t="s">
        <v>610</v>
      </c>
      <c r="X184" s="9">
        <f ca="1">IFERROR(OFFSET(ITEM_RES!$A$5,MATCH(BUILDING!W184,ITEM_RES!$J$5:$J$231,0)-1,0),0)</f>
        <v>215010001</v>
      </c>
      <c r="Z184" s="9" t="s">
        <v>581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568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582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414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419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568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582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414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568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582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414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568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582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414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568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582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414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568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582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414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568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582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414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568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582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414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568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582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414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568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582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414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506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568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582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414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568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582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414</v>
      </c>
      <c r="AR196" s="11">
        <v>1500</v>
      </c>
      <c r="AU196" s="11">
        <f ca="1">IFERROR(OFFSET(ITEM_RES!$A$1,MATCH(AV196,ITEM_RES!$J:$J,0)-1,0),0)</f>
        <v>215050001</v>
      </c>
      <c r="AV196" s="10" t="s">
        <v>415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568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582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414</v>
      </c>
      <c r="AR197" s="11">
        <v>1750</v>
      </c>
      <c r="AU197" s="11">
        <f ca="1">IFERROR(OFFSET(ITEM_RES!$A$1,MATCH(AV197,ITEM_RES!$J:$J,0)-1,0),0)</f>
        <v>215050001</v>
      </c>
      <c r="AV197" s="10" t="s">
        <v>415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568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582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414</v>
      </c>
      <c r="AR198" s="11">
        <v>2250</v>
      </c>
      <c r="AU198" s="11">
        <f ca="1">IFERROR(OFFSET(ITEM_RES!$A$1,MATCH(AV198,ITEM_RES!$J:$J,0)-1,0),0)</f>
        <v>215050001</v>
      </c>
      <c r="AV198" s="10" t="s">
        <v>415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568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582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414</v>
      </c>
      <c r="AR199" s="11">
        <v>2750</v>
      </c>
      <c r="AU199" s="11">
        <f ca="1">IFERROR(OFFSET(ITEM_RES!$A$1,MATCH(AV199,ITEM_RES!$J:$J,0)-1,0),0)</f>
        <v>215050001</v>
      </c>
      <c r="AV199" s="10" t="s">
        <v>415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568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582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414</v>
      </c>
      <c r="AR200" s="11">
        <v>3500</v>
      </c>
      <c r="AU200" s="11">
        <f ca="1">IFERROR(OFFSET(ITEM_RES!$A$1,MATCH(AV200,ITEM_RES!$J:$J,0)-1,0),0)</f>
        <v>215050001</v>
      </c>
      <c r="AV200" s="10" t="s">
        <v>415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568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582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414</v>
      </c>
      <c r="AR201" s="11">
        <v>4250</v>
      </c>
      <c r="AU201" s="11">
        <f ca="1">IFERROR(OFFSET(ITEM_RES!$A$1,MATCH(AV201,ITEM_RES!$J:$J,0)-1,0),0)</f>
        <v>215050001</v>
      </c>
      <c r="AV201" s="10" t="s">
        <v>415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568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582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414</v>
      </c>
      <c r="AR202" s="11">
        <v>5250</v>
      </c>
      <c r="AU202" s="11">
        <f ca="1">IFERROR(OFFSET(ITEM_RES!$A$1,MATCH(AV202,ITEM_RES!$J:$J,0)-1,0),0)</f>
        <v>215050001</v>
      </c>
      <c r="AV202" s="10" t="s">
        <v>415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568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582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415</v>
      </c>
      <c r="AR203" s="11">
        <v>6250</v>
      </c>
      <c r="AU203" s="11">
        <f ca="1">IFERROR(OFFSET(ITEM_RES!$A$1,MATCH(AV203,ITEM_RES!$J:$J,0)-1,0),0)</f>
        <v>215070001</v>
      </c>
      <c r="AV203" s="10" t="s">
        <v>457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568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582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569</v>
      </c>
      <c r="AR204" s="11">
        <v>7500</v>
      </c>
      <c r="AU204" s="11">
        <f ca="1">IFERROR(OFFSET(ITEM_RES!$A$1,MATCH(AV204,ITEM_RES!$J:$J,0)-1,0),0)</f>
        <v>215070001</v>
      </c>
      <c r="AV204" s="10" t="s">
        <v>457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113020001</v>
      </c>
      <c r="B205" s="20">
        <v>11</v>
      </c>
      <c r="C205" s="19">
        <f t="shared" si="71"/>
        <v>3</v>
      </c>
      <c r="D205" s="20">
        <v>2</v>
      </c>
      <c r="E205" s="20">
        <v>0</v>
      </c>
      <c r="F205" s="19">
        <f t="shared" si="72"/>
        <v>1</v>
      </c>
      <c r="G205" s="80"/>
      <c r="H205" s="16">
        <v>3</v>
      </c>
      <c r="I205" s="16">
        <v>1</v>
      </c>
      <c r="J205" s="80"/>
      <c r="K205" s="64" t="s">
        <v>384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583</v>
      </c>
      <c r="AA205" s="16">
        <v>1</v>
      </c>
      <c r="AB205" s="80"/>
      <c r="AC205" s="16">
        <v>0</v>
      </c>
      <c r="AD205" s="80"/>
      <c r="AE205" s="57">
        <f t="shared" si="67"/>
        <v>605</v>
      </c>
      <c r="AF205" s="17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470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456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495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113020002</v>
      </c>
      <c r="B206" s="13">
        <v>11</v>
      </c>
      <c r="C206" s="12">
        <f t="shared" si="71"/>
        <v>3</v>
      </c>
      <c r="D206" s="13">
        <v>2</v>
      </c>
      <c r="E206" s="13">
        <v>0</v>
      </c>
      <c r="F206" s="12">
        <f t="shared" si="72"/>
        <v>2</v>
      </c>
      <c r="H206" s="9">
        <v>3</v>
      </c>
      <c r="I206" s="9">
        <v>2</v>
      </c>
      <c r="K206" s="56" t="s">
        <v>384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583</v>
      </c>
      <c r="AA206" s="9">
        <v>2</v>
      </c>
      <c r="AC206" s="9">
        <v>200</v>
      </c>
      <c r="AE206" s="56">
        <f t="shared" si="67"/>
        <v>210</v>
      </c>
      <c r="AF206" s="10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470</v>
      </c>
      <c r="AR206" s="11">
        <v>50</v>
      </c>
      <c r="AU206" s="11">
        <f ca="1">IFERROR(OFFSET(ITEM_RES!$A$1,MATCH(AV206,ITEM_RES!$J:$J,0)-1,0),0)</f>
        <v>212010001</v>
      </c>
      <c r="AV206" s="10" t="s">
        <v>456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113020003</v>
      </c>
      <c r="B207" s="13">
        <v>11</v>
      </c>
      <c r="C207" s="12">
        <f t="shared" si="71"/>
        <v>3</v>
      </c>
      <c r="D207" s="13">
        <v>2</v>
      </c>
      <c r="E207" s="13">
        <v>0</v>
      </c>
      <c r="F207" s="12">
        <f t="shared" si="72"/>
        <v>3</v>
      </c>
      <c r="H207" s="9">
        <v>3</v>
      </c>
      <c r="I207" s="9">
        <v>3</v>
      </c>
      <c r="K207" s="56" t="s">
        <v>384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583</v>
      </c>
      <c r="AA207" s="9">
        <v>3</v>
      </c>
      <c r="AC207" s="9">
        <v>600</v>
      </c>
      <c r="AE207" s="56">
        <f t="shared" si="67"/>
        <v>315</v>
      </c>
      <c r="AF207" s="10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470</v>
      </c>
      <c r="AR207" s="11">
        <v>75</v>
      </c>
      <c r="AU207" s="11">
        <f ca="1">IFERROR(OFFSET(ITEM_RES!$A$1,MATCH(AV207,ITEM_RES!$J:$J,0)-1,0),0)</f>
        <v>212010001</v>
      </c>
      <c r="AV207" s="10" t="s">
        <v>456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113020004</v>
      </c>
      <c r="B208" s="13">
        <v>11</v>
      </c>
      <c r="C208" s="12">
        <f t="shared" si="71"/>
        <v>3</v>
      </c>
      <c r="D208" s="13">
        <v>2</v>
      </c>
      <c r="E208" s="13">
        <v>0</v>
      </c>
      <c r="F208" s="12">
        <f t="shared" si="72"/>
        <v>4</v>
      </c>
      <c r="H208" s="9">
        <v>3</v>
      </c>
      <c r="I208" s="9">
        <v>4</v>
      </c>
      <c r="K208" s="56" t="s">
        <v>384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583</v>
      </c>
      <c r="AA208" s="9">
        <v>4</v>
      </c>
      <c r="AC208" s="9">
        <v>1000</v>
      </c>
      <c r="AE208" s="56">
        <f t="shared" si="67"/>
        <v>525</v>
      </c>
      <c r="AF208" s="10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470</v>
      </c>
      <c r="AR208" s="11">
        <v>125</v>
      </c>
      <c r="AU208" s="11">
        <f ca="1">IFERROR(OFFSET(ITEM_RES!$A$1,MATCH(AV208,ITEM_RES!$J:$J,0)-1,0),0)</f>
        <v>212010001</v>
      </c>
      <c r="AV208" s="10" t="s">
        <v>456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113020005</v>
      </c>
      <c r="B209" s="13">
        <v>11</v>
      </c>
      <c r="C209" s="12">
        <f t="shared" si="71"/>
        <v>3</v>
      </c>
      <c r="D209" s="13">
        <v>2</v>
      </c>
      <c r="E209" s="13">
        <v>0</v>
      </c>
      <c r="F209" s="12">
        <f t="shared" si="72"/>
        <v>5</v>
      </c>
      <c r="H209" s="9">
        <v>3</v>
      </c>
      <c r="I209" s="9">
        <v>5</v>
      </c>
      <c r="K209" s="56" t="s">
        <v>384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583</v>
      </c>
      <c r="AA209" s="9">
        <v>5</v>
      </c>
      <c r="AC209" s="9">
        <v>1600</v>
      </c>
      <c r="AE209" s="56">
        <f t="shared" si="67"/>
        <v>840</v>
      </c>
      <c r="AF209" s="10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470</v>
      </c>
      <c r="AR209" s="11">
        <v>200</v>
      </c>
      <c r="AU209" s="11">
        <f ca="1">IFERROR(OFFSET(ITEM_RES!$A$1,MATCH(AV209,ITEM_RES!$J:$J,0)-1,0),0)</f>
        <v>212010001</v>
      </c>
      <c r="AV209" s="10" t="s">
        <v>456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113020006</v>
      </c>
      <c r="B210" s="13">
        <v>11</v>
      </c>
      <c r="C210" s="12">
        <f t="shared" si="71"/>
        <v>3</v>
      </c>
      <c r="D210" s="13">
        <v>2</v>
      </c>
      <c r="E210" s="13">
        <v>0</v>
      </c>
      <c r="F210" s="12">
        <f t="shared" si="72"/>
        <v>6</v>
      </c>
      <c r="H210" s="9">
        <v>3</v>
      </c>
      <c r="I210" s="9">
        <v>6</v>
      </c>
      <c r="K210" s="56" t="s">
        <v>384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583</v>
      </c>
      <c r="AA210" s="9">
        <v>6</v>
      </c>
      <c r="AC210" s="9">
        <v>2000</v>
      </c>
      <c r="AE210" s="56">
        <f t="shared" si="67"/>
        <v>1050</v>
      </c>
      <c r="AF210" s="10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470</v>
      </c>
      <c r="AR210" s="11">
        <v>250</v>
      </c>
      <c r="AU210" s="11">
        <f ca="1">IFERROR(OFFSET(ITEM_RES!$A$1,MATCH(AV210,ITEM_RES!$J:$J,0)-1,0),0)</f>
        <v>212010001</v>
      </c>
      <c r="AV210" s="10" t="s">
        <v>456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113020007</v>
      </c>
      <c r="B211" s="13">
        <v>11</v>
      </c>
      <c r="C211" s="12">
        <f t="shared" si="71"/>
        <v>3</v>
      </c>
      <c r="D211" s="13">
        <v>2</v>
      </c>
      <c r="E211" s="13">
        <v>0</v>
      </c>
      <c r="F211" s="12">
        <f t="shared" si="72"/>
        <v>7</v>
      </c>
      <c r="H211" s="9">
        <v>3</v>
      </c>
      <c r="I211" s="9">
        <v>7</v>
      </c>
      <c r="K211" s="56" t="s">
        <v>384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583</v>
      </c>
      <c r="AA211" s="9">
        <v>7</v>
      </c>
      <c r="AC211" s="9">
        <v>4000</v>
      </c>
      <c r="AE211" s="56">
        <f t="shared" si="67"/>
        <v>2100</v>
      </c>
      <c r="AF211" s="10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470</v>
      </c>
      <c r="AR211" s="11">
        <v>500</v>
      </c>
      <c r="AU211" s="11">
        <f ca="1">IFERROR(OFFSET(ITEM_RES!$A$1,MATCH(AV211,ITEM_RES!$J:$J,0)-1,0),0)</f>
        <v>212010001</v>
      </c>
      <c r="AV211" s="10" t="s">
        <v>456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113020008</v>
      </c>
      <c r="B212" s="13">
        <v>11</v>
      </c>
      <c r="C212" s="12">
        <f t="shared" si="71"/>
        <v>3</v>
      </c>
      <c r="D212" s="13">
        <v>2</v>
      </c>
      <c r="E212" s="13">
        <v>0</v>
      </c>
      <c r="F212" s="12">
        <f t="shared" si="72"/>
        <v>8</v>
      </c>
      <c r="H212" s="9">
        <v>3</v>
      </c>
      <c r="I212" s="9">
        <v>8</v>
      </c>
      <c r="K212" s="56" t="s">
        <v>384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583</v>
      </c>
      <c r="AA212" s="9">
        <v>8</v>
      </c>
      <c r="AC212" s="9">
        <v>4000</v>
      </c>
      <c r="AE212" s="56">
        <f t="shared" si="67"/>
        <v>2100</v>
      </c>
      <c r="AF212" s="10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470</v>
      </c>
      <c r="AR212" s="11">
        <v>500</v>
      </c>
      <c r="AU212" s="11">
        <f ca="1">IFERROR(OFFSET(ITEM_RES!$A$1,MATCH(AV212,ITEM_RES!$J:$J,0)-1,0),0)</f>
        <v>212010001</v>
      </c>
      <c r="AV212" s="10" t="s">
        <v>456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113020009</v>
      </c>
      <c r="B213" s="13">
        <v>11</v>
      </c>
      <c r="C213" s="12">
        <f t="shared" si="71"/>
        <v>3</v>
      </c>
      <c r="D213" s="13">
        <v>2</v>
      </c>
      <c r="E213" s="13">
        <v>0</v>
      </c>
      <c r="F213" s="12">
        <f t="shared" si="72"/>
        <v>9</v>
      </c>
      <c r="H213" s="9">
        <v>3</v>
      </c>
      <c r="I213" s="9">
        <v>9</v>
      </c>
      <c r="K213" s="56" t="s">
        <v>384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583</v>
      </c>
      <c r="AA213" s="9">
        <v>9</v>
      </c>
      <c r="AC213" s="9">
        <v>6000</v>
      </c>
      <c r="AE213" s="56">
        <f t="shared" si="67"/>
        <v>3150</v>
      </c>
      <c r="AF213" s="10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470</v>
      </c>
      <c r="AR213" s="11">
        <v>750</v>
      </c>
      <c r="AU213" s="11">
        <f ca="1">IFERROR(OFFSET(ITEM_RES!$A$1,MATCH(AV213,ITEM_RES!$J:$J,0)-1,0),0)</f>
        <v>212010001</v>
      </c>
      <c r="AV213" s="10" t="s">
        <v>456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113020010</v>
      </c>
      <c r="B214" s="13">
        <v>11</v>
      </c>
      <c r="C214" s="12">
        <f t="shared" si="71"/>
        <v>3</v>
      </c>
      <c r="D214" s="13">
        <v>2</v>
      </c>
      <c r="E214" s="13">
        <v>0</v>
      </c>
      <c r="F214" s="12">
        <f t="shared" si="72"/>
        <v>10</v>
      </c>
      <c r="H214" s="9">
        <v>3</v>
      </c>
      <c r="I214" s="9">
        <v>10</v>
      </c>
      <c r="K214" s="56" t="s">
        <v>384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583</v>
      </c>
      <c r="AA214" s="9">
        <v>10</v>
      </c>
      <c r="AC214" s="9">
        <v>8000</v>
      </c>
      <c r="AE214" s="56">
        <f t="shared" si="67"/>
        <v>4700</v>
      </c>
      <c r="AF214" s="10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470</v>
      </c>
      <c r="AR214" s="11">
        <v>1000</v>
      </c>
      <c r="AU214" s="11">
        <f ca="1">IFERROR(OFFSET(ITEM_RES!$A$1,MATCH(AV214,ITEM_RES!$J:$J,0)-1,0),0)</f>
        <v>212010001</v>
      </c>
      <c r="AV214" s="10" t="s">
        <v>456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570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113020011</v>
      </c>
      <c r="B215" s="13">
        <v>11</v>
      </c>
      <c r="C215" s="12">
        <f t="shared" si="71"/>
        <v>3</v>
      </c>
      <c r="D215" s="13">
        <v>2</v>
      </c>
      <c r="E215" s="13">
        <v>0</v>
      </c>
      <c r="F215" s="12">
        <f t="shared" si="72"/>
        <v>11</v>
      </c>
      <c r="H215" s="9">
        <v>3</v>
      </c>
      <c r="I215" s="9">
        <v>11</v>
      </c>
      <c r="K215" s="56" t="s">
        <v>384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583</v>
      </c>
      <c r="AA215" s="9">
        <v>11</v>
      </c>
      <c r="AC215" s="9">
        <v>10000</v>
      </c>
      <c r="AE215" s="56">
        <f t="shared" si="67"/>
        <v>5250</v>
      </c>
      <c r="AF215" s="10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484</v>
      </c>
      <c r="AR215" s="11">
        <v>1250</v>
      </c>
      <c r="AU215" s="11">
        <f ca="1">IFERROR(OFFSET(ITEM_RES!$A$1,MATCH(AV215,ITEM_RES!$J:$J,0)-1,0),0)</f>
        <v>212010001</v>
      </c>
      <c r="AV215" s="10" t="s">
        <v>456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113020012</v>
      </c>
      <c r="B216" s="13">
        <v>11</v>
      </c>
      <c r="C216" s="12">
        <f t="shared" si="71"/>
        <v>3</v>
      </c>
      <c r="D216" s="13">
        <v>2</v>
      </c>
      <c r="E216" s="13">
        <v>0</v>
      </c>
      <c r="F216" s="12">
        <f t="shared" si="72"/>
        <v>12</v>
      </c>
      <c r="H216" s="9">
        <v>3</v>
      </c>
      <c r="I216" s="9">
        <v>12</v>
      </c>
      <c r="K216" s="56" t="s">
        <v>384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583</v>
      </c>
      <c r="AA216" s="9">
        <v>12</v>
      </c>
      <c r="AC216" s="9">
        <v>12000</v>
      </c>
      <c r="AE216" s="56">
        <f t="shared" si="67"/>
        <v>6300</v>
      </c>
      <c r="AF216" s="10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484</v>
      </c>
      <c r="AR216" s="11">
        <v>1500</v>
      </c>
      <c r="AU216" s="11">
        <f ca="1">IFERROR(OFFSET(ITEM_RES!$A$1,MATCH(AV216,ITEM_RES!$J:$J,0)-1,0),0)</f>
        <v>212010001</v>
      </c>
      <c r="AV216" s="10" t="s">
        <v>456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113020013</v>
      </c>
      <c r="B217" s="13">
        <v>11</v>
      </c>
      <c r="C217" s="12">
        <f t="shared" si="71"/>
        <v>3</v>
      </c>
      <c r="D217" s="13">
        <v>2</v>
      </c>
      <c r="E217" s="13">
        <v>0</v>
      </c>
      <c r="F217" s="12">
        <f t="shared" si="72"/>
        <v>13</v>
      </c>
      <c r="H217" s="9">
        <v>3</v>
      </c>
      <c r="I217" s="9">
        <v>13</v>
      </c>
      <c r="K217" s="56" t="s">
        <v>384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583</v>
      </c>
      <c r="AA217" s="9">
        <v>13</v>
      </c>
      <c r="AC217" s="9">
        <v>14000</v>
      </c>
      <c r="AE217" s="56">
        <f t="shared" si="67"/>
        <v>7350</v>
      </c>
      <c r="AF217" s="10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484</v>
      </c>
      <c r="AR217" s="11">
        <v>1750</v>
      </c>
      <c r="AU217" s="11">
        <f ca="1">IFERROR(OFFSET(ITEM_RES!$A$1,MATCH(AV217,ITEM_RES!$J:$J,0)-1,0),0)</f>
        <v>212010001</v>
      </c>
      <c r="AV217" s="10" t="s">
        <v>456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113020014</v>
      </c>
      <c r="B218" s="13">
        <v>11</v>
      </c>
      <c r="C218" s="12">
        <f t="shared" si="71"/>
        <v>3</v>
      </c>
      <c r="D218" s="13">
        <v>2</v>
      </c>
      <c r="E218" s="13">
        <v>0</v>
      </c>
      <c r="F218" s="12">
        <f t="shared" si="72"/>
        <v>14</v>
      </c>
      <c r="H218" s="9">
        <v>3</v>
      </c>
      <c r="I218" s="9">
        <v>14</v>
      </c>
      <c r="K218" s="56" t="s">
        <v>384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583</v>
      </c>
      <c r="AA218" s="9">
        <v>14</v>
      </c>
      <c r="AC218" s="9">
        <v>18000</v>
      </c>
      <c r="AE218" s="56">
        <f t="shared" ref="AE218:AE281" si="88">AK218*10+AM218+AR218+AW218+500*BB218+500*BG218+500*BL218</f>
        <v>9450</v>
      </c>
      <c r="AF218" s="10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484</v>
      </c>
      <c r="AR218" s="11">
        <v>2250</v>
      </c>
      <c r="AU218" s="11">
        <f ca="1">IFERROR(OFFSET(ITEM_RES!$A$1,MATCH(AV218,ITEM_RES!$J:$J,0)-1,0),0)</f>
        <v>212010001</v>
      </c>
      <c r="AV218" s="10" t="s">
        <v>456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113020015</v>
      </c>
      <c r="B219" s="13">
        <v>11</v>
      </c>
      <c r="C219" s="12">
        <f t="shared" si="71"/>
        <v>3</v>
      </c>
      <c r="D219" s="13">
        <v>2</v>
      </c>
      <c r="E219" s="13">
        <v>0</v>
      </c>
      <c r="F219" s="12">
        <f t="shared" si="72"/>
        <v>15</v>
      </c>
      <c r="H219" s="9">
        <v>3</v>
      </c>
      <c r="I219" s="9">
        <v>15</v>
      </c>
      <c r="K219" s="56" t="s">
        <v>384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583</v>
      </c>
      <c r="AA219" s="9">
        <v>15</v>
      </c>
      <c r="AC219" s="9">
        <v>22000</v>
      </c>
      <c r="AE219" s="56">
        <f t="shared" si="88"/>
        <v>11550</v>
      </c>
      <c r="AF219" s="10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484</v>
      </c>
      <c r="AR219" s="11">
        <v>2750</v>
      </c>
      <c r="AU219" s="11">
        <f ca="1">IFERROR(OFFSET(ITEM_RES!$A$1,MATCH(AV219,ITEM_RES!$J:$J,0)-1,0),0)</f>
        <v>212010001</v>
      </c>
      <c r="AV219" s="10" t="s">
        <v>471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113020016</v>
      </c>
      <c r="B220" s="13">
        <v>11</v>
      </c>
      <c r="C220" s="12">
        <f t="shared" si="71"/>
        <v>3</v>
      </c>
      <c r="D220" s="13">
        <v>2</v>
      </c>
      <c r="E220" s="13">
        <v>0</v>
      </c>
      <c r="F220" s="12">
        <f t="shared" si="72"/>
        <v>16</v>
      </c>
      <c r="H220" s="9">
        <v>3</v>
      </c>
      <c r="I220" s="9">
        <v>16</v>
      </c>
      <c r="K220" s="56" t="s">
        <v>384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583</v>
      </c>
      <c r="AA220" s="9">
        <v>16</v>
      </c>
      <c r="AC220" s="9">
        <v>28000</v>
      </c>
      <c r="AE220" s="56">
        <f t="shared" si="88"/>
        <v>14700</v>
      </c>
      <c r="AF220" s="10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484</v>
      </c>
      <c r="AR220" s="11">
        <v>3500</v>
      </c>
      <c r="AU220" s="11">
        <f ca="1">IFERROR(OFFSET(ITEM_RES!$A$1,MATCH(AV220,ITEM_RES!$J:$J,0)-1,0),0)</f>
        <v>215070001</v>
      </c>
      <c r="AV220" s="10" t="s">
        <v>467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113020017</v>
      </c>
      <c r="B221" s="13">
        <v>11</v>
      </c>
      <c r="C221" s="12">
        <f t="shared" si="71"/>
        <v>3</v>
      </c>
      <c r="D221" s="13">
        <v>2</v>
      </c>
      <c r="E221" s="13">
        <v>0</v>
      </c>
      <c r="F221" s="12">
        <f t="shared" si="72"/>
        <v>17</v>
      </c>
      <c r="H221" s="9">
        <v>3</v>
      </c>
      <c r="I221" s="9">
        <v>17</v>
      </c>
      <c r="K221" s="56" t="s">
        <v>384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583</v>
      </c>
      <c r="AA221" s="9">
        <v>17</v>
      </c>
      <c r="AC221" s="9">
        <v>34000</v>
      </c>
      <c r="AE221" s="56">
        <f t="shared" si="88"/>
        <v>17850</v>
      </c>
      <c r="AF221" s="10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484</v>
      </c>
      <c r="AR221" s="11">
        <v>4250</v>
      </c>
      <c r="AU221" s="11">
        <f ca="1">IFERROR(OFFSET(ITEM_RES!$A$1,MATCH(AV221,ITEM_RES!$J:$J,0)-1,0),0)</f>
        <v>215070001</v>
      </c>
      <c r="AV221" s="10" t="s">
        <v>457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113020018</v>
      </c>
      <c r="B222" s="13">
        <v>11</v>
      </c>
      <c r="C222" s="12">
        <f t="shared" si="71"/>
        <v>3</v>
      </c>
      <c r="D222" s="13">
        <v>2</v>
      </c>
      <c r="E222" s="13">
        <v>0</v>
      </c>
      <c r="F222" s="12">
        <f t="shared" si="72"/>
        <v>18</v>
      </c>
      <c r="H222" s="9">
        <v>3</v>
      </c>
      <c r="I222" s="9">
        <v>18</v>
      </c>
      <c r="K222" s="56" t="s">
        <v>384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583</v>
      </c>
      <c r="AA222" s="9">
        <v>18</v>
      </c>
      <c r="AC222" s="9">
        <v>42000</v>
      </c>
      <c r="AE222" s="56">
        <f t="shared" si="88"/>
        <v>22050</v>
      </c>
      <c r="AF222" s="10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484</v>
      </c>
      <c r="AR222" s="11">
        <v>5250</v>
      </c>
      <c r="AU222" s="11">
        <f ca="1">IFERROR(OFFSET(ITEM_RES!$A$1,MATCH(AV222,ITEM_RES!$J:$J,0)-1,0),0)</f>
        <v>215070001</v>
      </c>
      <c r="AV222" s="10" t="s">
        <v>457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113020019</v>
      </c>
      <c r="B223" s="13">
        <v>11</v>
      </c>
      <c r="C223" s="12">
        <f t="shared" si="71"/>
        <v>3</v>
      </c>
      <c r="D223" s="13">
        <v>2</v>
      </c>
      <c r="E223" s="13">
        <v>0</v>
      </c>
      <c r="F223" s="12">
        <f t="shared" si="72"/>
        <v>19</v>
      </c>
      <c r="H223" s="9">
        <v>3</v>
      </c>
      <c r="I223" s="9">
        <v>19</v>
      </c>
      <c r="K223" s="56" t="s">
        <v>384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583</v>
      </c>
      <c r="AA223" s="9">
        <v>19</v>
      </c>
      <c r="AC223" s="9">
        <v>50000</v>
      </c>
      <c r="AE223" s="56">
        <f t="shared" si="88"/>
        <v>26250</v>
      </c>
      <c r="AF223" s="10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484</v>
      </c>
      <c r="AR223" s="11">
        <v>6250</v>
      </c>
      <c r="AU223" s="11">
        <f ca="1">IFERROR(OFFSET(ITEM_RES!$A$1,MATCH(AV223,ITEM_RES!$J:$J,0)-1,0),0)</f>
        <v>215070001</v>
      </c>
      <c r="AV223" s="10" t="s">
        <v>457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113020020</v>
      </c>
      <c r="B224" s="13">
        <v>11</v>
      </c>
      <c r="C224" s="12">
        <f t="shared" si="71"/>
        <v>3</v>
      </c>
      <c r="D224" s="13">
        <v>2</v>
      </c>
      <c r="E224" s="13">
        <v>0</v>
      </c>
      <c r="F224" s="12">
        <f t="shared" si="72"/>
        <v>20</v>
      </c>
      <c r="H224" s="9">
        <v>3</v>
      </c>
      <c r="I224" s="9">
        <v>20</v>
      </c>
      <c r="K224" s="56" t="s">
        <v>384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583</v>
      </c>
      <c r="AA224" s="9">
        <v>20</v>
      </c>
      <c r="AC224" s="9">
        <v>60000</v>
      </c>
      <c r="AE224" s="56">
        <f t="shared" si="88"/>
        <v>31500</v>
      </c>
      <c r="AF224" s="10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484</v>
      </c>
      <c r="AR224" s="11">
        <v>7500</v>
      </c>
      <c r="AU224" s="11">
        <f ca="1">IFERROR(OFFSET(ITEM_RES!$A$1,MATCH(AV224,ITEM_RES!$J:$J,0)-1,0),0)</f>
        <v>215070001</v>
      </c>
      <c r="AV224" s="10" t="s">
        <v>457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392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584</v>
      </c>
      <c r="AA225" s="16">
        <v>1</v>
      </c>
      <c r="AB225" s="80"/>
      <c r="AC225" s="16">
        <v>0</v>
      </c>
      <c r="AD225" s="80"/>
      <c r="AE225" s="57">
        <f t="shared" si="88"/>
        <v>580</v>
      </c>
      <c r="AF225" s="17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470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495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392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584</v>
      </c>
      <c r="AA226" s="9">
        <v>2</v>
      </c>
      <c r="AC226" s="9">
        <v>200</v>
      </c>
      <c r="AE226" s="56">
        <f t="shared" si="88"/>
        <v>160</v>
      </c>
      <c r="AF226" s="10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470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392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584</v>
      </c>
      <c r="AA227" s="9">
        <v>3</v>
      </c>
      <c r="AC227" s="9">
        <v>600</v>
      </c>
      <c r="AE227" s="56">
        <f t="shared" si="88"/>
        <v>240</v>
      </c>
      <c r="AF227" s="10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470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392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584</v>
      </c>
      <c r="AA228" s="9">
        <v>4</v>
      </c>
      <c r="AC228" s="9">
        <v>1000</v>
      </c>
      <c r="AE228" s="56">
        <f t="shared" si="88"/>
        <v>400</v>
      </c>
      <c r="AF228" s="10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470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392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584</v>
      </c>
      <c r="AA229" s="9">
        <v>5</v>
      </c>
      <c r="AC229" s="9">
        <v>1600</v>
      </c>
      <c r="AE229" s="56">
        <f t="shared" si="88"/>
        <v>640</v>
      </c>
      <c r="AF229" s="10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470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392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584</v>
      </c>
      <c r="AA230" s="9">
        <v>6</v>
      </c>
      <c r="AC230" s="9">
        <v>2000</v>
      </c>
      <c r="AE230" s="56">
        <f t="shared" si="88"/>
        <v>800</v>
      </c>
      <c r="AF230" s="10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470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392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584</v>
      </c>
      <c r="AA231" s="9">
        <v>7</v>
      </c>
      <c r="AC231" s="9">
        <v>4000</v>
      </c>
      <c r="AE231" s="56">
        <f t="shared" si="88"/>
        <v>1600</v>
      </c>
      <c r="AF231" s="10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470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392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584</v>
      </c>
      <c r="AA232" s="9">
        <v>8</v>
      </c>
      <c r="AC232" s="9">
        <v>4000</v>
      </c>
      <c r="AE232" s="56">
        <f t="shared" si="88"/>
        <v>1600</v>
      </c>
      <c r="AF232" s="10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470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392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584</v>
      </c>
      <c r="AA233" s="9">
        <v>9</v>
      </c>
      <c r="AC233" s="9">
        <v>6000</v>
      </c>
      <c r="AE233" s="56">
        <f t="shared" si="88"/>
        <v>2400</v>
      </c>
      <c r="AF233" s="10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470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392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584</v>
      </c>
      <c r="AA234" s="9">
        <v>10</v>
      </c>
      <c r="AC234" s="9">
        <v>8000</v>
      </c>
      <c r="AE234" s="56">
        <f t="shared" si="88"/>
        <v>3700</v>
      </c>
      <c r="AF234" s="10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470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507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392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584</v>
      </c>
      <c r="AA235" s="9">
        <v>11</v>
      </c>
      <c r="AC235" s="9">
        <v>10000</v>
      </c>
      <c r="AE235" s="56">
        <f t="shared" si="88"/>
        <v>4000</v>
      </c>
      <c r="AF235" s="10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470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392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584</v>
      </c>
      <c r="AA236" s="9">
        <v>12</v>
      </c>
      <c r="AC236" s="9">
        <v>12000</v>
      </c>
      <c r="AE236" s="56">
        <f t="shared" si="88"/>
        <v>4800</v>
      </c>
      <c r="AF236" s="10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470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113030013</v>
      </c>
      <c r="B237" s="13">
        <v>11</v>
      </c>
      <c r="C237" s="12">
        <f t="shared" ref="C237:C300" si="92">H237</f>
        <v>3</v>
      </c>
      <c r="D237" s="13">
        <v>3</v>
      </c>
      <c r="E237" s="13">
        <v>0</v>
      </c>
      <c r="F237" s="12">
        <f t="shared" ref="F237:F300" si="93">I237</f>
        <v>13</v>
      </c>
      <c r="H237" s="9">
        <v>3</v>
      </c>
      <c r="I237" s="9">
        <v>13</v>
      </c>
      <c r="K237" s="56" t="s">
        <v>392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584</v>
      </c>
      <c r="AA237" s="9">
        <v>13</v>
      </c>
      <c r="AC237" s="9">
        <v>14000</v>
      </c>
      <c r="AE237" s="56">
        <f t="shared" si="88"/>
        <v>5600</v>
      </c>
      <c r="AF237" s="10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484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113030014</v>
      </c>
      <c r="B238" s="13">
        <v>11</v>
      </c>
      <c r="C238" s="12">
        <f t="shared" si="92"/>
        <v>3</v>
      </c>
      <c r="D238" s="13">
        <v>3</v>
      </c>
      <c r="E238" s="13">
        <v>0</v>
      </c>
      <c r="F238" s="12">
        <f t="shared" si="93"/>
        <v>14</v>
      </c>
      <c r="H238" s="9">
        <v>3</v>
      </c>
      <c r="I238" s="9">
        <v>14</v>
      </c>
      <c r="K238" s="56" t="s">
        <v>392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584</v>
      </c>
      <c r="AA238" s="9">
        <v>14</v>
      </c>
      <c r="AC238" s="9">
        <v>18000</v>
      </c>
      <c r="AE238" s="56">
        <f t="shared" si="88"/>
        <v>7200</v>
      </c>
      <c r="AF238" s="10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484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113030015</v>
      </c>
      <c r="B239" s="13">
        <v>11</v>
      </c>
      <c r="C239" s="12">
        <f t="shared" si="92"/>
        <v>3</v>
      </c>
      <c r="D239" s="13">
        <v>3</v>
      </c>
      <c r="E239" s="13">
        <v>0</v>
      </c>
      <c r="F239" s="12">
        <f t="shared" si="93"/>
        <v>15</v>
      </c>
      <c r="H239" s="9">
        <v>3</v>
      </c>
      <c r="I239" s="9">
        <v>15</v>
      </c>
      <c r="K239" s="56" t="s">
        <v>392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584</v>
      </c>
      <c r="AA239" s="9">
        <v>15</v>
      </c>
      <c r="AC239" s="9">
        <v>22000</v>
      </c>
      <c r="AE239" s="56">
        <f t="shared" si="88"/>
        <v>8800</v>
      </c>
      <c r="AF239" s="10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484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113030016</v>
      </c>
      <c r="B240" s="13">
        <v>11</v>
      </c>
      <c r="C240" s="12">
        <f t="shared" si="92"/>
        <v>3</v>
      </c>
      <c r="D240" s="13">
        <v>3</v>
      </c>
      <c r="E240" s="13">
        <v>0</v>
      </c>
      <c r="F240" s="12">
        <f t="shared" si="93"/>
        <v>16</v>
      </c>
      <c r="H240" s="9">
        <v>3</v>
      </c>
      <c r="I240" s="9">
        <v>16</v>
      </c>
      <c r="K240" s="56" t="s">
        <v>392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584</v>
      </c>
      <c r="AA240" s="9">
        <v>16</v>
      </c>
      <c r="AC240" s="9">
        <v>28000</v>
      </c>
      <c r="AE240" s="56">
        <f t="shared" si="88"/>
        <v>11200</v>
      </c>
      <c r="AF240" s="10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484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113030017</v>
      </c>
      <c r="B241" s="13">
        <v>11</v>
      </c>
      <c r="C241" s="12">
        <f t="shared" si="92"/>
        <v>3</v>
      </c>
      <c r="D241" s="13">
        <v>3</v>
      </c>
      <c r="E241" s="13">
        <v>0</v>
      </c>
      <c r="F241" s="12">
        <f t="shared" si="93"/>
        <v>17</v>
      </c>
      <c r="H241" s="9">
        <v>3</v>
      </c>
      <c r="I241" s="9">
        <v>17</v>
      </c>
      <c r="K241" s="56" t="s">
        <v>392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584</v>
      </c>
      <c r="AA241" s="9">
        <v>17</v>
      </c>
      <c r="AC241" s="9">
        <v>34000</v>
      </c>
      <c r="AE241" s="56">
        <f t="shared" si="88"/>
        <v>13600</v>
      </c>
      <c r="AF241" s="10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484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113030018</v>
      </c>
      <c r="B242" s="13">
        <v>11</v>
      </c>
      <c r="C242" s="12">
        <f t="shared" si="92"/>
        <v>3</v>
      </c>
      <c r="D242" s="13">
        <v>3</v>
      </c>
      <c r="E242" s="13">
        <v>0</v>
      </c>
      <c r="F242" s="12">
        <f t="shared" si="93"/>
        <v>18</v>
      </c>
      <c r="H242" s="9">
        <v>3</v>
      </c>
      <c r="I242" s="9">
        <v>18</v>
      </c>
      <c r="K242" s="56" t="s">
        <v>392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584</v>
      </c>
      <c r="AA242" s="9">
        <v>18</v>
      </c>
      <c r="AC242" s="9">
        <v>42000</v>
      </c>
      <c r="AE242" s="56">
        <f t="shared" si="88"/>
        <v>16800</v>
      </c>
      <c r="AF242" s="10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484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113030019</v>
      </c>
      <c r="B243" s="13">
        <v>11</v>
      </c>
      <c r="C243" s="12">
        <f t="shared" si="92"/>
        <v>3</v>
      </c>
      <c r="D243" s="13">
        <v>3</v>
      </c>
      <c r="E243" s="13">
        <v>0</v>
      </c>
      <c r="F243" s="12">
        <f t="shared" si="93"/>
        <v>19</v>
      </c>
      <c r="H243" s="9">
        <v>3</v>
      </c>
      <c r="I243" s="9">
        <v>19</v>
      </c>
      <c r="K243" s="56" t="s">
        <v>392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584</v>
      </c>
      <c r="AA243" s="9">
        <v>19</v>
      </c>
      <c r="AC243" s="9">
        <v>50000</v>
      </c>
      <c r="AE243" s="56">
        <f t="shared" si="88"/>
        <v>20000</v>
      </c>
      <c r="AF243" s="10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484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113030020</v>
      </c>
      <c r="B244" s="13">
        <v>11</v>
      </c>
      <c r="C244" s="12">
        <f t="shared" si="92"/>
        <v>3</v>
      </c>
      <c r="D244" s="13">
        <v>3</v>
      </c>
      <c r="E244" s="13">
        <v>0</v>
      </c>
      <c r="F244" s="12">
        <f t="shared" si="93"/>
        <v>20</v>
      </c>
      <c r="H244" s="9">
        <v>3</v>
      </c>
      <c r="I244" s="9">
        <v>20</v>
      </c>
      <c r="K244" s="56" t="s">
        <v>392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584</v>
      </c>
      <c r="AA244" s="9">
        <v>20</v>
      </c>
      <c r="AC244" s="9">
        <v>60000</v>
      </c>
      <c r="AE244" s="56">
        <f t="shared" si="88"/>
        <v>24000</v>
      </c>
      <c r="AF244" s="10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484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113040001</v>
      </c>
      <c r="B245" s="20">
        <v>11</v>
      </c>
      <c r="C245" s="19">
        <f t="shared" si="92"/>
        <v>3</v>
      </c>
      <c r="D245" s="20">
        <v>4</v>
      </c>
      <c r="E245" s="20">
        <v>0</v>
      </c>
      <c r="F245" s="19">
        <f t="shared" si="93"/>
        <v>1</v>
      </c>
      <c r="G245" s="80"/>
      <c r="H245" s="16">
        <v>3</v>
      </c>
      <c r="I245" s="16">
        <v>1</v>
      </c>
      <c r="J245" s="80"/>
      <c r="K245" s="16" t="s">
        <v>370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585</v>
      </c>
      <c r="AA245" s="16">
        <v>1</v>
      </c>
      <c r="AB245" s="80"/>
      <c r="AC245" s="16">
        <v>0</v>
      </c>
      <c r="AD245" s="80"/>
      <c r="AE245" s="57">
        <f t="shared" si="88"/>
        <v>605</v>
      </c>
      <c r="AF245" s="17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470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456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495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113040002</v>
      </c>
      <c r="B246" s="13">
        <v>11</v>
      </c>
      <c r="C246" s="12">
        <f t="shared" si="92"/>
        <v>3</v>
      </c>
      <c r="D246" s="13">
        <v>4</v>
      </c>
      <c r="E246" s="13">
        <v>0</v>
      </c>
      <c r="F246" s="12">
        <f t="shared" si="93"/>
        <v>2</v>
      </c>
      <c r="H246" s="9">
        <v>3</v>
      </c>
      <c r="I246" s="9">
        <v>2</v>
      </c>
      <c r="K246" s="9" t="s">
        <v>370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585</v>
      </c>
      <c r="AA246" s="9">
        <v>2</v>
      </c>
      <c r="AC246" s="9">
        <v>800</v>
      </c>
      <c r="AE246" s="56">
        <f t="shared" si="88"/>
        <v>210</v>
      </c>
      <c r="AF246" s="10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470</v>
      </c>
      <c r="AR246" s="11">
        <v>50</v>
      </c>
      <c r="AU246" s="11">
        <f ca="1">IFERROR(OFFSET(ITEM_RES!$A$1,MATCH(AV246,ITEM_RES!$J:$J,0)-1,0),0)</f>
        <v>212010001</v>
      </c>
      <c r="AV246" s="10" t="s">
        <v>456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113040003</v>
      </c>
      <c r="B247" s="13">
        <v>11</v>
      </c>
      <c r="C247" s="12">
        <f t="shared" si="92"/>
        <v>3</v>
      </c>
      <c r="D247" s="13">
        <v>4</v>
      </c>
      <c r="E247" s="13">
        <v>0</v>
      </c>
      <c r="F247" s="12">
        <f t="shared" si="93"/>
        <v>3</v>
      </c>
      <c r="H247" s="9">
        <v>3</v>
      </c>
      <c r="I247" s="9">
        <v>3</v>
      </c>
      <c r="K247" s="9" t="s">
        <v>370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585</v>
      </c>
      <c r="AA247" s="9">
        <v>3</v>
      </c>
      <c r="AC247" s="9">
        <v>1200</v>
      </c>
      <c r="AE247" s="56">
        <f t="shared" si="88"/>
        <v>315</v>
      </c>
      <c r="AF247" s="10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470</v>
      </c>
      <c r="AR247" s="11">
        <v>75</v>
      </c>
      <c r="AU247" s="11">
        <f ca="1">IFERROR(OFFSET(ITEM_RES!$A$1,MATCH(AV247,ITEM_RES!$J:$J,0)-1,0),0)</f>
        <v>212010001</v>
      </c>
      <c r="AV247" s="10" t="s">
        <v>456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113040004</v>
      </c>
      <c r="B248" s="13">
        <v>11</v>
      </c>
      <c r="C248" s="12">
        <f t="shared" si="92"/>
        <v>3</v>
      </c>
      <c r="D248" s="13">
        <v>4</v>
      </c>
      <c r="E248" s="13">
        <v>0</v>
      </c>
      <c r="F248" s="12">
        <f t="shared" si="93"/>
        <v>4</v>
      </c>
      <c r="H248" s="9">
        <v>3</v>
      </c>
      <c r="I248" s="9">
        <v>4</v>
      </c>
      <c r="K248" s="9" t="s">
        <v>370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585</v>
      </c>
      <c r="AA248" s="9">
        <v>4</v>
      </c>
      <c r="AC248" s="9">
        <v>2000</v>
      </c>
      <c r="AE248" s="56">
        <f t="shared" si="88"/>
        <v>525</v>
      </c>
      <c r="AF248" s="10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470</v>
      </c>
      <c r="AR248" s="11">
        <v>125</v>
      </c>
      <c r="AU248" s="11">
        <f ca="1">IFERROR(OFFSET(ITEM_RES!$A$1,MATCH(AV248,ITEM_RES!$J:$J,0)-1,0),0)</f>
        <v>212010001</v>
      </c>
      <c r="AV248" s="10" t="s">
        <v>456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113040005</v>
      </c>
      <c r="B249" s="13">
        <v>11</v>
      </c>
      <c r="C249" s="12">
        <f t="shared" si="92"/>
        <v>3</v>
      </c>
      <c r="D249" s="13">
        <v>4</v>
      </c>
      <c r="E249" s="13">
        <v>0</v>
      </c>
      <c r="F249" s="12">
        <f t="shared" si="93"/>
        <v>5</v>
      </c>
      <c r="H249" s="9">
        <v>3</v>
      </c>
      <c r="I249" s="9">
        <v>5</v>
      </c>
      <c r="K249" s="9" t="s">
        <v>370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585</v>
      </c>
      <c r="AA249" s="9">
        <v>5</v>
      </c>
      <c r="AC249" s="9">
        <v>3200</v>
      </c>
      <c r="AE249" s="56">
        <f t="shared" si="88"/>
        <v>840</v>
      </c>
      <c r="AF249" s="10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470</v>
      </c>
      <c r="AR249" s="11">
        <v>200</v>
      </c>
      <c r="AU249" s="11">
        <f ca="1">IFERROR(OFFSET(ITEM_RES!$A$1,MATCH(AV249,ITEM_RES!$J:$J,0)-1,0),0)</f>
        <v>212010001</v>
      </c>
      <c r="AV249" s="10" t="s">
        <v>456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113040006</v>
      </c>
      <c r="B250" s="13">
        <v>11</v>
      </c>
      <c r="C250" s="12">
        <f t="shared" si="92"/>
        <v>3</v>
      </c>
      <c r="D250" s="13">
        <v>4</v>
      </c>
      <c r="E250" s="13">
        <v>0</v>
      </c>
      <c r="F250" s="12">
        <f t="shared" si="93"/>
        <v>6</v>
      </c>
      <c r="H250" s="9">
        <v>3</v>
      </c>
      <c r="I250" s="9">
        <v>6</v>
      </c>
      <c r="K250" s="9" t="s">
        <v>370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585</v>
      </c>
      <c r="AA250" s="9">
        <v>6</v>
      </c>
      <c r="AC250" s="9">
        <v>4000</v>
      </c>
      <c r="AE250" s="56">
        <f t="shared" si="88"/>
        <v>1050</v>
      </c>
      <c r="AF250" s="10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470</v>
      </c>
      <c r="AR250" s="11">
        <v>250</v>
      </c>
      <c r="AU250" s="11">
        <f ca="1">IFERROR(OFFSET(ITEM_RES!$A$1,MATCH(AV250,ITEM_RES!$J:$J,0)-1,0),0)</f>
        <v>212010001</v>
      </c>
      <c r="AV250" s="10" t="s">
        <v>456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113040007</v>
      </c>
      <c r="B251" s="13">
        <v>11</v>
      </c>
      <c r="C251" s="12">
        <f t="shared" si="92"/>
        <v>3</v>
      </c>
      <c r="D251" s="13">
        <v>4</v>
      </c>
      <c r="E251" s="13">
        <v>0</v>
      </c>
      <c r="F251" s="12">
        <f t="shared" si="93"/>
        <v>7</v>
      </c>
      <c r="H251" s="9">
        <v>3</v>
      </c>
      <c r="I251" s="9">
        <v>7</v>
      </c>
      <c r="K251" s="9" t="s">
        <v>370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585</v>
      </c>
      <c r="AA251" s="9">
        <v>7</v>
      </c>
      <c r="AC251" s="9">
        <v>8000</v>
      </c>
      <c r="AE251" s="56">
        <f t="shared" si="88"/>
        <v>2100</v>
      </c>
      <c r="AF251" s="10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470</v>
      </c>
      <c r="AR251" s="11">
        <v>500</v>
      </c>
      <c r="AU251" s="11">
        <f ca="1">IFERROR(OFFSET(ITEM_RES!$A$1,MATCH(AV251,ITEM_RES!$J:$J,0)-1,0),0)</f>
        <v>212010001</v>
      </c>
      <c r="AV251" s="10" t="s">
        <v>456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113040008</v>
      </c>
      <c r="B252" s="13">
        <v>11</v>
      </c>
      <c r="C252" s="12">
        <f t="shared" si="92"/>
        <v>3</v>
      </c>
      <c r="D252" s="13">
        <v>4</v>
      </c>
      <c r="E252" s="13">
        <v>0</v>
      </c>
      <c r="F252" s="12">
        <f t="shared" si="93"/>
        <v>8</v>
      </c>
      <c r="H252" s="9">
        <v>3</v>
      </c>
      <c r="I252" s="9">
        <v>8</v>
      </c>
      <c r="K252" s="9" t="s">
        <v>370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585</v>
      </c>
      <c r="AA252" s="9">
        <v>8</v>
      </c>
      <c r="AC252" s="9">
        <v>8000</v>
      </c>
      <c r="AE252" s="56">
        <f t="shared" si="88"/>
        <v>2600</v>
      </c>
      <c r="AF252" s="10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470</v>
      </c>
      <c r="AR252" s="11">
        <v>500</v>
      </c>
      <c r="AU252" s="11">
        <f ca="1">IFERROR(OFFSET(ITEM_RES!$A$1,MATCH(AV252,ITEM_RES!$J:$J,0)-1,0),0)</f>
        <v>212010001</v>
      </c>
      <c r="AV252" s="10" t="s">
        <v>456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507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113040009</v>
      </c>
      <c r="B253" s="13">
        <v>11</v>
      </c>
      <c r="C253" s="12">
        <f t="shared" si="92"/>
        <v>3</v>
      </c>
      <c r="D253" s="13">
        <v>4</v>
      </c>
      <c r="E253" s="13">
        <v>0</v>
      </c>
      <c r="F253" s="12">
        <f t="shared" si="93"/>
        <v>9</v>
      </c>
      <c r="H253" s="9">
        <v>3</v>
      </c>
      <c r="I253" s="9">
        <v>9</v>
      </c>
      <c r="K253" s="9" t="s">
        <v>370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585</v>
      </c>
      <c r="AA253" s="9">
        <v>9</v>
      </c>
      <c r="AC253" s="9">
        <v>12000</v>
      </c>
      <c r="AE253" s="56">
        <f t="shared" si="88"/>
        <v>3150</v>
      </c>
      <c r="AF253" s="10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470</v>
      </c>
      <c r="AR253" s="11">
        <v>750</v>
      </c>
      <c r="AU253" s="11">
        <f ca="1">IFERROR(OFFSET(ITEM_RES!$A$1,MATCH(AV253,ITEM_RES!$J:$J,0)-1,0),0)</f>
        <v>212010001</v>
      </c>
      <c r="AV253" s="10" t="s">
        <v>456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113040010</v>
      </c>
      <c r="B254" s="13">
        <v>11</v>
      </c>
      <c r="C254" s="12">
        <f t="shared" si="92"/>
        <v>3</v>
      </c>
      <c r="D254" s="13">
        <v>4</v>
      </c>
      <c r="E254" s="13">
        <v>0</v>
      </c>
      <c r="F254" s="12">
        <f t="shared" si="93"/>
        <v>10</v>
      </c>
      <c r="H254" s="9">
        <v>3</v>
      </c>
      <c r="I254" s="9">
        <v>10</v>
      </c>
      <c r="K254" s="9" t="s">
        <v>370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585</v>
      </c>
      <c r="AA254" s="9">
        <v>10</v>
      </c>
      <c r="AC254" s="9">
        <v>16000</v>
      </c>
      <c r="AE254" s="56">
        <f t="shared" si="88"/>
        <v>4200</v>
      </c>
      <c r="AF254" s="10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470</v>
      </c>
      <c r="AR254" s="11">
        <v>1000</v>
      </c>
      <c r="AU254" s="11">
        <f ca="1">IFERROR(OFFSET(ITEM_RES!$A$1,MATCH(AV254,ITEM_RES!$J:$J,0)-1,0),0)</f>
        <v>212010001</v>
      </c>
      <c r="AV254" s="10" t="s">
        <v>456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113040011</v>
      </c>
      <c r="B255" s="13">
        <v>11</v>
      </c>
      <c r="C255" s="12">
        <f t="shared" si="92"/>
        <v>3</v>
      </c>
      <c r="D255" s="13">
        <v>4</v>
      </c>
      <c r="E255" s="13">
        <v>0</v>
      </c>
      <c r="F255" s="12">
        <f t="shared" si="93"/>
        <v>11</v>
      </c>
      <c r="H255" s="9">
        <v>3</v>
      </c>
      <c r="I255" s="9">
        <v>11</v>
      </c>
      <c r="K255" s="9" t="s">
        <v>370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585</v>
      </c>
      <c r="AA255" s="9">
        <v>11</v>
      </c>
      <c r="AC255" s="9">
        <v>20000</v>
      </c>
      <c r="AE255" s="56">
        <f t="shared" si="88"/>
        <v>5250</v>
      </c>
      <c r="AF255" s="10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470</v>
      </c>
      <c r="AR255" s="11">
        <v>1250</v>
      </c>
      <c r="AU255" s="11">
        <f ca="1">IFERROR(OFFSET(ITEM_RES!$A$1,MATCH(AV255,ITEM_RES!$J:$J,0)-1,0),0)</f>
        <v>212010001</v>
      </c>
      <c r="AV255" s="10" t="s">
        <v>456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113040012</v>
      </c>
      <c r="B256" s="13">
        <v>11</v>
      </c>
      <c r="C256" s="12">
        <f t="shared" si="92"/>
        <v>3</v>
      </c>
      <c r="D256" s="13">
        <v>4</v>
      </c>
      <c r="E256" s="13">
        <v>0</v>
      </c>
      <c r="F256" s="12">
        <f t="shared" si="93"/>
        <v>12</v>
      </c>
      <c r="H256" s="9">
        <v>3</v>
      </c>
      <c r="I256" s="9">
        <v>12</v>
      </c>
      <c r="K256" s="9" t="s">
        <v>370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585</v>
      </c>
      <c r="AA256" s="9">
        <v>12</v>
      </c>
      <c r="AC256" s="9">
        <v>24000</v>
      </c>
      <c r="AE256" s="56">
        <f t="shared" si="88"/>
        <v>6300</v>
      </c>
      <c r="AF256" s="10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470</v>
      </c>
      <c r="AR256" s="11">
        <v>1500</v>
      </c>
      <c r="AU256" s="11">
        <f ca="1">IFERROR(OFFSET(ITEM_RES!$A$1,MATCH(AV256,ITEM_RES!$J:$J,0)-1,0),0)</f>
        <v>212010001</v>
      </c>
      <c r="AV256" s="10" t="s">
        <v>456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113040013</v>
      </c>
      <c r="B257" s="13">
        <v>11</v>
      </c>
      <c r="C257" s="12">
        <f t="shared" si="92"/>
        <v>3</v>
      </c>
      <c r="D257" s="13">
        <v>4</v>
      </c>
      <c r="E257" s="13">
        <v>0</v>
      </c>
      <c r="F257" s="12">
        <f t="shared" si="93"/>
        <v>13</v>
      </c>
      <c r="H257" s="9">
        <v>3</v>
      </c>
      <c r="I257" s="9">
        <v>13</v>
      </c>
      <c r="K257" s="9" t="s">
        <v>370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585</v>
      </c>
      <c r="AA257" s="9">
        <v>13</v>
      </c>
      <c r="AC257" s="9">
        <v>28000</v>
      </c>
      <c r="AE257" s="56">
        <f t="shared" si="88"/>
        <v>7350</v>
      </c>
      <c r="AF257" s="10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470</v>
      </c>
      <c r="AR257" s="11">
        <v>1750</v>
      </c>
      <c r="AU257" s="11">
        <f ca="1">IFERROR(OFFSET(ITEM_RES!$A$1,MATCH(AV257,ITEM_RES!$J:$J,0)-1,0),0)</f>
        <v>212010001</v>
      </c>
      <c r="AV257" s="10" t="s">
        <v>456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113040014</v>
      </c>
      <c r="B258" s="13">
        <v>11</v>
      </c>
      <c r="C258" s="12">
        <f t="shared" si="92"/>
        <v>3</v>
      </c>
      <c r="D258" s="13">
        <v>4</v>
      </c>
      <c r="E258" s="13">
        <v>0</v>
      </c>
      <c r="F258" s="12">
        <f t="shared" si="93"/>
        <v>14</v>
      </c>
      <c r="H258" s="9">
        <v>3</v>
      </c>
      <c r="I258" s="9">
        <v>14</v>
      </c>
      <c r="K258" s="9" t="s">
        <v>370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585</v>
      </c>
      <c r="AA258" s="9">
        <v>14</v>
      </c>
      <c r="AC258" s="9">
        <v>36000</v>
      </c>
      <c r="AE258" s="56">
        <f t="shared" si="88"/>
        <v>9450</v>
      </c>
      <c r="AF258" s="10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470</v>
      </c>
      <c r="AR258" s="11">
        <v>2250</v>
      </c>
      <c r="AU258" s="11">
        <f ca="1">IFERROR(OFFSET(ITEM_RES!$A$1,MATCH(AV258,ITEM_RES!$J:$J,0)-1,0),0)</f>
        <v>212010001</v>
      </c>
      <c r="AV258" s="10" t="s">
        <v>456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113040015</v>
      </c>
      <c r="B259" s="13">
        <v>11</v>
      </c>
      <c r="C259" s="12">
        <f t="shared" si="92"/>
        <v>3</v>
      </c>
      <c r="D259" s="13">
        <v>4</v>
      </c>
      <c r="E259" s="13">
        <v>0</v>
      </c>
      <c r="F259" s="12">
        <f t="shared" si="93"/>
        <v>15</v>
      </c>
      <c r="H259" s="9">
        <v>3</v>
      </c>
      <c r="I259" s="9">
        <v>15</v>
      </c>
      <c r="K259" s="9" t="s">
        <v>370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585</v>
      </c>
      <c r="AA259" s="9">
        <v>15</v>
      </c>
      <c r="AC259" s="9">
        <v>44000</v>
      </c>
      <c r="AE259" s="56">
        <f t="shared" si="88"/>
        <v>11550</v>
      </c>
      <c r="AF259" s="10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470</v>
      </c>
      <c r="AR259" s="11">
        <v>2750</v>
      </c>
      <c r="AU259" s="11">
        <f ca="1">IFERROR(OFFSET(ITEM_RES!$A$1,MATCH(AV259,ITEM_RES!$J:$J,0)-1,0),0)</f>
        <v>212010001</v>
      </c>
      <c r="AV259" s="10" t="s">
        <v>471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113040016</v>
      </c>
      <c r="B260" s="13">
        <v>11</v>
      </c>
      <c r="C260" s="12">
        <f t="shared" si="92"/>
        <v>3</v>
      </c>
      <c r="D260" s="13">
        <v>4</v>
      </c>
      <c r="E260" s="13">
        <v>0</v>
      </c>
      <c r="F260" s="12">
        <f t="shared" si="93"/>
        <v>16</v>
      </c>
      <c r="H260" s="9">
        <v>3</v>
      </c>
      <c r="I260" s="9">
        <v>16</v>
      </c>
      <c r="K260" s="9" t="s">
        <v>370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585</v>
      </c>
      <c r="AA260" s="9">
        <v>16</v>
      </c>
      <c r="AC260" s="9">
        <v>56000</v>
      </c>
      <c r="AE260" s="56">
        <f t="shared" si="88"/>
        <v>14700</v>
      </c>
      <c r="AF260" s="10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470</v>
      </c>
      <c r="AR260" s="11">
        <v>3500</v>
      </c>
      <c r="AU260" s="11">
        <f ca="1">IFERROR(OFFSET(ITEM_RES!$A$1,MATCH(AV260,ITEM_RES!$J:$J,0)-1,0),0)</f>
        <v>212010001</v>
      </c>
      <c r="AV260" s="10" t="s">
        <v>471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113040017</v>
      </c>
      <c r="B261" s="13">
        <v>11</v>
      </c>
      <c r="C261" s="12">
        <f t="shared" si="92"/>
        <v>3</v>
      </c>
      <c r="D261" s="13">
        <v>4</v>
      </c>
      <c r="E261" s="13">
        <v>0</v>
      </c>
      <c r="F261" s="12">
        <f t="shared" si="93"/>
        <v>17</v>
      </c>
      <c r="H261" s="9">
        <v>3</v>
      </c>
      <c r="I261" s="9">
        <v>17</v>
      </c>
      <c r="K261" s="9" t="s">
        <v>370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585</v>
      </c>
      <c r="AA261" s="9">
        <v>17</v>
      </c>
      <c r="AC261" s="9">
        <v>68000</v>
      </c>
      <c r="AE261" s="56">
        <f t="shared" si="88"/>
        <v>17850</v>
      </c>
      <c r="AF261" s="10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483</v>
      </c>
      <c r="AR261" s="11">
        <v>4250</v>
      </c>
      <c r="AU261" s="11">
        <f ca="1">IFERROR(OFFSET(ITEM_RES!$A$1,MATCH(AV261,ITEM_RES!$J:$J,0)-1,0),0)</f>
        <v>212010001</v>
      </c>
      <c r="AV261" s="10" t="s">
        <v>471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113040018</v>
      </c>
      <c r="B262" s="13">
        <v>11</v>
      </c>
      <c r="C262" s="12">
        <f t="shared" si="92"/>
        <v>3</v>
      </c>
      <c r="D262" s="13">
        <v>4</v>
      </c>
      <c r="E262" s="13">
        <v>0</v>
      </c>
      <c r="F262" s="12">
        <f t="shared" si="93"/>
        <v>18</v>
      </c>
      <c r="H262" s="9">
        <v>3</v>
      </c>
      <c r="I262" s="9">
        <v>18</v>
      </c>
      <c r="K262" s="9" t="s">
        <v>370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585</v>
      </c>
      <c r="AA262" s="9">
        <v>18</v>
      </c>
      <c r="AC262" s="9">
        <v>84000</v>
      </c>
      <c r="AE262" s="56">
        <f t="shared" si="88"/>
        <v>22050</v>
      </c>
      <c r="AF262" s="10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483</v>
      </c>
      <c r="AR262" s="11">
        <v>5250</v>
      </c>
      <c r="AU262" s="11">
        <f ca="1">IFERROR(OFFSET(ITEM_RES!$A$1,MATCH(AV262,ITEM_RES!$J:$J,0)-1,0),0)</f>
        <v>215070001</v>
      </c>
      <c r="AV262" s="10" t="s">
        <v>457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113040019</v>
      </c>
      <c r="B263" s="13">
        <v>11</v>
      </c>
      <c r="C263" s="12">
        <f t="shared" si="92"/>
        <v>3</v>
      </c>
      <c r="D263" s="13">
        <v>4</v>
      </c>
      <c r="E263" s="13">
        <v>0</v>
      </c>
      <c r="F263" s="12">
        <f t="shared" si="93"/>
        <v>19</v>
      </c>
      <c r="H263" s="9">
        <v>3</v>
      </c>
      <c r="I263" s="9">
        <v>19</v>
      </c>
      <c r="K263" s="9" t="s">
        <v>370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585</v>
      </c>
      <c r="AA263" s="9">
        <v>19</v>
      </c>
      <c r="AC263" s="9">
        <v>100000</v>
      </c>
      <c r="AE263" s="56">
        <f t="shared" si="88"/>
        <v>26250</v>
      </c>
      <c r="AF263" s="10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483</v>
      </c>
      <c r="AR263" s="11">
        <v>6250</v>
      </c>
      <c r="AU263" s="11">
        <f ca="1">IFERROR(OFFSET(ITEM_RES!$A$1,MATCH(AV263,ITEM_RES!$J:$J,0)-1,0),0)</f>
        <v>215070001</v>
      </c>
      <c r="AV263" s="10" t="s">
        <v>457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113040020</v>
      </c>
      <c r="B264" s="13">
        <v>11</v>
      </c>
      <c r="C264" s="12">
        <f t="shared" si="92"/>
        <v>3</v>
      </c>
      <c r="D264" s="13">
        <v>4</v>
      </c>
      <c r="E264" s="13">
        <v>0</v>
      </c>
      <c r="F264" s="12">
        <f t="shared" si="93"/>
        <v>20</v>
      </c>
      <c r="H264" s="9">
        <v>3</v>
      </c>
      <c r="I264" s="9">
        <v>20</v>
      </c>
      <c r="K264" s="9" t="s">
        <v>370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585</v>
      </c>
      <c r="AA264" s="9">
        <v>20</v>
      </c>
      <c r="AC264" s="9">
        <v>120000</v>
      </c>
      <c r="AE264" s="56">
        <f t="shared" si="88"/>
        <v>31500</v>
      </c>
      <c r="AF264" s="10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483</v>
      </c>
      <c r="AR264" s="11">
        <v>7500</v>
      </c>
      <c r="AU264" s="11">
        <f ca="1">IFERROR(OFFSET(ITEM_RES!$A$1,MATCH(AV264,ITEM_RES!$J:$J,0)-1,0),0)</f>
        <v>215070001</v>
      </c>
      <c r="AV264" s="10" t="s">
        <v>457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111070001</v>
      </c>
      <c r="B265" s="20">
        <v>11</v>
      </c>
      <c r="C265" s="19">
        <f t="shared" si="92"/>
        <v>1</v>
      </c>
      <c r="D265" s="20">
        <v>7</v>
      </c>
      <c r="E265" s="20">
        <v>0</v>
      </c>
      <c r="F265" s="19">
        <f t="shared" si="93"/>
        <v>1</v>
      </c>
      <c r="G265" s="80"/>
      <c r="H265" s="16">
        <v>1</v>
      </c>
      <c r="I265" s="16">
        <v>1</v>
      </c>
      <c r="J265" s="80"/>
      <c r="K265" s="16" t="s">
        <v>369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586</v>
      </c>
      <c r="AA265" s="16">
        <v>1</v>
      </c>
      <c r="AB265" s="80"/>
      <c r="AC265" s="16">
        <v>0</v>
      </c>
      <c r="AD265" s="80"/>
      <c r="AE265" s="57">
        <f t="shared" si="88"/>
        <v>580</v>
      </c>
      <c r="AF265" s="17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470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495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111070002</v>
      </c>
      <c r="B266" s="13">
        <v>11</v>
      </c>
      <c r="C266" s="12">
        <f t="shared" si="92"/>
        <v>1</v>
      </c>
      <c r="D266" s="13">
        <v>7</v>
      </c>
      <c r="E266" s="13">
        <v>0</v>
      </c>
      <c r="F266" s="12">
        <f t="shared" si="93"/>
        <v>2</v>
      </c>
      <c r="H266" s="9">
        <v>1</v>
      </c>
      <c r="I266" s="9">
        <v>2</v>
      </c>
      <c r="K266" s="9" t="s">
        <v>369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586</v>
      </c>
      <c r="AA266" s="9">
        <v>2</v>
      </c>
      <c r="AC266" s="9">
        <v>200</v>
      </c>
      <c r="AE266" s="56">
        <f t="shared" si="88"/>
        <v>160</v>
      </c>
      <c r="AF266" s="10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470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111070003</v>
      </c>
      <c r="B267" s="13">
        <v>11</v>
      </c>
      <c r="C267" s="12">
        <f t="shared" si="92"/>
        <v>1</v>
      </c>
      <c r="D267" s="13">
        <v>7</v>
      </c>
      <c r="E267" s="13">
        <v>0</v>
      </c>
      <c r="F267" s="12">
        <f t="shared" si="93"/>
        <v>3</v>
      </c>
      <c r="H267" s="9">
        <v>1</v>
      </c>
      <c r="I267" s="9">
        <v>3</v>
      </c>
      <c r="K267" s="9" t="s">
        <v>369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586</v>
      </c>
      <c r="AA267" s="9">
        <v>3</v>
      </c>
      <c r="AC267" s="9">
        <v>600</v>
      </c>
      <c r="AE267" s="56">
        <f t="shared" si="88"/>
        <v>240</v>
      </c>
      <c r="AF267" s="10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470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111070004</v>
      </c>
      <c r="B268" s="13">
        <v>11</v>
      </c>
      <c r="C268" s="12">
        <f t="shared" si="92"/>
        <v>1</v>
      </c>
      <c r="D268" s="13">
        <v>7</v>
      </c>
      <c r="E268" s="13">
        <v>0</v>
      </c>
      <c r="F268" s="12">
        <f t="shared" si="93"/>
        <v>4</v>
      </c>
      <c r="H268" s="9">
        <v>1</v>
      </c>
      <c r="I268" s="9">
        <v>4</v>
      </c>
      <c r="K268" s="9" t="s">
        <v>369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586</v>
      </c>
      <c r="AA268" s="9">
        <v>4</v>
      </c>
      <c r="AC268" s="9">
        <v>1000</v>
      </c>
      <c r="AE268" s="56">
        <f t="shared" si="88"/>
        <v>400</v>
      </c>
      <c r="AF268" s="10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470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111070005</v>
      </c>
      <c r="B269" s="13">
        <v>11</v>
      </c>
      <c r="C269" s="12">
        <f t="shared" si="92"/>
        <v>1</v>
      </c>
      <c r="D269" s="13">
        <v>7</v>
      </c>
      <c r="E269" s="13">
        <v>0</v>
      </c>
      <c r="F269" s="12">
        <f t="shared" si="93"/>
        <v>5</v>
      </c>
      <c r="H269" s="9">
        <v>1</v>
      </c>
      <c r="I269" s="9">
        <v>5</v>
      </c>
      <c r="K269" s="9" t="s">
        <v>369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586</v>
      </c>
      <c r="AA269" s="9">
        <v>5</v>
      </c>
      <c r="AC269" s="9">
        <v>1600</v>
      </c>
      <c r="AE269" s="56">
        <f t="shared" si="88"/>
        <v>640</v>
      </c>
      <c r="AF269" s="10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470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111070006</v>
      </c>
      <c r="B270" s="13">
        <v>11</v>
      </c>
      <c r="C270" s="12">
        <f t="shared" si="92"/>
        <v>1</v>
      </c>
      <c r="D270" s="13">
        <v>7</v>
      </c>
      <c r="E270" s="13">
        <v>0</v>
      </c>
      <c r="F270" s="12">
        <f t="shared" si="93"/>
        <v>6</v>
      </c>
      <c r="H270" s="9">
        <v>1</v>
      </c>
      <c r="I270" s="9">
        <v>6</v>
      </c>
      <c r="K270" s="9" t="s">
        <v>369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586</v>
      </c>
      <c r="AA270" s="9">
        <v>6</v>
      </c>
      <c r="AC270" s="9">
        <v>2000</v>
      </c>
      <c r="AE270" s="56">
        <f t="shared" si="88"/>
        <v>800</v>
      </c>
      <c r="AF270" s="10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470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111070007</v>
      </c>
      <c r="B271" s="13">
        <v>11</v>
      </c>
      <c r="C271" s="12">
        <f t="shared" si="92"/>
        <v>1</v>
      </c>
      <c r="D271" s="13">
        <v>7</v>
      </c>
      <c r="E271" s="13">
        <v>0</v>
      </c>
      <c r="F271" s="12">
        <f t="shared" si="93"/>
        <v>7</v>
      </c>
      <c r="H271" s="9">
        <v>1</v>
      </c>
      <c r="I271" s="9">
        <v>7</v>
      </c>
      <c r="K271" s="9" t="s">
        <v>369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586</v>
      </c>
      <c r="AA271" s="9">
        <v>7</v>
      </c>
      <c r="AC271" s="9">
        <v>4000</v>
      </c>
      <c r="AE271" s="56">
        <f t="shared" si="88"/>
        <v>1600</v>
      </c>
      <c r="AF271" s="10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470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111070008</v>
      </c>
      <c r="B272" s="13">
        <v>11</v>
      </c>
      <c r="C272" s="12">
        <f t="shared" si="92"/>
        <v>1</v>
      </c>
      <c r="D272" s="13">
        <v>7</v>
      </c>
      <c r="E272" s="13">
        <v>0</v>
      </c>
      <c r="F272" s="12">
        <f t="shared" si="93"/>
        <v>8</v>
      </c>
      <c r="H272" s="9">
        <v>1</v>
      </c>
      <c r="I272" s="9">
        <v>8</v>
      </c>
      <c r="K272" s="9" t="s">
        <v>369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586</v>
      </c>
      <c r="AA272" s="9">
        <v>8</v>
      </c>
      <c r="AC272" s="9">
        <v>4000</v>
      </c>
      <c r="AE272" s="56">
        <f t="shared" si="88"/>
        <v>1600</v>
      </c>
      <c r="AF272" s="10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470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111070009</v>
      </c>
      <c r="B273" s="13">
        <v>11</v>
      </c>
      <c r="C273" s="12">
        <f t="shared" si="92"/>
        <v>1</v>
      </c>
      <c r="D273" s="13">
        <v>7</v>
      </c>
      <c r="E273" s="13">
        <v>0</v>
      </c>
      <c r="F273" s="12">
        <f t="shared" si="93"/>
        <v>9</v>
      </c>
      <c r="H273" s="9">
        <v>1</v>
      </c>
      <c r="I273" s="9">
        <v>9</v>
      </c>
      <c r="K273" s="9" t="s">
        <v>369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586</v>
      </c>
      <c r="AA273" s="9">
        <v>9</v>
      </c>
      <c r="AC273" s="9">
        <v>6000</v>
      </c>
      <c r="AE273" s="56">
        <f t="shared" si="88"/>
        <v>2400</v>
      </c>
      <c r="AF273" s="10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470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111070010</v>
      </c>
      <c r="B274" s="13">
        <v>11</v>
      </c>
      <c r="C274" s="12">
        <f t="shared" si="92"/>
        <v>1</v>
      </c>
      <c r="D274" s="13">
        <v>7</v>
      </c>
      <c r="E274" s="13">
        <v>0</v>
      </c>
      <c r="F274" s="12">
        <f t="shared" si="93"/>
        <v>10</v>
      </c>
      <c r="H274" s="9">
        <v>1</v>
      </c>
      <c r="I274" s="9">
        <v>10</v>
      </c>
      <c r="K274" s="9" t="s">
        <v>369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586</v>
      </c>
      <c r="AA274" s="9">
        <v>10</v>
      </c>
      <c r="AC274" s="9">
        <v>8000</v>
      </c>
      <c r="AE274" s="56">
        <f t="shared" si="88"/>
        <v>3200</v>
      </c>
      <c r="AF274" s="10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470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111070011</v>
      </c>
      <c r="B275" s="13">
        <v>11</v>
      </c>
      <c r="C275" s="12">
        <f t="shared" si="92"/>
        <v>1</v>
      </c>
      <c r="D275" s="13">
        <v>7</v>
      </c>
      <c r="E275" s="13">
        <v>0</v>
      </c>
      <c r="F275" s="12">
        <f t="shared" si="93"/>
        <v>11</v>
      </c>
      <c r="H275" s="9">
        <v>1</v>
      </c>
      <c r="I275" s="9">
        <v>11</v>
      </c>
      <c r="K275" s="9" t="s">
        <v>369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586</v>
      </c>
      <c r="AA275" s="9">
        <v>11</v>
      </c>
      <c r="AC275" s="9">
        <v>10000</v>
      </c>
      <c r="AE275" s="56">
        <f t="shared" si="88"/>
        <v>4000</v>
      </c>
      <c r="AF275" s="10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470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111070012</v>
      </c>
      <c r="B276" s="13">
        <v>11</v>
      </c>
      <c r="C276" s="12">
        <f t="shared" si="92"/>
        <v>1</v>
      </c>
      <c r="D276" s="13">
        <v>7</v>
      </c>
      <c r="E276" s="13">
        <v>0</v>
      </c>
      <c r="F276" s="12">
        <f t="shared" si="93"/>
        <v>12</v>
      </c>
      <c r="H276" s="9">
        <v>1</v>
      </c>
      <c r="I276" s="9">
        <v>12</v>
      </c>
      <c r="K276" s="9" t="s">
        <v>369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586</v>
      </c>
      <c r="AA276" s="9">
        <v>12</v>
      </c>
      <c r="AC276" s="9">
        <v>12000</v>
      </c>
      <c r="AE276" s="56">
        <f t="shared" si="88"/>
        <v>4800</v>
      </c>
      <c r="AF276" s="10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470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111070013</v>
      </c>
      <c r="B277" s="13">
        <v>11</v>
      </c>
      <c r="C277" s="12">
        <f t="shared" si="92"/>
        <v>1</v>
      </c>
      <c r="D277" s="13">
        <v>7</v>
      </c>
      <c r="E277" s="13">
        <v>0</v>
      </c>
      <c r="F277" s="12">
        <f t="shared" si="93"/>
        <v>13</v>
      </c>
      <c r="H277" s="9">
        <v>1</v>
      </c>
      <c r="I277" s="9">
        <v>13</v>
      </c>
      <c r="K277" s="9" t="s">
        <v>369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586</v>
      </c>
      <c r="AA277" s="9">
        <v>13</v>
      </c>
      <c r="AC277" s="9">
        <v>14000</v>
      </c>
      <c r="AE277" s="56">
        <f t="shared" si="88"/>
        <v>5600</v>
      </c>
      <c r="AF277" s="10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470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111070014</v>
      </c>
      <c r="B278" s="13">
        <v>11</v>
      </c>
      <c r="C278" s="12">
        <f t="shared" si="92"/>
        <v>1</v>
      </c>
      <c r="D278" s="13">
        <v>7</v>
      </c>
      <c r="E278" s="13">
        <v>0</v>
      </c>
      <c r="F278" s="12">
        <f t="shared" si="93"/>
        <v>14</v>
      </c>
      <c r="H278" s="9">
        <v>1</v>
      </c>
      <c r="I278" s="9">
        <v>14</v>
      </c>
      <c r="K278" s="9" t="s">
        <v>369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586</v>
      </c>
      <c r="AA278" s="9">
        <v>14</v>
      </c>
      <c r="AC278" s="9">
        <v>18000</v>
      </c>
      <c r="AE278" s="56">
        <f t="shared" si="88"/>
        <v>7700</v>
      </c>
      <c r="AF278" s="10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470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507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111070015</v>
      </c>
      <c r="B279" s="13">
        <v>11</v>
      </c>
      <c r="C279" s="12">
        <f t="shared" si="92"/>
        <v>1</v>
      </c>
      <c r="D279" s="13">
        <v>7</v>
      </c>
      <c r="E279" s="13">
        <v>0</v>
      </c>
      <c r="F279" s="12">
        <f t="shared" si="93"/>
        <v>15</v>
      </c>
      <c r="H279" s="9">
        <v>1</v>
      </c>
      <c r="I279" s="9">
        <v>15</v>
      </c>
      <c r="K279" s="9" t="s">
        <v>369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586</v>
      </c>
      <c r="AA279" s="9">
        <v>15</v>
      </c>
      <c r="AC279" s="9">
        <v>22000</v>
      </c>
      <c r="AE279" s="56">
        <f t="shared" si="88"/>
        <v>8800</v>
      </c>
      <c r="AF279" s="10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470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111070016</v>
      </c>
      <c r="B280" s="13">
        <v>11</v>
      </c>
      <c r="C280" s="12">
        <f t="shared" si="92"/>
        <v>1</v>
      </c>
      <c r="D280" s="13">
        <v>7</v>
      </c>
      <c r="E280" s="13">
        <v>0</v>
      </c>
      <c r="F280" s="12">
        <f t="shared" si="93"/>
        <v>16</v>
      </c>
      <c r="H280" s="9">
        <v>1</v>
      </c>
      <c r="I280" s="9">
        <v>16</v>
      </c>
      <c r="K280" s="9" t="s">
        <v>369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586</v>
      </c>
      <c r="AA280" s="9">
        <v>16</v>
      </c>
      <c r="AC280" s="9">
        <v>28000</v>
      </c>
      <c r="AE280" s="56">
        <f t="shared" si="88"/>
        <v>11200</v>
      </c>
      <c r="AF280" s="10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470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111070017</v>
      </c>
      <c r="B281" s="13">
        <v>11</v>
      </c>
      <c r="C281" s="12">
        <f t="shared" si="92"/>
        <v>1</v>
      </c>
      <c r="D281" s="13">
        <v>7</v>
      </c>
      <c r="E281" s="13">
        <v>0</v>
      </c>
      <c r="F281" s="12">
        <f t="shared" si="93"/>
        <v>17</v>
      </c>
      <c r="H281" s="9">
        <v>1</v>
      </c>
      <c r="I281" s="9">
        <v>17</v>
      </c>
      <c r="K281" s="9" t="s">
        <v>369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586</v>
      </c>
      <c r="AA281" s="9">
        <v>17</v>
      </c>
      <c r="AC281" s="9">
        <v>34000</v>
      </c>
      <c r="AE281" s="56">
        <f t="shared" si="88"/>
        <v>13600</v>
      </c>
      <c r="AF281" s="10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470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111070018</v>
      </c>
      <c r="B282" s="13">
        <v>11</v>
      </c>
      <c r="C282" s="12">
        <f t="shared" si="92"/>
        <v>1</v>
      </c>
      <c r="D282" s="13">
        <v>7</v>
      </c>
      <c r="E282" s="13">
        <v>0</v>
      </c>
      <c r="F282" s="12">
        <f t="shared" si="93"/>
        <v>18</v>
      </c>
      <c r="H282" s="9">
        <v>1</v>
      </c>
      <c r="I282" s="9">
        <v>18</v>
      </c>
      <c r="K282" s="9" t="s">
        <v>369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586</v>
      </c>
      <c r="AA282" s="9">
        <v>18</v>
      </c>
      <c r="AC282" s="9">
        <v>42000</v>
      </c>
      <c r="AE282" s="56">
        <f t="shared" ref="AE282:AE345" si="99">AK282*10+AM282+AR282+AW282+500*BB282+500*BG282+500*BL282</f>
        <v>16800</v>
      </c>
      <c r="AF282" s="10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483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111070019</v>
      </c>
      <c r="B283" s="13">
        <v>11</v>
      </c>
      <c r="C283" s="12">
        <f t="shared" si="92"/>
        <v>1</v>
      </c>
      <c r="D283" s="13">
        <v>7</v>
      </c>
      <c r="E283" s="13">
        <v>0</v>
      </c>
      <c r="F283" s="12">
        <f t="shared" si="93"/>
        <v>19</v>
      </c>
      <c r="H283" s="9">
        <v>1</v>
      </c>
      <c r="I283" s="9">
        <v>19</v>
      </c>
      <c r="K283" s="9" t="s">
        <v>369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586</v>
      </c>
      <c r="AA283" s="9">
        <v>19</v>
      </c>
      <c r="AC283" s="9">
        <v>50000</v>
      </c>
      <c r="AE283" s="56">
        <f t="shared" si="99"/>
        <v>20000</v>
      </c>
      <c r="AF283" s="10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483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111070020</v>
      </c>
      <c r="B284" s="13">
        <v>11</v>
      </c>
      <c r="C284" s="12">
        <f t="shared" si="92"/>
        <v>1</v>
      </c>
      <c r="D284" s="13">
        <v>7</v>
      </c>
      <c r="E284" s="13">
        <v>0</v>
      </c>
      <c r="F284" s="12">
        <f t="shared" si="93"/>
        <v>20</v>
      </c>
      <c r="H284" s="9">
        <v>1</v>
      </c>
      <c r="I284" s="9">
        <v>20</v>
      </c>
      <c r="K284" s="9" t="s">
        <v>369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586</v>
      </c>
      <c r="AA284" s="9">
        <v>20</v>
      </c>
      <c r="AC284" s="9">
        <v>60000</v>
      </c>
      <c r="AE284" s="56">
        <f t="shared" si="99"/>
        <v>24000</v>
      </c>
      <c r="AF284" s="10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483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111080001</v>
      </c>
      <c r="B285" s="20">
        <v>11</v>
      </c>
      <c r="C285" s="19">
        <f t="shared" si="92"/>
        <v>1</v>
      </c>
      <c r="D285" s="20">
        <v>8</v>
      </c>
      <c r="E285" s="20">
        <v>0</v>
      </c>
      <c r="F285" s="19">
        <f t="shared" si="93"/>
        <v>1</v>
      </c>
      <c r="G285" s="80"/>
      <c r="H285" s="16">
        <v>1</v>
      </c>
      <c r="I285" s="16">
        <v>1</v>
      </c>
      <c r="J285" s="80"/>
      <c r="K285" s="16" t="s">
        <v>368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587</v>
      </c>
      <c r="AA285" s="16">
        <v>1</v>
      </c>
      <c r="AB285" s="80"/>
      <c r="AC285" s="16">
        <v>0</v>
      </c>
      <c r="AD285" s="80"/>
      <c r="AE285" s="57">
        <f t="shared" si="99"/>
        <v>580</v>
      </c>
      <c r="AF285" s="17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470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495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111080002</v>
      </c>
      <c r="B286" s="13">
        <v>11</v>
      </c>
      <c r="C286" s="12">
        <f t="shared" si="92"/>
        <v>1</v>
      </c>
      <c r="D286" s="13">
        <v>8</v>
      </c>
      <c r="E286" s="13">
        <v>0</v>
      </c>
      <c r="F286" s="12">
        <f t="shared" si="93"/>
        <v>2</v>
      </c>
      <c r="H286" s="9">
        <v>1</v>
      </c>
      <c r="I286" s="9">
        <v>2</v>
      </c>
      <c r="K286" s="9" t="s">
        <v>368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587</v>
      </c>
      <c r="AA286" s="9">
        <v>2</v>
      </c>
      <c r="AC286" s="9">
        <v>200</v>
      </c>
      <c r="AE286" s="56">
        <f t="shared" si="99"/>
        <v>160</v>
      </c>
      <c r="AF286" s="10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470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111080003</v>
      </c>
      <c r="B287" s="13">
        <v>11</v>
      </c>
      <c r="C287" s="12">
        <f t="shared" si="92"/>
        <v>1</v>
      </c>
      <c r="D287" s="13">
        <v>8</v>
      </c>
      <c r="E287" s="13">
        <v>0</v>
      </c>
      <c r="F287" s="12">
        <f t="shared" si="93"/>
        <v>3</v>
      </c>
      <c r="H287" s="9">
        <v>1</v>
      </c>
      <c r="I287" s="9">
        <v>3</v>
      </c>
      <c r="K287" s="9" t="s">
        <v>368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587</v>
      </c>
      <c r="AA287" s="9">
        <v>3</v>
      </c>
      <c r="AC287" s="9">
        <v>600</v>
      </c>
      <c r="AE287" s="56">
        <f t="shared" si="99"/>
        <v>240</v>
      </c>
      <c r="AF287" s="10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470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111080004</v>
      </c>
      <c r="B288" s="13">
        <v>11</v>
      </c>
      <c r="C288" s="12">
        <f t="shared" si="92"/>
        <v>1</v>
      </c>
      <c r="D288" s="13">
        <v>8</v>
      </c>
      <c r="E288" s="13">
        <v>0</v>
      </c>
      <c r="F288" s="12">
        <f t="shared" si="93"/>
        <v>4</v>
      </c>
      <c r="H288" s="9">
        <v>1</v>
      </c>
      <c r="I288" s="9">
        <v>4</v>
      </c>
      <c r="K288" s="9" t="s">
        <v>368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587</v>
      </c>
      <c r="AA288" s="9">
        <v>4</v>
      </c>
      <c r="AC288" s="9">
        <v>1000</v>
      </c>
      <c r="AE288" s="56">
        <f t="shared" si="99"/>
        <v>400</v>
      </c>
      <c r="AF288" s="10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470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111080005</v>
      </c>
      <c r="B289" s="13">
        <v>11</v>
      </c>
      <c r="C289" s="12">
        <f t="shared" si="92"/>
        <v>1</v>
      </c>
      <c r="D289" s="13">
        <v>8</v>
      </c>
      <c r="E289" s="13">
        <v>0</v>
      </c>
      <c r="F289" s="12">
        <f t="shared" si="93"/>
        <v>5</v>
      </c>
      <c r="H289" s="9">
        <v>1</v>
      </c>
      <c r="I289" s="9">
        <v>5</v>
      </c>
      <c r="K289" s="9" t="s">
        <v>368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587</v>
      </c>
      <c r="AA289" s="9">
        <v>5</v>
      </c>
      <c r="AC289" s="9">
        <v>1600</v>
      </c>
      <c r="AE289" s="56">
        <f t="shared" si="99"/>
        <v>640</v>
      </c>
      <c r="AF289" s="10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470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111080006</v>
      </c>
      <c r="B290" s="13">
        <v>11</v>
      </c>
      <c r="C290" s="12">
        <f t="shared" si="92"/>
        <v>1</v>
      </c>
      <c r="D290" s="13">
        <v>8</v>
      </c>
      <c r="E290" s="13">
        <v>0</v>
      </c>
      <c r="F290" s="12">
        <f t="shared" si="93"/>
        <v>6</v>
      </c>
      <c r="H290" s="9">
        <v>1</v>
      </c>
      <c r="I290" s="9">
        <v>6</v>
      </c>
      <c r="K290" s="9" t="s">
        <v>368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587</v>
      </c>
      <c r="AA290" s="9">
        <v>6</v>
      </c>
      <c r="AC290" s="9">
        <v>2000</v>
      </c>
      <c r="AE290" s="56">
        <f t="shared" si="99"/>
        <v>800</v>
      </c>
      <c r="AF290" s="10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470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111080007</v>
      </c>
      <c r="B291" s="13">
        <v>11</v>
      </c>
      <c r="C291" s="12">
        <f t="shared" si="92"/>
        <v>1</v>
      </c>
      <c r="D291" s="13">
        <v>8</v>
      </c>
      <c r="E291" s="13">
        <v>0</v>
      </c>
      <c r="F291" s="12">
        <f t="shared" si="93"/>
        <v>7</v>
      </c>
      <c r="H291" s="9">
        <v>1</v>
      </c>
      <c r="I291" s="9">
        <v>7</v>
      </c>
      <c r="K291" s="9" t="s">
        <v>368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587</v>
      </c>
      <c r="AA291" s="9">
        <v>7</v>
      </c>
      <c r="AC291" s="9">
        <v>4000</v>
      </c>
      <c r="AE291" s="56">
        <f t="shared" si="99"/>
        <v>1600</v>
      </c>
      <c r="AF291" s="10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470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111080008</v>
      </c>
      <c r="B292" s="13">
        <v>11</v>
      </c>
      <c r="C292" s="12">
        <f t="shared" si="92"/>
        <v>1</v>
      </c>
      <c r="D292" s="13">
        <v>8</v>
      </c>
      <c r="E292" s="13">
        <v>0</v>
      </c>
      <c r="F292" s="12">
        <f t="shared" si="93"/>
        <v>8</v>
      </c>
      <c r="H292" s="9">
        <v>1</v>
      </c>
      <c r="I292" s="9">
        <v>8</v>
      </c>
      <c r="K292" s="9" t="s">
        <v>368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587</v>
      </c>
      <c r="AA292" s="9">
        <v>8</v>
      </c>
      <c r="AC292" s="9">
        <v>4000</v>
      </c>
      <c r="AE292" s="56">
        <f t="shared" si="99"/>
        <v>1600</v>
      </c>
      <c r="AF292" s="10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470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111080009</v>
      </c>
      <c r="B293" s="13">
        <v>11</v>
      </c>
      <c r="C293" s="12">
        <f t="shared" si="92"/>
        <v>1</v>
      </c>
      <c r="D293" s="13">
        <v>8</v>
      </c>
      <c r="E293" s="13">
        <v>0</v>
      </c>
      <c r="F293" s="12">
        <f t="shared" si="93"/>
        <v>9</v>
      </c>
      <c r="H293" s="9">
        <v>1</v>
      </c>
      <c r="I293" s="9">
        <v>9</v>
      </c>
      <c r="K293" s="9" t="s">
        <v>368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587</v>
      </c>
      <c r="AA293" s="9">
        <v>9</v>
      </c>
      <c r="AC293" s="9">
        <v>6000</v>
      </c>
      <c r="AE293" s="56">
        <f t="shared" si="99"/>
        <v>2400</v>
      </c>
      <c r="AF293" s="10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470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111080010</v>
      </c>
      <c r="B294" s="13">
        <v>11</v>
      </c>
      <c r="C294" s="12">
        <f t="shared" si="92"/>
        <v>1</v>
      </c>
      <c r="D294" s="13">
        <v>8</v>
      </c>
      <c r="E294" s="13">
        <v>0</v>
      </c>
      <c r="F294" s="12">
        <f t="shared" si="93"/>
        <v>10</v>
      </c>
      <c r="H294" s="9">
        <v>1</v>
      </c>
      <c r="I294" s="9">
        <v>10</v>
      </c>
      <c r="K294" s="9" t="s">
        <v>368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587</v>
      </c>
      <c r="AA294" s="9">
        <v>10</v>
      </c>
      <c r="AC294" s="9">
        <v>8000</v>
      </c>
      <c r="AE294" s="56">
        <f t="shared" si="99"/>
        <v>3200</v>
      </c>
      <c r="AF294" s="10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470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111080011</v>
      </c>
      <c r="B295" s="13">
        <v>11</v>
      </c>
      <c r="C295" s="12">
        <f t="shared" si="92"/>
        <v>1</v>
      </c>
      <c r="D295" s="13">
        <v>8</v>
      </c>
      <c r="E295" s="13">
        <v>0</v>
      </c>
      <c r="F295" s="12">
        <f t="shared" si="93"/>
        <v>11</v>
      </c>
      <c r="H295" s="9">
        <v>1</v>
      </c>
      <c r="I295" s="9">
        <v>11</v>
      </c>
      <c r="K295" s="9" t="s">
        <v>368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587</v>
      </c>
      <c r="AA295" s="9">
        <v>11</v>
      </c>
      <c r="AC295" s="9">
        <v>10000</v>
      </c>
      <c r="AE295" s="56">
        <f t="shared" si="99"/>
        <v>4000</v>
      </c>
      <c r="AF295" s="10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470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111080012</v>
      </c>
      <c r="B296" s="13">
        <v>11</v>
      </c>
      <c r="C296" s="12">
        <f t="shared" si="92"/>
        <v>1</v>
      </c>
      <c r="D296" s="13">
        <v>8</v>
      </c>
      <c r="E296" s="13">
        <v>0</v>
      </c>
      <c r="F296" s="12">
        <f t="shared" si="93"/>
        <v>12</v>
      </c>
      <c r="H296" s="9">
        <v>1</v>
      </c>
      <c r="I296" s="9">
        <v>12</v>
      </c>
      <c r="K296" s="9" t="s">
        <v>368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587</v>
      </c>
      <c r="AA296" s="9">
        <v>12</v>
      </c>
      <c r="AC296" s="9">
        <v>12000</v>
      </c>
      <c r="AE296" s="56">
        <f t="shared" si="99"/>
        <v>4800</v>
      </c>
      <c r="AF296" s="10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470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111080013</v>
      </c>
      <c r="B297" s="13">
        <v>11</v>
      </c>
      <c r="C297" s="12">
        <f t="shared" si="92"/>
        <v>1</v>
      </c>
      <c r="D297" s="13">
        <v>8</v>
      </c>
      <c r="E297" s="13">
        <v>0</v>
      </c>
      <c r="F297" s="12">
        <f t="shared" si="93"/>
        <v>13</v>
      </c>
      <c r="H297" s="9">
        <v>1</v>
      </c>
      <c r="I297" s="9">
        <v>13</v>
      </c>
      <c r="K297" s="9" t="s">
        <v>368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587</v>
      </c>
      <c r="AA297" s="9">
        <v>13</v>
      </c>
      <c r="AC297" s="9">
        <v>14000</v>
      </c>
      <c r="AE297" s="56">
        <f t="shared" si="99"/>
        <v>5600</v>
      </c>
      <c r="AF297" s="10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470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111080014</v>
      </c>
      <c r="B298" s="13">
        <v>11</v>
      </c>
      <c r="C298" s="12">
        <f t="shared" si="92"/>
        <v>1</v>
      </c>
      <c r="D298" s="13">
        <v>8</v>
      </c>
      <c r="E298" s="13">
        <v>0</v>
      </c>
      <c r="F298" s="12">
        <f t="shared" si="93"/>
        <v>14</v>
      </c>
      <c r="H298" s="9">
        <v>1</v>
      </c>
      <c r="I298" s="9">
        <v>14</v>
      </c>
      <c r="K298" s="9" t="s">
        <v>368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587</v>
      </c>
      <c r="AA298" s="9">
        <v>14</v>
      </c>
      <c r="AC298" s="9">
        <v>18000</v>
      </c>
      <c r="AE298" s="56">
        <f t="shared" si="99"/>
        <v>7700</v>
      </c>
      <c r="AF298" s="10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470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507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111080015</v>
      </c>
      <c r="B299" s="13">
        <v>11</v>
      </c>
      <c r="C299" s="12">
        <f t="shared" si="92"/>
        <v>1</v>
      </c>
      <c r="D299" s="13">
        <v>8</v>
      </c>
      <c r="E299" s="13">
        <v>0</v>
      </c>
      <c r="F299" s="12">
        <f t="shared" si="93"/>
        <v>15</v>
      </c>
      <c r="H299" s="9">
        <v>1</v>
      </c>
      <c r="I299" s="9">
        <v>15</v>
      </c>
      <c r="K299" s="9" t="s">
        <v>368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587</v>
      </c>
      <c r="AA299" s="9">
        <v>15</v>
      </c>
      <c r="AC299" s="9">
        <v>22000</v>
      </c>
      <c r="AE299" s="56">
        <f t="shared" si="99"/>
        <v>8800</v>
      </c>
      <c r="AF299" s="10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470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111080016</v>
      </c>
      <c r="B300" s="13">
        <v>11</v>
      </c>
      <c r="C300" s="12">
        <f t="shared" si="92"/>
        <v>1</v>
      </c>
      <c r="D300" s="13">
        <v>8</v>
      </c>
      <c r="E300" s="13">
        <v>0</v>
      </c>
      <c r="F300" s="12">
        <f t="shared" si="93"/>
        <v>16</v>
      </c>
      <c r="H300" s="9">
        <v>1</v>
      </c>
      <c r="I300" s="9">
        <v>16</v>
      </c>
      <c r="K300" s="9" t="s">
        <v>368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587</v>
      </c>
      <c r="AA300" s="9">
        <v>16</v>
      </c>
      <c r="AC300" s="9">
        <v>28000</v>
      </c>
      <c r="AE300" s="56">
        <f t="shared" si="99"/>
        <v>11200</v>
      </c>
      <c r="AF300" s="10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470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111080017</v>
      </c>
      <c r="B301" s="13">
        <v>11</v>
      </c>
      <c r="C301" s="12">
        <f t="shared" ref="C301:C364" si="103">H301</f>
        <v>1</v>
      </c>
      <c r="D301" s="13">
        <v>8</v>
      </c>
      <c r="E301" s="13">
        <v>0</v>
      </c>
      <c r="F301" s="12">
        <f t="shared" ref="F301:F364" si="104">I301</f>
        <v>17</v>
      </c>
      <c r="H301" s="9">
        <v>1</v>
      </c>
      <c r="I301" s="9">
        <v>17</v>
      </c>
      <c r="K301" s="9" t="s">
        <v>368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587</v>
      </c>
      <c r="AA301" s="9">
        <v>17</v>
      </c>
      <c r="AC301" s="9">
        <v>34000</v>
      </c>
      <c r="AE301" s="56">
        <f t="shared" si="99"/>
        <v>13600</v>
      </c>
      <c r="AF301" s="10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470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111080018</v>
      </c>
      <c r="B302" s="13">
        <v>11</v>
      </c>
      <c r="C302" s="12">
        <f t="shared" si="103"/>
        <v>1</v>
      </c>
      <c r="D302" s="13">
        <v>8</v>
      </c>
      <c r="E302" s="13">
        <v>0</v>
      </c>
      <c r="F302" s="12">
        <f t="shared" si="104"/>
        <v>18</v>
      </c>
      <c r="H302" s="9">
        <v>1</v>
      </c>
      <c r="I302" s="9">
        <v>18</v>
      </c>
      <c r="K302" s="9" t="s">
        <v>368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587</v>
      </c>
      <c r="AA302" s="9">
        <v>18</v>
      </c>
      <c r="AC302" s="9">
        <v>42000</v>
      </c>
      <c r="AE302" s="56">
        <f t="shared" si="99"/>
        <v>16800</v>
      </c>
      <c r="AF302" s="10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470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111080019</v>
      </c>
      <c r="B303" s="13">
        <v>11</v>
      </c>
      <c r="C303" s="12">
        <f t="shared" si="103"/>
        <v>1</v>
      </c>
      <c r="D303" s="13">
        <v>8</v>
      </c>
      <c r="E303" s="13">
        <v>0</v>
      </c>
      <c r="F303" s="12">
        <f t="shared" si="104"/>
        <v>19</v>
      </c>
      <c r="H303" s="9">
        <v>1</v>
      </c>
      <c r="I303" s="9">
        <v>19</v>
      </c>
      <c r="K303" s="9" t="s">
        <v>368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587</v>
      </c>
      <c r="AA303" s="9">
        <v>19</v>
      </c>
      <c r="AC303" s="9">
        <v>50000</v>
      </c>
      <c r="AE303" s="56">
        <f t="shared" si="99"/>
        <v>20000</v>
      </c>
      <c r="AF303" s="10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111080020</v>
      </c>
      <c r="B304" s="13">
        <v>11</v>
      </c>
      <c r="C304" s="12">
        <f t="shared" si="103"/>
        <v>1</v>
      </c>
      <c r="D304" s="13">
        <v>8</v>
      </c>
      <c r="E304" s="13">
        <v>0</v>
      </c>
      <c r="F304" s="12">
        <f t="shared" si="104"/>
        <v>20</v>
      </c>
      <c r="H304" s="9">
        <v>1</v>
      </c>
      <c r="I304" s="9">
        <v>20</v>
      </c>
      <c r="K304" s="9" t="s">
        <v>368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587</v>
      </c>
      <c r="AA304" s="9">
        <v>20</v>
      </c>
      <c r="AC304" s="9">
        <v>60000</v>
      </c>
      <c r="AE304" s="56">
        <f t="shared" si="99"/>
        <v>24000</v>
      </c>
      <c r="AF304" s="10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112040001</v>
      </c>
      <c r="B305" s="20">
        <v>11</v>
      </c>
      <c r="C305" s="19">
        <f t="shared" si="103"/>
        <v>2</v>
      </c>
      <c r="D305" s="20">
        <v>4</v>
      </c>
      <c r="E305" s="20">
        <v>0</v>
      </c>
      <c r="F305" s="19">
        <f t="shared" si="104"/>
        <v>1</v>
      </c>
      <c r="G305" s="80"/>
      <c r="H305" s="16">
        <v>2</v>
      </c>
      <c r="I305" s="16">
        <v>1</v>
      </c>
      <c r="J305" s="80"/>
      <c r="K305" s="16" t="s">
        <v>376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616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611</v>
      </c>
      <c r="X305" s="16">
        <f ca="1">IFERROR(OFFSET(ITEM_RES!$A$5,MATCH(BUILDING!W305,ITEM_RES!$J$5:$J$231,0)-1,0),0)</f>
        <v>215040001</v>
      </c>
      <c r="Y305" s="80"/>
      <c r="Z305" s="16" t="s">
        <v>588</v>
      </c>
      <c r="AA305" s="16">
        <v>1</v>
      </c>
      <c r="AB305" s="80"/>
      <c r="AC305" s="16">
        <v>0</v>
      </c>
      <c r="AD305" s="80"/>
      <c r="AE305" s="57">
        <f t="shared" si="99"/>
        <v>605</v>
      </c>
      <c r="AF305" s="17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471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470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495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112040002</v>
      </c>
      <c r="B306" s="13">
        <v>11</v>
      </c>
      <c r="C306" s="12">
        <f t="shared" si="103"/>
        <v>2</v>
      </c>
      <c r="D306" s="13">
        <v>4</v>
      </c>
      <c r="E306" s="13">
        <v>0</v>
      </c>
      <c r="F306" s="12">
        <f t="shared" si="104"/>
        <v>2</v>
      </c>
      <c r="H306" s="9">
        <v>2</v>
      </c>
      <c r="I306" s="9">
        <v>2</v>
      </c>
      <c r="K306" s="9" t="s">
        <v>376</v>
      </c>
      <c r="L306" s="9">
        <v>1</v>
      </c>
      <c r="M306" s="9">
        <v>15</v>
      </c>
      <c r="R306" s="9">
        <v>333</v>
      </c>
      <c r="T306" s="86" t="s">
        <v>616</v>
      </c>
      <c r="U306" s="9">
        <f ca="1">IFERROR(OFFSET(ITEM_RES!$A$5,MATCH(BUILDING!T306,ITEM_RES!$J$5:$J$231,0)-1,0),0)</f>
        <v>212030001</v>
      </c>
      <c r="V306" s="11">
        <v>2</v>
      </c>
      <c r="W306" s="86" t="s">
        <v>611</v>
      </c>
      <c r="X306" s="9">
        <f ca="1">IFERROR(OFFSET(ITEM_RES!$A$5,MATCH(BUILDING!W306,ITEM_RES!$J$5:$J$231,0)-1,0),0)</f>
        <v>215040001</v>
      </c>
      <c r="Z306" s="9" t="s">
        <v>588</v>
      </c>
      <c r="AA306" s="9">
        <v>2</v>
      </c>
      <c r="AC306" s="9">
        <v>800</v>
      </c>
      <c r="AE306" s="56">
        <f t="shared" si="99"/>
        <v>210</v>
      </c>
      <c r="AF306" s="10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471</v>
      </c>
      <c r="AR306" s="11">
        <v>50</v>
      </c>
      <c r="AU306" s="11">
        <f ca="1">IFERROR(OFFSET(ITEM_RES!$A$1,MATCH(AV306,ITEM_RES!$J:$J,0)-1,0),0)</f>
        <v>212040001</v>
      </c>
      <c r="AV306" s="10" t="s">
        <v>470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112040003</v>
      </c>
      <c r="B307" s="13">
        <v>11</v>
      </c>
      <c r="C307" s="12">
        <f t="shared" si="103"/>
        <v>2</v>
      </c>
      <c r="D307" s="13">
        <v>4</v>
      </c>
      <c r="E307" s="13">
        <v>0</v>
      </c>
      <c r="F307" s="12">
        <f t="shared" si="104"/>
        <v>3</v>
      </c>
      <c r="H307" s="9">
        <v>2</v>
      </c>
      <c r="I307" s="9">
        <v>3</v>
      </c>
      <c r="K307" s="9" t="s">
        <v>376</v>
      </c>
      <c r="L307" s="9">
        <v>1</v>
      </c>
      <c r="M307" s="9">
        <v>15</v>
      </c>
      <c r="R307" s="9">
        <v>333</v>
      </c>
      <c r="T307" s="86" t="s">
        <v>616</v>
      </c>
      <c r="U307" s="9">
        <f ca="1">IFERROR(OFFSET(ITEM_RES!$A$5,MATCH(BUILDING!T307,ITEM_RES!$J$5:$J$231,0)-1,0),0)</f>
        <v>212030001</v>
      </c>
      <c r="V307" s="11">
        <v>2</v>
      </c>
      <c r="W307" s="86" t="s">
        <v>611</v>
      </c>
      <c r="X307" s="9">
        <f ca="1">IFERROR(OFFSET(ITEM_RES!$A$5,MATCH(BUILDING!W307,ITEM_RES!$J$5:$J$231,0)-1,0),0)</f>
        <v>215040001</v>
      </c>
      <c r="Z307" s="9" t="s">
        <v>588</v>
      </c>
      <c r="AA307" s="9">
        <v>3</v>
      </c>
      <c r="AC307" s="9">
        <v>1200</v>
      </c>
      <c r="AE307" s="56">
        <f t="shared" si="99"/>
        <v>315</v>
      </c>
      <c r="AF307" s="10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471</v>
      </c>
      <c r="AR307" s="11">
        <v>75</v>
      </c>
      <c r="AU307" s="11">
        <f ca="1">IFERROR(OFFSET(ITEM_RES!$A$1,MATCH(AV307,ITEM_RES!$J:$J,0)-1,0),0)</f>
        <v>212040001</v>
      </c>
      <c r="AV307" s="10" t="s">
        <v>470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112040004</v>
      </c>
      <c r="B308" s="13">
        <v>11</v>
      </c>
      <c r="C308" s="12">
        <f t="shared" si="103"/>
        <v>2</v>
      </c>
      <c r="D308" s="13">
        <v>4</v>
      </c>
      <c r="E308" s="13">
        <v>0</v>
      </c>
      <c r="F308" s="12">
        <f t="shared" si="104"/>
        <v>4</v>
      </c>
      <c r="H308" s="9">
        <v>2</v>
      </c>
      <c r="I308" s="9">
        <v>4</v>
      </c>
      <c r="K308" s="9" t="s">
        <v>376</v>
      </c>
      <c r="L308" s="9">
        <v>1</v>
      </c>
      <c r="M308" s="9">
        <v>15</v>
      </c>
      <c r="R308" s="9">
        <v>333</v>
      </c>
      <c r="T308" s="86" t="s">
        <v>616</v>
      </c>
      <c r="U308" s="9">
        <f ca="1">IFERROR(OFFSET(ITEM_RES!$A$5,MATCH(BUILDING!T308,ITEM_RES!$J$5:$J$231,0)-1,0),0)</f>
        <v>212030001</v>
      </c>
      <c r="V308" s="11">
        <v>2</v>
      </c>
      <c r="W308" s="86" t="s">
        <v>611</v>
      </c>
      <c r="X308" s="9">
        <f ca="1">IFERROR(OFFSET(ITEM_RES!$A$5,MATCH(BUILDING!W308,ITEM_RES!$J$5:$J$231,0)-1,0),0)</f>
        <v>215040001</v>
      </c>
      <c r="Z308" s="9" t="s">
        <v>588</v>
      </c>
      <c r="AA308" s="9">
        <v>4</v>
      </c>
      <c r="AC308" s="9">
        <v>2000</v>
      </c>
      <c r="AE308" s="56">
        <f t="shared" si="99"/>
        <v>525</v>
      </c>
      <c r="AF308" s="10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471</v>
      </c>
      <c r="AR308" s="11">
        <v>125</v>
      </c>
      <c r="AU308" s="11">
        <f ca="1">IFERROR(OFFSET(ITEM_RES!$A$1,MATCH(AV308,ITEM_RES!$J:$J,0)-1,0),0)</f>
        <v>212040001</v>
      </c>
      <c r="AV308" s="10" t="s">
        <v>470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112040005</v>
      </c>
      <c r="B309" s="13">
        <v>11</v>
      </c>
      <c r="C309" s="12">
        <f t="shared" si="103"/>
        <v>2</v>
      </c>
      <c r="D309" s="13">
        <v>4</v>
      </c>
      <c r="E309" s="13">
        <v>0</v>
      </c>
      <c r="F309" s="12">
        <f t="shared" si="104"/>
        <v>5</v>
      </c>
      <c r="H309" s="9">
        <v>2</v>
      </c>
      <c r="I309" s="9">
        <v>5</v>
      </c>
      <c r="K309" s="9" t="s">
        <v>376</v>
      </c>
      <c r="L309" s="9">
        <v>1</v>
      </c>
      <c r="M309" s="9">
        <v>15</v>
      </c>
      <c r="R309" s="9">
        <v>333</v>
      </c>
      <c r="T309" s="86" t="s">
        <v>616</v>
      </c>
      <c r="U309" s="9">
        <f ca="1">IFERROR(OFFSET(ITEM_RES!$A$5,MATCH(BUILDING!T309,ITEM_RES!$J$5:$J$231,0)-1,0),0)</f>
        <v>212030001</v>
      </c>
      <c r="V309" s="11">
        <v>2</v>
      </c>
      <c r="W309" s="86" t="s">
        <v>611</v>
      </c>
      <c r="X309" s="9">
        <f ca="1">IFERROR(OFFSET(ITEM_RES!$A$5,MATCH(BUILDING!W309,ITEM_RES!$J$5:$J$231,0)-1,0),0)</f>
        <v>215040001</v>
      </c>
      <c r="Z309" s="9" t="s">
        <v>588</v>
      </c>
      <c r="AA309" s="9">
        <v>5</v>
      </c>
      <c r="AC309" s="9">
        <v>3200</v>
      </c>
      <c r="AE309" s="56">
        <f t="shared" si="99"/>
        <v>840</v>
      </c>
      <c r="AF309" s="10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471</v>
      </c>
      <c r="AR309" s="11">
        <v>200</v>
      </c>
      <c r="AU309" s="11">
        <f ca="1">IFERROR(OFFSET(ITEM_RES!$A$1,MATCH(AV309,ITEM_RES!$J:$J,0)-1,0),0)</f>
        <v>212040001</v>
      </c>
      <c r="AV309" s="10" t="s">
        <v>470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112040006</v>
      </c>
      <c r="B310" s="13">
        <v>11</v>
      </c>
      <c r="C310" s="12">
        <f t="shared" si="103"/>
        <v>2</v>
      </c>
      <c r="D310" s="13">
        <v>4</v>
      </c>
      <c r="E310" s="13">
        <v>0</v>
      </c>
      <c r="F310" s="12">
        <f t="shared" si="104"/>
        <v>6</v>
      </c>
      <c r="H310" s="9">
        <v>2</v>
      </c>
      <c r="I310" s="9">
        <v>6</v>
      </c>
      <c r="K310" s="9" t="s">
        <v>376</v>
      </c>
      <c r="L310" s="9">
        <v>1</v>
      </c>
      <c r="M310" s="9">
        <v>15</v>
      </c>
      <c r="R310" s="9">
        <v>333</v>
      </c>
      <c r="T310" s="86" t="s">
        <v>616</v>
      </c>
      <c r="U310" s="9">
        <f ca="1">IFERROR(OFFSET(ITEM_RES!$A$5,MATCH(BUILDING!T310,ITEM_RES!$J$5:$J$231,0)-1,0),0)</f>
        <v>212030001</v>
      </c>
      <c r="V310" s="11">
        <v>2</v>
      </c>
      <c r="W310" s="86" t="s">
        <v>611</v>
      </c>
      <c r="X310" s="9">
        <f ca="1">IFERROR(OFFSET(ITEM_RES!$A$5,MATCH(BUILDING!W310,ITEM_RES!$J$5:$J$231,0)-1,0),0)</f>
        <v>215040001</v>
      </c>
      <c r="Z310" s="9" t="s">
        <v>588</v>
      </c>
      <c r="AA310" s="9">
        <v>6</v>
      </c>
      <c r="AC310" s="9">
        <v>4000</v>
      </c>
      <c r="AE310" s="56">
        <f t="shared" si="99"/>
        <v>1050</v>
      </c>
      <c r="AF310" s="10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471</v>
      </c>
      <c r="AR310" s="11">
        <v>250</v>
      </c>
      <c r="AU310" s="11">
        <f ca="1">IFERROR(OFFSET(ITEM_RES!$A$1,MATCH(AV310,ITEM_RES!$J:$J,0)-1,0),0)</f>
        <v>212040001</v>
      </c>
      <c r="AV310" s="10" t="s">
        <v>470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112040007</v>
      </c>
      <c r="B311" s="13">
        <v>11</v>
      </c>
      <c r="C311" s="12">
        <f t="shared" si="103"/>
        <v>2</v>
      </c>
      <c r="D311" s="13">
        <v>4</v>
      </c>
      <c r="E311" s="13">
        <v>0</v>
      </c>
      <c r="F311" s="12">
        <f t="shared" si="104"/>
        <v>7</v>
      </c>
      <c r="H311" s="9">
        <v>2</v>
      </c>
      <c r="I311" s="9">
        <v>7</v>
      </c>
      <c r="K311" s="9" t="s">
        <v>375</v>
      </c>
      <c r="L311" s="9">
        <v>1</v>
      </c>
      <c r="M311" s="9">
        <v>15</v>
      </c>
      <c r="R311" s="9">
        <v>333</v>
      </c>
      <c r="T311" s="86" t="s">
        <v>616</v>
      </c>
      <c r="U311" s="9">
        <f ca="1">IFERROR(OFFSET(ITEM_RES!$A$5,MATCH(BUILDING!T311,ITEM_RES!$J$5:$J$231,0)-1,0),0)</f>
        <v>212030001</v>
      </c>
      <c r="V311" s="11">
        <v>2</v>
      </c>
      <c r="W311" s="86" t="s">
        <v>611</v>
      </c>
      <c r="X311" s="9">
        <f ca="1">IFERROR(OFFSET(ITEM_RES!$A$5,MATCH(BUILDING!W311,ITEM_RES!$J$5:$J$231,0)-1,0),0)</f>
        <v>215040001</v>
      </c>
      <c r="Z311" s="9" t="s">
        <v>588</v>
      </c>
      <c r="AA311" s="9">
        <v>7</v>
      </c>
      <c r="AC311" s="9">
        <v>8000</v>
      </c>
      <c r="AE311" s="56">
        <f t="shared" si="99"/>
        <v>2100</v>
      </c>
      <c r="AF311" s="10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471</v>
      </c>
      <c r="AR311" s="11">
        <v>500</v>
      </c>
      <c r="AU311" s="11">
        <f ca="1">IFERROR(OFFSET(ITEM_RES!$A$1,MATCH(AV311,ITEM_RES!$J:$J,0)-1,0),0)</f>
        <v>212040001</v>
      </c>
      <c r="AV311" s="10" t="s">
        <v>470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112040008</v>
      </c>
      <c r="B312" s="13">
        <v>11</v>
      </c>
      <c r="C312" s="12">
        <f t="shared" si="103"/>
        <v>2</v>
      </c>
      <c r="D312" s="13">
        <v>4</v>
      </c>
      <c r="E312" s="13">
        <v>0</v>
      </c>
      <c r="F312" s="12">
        <f t="shared" si="104"/>
        <v>8</v>
      </c>
      <c r="H312" s="9">
        <v>2</v>
      </c>
      <c r="I312" s="9">
        <v>8</v>
      </c>
      <c r="K312" s="9" t="s">
        <v>375</v>
      </c>
      <c r="L312" s="9">
        <v>1</v>
      </c>
      <c r="M312" s="9">
        <v>15</v>
      </c>
      <c r="R312" s="9">
        <v>333</v>
      </c>
      <c r="T312" s="86" t="s">
        <v>616</v>
      </c>
      <c r="U312" s="9">
        <f ca="1">IFERROR(OFFSET(ITEM_RES!$A$5,MATCH(BUILDING!T312,ITEM_RES!$J$5:$J$231,0)-1,0),0)</f>
        <v>212030001</v>
      </c>
      <c r="V312" s="11">
        <v>2</v>
      </c>
      <c r="W312" s="86" t="s">
        <v>611</v>
      </c>
      <c r="X312" s="9">
        <f ca="1">IFERROR(OFFSET(ITEM_RES!$A$5,MATCH(BUILDING!W312,ITEM_RES!$J$5:$J$231,0)-1,0),0)</f>
        <v>215040001</v>
      </c>
      <c r="Z312" s="9" t="s">
        <v>588</v>
      </c>
      <c r="AA312" s="9">
        <v>8</v>
      </c>
      <c r="AC312" s="9">
        <v>8000</v>
      </c>
      <c r="AE312" s="56">
        <f t="shared" si="99"/>
        <v>2600</v>
      </c>
      <c r="AF312" s="10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471</v>
      </c>
      <c r="AR312" s="11">
        <v>500</v>
      </c>
      <c r="AU312" s="11">
        <f ca="1">IFERROR(OFFSET(ITEM_RES!$A$1,MATCH(AV312,ITEM_RES!$J:$J,0)-1,0),0)</f>
        <v>212040001</v>
      </c>
      <c r="AV312" s="10" t="s">
        <v>470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508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112040009</v>
      </c>
      <c r="B313" s="13">
        <v>11</v>
      </c>
      <c r="C313" s="12">
        <f t="shared" si="103"/>
        <v>2</v>
      </c>
      <c r="D313" s="13">
        <v>4</v>
      </c>
      <c r="E313" s="13">
        <v>0</v>
      </c>
      <c r="F313" s="12">
        <f t="shared" si="104"/>
        <v>9</v>
      </c>
      <c r="H313" s="9">
        <v>2</v>
      </c>
      <c r="I313" s="9">
        <v>9</v>
      </c>
      <c r="K313" s="9" t="s">
        <v>375</v>
      </c>
      <c r="L313" s="9">
        <v>1</v>
      </c>
      <c r="M313" s="9">
        <v>15</v>
      </c>
      <c r="R313" s="9">
        <v>333</v>
      </c>
      <c r="T313" s="86" t="s">
        <v>616</v>
      </c>
      <c r="U313" s="9">
        <f ca="1">IFERROR(OFFSET(ITEM_RES!$A$5,MATCH(BUILDING!T313,ITEM_RES!$J$5:$J$231,0)-1,0),0)</f>
        <v>212030001</v>
      </c>
      <c r="V313" s="11">
        <v>2</v>
      </c>
      <c r="W313" s="86" t="s">
        <v>611</v>
      </c>
      <c r="X313" s="9">
        <f ca="1">IFERROR(OFFSET(ITEM_RES!$A$5,MATCH(BUILDING!W313,ITEM_RES!$J$5:$J$231,0)-1,0),0)</f>
        <v>215040001</v>
      </c>
      <c r="Z313" s="9" t="s">
        <v>588</v>
      </c>
      <c r="AA313" s="9">
        <v>9</v>
      </c>
      <c r="AC313" s="9">
        <v>12000</v>
      </c>
      <c r="AE313" s="56">
        <f t="shared" si="99"/>
        <v>3150</v>
      </c>
      <c r="AF313" s="10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467</v>
      </c>
      <c r="AR313" s="11">
        <v>750</v>
      </c>
      <c r="AU313" s="11">
        <f ca="1">IFERROR(OFFSET(ITEM_RES!$A$1,MATCH(AV313,ITEM_RES!$J:$J,0)-1,0),0)</f>
        <v>212040001</v>
      </c>
      <c r="AV313" s="10" t="s">
        <v>470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112040010</v>
      </c>
      <c r="B314" s="13">
        <v>11</v>
      </c>
      <c r="C314" s="12">
        <f t="shared" si="103"/>
        <v>2</v>
      </c>
      <c r="D314" s="13">
        <v>4</v>
      </c>
      <c r="E314" s="13">
        <v>0</v>
      </c>
      <c r="F314" s="12">
        <f t="shared" si="104"/>
        <v>10</v>
      </c>
      <c r="H314" s="9">
        <v>2</v>
      </c>
      <c r="I314" s="9">
        <v>10</v>
      </c>
      <c r="K314" s="9" t="s">
        <v>375</v>
      </c>
      <c r="L314" s="9">
        <v>1</v>
      </c>
      <c r="M314" s="9">
        <v>15</v>
      </c>
      <c r="R314" s="9">
        <v>333</v>
      </c>
      <c r="T314" s="86" t="s">
        <v>616</v>
      </c>
      <c r="U314" s="9">
        <f ca="1">IFERROR(OFFSET(ITEM_RES!$A$5,MATCH(BUILDING!T314,ITEM_RES!$J$5:$J$231,0)-1,0),0)</f>
        <v>212030001</v>
      </c>
      <c r="V314" s="11">
        <v>2</v>
      </c>
      <c r="W314" s="86" t="s">
        <v>611</v>
      </c>
      <c r="X314" s="9">
        <f ca="1">IFERROR(OFFSET(ITEM_RES!$A$5,MATCH(BUILDING!W314,ITEM_RES!$J$5:$J$231,0)-1,0),0)</f>
        <v>215040001</v>
      </c>
      <c r="Z314" s="9" t="s">
        <v>588</v>
      </c>
      <c r="AA314" s="9">
        <v>10</v>
      </c>
      <c r="AC314" s="9">
        <v>16000</v>
      </c>
      <c r="AE314" s="56">
        <f t="shared" si="99"/>
        <v>4200</v>
      </c>
      <c r="AF314" s="10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467</v>
      </c>
      <c r="AR314" s="11">
        <v>1000</v>
      </c>
      <c r="AU314" s="11">
        <f ca="1">IFERROR(OFFSET(ITEM_RES!$A$1,MATCH(AV314,ITEM_RES!$J:$J,0)-1,0),0)</f>
        <v>212040001</v>
      </c>
      <c r="AV314" s="10" t="s">
        <v>470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112040011</v>
      </c>
      <c r="B315" s="13">
        <v>11</v>
      </c>
      <c r="C315" s="12">
        <f t="shared" si="103"/>
        <v>2</v>
      </c>
      <c r="D315" s="13">
        <v>4</v>
      </c>
      <c r="E315" s="13">
        <v>0</v>
      </c>
      <c r="F315" s="12">
        <f t="shared" si="104"/>
        <v>11</v>
      </c>
      <c r="H315" s="9">
        <v>2</v>
      </c>
      <c r="I315" s="9">
        <v>11</v>
      </c>
      <c r="K315" s="9" t="s">
        <v>375</v>
      </c>
      <c r="L315" s="9">
        <v>1</v>
      </c>
      <c r="M315" s="9">
        <v>15</v>
      </c>
      <c r="R315" s="9">
        <v>333</v>
      </c>
      <c r="T315" s="86" t="s">
        <v>616</v>
      </c>
      <c r="U315" s="9">
        <f ca="1">IFERROR(OFFSET(ITEM_RES!$A$5,MATCH(BUILDING!T315,ITEM_RES!$J$5:$J$231,0)-1,0),0)</f>
        <v>212030001</v>
      </c>
      <c r="V315" s="11">
        <v>2</v>
      </c>
      <c r="W315" s="86" t="s">
        <v>611</v>
      </c>
      <c r="X315" s="9">
        <f ca="1">IFERROR(OFFSET(ITEM_RES!$A$5,MATCH(BUILDING!W315,ITEM_RES!$J$5:$J$231,0)-1,0),0)</f>
        <v>215040001</v>
      </c>
      <c r="Z315" s="9" t="s">
        <v>588</v>
      </c>
      <c r="AA315" s="9">
        <v>11</v>
      </c>
      <c r="AC315" s="9">
        <v>20000</v>
      </c>
      <c r="AE315" s="56">
        <f t="shared" si="99"/>
        <v>5250</v>
      </c>
      <c r="AF315" s="10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467</v>
      </c>
      <c r="AR315" s="11">
        <v>1250</v>
      </c>
      <c r="AU315" s="11">
        <f ca="1">IFERROR(OFFSET(ITEM_RES!$A$1,MATCH(AV315,ITEM_RES!$J:$J,0)-1,0),0)</f>
        <v>212040001</v>
      </c>
      <c r="AV315" s="10" t="s">
        <v>470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112040012</v>
      </c>
      <c r="B316" s="13">
        <v>11</v>
      </c>
      <c r="C316" s="12">
        <f t="shared" si="103"/>
        <v>2</v>
      </c>
      <c r="D316" s="13">
        <v>4</v>
      </c>
      <c r="E316" s="13">
        <v>0</v>
      </c>
      <c r="F316" s="12">
        <f t="shared" si="104"/>
        <v>12</v>
      </c>
      <c r="H316" s="9">
        <v>2</v>
      </c>
      <c r="I316" s="9">
        <v>12</v>
      </c>
      <c r="K316" s="9" t="s">
        <v>375</v>
      </c>
      <c r="L316" s="9">
        <v>1</v>
      </c>
      <c r="M316" s="9">
        <v>15</v>
      </c>
      <c r="R316" s="9">
        <v>333</v>
      </c>
      <c r="T316" s="86" t="s">
        <v>616</v>
      </c>
      <c r="U316" s="9">
        <f ca="1">IFERROR(OFFSET(ITEM_RES!$A$5,MATCH(BUILDING!T316,ITEM_RES!$J$5:$J$231,0)-1,0),0)</f>
        <v>212030001</v>
      </c>
      <c r="V316" s="11">
        <v>2</v>
      </c>
      <c r="W316" s="86" t="s">
        <v>611</v>
      </c>
      <c r="X316" s="9">
        <f ca="1">IFERROR(OFFSET(ITEM_RES!$A$5,MATCH(BUILDING!W316,ITEM_RES!$J$5:$J$231,0)-1,0),0)</f>
        <v>215040001</v>
      </c>
      <c r="Z316" s="9" t="s">
        <v>588</v>
      </c>
      <c r="AA316" s="9">
        <v>12</v>
      </c>
      <c r="AC316" s="9">
        <v>24000</v>
      </c>
      <c r="AE316" s="56">
        <f t="shared" si="99"/>
        <v>6300</v>
      </c>
      <c r="AF316" s="10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467</v>
      </c>
      <c r="AR316" s="11">
        <v>1500</v>
      </c>
      <c r="AU316" s="11">
        <f ca="1">IFERROR(OFFSET(ITEM_RES!$A$1,MATCH(AV316,ITEM_RES!$J:$J,0)-1,0),0)</f>
        <v>212040001</v>
      </c>
      <c r="AV316" s="10" t="s">
        <v>470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112040013</v>
      </c>
      <c r="B317" s="13">
        <v>11</v>
      </c>
      <c r="C317" s="12">
        <f t="shared" si="103"/>
        <v>2</v>
      </c>
      <c r="D317" s="13">
        <v>4</v>
      </c>
      <c r="E317" s="13">
        <v>0</v>
      </c>
      <c r="F317" s="12">
        <f t="shared" si="104"/>
        <v>13</v>
      </c>
      <c r="H317" s="9">
        <v>2</v>
      </c>
      <c r="I317" s="9">
        <v>13</v>
      </c>
      <c r="K317" s="9" t="s">
        <v>375</v>
      </c>
      <c r="L317" s="9">
        <v>1</v>
      </c>
      <c r="M317" s="9">
        <v>15</v>
      </c>
      <c r="R317" s="9">
        <v>333</v>
      </c>
      <c r="T317" s="86" t="s">
        <v>616</v>
      </c>
      <c r="U317" s="9">
        <f ca="1">IFERROR(OFFSET(ITEM_RES!$A$5,MATCH(BUILDING!T317,ITEM_RES!$J$5:$J$231,0)-1,0),0)</f>
        <v>212030001</v>
      </c>
      <c r="V317" s="11">
        <v>2</v>
      </c>
      <c r="W317" s="86" t="s">
        <v>611</v>
      </c>
      <c r="X317" s="9">
        <f ca="1">IFERROR(OFFSET(ITEM_RES!$A$5,MATCH(BUILDING!W317,ITEM_RES!$J$5:$J$231,0)-1,0),0)</f>
        <v>215040001</v>
      </c>
      <c r="Z317" s="9" t="s">
        <v>588</v>
      </c>
      <c r="AA317" s="9">
        <v>13</v>
      </c>
      <c r="AC317" s="9">
        <v>28000</v>
      </c>
      <c r="AE317" s="56">
        <f t="shared" si="99"/>
        <v>7350</v>
      </c>
      <c r="AF317" s="10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467</v>
      </c>
      <c r="AR317" s="11">
        <v>1750</v>
      </c>
      <c r="AU317" s="11">
        <f ca="1">IFERROR(OFFSET(ITEM_RES!$A$1,MATCH(AV317,ITEM_RES!$J:$J,0)-1,0),0)</f>
        <v>212040001</v>
      </c>
      <c r="AV317" s="10" t="s">
        <v>470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112040014</v>
      </c>
      <c r="B318" s="13">
        <v>11</v>
      </c>
      <c r="C318" s="12">
        <f t="shared" si="103"/>
        <v>2</v>
      </c>
      <c r="D318" s="13">
        <v>4</v>
      </c>
      <c r="E318" s="13">
        <v>0</v>
      </c>
      <c r="F318" s="12">
        <f t="shared" si="104"/>
        <v>14</v>
      </c>
      <c r="H318" s="9">
        <v>2</v>
      </c>
      <c r="I318" s="9">
        <v>14</v>
      </c>
      <c r="K318" s="9" t="s">
        <v>375</v>
      </c>
      <c r="L318" s="9">
        <v>1</v>
      </c>
      <c r="M318" s="9">
        <v>15</v>
      </c>
      <c r="R318" s="9">
        <v>333</v>
      </c>
      <c r="T318" s="86" t="s">
        <v>616</v>
      </c>
      <c r="U318" s="9">
        <f ca="1">IFERROR(OFFSET(ITEM_RES!$A$5,MATCH(BUILDING!T318,ITEM_RES!$J$5:$J$231,0)-1,0),0)</f>
        <v>212030001</v>
      </c>
      <c r="V318" s="11">
        <v>2</v>
      </c>
      <c r="W318" s="86" t="s">
        <v>611</v>
      </c>
      <c r="X318" s="9">
        <f ca="1">IFERROR(OFFSET(ITEM_RES!$A$5,MATCH(BUILDING!W318,ITEM_RES!$J$5:$J$231,0)-1,0),0)</f>
        <v>215040001</v>
      </c>
      <c r="Z318" s="9" t="s">
        <v>588</v>
      </c>
      <c r="AA318" s="9">
        <v>14</v>
      </c>
      <c r="AC318" s="9">
        <v>36000</v>
      </c>
      <c r="AE318" s="56">
        <f t="shared" si="99"/>
        <v>9450</v>
      </c>
      <c r="AF318" s="10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467</v>
      </c>
      <c r="AR318" s="11">
        <v>2250</v>
      </c>
      <c r="AU318" s="11">
        <f ca="1">IFERROR(OFFSET(ITEM_RES!$A$1,MATCH(AV318,ITEM_RES!$J:$J,0)-1,0),0)</f>
        <v>212040001</v>
      </c>
      <c r="AV318" s="10" t="s">
        <v>470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112040015</v>
      </c>
      <c r="B319" s="13">
        <v>11</v>
      </c>
      <c r="C319" s="12">
        <f t="shared" si="103"/>
        <v>2</v>
      </c>
      <c r="D319" s="13">
        <v>4</v>
      </c>
      <c r="E319" s="13">
        <v>0</v>
      </c>
      <c r="F319" s="12">
        <f t="shared" si="104"/>
        <v>15</v>
      </c>
      <c r="H319" s="9">
        <v>2</v>
      </c>
      <c r="I319" s="9">
        <v>15</v>
      </c>
      <c r="K319" s="9" t="s">
        <v>375</v>
      </c>
      <c r="L319" s="9">
        <v>1</v>
      </c>
      <c r="M319" s="9">
        <v>15</v>
      </c>
      <c r="R319" s="9">
        <v>333</v>
      </c>
      <c r="T319" s="86" t="s">
        <v>616</v>
      </c>
      <c r="U319" s="9">
        <f ca="1">IFERROR(OFFSET(ITEM_RES!$A$5,MATCH(BUILDING!T319,ITEM_RES!$J$5:$J$231,0)-1,0),0)</f>
        <v>212030001</v>
      </c>
      <c r="V319" s="11">
        <v>2</v>
      </c>
      <c r="W319" s="86" t="s">
        <v>611</v>
      </c>
      <c r="X319" s="9">
        <f ca="1">IFERROR(OFFSET(ITEM_RES!$A$5,MATCH(BUILDING!W319,ITEM_RES!$J$5:$J$231,0)-1,0),0)</f>
        <v>215040001</v>
      </c>
      <c r="Z319" s="9" t="s">
        <v>588</v>
      </c>
      <c r="AA319" s="9">
        <v>15</v>
      </c>
      <c r="AC319" s="9">
        <v>44000</v>
      </c>
      <c r="AE319" s="56">
        <f t="shared" si="99"/>
        <v>11550</v>
      </c>
      <c r="AF319" s="10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467</v>
      </c>
      <c r="AR319" s="11">
        <v>2750</v>
      </c>
      <c r="AU319" s="11">
        <f ca="1">IFERROR(OFFSET(ITEM_RES!$A$1,MATCH(AV319,ITEM_RES!$J:$J,0)-1,0),0)</f>
        <v>212040001</v>
      </c>
      <c r="AV319" s="10" t="s">
        <v>470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112040016</v>
      </c>
      <c r="B320" s="13">
        <v>11</v>
      </c>
      <c r="C320" s="12">
        <f t="shared" si="103"/>
        <v>2</v>
      </c>
      <c r="D320" s="13">
        <v>4</v>
      </c>
      <c r="E320" s="13">
        <v>0</v>
      </c>
      <c r="F320" s="12">
        <f t="shared" si="104"/>
        <v>16</v>
      </c>
      <c r="H320" s="9">
        <v>2</v>
      </c>
      <c r="I320" s="9">
        <v>16</v>
      </c>
      <c r="K320" s="9" t="s">
        <v>375</v>
      </c>
      <c r="L320" s="9">
        <v>0</v>
      </c>
      <c r="M320" s="9">
        <v>15</v>
      </c>
      <c r="R320" s="9">
        <v>333</v>
      </c>
      <c r="T320" s="86" t="s">
        <v>616</v>
      </c>
      <c r="U320" s="9">
        <f ca="1">IFERROR(OFFSET(ITEM_RES!$A$5,MATCH(BUILDING!T320,ITEM_RES!$J$5:$J$231,0)-1,0),0)</f>
        <v>212030001</v>
      </c>
      <c r="V320" s="11">
        <v>2</v>
      </c>
      <c r="W320" s="86" t="s">
        <v>611</v>
      </c>
      <c r="X320" s="9">
        <f ca="1">IFERROR(OFFSET(ITEM_RES!$A$5,MATCH(BUILDING!W320,ITEM_RES!$J$5:$J$231,0)-1,0),0)</f>
        <v>215040001</v>
      </c>
      <c r="Z320" s="9" t="s">
        <v>588</v>
      </c>
      <c r="AA320" s="9">
        <v>16</v>
      </c>
      <c r="AC320" s="9">
        <v>56000</v>
      </c>
      <c r="AE320" s="56">
        <f t="shared" si="99"/>
        <v>14700</v>
      </c>
      <c r="AF320" s="10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467</v>
      </c>
      <c r="AR320" s="11">
        <v>3500</v>
      </c>
      <c r="AU320" s="11">
        <f ca="1">IFERROR(OFFSET(ITEM_RES!$A$1,MATCH(AV320,ITEM_RES!$J:$J,0)-1,0),0)</f>
        <v>212040001</v>
      </c>
      <c r="AV320" s="10" t="s">
        <v>470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112040017</v>
      </c>
      <c r="B321" s="13">
        <v>11</v>
      </c>
      <c r="C321" s="12">
        <f t="shared" si="103"/>
        <v>2</v>
      </c>
      <c r="D321" s="13">
        <v>4</v>
      </c>
      <c r="E321" s="13">
        <v>0</v>
      </c>
      <c r="F321" s="12">
        <f t="shared" si="104"/>
        <v>17</v>
      </c>
      <c r="H321" s="9">
        <v>2</v>
      </c>
      <c r="I321" s="9">
        <v>17</v>
      </c>
      <c r="K321" s="9" t="s">
        <v>375</v>
      </c>
      <c r="L321" s="9">
        <v>0</v>
      </c>
      <c r="M321" s="9">
        <v>15</v>
      </c>
      <c r="R321" s="9">
        <v>333</v>
      </c>
      <c r="T321" s="86" t="s">
        <v>616</v>
      </c>
      <c r="U321" s="9">
        <f ca="1">IFERROR(OFFSET(ITEM_RES!$A$5,MATCH(BUILDING!T321,ITEM_RES!$J$5:$J$231,0)-1,0),0)</f>
        <v>212030001</v>
      </c>
      <c r="V321" s="11">
        <v>2</v>
      </c>
      <c r="W321" s="86" t="s">
        <v>611</v>
      </c>
      <c r="X321" s="9">
        <f ca="1">IFERROR(OFFSET(ITEM_RES!$A$5,MATCH(BUILDING!W321,ITEM_RES!$J$5:$J$231,0)-1,0),0)</f>
        <v>215040001</v>
      </c>
      <c r="Z321" s="9" t="s">
        <v>588</v>
      </c>
      <c r="AA321" s="9">
        <v>17</v>
      </c>
      <c r="AC321" s="9">
        <v>68000</v>
      </c>
      <c r="AE321" s="56">
        <f t="shared" si="99"/>
        <v>17850</v>
      </c>
      <c r="AF321" s="10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467</v>
      </c>
      <c r="AR321" s="11">
        <v>4250</v>
      </c>
      <c r="AU321" s="11">
        <f ca="1">IFERROR(OFFSET(ITEM_RES!$A$1,MATCH(AV321,ITEM_RES!$J:$J,0)-1,0),0)</f>
        <v>212040001</v>
      </c>
      <c r="AV321" s="10" t="s">
        <v>470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112040018</v>
      </c>
      <c r="B322" s="13">
        <v>11</v>
      </c>
      <c r="C322" s="12">
        <f t="shared" si="103"/>
        <v>2</v>
      </c>
      <c r="D322" s="13">
        <v>4</v>
      </c>
      <c r="E322" s="13">
        <v>0</v>
      </c>
      <c r="F322" s="12">
        <f t="shared" si="104"/>
        <v>18</v>
      </c>
      <c r="H322" s="9">
        <v>2</v>
      </c>
      <c r="I322" s="9">
        <v>18</v>
      </c>
      <c r="K322" s="9" t="s">
        <v>375</v>
      </c>
      <c r="L322" s="9">
        <v>0</v>
      </c>
      <c r="M322" s="9">
        <v>15</v>
      </c>
      <c r="R322" s="9">
        <v>333</v>
      </c>
      <c r="T322" s="86" t="s">
        <v>616</v>
      </c>
      <c r="U322" s="9">
        <f ca="1">IFERROR(OFFSET(ITEM_RES!$A$5,MATCH(BUILDING!T322,ITEM_RES!$J$5:$J$231,0)-1,0),0)</f>
        <v>212030001</v>
      </c>
      <c r="V322" s="11">
        <v>2</v>
      </c>
      <c r="W322" s="86" t="s">
        <v>611</v>
      </c>
      <c r="X322" s="9">
        <f ca="1">IFERROR(OFFSET(ITEM_RES!$A$5,MATCH(BUILDING!W322,ITEM_RES!$J$5:$J$231,0)-1,0),0)</f>
        <v>215040001</v>
      </c>
      <c r="Z322" s="9" t="s">
        <v>588</v>
      </c>
      <c r="AA322" s="9">
        <v>18</v>
      </c>
      <c r="AC322" s="9">
        <v>84000</v>
      </c>
      <c r="AE322" s="56">
        <f t="shared" si="99"/>
        <v>22050</v>
      </c>
      <c r="AF322" s="10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467</v>
      </c>
      <c r="AR322" s="11">
        <v>5250</v>
      </c>
      <c r="AU322" s="11">
        <f ca="1">IFERROR(OFFSET(ITEM_RES!$A$1,MATCH(AV322,ITEM_RES!$J:$J,0)-1,0),0)</f>
        <v>212040001</v>
      </c>
      <c r="AV322" s="10" t="s">
        <v>470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112040019</v>
      </c>
      <c r="B323" s="13">
        <v>11</v>
      </c>
      <c r="C323" s="12">
        <f t="shared" si="103"/>
        <v>2</v>
      </c>
      <c r="D323" s="13">
        <v>4</v>
      </c>
      <c r="E323" s="13">
        <v>0</v>
      </c>
      <c r="F323" s="12">
        <f t="shared" si="104"/>
        <v>19</v>
      </c>
      <c r="H323" s="9">
        <v>2</v>
      </c>
      <c r="I323" s="9">
        <v>19</v>
      </c>
      <c r="K323" s="9" t="s">
        <v>375</v>
      </c>
      <c r="L323" s="9">
        <v>0</v>
      </c>
      <c r="M323" s="9">
        <v>15</v>
      </c>
      <c r="R323" s="9">
        <v>333</v>
      </c>
      <c r="T323" s="86" t="s">
        <v>616</v>
      </c>
      <c r="U323" s="9">
        <f ca="1">IFERROR(OFFSET(ITEM_RES!$A$5,MATCH(BUILDING!T323,ITEM_RES!$J$5:$J$231,0)-1,0),0)</f>
        <v>212030001</v>
      </c>
      <c r="V323" s="11">
        <v>2</v>
      </c>
      <c r="W323" s="86" t="s">
        <v>611</v>
      </c>
      <c r="X323" s="9">
        <f ca="1">IFERROR(OFFSET(ITEM_RES!$A$5,MATCH(BUILDING!W323,ITEM_RES!$J$5:$J$231,0)-1,0),0)</f>
        <v>215040001</v>
      </c>
      <c r="Z323" s="9" t="s">
        <v>588</v>
      </c>
      <c r="AA323" s="9">
        <v>19</v>
      </c>
      <c r="AC323" s="9">
        <v>100000</v>
      </c>
      <c r="AE323" s="56">
        <f t="shared" si="99"/>
        <v>26250</v>
      </c>
      <c r="AF323" s="10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467</v>
      </c>
      <c r="AR323" s="11">
        <v>6250</v>
      </c>
      <c r="AU323" s="11">
        <f ca="1">IFERROR(OFFSET(ITEM_RES!$A$1,MATCH(AV323,ITEM_RES!$J:$J,0)-1,0),0)</f>
        <v>212040001</v>
      </c>
      <c r="AV323" s="10" t="s">
        <v>470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112040020</v>
      </c>
      <c r="B324" s="13">
        <v>11</v>
      </c>
      <c r="C324" s="12">
        <f t="shared" si="103"/>
        <v>2</v>
      </c>
      <c r="D324" s="13">
        <v>4</v>
      </c>
      <c r="E324" s="13">
        <v>0</v>
      </c>
      <c r="F324" s="12">
        <f t="shared" si="104"/>
        <v>20</v>
      </c>
      <c r="H324" s="9">
        <v>2</v>
      </c>
      <c r="I324" s="9">
        <v>20</v>
      </c>
      <c r="K324" s="9" t="s">
        <v>375</v>
      </c>
      <c r="L324" s="9">
        <v>0</v>
      </c>
      <c r="M324" s="9">
        <v>15</v>
      </c>
      <c r="R324" s="9">
        <v>333</v>
      </c>
      <c r="T324" s="86" t="s">
        <v>616</v>
      </c>
      <c r="U324" s="9">
        <f ca="1">IFERROR(OFFSET(ITEM_RES!$A$5,MATCH(BUILDING!T324,ITEM_RES!$J$5:$J$231,0)-1,0),0)</f>
        <v>212030001</v>
      </c>
      <c r="V324" s="11">
        <v>2</v>
      </c>
      <c r="W324" s="86" t="s">
        <v>611</v>
      </c>
      <c r="X324" s="9">
        <f ca="1">IFERROR(OFFSET(ITEM_RES!$A$5,MATCH(BUILDING!W324,ITEM_RES!$J$5:$J$231,0)-1,0),0)</f>
        <v>215040001</v>
      </c>
      <c r="Z324" s="9" t="s">
        <v>588</v>
      </c>
      <c r="AA324" s="9">
        <v>20</v>
      </c>
      <c r="AC324" s="9">
        <v>120000</v>
      </c>
      <c r="AE324" s="56">
        <f t="shared" si="99"/>
        <v>31500</v>
      </c>
      <c r="AF324" s="10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467</v>
      </c>
      <c r="AR324" s="11">
        <v>7500</v>
      </c>
      <c r="AU324" s="11">
        <f ca="1">IFERROR(OFFSET(ITEM_RES!$A$1,MATCH(AV324,ITEM_RES!$J:$J,0)-1,0),0)</f>
        <v>212040001</v>
      </c>
      <c r="AV324" s="10" t="s">
        <v>470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112050001</v>
      </c>
      <c r="B325" s="20">
        <v>11</v>
      </c>
      <c r="C325" s="19">
        <f t="shared" si="103"/>
        <v>2</v>
      </c>
      <c r="D325" s="20">
        <v>5</v>
      </c>
      <c r="E325" s="20">
        <v>0</v>
      </c>
      <c r="F325" s="19">
        <f t="shared" si="104"/>
        <v>1</v>
      </c>
      <c r="G325" s="80"/>
      <c r="H325" s="16">
        <v>2</v>
      </c>
      <c r="I325" s="16">
        <v>1</v>
      </c>
      <c r="J325" s="80"/>
      <c r="K325" s="16" t="s">
        <v>377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617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415</v>
      </c>
      <c r="X325" s="16">
        <f ca="1">IFERROR(OFFSET(ITEM_RES!$A$5,MATCH(BUILDING!W325,ITEM_RES!$J$5:$J$231,0)-1,0),0)</f>
        <v>215050001</v>
      </c>
      <c r="Y325" s="80"/>
      <c r="Z325" s="16" t="s">
        <v>589</v>
      </c>
      <c r="AA325" s="16">
        <v>1</v>
      </c>
      <c r="AB325" s="80"/>
      <c r="AC325" s="16">
        <v>0</v>
      </c>
      <c r="AD325" s="80"/>
      <c r="AE325" s="57">
        <f t="shared" si="99"/>
        <v>605</v>
      </c>
      <c r="AF325" s="17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471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470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495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112050002</v>
      </c>
      <c r="B326" s="13">
        <v>11</v>
      </c>
      <c r="C326" s="12">
        <f t="shared" si="103"/>
        <v>2</v>
      </c>
      <c r="D326" s="13">
        <v>5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371</v>
      </c>
      <c r="L326" s="9">
        <v>1</v>
      </c>
      <c r="M326" s="9">
        <v>15</v>
      </c>
      <c r="R326" s="9">
        <v>444</v>
      </c>
      <c r="T326" s="86" t="s">
        <v>617</v>
      </c>
      <c r="U326" s="9">
        <f ca="1">IFERROR(OFFSET(ITEM_RES!$A$5,MATCH(BUILDING!T326,ITEM_RES!$J$5:$J$231,0)-1,0),0)</f>
        <v>212040001</v>
      </c>
      <c r="V326" s="11">
        <v>1</v>
      </c>
      <c r="W326" s="86" t="s">
        <v>415</v>
      </c>
      <c r="X326" s="9">
        <f ca="1">IFERROR(OFFSET(ITEM_RES!$A$5,MATCH(BUILDING!W326,ITEM_RES!$J$5:$J$231,0)-1,0),0)</f>
        <v>215050001</v>
      </c>
      <c r="Z326" s="9" t="s">
        <v>589</v>
      </c>
      <c r="AA326" s="9">
        <v>2</v>
      </c>
      <c r="AC326" s="9">
        <v>800</v>
      </c>
      <c r="AE326" s="56">
        <f t="shared" si="99"/>
        <v>210</v>
      </c>
      <c r="AF326" s="10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471</v>
      </c>
      <c r="AR326" s="11">
        <v>50</v>
      </c>
      <c r="AU326" s="11">
        <f ca="1">IFERROR(OFFSET(ITEM_RES!$A$1,MATCH(AV326,ITEM_RES!$J:$J,0)-1,0),0)</f>
        <v>212040001</v>
      </c>
      <c r="AV326" s="10" t="s">
        <v>470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112050003</v>
      </c>
      <c r="B327" s="13">
        <v>11</v>
      </c>
      <c r="C327" s="12">
        <f t="shared" si="103"/>
        <v>2</v>
      </c>
      <c r="D327" s="13">
        <v>5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371</v>
      </c>
      <c r="L327" s="9">
        <v>1</v>
      </c>
      <c r="M327" s="9">
        <v>15</v>
      </c>
      <c r="R327" s="9">
        <v>444</v>
      </c>
      <c r="T327" s="86" t="s">
        <v>617</v>
      </c>
      <c r="U327" s="9">
        <f ca="1">IFERROR(OFFSET(ITEM_RES!$A$5,MATCH(BUILDING!T327,ITEM_RES!$J$5:$J$231,0)-1,0),0)</f>
        <v>212040001</v>
      </c>
      <c r="V327" s="11">
        <v>1</v>
      </c>
      <c r="W327" s="86" t="s">
        <v>415</v>
      </c>
      <c r="X327" s="9">
        <f ca="1">IFERROR(OFFSET(ITEM_RES!$A$5,MATCH(BUILDING!W327,ITEM_RES!$J$5:$J$231,0)-1,0),0)</f>
        <v>215050001</v>
      </c>
      <c r="Z327" s="9" t="s">
        <v>589</v>
      </c>
      <c r="AA327" s="9">
        <v>3</v>
      </c>
      <c r="AC327" s="9">
        <v>1200</v>
      </c>
      <c r="AE327" s="56">
        <f t="shared" si="99"/>
        <v>315</v>
      </c>
      <c r="AF327" s="10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471</v>
      </c>
      <c r="AR327" s="11">
        <v>75</v>
      </c>
      <c r="AU327" s="11">
        <f ca="1">IFERROR(OFFSET(ITEM_RES!$A$1,MATCH(AV327,ITEM_RES!$J:$J,0)-1,0),0)</f>
        <v>212040001</v>
      </c>
      <c r="AV327" s="10" t="s">
        <v>470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112050004</v>
      </c>
      <c r="B328" s="13">
        <v>11</v>
      </c>
      <c r="C328" s="12">
        <f t="shared" si="103"/>
        <v>2</v>
      </c>
      <c r="D328" s="13">
        <v>5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371</v>
      </c>
      <c r="L328" s="9">
        <v>1</v>
      </c>
      <c r="M328" s="9">
        <v>15</v>
      </c>
      <c r="R328" s="9">
        <v>444</v>
      </c>
      <c r="T328" s="86" t="s">
        <v>617</v>
      </c>
      <c r="U328" s="9">
        <f ca="1">IFERROR(OFFSET(ITEM_RES!$A$5,MATCH(BUILDING!T328,ITEM_RES!$J$5:$J$231,0)-1,0),0)</f>
        <v>212040001</v>
      </c>
      <c r="V328" s="11">
        <v>1</v>
      </c>
      <c r="W328" s="86" t="s">
        <v>415</v>
      </c>
      <c r="X328" s="9">
        <f ca="1">IFERROR(OFFSET(ITEM_RES!$A$5,MATCH(BUILDING!W328,ITEM_RES!$J$5:$J$231,0)-1,0),0)</f>
        <v>215050001</v>
      </c>
      <c r="Z328" s="9" t="s">
        <v>589</v>
      </c>
      <c r="AA328" s="9">
        <v>4</v>
      </c>
      <c r="AC328" s="9">
        <v>2000</v>
      </c>
      <c r="AE328" s="56">
        <f t="shared" si="99"/>
        <v>525</v>
      </c>
      <c r="AF328" s="10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471</v>
      </c>
      <c r="AR328" s="11">
        <v>125</v>
      </c>
      <c r="AU328" s="11">
        <f ca="1">IFERROR(OFFSET(ITEM_RES!$A$1,MATCH(AV328,ITEM_RES!$J:$J,0)-1,0),0)</f>
        <v>212040001</v>
      </c>
      <c r="AV328" s="10" t="s">
        <v>470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112050005</v>
      </c>
      <c r="B329" s="13">
        <v>11</v>
      </c>
      <c r="C329" s="12">
        <f t="shared" si="103"/>
        <v>2</v>
      </c>
      <c r="D329" s="13">
        <v>5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371</v>
      </c>
      <c r="L329" s="9">
        <v>1</v>
      </c>
      <c r="M329" s="9">
        <v>15</v>
      </c>
      <c r="R329" s="9">
        <v>444</v>
      </c>
      <c r="T329" s="86" t="s">
        <v>617</v>
      </c>
      <c r="U329" s="9">
        <f ca="1">IFERROR(OFFSET(ITEM_RES!$A$5,MATCH(BUILDING!T329,ITEM_RES!$J$5:$J$231,0)-1,0),0)</f>
        <v>212040001</v>
      </c>
      <c r="V329" s="11">
        <v>1</v>
      </c>
      <c r="W329" s="86" t="s">
        <v>415</v>
      </c>
      <c r="X329" s="9">
        <f ca="1">IFERROR(OFFSET(ITEM_RES!$A$5,MATCH(BUILDING!W329,ITEM_RES!$J$5:$J$231,0)-1,0),0)</f>
        <v>215050001</v>
      </c>
      <c r="Z329" s="9" t="s">
        <v>589</v>
      </c>
      <c r="AA329" s="9">
        <v>5</v>
      </c>
      <c r="AC329" s="9">
        <v>3200</v>
      </c>
      <c r="AE329" s="56">
        <f t="shared" si="99"/>
        <v>840</v>
      </c>
      <c r="AF329" s="10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471</v>
      </c>
      <c r="AR329" s="11">
        <v>200</v>
      </c>
      <c r="AU329" s="11">
        <f ca="1">IFERROR(OFFSET(ITEM_RES!$A$1,MATCH(AV329,ITEM_RES!$J:$J,0)-1,0),0)</f>
        <v>212040001</v>
      </c>
      <c r="AV329" s="10" t="s">
        <v>470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112050006</v>
      </c>
      <c r="B330" s="13">
        <v>11</v>
      </c>
      <c r="C330" s="12">
        <f t="shared" si="103"/>
        <v>2</v>
      </c>
      <c r="D330" s="13">
        <v>5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371</v>
      </c>
      <c r="L330" s="9">
        <v>1</v>
      </c>
      <c r="M330" s="9">
        <v>15</v>
      </c>
      <c r="R330" s="9">
        <v>444</v>
      </c>
      <c r="T330" s="86" t="s">
        <v>617</v>
      </c>
      <c r="U330" s="9">
        <f ca="1">IFERROR(OFFSET(ITEM_RES!$A$5,MATCH(BUILDING!T330,ITEM_RES!$J$5:$J$231,0)-1,0),0)</f>
        <v>212040001</v>
      </c>
      <c r="V330" s="11">
        <v>1</v>
      </c>
      <c r="W330" s="86" t="s">
        <v>415</v>
      </c>
      <c r="X330" s="9">
        <f ca="1">IFERROR(OFFSET(ITEM_RES!$A$5,MATCH(BUILDING!W330,ITEM_RES!$J$5:$J$231,0)-1,0),0)</f>
        <v>215050001</v>
      </c>
      <c r="Z330" s="9" t="s">
        <v>589</v>
      </c>
      <c r="AA330" s="9">
        <v>6</v>
      </c>
      <c r="AC330" s="9">
        <v>4000</v>
      </c>
      <c r="AE330" s="56">
        <f t="shared" si="99"/>
        <v>1050</v>
      </c>
      <c r="AF330" s="10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471</v>
      </c>
      <c r="AR330" s="11">
        <v>250</v>
      </c>
      <c r="AU330" s="11">
        <f ca="1">IFERROR(OFFSET(ITEM_RES!$A$1,MATCH(AV330,ITEM_RES!$J:$J,0)-1,0),0)</f>
        <v>212040001</v>
      </c>
      <c r="AV330" s="10" t="s">
        <v>470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112050007</v>
      </c>
      <c r="B331" s="13">
        <v>11</v>
      </c>
      <c r="C331" s="12">
        <f t="shared" si="103"/>
        <v>2</v>
      </c>
      <c r="D331" s="13">
        <v>5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371</v>
      </c>
      <c r="L331" s="9">
        <v>1</v>
      </c>
      <c r="M331" s="9">
        <v>15</v>
      </c>
      <c r="R331" s="9">
        <v>444</v>
      </c>
      <c r="T331" s="86" t="s">
        <v>617</v>
      </c>
      <c r="U331" s="9">
        <f ca="1">IFERROR(OFFSET(ITEM_RES!$A$5,MATCH(BUILDING!T331,ITEM_RES!$J$5:$J$231,0)-1,0),0)</f>
        <v>212040001</v>
      </c>
      <c r="V331" s="11">
        <v>1</v>
      </c>
      <c r="W331" s="86" t="s">
        <v>415</v>
      </c>
      <c r="X331" s="9">
        <f ca="1">IFERROR(OFFSET(ITEM_RES!$A$5,MATCH(BUILDING!W331,ITEM_RES!$J$5:$J$231,0)-1,0),0)</f>
        <v>215050001</v>
      </c>
      <c r="Z331" s="9" t="s">
        <v>589</v>
      </c>
      <c r="AA331" s="9">
        <v>7</v>
      </c>
      <c r="AC331" s="9">
        <v>8000</v>
      </c>
      <c r="AE331" s="56">
        <f t="shared" si="99"/>
        <v>2600</v>
      </c>
      <c r="AF331" s="10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471</v>
      </c>
      <c r="AR331" s="11">
        <v>500</v>
      </c>
      <c r="AU331" s="11">
        <f ca="1">IFERROR(OFFSET(ITEM_RES!$A$1,MATCH(AV331,ITEM_RES!$J:$J,0)-1,0),0)</f>
        <v>212040001</v>
      </c>
      <c r="AV331" s="10" t="s">
        <v>470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509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112050008</v>
      </c>
      <c r="B332" s="13">
        <v>11</v>
      </c>
      <c r="C332" s="12">
        <f t="shared" si="103"/>
        <v>2</v>
      </c>
      <c r="D332" s="13">
        <v>5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371</v>
      </c>
      <c r="L332" s="9">
        <v>1</v>
      </c>
      <c r="M332" s="9">
        <v>15</v>
      </c>
      <c r="R332" s="9">
        <v>444</v>
      </c>
      <c r="T332" s="86" t="s">
        <v>617</v>
      </c>
      <c r="U332" s="9">
        <f ca="1">IFERROR(OFFSET(ITEM_RES!$A$5,MATCH(BUILDING!T332,ITEM_RES!$J$5:$J$231,0)-1,0),0)</f>
        <v>212040001</v>
      </c>
      <c r="V332" s="11">
        <v>1</v>
      </c>
      <c r="W332" s="86" t="s">
        <v>415</v>
      </c>
      <c r="X332" s="9">
        <f ca="1">IFERROR(OFFSET(ITEM_RES!$A$5,MATCH(BUILDING!W332,ITEM_RES!$J$5:$J$231,0)-1,0),0)</f>
        <v>215050001</v>
      </c>
      <c r="Z332" s="9" t="s">
        <v>589</v>
      </c>
      <c r="AA332" s="9">
        <v>8</v>
      </c>
      <c r="AC332" s="9">
        <v>8000</v>
      </c>
      <c r="AE332" s="56">
        <f t="shared" si="99"/>
        <v>2100</v>
      </c>
      <c r="AF332" s="10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471</v>
      </c>
      <c r="AR332" s="11">
        <v>500</v>
      </c>
      <c r="AU332" s="11">
        <f ca="1">IFERROR(OFFSET(ITEM_RES!$A$1,MATCH(AV332,ITEM_RES!$J:$J,0)-1,0),0)</f>
        <v>212040001</v>
      </c>
      <c r="AV332" s="10" t="s">
        <v>470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112050009</v>
      </c>
      <c r="B333" s="13">
        <v>11</v>
      </c>
      <c r="C333" s="12">
        <f t="shared" si="103"/>
        <v>2</v>
      </c>
      <c r="D333" s="13">
        <v>5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371</v>
      </c>
      <c r="L333" s="9">
        <v>1</v>
      </c>
      <c r="M333" s="9">
        <v>15</v>
      </c>
      <c r="R333" s="9">
        <v>444</v>
      </c>
      <c r="T333" s="86" t="s">
        <v>617</v>
      </c>
      <c r="U333" s="9">
        <f ca="1">IFERROR(OFFSET(ITEM_RES!$A$5,MATCH(BUILDING!T333,ITEM_RES!$J$5:$J$231,0)-1,0),0)</f>
        <v>212040001</v>
      </c>
      <c r="V333" s="11">
        <v>1</v>
      </c>
      <c r="W333" s="86" t="s">
        <v>415</v>
      </c>
      <c r="X333" s="9">
        <f ca="1">IFERROR(OFFSET(ITEM_RES!$A$5,MATCH(BUILDING!W333,ITEM_RES!$J$5:$J$231,0)-1,0),0)</f>
        <v>215050001</v>
      </c>
      <c r="Z333" s="9" t="s">
        <v>589</v>
      </c>
      <c r="AA333" s="9">
        <v>9</v>
      </c>
      <c r="AC333" s="9">
        <v>12000</v>
      </c>
      <c r="AE333" s="56">
        <f t="shared" si="99"/>
        <v>3150</v>
      </c>
      <c r="AF333" s="10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471</v>
      </c>
      <c r="AR333" s="11">
        <v>750</v>
      </c>
      <c r="AU333" s="11">
        <f ca="1">IFERROR(OFFSET(ITEM_RES!$A$1,MATCH(AV333,ITEM_RES!$J:$J,0)-1,0),0)</f>
        <v>212040001</v>
      </c>
      <c r="AV333" s="10" t="s">
        <v>470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112050010</v>
      </c>
      <c r="B334" s="13">
        <v>11</v>
      </c>
      <c r="C334" s="12">
        <f t="shared" si="103"/>
        <v>2</v>
      </c>
      <c r="D334" s="13">
        <v>5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371</v>
      </c>
      <c r="L334" s="9">
        <v>1</v>
      </c>
      <c r="M334" s="9">
        <v>15</v>
      </c>
      <c r="R334" s="9">
        <v>444</v>
      </c>
      <c r="T334" s="86" t="s">
        <v>617</v>
      </c>
      <c r="U334" s="9">
        <f ca="1">IFERROR(OFFSET(ITEM_RES!$A$5,MATCH(BUILDING!T334,ITEM_RES!$J$5:$J$231,0)-1,0),0)</f>
        <v>212040001</v>
      </c>
      <c r="V334" s="11">
        <v>1</v>
      </c>
      <c r="W334" s="86" t="s">
        <v>415</v>
      </c>
      <c r="X334" s="9">
        <f ca="1">IFERROR(OFFSET(ITEM_RES!$A$5,MATCH(BUILDING!W334,ITEM_RES!$J$5:$J$231,0)-1,0),0)</f>
        <v>215050001</v>
      </c>
      <c r="Z334" s="9" t="s">
        <v>589</v>
      </c>
      <c r="AA334" s="9">
        <v>10</v>
      </c>
      <c r="AC334" s="9">
        <v>16000</v>
      </c>
      <c r="AE334" s="56">
        <f t="shared" si="99"/>
        <v>4200</v>
      </c>
      <c r="AF334" s="10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471</v>
      </c>
      <c r="AR334" s="11">
        <v>1000</v>
      </c>
      <c r="AU334" s="11">
        <f ca="1">IFERROR(OFFSET(ITEM_RES!$A$1,MATCH(AV334,ITEM_RES!$J:$J,0)-1,0),0)</f>
        <v>212040001</v>
      </c>
      <c r="AV334" s="10" t="s">
        <v>470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112050011</v>
      </c>
      <c r="B335" s="13">
        <v>11</v>
      </c>
      <c r="C335" s="12">
        <f t="shared" si="103"/>
        <v>2</v>
      </c>
      <c r="D335" s="13">
        <v>5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371</v>
      </c>
      <c r="L335" s="9">
        <v>1</v>
      </c>
      <c r="M335" s="9">
        <v>15</v>
      </c>
      <c r="R335" s="9">
        <v>444</v>
      </c>
      <c r="T335" s="86" t="s">
        <v>617</v>
      </c>
      <c r="U335" s="9">
        <f ca="1">IFERROR(OFFSET(ITEM_RES!$A$5,MATCH(BUILDING!T335,ITEM_RES!$J$5:$J$231,0)-1,0),0)</f>
        <v>212040001</v>
      </c>
      <c r="V335" s="11">
        <v>1</v>
      </c>
      <c r="W335" s="86" t="s">
        <v>415</v>
      </c>
      <c r="X335" s="9">
        <f ca="1">IFERROR(OFFSET(ITEM_RES!$A$5,MATCH(BUILDING!W335,ITEM_RES!$J$5:$J$231,0)-1,0),0)</f>
        <v>215050001</v>
      </c>
      <c r="Z335" s="9" t="s">
        <v>589</v>
      </c>
      <c r="AA335" s="9">
        <v>11</v>
      </c>
      <c r="AC335" s="9">
        <v>20000</v>
      </c>
      <c r="AE335" s="56">
        <f t="shared" si="99"/>
        <v>5250</v>
      </c>
      <c r="AF335" s="10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471</v>
      </c>
      <c r="AR335" s="11">
        <v>1250</v>
      </c>
      <c r="AU335" s="11">
        <f ca="1">IFERROR(OFFSET(ITEM_RES!$A$1,MATCH(AV335,ITEM_RES!$J:$J,0)-1,0),0)</f>
        <v>212040001</v>
      </c>
      <c r="AV335" s="10" t="s">
        <v>470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112050012</v>
      </c>
      <c r="B336" s="13">
        <v>11</v>
      </c>
      <c r="C336" s="12">
        <f t="shared" si="103"/>
        <v>2</v>
      </c>
      <c r="D336" s="13">
        <v>5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371</v>
      </c>
      <c r="L336" s="9">
        <v>1</v>
      </c>
      <c r="M336" s="9">
        <v>15</v>
      </c>
      <c r="R336" s="9">
        <v>444</v>
      </c>
      <c r="T336" s="86" t="s">
        <v>617</v>
      </c>
      <c r="U336" s="9">
        <f ca="1">IFERROR(OFFSET(ITEM_RES!$A$5,MATCH(BUILDING!T336,ITEM_RES!$J$5:$J$231,0)-1,0),0)</f>
        <v>212040001</v>
      </c>
      <c r="V336" s="11">
        <v>1</v>
      </c>
      <c r="W336" s="86" t="s">
        <v>415</v>
      </c>
      <c r="X336" s="9">
        <f ca="1">IFERROR(OFFSET(ITEM_RES!$A$5,MATCH(BUILDING!W336,ITEM_RES!$J$5:$J$231,0)-1,0),0)</f>
        <v>215050001</v>
      </c>
      <c r="Z336" s="9" t="s">
        <v>589</v>
      </c>
      <c r="AA336" s="9">
        <v>12</v>
      </c>
      <c r="AC336" s="9">
        <v>24000</v>
      </c>
      <c r="AE336" s="56">
        <f t="shared" si="99"/>
        <v>6300</v>
      </c>
      <c r="AF336" s="10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467</v>
      </c>
      <c r="AR336" s="11">
        <v>1500</v>
      </c>
      <c r="AU336" s="11">
        <f ca="1">IFERROR(OFFSET(ITEM_RES!$A$1,MATCH(AV336,ITEM_RES!$J:$J,0)-1,0),0)</f>
        <v>212040001</v>
      </c>
      <c r="AV336" s="10" t="s">
        <v>470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112050013</v>
      </c>
      <c r="B337" s="13">
        <v>11</v>
      </c>
      <c r="C337" s="12">
        <f t="shared" si="103"/>
        <v>2</v>
      </c>
      <c r="D337" s="13">
        <v>5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371</v>
      </c>
      <c r="L337" s="9">
        <v>1</v>
      </c>
      <c r="M337" s="9">
        <v>15</v>
      </c>
      <c r="R337" s="9">
        <v>444</v>
      </c>
      <c r="T337" s="86" t="s">
        <v>617</v>
      </c>
      <c r="U337" s="9">
        <f ca="1">IFERROR(OFFSET(ITEM_RES!$A$5,MATCH(BUILDING!T337,ITEM_RES!$J$5:$J$231,0)-1,0),0)</f>
        <v>212040001</v>
      </c>
      <c r="V337" s="11">
        <v>1</v>
      </c>
      <c r="W337" s="86" t="s">
        <v>415</v>
      </c>
      <c r="X337" s="9">
        <f ca="1">IFERROR(OFFSET(ITEM_RES!$A$5,MATCH(BUILDING!W337,ITEM_RES!$J$5:$J$231,0)-1,0),0)</f>
        <v>215050001</v>
      </c>
      <c r="Z337" s="9" t="s">
        <v>589</v>
      </c>
      <c r="AA337" s="9">
        <v>13</v>
      </c>
      <c r="AC337" s="9">
        <v>28000</v>
      </c>
      <c r="AE337" s="56">
        <f t="shared" si="99"/>
        <v>7350</v>
      </c>
      <c r="AF337" s="10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467</v>
      </c>
      <c r="AR337" s="11">
        <v>1750</v>
      </c>
      <c r="AU337" s="11">
        <f ca="1">IFERROR(OFFSET(ITEM_RES!$A$1,MATCH(AV337,ITEM_RES!$J:$J,0)-1,0),0)</f>
        <v>212040001</v>
      </c>
      <c r="AV337" s="10" t="s">
        <v>470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112050014</v>
      </c>
      <c r="B338" s="13">
        <v>11</v>
      </c>
      <c r="C338" s="12">
        <f t="shared" si="103"/>
        <v>2</v>
      </c>
      <c r="D338" s="13">
        <v>5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371</v>
      </c>
      <c r="L338" s="9">
        <v>1</v>
      </c>
      <c r="M338" s="9">
        <v>15</v>
      </c>
      <c r="R338" s="9">
        <v>444</v>
      </c>
      <c r="T338" s="86" t="s">
        <v>617</v>
      </c>
      <c r="U338" s="9">
        <f ca="1">IFERROR(OFFSET(ITEM_RES!$A$5,MATCH(BUILDING!T338,ITEM_RES!$J$5:$J$231,0)-1,0),0)</f>
        <v>212040001</v>
      </c>
      <c r="V338" s="11">
        <v>1</v>
      </c>
      <c r="W338" s="86" t="s">
        <v>415</v>
      </c>
      <c r="X338" s="9">
        <f ca="1">IFERROR(OFFSET(ITEM_RES!$A$5,MATCH(BUILDING!W338,ITEM_RES!$J$5:$J$231,0)-1,0),0)</f>
        <v>215050001</v>
      </c>
      <c r="Z338" s="9" t="s">
        <v>589</v>
      </c>
      <c r="AA338" s="9">
        <v>14</v>
      </c>
      <c r="AC338" s="9">
        <v>36000</v>
      </c>
      <c r="AE338" s="56">
        <f t="shared" si="99"/>
        <v>9450</v>
      </c>
      <c r="AF338" s="10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467</v>
      </c>
      <c r="AR338" s="11">
        <v>2250</v>
      </c>
      <c r="AU338" s="11">
        <f ca="1">IFERROR(OFFSET(ITEM_RES!$A$1,MATCH(AV338,ITEM_RES!$J:$J,0)-1,0),0)</f>
        <v>212040001</v>
      </c>
      <c r="AV338" s="10" t="s">
        <v>470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112050015</v>
      </c>
      <c r="B339" s="13">
        <v>11</v>
      </c>
      <c r="C339" s="12">
        <f t="shared" si="103"/>
        <v>2</v>
      </c>
      <c r="D339" s="13">
        <v>5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371</v>
      </c>
      <c r="L339" s="9">
        <v>1</v>
      </c>
      <c r="M339" s="9">
        <v>15</v>
      </c>
      <c r="R339" s="9">
        <v>444</v>
      </c>
      <c r="T339" s="86" t="s">
        <v>617</v>
      </c>
      <c r="U339" s="9">
        <f ca="1">IFERROR(OFFSET(ITEM_RES!$A$5,MATCH(BUILDING!T339,ITEM_RES!$J$5:$J$231,0)-1,0),0)</f>
        <v>212040001</v>
      </c>
      <c r="V339" s="11">
        <v>1</v>
      </c>
      <c r="W339" s="86" t="s">
        <v>415</v>
      </c>
      <c r="X339" s="9">
        <f ca="1">IFERROR(OFFSET(ITEM_RES!$A$5,MATCH(BUILDING!W339,ITEM_RES!$J$5:$J$231,0)-1,0),0)</f>
        <v>215050001</v>
      </c>
      <c r="Z339" s="9" t="s">
        <v>589</v>
      </c>
      <c r="AA339" s="9">
        <v>15</v>
      </c>
      <c r="AC339" s="9">
        <v>44000</v>
      </c>
      <c r="AE339" s="56">
        <f t="shared" si="99"/>
        <v>11550</v>
      </c>
      <c r="AF339" s="10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467</v>
      </c>
      <c r="AR339" s="11">
        <v>2750</v>
      </c>
      <c r="AU339" s="11">
        <f ca="1">IFERROR(OFFSET(ITEM_RES!$A$1,MATCH(AV339,ITEM_RES!$J:$J,0)-1,0),0)</f>
        <v>212040001</v>
      </c>
      <c r="AV339" s="10" t="s">
        <v>470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112050016</v>
      </c>
      <c r="B340" s="13">
        <v>11</v>
      </c>
      <c r="C340" s="12">
        <f t="shared" si="103"/>
        <v>2</v>
      </c>
      <c r="D340" s="13">
        <v>5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371</v>
      </c>
      <c r="L340" s="9">
        <v>0</v>
      </c>
      <c r="M340" s="9">
        <v>15</v>
      </c>
      <c r="R340" s="9">
        <v>444</v>
      </c>
      <c r="T340" s="86" t="s">
        <v>617</v>
      </c>
      <c r="U340" s="9">
        <f ca="1">IFERROR(OFFSET(ITEM_RES!$A$5,MATCH(BUILDING!T340,ITEM_RES!$J$5:$J$231,0)-1,0),0)</f>
        <v>212040001</v>
      </c>
      <c r="V340" s="11">
        <v>1</v>
      </c>
      <c r="W340" s="86" t="s">
        <v>415</v>
      </c>
      <c r="X340" s="9">
        <f ca="1">IFERROR(OFFSET(ITEM_RES!$A$5,MATCH(BUILDING!W340,ITEM_RES!$J$5:$J$231,0)-1,0),0)</f>
        <v>215050001</v>
      </c>
      <c r="Z340" s="9" t="s">
        <v>589</v>
      </c>
      <c r="AA340" s="9">
        <v>16</v>
      </c>
      <c r="AC340" s="9">
        <v>56000</v>
      </c>
      <c r="AE340" s="56">
        <f t="shared" si="99"/>
        <v>14700</v>
      </c>
      <c r="AF340" s="10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467</v>
      </c>
      <c r="AR340" s="11">
        <v>3500</v>
      </c>
      <c r="AU340" s="11">
        <f ca="1">IFERROR(OFFSET(ITEM_RES!$A$1,MATCH(AV340,ITEM_RES!$J:$J,0)-1,0),0)</f>
        <v>212040001</v>
      </c>
      <c r="AV340" s="10" t="s">
        <v>470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112050017</v>
      </c>
      <c r="B341" s="13">
        <v>11</v>
      </c>
      <c r="C341" s="12">
        <f t="shared" si="103"/>
        <v>2</v>
      </c>
      <c r="D341" s="13">
        <v>5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371</v>
      </c>
      <c r="L341" s="9">
        <v>0</v>
      </c>
      <c r="M341" s="9">
        <v>15</v>
      </c>
      <c r="R341" s="9">
        <v>444</v>
      </c>
      <c r="T341" s="86" t="s">
        <v>617</v>
      </c>
      <c r="U341" s="9">
        <f ca="1">IFERROR(OFFSET(ITEM_RES!$A$5,MATCH(BUILDING!T341,ITEM_RES!$J$5:$J$231,0)-1,0),0)</f>
        <v>212040001</v>
      </c>
      <c r="V341" s="11">
        <v>1</v>
      </c>
      <c r="W341" s="86" t="s">
        <v>415</v>
      </c>
      <c r="X341" s="9">
        <f ca="1">IFERROR(OFFSET(ITEM_RES!$A$5,MATCH(BUILDING!W341,ITEM_RES!$J$5:$J$231,0)-1,0),0)</f>
        <v>215050001</v>
      </c>
      <c r="Z341" s="9" t="s">
        <v>589</v>
      </c>
      <c r="AA341" s="9">
        <v>17</v>
      </c>
      <c r="AC341" s="9">
        <v>68000</v>
      </c>
      <c r="AE341" s="56">
        <f t="shared" si="99"/>
        <v>17850</v>
      </c>
      <c r="AF341" s="10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467</v>
      </c>
      <c r="AR341" s="11">
        <v>4250</v>
      </c>
      <c r="AU341" s="11">
        <f ca="1">IFERROR(OFFSET(ITEM_RES!$A$1,MATCH(AV341,ITEM_RES!$J:$J,0)-1,0),0)</f>
        <v>212040001</v>
      </c>
      <c r="AV341" s="10" t="s">
        <v>470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112050018</v>
      </c>
      <c r="B342" s="13">
        <v>11</v>
      </c>
      <c r="C342" s="12">
        <f t="shared" si="103"/>
        <v>2</v>
      </c>
      <c r="D342" s="13">
        <v>5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371</v>
      </c>
      <c r="L342" s="9">
        <v>0</v>
      </c>
      <c r="M342" s="9">
        <v>15</v>
      </c>
      <c r="R342" s="9">
        <v>444</v>
      </c>
      <c r="T342" s="86" t="s">
        <v>617</v>
      </c>
      <c r="U342" s="9">
        <f ca="1">IFERROR(OFFSET(ITEM_RES!$A$5,MATCH(BUILDING!T342,ITEM_RES!$J$5:$J$231,0)-1,0),0)</f>
        <v>212040001</v>
      </c>
      <c r="V342" s="11">
        <v>1</v>
      </c>
      <c r="W342" s="86" t="s">
        <v>415</v>
      </c>
      <c r="X342" s="9">
        <f ca="1">IFERROR(OFFSET(ITEM_RES!$A$5,MATCH(BUILDING!W342,ITEM_RES!$J$5:$J$231,0)-1,0),0)</f>
        <v>215050001</v>
      </c>
      <c r="Z342" s="9" t="s">
        <v>589</v>
      </c>
      <c r="AA342" s="9">
        <v>18</v>
      </c>
      <c r="AC342" s="9">
        <v>84000</v>
      </c>
      <c r="AE342" s="56">
        <f t="shared" si="99"/>
        <v>22050</v>
      </c>
      <c r="AF342" s="10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467</v>
      </c>
      <c r="AR342" s="11">
        <v>5250</v>
      </c>
      <c r="AU342" s="11">
        <f ca="1">IFERROR(OFFSET(ITEM_RES!$A$1,MATCH(AV342,ITEM_RES!$J:$J,0)-1,0),0)</f>
        <v>212040001</v>
      </c>
      <c r="AV342" s="10" t="s">
        <v>470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112050019</v>
      </c>
      <c r="B343" s="13">
        <v>11</v>
      </c>
      <c r="C343" s="12">
        <f t="shared" si="103"/>
        <v>2</v>
      </c>
      <c r="D343" s="13">
        <v>5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371</v>
      </c>
      <c r="L343" s="9">
        <v>0</v>
      </c>
      <c r="M343" s="9">
        <v>15</v>
      </c>
      <c r="R343" s="9">
        <v>444</v>
      </c>
      <c r="T343" s="86" t="s">
        <v>617</v>
      </c>
      <c r="U343" s="9">
        <f ca="1">IFERROR(OFFSET(ITEM_RES!$A$5,MATCH(BUILDING!T343,ITEM_RES!$J$5:$J$231,0)-1,0),0)</f>
        <v>212040001</v>
      </c>
      <c r="V343" s="11">
        <v>1</v>
      </c>
      <c r="W343" s="86" t="s">
        <v>415</v>
      </c>
      <c r="X343" s="9">
        <f ca="1">IFERROR(OFFSET(ITEM_RES!$A$5,MATCH(BUILDING!W343,ITEM_RES!$J$5:$J$231,0)-1,0),0)</f>
        <v>215050001</v>
      </c>
      <c r="Z343" s="9" t="s">
        <v>589</v>
      </c>
      <c r="AA343" s="9">
        <v>19</v>
      </c>
      <c r="AC343" s="9">
        <v>100000</v>
      </c>
      <c r="AE343" s="56">
        <f t="shared" si="99"/>
        <v>26250</v>
      </c>
      <c r="AF343" s="10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467</v>
      </c>
      <c r="AR343" s="11">
        <v>6250</v>
      </c>
      <c r="AU343" s="11">
        <f ca="1">IFERROR(OFFSET(ITEM_RES!$A$1,MATCH(AV343,ITEM_RES!$J:$J,0)-1,0),0)</f>
        <v>212040001</v>
      </c>
      <c r="AV343" s="10" t="s">
        <v>470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112050020</v>
      </c>
      <c r="B344" s="13">
        <v>11</v>
      </c>
      <c r="C344" s="12">
        <f t="shared" si="103"/>
        <v>2</v>
      </c>
      <c r="D344" s="13">
        <v>5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371</v>
      </c>
      <c r="L344" s="9">
        <v>0</v>
      </c>
      <c r="M344" s="9">
        <v>15</v>
      </c>
      <c r="R344" s="9">
        <v>444</v>
      </c>
      <c r="T344" s="86" t="s">
        <v>617</v>
      </c>
      <c r="U344" s="9">
        <f ca="1">IFERROR(OFFSET(ITEM_RES!$A$5,MATCH(BUILDING!T344,ITEM_RES!$J$5:$J$231,0)-1,0),0)</f>
        <v>212040001</v>
      </c>
      <c r="V344" s="11">
        <v>1</v>
      </c>
      <c r="W344" s="86" t="s">
        <v>415</v>
      </c>
      <c r="X344" s="9">
        <f ca="1">IFERROR(OFFSET(ITEM_RES!$A$5,MATCH(BUILDING!W344,ITEM_RES!$J$5:$J$231,0)-1,0),0)</f>
        <v>215050001</v>
      </c>
      <c r="Z344" s="9" t="s">
        <v>589</v>
      </c>
      <c r="AA344" s="9">
        <v>20</v>
      </c>
      <c r="AC344" s="9">
        <v>120000</v>
      </c>
      <c r="AE344" s="56">
        <f t="shared" si="99"/>
        <v>31500</v>
      </c>
      <c r="AF344" s="10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467</v>
      </c>
      <c r="AR344" s="11">
        <v>7500</v>
      </c>
      <c r="AU344" s="11">
        <f ca="1">IFERROR(OFFSET(ITEM_RES!$A$1,MATCH(AV344,ITEM_RES!$J:$J,0)-1,0),0)</f>
        <v>212040001</v>
      </c>
      <c r="AV344" s="10" t="s">
        <v>470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111090001</v>
      </c>
      <c r="B345" s="20">
        <v>11</v>
      </c>
      <c r="C345" s="19">
        <f t="shared" si="103"/>
        <v>1</v>
      </c>
      <c r="D345" s="20">
        <v>9</v>
      </c>
      <c r="E345" s="20">
        <v>0</v>
      </c>
      <c r="F345" s="19">
        <f t="shared" si="104"/>
        <v>1</v>
      </c>
      <c r="G345" s="80"/>
      <c r="H345" s="16">
        <v>1</v>
      </c>
      <c r="I345" s="16">
        <v>1</v>
      </c>
      <c r="J345" s="80"/>
      <c r="K345" s="16" t="s">
        <v>383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612</v>
      </c>
      <c r="X345" s="16">
        <f ca="1">IFERROR(OFFSET(ITEM_RES!$A$5,MATCH(BUILDING!W345,ITEM_RES!$J$5:$J$231,0)-1,0),0)</f>
        <v>211060001</v>
      </c>
      <c r="Y345" s="80"/>
      <c r="Z345" s="16" t="s">
        <v>590</v>
      </c>
      <c r="AA345" s="16">
        <v>1</v>
      </c>
      <c r="AB345" s="80"/>
      <c r="AC345" s="16">
        <v>0</v>
      </c>
      <c r="AD345" s="80"/>
      <c r="AE345" s="57">
        <f t="shared" si="99"/>
        <v>605</v>
      </c>
      <c r="AF345" s="17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461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488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495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111090002</v>
      </c>
      <c r="B346" s="13">
        <v>11</v>
      </c>
      <c r="C346" s="12">
        <f t="shared" si="103"/>
        <v>1</v>
      </c>
      <c r="D346" s="13">
        <v>9</v>
      </c>
      <c r="E346" s="13">
        <v>0</v>
      </c>
      <c r="F346" s="12">
        <f t="shared" si="104"/>
        <v>2</v>
      </c>
      <c r="H346" s="9">
        <v>1</v>
      </c>
      <c r="I346" s="9">
        <v>2</v>
      </c>
      <c r="K346" s="9" t="s">
        <v>383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612</v>
      </c>
      <c r="X346" s="9">
        <f ca="1">IFERROR(OFFSET(ITEM_RES!$A$5,MATCH(BUILDING!W346,ITEM_RES!$J$5:$J$231,0)-1,0),0)</f>
        <v>211060001</v>
      </c>
      <c r="Z346" s="9" t="s">
        <v>590</v>
      </c>
      <c r="AA346" s="9">
        <v>2</v>
      </c>
      <c r="AC346" s="9">
        <v>200</v>
      </c>
      <c r="AE346" s="56">
        <f t="shared" ref="AE346:AE389" si="109">AK346*10+AM346+AR346+AW346+500*BB346+500*BG346+500*BL346</f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461</v>
      </c>
      <c r="AR346" s="11">
        <v>50</v>
      </c>
      <c r="AU346" s="11">
        <f ca="1">IFERROR(OFFSET(ITEM_RES!$A$1,MATCH(AV346,ITEM_RES!$J:$J,0)-1,0),0)</f>
        <v>211040001</v>
      </c>
      <c r="AV346" s="10" t="s">
        <v>488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111090003</v>
      </c>
      <c r="B347" s="13">
        <v>11</v>
      </c>
      <c r="C347" s="12">
        <f t="shared" si="103"/>
        <v>1</v>
      </c>
      <c r="D347" s="13">
        <v>9</v>
      </c>
      <c r="E347" s="13">
        <v>0</v>
      </c>
      <c r="F347" s="12">
        <f t="shared" si="104"/>
        <v>3</v>
      </c>
      <c r="H347" s="9">
        <v>1</v>
      </c>
      <c r="I347" s="9">
        <v>3</v>
      </c>
      <c r="K347" s="9" t="s">
        <v>383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612</v>
      </c>
      <c r="X347" s="9">
        <f ca="1">IFERROR(OFFSET(ITEM_RES!$A$5,MATCH(BUILDING!W347,ITEM_RES!$J$5:$J$231,0)-1,0),0)</f>
        <v>211060001</v>
      </c>
      <c r="Z347" s="9" t="s">
        <v>590</v>
      </c>
      <c r="AA347" s="9">
        <v>3</v>
      </c>
      <c r="AC347" s="9">
        <v>600</v>
      </c>
      <c r="AE347" s="56">
        <f t="shared" si="109"/>
        <v>315</v>
      </c>
      <c r="AF347" s="10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461</v>
      </c>
      <c r="AR347" s="11">
        <v>75</v>
      </c>
      <c r="AU347" s="11">
        <f ca="1">IFERROR(OFFSET(ITEM_RES!$A$1,MATCH(AV347,ITEM_RES!$J:$J,0)-1,0),0)</f>
        <v>211040001</v>
      </c>
      <c r="AV347" s="10" t="s">
        <v>488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111090004</v>
      </c>
      <c r="B348" s="13">
        <v>11</v>
      </c>
      <c r="C348" s="12">
        <f t="shared" si="103"/>
        <v>1</v>
      </c>
      <c r="D348" s="13">
        <v>9</v>
      </c>
      <c r="E348" s="13">
        <v>0</v>
      </c>
      <c r="F348" s="12">
        <f t="shared" si="104"/>
        <v>4</v>
      </c>
      <c r="H348" s="9">
        <v>1</v>
      </c>
      <c r="I348" s="9">
        <v>4</v>
      </c>
      <c r="K348" s="9" t="s">
        <v>383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612</v>
      </c>
      <c r="X348" s="9">
        <f ca="1">IFERROR(OFFSET(ITEM_RES!$A$5,MATCH(BUILDING!W348,ITEM_RES!$J$5:$J$231,0)-1,0),0)</f>
        <v>211060001</v>
      </c>
      <c r="Z348" s="9" t="s">
        <v>590</v>
      </c>
      <c r="AA348" s="9">
        <v>4</v>
      </c>
      <c r="AC348" s="9">
        <v>1000</v>
      </c>
      <c r="AE348" s="56">
        <f t="shared" si="109"/>
        <v>525</v>
      </c>
      <c r="AF348" s="10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461</v>
      </c>
      <c r="AR348" s="11">
        <v>125</v>
      </c>
      <c r="AU348" s="11">
        <f ca="1">IFERROR(OFFSET(ITEM_RES!$A$1,MATCH(AV348,ITEM_RES!$J:$J,0)-1,0),0)</f>
        <v>211040001</v>
      </c>
      <c r="AV348" s="10" t="s">
        <v>488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111090005</v>
      </c>
      <c r="B349" s="13">
        <v>11</v>
      </c>
      <c r="C349" s="12">
        <f t="shared" si="103"/>
        <v>1</v>
      </c>
      <c r="D349" s="13">
        <v>9</v>
      </c>
      <c r="E349" s="13">
        <v>0</v>
      </c>
      <c r="F349" s="12">
        <f t="shared" si="104"/>
        <v>5</v>
      </c>
      <c r="H349" s="9">
        <v>1</v>
      </c>
      <c r="I349" s="9">
        <v>5</v>
      </c>
      <c r="K349" s="9" t="s">
        <v>383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612</v>
      </c>
      <c r="X349" s="9">
        <f ca="1">IFERROR(OFFSET(ITEM_RES!$A$5,MATCH(BUILDING!W349,ITEM_RES!$J$5:$J$231,0)-1,0),0)</f>
        <v>211060001</v>
      </c>
      <c r="Z349" s="9" t="s">
        <v>590</v>
      </c>
      <c r="AA349" s="9">
        <v>5</v>
      </c>
      <c r="AC349" s="9">
        <v>1600</v>
      </c>
      <c r="AE349" s="56">
        <f t="shared" si="109"/>
        <v>840</v>
      </c>
      <c r="AF349" s="10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461</v>
      </c>
      <c r="AR349" s="11">
        <v>200</v>
      </c>
      <c r="AU349" s="11">
        <f ca="1">IFERROR(OFFSET(ITEM_RES!$A$1,MATCH(AV349,ITEM_RES!$J:$J,0)-1,0),0)</f>
        <v>211040001</v>
      </c>
      <c r="AV349" s="10" t="s">
        <v>488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111090006</v>
      </c>
      <c r="B350" s="13">
        <v>11</v>
      </c>
      <c r="C350" s="12">
        <f t="shared" si="103"/>
        <v>1</v>
      </c>
      <c r="D350" s="13">
        <v>9</v>
      </c>
      <c r="E350" s="13">
        <v>0</v>
      </c>
      <c r="F350" s="12">
        <f t="shared" si="104"/>
        <v>6</v>
      </c>
      <c r="H350" s="9">
        <v>1</v>
      </c>
      <c r="I350" s="9">
        <v>6</v>
      </c>
      <c r="K350" s="9" t="s">
        <v>383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612</v>
      </c>
      <c r="X350" s="9">
        <f ca="1">IFERROR(OFFSET(ITEM_RES!$A$5,MATCH(BUILDING!W350,ITEM_RES!$J$5:$J$231,0)-1,0),0)</f>
        <v>211060001</v>
      </c>
      <c r="Z350" s="9" t="s">
        <v>590</v>
      </c>
      <c r="AA350" s="9">
        <v>6</v>
      </c>
      <c r="AC350" s="9">
        <v>2000</v>
      </c>
      <c r="AE350" s="56">
        <f t="shared" si="109"/>
        <v>1050</v>
      </c>
      <c r="AF350" s="10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461</v>
      </c>
      <c r="AR350" s="11">
        <v>250</v>
      </c>
      <c r="AU350" s="11">
        <f ca="1">IFERROR(OFFSET(ITEM_RES!$A$1,MATCH(AV350,ITEM_RES!$J:$J,0)-1,0),0)</f>
        <v>211040001</v>
      </c>
      <c r="AV350" s="10" t="s">
        <v>488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111090007</v>
      </c>
      <c r="B351" s="13">
        <v>11</v>
      </c>
      <c r="C351" s="12">
        <f t="shared" si="103"/>
        <v>1</v>
      </c>
      <c r="D351" s="13">
        <v>9</v>
      </c>
      <c r="E351" s="13">
        <v>0</v>
      </c>
      <c r="F351" s="12">
        <f t="shared" si="104"/>
        <v>7</v>
      </c>
      <c r="H351" s="9">
        <v>1</v>
      </c>
      <c r="I351" s="9">
        <v>7</v>
      </c>
      <c r="K351" s="9" t="s">
        <v>383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612</v>
      </c>
      <c r="X351" s="9">
        <f ca="1">IFERROR(OFFSET(ITEM_RES!$A$5,MATCH(BUILDING!W351,ITEM_RES!$J$5:$J$231,0)-1,0),0)</f>
        <v>211060001</v>
      </c>
      <c r="Z351" s="9" t="s">
        <v>590</v>
      </c>
      <c r="AA351" s="9">
        <v>7</v>
      </c>
      <c r="AC351" s="9">
        <v>4000</v>
      </c>
      <c r="AE351" s="56">
        <f t="shared" si="109"/>
        <v>2100</v>
      </c>
      <c r="AF351" s="10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461</v>
      </c>
      <c r="AR351" s="11">
        <v>500</v>
      </c>
      <c r="AU351" s="11">
        <f ca="1">IFERROR(OFFSET(ITEM_RES!$A$1,MATCH(AV351,ITEM_RES!$J:$J,0)-1,0),0)</f>
        <v>211040001</v>
      </c>
      <c r="AV351" s="10" t="s">
        <v>488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111090008</v>
      </c>
      <c r="B352" s="13">
        <v>11</v>
      </c>
      <c r="C352" s="12">
        <f t="shared" si="103"/>
        <v>1</v>
      </c>
      <c r="D352" s="13">
        <v>9</v>
      </c>
      <c r="E352" s="13">
        <v>0</v>
      </c>
      <c r="F352" s="12">
        <f t="shared" si="104"/>
        <v>8</v>
      </c>
      <c r="H352" s="9">
        <v>1</v>
      </c>
      <c r="I352" s="9">
        <v>8</v>
      </c>
      <c r="K352" s="9" t="s">
        <v>383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612</v>
      </c>
      <c r="X352" s="9">
        <f ca="1">IFERROR(OFFSET(ITEM_RES!$A$5,MATCH(BUILDING!W352,ITEM_RES!$J$5:$J$231,0)-1,0),0)</f>
        <v>211060001</v>
      </c>
      <c r="Z352" s="9" t="s">
        <v>590</v>
      </c>
      <c r="AA352" s="9">
        <v>8</v>
      </c>
      <c r="AC352" s="9">
        <v>4000</v>
      </c>
      <c r="AE352" s="56">
        <f t="shared" si="109"/>
        <v>2100</v>
      </c>
      <c r="AF352" s="10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461</v>
      </c>
      <c r="AR352" s="11">
        <v>500</v>
      </c>
      <c r="AU352" s="11">
        <f ca="1">IFERROR(OFFSET(ITEM_RES!$A$1,MATCH(AV352,ITEM_RES!$J:$J,0)-1,0),0)</f>
        <v>211040001</v>
      </c>
      <c r="AV352" s="10" t="s">
        <v>488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111090009</v>
      </c>
      <c r="B353" s="13">
        <v>11</v>
      </c>
      <c r="C353" s="12">
        <f t="shared" si="103"/>
        <v>1</v>
      </c>
      <c r="D353" s="13">
        <v>9</v>
      </c>
      <c r="E353" s="13">
        <v>0</v>
      </c>
      <c r="F353" s="12">
        <f t="shared" si="104"/>
        <v>9</v>
      </c>
      <c r="H353" s="9">
        <v>1</v>
      </c>
      <c r="I353" s="9">
        <v>9</v>
      </c>
      <c r="K353" s="9" t="s">
        <v>383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612</v>
      </c>
      <c r="X353" s="9">
        <f ca="1">IFERROR(OFFSET(ITEM_RES!$A$5,MATCH(BUILDING!W353,ITEM_RES!$J$5:$J$231,0)-1,0),0)</f>
        <v>211060001</v>
      </c>
      <c r="Z353" s="9" t="s">
        <v>590</v>
      </c>
      <c r="AA353" s="9">
        <v>9</v>
      </c>
      <c r="AC353" s="9">
        <v>6000</v>
      </c>
      <c r="AE353" s="56">
        <f t="shared" si="109"/>
        <v>3150</v>
      </c>
      <c r="AF353" s="10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461</v>
      </c>
      <c r="AR353" s="11">
        <v>750</v>
      </c>
      <c r="AU353" s="11">
        <f ca="1">IFERROR(OFFSET(ITEM_RES!$A$1,MATCH(AV353,ITEM_RES!$J:$J,0)-1,0),0)</f>
        <v>211040001</v>
      </c>
      <c r="AV353" s="10" t="s">
        <v>488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111090010</v>
      </c>
      <c r="B354" s="13">
        <v>11</v>
      </c>
      <c r="C354" s="12">
        <f t="shared" si="103"/>
        <v>1</v>
      </c>
      <c r="D354" s="13">
        <v>9</v>
      </c>
      <c r="E354" s="13">
        <v>0</v>
      </c>
      <c r="F354" s="12">
        <f t="shared" si="104"/>
        <v>10</v>
      </c>
      <c r="H354" s="9">
        <v>1</v>
      </c>
      <c r="I354" s="9">
        <v>10</v>
      </c>
      <c r="K354" s="9" t="s">
        <v>383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612</v>
      </c>
      <c r="X354" s="9">
        <f ca="1">IFERROR(OFFSET(ITEM_RES!$A$5,MATCH(BUILDING!W354,ITEM_RES!$J$5:$J$231,0)-1,0),0)</f>
        <v>211060001</v>
      </c>
      <c r="Z354" s="9" t="s">
        <v>590</v>
      </c>
      <c r="AA354" s="9">
        <v>10</v>
      </c>
      <c r="AC354" s="9">
        <v>8000</v>
      </c>
      <c r="AE354" s="56">
        <f t="shared" si="109"/>
        <v>4200</v>
      </c>
      <c r="AF354" s="10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461</v>
      </c>
      <c r="AR354" s="11">
        <v>1000</v>
      </c>
      <c r="AU354" s="11">
        <f ca="1">IFERROR(OFFSET(ITEM_RES!$A$1,MATCH(AV354,ITEM_RES!$J:$J,0)-1,0),0)</f>
        <v>211040001</v>
      </c>
      <c r="AV354" s="10" t="s">
        <v>488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111090011</v>
      </c>
      <c r="B355" s="13">
        <v>11</v>
      </c>
      <c r="C355" s="12">
        <f t="shared" si="103"/>
        <v>1</v>
      </c>
      <c r="D355" s="13">
        <v>9</v>
      </c>
      <c r="E355" s="13">
        <v>0</v>
      </c>
      <c r="F355" s="12">
        <f t="shared" si="104"/>
        <v>11</v>
      </c>
      <c r="H355" s="9">
        <v>1</v>
      </c>
      <c r="I355" s="9">
        <v>11</v>
      </c>
      <c r="K355" s="9" t="s">
        <v>383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612</v>
      </c>
      <c r="X355" s="9">
        <f ca="1">IFERROR(OFFSET(ITEM_RES!$A$5,MATCH(BUILDING!W355,ITEM_RES!$J$5:$J$231,0)-1,0),0)</f>
        <v>211060001</v>
      </c>
      <c r="Z355" s="9" t="s">
        <v>590</v>
      </c>
      <c r="AA355" s="9">
        <v>11</v>
      </c>
      <c r="AC355" s="9">
        <v>10000</v>
      </c>
      <c r="AE355" s="56">
        <f t="shared" si="109"/>
        <v>5250</v>
      </c>
      <c r="AF355" s="10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461</v>
      </c>
      <c r="AR355" s="11">
        <v>1250</v>
      </c>
      <c r="AU355" s="11">
        <f ca="1">IFERROR(OFFSET(ITEM_RES!$A$1,MATCH(AV355,ITEM_RES!$J:$J,0)-1,0),0)</f>
        <v>211040001</v>
      </c>
      <c r="AV355" s="10" t="s">
        <v>488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111090012</v>
      </c>
      <c r="B356" s="13">
        <v>11</v>
      </c>
      <c r="C356" s="12">
        <f t="shared" si="103"/>
        <v>1</v>
      </c>
      <c r="D356" s="13">
        <v>9</v>
      </c>
      <c r="E356" s="13">
        <v>0</v>
      </c>
      <c r="F356" s="12">
        <f t="shared" si="104"/>
        <v>12</v>
      </c>
      <c r="H356" s="9">
        <v>1</v>
      </c>
      <c r="I356" s="9">
        <v>12</v>
      </c>
      <c r="K356" s="9" t="s">
        <v>383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612</v>
      </c>
      <c r="X356" s="9">
        <f ca="1">IFERROR(OFFSET(ITEM_RES!$A$5,MATCH(BUILDING!W356,ITEM_RES!$J$5:$J$231,0)-1,0),0)</f>
        <v>211060001</v>
      </c>
      <c r="Z356" s="9" t="s">
        <v>590</v>
      </c>
      <c r="AA356" s="9">
        <v>12</v>
      </c>
      <c r="AC356" s="9">
        <v>12000</v>
      </c>
      <c r="AE356" s="56">
        <f t="shared" si="109"/>
        <v>6300</v>
      </c>
      <c r="AF356" s="10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461</v>
      </c>
      <c r="AR356" s="11">
        <v>1500</v>
      </c>
      <c r="AU356" s="11">
        <f ca="1">IFERROR(OFFSET(ITEM_RES!$A$1,MATCH(AV356,ITEM_RES!$J:$J,0)-1,0),0)</f>
        <v>211040001</v>
      </c>
      <c r="AV356" s="10" t="s">
        <v>488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111090013</v>
      </c>
      <c r="B357" s="13">
        <v>11</v>
      </c>
      <c r="C357" s="12">
        <f t="shared" si="103"/>
        <v>1</v>
      </c>
      <c r="D357" s="13">
        <v>9</v>
      </c>
      <c r="E357" s="13">
        <v>0</v>
      </c>
      <c r="F357" s="12">
        <f t="shared" si="104"/>
        <v>13</v>
      </c>
      <c r="H357" s="9">
        <v>1</v>
      </c>
      <c r="I357" s="9">
        <v>13</v>
      </c>
      <c r="K357" s="9" t="s">
        <v>383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612</v>
      </c>
      <c r="X357" s="9">
        <f ca="1">IFERROR(OFFSET(ITEM_RES!$A$5,MATCH(BUILDING!W357,ITEM_RES!$J$5:$J$231,0)-1,0),0)</f>
        <v>211060001</v>
      </c>
      <c r="Z357" s="9" t="s">
        <v>590</v>
      </c>
      <c r="AA357" s="9">
        <v>13</v>
      </c>
      <c r="AC357" s="9">
        <v>14000</v>
      </c>
      <c r="AE357" s="56">
        <f t="shared" si="109"/>
        <v>7350</v>
      </c>
      <c r="AF357" s="10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461</v>
      </c>
      <c r="AR357" s="11">
        <v>1750</v>
      </c>
      <c r="AU357" s="11">
        <f ca="1">IFERROR(OFFSET(ITEM_RES!$A$1,MATCH(AV357,ITEM_RES!$J:$J,0)-1,0),0)</f>
        <v>211040001</v>
      </c>
      <c r="AV357" s="10" t="s">
        <v>488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111090014</v>
      </c>
      <c r="B358" s="13">
        <v>11</v>
      </c>
      <c r="C358" s="12">
        <f t="shared" si="103"/>
        <v>1</v>
      </c>
      <c r="D358" s="13">
        <v>9</v>
      </c>
      <c r="E358" s="13">
        <v>0</v>
      </c>
      <c r="F358" s="12">
        <f t="shared" si="104"/>
        <v>14</v>
      </c>
      <c r="H358" s="9">
        <v>1</v>
      </c>
      <c r="I358" s="9">
        <v>14</v>
      </c>
      <c r="K358" s="9" t="s">
        <v>383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612</v>
      </c>
      <c r="X358" s="9">
        <f ca="1">IFERROR(OFFSET(ITEM_RES!$A$5,MATCH(BUILDING!W358,ITEM_RES!$J$5:$J$231,0)-1,0),0)</f>
        <v>211060001</v>
      </c>
      <c r="Z358" s="9" t="s">
        <v>590</v>
      </c>
      <c r="AA358" s="9">
        <v>14</v>
      </c>
      <c r="AC358" s="9">
        <v>18000</v>
      </c>
      <c r="AE358" s="56">
        <f t="shared" si="109"/>
        <v>9450</v>
      </c>
      <c r="AF358" s="10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461</v>
      </c>
      <c r="AR358" s="11">
        <v>2250</v>
      </c>
      <c r="AU358" s="11">
        <f ca="1">IFERROR(OFFSET(ITEM_RES!$A$1,MATCH(AV358,ITEM_RES!$J:$J,0)-1,0),0)</f>
        <v>211040001</v>
      </c>
      <c r="AV358" s="10" t="s">
        <v>488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111090015</v>
      </c>
      <c r="B359" s="13">
        <v>11</v>
      </c>
      <c r="C359" s="12">
        <f t="shared" si="103"/>
        <v>1</v>
      </c>
      <c r="D359" s="13">
        <v>9</v>
      </c>
      <c r="E359" s="13">
        <v>0</v>
      </c>
      <c r="F359" s="12">
        <f t="shared" si="104"/>
        <v>15</v>
      </c>
      <c r="H359" s="9">
        <v>1</v>
      </c>
      <c r="I359" s="9">
        <v>15</v>
      </c>
      <c r="K359" s="9" t="s">
        <v>383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612</v>
      </c>
      <c r="X359" s="9">
        <f ca="1">IFERROR(OFFSET(ITEM_RES!$A$5,MATCH(BUILDING!W359,ITEM_RES!$J$5:$J$231,0)-1,0),0)</f>
        <v>211060001</v>
      </c>
      <c r="Z359" s="9" t="s">
        <v>590</v>
      </c>
      <c r="AA359" s="9">
        <v>15</v>
      </c>
      <c r="AC359" s="9">
        <v>22000</v>
      </c>
      <c r="AE359" s="56">
        <f t="shared" si="109"/>
        <v>11550</v>
      </c>
      <c r="AF359" s="10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215010001</v>
      </c>
      <c r="AQ359" s="10" t="s">
        <v>478</v>
      </c>
      <c r="AR359" s="11">
        <v>2750</v>
      </c>
      <c r="AU359" s="11">
        <f ca="1">IFERROR(OFFSET(ITEM_RES!$A$1,MATCH(AV359,ITEM_RES!$J:$J,0)-1,0),0)</f>
        <v>211040001</v>
      </c>
      <c r="AV359" s="10" t="s">
        <v>488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111090016</v>
      </c>
      <c r="B360" s="13">
        <v>11</v>
      </c>
      <c r="C360" s="12">
        <f t="shared" si="103"/>
        <v>1</v>
      </c>
      <c r="D360" s="13">
        <v>9</v>
      </c>
      <c r="E360" s="13">
        <v>0</v>
      </c>
      <c r="F360" s="12">
        <f t="shared" si="104"/>
        <v>16</v>
      </c>
      <c r="H360" s="9">
        <v>1</v>
      </c>
      <c r="I360" s="9">
        <v>16</v>
      </c>
      <c r="K360" s="9" t="s">
        <v>383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612</v>
      </c>
      <c r="X360" s="9">
        <f ca="1">IFERROR(OFFSET(ITEM_RES!$A$5,MATCH(BUILDING!W360,ITEM_RES!$J$5:$J$231,0)-1,0),0)</f>
        <v>211060001</v>
      </c>
      <c r="Z360" s="9" t="s">
        <v>590</v>
      </c>
      <c r="AA360" s="9">
        <v>16</v>
      </c>
      <c r="AC360" s="9">
        <v>28000</v>
      </c>
      <c r="AE360" s="56">
        <f t="shared" si="109"/>
        <v>14700</v>
      </c>
      <c r="AF360" s="10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215010001</v>
      </c>
      <c r="AQ360" s="10" t="s">
        <v>478</v>
      </c>
      <c r="AR360" s="11">
        <v>3500</v>
      </c>
      <c r="AU360" s="11">
        <f ca="1">IFERROR(OFFSET(ITEM_RES!$A$1,MATCH(AV360,ITEM_RES!$J:$J,0)-1,0),0)</f>
        <v>211040001</v>
      </c>
      <c r="AV360" s="10" t="s">
        <v>488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111090017</v>
      </c>
      <c r="B361" s="13">
        <v>11</v>
      </c>
      <c r="C361" s="12">
        <f t="shared" si="103"/>
        <v>1</v>
      </c>
      <c r="D361" s="13">
        <v>9</v>
      </c>
      <c r="E361" s="13">
        <v>0</v>
      </c>
      <c r="F361" s="12">
        <f t="shared" si="104"/>
        <v>17</v>
      </c>
      <c r="H361" s="9">
        <v>1</v>
      </c>
      <c r="I361" s="9">
        <v>17</v>
      </c>
      <c r="K361" s="9" t="s">
        <v>383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612</v>
      </c>
      <c r="X361" s="9">
        <f ca="1">IFERROR(OFFSET(ITEM_RES!$A$5,MATCH(BUILDING!W361,ITEM_RES!$J$5:$J$231,0)-1,0),0)</f>
        <v>211060001</v>
      </c>
      <c r="Z361" s="9" t="s">
        <v>590</v>
      </c>
      <c r="AA361" s="9">
        <v>17</v>
      </c>
      <c r="AC361" s="9">
        <v>34000</v>
      </c>
      <c r="AE361" s="56">
        <f t="shared" si="109"/>
        <v>17850</v>
      </c>
      <c r="AF361" s="10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215010001</v>
      </c>
      <c r="AQ361" s="10" t="s">
        <v>478</v>
      </c>
      <c r="AR361" s="11">
        <v>4250</v>
      </c>
      <c r="AU361" s="11">
        <f ca="1">IFERROR(OFFSET(ITEM_RES!$A$1,MATCH(AV361,ITEM_RES!$J:$J,0)-1,0),0)</f>
        <v>211040001</v>
      </c>
      <c r="AV361" s="10" t="s">
        <v>488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111090018</v>
      </c>
      <c r="B362" s="13">
        <v>11</v>
      </c>
      <c r="C362" s="12">
        <f t="shared" si="103"/>
        <v>1</v>
      </c>
      <c r="D362" s="13">
        <v>9</v>
      </c>
      <c r="E362" s="13">
        <v>0</v>
      </c>
      <c r="F362" s="12">
        <f t="shared" si="104"/>
        <v>18</v>
      </c>
      <c r="H362" s="9">
        <v>1</v>
      </c>
      <c r="I362" s="9">
        <v>18</v>
      </c>
      <c r="K362" s="9" t="s">
        <v>383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612</v>
      </c>
      <c r="X362" s="9">
        <f ca="1">IFERROR(OFFSET(ITEM_RES!$A$5,MATCH(BUILDING!W362,ITEM_RES!$J$5:$J$231,0)-1,0),0)</f>
        <v>211060001</v>
      </c>
      <c r="Z362" s="9" t="s">
        <v>590</v>
      </c>
      <c r="AA362" s="9">
        <v>18</v>
      </c>
      <c r="AC362" s="9">
        <v>42000</v>
      </c>
      <c r="AE362" s="56">
        <f t="shared" si="109"/>
        <v>22050</v>
      </c>
      <c r="AF362" s="10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215010001</v>
      </c>
      <c r="AQ362" s="10" t="s">
        <v>478</v>
      </c>
      <c r="AR362" s="11">
        <v>5250</v>
      </c>
      <c r="AU362" s="11">
        <f ca="1">IFERROR(OFFSET(ITEM_RES!$A$1,MATCH(AV362,ITEM_RES!$J:$J,0)-1,0),0)</f>
        <v>211040001</v>
      </c>
      <c r="AV362" s="10" t="s">
        <v>488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111090019</v>
      </c>
      <c r="B363" s="13">
        <v>11</v>
      </c>
      <c r="C363" s="12">
        <f t="shared" si="103"/>
        <v>1</v>
      </c>
      <c r="D363" s="13">
        <v>9</v>
      </c>
      <c r="E363" s="13">
        <v>0</v>
      </c>
      <c r="F363" s="12">
        <f t="shared" si="104"/>
        <v>19</v>
      </c>
      <c r="H363" s="9">
        <v>1</v>
      </c>
      <c r="I363" s="9">
        <v>19</v>
      </c>
      <c r="K363" s="9" t="s">
        <v>383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612</v>
      </c>
      <c r="X363" s="9">
        <f ca="1">IFERROR(OFFSET(ITEM_RES!$A$5,MATCH(BUILDING!W363,ITEM_RES!$J$5:$J$231,0)-1,0),0)</f>
        <v>211060001</v>
      </c>
      <c r="Z363" s="9" t="s">
        <v>590</v>
      </c>
      <c r="AA363" s="9">
        <v>19</v>
      </c>
      <c r="AC363" s="9">
        <v>50000</v>
      </c>
      <c r="AE363" s="56">
        <f t="shared" si="109"/>
        <v>26250</v>
      </c>
      <c r="AF363" s="10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215010001</v>
      </c>
      <c r="AQ363" s="10" t="s">
        <v>478</v>
      </c>
      <c r="AR363" s="11">
        <v>6250</v>
      </c>
      <c r="AU363" s="11">
        <f ca="1">IFERROR(OFFSET(ITEM_RES!$A$1,MATCH(AV363,ITEM_RES!$J:$J,0)-1,0),0)</f>
        <v>211040001</v>
      </c>
      <c r="AV363" s="10" t="s">
        <v>488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111090020</v>
      </c>
      <c r="B364" s="13">
        <v>11</v>
      </c>
      <c r="C364" s="12">
        <f t="shared" si="103"/>
        <v>1</v>
      </c>
      <c r="D364" s="13">
        <v>9</v>
      </c>
      <c r="E364" s="13">
        <v>0</v>
      </c>
      <c r="F364" s="12">
        <f t="shared" si="104"/>
        <v>20</v>
      </c>
      <c r="H364" s="9">
        <v>1</v>
      </c>
      <c r="I364" s="9">
        <v>20</v>
      </c>
      <c r="K364" s="9" t="s">
        <v>383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612</v>
      </c>
      <c r="X364" s="9">
        <f ca="1">IFERROR(OFFSET(ITEM_RES!$A$5,MATCH(BUILDING!W364,ITEM_RES!$J$5:$J$231,0)-1,0),0)</f>
        <v>211060001</v>
      </c>
      <c r="Z364" s="9" t="s">
        <v>590</v>
      </c>
      <c r="AA364" s="9">
        <v>20</v>
      </c>
      <c r="AC364" s="9">
        <v>60000</v>
      </c>
      <c r="AE364" s="56">
        <f t="shared" si="109"/>
        <v>31500</v>
      </c>
      <c r="AF364" s="10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215010001</v>
      </c>
      <c r="AQ364" s="10" t="s">
        <v>478</v>
      </c>
      <c r="AR364" s="11">
        <v>7500</v>
      </c>
      <c r="AU364" s="11">
        <f ca="1">IFERROR(OFFSET(ITEM_RES!$A$1,MATCH(AV364,ITEM_RES!$J:$J,0)-1,0),0)</f>
        <v>211040001</v>
      </c>
      <c r="AV364" s="10" t="s">
        <v>488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112060001</v>
      </c>
      <c r="B365" s="20">
        <v>11</v>
      </c>
      <c r="C365" s="19">
        <f t="shared" ref="C365:C408" si="113">H365</f>
        <v>2</v>
      </c>
      <c r="D365" s="20">
        <v>6</v>
      </c>
      <c r="E365" s="20">
        <v>0</v>
      </c>
      <c r="F365" s="19">
        <f t="shared" ref="F365:F408" si="114">I365</f>
        <v>1</v>
      </c>
      <c r="G365" s="80"/>
      <c r="H365" s="16">
        <v>2</v>
      </c>
      <c r="I365" s="16">
        <v>1</v>
      </c>
      <c r="J365" s="80"/>
      <c r="K365" s="16" t="s">
        <v>455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618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613</v>
      </c>
      <c r="X365" s="16">
        <f ca="1">IFERROR(OFFSET(ITEM_RES!$A$5,MATCH(BUILDING!W365,ITEM_RES!$J$5:$J$231,0)-1,0),0)</f>
        <v>215070001</v>
      </c>
      <c r="Y365" s="80"/>
      <c r="Z365" s="16" t="s">
        <v>591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471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472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495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112060002</v>
      </c>
      <c r="B366" s="13">
        <v>11</v>
      </c>
      <c r="C366" s="12">
        <f t="shared" si="113"/>
        <v>2</v>
      </c>
      <c r="D366" s="13">
        <v>6</v>
      </c>
      <c r="E366" s="13">
        <v>0</v>
      </c>
      <c r="F366" s="12">
        <f t="shared" si="114"/>
        <v>2</v>
      </c>
      <c r="H366" s="9">
        <v>2</v>
      </c>
      <c r="I366" s="9">
        <v>2</v>
      </c>
      <c r="K366" s="9" t="s">
        <v>455</v>
      </c>
      <c r="L366" s="9">
        <v>1</v>
      </c>
      <c r="M366" s="9">
        <v>15</v>
      </c>
      <c r="R366" s="9">
        <v>777</v>
      </c>
      <c r="T366" s="86" t="s">
        <v>618</v>
      </c>
      <c r="U366" s="9">
        <f ca="1">IFERROR(OFFSET(ITEM_RES!$A$5,MATCH(BUILDING!T366,ITEM_RES!$J$5:$J$231,0)-1,0),0)</f>
        <v>212010001</v>
      </c>
      <c r="V366" s="11">
        <v>1</v>
      </c>
      <c r="W366" s="86" t="s">
        <v>613</v>
      </c>
      <c r="X366" s="9">
        <f ca="1">IFERROR(OFFSET(ITEM_RES!$A$5,MATCH(BUILDING!W366,ITEM_RES!$J$5:$J$231,0)-1,0),0)</f>
        <v>215070001</v>
      </c>
      <c r="Z366" s="9" t="s">
        <v>591</v>
      </c>
      <c r="AA366" s="9">
        <v>2</v>
      </c>
      <c r="AC366" s="9">
        <v>200</v>
      </c>
      <c r="AE366" s="56">
        <f t="shared" si="109"/>
        <v>210</v>
      </c>
      <c r="AF366" s="10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471</v>
      </c>
      <c r="AR366" s="11">
        <v>50</v>
      </c>
      <c r="AU366" s="11">
        <f ca="1">IFERROR(OFFSET(ITEM_RES!$A$1,MATCH(AV366,ITEM_RES!$J:$J,0)-1,0),0)</f>
        <v>212040001</v>
      </c>
      <c r="AV366" s="10" t="s">
        <v>472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112060003</v>
      </c>
      <c r="B367" s="13">
        <v>11</v>
      </c>
      <c r="C367" s="12">
        <f t="shared" si="113"/>
        <v>2</v>
      </c>
      <c r="D367" s="13">
        <v>6</v>
      </c>
      <c r="E367" s="13">
        <v>0</v>
      </c>
      <c r="F367" s="12">
        <f t="shared" si="114"/>
        <v>3</v>
      </c>
      <c r="H367" s="9">
        <v>2</v>
      </c>
      <c r="I367" s="9">
        <v>3</v>
      </c>
      <c r="K367" s="9" t="s">
        <v>455</v>
      </c>
      <c r="L367" s="9">
        <v>1</v>
      </c>
      <c r="M367" s="9">
        <v>15</v>
      </c>
      <c r="R367" s="9">
        <v>777</v>
      </c>
      <c r="T367" s="86" t="s">
        <v>618</v>
      </c>
      <c r="U367" s="9">
        <f ca="1">IFERROR(OFFSET(ITEM_RES!$A$5,MATCH(BUILDING!T367,ITEM_RES!$J$5:$J$231,0)-1,0),0)</f>
        <v>212010001</v>
      </c>
      <c r="V367" s="11">
        <v>1</v>
      </c>
      <c r="W367" s="86" t="s">
        <v>613</v>
      </c>
      <c r="X367" s="9">
        <f ca="1">IFERROR(OFFSET(ITEM_RES!$A$5,MATCH(BUILDING!W367,ITEM_RES!$J$5:$J$231,0)-1,0),0)</f>
        <v>215070001</v>
      </c>
      <c r="Z367" s="9" t="s">
        <v>591</v>
      </c>
      <c r="AA367" s="9">
        <v>3</v>
      </c>
      <c r="AC367" s="9">
        <v>600</v>
      </c>
      <c r="AE367" s="56">
        <f t="shared" si="109"/>
        <v>315</v>
      </c>
      <c r="AF367" s="10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471</v>
      </c>
      <c r="AR367" s="11">
        <v>75</v>
      </c>
      <c r="AU367" s="11">
        <f ca="1">IFERROR(OFFSET(ITEM_RES!$A$1,MATCH(AV367,ITEM_RES!$J:$J,0)-1,0),0)</f>
        <v>212040001</v>
      </c>
      <c r="AV367" s="10" t="s">
        <v>472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112060004</v>
      </c>
      <c r="B368" s="13">
        <v>11</v>
      </c>
      <c r="C368" s="12">
        <f t="shared" si="113"/>
        <v>2</v>
      </c>
      <c r="D368" s="13">
        <v>6</v>
      </c>
      <c r="E368" s="13">
        <v>0</v>
      </c>
      <c r="F368" s="12">
        <f t="shared" si="114"/>
        <v>4</v>
      </c>
      <c r="H368" s="9">
        <v>2</v>
      </c>
      <c r="I368" s="9">
        <v>4</v>
      </c>
      <c r="K368" s="9" t="s">
        <v>455</v>
      </c>
      <c r="L368" s="9">
        <v>1</v>
      </c>
      <c r="M368" s="9">
        <v>15</v>
      </c>
      <c r="R368" s="9">
        <v>777</v>
      </c>
      <c r="T368" s="86" t="s">
        <v>618</v>
      </c>
      <c r="U368" s="9">
        <f ca="1">IFERROR(OFFSET(ITEM_RES!$A$5,MATCH(BUILDING!T368,ITEM_RES!$J$5:$J$231,0)-1,0),0)</f>
        <v>212010001</v>
      </c>
      <c r="V368" s="11">
        <v>1</v>
      </c>
      <c r="W368" s="86" t="s">
        <v>613</v>
      </c>
      <c r="X368" s="9">
        <f ca="1">IFERROR(OFFSET(ITEM_RES!$A$5,MATCH(BUILDING!W368,ITEM_RES!$J$5:$J$231,0)-1,0),0)</f>
        <v>215070001</v>
      </c>
      <c r="Z368" s="9" t="s">
        <v>591</v>
      </c>
      <c r="AA368" s="9">
        <v>4</v>
      </c>
      <c r="AC368" s="9">
        <v>1000</v>
      </c>
      <c r="AE368" s="56">
        <f t="shared" si="109"/>
        <v>525</v>
      </c>
      <c r="AF368" s="10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471</v>
      </c>
      <c r="AR368" s="11">
        <v>125</v>
      </c>
      <c r="AU368" s="11">
        <f ca="1">IFERROR(OFFSET(ITEM_RES!$A$1,MATCH(AV368,ITEM_RES!$J:$J,0)-1,0),0)</f>
        <v>212040001</v>
      </c>
      <c r="AV368" s="10" t="s">
        <v>472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112060005</v>
      </c>
      <c r="B369" s="13">
        <v>11</v>
      </c>
      <c r="C369" s="12">
        <f t="shared" si="113"/>
        <v>2</v>
      </c>
      <c r="D369" s="13">
        <v>6</v>
      </c>
      <c r="E369" s="13">
        <v>0</v>
      </c>
      <c r="F369" s="12">
        <f t="shared" si="114"/>
        <v>5</v>
      </c>
      <c r="H369" s="9">
        <v>2</v>
      </c>
      <c r="I369" s="9">
        <v>5</v>
      </c>
      <c r="K369" s="9" t="s">
        <v>455</v>
      </c>
      <c r="L369" s="9">
        <v>1</v>
      </c>
      <c r="M369" s="9">
        <v>15</v>
      </c>
      <c r="R369" s="9">
        <v>777</v>
      </c>
      <c r="T369" s="86" t="s">
        <v>618</v>
      </c>
      <c r="U369" s="9">
        <f ca="1">IFERROR(OFFSET(ITEM_RES!$A$5,MATCH(BUILDING!T369,ITEM_RES!$J$5:$J$231,0)-1,0),0)</f>
        <v>212010001</v>
      </c>
      <c r="V369" s="11">
        <v>1</v>
      </c>
      <c r="W369" s="86" t="s">
        <v>613</v>
      </c>
      <c r="X369" s="9">
        <f ca="1">IFERROR(OFFSET(ITEM_RES!$A$5,MATCH(BUILDING!W369,ITEM_RES!$J$5:$J$231,0)-1,0),0)</f>
        <v>215070001</v>
      </c>
      <c r="Z369" s="9" t="s">
        <v>591</v>
      </c>
      <c r="AA369" s="9">
        <v>5</v>
      </c>
      <c r="AC369" s="9">
        <v>1600</v>
      </c>
      <c r="AE369" s="56">
        <f t="shared" si="109"/>
        <v>840</v>
      </c>
      <c r="AF369" s="10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471</v>
      </c>
      <c r="AR369" s="11">
        <v>200</v>
      </c>
      <c r="AU369" s="11">
        <f ca="1">IFERROR(OFFSET(ITEM_RES!$A$1,MATCH(AV369,ITEM_RES!$J:$J,0)-1,0),0)</f>
        <v>212040001</v>
      </c>
      <c r="AV369" s="10" t="s">
        <v>472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112060006</v>
      </c>
      <c r="B370" s="13">
        <v>11</v>
      </c>
      <c r="C370" s="12">
        <f t="shared" si="113"/>
        <v>2</v>
      </c>
      <c r="D370" s="13">
        <v>6</v>
      </c>
      <c r="E370" s="13">
        <v>0</v>
      </c>
      <c r="F370" s="12">
        <f t="shared" si="114"/>
        <v>6</v>
      </c>
      <c r="H370" s="9">
        <v>2</v>
      </c>
      <c r="I370" s="9">
        <v>6</v>
      </c>
      <c r="K370" s="9" t="s">
        <v>455</v>
      </c>
      <c r="L370" s="9">
        <v>1</v>
      </c>
      <c r="M370" s="9">
        <v>15</v>
      </c>
      <c r="R370" s="9">
        <v>777</v>
      </c>
      <c r="T370" s="86" t="s">
        <v>618</v>
      </c>
      <c r="U370" s="9">
        <f ca="1">IFERROR(OFFSET(ITEM_RES!$A$5,MATCH(BUILDING!T370,ITEM_RES!$J$5:$J$231,0)-1,0),0)</f>
        <v>212010001</v>
      </c>
      <c r="V370" s="11">
        <v>1</v>
      </c>
      <c r="W370" s="86" t="s">
        <v>613</v>
      </c>
      <c r="X370" s="9">
        <f ca="1">IFERROR(OFFSET(ITEM_RES!$A$5,MATCH(BUILDING!W370,ITEM_RES!$J$5:$J$231,0)-1,0),0)</f>
        <v>215070001</v>
      </c>
      <c r="Z370" s="9" t="s">
        <v>591</v>
      </c>
      <c r="AA370" s="9">
        <v>6</v>
      </c>
      <c r="AC370" s="9">
        <v>2000</v>
      </c>
      <c r="AE370" s="56">
        <f t="shared" si="109"/>
        <v>1550</v>
      </c>
      <c r="AF370" s="10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471</v>
      </c>
      <c r="AR370" s="11">
        <v>250</v>
      </c>
      <c r="AU370" s="11">
        <f ca="1">IFERROR(OFFSET(ITEM_RES!$A$1,MATCH(AV370,ITEM_RES!$J:$J,0)-1,0),0)</f>
        <v>212040001</v>
      </c>
      <c r="AV370" s="10" t="s">
        <v>472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512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112060007</v>
      </c>
      <c r="B371" s="13">
        <v>11</v>
      </c>
      <c r="C371" s="12">
        <f t="shared" si="113"/>
        <v>2</v>
      </c>
      <c r="D371" s="13">
        <v>6</v>
      </c>
      <c r="E371" s="13">
        <v>0</v>
      </c>
      <c r="F371" s="12">
        <f t="shared" si="114"/>
        <v>7</v>
      </c>
      <c r="H371" s="9">
        <v>2</v>
      </c>
      <c r="I371" s="9">
        <v>7</v>
      </c>
      <c r="K371" s="9" t="s">
        <v>455</v>
      </c>
      <c r="L371" s="9">
        <v>1</v>
      </c>
      <c r="M371" s="9">
        <v>15</v>
      </c>
      <c r="R371" s="9">
        <v>777</v>
      </c>
      <c r="T371" s="86" t="s">
        <v>618</v>
      </c>
      <c r="U371" s="9">
        <f ca="1">IFERROR(OFFSET(ITEM_RES!$A$5,MATCH(BUILDING!T371,ITEM_RES!$J$5:$J$231,0)-1,0),0)</f>
        <v>212010001</v>
      </c>
      <c r="V371" s="11">
        <v>1</v>
      </c>
      <c r="W371" s="86" t="s">
        <v>613</v>
      </c>
      <c r="X371" s="9">
        <f ca="1">IFERROR(OFFSET(ITEM_RES!$A$5,MATCH(BUILDING!W371,ITEM_RES!$J$5:$J$231,0)-1,0),0)</f>
        <v>215070001</v>
      </c>
      <c r="Z371" s="9" t="s">
        <v>591</v>
      </c>
      <c r="AA371" s="9">
        <v>7</v>
      </c>
      <c r="AC371" s="9">
        <v>4000</v>
      </c>
      <c r="AE371" s="56">
        <f t="shared" si="109"/>
        <v>2100</v>
      </c>
      <c r="AF371" s="10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471</v>
      </c>
      <c r="AR371" s="11">
        <v>500</v>
      </c>
      <c r="AU371" s="11">
        <f ca="1">IFERROR(OFFSET(ITEM_RES!$A$1,MATCH(AV371,ITEM_RES!$J:$J,0)-1,0),0)</f>
        <v>212040001</v>
      </c>
      <c r="AV371" s="10" t="s">
        <v>472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112060008</v>
      </c>
      <c r="B372" s="13">
        <v>11</v>
      </c>
      <c r="C372" s="12">
        <f t="shared" si="113"/>
        <v>2</v>
      </c>
      <c r="D372" s="13">
        <v>6</v>
      </c>
      <c r="E372" s="13">
        <v>0</v>
      </c>
      <c r="F372" s="12">
        <f t="shared" si="114"/>
        <v>8</v>
      </c>
      <c r="H372" s="9">
        <v>2</v>
      </c>
      <c r="I372" s="9">
        <v>8</v>
      </c>
      <c r="K372" s="9" t="s">
        <v>455</v>
      </c>
      <c r="L372" s="9">
        <v>1</v>
      </c>
      <c r="M372" s="9">
        <v>15</v>
      </c>
      <c r="R372" s="9">
        <v>777</v>
      </c>
      <c r="T372" s="86" t="s">
        <v>618</v>
      </c>
      <c r="U372" s="9">
        <f ca="1">IFERROR(OFFSET(ITEM_RES!$A$5,MATCH(BUILDING!T372,ITEM_RES!$J$5:$J$231,0)-1,0),0)</f>
        <v>212010001</v>
      </c>
      <c r="V372" s="11">
        <v>1</v>
      </c>
      <c r="W372" s="86" t="s">
        <v>613</v>
      </c>
      <c r="X372" s="9">
        <f ca="1">IFERROR(OFFSET(ITEM_RES!$A$5,MATCH(BUILDING!W372,ITEM_RES!$J$5:$J$231,0)-1,0),0)</f>
        <v>215070001</v>
      </c>
      <c r="Z372" s="9" t="s">
        <v>591</v>
      </c>
      <c r="AA372" s="9">
        <v>8</v>
      </c>
      <c r="AC372" s="9">
        <v>4000</v>
      </c>
      <c r="AE372" s="56">
        <f t="shared" si="109"/>
        <v>2100</v>
      </c>
      <c r="AF372" s="10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471</v>
      </c>
      <c r="AR372" s="11">
        <v>500</v>
      </c>
      <c r="AU372" s="11">
        <f ca="1">IFERROR(OFFSET(ITEM_RES!$A$1,MATCH(AV372,ITEM_RES!$J:$J,0)-1,0),0)</f>
        <v>212040001</v>
      </c>
      <c r="AV372" s="10" t="s">
        <v>472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112060009</v>
      </c>
      <c r="B373" s="13">
        <v>11</v>
      </c>
      <c r="C373" s="12">
        <f t="shared" si="113"/>
        <v>2</v>
      </c>
      <c r="D373" s="13">
        <v>6</v>
      </c>
      <c r="E373" s="13">
        <v>0</v>
      </c>
      <c r="F373" s="12">
        <f t="shared" si="114"/>
        <v>9</v>
      </c>
      <c r="H373" s="9">
        <v>2</v>
      </c>
      <c r="I373" s="9">
        <v>9</v>
      </c>
      <c r="K373" s="9" t="s">
        <v>455</v>
      </c>
      <c r="L373" s="9">
        <v>1</v>
      </c>
      <c r="M373" s="9">
        <v>15</v>
      </c>
      <c r="R373" s="9">
        <v>777</v>
      </c>
      <c r="T373" s="86" t="s">
        <v>618</v>
      </c>
      <c r="U373" s="9">
        <f ca="1">IFERROR(OFFSET(ITEM_RES!$A$5,MATCH(BUILDING!T373,ITEM_RES!$J$5:$J$231,0)-1,0),0)</f>
        <v>212010001</v>
      </c>
      <c r="V373" s="11">
        <v>1</v>
      </c>
      <c r="W373" s="86" t="s">
        <v>613</v>
      </c>
      <c r="X373" s="9">
        <f ca="1">IFERROR(OFFSET(ITEM_RES!$A$5,MATCH(BUILDING!W373,ITEM_RES!$J$5:$J$231,0)-1,0),0)</f>
        <v>215070001</v>
      </c>
      <c r="Z373" s="9" t="s">
        <v>591</v>
      </c>
      <c r="AA373" s="9">
        <v>9</v>
      </c>
      <c r="AC373" s="9">
        <v>6000</v>
      </c>
      <c r="AE373" s="56">
        <f t="shared" si="109"/>
        <v>3150</v>
      </c>
      <c r="AF373" s="10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471</v>
      </c>
      <c r="AR373" s="11">
        <v>750</v>
      </c>
      <c r="AU373" s="11">
        <f ca="1">IFERROR(OFFSET(ITEM_RES!$A$1,MATCH(AV373,ITEM_RES!$J:$J,0)-1,0),0)</f>
        <v>212040001</v>
      </c>
      <c r="AV373" s="10" t="s">
        <v>472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112060010</v>
      </c>
      <c r="B374" s="13">
        <v>11</v>
      </c>
      <c r="C374" s="12">
        <f t="shared" si="113"/>
        <v>2</v>
      </c>
      <c r="D374" s="13">
        <v>6</v>
      </c>
      <c r="E374" s="13">
        <v>0</v>
      </c>
      <c r="F374" s="12">
        <f t="shared" si="114"/>
        <v>10</v>
      </c>
      <c r="H374" s="9">
        <v>2</v>
      </c>
      <c r="I374" s="9">
        <v>10</v>
      </c>
      <c r="K374" s="9" t="s">
        <v>455</v>
      </c>
      <c r="L374" s="9">
        <v>1</v>
      </c>
      <c r="M374" s="9">
        <v>15</v>
      </c>
      <c r="R374" s="9">
        <v>777</v>
      </c>
      <c r="T374" s="86" t="s">
        <v>618</v>
      </c>
      <c r="U374" s="9">
        <f ca="1">IFERROR(OFFSET(ITEM_RES!$A$5,MATCH(BUILDING!T374,ITEM_RES!$J$5:$J$231,0)-1,0),0)</f>
        <v>212010001</v>
      </c>
      <c r="V374" s="11">
        <v>1</v>
      </c>
      <c r="W374" s="86" t="s">
        <v>613</v>
      </c>
      <c r="X374" s="9">
        <f ca="1">IFERROR(OFFSET(ITEM_RES!$A$5,MATCH(BUILDING!W374,ITEM_RES!$J$5:$J$231,0)-1,0),0)</f>
        <v>215070001</v>
      </c>
      <c r="Z374" s="9" t="s">
        <v>591</v>
      </c>
      <c r="AA374" s="9">
        <v>10</v>
      </c>
      <c r="AC374" s="9">
        <v>8000</v>
      </c>
      <c r="AE374" s="56">
        <f t="shared" si="109"/>
        <v>4200</v>
      </c>
      <c r="AF374" s="10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471</v>
      </c>
      <c r="AR374" s="11">
        <v>1000</v>
      </c>
      <c r="AU374" s="11">
        <f ca="1">IFERROR(OFFSET(ITEM_RES!$A$1,MATCH(AV374,ITEM_RES!$J:$J,0)-1,0),0)</f>
        <v>212040001</v>
      </c>
      <c r="AV374" s="10" t="s">
        <v>472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112060011</v>
      </c>
      <c r="B375" s="13">
        <v>11</v>
      </c>
      <c r="C375" s="12">
        <f t="shared" si="113"/>
        <v>2</v>
      </c>
      <c r="D375" s="13">
        <v>6</v>
      </c>
      <c r="E375" s="13">
        <v>0</v>
      </c>
      <c r="F375" s="12">
        <f t="shared" si="114"/>
        <v>11</v>
      </c>
      <c r="H375" s="9">
        <v>2</v>
      </c>
      <c r="I375" s="9">
        <v>11</v>
      </c>
      <c r="K375" s="9" t="s">
        <v>455</v>
      </c>
      <c r="L375" s="9">
        <v>1</v>
      </c>
      <c r="M375" s="9">
        <v>15</v>
      </c>
      <c r="R375" s="9">
        <v>777</v>
      </c>
      <c r="T375" s="86" t="s">
        <v>618</v>
      </c>
      <c r="U375" s="9">
        <f ca="1">IFERROR(OFFSET(ITEM_RES!$A$5,MATCH(BUILDING!T375,ITEM_RES!$J$5:$J$231,0)-1,0),0)</f>
        <v>212010001</v>
      </c>
      <c r="V375" s="11">
        <v>1</v>
      </c>
      <c r="W375" s="86" t="s">
        <v>613</v>
      </c>
      <c r="X375" s="9">
        <f ca="1">IFERROR(OFFSET(ITEM_RES!$A$5,MATCH(BUILDING!W375,ITEM_RES!$J$5:$J$231,0)-1,0),0)</f>
        <v>215070001</v>
      </c>
      <c r="Z375" s="9" t="s">
        <v>591</v>
      </c>
      <c r="AA375" s="9">
        <v>11</v>
      </c>
      <c r="AC375" s="9">
        <v>10000</v>
      </c>
      <c r="AE375" s="56">
        <f t="shared" si="109"/>
        <v>5250</v>
      </c>
      <c r="AF375" s="10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471</v>
      </c>
      <c r="AR375" s="11">
        <v>1250</v>
      </c>
      <c r="AU375" s="11">
        <f ca="1">IFERROR(OFFSET(ITEM_RES!$A$1,MATCH(AV375,ITEM_RES!$J:$J,0)-1,0),0)</f>
        <v>212040001</v>
      </c>
      <c r="AV375" s="10" t="s">
        <v>472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112060012</v>
      </c>
      <c r="B376" s="13">
        <v>11</v>
      </c>
      <c r="C376" s="12">
        <f t="shared" si="113"/>
        <v>2</v>
      </c>
      <c r="D376" s="13">
        <v>6</v>
      </c>
      <c r="E376" s="13">
        <v>0</v>
      </c>
      <c r="F376" s="12">
        <f t="shared" si="114"/>
        <v>12</v>
      </c>
      <c r="H376" s="9">
        <v>2</v>
      </c>
      <c r="I376" s="9">
        <v>12</v>
      </c>
      <c r="K376" s="9" t="s">
        <v>455</v>
      </c>
      <c r="L376" s="9">
        <v>1</v>
      </c>
      <c r="M376" s="9">
        <v>15</v>
      </c>
      <c r="R376" s="9">
        <v>777</v>
      </c>
      <c r="T376" s="86" t="s">
        <v>618</v>
      </c>
      <c r="U376" s="9">
        <f ca="1">IFERROR(OFFSET(ITEM_RES!$A$5,MATCH(BUILDING!T376,ITEM_RES!$J$5:$J$231,0)-1,0),0)</f>
        <v>212010001</v>
      </c>
      <c r="V376" s="11">
        <v>1</v>
      </c>
      <c r="W376" s="86" t="s">
        <v>613</v>
      </c>
      <c r="X376" s="9">
        <f ca="1">IFERROR(OFFSET(ITEM_RES!$A$5,MATCH(BUILDING!W376,ITEM_RES!$J$5:$J$231,0)-1,0),0)</f>
        <v>215070001</v>
      </c>
      <c r="Z376" s="9" t="s">
        <v>591</v>
      </c>
      <c r="AA376" s="9">
        <v>12</v>
      </c>
      <c r="AC376" s="9">
        <v>12000</v>
      </c>
      <c r="AE376" s="56">
        <f t="shared" si="109"/>
        <v>6300</v>
      </c>
      <c r="AF376" s="10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471</v>
      </c>
      <c r="AR376" s="11">
        <v>1500</v>
      </c>
      <c r="AU376" s="11">
        <f ca="1">IFERROR(OFFSET(ITEM_RES!$A$1,MATCH(AV376,ITEM_RES!$J:$J,0)-1,0),0)</f>
        <v>212040001</v>
      </c>
      <c r="AV376" s="10" t="s">
        <v>472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112060013</v>
      </c>
      <c r="B377" s="13">
        <v>11</v>
      </c>
      <c r="C377" s="12">
        <f t="shared" si="113"/>
        <v>2</v>
      </c>
      <c r="D377" s="13">
        <v>6</v>
      </c>
      <c r="E377" s="13">
        <v>0</v>
      </c>
      <c r="F377" s="12">
        <f t="shared" si="114"/>
        <v>13</v>
      </c>
      <c r="H377" s="9">
        <v>2</v>
      </c>
      <c r="I377" s="9">
        <v>13</v>
      </c>
      <c r="K377" s="9" t="s">
        <v>455</v>
      </c>
      <c r="L377" s="9">
        <v>1</v>
      </c>
      <c r="M377" s="9">
        <v>15</v>
      </c>
      <c r="R377" s="9">
        <v>777</v>
      </c>
      <c r="T377" s="86" t="s">
        <v>618</v>
      </c>
      <c r="U377" s="9">
        <f ca="1">IFERROR(OFFSET(ITEM_RES!$A$5,MATCH(BUILDING!T377,ITEM_RES!$J$5:$J$231,0)-1,0),0)</f>
        <v>212010001</v>
      </c>
      <c r="V377" s="11">
        <v>1</v>
      </c>
      <c r="W377" s="86" t="s">
        <v>613</v>
      </c>
      <c r="X377" s="9">
        <f ca="1">IFERROR(OFFSET(ITEM_RES!$A$5,MATCH(BUILDING!W377,ITEM_RES!$J$5:$J$231,0)-1,0),0)</f>
        <v>215070001</v>
      </c>
      <c r="Z377" s="9" t="s">
        <v>591</v>
      </c>
      <c r="AA377" s="9">
        <v>13</v>
      </c>
      <c r="AC377" s="9">
        <v>14000</v>
      </c>
      <c r="AE377" s="56">
        <f t="shared" si="109"/>
        <v>7350</v>
      </c>
      <c r="AF377" s="10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471</v>
      </c>
      <c r="AR377" s="11">
        <v>1750</v>
      </c>
      <c r="AU377" s="11">
        <f ca="1">IFERROR(OFFSET(ITEM_RES!$A$1,MATCH(AV377,ITEM_RES!$J:$J,0)-1,0),0)</f>
        <v>212040001</v>
      </c>
      <c r="AV377" s="10" t="s">
        <v>472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112060014</v>
      </c>
      <c r="B378" s="13">
        <v>11</v>
      </c>
      <c r="C378" s="12">
        <f t="shared" si="113"/>
        <v>2</v>
      </c>
      <c r="D378" s="13">
        <v>6</v>
      </c>
      <c r="E378" s="13">
        <v>0</v>
      </c>
      <c r="F378" s="12">
        <f t="shared" si="114"/>
        <v>14</v>
      </c>
      <c r="H378" s="9">
        <v>2</v>
      </c>
      <c r="I378" s="9">
        <v>14</v>
      </c>
      <c r="K378" s="9" t="s">
        <v>455</v>
      </c>
      <c r="L378" s="9">
        <v>1</v>
      </c>
      <c r="M378" s="9">
        <v>15</v>
      </c>
      <c r="R378" s="9">
        <v>777</v>
      </c>
      <c r="T378" s="86" t="s">
        <v>618</v>
      </c>
      <c r="U378" s="9">
        <f ca="1">IFERROR(OFFSET(ITEM_RES!$A$5,MATCH(BUILDING!T378,ITEM_RES!$J$5:$J$231,0)-1,0),0)</f>
        <v>212010001</v>
      </c>
      <c r="V378" s="11">
        <v>1</v>
      </c>
      <c r="W378" s="86" t="s">
        <v>613</v>
      </c>
      <c r="X378" s="9">
        <f ca="1">IFERROR(OFFSET(ITEM_RES!$A$5,MATCH(BUILDING!W378,ITEM_RES!$J$5:$J$231,0)-1,0),0)</f>
        <v>215070001</v>
      </c>
      <c r="Z378" s="9" t="s">
        <v>591</v>
      </c>
      <c r="AA378" s="9">
        <v>14</v>
      </c>
      <c r="AC378" s="9">
        <v>18000</v>
      </c>
      <c r="AE378" s="56">
        <f t="shared" si="109"/>
        <v>9450</v>
      </c>
      <c r="AF378" s="10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471</v>
      </c>
      <c r="AR378" s="11">
        <v>2250</v>
      </c>
      <c r="AU378" s="11">
        <f ca="1">IFERROR(OFFSET(ITEM_RES!$A$1,MATCH(AV378,ITEM_RES!$J:$J,0)-1,0),0)</f>
        <v>212040001</v>
      </c>
      <c r="AV378" s="10" t="s">
        <v>472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112060015</v>
      </c>
      <c r="B379" s="13">
        <v>11</v>
      </c>
      <c r="C379" s="12">
        <f t="shared" si="113"/>
        <v>2</v>
      </c>
      <c r="D379" s="13">
        <v>6</v>
      </c>
      <c r="E379" s="13">
        <v>0</v>
      </c>
      <c r="F379" s="12">
        <f t="shared" si="114"/>
        <v>15</v>
      </c>
      <c r="H379" s="9">
        <v>2</v>
      </c>
      <c r="I379" s="9">
        <v>15</v>
      </c>
      <c r="K379" s="9" t="s">
        <v>455</v>
      </c>
      <c r="L379" s="9">
        <v>1</v>
      </c>
      <c r="M379" s="9">
        <v>15</v>
      </c>
      <c r="R379" s="9">
        <v>777</v>
      </c>
      <c r="T379" s="86" t="s">
        <v>618</v>
      </c>
      <c r="U379" s="9">
        <f ca="1">IFERROR(OFFSET(ITEM_RES!$A$5,MATCH(BUILDING!T379,ITEM_RES!$J$5:$J$231,0)-1,0),0)</f>
        <v>212010001</v>
      </c>
      <c r="V379" s="11">
        <v>1</v>
      </c>
      <c r="W379" s="86" t="s">
        <v>613</v>
      </c>
      <c r="X379" s="9">
        <f ca="1">IFERROR(OFFSET(ITEM_RES!$A$5,MATCH(BUILDING!W379,ITEM_RES!$J$5:$J$231,0)-1,0),0)</f>
        <v>215070001</v>
      </c>
      <c r="Z379" s="9" t="s">
        <v>591</v>
      </c>
      <c r="AA379" s="9">
        <v>15</v>
      </c>
      <c r="AC379" s="9">
        <v>22000</v>
      </c>
      <c r="AE379" s="56">
        <f t="shared" si="109"/>
        <v>11550</v>
      </c>
      <c r="AF379" s="10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467</v>
      </c>
      <c r="AR379" s="11">
        <v>2750</v>
      </c>
      <c r="AU379" s="11">
        <f ca="1">IFERROR(OFFSET(ITEM_RES!$A$1,MATCH(AV379,ITEM_RES!$J:$J,0)-1,0),0)</f>
        <v>212040001</v>
      </c>
      <c r="AV379" s="10" t="s">
        <v>472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112060016</v>
      </c>
      <c r="B380" s="13">
        <v>11</v>
      </c>
      <c r="C380" s="12">
        <f t="shared" si="113"/>
        <v>2</v>
      </c>
      <c r="D380" s="13">
        <v>6</v>
      </c>
      <c r="E380" s="13">
        <v>0</v>
      </c>
      <c r="F380" s="12">
        <f t="shared" si="114"/>
        <v>16</v>
      </c>
      <c r="H380" s="9">
        <v>2</v>
      </c>
      <c r="I380" s="9">
        <v>16</v>
      </c>
      <c r="K380" s="9" t="s">
        <v>455</v>
      </c>
      <c r="L380" s="9">
        <v>0</v>
      </c>
      <c r="M380" s="9">
        <v>15</v>
      </c>
      <c r="R380" s="9">
        <v>777</v>
      </c>
      <c r="T380" s="86" t="s">
        <v>618</v>
      </c>
      <c r="U380" s="9">
        <f ca="1">IFERROR(OFFSET(ITEM_RES!$A$5,MATCH(BUILDING!T380,ITEM_RES!$J$5:$J$231,0)-1,0),0)</f>
        <v>212010001</v>
      </c>
      <c r="V380" s="11">
        <v>1</v>
      </c>
      <c r="W380" s="86" t="s">
        <v>613</v>
      </c>
      <c r="X380" s="9">
        <f ca="1">IFERROR(OFFSET(ITEM_RES!$A$5,MATCH(BUILDING!W380,ITEM_RES!$J$5:$J$231,0)-1,0),0)</f>
        <v>215070001</v>
      </c>
      <c r="Z380" s="9" t="s">
        <v>591</v>
      </c>
      <c r="AA380" s="9">
        <v>16</v>
      </c>
      <c r="AC380" s="9">
        <v>28000</v>
      </c>
      <c r="AE380" s="56">
        <f t="shared" si="109"/>
        <v>14700</v>
      </c>
      <c r="AF380" s="10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467</v>
      </c>
      <c r="AR380" s="11">
        <v>3500</v>
      </c>
      <c r="AU380" s="11">
        <f ca="1">IFERROR(OFFSET(ITEM_RES!$A$1,MATCH(AV380,ITEM_RES!$J:$J,0)-1,0),0)</f>
        <v>212040001</v>
      </c>
      <c r="AV380" s="10" t="s">
        <v>472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112060017</v>
      </c>
      <c r="B381" s="13">
        <v>11</v>
      </c>
      <c r="C381" s="12">
        <f t="shared" si="113"/>
        <v>2</v>
      </c>
      <c r="D381" s="13">
        <v>6</v>
      </c>
      <c r="E381" s="13">
        <v>0</v>
      </c>
      <c r="F381" s="12">
        <f t="shared" si="114"/>
        <v>17</v>
      </c>
      <c r="H381" s="9">
        <v>2</v>
      </c>
      <c r="I381" s="9">
        <v>17</v>
      </c>
      <c r="K381" s="9" t="s">
        <v>455</v>
      </c>
      <c r="L381" s="9">
        <v>0</v>
      </c>
      <c r="M381" s="9">
        <v>15</v>
      </c>
      <c r="R381" s="9">
        <v>777</v>
      </c>
      <c r="T381" s="86" t="s">
        <v>618</v>
      </c>
      <c r="U381" s="9">
        <f ca="1">IFERROR(OFFSET(ITEM_RES!$A$5,MATCH(BUILDING!T381,ITEM_RES!$J$5:$J$231,0)-1,0),0)</f>
        <v>212010001</v>
      </c>
      <c r="V381" s="11">
        <v>1</v>
      </c>
      <c r="W381" s="86" t="s">
        <v>613</v>
      </c>
      <c r="X381" s="9">
        <f ca="1">IFERROR(OFFSET(ITEM_RES!$A$5,MATCH(BUILDING!W381,ITEM_RES!$J$5:$J$231,0)-1,0),0)</f>
        <v>215070001</v>
      </c>
      <c r="Z381" s="9" t="s">
        <v>591</v>
      </c>
      <c r="AA381" s="9">
        <v>17</v>
      </c>
      <c r="AC381" s="9">
        <v>34000</v>
      </c>
      <c r="AE381" s="56">
        <f t="shared" si="109"/>
        <v>17850</v>
      </c>
      <c r="AF381" s="10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467</v>
      </c>
      <c r="AR381" s="11">
        <v>4250</v>
      </c>
      <c r="AU381" s="11">
        <f ca="1">IFERROR(OFFSET(ITEM_RES!$A$1,MATCH(AV381,ITEM_RES!$J:$J,0)-1,0),0)</f>
        <v>212040001</v>
      </c>
      <c r="AV381" s="10" t="s">
        <v>472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112060018</v>
      </c>
      <c r="B382" s="13">
        <v>11</v>
      </c>
      <c r="C382" s="12">
        <f t="shared" si="113"/>
        <v>2</v>
      </c>
      <c r="D382" s="13">
        <v>6</v>
      </c>
      <c r="E382" s="13">
        <v>0</v>
      </c>
      <c r="F382" s="12">
        <f t="shared" si="114"/>
        <v>18</v>
      </c>
      <c r="H382" s="9">
        <v>2</v>
      </c>
      <c r="I382" s="9">
        <v>18</v>
      </c>
      <c r="K382" s="9" t="s">
        <v>455</v>
      </c>
      <c r="L382" s="9">
        <v>0</v>
      </c>
      <c r="M382" s="9">
        <v>15</v>
      </c>
      <c r="R382" s="9">
        <v>777</v>
      </c>
      <c r="T382" s="86" t="s">
        <v>618</v>
      </c>
      <c r="U382" s="9">
        <f ca="1">IFERROR(OFFSET(ITEM_RES!$A$5,MATCH(BUILDING!T382,ITEM_RES!$J$5:$J$231,0)-1,0),0)</f>
        <v>212010001</v>
      </c>
      <c r="V382" s="11">
        <v>1</v>
      </c>
      <c r="W382" s="86" t="s">
        <v>613</v>
      </c>
      <c r="X382" s="9">
        <f ca="1">IFERROR(OFFSET(ITEM_RES!$A$5,MATCH(BUILDING!W382,ITEM_RES!$J$5:$J$231,0)-1,0),0)</f>
        <v>215070001</v>
      </c>
      <c r="Z382" s="9" t="s">
        <v>591</v>
      </c>
      <c r="AA382" s="9">
        <v>18</v>
      </c>
      <c r="AC382" s="9">
        <v>42000</v>
      </c>
      <c r="AE382" s="56">
        <f t="shared" si="109"/>
        <v>22050</v>
      </c>
      <c r="AF382" s="10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467</v>
      </c>
      <c r="AR382" s="11">
        <v>5250</v>
      </c>
      <c r="AU382" s="11">
        <f ca="1">IFERROR(OFFSET(ITEM_RES!$A$1,MATCH(AV382,ITEM_RES!$J:$J,0)-1,0),0)</f>
        <v>212040001</v>
      </c>
      <c r="AV382" s="10" t="s">
        <v>472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112060019</v>
      </c>
      <c r="B383" s="13">
        <v>11</v>
      </c>
      <c r="C383" s="12">
        <f t="shared" si="113"/>
        <v>2</v>
      </c>
      <c r="D383" s="13">
        <v>6</v>
      </c>
      <c r="E383" s="13">
        <v>0</v>
      </c>
      <c r="F383" s="12">
        <f t="shared" si="114"/>
        <v>19</v>
      </c>
      <c r="H383" s="9">
        <v>2</v>
      </c>
      <c r="I383" s="9">
        <v>19</v>
      </c>
      <c r="K383" s="9" t="s">
        <v>455</v>
      </c>
      <c r="L383" s="9">
        <v>0</v>
      </c>
      <c r="M383" s="9">
        <v>15</v>
      </c>
      <c r="R383" s="9">
        <v>777</v>
      </c>
      <c r="T383" s="86" t="s">
        <v>618</v>
      </c>
      <c r="U383" s="9">
        <f ca="1">IFERROR(OFFSET(ITEM_RES!$A$5,MATCH(BUILDING!T383,ITEM_RES!$J$5:$J$231,0)-1,0),0)</f>
        <v>212010001</v>
      </c>
      <c r="V383" s="11">
        <v>1</v>
      </c>
      <c r="W383" s="86" t="s">
        <v>613</v>
      </c>
      <c r="X383" s="9">
        <f ca="1">IFERROR(OFFSET(ITEM_RES!$A$5,MATCH(BUILDING!W383,ITEM_RES!$J$5:$J$231,0)-1,0),0)</f>
        <v>215070001</v>
      </c>
      <c r="Z383" s="9" t="s">
        <v>591</v>
      </c>
      <c r="AA383" s="9">
        <v>19</v>
      </c>
      <c r="AC383" s="9">
        <v>50000</v>
      </c>
      <c r="AE383" s="56">
        <f t="shared" si="109"/>
        <v>26250</v>
      </c>
      <c r="AF383" s="10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467</v>
      </c>
      <c r="AR383" s="11">
        <v>6250</v>
      </c>
      <c r="AU383" s="11">
        <f ca="1">IFERROR(OFFSET(ITEM_RES!$A$1,MATCH(AV383,ITEM_RES!$J:$J,0)-1,0),0)</f>
        <v>212040001</v>
      </c>
      <c r="AV383" s="10" t="s">
        <v>472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112060020</v>
      </c>
      <c r="B384" s="13">
        <v>11</v>
      </c>
      <c r="C384" s="12">
        <f t="shared" si="113"/>
        <v>2</v>
      </c>
      <c r="D384" s="13">
        <v>6</v>
      </c>
      <c r="E384" s="13">
        <v>0</v>
      </c>
      <c r="F384" s="12">
        <f t="shared" si="114"/>
        <v>20</v>
      </c>
      <c r="H384" s="9">
        <v>2</v>
      </c>
      <c r="I384" s="9">
        <v>20</v>
      </c>
      <c r="K384" s="9" t="s">
        <v>455</v>
      </c>
      <c r="L384" s="9">
        <v>0</v>
      </c>
      <c r="M384" s="9">
        <v>15</v>
      </c>
      <c r="R384" s="9">
        <v>777</v>
      </c>
      <c r="T384" s="86" t="s">
        <v>618</v>
      </c>
      <c r="U384" s="9">
        <f ca="1">IFERROR(OFFSET(ITEM_RES!$A$5,MATCH(BUILDING!T384,ITEM_RES!$J$5:$J$231,0)-1,0),0)</f>
        <v>212010001</v>
      </c>
      <c r="V384" s="11">
        <v>1</v>
      </c>
      <c r="W384" s="86" t="s">
        <v>613</v>
      </c>
      <c r="X384" s="9">
        <f ca="1">IFERROR(OFFSET(ITEM_RES!$A$5,MATCH(BUILDING!W384,ITEM_RES!$J$5:$J$231,0)-1,0),0)</f>
        <v>215070001</v>
      </c>
      <c r="Z384" s="9" t="s">
        <v>591</v>
      </c>
      <c r="AA384" s="9">
        <v>20</v>
      </c>
      <c r="AC384" s="9">
        <v>60000</v>
      </c>
      <c r="AE384" s="56">
        <f t="shared" si="109"/>
        <v>31500</v>
      </c>
      <c r="AF384" s="10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467</v>
      </c>
      <c r="AR384" s="11">
        <v>7500</v>
      </c>
      <c r="AU384" s="11">
        <f ca="1">IFERROR(OFFSET(ITEM_RES!$A$1,MATCH(AV384,ITEM_RES!$J:$J,0)-1,0),0)</f>
        <v>212040001</v>
      </c>
      <c r="AV384" s="10" t="s">
        <v>472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112070001</v>
      </c>
      <c r="B385" s="20">
        <v>11</v>
      </c>
      <c r="C385" s="19">
        <f t="shared" si="113"/>
        <v>2</v>
      </c>
      <c r="D385" s="20">
        <v>7</v>
      </c>
      <c r="E385" s="20">
        <v>0</v>
      </c>
      <c r="F385" s="19">
        <f t="shared" si="114"/>
        <v>1</v>
      </c>
      <c r="G385" s="80"/>
      <c r="H385" s="16">
        <v>2</v>
      </c>
      <c r="I385" s="16">
        <v>1</v>
      </c>
      <c r="J385" s="80"/>
      <c r="K385" s="16" t="s">
        <v>597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612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614</v>
      </c>
      <c r="X385" s="16">
        <f ca="1">IFERROR(OFFSET(ITEM_RES!$A$5,MATCH(BUILDING!W385,ITEM_RES!$J$5:$J$231,0)-1,0),0)</f>
        <v>215060001</v>
      </c>
      <c r="Y385" s="80"/>
      <c r="Z385" s="16" t="s">
        <v>592</v>
      </c>
      <c r="AA385" s="16">
        <v>1</v>
      </c>
      <c r="AB385" s="80"/>
      <c r="AC385" s="16">
        <v>0</v>
      </c>
      <c r="AD385" s="80"/>
      <c r="AE385" s="57">
        <f t="shared" si="109"/>
        <v>605</v>
      </c>
      <c r="AF385" s="17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471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464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495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112070002</v>
      </c>
      <c r="B386" s="13">
        <v>11</v>
      </c>
      <c r="C386" s="12">
        <f t="shared" si="113"/>
        <v>2</v>
      </c>
      <c r="D386" s="13">
        <v>7</v>
      </c>
      <c r="E386" s="13">
        <v>0</v>
      </c>
      <c r="F386" s="12">
        <f t="shared" si="114"/>
        <v>2</v>
      </c>
      <c r="H386" s="9">
        <v>2</v>
      </c>
      <c r="I386" s="9">
        <v>2</v>
      </c>
      <c r="K386" s="9" t="s">
        <v>372</v>
      </c>
      <c r="L386" s="9">
        <v>1</v>
      </c>
      <c r="M386" s="9">
        <v>15</v>
      </c>
      <c r="R386" s="9">
        <v>888</v>
      </c>
      <c r="T386" s="86" t="s">
        <v>612</v>
      </c>
      <c r="U386" s="9">
        <f ca="1">IFERROR(OFFSET(ITEM_RES!$A$5,MATCH(BUILDING!T386,ITEM_RES!$J$5:$J$231,0)-1,0),0)</f>
        <v>211060001</v>
      </c>
      <c r="V386" s="11">
        <v>1</v>
      </c>
      <c r="W386" s="86" t="s">
        <v>614</v>
      </c>
      <c r="X386" s="9">
        <f ca="1">IFERROR(OFFSET(ITEM_RES!$A$5,MATCH(BUILDING!W386,ITEM_RES!$J$5:$J$231,0)-1,0),0)</f>
        <v>215060001</v>
      </c>
      <c r="Z386" s="9" t="s">
        <v>592</v>
      </c>
      <c r="AA386" s="9">
        <v>2</v>
      </c>
      <c r="AC386" s="9">
        <v>800</v>
      </c>
      <c r="AE386" s="56">
        <f t="shared" si="109"/>
        <v>210</v>
      </c>
      <c r="AF386" s="10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471</v>
      </c>
      <c r="AR386" s="11">
        <v>50</v>
      </c>
      <c r="AU386" s="11">
        <f ca="1">IFERROR(OFFSET(ITEM_RES!$A$1,MATCH(AV386,ITEM_RES!$J:$J,0)-1,0),0)</f>
        <v>211060001</v>
      </c>
      <c r="AV386" s="10" t="s">
        <v>464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112070003</v>
      </c>
      <c r="B387" s="13">
        <v>11</v>
      </c>
      <c r="C387" s="12">
        <f t="shared" si="113"/>
        <v>2</v>
      </c>
      <c r="D387" s="13">
        <v>7</v>
      </c>
      <c r="E387" s="13">
        <v>0</v>
      </c>
      <c r="F387" s="12">
        <f t="shared" si="114"/>
        <v>3</v>
      </c>
      <c r="H387" s="9">
        <v>2</v>
      </c>
      <c r="I387" s="9">
        <v>3</v>
      </c>
      <c r="K387" s="9" t="s">
        <v>372</v>
      </c>
      <c r="L387" s="9">
        <v>1</v>
      </c>
      <c r="M387" s="9">
        <v>15</v>
      </c>
      <c r="R387" s="9">
        <v>888</v>
      </c>
      <c r="T387" s="86" t="s">
        <v>612</v>
      </c>
      <c r="U387" s="9">
        <f ca="1">IFERROR(OFFSET(ITEM_RES!$A$5,MATCH(BUILDING!T387,ITEM_RES!$J$5:$J$231,0)-1,0),0)</f>
        <v>211060001</v>
      </c>
      <c r="V387" s="11">
        <v>1</v>
      </c>
      <c r="W387" s="86" t="s">
        <v>614</v>
      </c>
      <c r="X387" s="9">
        <f ca="1">IFERROR(OFFSET(ITEM_RES!$A$5,MATCH(BUILDING!W387,ITEM_RES!$J$5:$J$231,0)-1,0),0)</f>
        <v>215060001</v>
      </c>
      <c r="Z387" s="9" t="s">
        <v>592</v>
      </c>
      <c r="AA387" s="9">
        <v>3</v>
      </c>
      <c r="AC387" s="9">
        <v>1200</v>
      </c>
      <c r="AE387" s="56">
        <f t="shared" si="109"/>
        <v>315</v>
      </c>
      <c r="AF387" s="10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471</v>
      </c>
      <c r="AR387" s="11">
        <v>75</v>
      </c>
      <c r="AU387" s="11">
        <f ca="1">IFERROR(OFFSET(ITEM_RES!$A$1,MATCH(AV387,ITEM_RES!$J:$J,0)-1,0),0)</f>
        <v>211060001</v>
      </c>
      <c r="AV387" s="10" t="s">
        <v>464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112070004</v>
      </c>
      <c r="B388" s="13">
        <v>11</v>
      </c>
      <c r="C388" s="12">
        <f t="shared" si="113"/>
        <v>2</v>
      </c>
      <c r="D388" s="13">
        <v>7</v>
      </c>
      <c r="E388" s="13">
        <v>0</v>
      </c>
      <c r="F388" s="12">
        <f t="shared" si="114"/>
        <v>4</v>
      </c>
      <c r="H388" s="9">
        <v>2</v>
      </c>
      <c r="I388" s="9">
        <v>4</v>
      </c>
      <c r="K388" s="9" t="s">
        <v>372</v>
      </c>
      <c r="L388" s="9">
        <v>1</v>
      </c>
      <c r="M388" s="9">
        <v>15</v>
      </c>
      <c r="R388" s="9">
        <v>888</v>
      </c>
      <c r="T388" s="86" t="s">
        <v>612</v>
      </c>
      <c r="U388" s="9">
        <f ca="1">IFERROR(OFFSET(ITEM_RES!$A$5,MATCH(BUILDING!T388,ITEM_RES!$J$5:$J$231,0)-1,0),0)</f>
        <v>211060001</v>
      </c>
      <c r="V388" s="11">
        <v>1</v>
      </c>
      <c r="W388" s="86" t="s">
        <v>614</v>
      </c>
      <c r="X388" s="9">
        <f ca="1">IFERROR(OFFSET(ITEM_RES!$A$5,MATCH(BUILDING!W388,ITEM_RES!$J$5:$J$231,0)-1,0),0)</f>
        <v>215060001</v>
      </c>
      <c r="Z388" s="9" t="s">
        <v>592</v>
      </c>
      <c r="AA388" s="9">
        <v>4</v>
      </c>
      <c r="AC388" s="9">
        <v>2000</v>
      </c>
      <c r="AE388" s="56">
        <f t="shared" si="109"/>
        <v>525</v>
      </c>
      <c r="AF388" s="10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471</v>
      </c>
      <c r="AR388" s="11">
        <v>125</v>
      </c>
      <c r="AU388" s="11">
        <f ca="1">IFERROR(OFFSET(ITEM_RES!$A$1,MATCH(AV388,ITEM_RES!$J:$J,0)-1,0),0)</f>
        <v>211060001</v>
      </c>
      <c r="AV388" s="10" t="s">
        <v>464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112070005</v>
      </c>
      <c r="B389" s="13">
        <v>11</v>
      </c>
      <c r="C389" s="12">
        <f t="shared" si="113"/>
        <v>2</v>
      </c>
      <c r="D389" s="13">
        <v>7</v>
      </c>
      <c r="E389" s="13">
        <v>0</v>
      </c>
      <c r="F389" s="12">
        <f t="shared" si="114"/>
        <v>5</v>
      </c>
      <c r="H389" s="9">
        <v>2</v>
      </c>
      <c r="I389" s="9">
        <v>5</v>
      </c>
      <c r="K389" s="9" t="s">
        <v>372</v>
      </c>
      <c r="L389" s="9">
        <v>1</v>
      </c>
      <c r="M389" s="9">
        <v>15</v>
      </c>
      <c r="R389" s="9">
        <v>888</v>
      </c>
      <c r="T389" s="86" t="s">
        <v>612</v>
      </c>
      <c r="U389" s="9">
        <f ca="1">IFERROR(OFFSET(ITEM_RES!$A$5,MATCH(BUILDING!T389,ITEM_RES!$J$5:$J$231,0)-1,0),0)</f>
        <v>211060001</v>
      </c>
      <c r="V389" s="11">
        <v>1</v>
      </c>
      <c r="W389" s="86" t="s">
        <v>614</v>
      </c>
      <c r="X389" s="9">
        <f ca="1">IFERROR(OFFSET(ITEM_RES!$A$5,MATCH(BUILDING!W389,ITEM_RES!$J$5:$J$231,0)-1,0),0)</f>
        <v>215060001</v>
      </c>
      <c r="Z389" s="9" t="s">
        <v>592</v>
      </c>
      <c r="AA389" s="9">
        <v>5</v>
      </c>
      <c r="AC389" s="9">
        <v>3200</v>
      </c>
      <c r="AE389" s="56">
        <f t="shared" si="109"/>
        <v>840</v>
      </c>
      <c r="AF389" s="10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471</v>
      </c>
      <c r="AR389" s="11">
        <v>200</v>
      </c>
      <c r="AU389" s="11">
        <f ca="1">IFERROR(OFFSET(ITEM_RES!$A$1,MATCH(AV389,ITEM_RES!$J:$J,0)-1,0),0)</f>
        <v>211060001</v>
      </c>
      <c r="AV389" s="10" t="s">
        <v>464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112070006</v>
      </c>
      <c r="B390" s="13">
        <v>11</v>
      </c>
      <c r="C390" s="12">
        <f t="shared" si="113"/>
        <v>2</v>
      </c>
      <c r="D390" s="13">
        <v>7</v>
      </c>
      <c r="E390" s="13">
        <v>0</v>
      </c>
      <c r="F390" s="12">
        <f t="shared" si="114"/>
        <v>6</v>
      </c>
      <c r="H390" s="9">
        <v>2</v>
      </c>
      <c r="I390" s="9">
        <v>6</v>
      </c>
      <c r="K390" s="9" t="s">
        <v>372</v>
      </c>
      <c r="L390" s="9">
        <v>1</v>
      </c>
      <c r="M390" s="9">
        <v>15</v>
      </c>
      <c r="R390" s="9">
        <v>888</v>
      </c>
      <c r="T390" s="86" t="s">
        <v>612</v>
      </c>
      <c r="U390" s="9">
        <f ca="1">IFERROR(OFFSET(ITEM_RES!$A$5,MATCH(BUILDING!T390,ITEM_RES!$J$5:$J$231,0)-1,0),0)</f>
        <v>211060001</v>
      </c>
      <c r="V390" s="11">
        <v>1</v>
      </c>
      <c r="W390" s="86" t="s">
        <v>614</v>
      </c>
      <c r="X390" s="9">
        <f ca="1">IFERROR(OFFSET(ITEM_RES!$A$5,MATCH(BUILDING!W390,ITEM_RES!$J$5:$J$231,0)-1,0),0)</f>
        <v>215060001</v>
      </c>
      <c r="Z390" s="9" t="s">
        <v>592</v>
      </c>
      <c r="AA390" s="9">
        <v>6</v>
      </c>
      <c r="AC390" s="9">
        <v>4000</v>
      </c>
      <c r="AE390" s="56">
        <f t="shared" ref="AE390:AE453" si="119">AK390*10+AM390+AR390+AW390+500*BB390+500*BG390+500*BL390</f>
        <v>1050</v>
      </c>
      <c r="AF390" s="10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471</v>
      </c>
      <c r="AR390" s="11">
        <v>250</v>
      </c>
      <c r="AU390" s="11">
        <f ca="1">IFERROR(OFFSET(ITEM_RES!$A$1,MATCH(AV390,ITEM_RES!$J:$J,0)-1,0),0)</f>
        <v>211060001</v>
      </c>
      <c r="AV390" s="10" t="s">
        <v>464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112070007</v>
      </c>
      <c r="B391" s="13">
        <v>11</v>
      </c>
      <c r="C391" s="12">
        <f t="shared" si="113"/>
        <v>2</v>
      </c>
      <c r="D391" s="13">
        <v>7</v>
      </c>
      <c r="E391" s="13">
        <v>0</v>
      </c>
      <c r="F391" s="12">
        <f t="shared" si="114"/>
        <v>7</v>
      </c>
      <c r="H391" s="9">
        <v>2</v>
      </c>
      <c r="I391" s="9">
        <v>7</v>
      </c>
      <c r="K391" s="9" t="s">
        <v>372</v>
      </c>
      <c r="L391" s="9">
        <v>1</v>
      </c>
      <c r="M391" s="9">
        <v>15</v>
      </c>
      <c r="R391" s="9">
        <v>888</v>
      </c>
      <c r="T391" s="86" t="s">
        <v>612</v>
      </c>
      <c r="U391" s="9">
        <f ca="1">IFERROR(OFFSET(ITEM_RES!$A$5,MATCH(BUILDING!T391,ITEM_RES!$J$5:$J$231,0)-1,0),0)</f>
        <v>211060001</v>
      </c>
      <c r="V391" s="11">
        <v>1</v>
      </c>
      <c r="W391" s="86" t="s">
        <v>614</v>
      </c>
      <c r="X391" s="9">
        <f ca="1">IFERROR(OFFSET(ITEM_RES!$A$5,MATCH(BUILDING!W391,ITEM_RES!$J$5:$J$231,0)-1,0),0)</f>
        <v>215060001</v>
      </c>
      <c r="Z391" s="9" t="s">
        <v>592</v>
      </c>
      <c r="AA391" s="9">
        <v>7</v>
      </c>
      <c r="AC391" s="9">
        <v>8000</v>
      </c>
      <c r="AE391" s="56">
        <f t="shared" si="119"/>
        <v>2100</v>
      </c>
      <c r="AF391" s="10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471</v>
      </c>
      <c r="AR391" s="11">
        <v>500</v>
      </c>
      <c r="AU391" s="11">
        <f ca="1">IFERROR(OFFSET(ITEM_RES!$A$1,MATCH(AV391,ITEM_RES!$J:$J,0)-1,0),0)</f>
        <v>211060001</v>
      </c>
      <c r="AV391" s="10" t="s">
        <v>464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112070008</v>
      </c>
      <c r="B392" s="13">
        <v>11</v>
      </c>
      <c r="C392" s="12">
        <f t="shared" si="113"/>
        <v>2</v>
      </c>
      <c r="D392" s="13">
        <v>7</v>
      </c>
      <c r="E392" s="13">
        <v>0</v>
      </c>
      <c r="F392" s="12">
        <f t="shared" si="114"/>
        <v>8</v>
      </c>
      <c r="H392" s="9">
        <v>2</v>
      </c>
      <c r="I392" s="9">
        <v>8</v>
      </c>
      <c r="K392" s="9" t="s">
        <v>372</v>
      </c>
      <c r="L392" s="9">
        <v>1</v>
      </c>
      <c r="M392" s="9">
        <v>15</v>
      </c>
      <c r="R392" s="9">
        <v>888</v>
      </c>
      <c r="T392" s="86" t="s">
        <v>612</v>
      </c>
      <c r="U392" s="9">
        <f ca="1">IFERROR(OFFSET(ITEM_RES!$A$5,MATCH(BUILDING!T392,ITEM_RES!$J$5:$J$231,0)-1,0),0)</f>
        <v>211060001</v>
      </c>
      <c r="V392" s="11">
        <v>1</v>
      </c>
      <c r="W392" s="86" t="s">
        <v>614</v>
      </c>
      <c r="X392" s="9">
        <f ca="1">IFERROR(OFFSET(ITEM_RES!$A$5,MATCH(BUILDING!W392,ITEM_RES!$J$5:$J$231,0)-1,0),0)</f>
        <v>215060001</v>
      </c>
      <c r="Z392" s="9" t="s">
        <v>592</v>
      </c>
      <c r="AA392" s="9">
        <v>8</v>
      </c>
      <c r="AC392" s="9">
        <v>8000</v>
      </c>
      <c r="AE392" s="56">
        <f t="shared" si="119"/>
        <v>2100</v>
      </c>
      <c r="AF392" s="10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471</v>
      </c>
      <c r="AR392" s="11">
        <v>500</v>
      </c>
      <c r="AU392" s="11">
        <f ca="1">IFERROR(OFFSET(ITEM_RES!$A$1,MATCH(AV392,ITEM_RES!$J:$J,0)-1,0),0)</f>
        <v>211060001</v>
      </c>
      <c r="AV392" s="10" t="s">
        <v>464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112070009</v>
      </c>
      <c r="B393" s="13">
        <v>11</v>
      </c>
      <c r="C393" s="12">
        <f t="shared" si="113"/>
        <v>2</v>
      </c>
      <c r="D393" s="13">
        <v>7</v>
      </c>
      <c r="E393" s="13">
        <v>0</v>
      </c>
      <c r="F393" s="12">
        <f t="shared" si="114"/>
        <v>9</v>
      </c>
      <c r="H393" s="9">
        <v>2</v>
      </c>
      <c r="I393" s="9">
        <v>9</v>
      </c>
      <c r="K393" s="9" t="s">
        <v>372</v>
      </c>
      <c r="L393" s="9">
        <v>1</v>
      </c>
      <c r="M393" s="9">
        <v>15</v>
      </c>
      <c r="R393" s="9">
        <v>888</v>
      </c>
      <c r="T393" s="86" t="s">
        <v>612</v>
      </c>
      <c r="U393" s="9">
        <f ca="1">IFERROR(OFFSET(ITEM_RES!$A$5,MATCH(BUILDING!T393,ITEM_RES!$J$5:$J$231,0)-1,0),0)</f>
        <v>211060001</v>
      </c>
      <c r="V393" s="11">
        <v>1</v>
      </c>
      <c r="W393" s="86" t="s">
        <v>614</v>
      </c>
      <c r="X393" s="9">
        <f ca="1">IFERROR(OFFSET(ITEM_RES!$A$5,MATCH(BUILDING!W393,ITEM_RES!$J$5:$J$231,0)-1,0),0)</f>
        <v>215060001</v>
      </c>
      <c r="Z393" s="9" t="s">
        <v>592</v>
      </c>
      <c r="AA393" s="9">
        <v>9</v>
      </c>
      <c r="AC393" s="9">
        <v>12000</v>
      </c>
      <c r="AE393" s="56">
        <f t="shared" si="119"/>
        <v>3150</v>
      </c>
      <c r="AF393" s="10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471</v>
      </c>
      <c r="AR393" s="11">
        <v>750</v>
      </c>
      <c r="AU393" s="11">
        <f ca="1">IFERROR(OFFSET(ITEM_RES!$A$1,MATCH(AV393,ITEM_RES!$J:$J,0)-1,0),0)</f>
        <v>211060001</v>
      </c>
      <c r="AV393" s="10" t="s">
        <v>464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112070010</v>
      </c>
      <c r="B394" s="13">
        <v>11</v>
      </c>
      <c r="C394" s="12">
        <f t="shared" si="113"/>
        <v>2</v>
      </c>
      <c r="D394" s="13">
        <v>7</v>
      </c>
      <c r="E394" s="13">
        <v>0</v>
      </c>
      <c r="F394" s="12">
        <f t="shared" si="114"/>
        <v>10</v>
      </c>
      <c r="H394" s="9">
        <v>2</v>
      </c>
      <c r="I394" s="9">
        <v>10</v>
      </c>
      <c r="K394" s="9" t="s">
        <v>372</v>
      </c>
      <c r="L394" s="9">
        <v>1</v>
      </c>
      <c r="M394" s="9">
        <v>15</v>
      </c>
      <c r="R394" s="9">
        <v>888</v>
      </c>
      <c r="T394" s="86" t="s">
        <v>612</v>
      </c>
      <c r="U394" s="9">
        <f ca="1">IFERROR(OFFSET(ITEM_RES!$A$5,MATCH(BUILDING!T394,ITEM_RES!$J$5:$J$231,0)-1,0),0)</f>
        <v>211060001</v>
      </c>
      <c r="V394" s="11">
        <v>1</v>
      </c>
      <c r="W394" s="86" t="s">
        <v>614</v>
      </c>
      <c r="X394" s="9">
        <f ca="1">IFERROR(OFFSET(ITEM_RES!$A$5,MATCH(BUILDING!W394,ITEM_RES!$J$5:$J$231,0)-1,0),0)</f>
        <v>215060001</v>
      </c>
      <c r="Z394" s="9" t="s">
        <v>592</v>
      </c>
      <c r="AA394" s="9">
        <v>10</v>
      </c>
      <c r="AC394" s="9">
        <v>16000</v>
      </c>
      <c r="AE394" s="56">
        <f t="shared" si="119"/>
        <v>4200</v>
      </c>
      <c r="AF394" s="10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471</v>
      </c>
      <c r="AR394" s="11">
        <v>1000</v>
      </c>
      <c r="AU394" s="11">
        <f ca="1">IFERROR(OFFSET(ITEM_RES!$A$1,MATCH(AV394,ITEM_RES!$J:$J,0)-1,0),0)</f>
        <v>211060001</v>
      </c>
      <c r="AV394" s="10" t="s">
        <v>464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112070011</v>
      </c>
      <c r="B395" s="13">
        <v>11</v>
      </c>
      <c r="C395" s="12">
        <f t="shared" si="113"/>
        <v>2</v>
      </c>
      <c r="D395" s="13">
        <v>7</v>
      </c>
      <c r="E395" s="13">
        <v>0</v>
      </c>
      <c r="F395" s="12">
        <f t="shared" si="114"/>
        <v>11</v>
      </c>
      <c r="H395" s="9">
        <v>2</v>
      </c>
      <c r="I395" s="9">
        <v>11</v>
      </c>
      <c r="K395" s="9" t="s">
        <v>372</v>
      </c>
      <c r="L395" s="9">
        <v>1</v>
      </c>
      <c r="M395" s="9">
        <v>15</v>
      </c>
      <c r="R395" s="9">
        <v>888</v>
      </c>
      <c r="T395" s="86" t="s">
        <v>612</v>
      </c>
      <c r="U395" s="9">
        <f ca="1">IFERROR(OFFSET(ITEM_RES!$A$5,MATCH(BUILDING!T395,ITEM_RES!$J$5:$J$231,0)-1,0),0)</f>
        <v>211060001</v>
      </c>
      <c r="V395" s="11">
        <v>1</v>
      </c>
      <c r="W395" s="86" t="s">
        <v>614</v>
      </c>
      <c r="X395" s="9">
        <f ca="1">IFERROR(OFFSET(ITEM_RES!$A$5,MATCH(BUILDING!W395,ITEM_RES!$J$5:$J$231,0)-1,0),0)</f>
        <v>215060001</v>
      </c>
      <c r="Z395" s="9" t="s">
        <v>592</v>
      </c>
      <c r="AA395" s="9">
        <v>11</v>
      </c>
      <c r="AC395" s="9">
        <v>20000</v>
      </c>
      <c r="AE395" s="56">
        <f t="shared" si="119"/>
        <v>5750</v>
      </c>
      <c r="AF395" s="10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471</v>
      </c>
      <c r="AR395" s="11">
        <v>1250</v>
      </c>
      <c r="AU395" s="11">
        <f ca="1">IFERROR(OFFSET(ITEM_RES!$A$1,MATCH(AV395,ITEM_RES!$J:$J,0)-1,0),0)</f>
        <v>211060001</v>
      </c>
      <c r="AV395" s="10" t="s">
        <v>464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510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112070012</v>
      </c>
      <c r="B396" s="13">
        <v>11</v>
      </c>
      <c r="C396" s="12">
        <f t="shared" si="113"/>
        <v>2</v>
      </c>
      <c r="D396" s="13">
        <v>7</v>
      </c>
      <c r="E396" s="13">
        <v>0</v>
      </c>
      <c r="F396" s="12">
        <f t="shared" si="114"/>
        <v>12</v>
      </c>
      <c r="H396" s="9">
        <v>2</v>
      </c>
      <c r="I396" s="9">
        <v>12</v>
      </c>
      <c r="K396" s="9" t="s">
        <v>372</v>
      </c>
      <c r="L396" s="9">
        <v>1</v>
      </c>
      <c r="M396" s="9">
        <v>15</v>
      </c>
      <c r="R396" s="9">
        <v>888</v>
      </c>
      <c r="T396" s="86" t="s">
        <v>612</v>
      </c>
      <c r="U396" s="9">
        <f ca="1">IFERROR(OFFSET(ITEM_RES!$A$5,MATCH(BUILDING!T396,ITEM_RES!$J$5:$J$231,0)-1,0),0)</f>
        <v>211060001</v>
      </c>
      <c r="V396" s="11">
        <v>1</v>
      </c>
      <c r="W396" s="86" t="s">
        <v>614</v>
      </c>
      <c r="X396" s="9">
        <f ca="1">IFERROR(OFFSET(ITEM_RES!$A$5,MATCH(BUILDING!W396,ITEM_RES!$J$5:$J$231,0)-1,0),0)</f>
        <v>215060001</v>
      </c>
      <c r="Z396" s="9" t="s">
        <v>592</v>
      </c>
      <c r="AA396" s="9">
        <v>12</v>
      </c>
      <c r="AC396" s="9">
        <v>24000</v>
      </c>
      <c r="AE396" s="56">
        <f t="shared" si="119"/>
        <v>6300</v>
      </c>
      <c r="AF396" s="10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471</v>
      </c>
      <c r="AR396" s="11">
        <v>1500</v>
      </c>
      <c r="AU396" s="11">
        <f ca="1">IFERROR(OFFSET(ITEM_RES!$A$1,MATCH(AV396,ITEM_RES!$J:$J,0)-1,0),0)</f>
        <v>211060001</v>
      </c>
      <c r="AV396" s="10" t="s">
        <v>464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112070013</v>
      </c>
      <c r="B397" s="13">
        <v>11</v>
      </c>
      <c r="C397" s="12">
        <f t="shared" si="113"/>
        <v>2</v>
      </c>
      <c r="D397" s="13">
        <v>7</v>
      </c>
      <c r="E397" s="13">
        <v>0</v>
      </c>
      <c r="F397" s="12">
        <f t="shared" si="114"/>
        <v>13</v>
      </c>
      <c r="H397" s="9">
        <v>2</v>
      </c>
      <c r="I397" s="9">
        <v>13</v>
      </c>
      <c r="K397" s="9" t="s">
        <v>372</v>
      </c>
      <c r="L397" s="9">
        <v>1</v>
      </c>
      <c r="M397" s="9">
        <v>15</v>
      </c>
      <c r="R397" s="9">
        <v>888</v>
      </c>
      <c r="T397" s="86" t="s">
        <v>612</v>
      </c>
      <c r="U397" s="9">
        <f ca="1">IFERROR(OFFSET(ITEM_RES!$A$5,MATCH(BUILDING!T397,ITEM_RES!$J$5:$J$231,0)-1,0),0)</f>
        <v>211060001</v>
      </c>
      <c r="V397" s="11">
        <v>1</v>
      </c>
      <c r="W397" s="86" t="s">
        <v>614</v>
      </c>
      <c r="X397" s="9">
        <f ca="1">IFERROR(OFFSET(ITEM_RES!$A$5,MATCH(BUILDING!W397,ITEM_RES!$J$5:$J$231,0)-1,0),0)</f>
        <v>215060001</v>
      </c>
      <c r="Z397" s="9" t="s">
        <v>592</v>
      </c>
      <c r="AA397" s="9">
        <v>13</v>
      </c>
      <c r="AC397" s="9">
        <v>28000</v>
      </c>
      <c r="AE397" s="56">
        <f t="shared" si="119"/>
        <v>7350</v>
      </c>
      <c r="AF397" s="10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471</v>
      </c>
      <c r="AR397" s="11">
        <v>1750</v>
      </c>
      <c r="AU397" s="11">
        <f ca="1">IFERROR(OFFSET(ITEM_RES!$A$1,MATCH(AV397,ITEM_RES!$J:$J,0)-1,0),0)</f>
        <v>211060001</v>
      </c>
      <c r="AV397" s="10" t="s">
        <v>464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112070014</v>
      </c>
      <c r="B398" s="13">
        <v>11</v>
      </c>
      <c r="C398" s="12">
        <f t="shared" si="113"/>
        <v>2</v>
      </c>
      <c r="D398" s="13">
        <v>7</v>
      </c>
      <c r="E398" s="13">
        <v>0</v>
      </c>
      <c r="F398" s="12">
        <f t="shared" si="114"/>
        <v>14</v>
      </c>
      <c r="H398" s="9">
        <v>2</v>
      </c>
      <c r="I398" s="9">
        <v>14</v>
      </c>
      <c r="K398" s="9" t="s">
        <v>372</v>
      </c>
      <c r="L398" s="9">
        <v>1</v>
      </c>
      <c r="M398" s="9">
        <v>15</v>
      </c>
      <c r="R398" s="9">
        <v>888</v>
      </c>
      <c r="T398" s="86" t="s">
        <v>612</v>
      </c>
      <c r="U398" s="9">
        <f ca="1">IFERROR(OFFSET(ITEM_RES!$A$5,MATCH(BUILDING!T398,ITEM_RES!$J$5:$J$231,0)-1,0),0)</f>
        <v>211060001</v>
      </c>
      <c r="V398" s="11">
        <v>1</v>
      </c>
      <c r="W398" s="86" t="s">
        <v>614</v>
      </c>
      <c r="X398" s="9">
        <f ca="1">IFERROR(OFFSET(ITEM_RES!$A$5,MATCH(BUILDING!W398,ITEM_RES!$J$5:$J$231,0)-1,0),0)</f>
        <v>215060001</v>
      </c>
      <c r="Z398" s="9" t="s">
        <v>592</v>
      </c>
      <c r="AA398" s="9">
        <v>14</v>
      </c>
      <c r="AC398" s="9">
        <v>36000</v>
      </c>
      <c r="AE398" s="56">
        <f t="shared" si="119"/>
        <v>9450</v>
      </c>
      <c r="AF398" s="10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471</v>
      </c>
      <c r="AR398" s="11">
        <v>2250</v>
      </c>
      <c r="AU398" s="11">
        <f ca="1">IFERROR(OFFSET(ITEM_RES!$A$1,MATCH(AV398,ITEM_RES!$J:$J,0)-1,0),0)</f>
        <v>211070001</v>
      </c>
      <c r="AV398" s="10" t="s">
        <v>479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112070015</v>
      </c>
      <c r="B399" s="13">
        <v>11</v>
      </c>
      <c r="C399" s="12">
        <f t="shared" si="113"/>
        <v>2</v>
      </c>
      <c r="D399" s="13">
        <v>7</v>
      </c>
      <c r="E399" s="13">
        <v>0</v>
      </c>
      <c r="F399" s="12">
        <f t="shared" si="114"/>
        <v>15</v>
      </c>
      <c r="H399" s="9">
        <v>2</v>
      </c>
      <c r="I399" s="9">
        <v>15</v>
      </c>
      <c r="K399" s="9" t="s">
        <v>372</v>
      </c>
      <c r="L399" s="9">
        <v>1</v>
      </c>
      <c r="M399" s="9">
        <v>15</v>
      </c>
      <c r="R399" s="9">
        <v>888</v>
      </c>
      <c r="T399" s="86" t="s">
        <v>612</v>
      </c>
      <c r="U399" s="9">
        <f ca="1">IFERROR(OFFSET(ITEM_RES!$A$5,MATCH(BUILDING!T399,ITEM_RES!$J$5:$J$231,0)-1,0),0)</f>
        <v>211060001</v>
      </c>
      <c r="V399" s="11">
        <v>1</v>
      </c>
      <c r="W399" s="86" t="s">
        <v>614</v>
      </c>
      <c r="X399" s="9">
        <f ca="1">IFERROR(OFFSET(ITEM_RES!$A$5,MATCH(BUILDING!W399,ITEM_RES!$J$5:$J$231,0)-1,0),0)</f>
        <v>215060001</v>
      </c>
      <c r="Z399" s="9" t="s">
        <v>592</v>
      </c>
      <c r="AA399" s="9">
        <v>15</v>
      </c>
      <c r="AC399" s="9">
        <v>44000</v>
      </c>
      <c r="AE399" s="56">
        <f t="shared" si="119"/>
        <v>11550</v>
      </c>
      <c r="AF399" s="10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467</v>
      </c>
      <c r="AR399" s="11">
        <v>2750</v>
      </c>
      <c r="AU399" s="11">
        <f ca="1">IFERROR(OFFSET(ITEM_RES!$A$1,MATCH(AV399,ITEM_RES!$J:$J,0)-1,0),0)</f>
        <v>211070001</v>
      </c>
      <c r="AV399" s="10" t="s">
        <v>479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112070016</v>
      </c>
      <c r="B400" s="13">
        <v>11</v>
      </c>
      <c r="C400" s="12">
        <f t="shared" si="113"/>
        <v>2</v>
      </c>
      <c r="D400" s="13">
        <v>7</v>
      </c>
      <c r="E400" s="13">
        <v>0</v>
      </c>
      <c r="F400" s="12">
        <f t="shared" si="114"/>
        <v>16</v>
      </c>
      <c r="H400" s="9">
        <v>2</v>
      </c>
      <c r="I400" s="9">
        <v>16</v>
      </c>
      <c r="K400" s="9" t="s">
        <v>372</v>
      </c>
      <c r="L400" s="9">
        <v>0</v>
      </c>
      <c r="M400" s="9">
        <v>15</v>
      </c>
      <c r="R400" s="9">
        <v>888</v>
      </c>
      <c r="T400" s="86" t="s">
        <v>612</v>
      </c>
      <c r="U400" s="9">
        <f ca="1">IFERROR(OFFSET(ITEM_RES!$A$5,MATCH(BUILDING!T400,ITEM_RES!$J$5:$J$231,0)-1,0),0)</f>
        <v>211060001</v>
      </c>
      <c r="V400" s="11">
        <v>1</v>
      </c>
      <c r="W400" s="86" t="s">
        <v>614</v>
      </c>
      <c r="X400" s="9">
        <f ca="1">IFERROR(OFFSET(ITEM_RES!$A$5,MATCH(BUILDING!W400,ITEM_RES!$J$5:$J$231,0)-1,0),0)</f>
        <v>215060001</v>
      </c>
      <c r="Z400" s="9" t="s">
        <v>592</v>
      </c>
      <c r="AA400" s="9">
        <v>16</v>
      </c>
      <c r="AC400" s="9">
        <v>56000</v>
      </c>
      <c r="AE400" s="56">
        <f t="shared" si="119"/>
        <v>14700</v>
      </c>
      <c r="AF400" s="10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467</v>
      </c>
      <c r="AR400" s="11">
        <v>3500</v>
      </c>
      <c r="AU400" s="11">
        <f ca="1">IFERROR(OFFSET(ITEM_RES!$A$1,MATCH(AV400,ITEM_RES!$J:$J,0)-1,0),0)</f>
        <v>211070001</v>
      </c>
      <c r="AV400" s="10" t="s">
        <v>479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112070017</v>
      </c>
      <c r="B401" s="13">
        <v>11</v>
      </c>
      <c r="C401" s="12">
        <f t="shared" si="113"/>
        <v>2</v>
      </c>
      <c r="D401" s="13">
        <v>7</v>
      </c>
      <c r="E401" s="13">
        <v>0</v>
      </c>
      <c r="F401" s="12">
        <f t="shared" si="114"/>
        <v>17</v>
      </c>
      <c r="H401" s="9">
        <v>2</v>
      </c>
      <c r="I401" s="9">
        <v>17</v>
      </c>
      <c r="K401" s="9" t="s">
        <v>372</v>
      </c>
      <c r="L401" s="9">
        <v>0</v>
      </c>
      <c r="M401" s="9">
        <v>15</v>
      </c>
      <c r="R401" s="9">
        <v>888</v>
      </c>
      <c r="T401" s="86" t="s">
        <v>612</v>
      </c>
      <c r="U401" s="9">
        <f ca="1">IFERROR(OFFSET(ITEM_RES!$A$5,MATCH(BUILDING!T401,ITEM_RES!$J$5:$J$231,0)-1,0),0)</f>
        <v>211060001</v>
      </c>
      <c r="V401" s="11">
        <v>1</v>
      </c>
      <c r="W401" s="86" t="s">
        <v>614</v>
      </c>
      <c r="X401" s="9">
        <f ca="1">IFERROR(OFFSET(ITEM_RES!$A$5,MATCH(BUILDING!W401,ITEM_RES!$J$5:$J$231,0)-1,0),0)</f>
        <v>215060001</v>
      </c>
      <c r="Z401" s="9" t="s">
        <v>592</v>
      </c>
      <c r="AA401" s="9">
        <v>17</v>
      </c>
      <c r="AC401" s="9">
        <v>68000</v>
      </c>
      <c r="AE401" s="56">
        <f t="shared" si="119"/>
        <v>17850</v>
      </c>
      <c r="AF401" s="10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467</v>
      </c>
      <c r="AR401" s="11">
        <v>4250</v>
      </c>
      <c r="AU401" s="11">
        <f ca="1">IFERROR(OFFSET(ITEM_RES!$A$1,MATCH(AV401,ITEM_RES!$J:$J,0)-1,0),0)</f>
        <v>211070001</v>
      </c>
      <c r="AV401" s="10" t="s">
        <v>479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112070018</v>
      </c>
      <c r="B402" s="13">
        <v>11</v>
      </c>
      <c r="C402" s="12">
        <f t="shared" si="113"/>
        <v>2</v>
      </c>
      <c r="D402" s="13">
        <v>7</v>
      </c>
      <c r="E402" s="13">
        <v>0</v>
      </c>
      <c r="F402" s="12">
        <f t="shared" si="114"/>
        <v>18</v>
      </c>
      <c r="H402" s="9">
        <v>2</v>
      </c>
      <c r="I402" s="9">
        <v>18</v>
      </c>
      <c r="K402" s="9" t="s">
        <v>372</v>
      </c>
      <c r="L402" s="9">
        <v>0</v>
      </c>
      <c r="M402" s="9">
        <v>15</v>
      </c>
      <c r="R402" s="9">
        <v>888</v>
      </c>
      <c r="T402" s="86" t="s">
        <v>612</v>
      </c>
      <c r="U402" s="9">
        <f ca="1">IFERROR(OFFSET(ITEM_RES!$A$5,MATCH(BUILDING!T402,ITEM_RES!$J$5:$J$231,0)-1,0),0)</f>
        <v>211060001</v>
      </c>
      <c r="V402" s="11">
        <v>1</v>
      </c>
      <c r="W402" s="86" t="s">
        <v>614</v>
      </c>
      <c r="X402" s="9">
        <f ca="1">IFERROR(OFFSET(ITEM_RES!$A$5,MATCH(BUILDING!W402,ITEM_RES!$J$5:$J$231,0)-1,0),0)</f>
        <v>215060001</v>
      </c>
      <c r="Z402" s="9" t="s">
        <v>592</v>
      </c>
      <c r="AA402" s="9">
        <v>18</v>
      </c>
      <c r="AC402" s="9">
        <v>84000</v>
      </c>
      <c r="AE402" s="56">
        <f t="shared" si="119"/>
        <v>22050</v>
      </c>
      <c r="AF402" s="10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467</v>
      </c>
      <c r="AR402" s="11">
        <v>5250</v>
      </c>
      <c r="AU402" s="11">
        <f ca="1">IFERROR(OFFSET(ITEM_RES!$A$1,MATCH(AV402,ITEM_RES!$J:$J,0)-1,0),0)</f>
        <v>211070001</v>
      </c>
      <c r="AV402" s="10" t="s">
        <v>479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112070019</v>
      </c>
      <c r="B403" s="13">
        <v>11</v>
      </c>
      <c r="C403" s="12">
        <f t="shared" si="113"/>
        <v>2</v>
      </c>
      <c r="D403" s="13">
        <v>7</v>
      </c>
      <c r="E403" s="13">
        <v>0</v>
      </c>
      <c r="F403" s="12">
        <f t="shared" si="114"/>
        <v>19</v>
      </c>
      <c r="H403" s="9">
        <v>2</v>
      </c>
      <c r="I403" s="9">
        <v>19</v>
      </c>
      <c r="K403" s="9" t="s">
        <v>372</v>
      </c>
      <c r="L403" s="9">
        <v>0</v>
      </c>
      <c r="M403" s="9">
        <v>15</v>
      </c>
      <c r="R403" s="9">
        <v>888</v>
      </c>
      <c r="T403" s="86" t="s">
        <v>612</v>
      </c>
      <c r="U403" s="9">
        <f ca="1">IFERROR(OFFSET(ITEM_RES!$A$5,MATCH(BUILDING!T403,ITEM_RES!$J$5:$J$231,0)-1,0),0)</f>
        <v>211060001</v>
      </c>
      <c r="V403" s="11">
        <v>1</v>
      </c>
      <c r="W403" s="86" t="s">
        <v>614</v>
      </c>
      <c r="X403" s="9">
        <f ca="1">IFERROR(OFFSET(ITEM_RES!$A$5,MATCH(BUILDING!W403,ITEM_RES!$J$5:$J$231,0)-1,0),0)</f>
        <v>215060001</v>
      </c>
      <c r="Z403" s="9" t="s">
        <v>592</v>
      </c>
      <c r="AA403" s="9">
        <v>19</v>
      </c>
      <c r="AC403" s="9">
        <v>100000</v>
      </c>
      <c r="AE403" s="56">
        <f t="shared" si="119"/>
        <v>26250</v>
      </c>
      <c r="AF403" s="10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467</v>
      </c>
      <c r="AR403" s="11">
        <v>6250</v>
      </c>
      <c r="AU403" s="11">
        <f ca="1">IFERROR(OFFSET(ITEM_RES!$A$1,MATCH(AV403,ITEM_RES!$J:$J,0)-1,0),0)</f>
        <v>211070001</v>
      </c>
      <c r="AV403" s="10" t="s">
        <v>479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112070020</v>
      </c>
      <c r="B404" s="13">
        <v>11</v>
      </c>
      <c r="C404" s="12">
        <f t="shared" si="113"/>
        <v>2</v>
      </c>
      <c r="D404" s="13">
        <v>7</v>
      </c>
      <c r="E404" s="13">
        <v>0</v>
      </c>
      <c r="F404" s="12">
        <f t="shared" si="114"/>
        <v>20</v>
      </c>
      <c r="H404" s="9">
        <v>2</v>
      </c>
      <c r="I404" s="9">
        <v>20</v>
      </c>
      <c r="K404" s="9" t="s">
        <v>372</v>
      </c>
      <c r="L404" s="9">
        <v>0</v>
      </c>
      <c r="M404" s="9">
        <v>15</v>
      </c>
      <c r="R404" s="9">
        <v>888</v>
      </c>
      <c r="T404" s="86" t="s">
        <v>612</v>
      </c>
      <c r="U404" s="9">
        <f ca="1">IFERROR(OFFSET(ITEM_RES!$A$5,MATCH(BUILDING!T404,ITEM_RES!$J$5:$J$231,0)-1,0),0)</f>
        <v>211060001</v>
      </c>
      <c r="V404" s="11">
        <v>1</v>
      </c>
      <c r="W404" s="86" t="s">
        <v>614</v>
      </c>
      <c r="X404" s="9">
        <f ca="1">IFERROR(OFFSET(ITEM_RES!$A$5,MATCH(BUILDING!W404,ITEM_RES!$J$5:$J$231,0)-1,0),0)</f>
        <v>215060001</v>
      </c>
      <c r="Z404" s="9" t="s">
        <v>592</v>
      </c>
      <c r="AA404" s="9">
        <v>20</v>
      </c>
      <c r="AC404" s="9">
        <v>120000</v>
      </c>
      <c r="AE404" s="56">
        <f t="shared" si="119"/>
        <v>31500</v>
      </c>
      <c r="AF404" s="10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467</v>
      </c>
      <c r="AR404" s="11">
        <v>7500</v>
      </c>
      <c r="AU404" s="11">
        <f ca="1">IFERROR(OFFSET(ITEM_RES!$A$1,MATCH(AV404,ITEM_RES!$J:$J,0)-1,0),0)</f>
        <v>211070001</v>
      </c>
      <c r="AV404" s="10" t="s">
        <v>479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114010001</v>
      </c>
      <c r="B405" s="20">
        <v>11</v>
      </c>
      <c r="C405" s="19">
        <f t="shared" si="113"/>
        <v>4</v>
      </c>
      <c r="D405" s="20">
        <v>1</v>
      </c>
      <c r="E405" s="20">
        <v>0</v>
      </c>
      <c r="F405" s="19">
        <f t="shared" si="114"/>
        <v>1</v>
      </c>
      <c r="G405" s="80"/>
      <c r="H405" s="16">
        <v>4</v>
      </c>
      <c r="I405" s="16">
        <v>1</v>
      </c>
      <c r="J405" s="80"/>
      <c r="K405" s="16" t="s">
        <v>473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593</v>
      </c>
      <c r="AA405" s="16">
        <v>1</v>
      </c>
      <c r="AB405" s="80"/>
      <c r="AC405" s="16">
        <v>0</v>
      </c>
      <c r="AD405" s="80"/>
      <c r="AE405" s="57">
        <f t="shared" si="119"/>
        <v>580</v>
      </c>
      <c r="AF405" s="17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471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495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114010002</v>
      </c>
      <c r="B406" s="13">
        <v>11</v>
      </c>
      <c r="C406" s="12">
        <f t="shared" si="113"/>
        <v>4</v>
      </c>
      <c r="D406" s="13">
        <v>1</v>
      </c>
      <c r="E406" s="13">
        <v>0</v>
      </c>
      <c r="F406" s="12">
        <f t="shared" si="114"/>
        <v>2</v>
      </c>
      <c r="H406" s="9">
        <v>4</v>
      </c>
      <c r="I406" s="9">
        <v>2</v>
      </c>
      <c r="K406" s="9" t="s">
        <v>473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593</v>
      </c>
      <c r="AA406" s="9">
        <v>2</v>
      </c>
      <c r="AC406" s="9">
        <v>400</v>
      </c>
      <c r="AE406" s="56">
        <f t="shared" si="119"/>
        <v>160</v>
      </c>
      <c r="AF406" s="10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471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114010003</v>
      </c>
      <c r="B407" s="13">
        <v>11</v>
      </c>
      <c r="C407" s="12">
        <f t="shared" si="113"/>
        <v>4</v>
      </c>
      <c r="D407" s="13">
        <v>1</v>
      </c>
      <c r="E407" s="13">
        <v>0</v>
      </c>
      <c r="F407" s="12">
        <f t="shared" si="114"/>
        <v>3</v>
      </c>
      <c r="H407" s="9">
        <v>4</v>
      </c>
      <c r="I407" s="9">
        <v>3</v>
      </c>
      <c r="K407" s="9" t="s">
        <v>473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593</v>
      </c>
      <c r="AA407" s="9">
        <v>3</v>
      </c>
      <c r="AC407" s="9">
        <v>1200</v>
      </c>
      <c r="AE407" s="56">
        <f t="shared" si="119"/>
        <v>240</v>
      </c>
      <c r="AF407" s="10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471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114010004</v>
      </c>
      <c r="B408" s="13">
        <v>11</v>
      </c>
      <c r="C408" s="12">
        <f t="shared" si="113"/>
        <v>4</v>
      </c>
      <c r="D408" s="13">
        <v>1</v>
      </c>
      <c r="E408" s="13">
        <v>0</v>
      </c>
      <c r="F408" s="12">
        <f t="shared" si="114"/>
        <v>4</v>
      </c>
      <c r="H408" s="9">
        <v>4</v>
      </c>
      <c r="I408" s="9">
        <v>4</v>
      </c>
      <c r="K408" s="9" t="s">
        <v>473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593</v>
      </c>
      <c r="AA408" s="9">
        <v>4</v>
      </c>
      <c r="AC408" s="9">
        <v>2000</v>
      </c>
      <c r="AE408" s="56">
        <f t="shared" si="119"/>
        <v>400</v>
      </c>
      <c r="AF408" s="10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471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114010005</v>
      </c>
      <c r="B409" s="13">
        <v>11</v>
      </c>
      <c r="C409" s="12">
        <f t="shared" ref="C409:C472" si="123">H409</f>
        <v>4</v>
      </c>
      <c r="D409" s="13">
        <v>1</v>
      </c>
      <c r="E409" s="13">
        <v>0</v>
      </c>
      <c r="F409" s="12">
        <f t="shared" ref="F409:F472" si="124">I409</f>
        <v>5</v>
      </c>
      <c r="H409" s="9">
        <v>4</v>
      </c>
      <c r="I409" s="9">
        <v>5</v>
      </c>
      <c r="K409" s="9" t="s">
        <v>473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593</v>
      </c>
      <c r="AA409" s="9">
        <v>5</v>
      </c>
      <c r="AC409" s="9">
        <v>3200</v>
      </c>
      <c r="AE409" s="56">
        <f t="shared" si="119"/>
        <v>640</v>
      </c>
      <c r="AF409" s="10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471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114010006</v>
      </c>
      <c r="B410" s="13">
        <v>11</v>
      </c>
      <c r="C410" s="12">
        <f t="shared" si="123"/>
        <v>4</v>
      </c>
      <c r="D410" s="13">
        <v>1</v>
      </c>
      <c r="E410" s="13">
        <v>0</v>
      </c>
      <c r="F410" s="12">
        <f t="shared" si="124"/>
        <v>6</v>
      </c>
      <c r="H410" s="9">
        <v>4</v>
      </c>
      <c r="I410" s="9">
        <v>6</v>
      </c>
      <c r="K410" s="9" t="s">
        <v>473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593</v>
      </c>
      <c r="AA410" s="9">
        <v>6</v>
      </c>
      <c r="AC410" s="9">
        <v>4000</v>
      </c>
      <c r="AE410" s="56">
        <f t="shared" si="119"/>
        <v>800</v>
      </c>
      <c r="AF410" s="10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471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114010007</v>
      </c>
      <c r="B411" s="13">
        <v>11</v>
      </c>
      <c r="C411" s="12">
        <f t="shared" si="123"/>
        <v>4</v>
      </c>
      <c r="D411" s="13">
        <v>1</v>
      </c>
      <c r="E411" s="13">
        <v>0</v>
      </c>
      <c r="F411" s="12">
        <f t="shared" si="124"/>
        <v>7</v>
      </c>
      <c r="H411" s="9">
        <v>4</v>
      </c>
      <c r="I411" s="9">
        <v>7</v>
      </c>
      <c r="K411" s="9" t="s">
        <v>473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593</v>
      </c>
      <c r="AA411" s="9">
        <v>7</v>
      </c>
      <c r="AC411" s="9">
        <v>8000</v>
      </c>
      <c r="AE411" s="56">
        <f t="shared" si="119"/>
        <v>1600</v>
      </c>
      <c r="AF411" s="10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471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114010008</v>
      </c>
      <c r="B412" s="13">
        <v>11</v>
      </c>
      <c r="C412" s="12">
        <f t="shared" si="123"/>
        <v>4</v>
      </c>
      <c r="D412" s="13">
        <v>1</v>
      </c>
      <c r="E412" s="13">
        <v>0</v>
      </c>
      <c r="F412" s="12">
        <f t="shared" si="124"/>
        <v>8</v>
      </c>
      <c r="H412" s="9">
        <v>4</v>
      </c>
      <c r="I412" s="9">
        <v>8</v>
      </c>
      <c r="K412" s="9" t="s">
        <v>385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593</v>
      </c>
      <c r="AA412" s="9">
        <v>8</v>
      </c>
      <c r="AC412" s="9">
        <v>8000</v>
      </c>
      <c r="AE412" s="56">
        <f t="shared" si="119"/>
        <v>1600</v>
      </c>
      <c r="AF412" s="10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467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114010009</v>
      </c>
      <c r="B413" s="13">
        <v>11</v>
      </c>
      <c r="C413" s="12">
        <f t="shared" si="123"/>
        <v>4</v>
      </c>
      <c r="D413" s="13">
        <v>1</v>
      </c>
      <c r="E413" s="13">
        <v>0</v>
      </c>
      <c r="F413" s="12">
        <f t="shared" si="124"/>
        <v>9</v>
      </c>
      <c r="H413" s="9">
        <v>4</v>
      </c>
      <c r="I413" s="9">
        <v>9</v>
      </c>
      <c r="K413" s="9" t="s">
        <v>385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593</v>
      </c>
      <c r="AA413" s="9">
        <v>9</v>
      </c>
      <c r="AC413" s="9">
        <v>12000</v>
      </c>
      <c r="AE413" s="56">
        <f t="shared" si="119"/>
        <v>2400</v>
      </c>
      <c r="AF413" s="10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467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114010010</v>
      </c>
      <c r="B414" s="13">
        <v>11</v>
      </c>
      <c r="C414" s="12">
        <f t="shared" si="123"/>
        <v>4</v>
      </c>
      <c r="D414" s="13">
        <v>1</v>
      </c>
      <c r="E414" s="13">
        <v>0</v>
      </c>
      <c r="F414" s="12">
        <f t="shared" si="124"/>
        <v>10</v>
      </c>
      <c r="H414" s="9">
        <v>4</v>
      </c>
      <c r="I414" s="9">
        <v>10</v>
      </c>
      <c r="K414" s="9" t="s">
        <v>385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593</v>
      </c>
      <c r="AA414" s="9">
        <v>10</v>
      </c>
      <c r="AC414" s="9">
        <v>16000</v>
      </c>
      <c r="AE414" s="56">
        <f t="shared" si="119"/>
        <v>3200</v>
      </c>
      <c r="AF414" s="10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467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114010011</v>
      </c>
      <c r="B415" s="13">
        <v>11</v>
      </c>
      <c r="C415" s="12">
        <f t="shared" si="123"/>
        <v>4</v>
      </c>
      <c r="D415" s="13">
        <v>1</v>
      </c>
      <c r="E415" s="13">
        <v>0</v>
      </c>
      <c r="F415" s="12">
        <f t="shared" si="124"/>
        <v>11</v>
      </c>
      <c r="H415" s="9">
        <v>4</v>
      </c>
      <c r="I415" s="9">
        <v>11</v>
      </c>
      <c r="K415" s="9" t="s">
        <v>385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593</v>
      </c>
      <c r="AA415" s="9">
        <v>11</v>
      </c>
      <c r="AC415" s="9">
        <v>20000</v>
      </c>
      <c r="AE415" s="56">
        <f t="shared" si="119"/>
        <v>4000</v>
      </c>
      <c r="AF415" s="10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467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114010012</v>
      </c>
      <c r="B416" s="13">
        <v>11</v>
      </c>
      <c r="C416" s="12">
        <f t="shared" si="123"/>
        <v>4</v>
      </c>
      <c r="D416" s="13">
        <v>1</v>
      </c>
      <c r="E416" s="13">
        <v>0</v>
      </c>
      <c r="F416" s="12">
        <f t="shared" si="124"/>
        <v>12</v>
      </c>
      <c r="H416" s="9">
        <v>4</v>
      </c>
      <c r="I416" s="9">
        <v>12</v>
      </c>
      <c r="K416" s="9" t="s">
        <v>385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593</v>
      </c>
      <c r="AA416" s="9">
        <v>12</v>
      </c>
      <c r="AC416" s="9">
        <v>24000</v>
      </c>
      <c r="AE416" s="56">
        <f t="shared" si="119"/>
        <v>4800</v>
      </c>
      <c r="AF416" s="10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467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114010013</v>
      </c>
      <c r="B417" s="13">
        <v>11</v>
      </c>
      <c r="C417" s="12">
        <f t="shared" si="123"/>
        <v>4</v>
      </c>
      <c r="D417" s="13">
        <v>1</v>
      </c>
      <c r="E417" s="13">
        <v>0</v>
      </c>
      <c r="F417" s="12">
        <f t="shared" si="124"/>
        <v>13</v>
      </c>
      <c r="H417" s="9">
        <v>4</v>
      </c>
      <c r="I417" s="9">
        <v>13</v>
      </c>
      <c r="K417" s="9" t="s">
        <v>385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593</v>
      </c>
      <c r="AA417" s="9">
        <v>13</v>
      </c>
      <c r="AC417" s="9">
        <v>28000</v>
      </c>
      <c r="AE417" s="56">
        <f t="shared" si="119"/>
        <v>6100</v>
      </c>
      <c r="AF417" s="10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467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513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114010014</v>
      </c>
      <c r="B418" s="13">
        <v>11</v>
      </c>
      <c r="C418" s="12">
        <f t="shared" si="123"/>
        <v>4</v>
      </c>
      <c r="D418" s="13">
        <v>1</v>
      </c>
      <c r="E418" s="13">
        <v>0</v>
      </c>
      <c r="F418" s="12">
        <f t="shared" si="124"/>
        <v>14</v>
      </c>
      <c r="H418" s="9">
        <v>4</v>
      </c>
      <c r="I418" s="9">
        <v>14</v>
      </c>
      <c r="K418" s="9" t="s">
        <v>385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593</v>
      </c>
      <c r="AA418" s="9">
        <v>14</v>
      </c>
      <c r="AC418" s="9">
        <v>36000</v>
      </c>
      <c r="AE418" s="56">
        <f t="shared" si="119"/>
        <v>7200</v>
      </c>
      <c r="AF418" s="10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467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114010015</v>
      </c>
      <c r="B419" s="13">
        <v>11</v>
      </c>
      <c r="C419" s="12">
        <f t="shared" si="123"/>
        <v>4</v>
      </c>
      <c r="D419" s="13">
        <v>1</v>
      </c>
      <c r="E419" s="13">
        <v>0</v>
      </c>
      <c r="F419" s="12">
        <f t="shared" si="124"/>
        <v>15</v>
      </c>
      <c r="H419" s="9">
        <v>4</v>
      </c>
      <c r="I419" s="9">
        <v>15</v>
      </c>
      <c r="K419" s="9" t="s">
        <v>385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593</v>
      </c>
      <c r="AA419" s="9">
        <v>15</v>
      </c>
      <c r="AC419" s="9">
        <v>44000</v>
      </c>
      <c r="AE419" s="56">
        <f t="shared" si="119"/>
        <v>8800</v>
      </c>
      <c r="AF419" s="10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467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114010016</v>
      </c>
      <c r="B420" s="13">
        <v>11</v>
      </c>
      <c r="C420" s="12">
        <f t="shared" si="123"/>
        <v>4</v>
      </c>
      <c r="D420" s="13">
        <v>1</v>
      </c>
      <c r="E420" s="13">
        <v>0</v>
      </c>
      <c r="F420" s="12">
        <f t="shared" si="124"/>
        <v>16</v>
      </c>
      <c r="H420" s="9">
        <v>4</v>
      </c>
      <c r="I420" s="9">
        <v>16</v>
      </c>
      <c r="K420" s="9" t="s">
        <v>385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593</v>
      </c>
      <c r="AA420" s="9">
        <v>16</v>
      </c>
      <c r="AC420" s="9">
        <v>56000</v>
      </c>
      <c r="AE420" s="56">
        <f t="shared" si="119"/>
        <v>11200</v>
      </c>
      <c r="AF420" s="10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467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114010017</v>
      </c>
      <c r="B421" s="13">
        <v>11</v>
      </c>
      <c r="C421" s="12">
        <f t="shared" si="123"/>
        <v>4</v>
      </c>
      <c r="D421" s="13">
        <v>1</v>
      </c>
      <c r="E421" s="13">
        <v>0</v>
      </c>
      <c r="F421" s="12">
        <f t="shared" si="124"/>
        <v>17</v>
      </c>
      <c r="H421" s="9">
        <v>4</v>
      </c>
      <c r="I421" s="9">
        <v>17</v>
      </c>
      <c r="K421" s="9" t="s">
        <v>385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593</v>
      </c>
      <c r="AA421" s="9">
        <v>17</v>
      </c>
      <c r="AC421" s="9">
        <v>68000</v>
      </c>
      <c r="AE421" s="56">
        <f t="shared" si="119"/>
        <v>13600</v>
      </c>
      <c r="AF421" s="10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467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114010018</v>
      </c>
      <c r="B422" s="13">
        <v>11</v>
      </c>
      <c r="C422" s="12">
        <f t="shared" si="123"/>
        <v>4</v>
      </c>
      <c r="D422" s="13">
        <v>1</v>
      </c>
      <c r="E422" s="13">
        <v>0</v>
      </c>
      <c r="F422" s="12">
        <f t="shared" si="124"/>
        <v>18</v>
      </c>
      <c r="H422" s="9">
        <v>4</v>
      </c>
      <c r="I422" s="9">
        <v>18</v>
      </c>
      <c r="K422" s="9" t="s">
        <v>385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593</v>
      </c>
      <c r="AA422" s="9">
        <v>18</v>
      </c>
      <c r="AC422" s="9">
        <v>84000</v>
      </c>
      <c r="AE422" s="56">
        <f t="shared" si="119"/>
        <v>16800</v>
      </c>
      <c r="AF422" s="10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467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114010019</v>
      </c>
      <c r="B423" s="13">
        <v>11</v>
      </c>
      <c r="C423" s="12">
        <f t="shared" si="123"/>
        <v>4</v>
      </c>
      <c r="D423" s="13">
        <v>1</v>
      </c>
      <c r="E423" s="13">
        <v>0</v>
      </c>
      <c r="F423" s="12">
        <f t="shared" si="124"/>
        <v>19</v>
      </c>
      <c r="H423" s="9">
        <v>4</v>
      </c>
      <c r="I423" s="9">
        <v>19</v>
      </c>
      <c r="K423" s="9" t="s">
        <v>385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593</v>
      </c>
      <c r="AA423" s="9">
        <v>19</v>
      </c>
      <c r="AC423" s="9">
        <v>100000</v>
      </c>
      <c r="AE423" s="56">
        <f t="shared" si="119"/>
        <v>20000</v>
      </c>
      <c r="AF423" s="10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467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114010020</v>
      </c>
      <c r="B424" s="13">
        <v>11</v>
      </c>
      <c r="C424" s="12">
        <f t="shared" si="123"/>
        <v>4</v>
      </c>
      <c r="D424" s="13">
        <v>1</v>
      </c>
      <c r="E424" s="13">
        <v>0</v>
      </c>
      <c r="F424" s="12">
        <f t="shared" si="124"/>
        <v>20</v>
      </c>
      <c r="H424" s="9">
        <v>4</v>
      </c>
      <c r="I424" s="9">
        <v>20</v>
      </c>
      <c r="K424" s="9" t="s">
        <v>385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593</v>
      </c>
      <c r="AA424" s="9">
        <v>20</v>
      </c>
      <c r="AC424" s="9">
        <v>120000</v>
      </c>
      <c r="AE424" s="56">
        <f t="shared" si="119"/>
        <v>24000</v>
      </c>
      <c r="AF424" s="10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467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114020001</v>
      </c>
      <c r="B425" s="20">
        <v>11</v>
      </c>
      <c r="C425" s="19">
        <f t="shared" si="123"/>
        <v>4</v>
      </c>
      <c r="D425" s="20">
        <v>2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391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594</v>
      </c>
      <c r="AA425" s="16">
        <v>1</v>
      </c>
      <c r="AB425" s="80"/>
      <c r="AC425" s="16">
        <v>0</v>
      </c>
      <c r="AD425" s="80"/>
      <c r="AE425" s="57">
        <f t="shared" si="119"/>
        <v>580</v>
      </c>
      <c r="AF425" s="17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495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114020002</v>
      </c>
      <c r="B426" s="13">
        <v>11</v>
      </c>
      <c r="C426" s="12">
        <f t="shared" si="123"/>
        <v>4</v>
      </c>
      <c r="D426" s="13">
        <v>2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391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594</v>
      </c>
      <c r="AA426" s="9">
        <v>2</v>
      </c>
      <c r="AC426" s="9">
        <v>400</v>
      </c>
      <c r="AE426" s="56">
        <f t="shared" si="119"/>
        <v>160</v>
      </c>
      <c r="AF426" s="10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114020003</v>
      </c>
      <c r="B427" s="13">
        <v>11</v>
      </c>
      <c r="C427" s="12">
        <f t="shared" si="123"/>
        <v>4</v>
      </c>
      <c r="D427" s="13">
        <v>2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391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594</v>
      </c>
      <c r="AA427" s="9">
        <v>3</v>
      </c>
      <c r="AC427" s="9">
        <v>1200</v>
      </c>
      <c r="AE427" s="56">
        <f t="shared" si="119"/>
        <v>240</v>
      </c>
      <c r="AF427" s="10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114020004</v>
      </c>
      <c r="B428" s="13">
        <v>11</v>
      </c>
      <c r="C428" s="12">
        <f t="shared" si="123"/>
        <v>4</v>
      </c>
      <c r="D428" s="13">
        <v>2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391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594</v>
      </c>
      <c r="AA428" s="9">
        <v>4</v>
      </c>
      <c r="AC428" s="9">
        <v>2000</v>
      </c>
      <c r="AE428" s="56">
        <f t="shared" si="119"/>
        <v>400</v>
      </c>
      <c r="AF428" s="10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114020005</v>
      </c>
      <c r="B429" s="13">
        <v>11</v>
      </c>
      <c r="C429" s="12">
        <f t="shared" si="123"/>
        <v>4</v>
      </c>
      <c r="D429" s="13">
        <v>2</v>
      </c>
      <c r="E429" s="13">
        <v>0</v>
      </c>
      <c r="F429" s="12">
        <f t="shared" si="124"/>
        <v>5</v>
      </c>
      <c r="H429" s="9">
        <v>4</v>
      </c>
      <c r="I429" s="9">
        <v>5</v>
      </c>
      <c r="K429" s="9" t="s">
        <v>391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594</v>
      </c>
      <c r="AA429" s="9">
        <v>5</v>
      </c>
      <c r="AC429" s="9">
        <v>3200</v>
      </c>
      <c r="AE429" s="56">
        <f t="shared" si="119"/>
        <v>640</v>
      </c>
      <c r="AF429" s="10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114020006</v>
      </c>
      <c r="B430" s="13">
        <v>11</v>
      </c>
      <c r="C430" s="12">
        <f t="shared" si="123"/>
        <v>4</v>
      </c>
      <c r="D430" s="13">
        <v>2</v>
      </c>
      <c r="E430" s="13">
        <v>0</v>
      </c>
      <c r="F430" s="12">
        <f t="shared" si="124"/>
        <v>6</v>
      </c>
      <c r="H430" s="9">
        <v>4</v>
      </c>
      <c r="I430" s="9">
        <v>6</v>
      </c>
      <c r="K430" s="9" t="s">
        <v>391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594</v>
      </c>
      <c r="AA430" s="9">
        <v>6</v>
      </c>
      <c r="AC430" s="9">
        <v>4000</v>
      </c>
      <c r="AE430" s="56">
        <f t="shared" si="119"/>
        <v>800</v>
      </c>
      <c r="AF430" s="10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485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114020007</v>
      </c>
      <c r="B431" s="13">
        <v>11</v>
      </c>
      <c r="C431" s="12">
        <f t="shared" si="123"/>
        <v>4</v>
      </c>
      <c r="D431" s="13">
        <v>2</v>
      </c>
      <c r="E431" s="13">
        <v>0</v>
      </c>
      <c r="F431" s="12">
        <f t="shared" si="124"/>
        <v>7</v>
      </c>
      <c r="H431" s="9">
        <v>4</v>
      </c>
      <c r="I431" s="9">
        <v>7</v>
      </c>
      <c r="K431" s="9" t="s">
        <v>391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594</v>
      </c>
      <c r="AA431" s="9">
        <v>7</v>
      </c>
      <c r="AC431" s="9">
        <v>8000</v>
      </c>
      <c r="AE431" s="56">
        <f t="shared" si="119"/>
        <v>1600</v>
      </c>
      <c r="AF431" s="10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114020008</v>
      </c>
      <c r="B432" s="13">
        <v>11</v>
      </c>
      <c r="C432" s="12">
        <f t="shared" si="123"/>
        <v>4</v>
      </c>
      <c r="D432" s="13">
        <v>2</v>
      </c>
      <c r="E432" s="13">
        <v>0</v>
      </c>
      <c r="F432" s="12">
        <f t="shared" si="124"/>
        <v>8</v>
      </c>
      <c r="H432" s="9">
        <v>4</v>
      </c>
      <c r="I432" s="9">
        <v>8</v>
      </c>
      <c r="K432" s="9" t="s">
        <v>391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594</v>
      </c>
      <c r="AA432" s="9">
        <v>8</v>
      </c>
      <c r="AC432" s="9">
        <v>8000</v>
      </c>
      <c r="AE432" s="56">
        <f t="shared" si="119"/>
        <v>1600</v>
      </c>
      <c r="AF432" s="10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472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114020009</v>
      </c>
      <c r="B433" s="13">
        <v>11</v>
      </c>
      <c r="C433" s="12">
        <f t="shared" si="123"/>
        <v>4</v>
      </c>
      <c r="D433" s="13">
        <v>2</v>
      </c>
      <c r="E433" s="13">
        <v>0</v>
      </c>
      <c r="F433" s="12">
        <f t="shared" si="124"/>
        <v>9</v>
      </c>
      <c r="H433" s="9">
        <v>4</v>
      </c>
      <c r="I433" s="9">
        <v>9</v>
      </c>
      <c r="K433" s="9" t="s">
        <v>391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594</v>
      </c>
      <c r="AA433" s="9">
        <v>9</v>
      </c>
      <c r="AC433" s="9">
        <v>12000</v>
      </c>
      <c r="AE433" s="56">
        <f t="shared" si="119"/>
        <v>2400</v>
      </c>
      <c r="AF433" s="10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486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114020010</v>
      </c>
      <c r="B434" s="13">
        <v>11</v>
      </c>
      <c r="C434" s="12">
        <f t="shared" si="123"/>
        <v>4</v>
      </c>
      <c r="D434" s="13">
        <v>2</v>
      </c>
      <c r="E434" s="13">
        <v>0</v>
      </c>
      <c r="F434" s="12">
        <f t="shared" si="124"/>
        <v>10</v>
      </c>
      <c r="H434" s="9">
        <v>4</v>
      </c>
      <c r="I434" s="9">
        <v>10</v>
      </c>
      <c r="K434" s="9" t="s">
        <v>391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594</v>
      </c>
      <c r="AA434" s="9">
        <v>10</v>
      </c>
      <c r="AC434" s="9">
        <v>16000</v>
      </c>
      <c r="AE434" s="56">
        <f t="shared" si="119"/>
        <v>3200</v>
      </c>
      <c r="AF434" s="10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486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114020011</v>
      </c>
      <c r="B435" s="13">
        <v>11</v>
      </c>
      <c r="C435" s="12">
        <f t="shared" si="123"/>
        <v>4</v>
      </c>
      <c r="D435" s="13">
        <v>2</v>
      </c>
      <c r="E435" s="13">
        <v>0</v>
      </c>
      <c r="F435" s="12">
        <f t="shared" si="124"/>
        <v>11</v>
      </c>
      <c r="H435" s="9">
        <v>4</v>
      </c>
      <c r="I435" s="9">
        <v>11</v>
      </c>
      <c r="K435" s="9" t="s">
        <v>391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594</v>
      </c>
      <c r="AA435" s="9">
        <v>11</v>
      </c>
      <c r="AC435" s="9">
        <v>20000</v>
      </c>
      <c r="AE435" s="56">
        <f t="shared" si="119"/>
        <v>4000</v>
      </c>
      <c r="AF435" s="10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486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114020012</v>
      </c>
      <c r="B436" s="13">
        <v>11</v>
      </c>
      <c r="C436" s="12">
        <f t="shared" si="123"/>
        <v>4</v>
      </c>
      <c r="D436" s="13">
        <v>2</v>
      </c>
      <c r="E436" s="13">
        <v>0</v>
      </c>
      <c r="F436" s="12">
        <f t="shared" si="124"/>
        <v>12</v>
      </c>
      <c r="H436" s="9">
        <v>4</v>
      </c>
      <c r="I436" s="9">
        <v>12</v>
      </c>
      <c r="K436" s="9" t="s">
        <v>391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594</v>
      </c>
      <c r="AA436" s="9">
        <v>12</v>
      </c>
      <c r="AC436" s="9">
        <v>24000</v>
      </c>
      <c r="AE436" s="56">
        <f t="shared" si="119"/>
        <v>5300</v>
      </c>
      <c r="AF436" s="10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486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514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114020013</v>
      </c>
      <c r="B437" s="13">
        <v>11</v>
      </c>
      <c r="C437" s="12">
        <f t="shared" si="123"/>
        <v>4</v>
      </c>
      <c r="D437" s="13">
        <v>2</v>
      </c>
      <c r="E437" s="13">
        <v>0</v>
      </c>
      <c r="F437" s="12">
        <f t="shared" si="124"/>
        <v>13</v>
      </c>
      <c r="H437" s="9">
        <v>4</v>
      </c>
      <c r="I437" s="9">
        <v>13</v>
      </c>
      <c r="K437" s="9" t="s">
        <v>391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594</v>
      </c>
      <c r="AA437" s="9">
        <v>13</v>
      </c>
      <c r="AC437" s="9">
        <v>28000</v>
      </c>
      <c r="AE437" s="56">
        <f t="shared" si="119"/>
        <v>5600</v>
      </c>
      <c r="AF437" s="10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486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114020014</v>
      </c>
      <c r="B438" s="13">
        <v>11</v>
      </c>
      <c r="C438" s="12">
        <f t="shared" si="123"/>
        <v>4</v>
      </c>
      <c r="D438" s="13">
        <v>2</v>
      </c>
      <c r="E438" s="13">
        <v>0</v>
      </c>
      <c r="F438" s="12">
        <f t="shared" si="124"/>
        <v>14</v>
      </c>
      <c r="H438" s="9">
        <v>4</v>
      </c>
      <c r="I438" s="9">
        <v>14</v>
      </c>
      <c r="K438" s="9" t="s">
        <v>391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594</v>
      </c>
      <c r="AA438" s="9">
        <v>14</v>
      </c>
      <c r="AC438" s="9">
        <v>36000</v>
      </c>
      <c r="AE438" s="56">
        <f t="shared" si="119"/>
        <v>7200</v>
      </c>
      <c r="AF438" s="10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486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114020015</v>
      </c>
      <c r="B439" s="13">
        <v>11</v>
      </c>
      <c r="C439" s="12">
        <f t="shared" si="123"/>
        <v>4</v>
      </c>
      <c r="D439" s="13">
        <v>2</v>
      </c>
      <c r="E439" s="13">
        <v>0</v>
      </c>
      <c r="F439" s="12">
        <f t="shared" si="124"/>
        <v>15</v>
      </c>
      <c r="H439" s="9">
        <v>4</v>
      </c>
      <c r="I439" s="9">
        <v>15</v>
      </c>
      <c r="K439" s="9" t="s">
        <v>391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594</v>
      </c>
      <c r="AA439" s="9">
        <v>15</v>
      </c>
      <c r="AC439" s="9">
        <v>44000</v>
      </c>
      <c r="AE439" s="56">
        <f t="shared" si="119"/>
        <v>8800</v>
      </c>
      <c r="AF439" s="10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486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114020016</v>
      </c>
      <c r="B440" s="13">
        <v>11</v>
      </c>
      <c r="C440" s="12">
        <f t="shared" si="123"/>
        <v>4</v>
      </c>
      <c r="D440" s="13">
        <v>2</v>
      </c>
      <c r="E440" s="13">
        <v>0</v>
      </c>
      <c r="F440" s="12">
        <f t="shared" si="124"/>
        <v>16</v>
      </c>
      <c r="H440" s="9">
        <v>4</v>
      </c>
      <c r="I440" s="9">
        <v>16</v>
      </c>
      <c r="K440" s="9" t="s">
        <v>391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594</v>
      </c>
      <c r="AA440" s="9">
        <v>16</v>
      </c>
      <c r="AC440" s="9">
        <v>56000</v>
      </c>
      <c r="AE440" s="56">
        <f t="shared" si="119"/>
        <v>11200</v>
      </c>
      <c r="AF440" s="10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486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114020017</v>
      </c>
      <c r="B441" s="13">
        <v>11</v>
      </c>
      <c r="C441" s="12">
        <f t="shared" si="123"/>
        <v>4</v>
      </c>
      <c r="D441" s="13">
        <v>2</v>
      </c>
      <c r="E441" s="13">
        <v>0</v>
      </c>
      <c r="F441" s="12">
        <f t="shared" si="124"/>
        <v>17</v>
      </c>
      <c r="H441" s="9">
        <v>4</v>
      </c>
      <c r="I441" s="9">
        <v>17</v>
      </c>
      <c r="K441" s="9" t="s">
        <v>391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594</v>
      </c>
      <c r="AA441" s="9">
        <v>17</v>
      </c>
      <c r="AC441" s="9">
        <v>68000</v>
      </c>
      <c r="AE441" s="56">
        <f t="shared" si="119"/>
        <v>13600</v>
      </c>
      <c r="AF441" s="10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486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114020018</v>
      </c>
      <c r="B442" s="13">
        <v>11</v>
      </c>
      <c r="C442" s="12">
        <f t="shared" si="123"/>
        <v>4</v>
      </c>
      <c r="D442" s="13">
        <v>2</v>
      </c>
      <c r="E442" s="13">
        <v>0</v>
      </c>
      <c r="F442" s="12">
        <f t="shared" si="124"/>
        <v>18</v>
      </c>
      <c r="H442" s="9">
        <v>4</v>
      </c>
      <c r="I442" s="9">
        <v>18</v>
      </c>
      <c r="K442" s="9" t="s">
        <v>391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594</v>
      </c>
      <c r="AA442" s="9">
        <v>18</v>
      </c>
      <c r="AC442" s="9">
        <v>84000</v>
      </c>
      <c r="AE442" s="56">
        <f t="shared" si="119"/>
        <v>16800</v>
      </c>
      <c r="AF442" s="10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486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114020019</v>
      </c>
      <c r="B443" s="13">
        <v>11</v>
      </c>
      <c r="C443" s="12">
        <f t="shared" si="123"/>
        <v>4</v>
      </c>
      <c r="D443" s="13">
        <v>2</v>
      </c>
      <c r="E443" s="13">
        <v>0</v>
      </c>
      <c r="F443" s="12">
        <f t="shared" si="124"/>
        <v>19</v>
      </c>
      <c r="H443" s="9">
        <v>4</v>
      </c>
      <c r="I443" s="9">
        <v>19</v>
      </c>
      <c r="K443" s="9" t="s">
        <v>391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594</v>
      </c>
      <c r="AA443" s="9">
        <v>19</v>
      </c>
      <c r="AC443" s="9">
        <v>100000</v>
      </c>
      <c r="AE443" s="56">
        <f t="shared" si="119"/>
        <v>20000</v>
      </c>
      <c r="AF443" s="10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486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114020020</v>
      </c>
      <c r="B444" s="13">
        <v>11</v>
      </c>
      <c r="C444" s="12">
        <f t="shared" si="123"/>
        <v>4</v>
      </c>
      <c r="D444" s="13">
        <v>2</v>
      </c>
      <c r="E444" s="13">
        <v>0</v>
      </c>
      <c r="F444" s="12">
        <f t="shared" si="124"/>
        <v>20</v>
      </c>
      <c r="H444" s="9">
        <v>4</v>
      </c>
      <c r="I444" s="9">
        <v>20</v>
      </c>
      <c r="K444" s="9" t="s">
        <v>391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594</v>
      </c>
      <c r="AA444" s="9">
        <v>20</v>
      </c>
      <c r="AC444" s="9">
        <v>120000</v>
      </c>
      <c r="AE444" s="56">
        <f t="shared" si="119"/>
        <v>24000</v>
      </c>
      <c r="AF444" s="10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486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115010001</v>
      </c>
      <c r="B445" s="20">
        <v>11</v>
      </c>
      <c r="C445" s="19">
        <f t="shared" si="123"/>
        <v>5</v>
      </c>
      <c r="D445" s="20">
        <v>1</v>
      </c>
      <c r="E445" s="20">
        <v>0</v>
      </c>
      <c r="F445" s="19">
        <f t="shared" si="124"/>
        <v>1</v>
      </c>
      <c r="G445" s="80"/>
      <c r="H445" s="16">
        <v>5</v>
      </c>
      <c r="I445" s="16">
        <v>1</v>
      </c>
      <c r="J445" s="80"/>
      <c r="K445" s="16" t="s">
        <v>367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595</v>
      </c>
      <c r="AA445" s="16">
        <v>1</v>
      </c>
      <c r="AB445" s="80"/>
      <c r="AC445" s="16">
        <v>0</v>
      </c>
      <c r="AD445" s="80"/>
      <c r="AE445" s="57">
        <f t="shared" si="119"/>
        <v>1080</v>
      </c>
      <c r="AF445" s="17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472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495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517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115010002</v>
      </c>
      <c r="B446" s="13">
        <v>11</v>
      </c>
      <c r="C446" s="12">
        <f t="shared" si="123"/>
        <v>5</v>
      </c>
      <c r="D446" s="13">
        <v>1</v>
      </c>
      <c r="E446" s="13">
        <v>0</v>
      </c>
      <c r="F446" s="12">
        <f t="shared" si="124"/>
        <v>2</v>
      </c>
      <c r="H446" s="9">
        <v>5</v>
      </c>
      <c r="I446" s="9">
        <v>2</v>
      </c>
      <c r="K446" s="9" t="s">
        <v>367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595</v>
      </c>
      <c r="AA446" s="9">
        <v>2</v>
      </c>
      <c r="AC446" s="9">
        <v>200</v>
      </c>
      <c r="AE446" s="56">
        <f t="shared" si="119"/>
        <v>160</v>
      </c>
      <c r="AF446" s="10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472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115010003</v>
      </c>
      <c r="B447" s="13">
        <v>11</v>
      </c>
      <c r="C447" s="12">
        <f t="shared" si="123"/>
        <v>5</v>
      </c>
      <c r="D447" s="13">
        <v>1</v>
      </c>
      <c r="E447" s="13">
        <v>0</v>
      </c>
      <c r="F447" s="12">
        <f t="shared" si="124"/>
        <v>3</v>
      </c>
      <c r="H447" s="9">
        <v>5</v>
      </c>
      <c r="I447" s="9">
        <v>3</v>
      </c>
      <c r="K447" s="9" t="s">
        <v>366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595</v>
      </c>
      <c r="AA447" s="9">
        <v>3</v>
      </c>
      <c r="AC447" s="9">
        <v>600</v>
      </c>
      <c r="AE447" s="56">
        <f t="shared" si="119"/>
        <v>240</v>
      </c>
      <c r="AF447" s="10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472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115010004</v>
      </c>
      <c r="B448" s="13">
        <v>11</v>
      </c>
      <c r="C448" s="12">
        <f t="shared" si="123"/>
        <v>5</v>
      </c>
      <c r="D448" s="13">
        <v>1</v>
      </c>
      <c r="E448" s="13">
        <v>0</v>
      </c>
      <c r="F448" s="12">
        <f t="shared" si="124"/>
        <v>4</v>
      </c>
      <c r="H448" s="9">
        <v>5</v>
      </c>
      <c r="I448" s="9">
        <v>4</v>
      </c>
      <c r="K448" s="9" t="s">
        <v>366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595</v>
      </c>
      <c r="AA448" s="9">
        <v>4</v>
      </c>
      <c r="AC448" s="9">
        <v>1000</v>
      </c>
      <c r="AE448" s="56">
        <f t="shared" si="119"/>
        <v>400</v>
      </c>
      <c r="AF448" s="10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472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115010005</v>
      </c>
      <c r="B449" s="13">
        <v>11</v>
      </c>
      <c r="C449" s="12">
        <f t="shared" si="123"/>
        <v>5</v>
      </c>
      <c r="D449" s="13">
        <v>1</v>
      </c>
      <c r="E449" s="13">
        <v>0</v>
      </c>
      <c r="F449" s="12">
        <f t="shared" si="124"/>
        <v>5</v>
      </c>
      <c r="H449" s="9">
        <v>5</v>
      </c>
      <c r="I449" s="9">
        <v>5</v>
      </c>
      <c r="K449" s="9" t="s">
        <v>366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595</v>
      </c>
      <c r="AA449" s="9">
        <v>5</v>
      </c>
      <c r="AC449" s="9">
        <v>1600</v>
      </c>
      <c r="AE449" s="56">
        <f t="shared" si="119"/>
        <v>640</v>
      </c>
      <c r="AF449" s="10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472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115010006</v>
      </c>
      <c r="B450" s="13">
        <v>11</v>
      </c>
      <c r="C450" s="12">
        <f t="shared" si="123"/>
        <v>5</v>
      </c>
      <c r="D450" s="13">
        <v>1</v>
      </c>
      <c r="E450" s="13">
        <v>0</v>
      </c>
      <c r="F450" s="12">
        <f t="shared" si="124"/>
        <v>6</v>
      </c>
      <c r="H450" s="9">
        <v>5</v>
      </c>
      <c r="I450" s="9">
        <v>6</v>
      </c>
      <c r="K450" s="9" t="s">
        <v>366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595</v>
      </c>
      <c r="AA450" s="9">
        <v>6</v>
      </c>
      <c r="AC450" s="9">
        <v>2000</v>
      </c>
      <c r="AE450" s="56">
        <f t="shared" si="119"/>
        <v>800</v>
      </c>
      <c r="AF450" s="10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472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115010007</v>
      </c>
      <c r="B451" s="13">
        <v>11</v>
      </c>
      <c r="C451" s="12">
        <f t="shared" si="123"/>
        <v>5</v>
      </c>
      <c r="D451" s="13">
        <v>1</v>
      </c>
      <c r="E451" s="13">
        <v>0</v>
      </c>
      <c r="F451" s="12">
        <f t="shared" si="124"/>
        <v>7</v>
      </c>
      <c r="H451" s="9">
        <v>5</v>
      </c>
      <c r="I451" s="9">
        <v>7</v>
      </c>
      <c r="K451" s="9" t="s">
        <v>366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595</v>
      </c>
      <c r="AA451" s="9">
        <v>7</v>
      </c>
      <c r="AC451" s="9">
        <v>4000</v>
      </c>
      <c r="AE451" s="56">
        <f t="shared" si="119"/>
        <v>1600</v>
      </c>
      <c r="AF451" s="10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472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115010008</v>
      </c>
      <c r="B452" s="13">
        <v>11</v>
      </c>
      <c r="C452" s="12">
        <f t="shared" si="123"/>
        <v>5</v>
      </c>
      <c r="D452" s="13">
        <v>1</v>
      </c>
      <c r="E452" s="13">
        <v>0</v>
      </c>
      <c r="F452" s="12">
        <f t="shared" si="124"/>
        <v>8</v>
      </c>
      <c r="H452" s="9">
        <v>5</v>
      </c>
      <c r="I452" s="9">
        <v>8</v>
      </c>
      <c r="K452" s="9" t="s">
        <v>366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595</v>
      </c>
      <c r="AA452" s="9">
        <v>8</v>
      </c>
      <c r="AC452" s="9">
        <v>4000</v>
      </c>
      <c r="AE452" s="56">
        <f t="shared" si="119"/>
        <v>1600</v>
      </c>
      <c r="AF452" s="10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472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115010009</v>
      </c>
      <c r="B453" s="13">
        <v>11</v>
      </c>
      <c r="C453" s="12">
        <f t="shared" si="123"/>
        <v>5</v>
      </c>
      <c r="D453" s="13">
        <v>1</v>
      </c>
      <c r="E453" s="13">
        <v>0</v>
      </c>
      <c r="F453" s="12">
        <f t="shared" si="124"/>
        <v>9</v>
      </c>
      <c r="H453" s="9">
        <v>5</v>
      </c>
      <c r="I453" s="9">
        <v>9</v>
      </c>
      <c r="K453" s="9" t="s">
        <v>366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595</v>
      </c>
      <c r="AA453" s="9">
        <v>9</v>
      </c>
      <c r="AC453" s="9">
        <v>6000</v>
      </c>
      <c r="AE453" s="56">
        <f t="shared" si="119"/>
        <v>2400</v>
      </c>
      <c r="AF453" s="10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472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115010010</v>
      </c>
      <c r="B454" s="13">
        <v>11</v>
      </c>
      <c r="C454" s="12">
        <f t="shared" si="123"/>
        <v>5</v>
      </c>
      <c r="D454" s="13">
        <v>1</v>
      </c>
      <c r="E454" s="13">
        <v>0</v>
      </c>
      <c r="F454" s="12">
        <f t="shared" si="124"/>
        <v>10</v>
      </c>
      <c r="H454" s="9">
        <v>5</v>
      </c>
      <c r="I454" s="9">
        <v>10</v>
      </c>
      <c r="K454" s="9" t="s">
        <v>366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595</v>
      </c>
      <c r="AA454" s="9">
        <v>10</v>
      </c>
      <c r="AC454" s="9">
        <v>8000</v>
      </c>
      <c r="AE454" s="56">
        <f t="shared" ref="AE454:AE517" si="129">AK454*10+AM454+AR454+AW454+500*BB454+500*BG454+500*BL454</f>
        <v>3700</v>
      </c>
      <c r="AF454" s="10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472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520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115010011</v>
      </c>
      <c r="B455" s="13">
        <v>11</v>
      </c>
      <c r="C455" s="12">
        <f t="shared" si="123"/>
        <v>5</v>
      </c>
      <c r="D455" s="13">
        <v>1</v>
      </c>
      <c r="E455" s="13">
        <v>0</v>
      </c>
      <c r="F455" s="12">
        <f t="shared" si="124"/>
        <v>11</v>
      </c>
      <c r="H455" s="9">
        <v>5</v>
      </c>
      <c r="I455" s="9">
        <v>11</v>
      </c>
      <c r="K455" s="9" t="s">
        <v>366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595</v>
      </c>
      <c r="AA455" s="9">
        <v>11</v>
      </c>
      <c r="AC455" s="9">
        <v>10000</v>
      </c>
      <c r="AE455" s="56">
        <f t="shared" si="129"/>
        <v>4000</v>
      </c>
      <c r="AF455" s="10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472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115010012</v>
      </c>
      <c r="B456" s="13">
        <v>11</v>
      </c>
      <c r="C456" s="12">
        <f t="shared" si="123"/>
        <v>5</v>
      </c>
      <c r="D456" s="13">
        <v>1</v>
      </c>
      <c r="E456" s="13">
        <v>0</v>
      </c>
      <c r="F456" s="12">
        <f t="shared" si="124"/>
        <v>12</v>
      </c>
      <c r="H456" s="9">
        <v>5</v>
      </c>
      <c r="I456" s="9">
        <v>12</v>
      </c>
      <c r="K456" s="9" t="s">
        <v>366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595</v>
      </c>
      <c r="AA456" s="9">
        <v>12</v>
      </c>
      <c r="AC456" s="9">
        <v>12000</v>
      </c>
      <c r="AE456" s="56">
        <f t="shared" si="129"/>
        <v>4800</v>
      </c>
      <c r="AF456" s="10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472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115010013</v>
      </c>
      <c r="B457" s="13">
        <v>11</v>
      </c>
      <c r="C457" s="12">
        <f t="shared" si="123"/>
        <v>5</v>
      </c>
      <c r="D457" s="13">
        <v>1</v>
      </c>
      <c r="E457" s="13">
        <v>0</v>
      </c>
      <c r="F457" s="12">
        <f t="shared" si="124"/>
        <v>13</v>
      </c>
      <c r="H457" s="9">
        <v>5</v>
      </c>
      <c r="I457" s="9">
        <v>13</v>
      </c>
      <c r="K457" s="9" t="s">
        <v>366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595</v>
      </c>
      <c r="AA457" s="9">
        <v>13</v>
      </c>
      <c r="AC457" s="9">
        <v>14000</v>
      </c>
      <c r="AE457" s="56">
        <f t="shared" si="129"/>
        <v>5600</v>
      </c>
      <c r="AF457" s="10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472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115010014</v>
      </c>
      <c r="B458" s="13">
        <v>11</v>
      </c>
      <c r="C458" s="12">
        <f t="shared" si="123"/>
        <v>5</v>
      </c>
      <c r="D458" s="13">
        <v>1</v>
      </c>
      <c r="E458" s="13">
        <v>0</v>
      </c>
      <c r="F458" s="12">
        <f t="shared" si="124"/>
        <v>14</v>
      </c>
      <c r="H458" s="9">
        <v>5</v>
      </c>
      <c r="I458" s="9">
        <v>14</v>
      </c>
      <c r="K458" s="9" t="s">
        <v>366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595</v>
      </c>
      <c r="AA458" s="9">
        <v>14</v>
      </c>
      <c r="AC458" s="9">
        <v>18000</v>
      </c>
      <c r="AE458" s="56">
        <f t="shared" si="129"/>
        <v>7200</v>
      </c>
      <c r="AF458" s="10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472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115010015</v>
      </c>
      <c r="B459" s="13">
        <v>11</v>
      </c>
      <c r="C459" s="12">
        <f t="shared" si="123"/>
        <v>5</v>
      </c>
      <c r="D459" s="13">
        <v>1</v>
      </c>
      <c r="E459" s="13">
        <v>0</v>
      </c>
      <c r="F459" s="12">
        <f t="shared" si="124"/>
        <v>15</v>
      </c>
      <c r="H459" s="9">
        <v>5</v>
      </c>
      <c r="I459" s="9">
        <v>15</v>
      </c>
      <c r="K459" s="9" t="s">
        <v>366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595</v>
      </c>
      <c r="AA459" s="9">
        <v>15</v>
      </c>
      <c r="AC459" s="9">
        <v>22000</v>
      </c>
      <c r="AE459" s="56">
        <f t="shared" si="129"/>
        <v>8800</v>
      </c>
      <c r="AF459" s="10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472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115010016</v>
      </c>
      <c r="B460" s="13">
        <v>11</v>
      </c>
      <c r="C460" s="12">
        <f t="shared" si="123"/>
        <v>5</v>
      </c>
      <c r="D460" s="13">
        <v>1</v>
      </c>
      <c r="E460" s="13">
        <v>0</v>
      </c>
      <c r="F460" s="12">
        <f t="shared" si="124"/>
        <v>16</v>
      </c>
      <c r="H460" s="9">
        <v>5</v>
      </c>
      <c r="I460" s="9">
        <v>16</v>
      </c>
      <c r="K460" s="9" t="s">
        <v>366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595</v>
      </c>
      <c r="AA460" s="9">
        <v>16</v>
      </c>
      <c r="AC460" s="9">
        <v>28000</v>
      </c>
      <c r="AE460" s="56">
        <f t="shared" si="129"/>
        <v>11200</v>
      </c>
      <c r="AF460" s="10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483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115010017</v>
      </c>
      <c r="B461" s="13">
        <v>11</v>
      </c>
      <c r="C461" s="12">
        <f t="shared" si="123"/>
        <v>5</v>
      </c>
      <c r="D461" s="13">
        <v>1</v>
      </c>
      <c r="E461" s="13">
        <v>0</v>
      </c>
      <c r="F461" s="12">
        <f t="shared" si="124"/>
        <v>17</v>
      </c>
      <c r="H461" s="9">
        <v>5</v>
      </c>
      <c r="I461" s="9">
        <v>17</v>
      </c>
      <c r="K461" s="9" t="s">
        <v>366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595</v>
      </c>
      <c r="AA461" s="9">
        <v>17</v>
      </c>
      <c r="AC461" s="9">
        <v>34000</v>
      </c>
      <c r="AE461" s="56">
        <f t="shared" si="129"/>
        <v>13600</v>
      </c>
      <c r="AF461" s="10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483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115010018</v>
      </c>
      <c r="B462" s="13">
        <v>11</v>
      </c>
      <c r="C462" s="12">
        <f t="shared" si="123"/>
        <v>5</v>
      </c>
      <c r="D462" s="13">
        <v>1</v>
      </c>
      <c r="E462" s="13">
        <v>0</v>
      </c>
      <c r="F462" s="12">
        <f t="shared" si="124"/>
        <v>18</v>
      </c>
      <c r="H462" s="9">
        <v>5</v>
      </c>
      <c r="I462" s="9">
        <v>18</v>
      </c>
      <c r="K462" s="9" t="s">
        <v>366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595</v>
      </c>
      <c r="AA462" s="9">
        <v>18</v>
      </c>
      <c r="AC462" s="9">
        <v>42000</v>
      </c>
      <c r="AE462" s="56">
        <f t="shared" si="129"/>
        <v>16800</v>
      </c>
      <c r="AF462" s="10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483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115010019</v>
      </c>
      <c r="B463" s="13">
        <v>11</v>
      </c>
      <c r="C463" s="12">
        <f t="shared" si="123"/>
        <v>5</v>
      </c>
      <c r="D463" s="13">
        <v>1</v>
      </c>
      <c r="E463" s="13">
        <v>0</v>
      </c>
      <c r="F463" s="12">
        <f t="shared" si="124"/>
        <v>19</v>
      </c>
      <c r="H463" s="9">
        <v>5</v>
      </c>
      <c r="I463" s="9">
        <v>19</v>
      </c>
      <c r="K463" s="9" t="s">
        <v>366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595</v>
      </c>
      <c r="AA463" s="9">
        <v>19</v>
      </c>
      <c r="AC463" s="9">
        <v>50000</v>
      </c>
      <c r="AE463" s="56">
        <f t="shared" si="129"/>
        <v>20000</v>
      </c>
      <c r="AF463" s="10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483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115010020</v>
      </c>
      <c r="B464" s="13">
        <v>11</v>
      </c>
      <c r="C464" s="12">
        <f t="shared" si="123"/>
        <v>5</v>
      </c>
      <c r="D464" s="13">
        <v>1</v>
      </c>
      <c r="E464" s="13">
        <v>0</v>
      </c>
      <c r="F464" s="12">
        <f t="shared" si="124"/>
        <v>20</v>
      </c>
      <c r="H464" s="9">
        <v>5</v>
      </c>
      <c r="I464" s="9">
        <v>20</v>
      </c>
      <c r="K464" s="9" t="s">
        <v>366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595</v>
      </c>
      <c r="AA464" s="9">
        <v>20</v>
      </c>
      <c r="AC464" s="9">
        <v>60000</v>
      </c>
      <c r="AE464" s="56">
        <f t="shared" si="129"/>
        <v>24000</v>
      </c>
      <c r="AF464" s="10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483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115020001</v>
      </c>
      <c r="B465" s="20">
        <v>11</v>
      </c>
      <c r="C465" s="19">
        <f t="shared" si="123"/>
        <v>5</v>
      </c>
      <c r="D465" s="20">
        <v>2</v>
      </c>
      <c r="E465" s="20">
        <v>0</v>
      </c>
      <c r="F465" s="19">
        <f t="shared" si="124"/>
        <v>1</v>
      </c>
      <c r="G465" s="80"/>
      <c r="H465" s="16">
        <v>5</v>
      </c>
      <c r="I465" s="16">
        <v>1</v>
      </c>
      <c r="J465" s="80"/>
      <c r="K465" s="16" t="s">
        <v>378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399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472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495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517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115020002</v>
      </c>
      <c r="B466" s="13">
        <v>11</v>
      </c>
      <c r="C466" s="12">
        <f t="shared" si="123"/>
        <v>5</v>
      </c>
      <c r="D466" s="13">
        <v>2</v>
      </c>
      <c r="E466" s="13">
        <v>0</v>
      </c>
      <c r="F466" s="12">
        <f t="shared" si="124"/>
        <v>2</v>
      </c>
      <c r="H466" s="9">
        <v>5</v>
      </c>
      <c r="I466" s="9">
        <v>2</v>
      </c>
      <c r="K466" s="9" t="s">
        <v>364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395</v>
      </c>
      <c r="AA466" s="9">
        <v>2</v>
      </c>
      <c r="AC466" s="9">
        <v>400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472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115020003</v>
      </c>
      <c r="B467" s="13">
        <v>11</v>
      </c>
      <c r="C467" s="12">
        <f t="shared" si="123"/>
        <v>5</v>
      </c>
      <c r="D467" s="13">
        <v>2</v>
      </c>
      <c r="E467" s="13">
        <v>0</v>
      </c>
      <c r="F467" s="12">
        <f t="shared" si="12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394</v>
      </c>
      <c r="AA467" s="9">
        <v>3</v>
      </c>
      <c r="AC467" s="9">
        <v>1200</v>
      </c>
      <c r="AE467" s="56">
        <f t="shared" si="129"/>
        <v>240</v>
      </c>
      <c r="AF467" s="10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472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115020004</v>
      </c>
      <c r="B468" s="13">
        <v>11</v>
      </c>
      <c r="C468" s="12">
        <f t="shared" si="123"/>
        <v>5</v>
      </c>
      <c r="D468" s="13">
        <v>2</v>
      </c>
      <c r="E468" s="13">
        <v>0</v>
      </c>
      <c r="F468" s="12">
        <f t="shared" si="12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394</v>
      </c>
      <c r="AA468" s="9">
        <v>4</v>
      </c>
      <c r="AC468" s="9">
        <v>2000</v>
      </c>
      <c r="AE468" s="56">
        <f t="shared" si="129"/>
        <v>400</v>
      </c>
      <c r="AF468" s="10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472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115020005</v>
      </c>
      <c r="B469" s="13">
        <v>11</v>
      </c>
      <c r="C469" s="12">
        <f t="shared" si="123"/>
        <v>5</v>
      </c>
      <c r="D469" s="13">
        <v>2</v>
      </c>
      <c r="E469" s="13">
        <v>0</v>
      </c>
      <c r="F469" s="12">
        <f t="shared" si="12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394</v>
      </c>
      <c r="AA469" s="9">
        <v>5</v>
      </c>
      <c r="AC469" s="9">
        <v>3200</v>
      </c>
      <c r="AE469" s="56">
        <f t="shared" si="129"/>
        <v>640</v>
      </c>
      <c r="AF469" s="10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472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115020006</v>
      </c>
      <c r="B470" s="13">
        <v>11</v>
      </c>
      <c r="C470" s="12">
        <f t="shared" si="123"/>
        <v>5</v>
      </c>
      <c r="D470" s="13">
        <v>2</v>
      </c>
      <c r="E470" s="13">
        <v>0</v>
      </c>
      <c r="F470" s="12">
        <f t="shared" si="12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394</v>
      </c>
      <c r="AA470" s="9">
        <v>6</v>
      </c>
      <c r="AC470" s="9">
        <v>4000</v>
      </c>
      <c r="AE470" s="56">
        <f t="shared" si="129"/>
        <v>800</v>
      </c>
      <c r="AF470" s="10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472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115020007</v>
      </c>
      <c r="B471" s="13">
        <v>11</v>
      </c>
      <c r="C471" s="12">
        <f t="shared" si="123"/>
        <v>5</v>
      </c>
      <c r="D471" s="13">
        <v>2</v>
      </c>
      <c r="E471" s="13">
        <v>0</v>
      </c>
      <c r="F471" s="12">
        <f t="shared" si="12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394</v>
      </c>
      <c r="AA471" s="9">
        <v>7</v>
      </c>
      <c r="AC471" s="9">
        <v>8000</v>
      </c>
      <c r="AE471" s="56">
        <f t="shared" si="129"/>
        <v>1600</v>
      </c>
      <c r="AF471" s="10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472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115020008</v>
      </c>
      <c r="B472" s="13">
        <v>11</v>
      </c>
      <c r="C472" s="12">
        <f t="shared" si="123"/>
        <v>5</v>
      </c>
      <c r="D472" s="13">
        <v>2</v>
      </c>
      <c r="E472" s="13">
        <v>0</v>
      </c>
      <c r="F472" s="12">
        <f t="shared" si="12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394</v>
      </c>
      <c r="AA472" s="9">
        <v>8</v>
      </c>
      <c r="AC472" s="9">
        <v>8000</v>
      </c>
      <c r="AE472" s="56">
        <f t="shared" si="129"/>
        <v>1600</v>
      </c>
      <c r="AF472" s="10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472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115020009</v>
      </c>
      <c r="B473" s="13">
        <v>11</v>
      </c>
      <c r="C473" s="12">
        <f t="shared" ref="C473:C536" si="133">H473</f>
        <v>5</v>
      </c>
      <c r="D473" s="13">
        <v>2</v>
      </c>
      <c r="E473" s="13">
        <v>0</v>
      </c>
      <c r="F473" s="12">
        <f t="shared" ref="F473:F536" si="134">I473</f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394</v>
      </c>
      <c r="AA473" s="9">
        <v>9</v>
      </c>
      <c r="AC473" s="9">
        <v>12000</v>
      </c>
      <c r="AE473" s="56">
        <f t="shared" si="129"/>
        <v>2400</v>
      </c>
      <c r="AF473" s="10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472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115020010</v>
      </c>
      <c r="B474" s="13">
        <v>11</v>
      </c>
      <c r="C474" s="12">
        <f t="shared" si="133"/>
        <v>5</v>
      </c>
      <c r="D474" s="13">
        <v>2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394</v>
      </c>
      <c r="AA474" s="9">
        <v>10</v>
      </c>
      <c r="AC474" s="9">
        <v>16000</v>
      </c>
      <c r="AE474" s="56">
        <f t="shared" si="129"/>
        <v>3700</v>
      </c>
      <c r="AF474" s="10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472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528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115020011</v>
      </c>
      <c r="B475" s="13">
        <v>11</v>
      </c>
      <c r="C475" s="12">
        <f t="shared" si="133"/>
        <v>5</v>
      </c>
      <c r="D475" s="13">
        <v>2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394</v>
      </c>
      <c r="AA475" s="9">
        <v>11</v>
      </c>
      <c r="AC475" s="9">
        <v>20000</v>
      </c>
      <c r="AE475" s="56">
        <f t="shared" si="129"/>
        <v>4000</v>
      </c>
      <c r="AF475" s="10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472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115020012</v>
      </c>
      <c r="B476" s="13">
        <v>11</v>
      </c>
      <c r="C476" s="12">
        <f t="shared" si="133"/>
        <v>5</v>
      </c>
      <c r="D476" s="13">
        <v>2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394</v>
      </c>
      <c r="AA476" s="9">
        <v>12</v>
      </c>
      <c r="AC476" s="9">
        <v>24000</v>
      </c>
      <c r="AE476" s="56">
        <f t="shared" si="129"/>
        <v>4800</v>
      </c>
      <c r="AF476" s="10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472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115020013</v>
      </c>
      <c r="B477" s="13">
        <v>11</v>
      </c>
      <c r="C477" s="12">
        <f t="shared" si="133"/>
        <v>5</v>
      </c>
      <c r="D477" s="13">
        <v>2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394</v>
      </c>
      <c r="AA477" s="9">
        <v>13</v>
      </c>
      <c r="AC477" s="9">
        <v>28000</v>
      </c>
      <c r="AE477" s="56">
        <f t="shared" si="129"/>
        <v>5600</v>
      </c>
      <c r="AF477" s="10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472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115020014</v>
      </c>
      <c r="B478" s="13">
        <v>11</v>
      </c>
      <c r="C478" s="12">
        <f t="shared" si="133"/>
        <v>5</v>
      </c>
      <c r="D478" s="13">
        <v>2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394</v>
      </c>
      <c r="AA478" s="9">
        <v>14</v>
      </c>
      <c r="AC478" s="9">
        <v>36000</v>
      </c>
      <c r="AE478" s="56">
        <f t="shared" si="129"/>
        <v>7200</v>
      </c>
      <c r="AF478" s="10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472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115020015</v>
      </c>
      <c r="B479" s="13">
        <v>11</v>
      </c>
      <c r="C479" s="12">
        <f t="shared" si="133"/>
        <v>5</v>
      </c>
      <c r="D479" s="13">
        <v>2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394</v>
      </c>
      <c r="AA479" s="9">
        <v>15</v>
      </c>
      <c r="AC479" s="9">
        <v>44000</v>
      </c>
      <c r="AE479" s="56">
        <f t="shared" si="129"/>
        <v>8800</v>
      </c>
      <c r="AF479" s="10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115020016</v>
      </c>
      <c r="B480" s="13">
        <v>11</v>
      </c>
      <c r="C480" s="12">
        <f t="shared" si="133"/>
        <v>5</v>
      </c>
      <c r="D480" s="13">
        <v>2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394</v>
      </c>
      <c r="AA480" s="9">
        <v>16</v>
      </c>
      <c r="AC480" s="9">
        <v>56000</v>
      </c>
      <c r="AE480" s="56">
        <f t="shared" si="129"/>
        <v>11200</v>
      </c>
      <c r="AF480" s="10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115020017</v>
      </c>
      <c r="B481" s="13">
        <v>11</v>
      </c>
      <c r="C481" s="12">
        <f t="shared" si="133"/>
        <v>5</v>
      </c>
      <c r="D481" s="13">
        <v>2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394</v>
      </c>
      <c r="AA481" s="9">
        <v>17</v>
      </c>
      <c r="AC481" s="9">
        <v>68000</v>
      </c>
      <c r="AE481" s="56">
        <f t="shared" si="129"/>
        <v>13600</v>
      </c>
      <c r="AF481" s="10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115020018</v>
      </c>
      <c r="B482" s="13">
        <v>11</v>
      </c>
      <c r="C482" s="12">
        <f t="shared" si="133"/>
        <v>5</v>
      </c>
      <c r="D482" s="13">
        <v>2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394</v>
      </c>
      <c r="AA482" s="9">
        <v>18</v>
      </c>
      <c r="AC482" s="9">
        <v>84000</v>
      </c>
      <c r="AE482" s="56">
        <f t="shared" si="129"/>
        <v>16800</v>
      </c>
      <c r="AF482" s="10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115020019</v>
      </c>
      <c r="B483" s="13">
        <v>11</v>
      </c>
      <c r="C483" s="12">
        <f t="shared" si="133"/>
        <v>5</v>
      </c>
      <c r="D483" s="13">
        <v>2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394</v>
      </c>
      <c r="AA483" s="9">
        <v>19</v>
      </c>
      <c r="AC483" s="9">
        <v>100000</v>
      </c>
      <c r="AE483" s="56">
        <f t="shared" si="129"/>
        <v>20000</v>
      </c>
      <c r="AF483" s="10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115020020</v>
      </c>
      <c r="B484" s="13">
        <v>11</v>
      </c>
      <c r="C484" s="12">
        <f t="shared" si="133"/>
        <v>5</v>
      </c>
      <c r="D484" s="13">
        <v>2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394</v>
      </c>
      <c r="AA484" s="9">
        <v>20</v>
      </c>
      <c r="AC484" s="9">
        <v>120000</v>
      </c>
      <c r="AE484" s="56">
        <f t="shared" si="129"/>
        <v>24000</v>
      </c>
      <c r="AF484" s="10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115030001</v>
      </c>
      <c r="B485" s="20">
        <v>11</v>
      </c>
      <c r="C485" s="19">
        <f t="shared" si="133"/>
        <v>5</v>
      </c>
      <c r="D485" s="20">
        <v>3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379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29"/>
        <v>1080</v>
      </c>
      <c r="AF485" s="17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469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495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517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115030002</v>
      </c>
      <c r="B486" s="13">
        <v>11</v>
      </c>
      <c r="C486" s="12">
        <f t="shared" si="133"/>
        <v>5</v>
      </c>
      <c r="D486" s="13">
        <v>3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365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396</v>
      </c>
      <c r="AA486" s="9">
        <v>2</v>
      </c>
      <c r="AC486" s="9">
        <v>200</v>
      </c>
      <c r="AE486" s="56">
        <f t="shared" si="129"/>
        <v>160</v>
      </c>
      <c r="AF486" s="10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469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115030003</v>
      </c>
      <c r="B487" s="13">
        <v>11</v>
      </c>
      <c r="C487" s="12">
        <f t="shared" si="133"/>
        <v>5</v>
      </c>
      <c r="D487" s="13">
        <v>3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365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396</v>
      </c>
      <c r="AA487" s="9">
        <v>3</v>
      </c>
      <c r="AC487" s="9">
        <v>600</v>
      </c>
      <c r="AE487" s="56">
        <f t="shared" si="129"/>
        <v>240</v>
      </c>
      <c r="AF487" s="10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469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115030004</v>
      </c>
      <c r="B488" s="13">
        <v>11</v>
      </c>
      <c r="C488" s="12">
        <f t="shared" si="133"/>
        <v>5</v>
      </c>
      <c r="D488" s="13">
        <v>3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365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396</v>
      </c>
      <c r="AA488" s="9">
        <v>4</v>
      </c>
      <c r="AC488" s="9">
        <v>1000</v>
      </c>
      <c r="AE488" s="56">
        <f t="shared" si="129"/>
        <v>400</v>
      </c>
      <c r="AF488" s="10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469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115030005</v>
      </c>
      <c r="B489" s="13">
        <v>11</v>
      </c>
      <c r="C489" s="12">
        <f t="shared" si="133"/>
        <v>5</v>
      </c>
      <c r="D489" s="13">
        <v>3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365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396</v>
      </c>
      <c r="AA489" s="9">
        <v>5</v>
      </c>
      <c r="AC489" s="9">
        <v>1600</v>
      </c>
      <c r="AE489" s="56">
        <f t="shared" si="129"/>
        <v>640</v>
      </c>
      <c r="AF489" s="10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469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115030006</v>
      </c>
      <c r="B490" s="13">
        <v>11</v>
      </c>
      <c r="C490" s="12">
        <f t="shared" si="133"/>
        <v>5</v>
      </c>
      <c r="D490" s="13">
        <v>3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365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396</v>
      </c>
      <c r="AA490" s="9">
        <v>6</v>
      </c>
      <c r="AC490" s="9">
        <v>2000</v>
      </c>
      <c r="AE490" s="56">
        <f t="shared" si="129"/>
        <v>800</v>
      </c>
      <c r="AF490" s="10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469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115030007</v>
      </c>
      <c r="B491" s="13">
        <v>11</v>
      </c>
      <c r="C491" s="12">
        <f t="shared" si="133"/>
        <v>5</v>
      </c>
      <c r="D491" s="13">
        <v>3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365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396</v>
      </c>
      <c r="AA491" s="9">
        <v>7</v>
      </c>
      <c r="AC491" s="9">
        <v>4000</v>
      </c>
      <c r="AE491" s="56">
        <f t="shared" si="129"/>
        <v>1600</v>
      </c>
      <c r="AF491" s="10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469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115030008</v>
      </c>
      <c r="B492" s="13">
        <v>11</v>
      </c>
      <c r="C492" s="12">
        <f t="shared" si="133"/>
        <v>5</v>
      </c>
      <c r="D492" s="13">
        <v>3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365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396</v>
      </c>
      <c r="AA492" s="9">
        <v>8</v>
      </c>
      <c r="AC492" s="9">
        <v>4000</v>
      </c>
      <c r="AE492" s="56">
        <f t="shared" si="129"/>
        <v>2100</v>
      </c>
      <c r="AF492" s="10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469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522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115030009</v>
      </c>
      <c r="B493" s="13">
        <v>11</v>
      </c>
      <c r="C493" s="12">
        <f t="shared" si="133"/>
        <v>5</v>
      </c>
      <c r="D493" s="13">
        <v>3</v>
      </c>
      <c r="E493" s="13">
        <v>0</v>
      </c>
      <c r="F493" s="12">
        <f t="shared" si="134"/>
        <v>9</v>
      </c>
      <c r="H493" s="9">
        <v>5</v>
      </c>
      <c r="I493" s="9">
        <v>9</v>
      </c>
      <c r="K493" s="9" t="s">
        <v>365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396</v>
      </c>
      <c r="AA493" s="9">
        <v>9</v>
      </c>
      <c r="AC493" s="9">
        <v>6000</v>
      </c>
      <c r="AE493" s="56">
        <f t="shared" si="129"/>
        <v>2400</v>
      </c>
      <c r="AF493" s="10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469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115030010</v>
      </c>
      <c r="B494" s="13">
        <v>11</v>
      </c>
      <c r="C494" s="12">
        <f t="shared" si="133"/>
        <v>5</v>
      </c>
      <c r="D494" s="13">
        <v>3</v>
      </c>
      <c r="E494" s="13">
        <v>0</v>
      </c>
      <c r="F494" s="12">
        <f t="shared" si="134"/>
        <v>10</v>
      </c>
      <c r="H494" s="9">
        <v>5</v>
      </c>
      <c r="I494" s="9">
        <v>10</v>
      </c>
      <c r="K494" s="9" t="s">
        <v>365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396</v>
      </c>
      <c r="AA494" s="9">
        <v>10</v>
      </c>
      <c r="AC494" s="9">
        <v>8000</v>
      </c>
      <c r="AE494" s="56">
        <f t="shared" si="129"/>
        <v>3200</v>
      </c>
      <c r="AF494" s="10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469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115030011</v>
      </c>
      <c r="B495" s="13">
        <v>11</v>
      </c>
      <c r="C495" s="12">
        <f t="shared" si="133"/>
        <v>5</v>
      </c>
      <c r="D495" s="13">
        <v>3</v>
      </c>
      <c r="E495" s="13">
        <v>0</v>
      </c>
      <c r="F495" s="12">
        <f t="shared" si="134"/>
        <v>11</v>
      </c>
      <c r="H495" s="9">
        <v>5</v>
      </c>
      <c r="I495" s="9">
        <v>11</v>
      </c>
      <c r="K495" s="9" t="s">
        <v>365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396</v>
      </c>
      <c r="AA495" s="9">
        <v>11</v>
      </c>
      <c r="AC495" s="9">
        <v>10000</v>
      </c>
      <c r="AE495" s="56">
        <f t="shared" si="129"/>
        <v>4000</v>
      </c>
      <c r="AF495" s="10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469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115030012</v>
      </c>
      <c r="B496" s="13">
        <v>11</v>
      </c>
      <c r="C496" s="12">
        <f t="shared" si="133"/>
        <v>5</v>
      </c>
      <c r="D496" s="13">
        <v>3</v>
      </c>
      <c r="E496" s="13">
        <v>0</v>
      </c>
      <c r="F496" s="12">
        <f t="shared" si="134"/>
        <v>12</v>
      </c>
      <c r="H496" s="9">
        <v>5</v>
      </c>
      <c r="I496" s="9">
        <v>12</v>
      </c>
      <c r="K496" s="9" t="s">
        <v>365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396</v>
      </c>
      <c r="AA496" s="9">
        <v>12</v>
      </c>
      <c r="AC496" s="9">
        <v>12000</v>
      </c>
      <c r="AE496" s="56">
        <f t="shared" si="129"/>
        <v>4800</v>
      </c>
      <c r="AF496" s="10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469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115030013</v>
      </c>
      <c r="B497" s="13">
        <v>11</v>
      </c>
      <c r="C497" s="12">
        <f t="shared" si="133"/>
        <v>5</v>
      </c>
      <c r="D497" s="13">
        <v>3</v>
      </c>
      <c r="E497" s="13">
        <v>0</v>
      </c>
      <c r="F497" s="12">
        <f t="shared" si="134"/>
        <v>13</v>
      </c>
      <c r="H497" s="9">
        <v>5</v>
      </c>
      <c r="I497" s="9">
        <v>13</v>
      </c>
      <c r="K497" s="9" t="s">
        <v>365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396</v>
      </c>
      <c r="AA497" s="9">
        <v>13</v>
      </c>
      <c r="AC497" s="9">
        <v>14000</v>
      </c>
      <c r="AE497" s="56">
        <f t="shared" si="129"/>
        <v>5600</v>
      </c>
      <c r="AF497" s="10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469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115030014</v>
      </c>
      <c r="B498" s="13">
        <v>11</v>
      </c>
      <c r="C498" s="12">
        <f t="shared" si="133"/>
        <v>5</v>
      </c>
      <c r="D498" s="13">
        <v>3</v>
      </c>
      <c r="E498" s="13">
        <v>0</v>
      </c>
      <c r="F498" s="12">
        <f t="shared" si="134"/>
        <v>14</v>
      </c>
      <c r="H498" s="9">
        <v>5</v>
      </c>
      <c r="I498" s="9">
        <v>14</v>
      </c>
      <c r="K498" s="9" t="s">
        <v>365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396</v>
      </c>
      <c r="AA498" s="9">
        <v>14</v>
      </c>
      <c r="AC498" s="9">
        <v>18000</v>
      </c>
      <c r="AE498" s="56">
        <f t="shared" si="129"/>
        <v>7200</v>
      </c>
      <c r="AF498" s="10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115030015</v>
      </c>
      <c r="B499" s="13">
        <v>11</v>
      </c>
      <c r="C499" s="12">
        <f t="shared" si="133"/>
        <v>5</v>
      </c>
      <c r="D499" s="13">
        <v>3</v>
      </c>
      <c r="E499" s="13">
        <v>0</v>
      </c>
      <c r="F499" s="12">
        <f t="shared" si="134"/>
        <v>15</v>
      </c>
      <c r="H499" s="9">
        <v>5</v>
      </c>
      <c r="I499" s="9">
        <v>15</v>
      </c>
      <c r="K499" s="9" t="s">
        <v>365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396</v>
      </c>
      <c r="AA499" s="9">
        <v>15</v>
      </c>
      <c r="AC499" s="9">
        <v>22000</v>
      </c>
      <c r="AE499" s="56">
        <f t="shared" si="129"/>
        <v>8800</v>
      </c>
      <c r="AF499" s="10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115030016</v>
      </c>
      <c r="B500" s="13">
        <v>11</v>
      </c>
      <c r="C500" s="12">
        <f t="shared" si="133"/>
        <v>5</v>
      </c>
      <c r="D500" s="13">
        <v>3</v>
      </c>
      <c r="E500" s="13">
        <v>0</v>
      </c>
      <c r="F500" s="12">
        <f t="shared" si="134"/>
        <v>16</v>
      </c>
      <c r="H500" s="9">
        <v>5</v>
      </c>
      <c r="I500" s="9">
        <v>16</v>
      </c>
      <c r="K500" s="9" t="s">
        <v>365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396</v>
      </c>
      <c r="AA500" s="9">
        <v>16</v>
      </c>
      <c r="AC500" s="9">
        <v>28000</v>
      </c>
      <c r="AE500" s="56">
        <f t="shared" si="129"/>
        <v>11200</v>
      </c>
      <c r="AF500" s="10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115030017</v>
      </c>
      <c r="B501" s="13">
        <v>11</v>
      </c>
      <c r="C501" s="12">
        <f t="shared" si="133"/>
        <v>5</v>
      </c>
      <c r="D501" s="13">
        <v>3</v>
      </c>
      <c r="E501" s="13">
        <v>0</v>
      </c>
      <c r="F501" s="12">
        <f t="shared" si="134"/>
        <v>17</v>
      </c>
      <c r="H501" s="9">
        <v>5</v>
      </c>
      <c r="I501" s="9">
        <v>17</v>
      </c>
      <c r="K501" s="9" t="s">
        <v>365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396</v>
      </c>
      <c r="AA501" s="9">
        <v>17</v>
      </c>
      <c r="AC501" s="9">
        <v>34000</v>
      </c>
      <c r="AE501" s="56">
        <f t="shared" si="129"/>
        <v>13600</v>
      </c>
      <c r="AF501" s="10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115030018</v>
      </c>
      <c r="B502" s="13">
        <v>11</v>
      </c>
      <c r="C502" s="12">
        <f t="shared" si="133"/>
        <v>5</v>
      </c>
      <c r="D502" s="13">
        <v>3</v>
      </c>
      <c r="E502" s="13">
        <v>0</v>
      </c>
      <c r="F502" s="12">
        <f t="shared" si="134"/>
        <v>18</v>
      </c>
      <c r="H502" s="9">
        <v>5</v>
      </c>
      <c r="I502" s="9">
        <v>18</v>
      </c>
      <c r="K502" s="9" t="s">
        <v>365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396</v>
      </c>
      <c r="AA502" s="9">
        <v>18</v>
      </c>
      <c r="AC502" s="9">
        <v>42000</v>
      </c>
      <c r="AE502" s="56">
        <f t="shared" si="129"/>
        <v>16800</v>
      </c>
      <c r="AF502" s="10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115030019</v>
      </c>
      <c r="B503" s="13">
        <v>11</v>
      </c>
      <c r="C503" s="12">
        <f t="shared" si="133"/>
        <v>5</v>
      </c>
      <c r="D503" s="13">
        <v>3</v>
      </c>
      <c r="E503" s="13">
        <v>0</v>
      </c>
      <c r="F503" s="12">
        <f t="shared" si="134"/>
        <v>19</v>
      </c>
      <c r="H503" s="9">
        <v>5</v>
      </c>
      <c r="I503" s="9">
        <v>19</v>
      </c>
      <c r="K503" s="9" t="s">
        <v>365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396</v>
      </c>
      <c r="AA503" s="9">
        <v>19</v>
      </c>
      <c r="AC503" s="9">
        <v>50000</v>
      </c>
      <c r="AE503" s="56">
        <f t="shared" si="129"/>
        <v>20000</v>
      </c>
      <c r="AF503" s="10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115030020</v>
      </c>
      <c r="B504" s="13">
        <v>11</v>
      </c>
      <c r="C504" s="12">
        <f t="shared" si="133"/>
        <v>5</v>
      </c>
      <c r="D504" s="13">
        <v>3</v>
      </c>
      <c r="E504" s="13">
        <v>0</v>
      </c>
      <c r="F504" s="12">
        <f t="shared" si="134"/>
        <v>20</v>
      </c>
      <c r="H504" s="9">
        <v>5</v>
      </c>
      <c r="I504" s="9">
        <v>20</v>
      </c>
      <c r="K504" s="9" t="s">
        <v>365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396</v>
      </c>
      <c r="AA504" s="9">
        <v>20</v>
      </c>
      <c r="AC504" s="9">
        <v>60000</v>
      </c>
      <c r="AE504" s="56">
        <f t="shared" si="129"/>
        <v>24000</v>
      </c>
      <c r="AF504" s="10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115040001</v>
      </c>
      <c r="B505" s="20">
        <v>11</v>
      </c>
      <c r="C505" s="19">
        <f t="shared" si="133"/>
        <v>5</v>
      </c>
      <c r="D505" s="20">
        <v>4</v>
      </c>
      <c r="E505" s="20">
        <v>0</v>
      </c>
      <c r="F505" s="19">
        <f t="shared" si="134"/>
        <v>1</v>
      </c>
      <c r="G505" s="80"/>
      <c r="H505" s="16">
        <v>5</v>
      </c>
      <c r="I505" s="16">
        <v>1</v>
      </c>
      <c r="J505" s="80"/>
      <c r="K505" s="16" t="s">
        <v>374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398</v>
      </c>
      <c r="AA505" s="16">
        <v>1</v>
      </c>
      <c r="AB505" s="80"/>
      <c r="AC505" s="16">
        <v>0</v>
      </c>
      <c r="AD505" s="80"/>
      <c r="AE505" s="57">
        <f t="shared" si="129"/>
        <v>1080</v>
      </c>
      <c r="AF505" s="17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474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495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518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115040002</v>
      </c>
      <c r="B506" s="13">
        <v>11</v>
      </c>
      <c r="C506" s="12">
        <f t="shared" si="133"/>
        <v>5</v>
      </c>
      <c r="D506" s="13">
        <v>4</v>
      </c>
      <c r="E506" s="13">
        <v>0</v>
      </c>
      <c r="F506" s="12">
        <f t="shared" si="134"/>
        <v>2</v>
      </c>
      <c r="H506" s="9">
        <v>5</v>
      </c>
      <c r="I506" s="9">
        <v>2</v>
      </c>
      <c r="K506" s="9" t="s">
        <v>374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398</v>
      </c>
      <c r="AA506" s="9">
        <v>2</v>
      </c>
      <c r="AC506" s="9">
        <v>400</v>
      </c>
      <c r="AE506" s="56">
        <f t="shared" si="129"/>
        <v>160</v>
      </c>
      <c r="AF506" s="10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474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115040003</v>
      </c>
      <c r="B507" s="13">
        <v>11</v>
      </c>
      <c r="C507" s="12">
        <f t="shared" si="133"/>
        <v>5</v>
      </c>
      <c r="D507" s="13">
        <v>4</v>
      </c>
      <c r="E507" s="13">
        <v>0</v>
      </c>
      <c r="F507" s="12">
        <f t="shared" si="134"/>
        <v>3</v>
      </c>
      <c r="H507" s="9">
        <v>5</v>
      </c>
      <c r="I507" s="9">
        <v>3</v>
      </c>
      <c r="K507" s="9" t="s">
        <v>374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373</v>
      </c>
      <c r="AA507" s="9">
        <v>3</v>
      </c>
      <c r="AC507" s="9">
        <v>1200</v>
      </c>
      <c r="AE507" s="56">
        <f t="shared" si="129"/>
        <v>240</v>
      </c>
      <c r="AF507" s="10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474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115040004</v>
      </c>
      <c r="B508" s="13">
        <v>11</v>
      </c>
      <c r="C508" s="12">
        <f t="shared" si="133"/>
        <v>5</v>
      </c>
      <c r="D508" s="13">
        <v>4</v>
      </c>
      <c r="E508" s="13">
        <v>0</v>
      </c>
      <c r="F508" s="12">
        <f t="shared" si="134"/>
        <v>4</v>
      </c>
      <c r="H508" s="9">
        <v>5</v>
      </c>
      <c r="I508" s="9">
        <v>4</v>
      </c>
      <c r="K508" s="9" t="s">
        <v>373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373</v>
      </c>
      <c r="AA508" s="9">
        <v>4</v>
      </c>
      <c r="AC508" s="9">
        <v>2000</v>
      </c>
      <c r="AE508" s="56">
        <f t="shared" si="129"/>
        <v>400</v>
      </c>
      <c r="AF508" s="10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474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115040005</v>
      </c>
      <c r="B509" s="13">
        <v>11</v>
      </c>
      <c r="C509" s="12">
        <f t="shared" si="133"/>
        <v>5</v>
      </c>
      <c r="D509" s="13">
        <v>4</v>
      </c>
      <c r="E509" s="13">
        <v>0</v>
      </c>
      <c r="F509" s="12">
        <f t="shared" si="134"/>
        <v>5</v>
      </c>
      <c r="H509" s="9">
        <v>5</v>
      </c>
      <c r="I509" s="9">
        <v>5</v>
      </c>
      <c r="K509" s="9" t="s">
        <v>373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373</v>
      </c>
      <c r="AA509" s="9">
        <v>5</v>
      </c>
      <c r="AC509" s="9">
        <v>3200</v>
      </c>
      <c r="AE509" s="56">
        <f t="shared" si="129"/>
        <v>640</v>
      </c>
      <c r="AF509" s="10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474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115040006</v>
      </c>
      <c r="B510" s="13">
        <v>11</v>
      </c>
      <c r="C510" s="12">
        <f t="shared" si="133"/>
        <v>5</v>
      </c>
      <c r="D510" s="13">
        <v>4</v>
      </c>
      <c r="E510" s="13">
        <v>0</v>
      </c>
      <c r="F510" s="12">
        <f t="shared" si="134"/>
        <v>6</v>
      </c>
      <c r="H510" s="9">
        <v>5</v>
      </c>
      <c r="I510" s="9">
        <v>6</v>
      </c>
      <c r="K510" s="9" t="s">
        <v>373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373</v>
      </c>
      <c r="AA510" s="9">
        <v>6</v>
      </c>
      <c r="AC510" s="9">
        <v>4000</v>
      </c>
      <c r="AE510" s="56">
        <f t="shared" si="129"/>
        <v>800</v>
      </c>
      <c r="AF510" s="10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474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115040007</v>
      </c>
      <c r="B511" s="13">
        <v>11</v>
      </c>
      <c r="C511" s="12">
        <f t="shared" si="133"/>
        <v>5</v>
      </c>
      <c r="D511" s="13">
        <v>4</v>
      </c>
      <c r="E511" s="13">
        <v>0</v>
      </c>
      <c r="F511" s="12">
        <f t="shared" si="134"/>
        <v>7</v>
      </c>
      <c r="H511" s="9">
        <v>5</v>
      </c>
      <c r="I511" s="9">
        <v>7</v>
      </c>
      <c r="K511" s="9" t="s">
        <v>373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373</v>
      </c>
      <c r="AA511" s="9">
        <v>7</v>
      </c>
      <c r="AC511" s="9">
        <v>8000</v>
      </c>
      <c r="AE511" s="56">
        <f t="shared" si="129"/>
        <v>1600</v>
      </c>
      <c r="AF511" s="10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474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115040008</v>
      </c>
      <c r="B512" s="13">
        <v>11</v>
      </c>
      <c r="C512" s="12">
        <f t="shared" si="133"/>
        <v>5</v>
      </c>
      <c r="D512" s="13">
        <v>4</v>
      </c>
      <c r="E512" s="13">
        <v>0</v>
      </c>
      <c r="F512" s="12">
        <f t="shared" si="134"/>
        <v>8</v>
      </c>
      <c r="H512" s="9">
        <v>5</v>
      </c>
      <c r="I512" s="9">
        <v>8</v>
      </c>
      <c r="K512" s="9" t="s">
        <v>373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373</v>
      </c>
      <c r="AA512" s="9">
        <v>8</v>
      </c>
      <c r="AC512" s="9">
        <v>8000</v>
      </c>
      <c r="AE512" s="56">
        <f t="shared" si="129"/>
        <v>1600</v>
      </c>
      <c r="AF512" s="10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474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115040009</v>
      </c>
      <c r="B513" s="13">
        <v>11</v>
      </c>
      <c r="C513" s="12">
        <f t="shared" si="133"/>
        <v>5</v>
      </c>
      <c r="D513" s="13">
        <v>4</v>
      </c>
      <c r="E513" s="13">
        <v>0</v>
      </c>
      <c r="F513" s="12">
        <f t="shared" si="134"/>
        <v>9</v>
      </c>
      <c r="H513" s="9">
        <v>5</v>
      </c>
      <c r="I513" s="9">
        <v>9</v>
      </c>
      <c r="K513" s="9" t="s">
        <v>373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373</v>
      </c>
      <c r="AA513" s="9">
        <v>9</v>
      </c>
      <c r="AC513" s="9">
        <v>12000</v>
      </c>
      <c r="AE513" s="56">
        <f t="shared" si="129"/>
        <v>2400</v>
      </c>
      <c r="AF513" s="10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474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115040010</v>
      </c>
      <c r="B514" s="13">
        <v>11</v>
      </c>
      <c r="C514" s="12">
        <f t="shared" si="133"/>
        <v>5</v>
      </c>
      <c r="D514" s="13">
        <v>4</v>
      </c>
      <c r="E514" s="13">
        <v>0</v>
      </c>
      <c r="F514" s="12">
        <f t="shared" si="134"/>
        <v>10</v>
      </c>
      <c r="H514" s="9">
        <v>5</v>
      </c>
      <c r="I514" s="9">
        <v>10</v>
      </c>
      <c r="K514" s="9" t="s">
        <v>373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373</v>
      </c>
      <c r="AA514" s="9">
        <v>10</v>
      </c>
      <c r="AC514" s="9">
        <v>16000</v>
      </c>
      <c r="AE514" s="56">
        <f t="shared" si="129"/>
        <v>3200</v>
      </c>
      <c r="AF514" s="10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474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115040011</v>
      </c>
      <c r="B515" s="13">
        <v>11</v>
      </c>
      <c r="C515" s="12">
        <f t="shared" si="133"/>
        <v>5</v>
      </c>
      <c r="D515" s="13">
        <v>4</v>
      </c>
      <c r="E515" s="13">
        <v>0</v>
      </c>
      <c r="F515" s="12">
        <f t="shared" si="134"/>
        <v>11</v>
      </c>
      <c r="H515" s="9">
        <v>5</v>
      </c>
      <c r="I515" s="9">
        <v>11</v>
      </c>
      <c r="K515" s="9" t="s">
        <v>373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373</v>
      </c>
      <c r="AA515" s="9">
        <v>11</v>
      </c>
      <c r="AC515" s="9">
        <v>20000</v>
      </c>
      <c r="AE515" s="56">
        <f t="shared" si="129"/>
        <v>4000</v>
      </c>
      <c r="AF515" s="10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474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115040012</v>
      </c>
      <c r="B516" s="13">
        <v>11</v>
      </c>
      <c r="C516" s="12">
        <f t="shared" si="133"/>
        <v>5</v>
      </c>
      <c r="D516" s="13">
        <v>4</v>
      </c>
      <c r="E516" s="13">
        <v>0</v>
      </c>
      <c r="F516" s="12">
        <f t="shared" si="134"/>
        <v>12</v>
      </c>
      <c r="H516" s="9">
        <v>5</v>
      </c>
      <c r="I516" s="9">
        <v>12</v>
      </c>
      <c r="K516" s="9" t="s">
        <v>373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373</v>
      </c>
      <c r="AA516" s="9">
        <v>12</v>
      </c>
      <c r="AC516" s="9">
        <v>24000</v>
      </c>
      <c r="AE516" s="56">
        <f t="shared" si="129"/>
        <v>5300</v>
      </c>
      <c r="AF516" s="10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474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522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115040013</v>
      </c>
      <c r="B517" s="13">
        <v>11</v>
      </c>
      <c r="C517" s="12">
        <f t="shared" si="133"/>
        <v>5</v>
      </c>
      <c r="D517" s="13">
        <v>4</v>
      </c>
      <c r="E517" s="13">
        <v>0</v>
      </c>
      <c r="F517" s="12">
        <f t="shared" si="134"/>
        <v>13</v>
      </c>
      <c r="H517" s="9">
        <v>5</v>
      </c>
      <c r="I517" s="9">
        <v>13</v>
      </c>
      <c r="K517" s="9" t="s">
        <v>373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373</v>
      </c>
      <c r="AA517" s="9">
        <v>13</v>
      </c>
      <c r="AC517" s="9">
        <v>28000</v>
      </c>
      <c r="AE517" s="56">
        <f t="shared" si="129"/>
        <v>5600</v>
      </c>
      <c r="AF517" s="10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484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115040014</v>
      </c>
      <c r="B518" s="13">
        <v>11</v>
      </c>
      <c r="C518" s="12">
        <f t="shared" si="133"/>
        <v>5</v>
      </c>
      <c r="D518" s="13">
        <v>4</v>
      </c>
      <c r="E518" s="13">
        <v>0</v>
      </c>
      <c r="F518" s="12">
        <f t="shared" si="134"/>
        <v>14</v>
      </c>
      <c r="H518" s="9">
        <v>5</v>
      </c>
      <c r="I518" s="9">
        <v>14</v>
      </c>
      <c r="K518" s="9" t="s">
        <v>373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373</v>
      </c>
      <c r="AA518" s="9">
        <v>14</v>
      </c>
      <c r="AC518" s="9">
        <v>36000</v>
      </c>
      <c r="AE518" s="56">
        <f t="shared" ref="AE518:AE581" si="139">AK518*10+AM518+AR518+AW518+500*BB518+500*BG518+500*BL518</f>
        <v>7200</v>
      </c>
      <c r="AF518" s="10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484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115040015</v>
      </c>
      <c r="B519" s="13">
        <v>11</v>
      </c>
      <c r="C519" s="12">
        <f t="shared" si="133"/>
        <v>5</v>
      </c>
      <c r="D519" s="13">
        <v>4</v>
      </c>
      <c r="E519" s="13">
        <v>0</v>
      </c>
      <c r="F519" s="12">
        <f t="shared" si="134"/>
        <v>15</v>
      </c>
      <c r="H519" s="9">
        <v>5</v>
      </c>
      <c r="I519" s="9">
        <v>15</v>
      </c>
      <c r="K519" s="9" t="s">
        <v>373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373</v>
      </c>
      <c r="AA519" s="9">
        <v>15</v>
      </c>
      <c r="AC519" s="9">
        <v>44000</v>
      </c>
      <c r="AE519" s="56">
        <f t="shared" si="139"/>
        <v>8800</v>
      </c>
      <c r="AF519" s="10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484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115040016</v>
      </c>
      <c r="B520" s="13">
        <v>11</v>
      </c>
      <c r="C520" s="12">
        <f t="shared" si="133"/>
        <v>5</v>
      </c>
      <c r="D520" s="13">
        <v>4</v>
      </c>
      <c r="E520" s="13">
        <v>0</v>
      </c>
      <c r="F520" s="12">
        <f t="shared" si="134"/>
        <v>16</v>
      </c>
      <c r="H520" s="9">
        <v>5</v>
      </c>
      <c r="I520" s="9">
        <v>16</v>
      </c>
      <c r="K520" s="9" t="s">
        <v>373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373</v>
      </c>
      <c r="AA520" s="9">
        <v>16</v>
      </c>
      <c r="AC520" s="9">
        <v>56000</v>
      </c>
      <c r="AE520" s="56">
        <f t="shared" si="139"/>
        <v>11200</v>
      </c>
      <c r="AF520" s="10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484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115040017</v>
      </c>
      <c r="B521" s="13">
        <v>11</v>
      </c>
      <c r="C521" s="12">
        <f t="shared" si="133"/>
        <v>5</v>
      </c>
      <c r="D521" s="13">
        <v>4</v>
      </c>
      <c r="E521" s="13">
        <v>0</v>
      </c>
      <c r="F521" s="12">
        <f t="shared" si="134"/>
        <v>17</v>
      </c>
      <c r="H521" s="9">
        <v>5</v>
      </c>
      <c r="I521" s="9">
        <v>17</v>
      </c>
      <c r="K521" s="9" t="s">
        <v>373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373</v>
      </c>
      <c r="AA521" s="9">
        <v>17</v>
      </c>
      <c r="AC521" s="9">
        <v>68000</v>
      </c>
      <c r="AE521" s="56">
        <f t="shared" si="139"/>
        <v>13600</v>
      </c>
      <c r="AF521" s="10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484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115040018</v>
      </c>
      <c r="B522" s="13">
        <v>11</v>
      </c>
      <c r="C522" s="12">
        <f t="shared" si="133"/>
        <v>5</v>
      </c>
      <c r="D522" s="13">
        <v>4</v>
      </c>
      <c r="E522" s="13">
        <v>0</v>
      </c>
      <c r="F522" s="12">
        <f t="shared" si="134"/>
        <v>18</v>
      </c>
      <c r="H522" s="9">
        <v>5</v>
      </c>
      <c r="I522" s="9">
        <v>18</v>
      </c>
      <c r="K522" s="9" t="s">
        <v>373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373</v>
      </c>
      <c r="AA522" s="9">
        <v>18</v>
      </c>
      <c r="AC522" s="9">
        <v>84000</v>
      </c>
      <c r="AE522" s="56">
        <f t="shared" si="139"/>
        <v>16800</v>
      </c>
      <c r="AF522" s="10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484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115040019</v>
      </c>
      <c r="B523" s="13">
        <v>11</v>
      </c>
      <c r="C523" s="12">
        <f t="shared" si="133"/>
        <v>5</v>
      </c>
      <c r="D523" s="13">
        <v>4</v>
      </c>
      <c r="E523" s="13">
        <v>0</v>
      </c>
      <c r="F523" s="12">
        <f t="shared" si="134"/>
        <v>19</v>
      </c>
      <c r="H523" s="9">
        <v>5</v>
      </c>
      <c r="I523" s="9">
        <v>19</v>
      </c>
      <c r="K523" s="9" t="s">
        <v>373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373</v>
      </c>
      <c r="AA523" s="9">
        <v>19</v>
      </c>
      <c r="AC523" s="9">
        <v>100000</v>
      </c>
      <c r="AE523" s="56">
        <f t="shared" si="139"/>
        <v>20000</v>
      </c>
      <c r="AF523" s="10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484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115040020</v>
      </c>
      <c r="B524" s="13">
        <v>11</v>
      </c>
      <c r="C524" s="12">
        <f t="shared" si="133"/>
        <v>5</v>
      </c>
      <c r="D524" s="13">
        <v>4</v>
      </c>
      <c r="E524" s="13">
        <v>0</v>
      </c>
      <c r="F524" s="12">
        <f t="shared" si="134"/>
        <v>20</v>
      </c>
      <c r="H524" s="9">
        <v>5</v>
      </c>
      <c r="I524" s="9">
        <v>20</v>
      </c>
      <c r="K524" s="9" t="s">
        <v>373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373</v>
      </c>
      <c r="AA524" s="9">
        <v>20</v>
      </c>
      <c r="AC524" s="9">
        <v>120000</v>
      </c>
      <c r="AE524" s="56">
        <f t="shared" si="139"/>
        <v>24000</v>
      </c>
      <c r="AF524" s="10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484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115050001</v>
      </c>
      <c r="B525" s="20">
        <v>11</v>
      </c>
      <c r="C525" s="19">
        <f t="shared" si="133"/>
        <v>5</v>
      </c>
      <c r="D525" s="20">
        <v>5</v>
      </c>
      <c r="E525" s="20">
        <v>0</v>
      </c>
      <c r="F525" s="19">
        <f t="shared" si="134"/>
        <v>1</v>
      </c>
      <c r="G525" s="80"/>
      <c r="H525" s="16">
        <v>5</v>
      </c>
      <c r="I525" s="16">
        <v>1</v>
      </c>
      <c r="J525" s="80"/>
      <c r="K525" s="16" t="s">
        <v>401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401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468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495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519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115050002</v>
      </c>
      <c r="B526" s="13">
        <v>11</v>
      </c>
      <c r="C526" s="12">
        <f t="shared" si="133"/>
        <v>5</v>
      </c>
      <c r="D526" s="13">
        <v>5</v>
      </c>
      <c r="E526" s="13">
        <v>0</v>
      </c>
      <c r="F526" s="12">
        <f t="shared" si="134"/>
        <v>2</v>
      </c>
      <c r="H526" s="9">
        <v>5</v>
      </c>
      <c r="I526" s="9">
        <v>2</v>
      </c>
      <c r="K526" s="9" t="s">
        <v>401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401</v>
      </c>
      <c r="AA526" s="9">
        <v>2</v>
      </c>
      <c r="AC526" s="9">
        <v>200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468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115050003</v>
      </c>
      <c r="B527" s="13">
        <v>11</v>
      </c>
      <c r="C527" s="12">
        <f t="shared" si="133"/>
        <v>5</v>
      </c>
      <c r="D527" s="13">
        <v>5</v>
      </c>
      <c r="E527" s="13">
        <v>0</v>
      </c>
      <c r="F527" s="12">
        <f t="shared" si="134"/>
        <v>3</v>
      </c>
      <c r="H527" s="9">
        <v>5</v>
      </c>
      <c r="I527" s="9">
        <v>3</v>
      </c>
      <c r="K527" s="9" t="s">
        <v>400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400</v>
      </c>
      <c r="AA527" s="9">
        <v>3</v>
      </c>
      <c r="AC527" s="9">
        <v>600</v>
      </c>
      <c r="AE527" s="56">
        <f t="shared" si="139"/>
        <v>240</v>
      </c>
      <c r="AF527" s="10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468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115050004</v>
      </c>
      <c r="B528" s="13">
        <v>11</v>
      </c>
      <c r="C528" s="12">
        <f t="shared" si="133"/>
        <v>5</v>
      </c>
      <c r="D528" s="13">
        <v>5</v>
      </c>
      <c r="E528" s="13">
        <v>0</v>
      </c>
      <c r="F528" s="12">
        <f t="shared" si="134"/>
        <v>4</v>
      </c>
      <c r="H528" s="9">
        <v>5</v>
      </c>
      <c r="I528" s="9">
        <v>4</v>
      </c>
      <c r="K528" s="9" t="s">
        <v>400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400</v>
      </c>
      <c r="AA528" s="9">
        <v>4</v>
      </c>
      <c r="AC528" s="9">
        <v>1000</v>
      </c>
      <c r="AE528" s="56">
        <f t="shared" si="139"/>
        <v>400</v>
      </c>
      <c r="AF528" s="10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468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115050005</v>
      </c>
      <c r="B529" s="13">
        <v>11</v>
      </c>
      <c r="C529" s="12">
        <f t="shared" si="133"/>
        <v>5</v>
      </c>
      <c r="D529" s="13">
        <v>5</v>
      </c>
      <c r="E529" s="13">
        <v>0</v>
      </c>
      <c r="F529" s="12">
        <f t="shared" si="134"/>
        <v>5</v>
      </c>
      <c r="H529" s="9">
        <v>5</v>
      </c>
      <c r="I529" s="9">
        <v>5</v>
      </c>
      <c r="K529" s="9" t="s">
        <v>400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400</v>
      </c>
      <c r="AA529" s="9">
        <v>5</v>
      </c>
      <c r="AC529" s="9">
        <v>1600</v>
      </c>
      <c r="AE529" s="56">
        <f t="shared" si="139"/>
        <v>640</v>
      </c>
      <c r="AF529" s="10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468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115050006</v>
      </c>
      <c r="B530" s="13">
        <v>11</v>
      </c>
      <c r="C530" s="12">
        <f t="shared" si="133"/>
        <v>5</v>
      </c>
      <c r="D530" s="13">
        <v>5</v>
      </c>
      <c r="E530" s="13">
        <v>0</v>
      </c>
      <c r="F530" s="12">
        <f t="shared" si="134"/>
        <v>6</v>
      </c>
      <c r="H530" s="9">
        <v>5</v>
      </c>
      <c r="I530" s="9">
        <v>6</v>
      </c>
      <c r="K530" s="9" t="s">
        <v>400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400</v>
      </c>
      <c r="AA530" s="9">
        <v>6</v>
      </c>
      <c r="AC530" s="9">
        <v>2000</v>
      </c>
      <c r="AE530" s="56">
        <f t="shared" si="139"/>
        <v>1300</v>
      </c>
      <c r="AF530" s="10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468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525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115050007</v>
      </c>
      <c r="B531" s="13">
        <v>11</v>
      </c>
      <c r="C531" s="12">
        <f t="shared" si="133"/>
        <v>5</v>
      </c>
      <c r="D531" s="13">
        <v>5</v>
      </c>
      <c r="E531" s="13">
        <v>0</v>
      </c>
      <c r="F531" s="12">
        <f t="shared" si="134"/>
        <v>7</v>
      </c>
      <c r="H531" s="9">
        <v>5</v>
      </c>
      <c r="I531" s="9">
        <v>7</v>
      </c>
      <c r="K531" s="9" t="s">
        <v>400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400</v>
      </c>
      <c r="AA531" s="9">
        <v>7</v>
      </c>
      <c r="AC531" s="9">
        <v>4000</v>
      </c>
      <c r="AE531" s="56">
        <f t="shared" si="139"/>
        <v>1600</v>
      </c>
      <c r="AF531" s="10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468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115050008</v>
      </c>
      <c r="B532" s="13">
        <v>11</v>
      </c>
      <c r="C532" s="12">
        <f t="shared" si="133"/>
        <v>5</v>
      </c>
      <c r="D532" s="13">
        <v>5</v>
      </c>
      <c r="E532" s="13">
        <v>0</v>
      </c>
      <c r="F532" s="12">
        <f t="shared" si="134"/>
        <v>8</v>
      </c>
      <c r="H532" s="9">
        <v>5</v>
      </c>
      <c r="I532" s="9">
        <v>8</v>
      </c>
      <c r="K532" s="9" t="s">
        <v>400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400</v>
      </c>
      <c r="AA532" s="9">
        <v>8</v>
      </c>
      <c r="AC532" s="9">
        <v>4000</v>
      </c>
      <c r="AE532" s="56">
        <f t="shared" si="139"/>
        <v>1600</v>
      </c>
      <c r="AF532" s="10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468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115050009</v>
      </c>
      <c r="B533" s="13">
        <v>11</v>
      </c>
      <c r="C533" s="12">
        <f t="shared" si="133"/>
        <v>5</v>
      </c>
      <c r="D533" s="13">
        <v>5</v>
      </c>
      <c r="E533" s="13">
        <v>0</v>
      </c>
      <c r="F533" s="12">
        <f t="shared" si="134"/>
        <v>9</v>
      </c>
      <c r="H533" s="9">
        <v>5</v>
      </c>
      <c r="I533" s="9">
        <v>9</v>
      </c>
      <c r="K533" s="9" t="s">
        <v>400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400</v>
      </c>
      <c r="AA533" s="9">
        <v>9</v>
      </c>
      <c r="AC533" s="9">
        <v>6000</v>
      </c>
      <c r="AE533" s="56">
        <f t="shared" si="139"/>
        <v>2400</v>
      </c>
      <c r="AF533" s="10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468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115050010</v>
      </c>
      <c r="B534" s="13">
        <v>11</v>
      </c>
      <c r="C534" s="12">
        <f t="shared" si="133"/>
        <v>5</v>
      </c>
      <c r="D534" s="13">
        <v>5</v>
      </c>
      <c r="E534" s="13">
        <v>0</v>
      </c>
      <c r="F534" s="12">
        <f t="shared" si="134"/>
        <v>10</v>
      </c>
      <c r="H534" s="9">
        <v>5</v>
      </c>
      <c r="I534" s="9">
        <v>10</v>
      </c>
      <c r="K534" s="9" t="s">
        <v>400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400</v>
      </c>
      <c r="AA534" s="9">
        <v>10</v>
      </c>
      <c r="AC534" s="9">
        <v>8000</v>
      </c>
      <c r="AE534" s="56">
        <f t="shared" si="139"/>
        <v>3200</v>
      </c>
      <c r="AF534" s="10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468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115050011</v>
      </c>
      <c r="B535" s="13">
        <v>11</v>
      </c>
      <c r="C535" s="12">
        <f t="shared" si="133"/>
        <v>5</v>
      </c>
      <c r="D535" s="13">
        <v>5</v>
      </c>
      <c r="E535" s="13">
        <v>0</v>
      </c>
      <c r="F535" s="12">
        <f t="shared" si="134"/>
        <v>11</v>
      </c>
      <c r="H535" s="9">
        <v>5</v>
      </c>
      <c r="I535" s="9">
        <v>11</v>
      </c>
      <c r="K535" s="9" t="s">
        <v>400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400</v>
      </c>
      <c r="AA535" s="9">
        <v>11</v>
      </c>
      <c r="AC535" s="9">
        <v>10000</v>
      </c>
      <c r="AE535" s="56">
        <f t="shared" si="139"/>
        <v>4000</v>
      </c>
      <c r="AF535" s="10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468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115050012</v>
      </c>
      <c r="B536" s="13">
        <v>11</v>
      </c>
      <c r="C536" s="12">
        <f t="shared" si="133"/>
        <v>5</v>
      </c>
      <c r="D536" s="13">
        <v>5</v>
      </c>
      <c r="E536" s="13">
        <v>0</v>
      </c>
      <c r="F536" s="12">
        <f t="shared" si="134"/>
        <v>12</v>
      </c>
      <c r="H536" s="9">
        <v>5</v>
      </c>
      <c r="I536" s="9">
        <v>12</v>
      </c>
      <c r="K536" s="9" t="s">
        <v>400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400</v>
      </c>
      <c r="AA536" s="9">
        <v>12</v>
      </c>
      <c r="AC536" s="9">
        <v>12000</v>
      </c>
      <c r="AE536" s="56">
        <f t="shared" si="139"/>
        <v>4800</v>
      </c>
      <c r="AF536" s="10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468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115050013</v>
      </c>
      <c r="B537" s="13">
        <v>11</v>
      </c>
      <c r="C537" s="12">
        <f t="shared" ref="C537:C584" si="143">H537</f>
        <v>5</v>
      </c>
      <c r="D537" s="13">
        <v>5</v>
      </c>
      <c r="E537" s="13">
        <v>0</v>
      </c>
      <c r="F537" s="12">
        <f t="shared" ref="F537:F584" si="144">I537</f>
        <v>13</v>
      </c>
      <c r="H537" s="9">
        <v>5</v>
      </c>
      <c r="I537" s="9">
        <v>13</v>
      </c>
      <c r="K537" s="9" t="s">
        <v>400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400</v>
      </c>
      <c r="AA537" s="9">
        <v>13</v>
      </c>
      <c r="AC537" s="9">
        <v>14000</v>
      </c>
      <c r="AE537" s="56">
        <f t="shared" si="139"/>
        <v>5600</v>
      </c>
      <c r="AF537" s="10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468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115050014</v>
      </c>
      <c r="B538" s="13">
        <v>11</v>
      </c>
      <c r="C538" s="12">
        <f t="shared" si="143"/>
        <v>5</v>
      </c>
      <c r="D538" s="13">
        <v>5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400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400</v>
      </c>
      <c r="AA538" s="9">
        <v>14</v>
      </c>
      <c r="AC538" s="9">
        <v>18000</v>
      </c>
      <c r="AE538" s="56">
        <f t="shared" si="139"/>
        <v>7200</v>
      </c>
      <c r="AF538" s="10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468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115050015</v>
      </c>
      <c r="B539" s="13">
        <v>11</v>
      </c>
      <c r="C539" s="12">
        <f t="shared" si="143"/>
        <v>5</v>
      </c>
      <c r="D539" s="13">
        <v>5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400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400</v>
      </c>
      <c r="AA539" s="9">
        <v>15</v>
      </c>
      <c r="AC539" s="9">
        <v>22000</v>
      </c>
      <c r="AE539" s="56">
        <f t="shared" si="139"/>
        <v>8800</v>
      </c>
      <c r="AF539" s="10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482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115050016</v>
      </c>
      <c r="B540" s="13">
        <v>11</v>
      </c>
      <c r="C540" s="12">
        <f t="shared" si="143"/>
        <v>5</v>
      </c>
      <c r="D540" s="13">
        <v>5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400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400</v>
      </c>
      <c r="AA540" s="9">
        <v>16</v>
      </c>
      <c r="AC540" s="9">
        <v>28000</v>
      </c>
      <c r="AE540" s="56">
        <f t="shared" si="139"/>
        <v>11200</v>
      </c>
      <c r="AF540" s="10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482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115050017</v>
      </c>
      <c r="B541" s="13">
        <v>11</v>
      </c>
      <c r="C541" s="12">
        <f t="shared" si="143"/>
        <v>5</v>
      </c>
      <c r="D541" s="13">
        <v>5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400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400</v>
      </c>
      <c r="AA541" s="9">
        <v>17</v>
      </c>
      <c r="AC541" s="9">
        <v>34000</v>
      </c>
      <c r="AE541" s="56">
        <f t="shared" si="139"/>
        <v>13600</v>
      </c>
      <c r="AF541" s="10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482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115050018</v>
      </c>
      <c r="B542" s="13">
        <v>11</v>
      </c>
      <c r="C542" s="12">
        <f t="shared" si="143"/>
        <v>5</v>
      </c>
      <c r="D542" s="13">
        <v>5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400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400</v>
      </c>
      <c r="AA542" s="9">
        <v>18</v>
      </c>
      <c r="AC542" s="9">
        <v>42000</v>
      </c>
      <c r="AE542" s="56">
        <f t="shared" si="139"/>
        <v>17300</v>
      </c>
      <c r="AF542" s="10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482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525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115050019</v>
      </c>
      <c r="B543" s="13">
        <v>11</v>
      </c>
      <c r="C543" s="12">
        <f t="shared" si="143"/>
        <v>5</v>
      </c>
      <c r="D543" s="13">
        <v>5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400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400</v>
      </c>
      <c r="AA543" s="9">
        <v>19</v>
      </c>
      <c r="AC543" s="9">
        <v>50000</v>
      </c>
      <c r="AE543" s="56">
        <f t="shared" si="139"/>
        <v>20000</v>
      </c>
      <c r="AF543" s="10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482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115050020</v>
      </c>
      <c r="B544" s="13">
        <v>11</v>
      </c>
      <c r="C544" s="12">
        <f t="shared" si="143"/>
        <v>5</v>
      </c>
      <c r="D544" s="13">
        <v>5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400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400</v>
      </c>
      <c r="AA544" s="9">
        <v>20</v>
      </c>
      <c r="AC544" s="9">
        <v>60000</v>
      </c>
      <c r="AE544" s="56">
        <f t="shared" si="139"/>
        <v>24000</v>
      </c>
      <c r="AF544" s="10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482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115060001</v>
      </c>
      <c r="B545" s="20">
        <v>11</v>
      </c>
      <c r="C545" s="19">
        <f t="shared" si="143"/>
        <v>5</v>
      </c>
      <c r="D545" s="20">
        <v>6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388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402</v>
      </c>
      <c r="AA545" s="16">
        <v>1</v>
      </c>
      <c r="AB545" s="80"/>
      <c r="AC545" s="16">
        <v>0</v>
      </c>
      <c r="AD545" s="80"/>
      <c r="AE545" s="57">
        <f t="shared" si="139"/>
        <v>1080</v>
      </c>
      <c r="AF545" s="17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468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495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519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115060002</v>
      </c>
      <c r="B546" s="13">
        <v>11</v>
      </c>
      <c r="C546" s="12">
        <f t="shared" si="143"/>
        <v>5</v>
      </c>
      <c r="D546" s="13">
        <v>6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388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402</v>
      </c>
      <c r="AA546" s="9">
        <v>2</v>
      </c>
      <c r="AC546" s="9">
        <v>400</v>
      </c>
      <c r="AE546" s="56">
        <f t="shared" si="139"/>
        <v>160</v>
      </c>
      <c r="AF546" s="10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468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115060003</v>
      </c>
      <c r="B547" s="13">
        <v>11</v>
      </c>
      <c r="C547" s="12">
        <f t="shared" si="143"/>
        <v>5</v>
      </c>
      <c r="D547" s="13">
        <v>6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388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402</v>
      </c>
      <c r="AA547" s="9">
        <v>3</v>
      </c>
      <c r="AC547" s="9">
        <v>1200</v>
      </c>
      <c r="AE547" s="56">
        <f t="shared" si="139"/>
        <v>240</v>
      </c>
      <c r="AF547" s="10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468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115060004</v>
      </c>
      <c r="B548" s="13">
        <v>11</v>
      </c>
      <c r="C548" s="12">
        <f t="shared" si="143"/>
        <v>5</v>
      </c>
      <c r="D548" s="13">
        <v>6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388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402</v>
      </c>
      <c r="AA548" s="9">
        <v>4</v>
      </c>
      <c r="AC548" s="9">
        <v>2000</v>
      </c>
      <c r="AE548" s="56">
        <f t="shared" si="139"/>
        <v>400</v>
      </c>
      <c r="AF548" s="10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468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115060005</v>
      </c>
      <c r="B549" s="13">
        <v>11</v>
      </c>
      <c r="C549" s="12">
        <f t="shared" si="143"/>
        <v>5</v>
      </c>
      <c r="D549" s="13">
        <v>6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388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402</v>
      </c>
      <c r="AA549" s="9">
        <v>5</v>
      </c>
      <c r="AC549" s="9">
        <v>3200</v>
      </c>
      <c r="AE549" s="56">
        <f t="shared" si="139"/>
        <v>640</v>
      </c>
      <c r="AF549" s="10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468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115060006</v>
      </c>
      <c r="B550" s="13">
        <v>11</v>
      </c>
      <c r="C550" s="12">
        <f t="shared" si="143"/>
        <v>5</v>
      </c>
      <c r="D550" s="13">
        <v>6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388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402</v>
      </c>
      <c r="AA550" s="9">
        <v>6</v>
      </c>
      <c r="AC550" s="9">
        <v>4000</v>
      </c>
      <c r="AE550" s="56">
        <f t="shared" si="139"/>
        <v>800</v>
      </c>
      <c r="AF550" s="10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468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115060007</v>
      </c>
      <c r="B551" s="13">
        <v>11</v>
      </c>
      <c r="C551" s="12">
        <f t="shared" si="143"/>
        <v>5</v>
      </c>
      <c r="D551" s="13">
        <v>6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388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402</v>
      </c>
      <c r="AA551" s="9">
        <v>7</v>
      </c>
      <c r="AC551" s="9">
        <v>8000</v>
      </c>
      <c r="AE551" s="56">
        <f t="shared" si="139"/>
        <v>1600</v>
      </c>
      <c r="AF551" s="10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468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115060008</v>
      </c>
      <c r="B552" s="13">
        <v>11</v>
      </c>
      <c r="C552" s="12">
        <f t="shared" si="143"/>
        <v>5</v>
      </c>
      <c r="D552" s="13">
        <v>6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388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402</v>
      </c>
      <c r="AA552" s="9">
        <v>8</v>
      </c>
      <c r="AC552" s="9">
        <v>8000</v>
      </c>
      <c r="AE552" s="56">
        <f t="shared" si="139"/>
        <v>1600</v>
      </c>
      <c r="AF552" s="10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468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115060009</v>
      </c>
      <c r="B553" s="13">
        <v>11</v>
      </c>
      <c r="C553" s="12">
        <f t="shared" si="143"/>
        <v>5</v>
      </c>
      <c r="D553" s="13">
        <v>6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388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402</v>
      </c>
      <c r="AA553" s="9">
        <v>9</v>
      </c>
      <c r="AC553" s="9">
        <v>12000</v>
      </c>
      <c r="AE553" s="56">
        <f t="shared" si="139"/>
        <v>2400</v>
      </c>
      <c r="AF553" s="10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468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115060010</v>
      </c>
      <c r="B554" s="13">
        <v>11</v>
      </c>
      <c r="C554" s="12">
        <f t="shared" si="143"/>
        <v>5</v>
      </c>
      <c r="D554" s="13">
        <v>6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388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402</v>
      </c>
      <c r="AA554" s="9">
        <v>10</v>
      </c>
      <c r="AC554" s="9">
        <v>16000</v>
      </c>
      <c r="AE554" s="56">
        <f t="shared" si="139"/>
        <v>3200</v>
      </c>
      <c r="AF554" s="10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468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115060011</v>
      </c>
      <c r="B555" s="13">
        <v>11</v>
      </c>
      <c r="C555" s="12">
        <f t="shared" si="143"/>
        <v>5</v>
      </c>
      <c r="D555" s="13">
        <v>6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388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402</v>
      </c>
      <c r="AA555" s="9">
        <v>11</v>
      </c>
      <c r="AC555" s="9">
        <v>20000</v>
      </c>
      <c r="AE555" s="56">
        <f t="shared" si="139"/>
        <v>4000</v>
      </c>
      <c r="AF555" s="10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468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115060012</v>
      </c>
      <c r="B556" s="13">
        <v>11</v>
      </c>
      <c r="C556" s="12">
        <f t="shared" si="143"/>
        <v>5</v>
      </c>
      <c r="D556" s="13">
        <v>6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388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402</v>
      </c>
      <c r="AA556" s="9">
        <v>12</v>
      </c>
      <c r="AC556" s="9">
        <v>24000</v>
      </c>
      <c r="AE556" s="56">
        <f t="shared" si="139"/>
        <v>4800</v>
      </c>
      <c r="AF556" s="10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468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115060013</v>
      </c>
      <c r="B557" s="13">
        <v>11</v>
      </c>
      <c r="C557" s="12">
        <f t="shared" si="143"/>
        <v>5</v>
      </c>
      <c r="D557" s="13">
        <v>6</v>
      </c>
      <c r="E557" s="13">
        <v>0</v>
      </c>
      <c r="F557" s="12">
        <f t="shared" si="144"/>
        <v>13</v>
      </c>
      <c r="H557" s="9">
        <v>5</v>
      </c>
      <c r="I557" s="9">
        <v>13</v>
      </c>
      <c r="K557" s="9" t="s">
        <v>388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402</v>
      </c>
      <c r="AA557" s="9">
        <v>13</v>
      </c>
      <c r="AC557" s="9">
        <v>28000</v>
      </c>
      <c r="AE557" s="56">
        <f t="shared" si="139"/>
        <v>5600</v>
      </c>
      <c r="AF557" s="10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468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115060014</v>
      </c>
      <c r="B558" s="13">
        <v>11</v>
      </c>
      <c r="C558" s="12">
        <f t="shared" si="143"/>
        <v>5</v>
      </c>
      <c r="D558" s="13">
        <v>6</v>
      </c>
      <c r="E558" s="13">
        <v>0</v>
      </c>
      <c r="F558" s="12">
        <f t="shared" si="144"/>
        <v>14</v>
      </c>
      <c r="H558" s="9">
        <v>5</v>
      </c>
      <c r="I558" s="9">
        <v>14</v>
      </c>
      <c r="K558" s="9" t="s">
        <v>388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402</v>
      </c>
      <c r="AA558" s="9">
        <v>14</v>
      </c>
      <c r="AC558" s="9">
        <v>36000</v>
      </c>
      <c r="AE558" s="56">
        <f t="shared" si="139"/>
        <v>7200</v>
      </c>
      <c r="AF558" s="10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487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115060015</v>
      </c>
      <c r="B559" s="13">
        <v>11</v>
      </c>
      <c r="C559" s="12">
        <f t="shared" si="143"/>
        <v>5</v>
      </c>
      <c r="D559" s="13">
        <v>6</v>
      </c>
      <c r="E559" s="13">
        <v>0</v>
      </c>
      <c r="F559" s="12">
        <f t="shared" si="144"/>
        <v>15</v>
      </c>
      <c r="H559" s="9">
        <v>5</v>
      </c>
      <c r="I559" s="9">
        <v>15</v>
      </c>
      <c r="K559" s="9" t="s">
        <v>388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402</v>
      </c>
      <c r="AA559" s="9">
        <v>15</v>
      </c>
      <c r="AC559" s="9">
        <v>44000</v>
      </c>
      <c r="AE559" s="56">
        <f t="shared" si="139"/>
        <v>8800</v>
      </c>
      <c r="AF559" s="10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115060016</v>
      </c>
      <c r="B560" s="13">
        <v>11</v>
      </c>
      <c r="C560" s="12">
        <f t="shared" si="143"/>
        <v>5</v>
      </c>
      <c r="D560" s="13">
        <v>6</v>
      </c>
      <c r="E560" s="13">
        <v>0</v>
      </c>
      <c r="F560" s="12">
        <f t="shared" si="144"/>
        <v>16</v>
      </c>
      <c r="H560" s="9">
        <v>5</v>
      </c>
      <c r="I560" s="9">
        <v>16</v>
      </c>
      <c r="K560" s="9" t="s">
        <v>388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402</v>
      </c>
      <c r="AA560" s="9">
        <v>16</v>
      </c>
      <c r="AC560" s="9">
        <v>56000</v>
      </c>
      <c r="AE560" s="56">
        <f t="shared" si="139"/>
        <v>11200</v>
      </c>
      <c r="AF560" s="10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115060017</v>
      </c>
      <c r="B561" s="13">
        <v>11</v>
      </c>
      <c r="C561" s="12">
        <f t="shared" si="143"/>
        <v>5</v>
      </c>
      <c r="D561" s="13">
        <v>6</v>
      </c>
      <c r="E561" s="13">
        <v>0</v>
      </c>
      <c r="F561" s="12">
        <f t="shared" si="144"/>
        <v>17</v>
      </c>
      <c r="H561" s="9">
        <v>5</v>
      </c>
      <c r="I561" s="9">
        <v>17</v>
      </c>
      <c r="K561" s="9" t="s">
        <v>388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402</v>
      </c>
      <c r="AA561" s="9">
        <v>17</v>
      </c>
      <c r="AC561" s="9">
        <v>68000</v>
      </c>
      <c r="AE561" s="56">
        <f t="shared" si="139"/>
        <v>13600</v>
      </c>
      <c r="AF561" s="10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115060018</v>
      </c>
      <c r="B562" s="13">
        <v>11</v>
      </c>
      <c r="C562" s="12">
        <f t="shared" si="143"/>
        <v>5</v>
      </c>
      <c r="D562" s="13">
        <v>6</v>
      </c>
      <c r="E562" s="13">
        <v>0</v>
      </c>
      <c r="F562" s="12">
        <f t="shared" si="144"/>
        <v>18</v>
      </c>
      <c r="H562" s="9">
        <v>5</v>
      </c>
      <c r="I562" s="9">
        <v>18</v>
      </c>
      <c r="K562" s="9" t="s">
        <v>388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402</v>
      </c>
      <c r="AA562" s="9">
        <v>18</v>
      </c>
      <c r="AC562" s="9">
        <v>84000</v>
      </c>
      <c r="AE562" s="56">
        <f t="shared" si="139"/>
        <v>16800</v>
      </c>
      <c r="AF562" s="10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115060019</v>
      </c>
      <c r="B563" s="13">
        <v>11</v>
      </c>
      <c r="C563" s="12">
        <f t="shared" si="143"/>
        <v>5</v>
      </c>
      <c r="D563" s="13">
        <v>6</v>
      </c>
      <c r="E563" s="13">
        <v>0</v>
      </c>
      <c r="F563" s="12">
        <f t="shared" si="144"/>
        <v>19</v>
      </c>
      <c r="H563" s="9">
        <v>5</v>
      </c>
      <c r="I563" s="9">
        <v>19</v>
      </c>
      <c r="K563" s="9" t="s">
        <v>388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402</v>
      </c>
      <c r="AA563" s="9">
        <v>19</v>
      </c>
      <c r="AC563" s="9">
        <v>100000</v>
      </c>
      <c r="AE563" s="56">
        <f t="shared" si="139"/>
        <v>20000</v>
      </c>
      <c r="AF563" s="10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115060020</v>
      </c>
      <c r="B564" s="13">
        <v>11</v>
      </c>
      <c r="C564" s="12">
        <f t="shared" si="143"/>
        <v>5</v>
      </c>
      <c r="D564" s="13">
        <v>6</v>
      </c>
      <c r="E564" s="13">
        <v>0</v>
      </c>
      <c r="F564" s="12">
        <f t="shared" si="144"/>
        <v>20</v>
      </c>
      <c r="H564" s="9">
        <v>5</v>
      </c>
      <c r="I564" s="9">
        <v>20</v>
      </c>
      <c r="K564" s="9" t="s">
        <v>388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402</v>
      </c>
      <c r="AA564" s="9">
        <v>20</v>
      </c>
      <c r="AC564" s="9">
        <v>120000</v>
      </c>
      <c r="AE564" s="56">
        <f t="shared" si="139"/>
        <v>24000</v>
      </c>
      <c r="AF564" s="10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115070001</v>
      </c>
      <c r="B565" s="20">
        <v>11</v>
      </c>
      <c r="C565" s="19">
        <f t="shared" si="143"/>
        <v>5</v>
      </c>
      <c r="D565" s="20">
        <v>7</v>
      </c>
      <c r="E565" s="20">
        <v>0</v>
      </c>
      <c r="F565" s="19">
        <f t="shared" si="144"/>
        <v>1</v>
      </c>
      <c r="G565" s="80"/>
      <c r="H565" s="16">
        <v>5</v>
      </c>
      <c r="I565" s="16">
        <v>1</v>
      </c>
      <c r="J565" s="80"/>
      <c r="K565" s="16" t="s">
        <v>389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404</v>
      </c>
      <c r="AA565" s="16">
        <v>1</v>
      </c>
      <c r="AB565" s="80"/>
      <c r="AC565" s="16">
        <v>0</v>
      </c>
      <c r="AD565" s="80"/>
      <c r="AE565" s="57">
        <f t="shared" si="139"/>
        <v>1080</v>
      </c>
      <c r="AF565" s="17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468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495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519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115070002</v>
      </c>
      <c r="B566" s="13">
        <v>11</v>
      </c>
      <c r="C566" s="12">
        <f t="shared" si="143"/>
        <v>5</v>
      </c>
      <c r="D566" s="13">
        <v>7</v>
      </c>
      <c r="E566" s="13">
        <v>0</v>
      </c>
      <c r="F566" s="12">
        <f t="shared" si="144"/>
        <v>2</v>
      </c>
      <c r="H566" s="9">
        <v>5</v>
      </c>
      <c r="I566" s="9">
        <v>2</v>
      </c>
      <c r="K566" s="9" t="s">
        <v>389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404</v>
      </c>
      <c r="AA566" s="9">
        <v>2</v>
      </c>
      <c r="AC566" s="9">
        <v>400</v>
      </c>
      <c r="AE566" s="56">
        <f t="shared" si="139"/>
        <v>160</v>
      </c>
      <c r="AF566" s="10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468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115070003</v>
      </c>
      <c r="B567" s="13">
        <v>11</v>
      </c>
      <c r="C567" s="12">
        <f t="shared" si="143"/>
        <v>5</v>
      </c>
      <c r="D567" s="13">
        <v>7</v>
      </c>
      <c r="E567" s="13">
        <v>0</v>
      </c>
      <c r="F567" s="12">
        <f t="shared" si="144"/>
        <v>3</v>
      </c>
      <c r="H567" s="9">
        <v>5</v>
      </c>
      <c r="I567" s="9">
        <v>3</v>
      </c>
      <c r="K567" s="9" t="s">
        <v>390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403</v>
      </c>
      <c r="AA567" s="9">
        <v>3</v>
      </c>
      <c r="AC567" s="9">
        <v>1200</v>
      </c>
      <c r="AE567" s="56">
        <f t="shared" si="139"/>
        <v>240</v>
      </c>
      <c r="AF567" s="10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468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115070004</v>
      </c>
      <c r="B568" s="13">
        <v>11</v>
      </c>
      <c r="C568" s="12">
        <f t="shared" si="143"/>
        <v>5</v>
      </c>
      <c r="D568" s="13">
        <v>7</v>
      </c>
      <c r="E568" s="13">
        <v>0</v>
      </c>
      <c r="F568" s="12">
        <f t="shared" si="144"/>
        <v>4</v>
      </c>
      <c r="H568" s="9">
        <v>5</v>
      </c>
      <c r="I568" s="9">
        <v>4</v>
      </c>
      <c r="K568" s="9" t="s">
        <v>390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403</v>
      </c>
      <c r="AA568" s="9">
        <v>4</v>
      </c>
      <c r="AC568" s="9">
        <v>2000</v>
      </c>
      <c r="AE568" s="56">
        <f t="shared" si="139"/>
        <v>400</v>
      </c>
      <c r="AF568" s="10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468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115070005</v>
      </c>
      <c r="B569" s="13">
        <v>11</v>
      </c>
      <c r="C569" s="12">
        <f t="shared" si="143"/>
        <v>5</v>
      </c>
      <c r="D569" s="13">
        <v>7</v>
      </c>
      <c r="E569" s="13">
        <v>0</v>
      </c>
      <c r="F569" s="12">
        <f t="shared" si="144"/>
        <v>5</v>
      </c>
      <c r="H569" s="9">
        <v>5</v>
      </c>
      <c r="I569" s="9">
        <v>5</v>
      </c>
      <c r="K569" s="9" t="s">
        <v>390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403</v>
      </c>
      <c r="AA569" s="9">
        <v>5</v>
      </c>
      <c r="AC569" s="9">
        <v>3200</v>
      </c>
      <c r="AE569" s="56">
        <f t="shared" si="139"/>
        <v>1140</v>
      </c>
      <c r="AF569" s="10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468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527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115070006</v>
      </c>
      <c r="B570" s="13">
        <v>11</v>
      </c>
      <c r="C570" s="12">
        <f t="shared" si="143"/>
        <v>5</v>
      </c>
      <c r="D570" s="13">
        <v>7</v>
      </c>
      <c r="E570" s="13">
        <v>0</v>
      </c>
      <c r="F570" s="12">
        <f t="shared" si="144"/>
        <v>6</v>
      </c>
      <c r="H570" s="9">
        <v>5</v>
      </c>
      <c r="I570" s="9">
        <v>6</v>
      </c>
      <c r="K570" s="9" t="s">
        <v>390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403</v>
      </c>
      <c r="AA570" s="9">
        <v>6</v>
      </c>
      <c r="AC570" s="9">
        <v>4000</v>
      </c>
      <c r="AE570" s="56">
        <f t="shared" si="139"/>
        <v>800</v>
      </c>
      <c r="AF570" s="10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468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115070007</v>
      </c>
      <c r="B571" s="13">
        <v>11</v>
      </c>
      <c r="C571" s="12">
        <f t="shared" si="143"/>
        <v>5</v>
      </c>
      <c r="D571" s="13">
        <v>7</v>
      </c>
      <c r="E571" s="13">
        <v>0</v>
      </c>
      <c r="F571" s="12">
        <f t="shared" si="144"/>
        <v>7</v>
      </c>
      <c r="H571" s="9">
        <v>5</v>
      </c>
      <c r="I571" s="9">
        <v>7</v>
      </c>
      <c r="K571" s="9" t="s">
        <v>390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403</v>
      </c>
      <c r="AA571" s="9">
        <v>7</v>
      </c>
      <c r="AC571" s="9">
        <v>8000</v>
      </c>
      <c r="AE571" s="56">
        <f t="shared" si="139"/>
        <v>1600</v>
      </c>
      <c r="AF571" s="10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468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115070008</v>
      </c>
      <c r="B572" s="13">
        <v>11</v>
      </c>
      <c r="C572" s="12">
        <f t="shared" si="143"/>
        <v>5</v>
      </c>
      <c r="D572" s="13">
        <v>7</v>
      </c>
      <c r="E572" s="13">
        <v>0</v>
      </c>
      <c r="F572" s="12">
        <f t="shared" si="144"/>
        <v>8</v>
      </c>
      <c r="H572" s="9">
        <v>5</v>
      </c>
      <c r="I572" s="9">
        <v>8</v>
      </c>
      <c r="K572" s="9" t="s">
        <v>390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403</v>
      </c>
      <c r="AA572" s="9">
        <v>8</v>
      </c>
      <c r="AC572" s="9">
        <v>8000</v>
      </c>
      <c r="AE572" s="56">
        <f t="shared" si="139"/>
        <v>1600</v>
      </c>
      <c r="AF572" s="10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468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115070009</v>
      </c>
      <c r="B573" s="13">
        <v>11</v>
      </c>
      <c r="C573" s="12">
        <f t="shared" si="143"/>
        <v>5</v>
      </c>
      <c r="D573" s="13">
        <v>7</v>
      </c>
      <c r="E573" s="13">
        <v>0</v>
      </c>
      <c r="F573" s="12">
        <f t="shared" si="144"/>
        <v>9</v>
      </c>
      <c r="H573" s="9">
        <v>5</v>
      </c>
      <c r="I573" s="9">
        <v>9</v>
      </c>
      <c r="K573" s="9" t="s">
        <v>390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403</v>
      </c>
      <c r="AA573" s="9">
        <v>9</v>
      </c>
      <c r="AC573" s="9">
        <v>12000</v>
      </c>
      <c r="AE573" s="56">
        <f t="shared" si="139"/>
        <v>2400</v>
      </c>
      <c r="AF573" s="10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468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115070010</v>
      </c>
      <c r="B574" s="13">
        <v>11</v>
      </c>
      <c r="C574" s="12">
        <f t="shared" si="143"/>
        <v>5</v>
      </c>
      <c r="D574" s="13">
        <v>7</v>
      </c>
      <c r="E574" s="13">
        <v>0</v>
      </c>
      <c r="F574" s="12">
        <f t="shared" si="144"/>
        <v>10</v>
      </c>
      <c r="H574" s="9">
        <v>5</v>
      </c>
      <c r="I574" s="9">
        <v>10</v>
      </c>
      <c r="K574" s="9" t="s">
        <v>390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403</v>
      </c>
      <c r="AA574" s="9">
        <v>10</v>
      </c>
      <c r="AC574" s="9">
        <v>16000</v>
      </c>
      <c r="AE574" s="56">
        <f t="shared" si="139"/>
        <v>3200</v>
      </c>
      <c r="AF574" s="10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468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115070011</v>
      </c>
      <c r="B575" s="13">
        <v>11</v>
      </c>
      <c r="C575" s="12">
        <f t="shared" si="143"/>
        <v>5</v>
      </c>
      <c r="D575" s="13">
        <v>7</v>
      </c>
      <c r="E575" s="13">
        <v>0</v>
      </c>
      <c r="F575" s="12">
        <f t="shared" si="144"/>
        <v>11</v>
      </c>
      <c r="H575" s="9">
        <v>5</v>
      </c>
      <c r="I575" s="9">
        <v>11</v>
      </c>
      <c r="K575" s="9" t="s">
        <v>390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403</v>
      </c>
      <c r="AA575" s="9">
        <v>11</v>
      </c>
      <c r="AC575" s="9">
        <v>20000</v>
      </c>
      <c r="AE575" s="56">
        <f t="shared" si="139"/>
        <v>4000</v>
      </c>
      <c r="AF575" s="10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468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115070012</v>
      </c>
      <c r="B576" s="13">
        <v>11</v>
      </c>
      <c r="C576" s="12">
        <f t="shared" si="143"/>
        <v>5</v>
      </c>
      <c r="D576" s="13">
        <v>7</v>
      </c>
      <c r="E576" s="13">
        <v>0</v>
      </c>
      <c r="F576" s="12">
        <f t="shared" si="144"/>
        <v>12</v>
      </c>
      <c r="H576" s="9">
        <v>5</v>
      </c>
      <c r="I576" s="9">
        <v>12</v>
      </c>
      <c r="K576" s="9" t="s">
        <v>390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403</v>
      </c>
      <c r="AA576" s="9">
        <v>12</v>
      </c>
      <c r="AC576" s="9">
        <v>24000</v>
      </c>
      <c r="AE576" s="56">
        <f t="shared" si="139"/>
        <v>4800</v>
      </c>
      <c r="AF576" s="10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468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115070013</v>
      </c>
      <c r="B577" s="13">
        <v>11</v>
      </c>
      <c r="C577" s="12">
        <f t="shared" si="143"/>
        <v>5</v>
      </c>
      <c r="D577" s="13">
        <v>7</v>
      </c>
      <c r="E577" s="13">
        <v>0</v>
      </c>
      <c r="F577" s="12">
        <f t="shared" si="144"/>
        <v>13</v>
      </c>
      <c r="H577" s="9">
        <v>5</v>
      </c>
      <c r="I577" s="9">
        <v>13</v>
      </c>
      <c r="K577" s="9" t="s">
        <v>390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403</v>
      </c>
      <c r="AA577" s="9">
        <v>13</v>
      </c>
      <c r="AC577" s="9">
        <v>28000</v>
      </c>
      <c r="AE577" s="56">
        <f t="shared" si="139"/>
        <v>5600</v>
      </c>
      <c r="AF577" s="10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483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115070014</v>
      </c>
      <c r="B578" s="13">
        <v>11</v>
      </c>
      <c r="C578" s="12">
        <f t="shared" si="143"/>
        <v>5</v>
      </c>
      <c r="D578" s="13">
        <v>7</v>
      </c>
      <c r="E578" s="13">
        <v>0</v>
      </c>
      <c r="F578" s="12">
        <f t="shared" si="144"/>
        <v>14</v>
      </c>
      <c r="H578" s="9">
        <v>5</v>
      </c>
      <c r="I578" s="9">
        <v>14</v>
      </c>
      <c r="K578" s="9" t="s">
        <v>390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403</v>
      </c>
      <c r="AA578" s="9">
        <v>14</v>
      </c>
      <c r="AC578" s="9">
        <v>36000</v>
      </c>
      <c r="AE578" s="56">
        <f t="shared" si="139"/>
        <v>7200</v>
      </c>
      <c r="AF578" s="10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482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115070015</v>
      </c>
      <c r="B579" s="13">
        <v>11</v>
      </c>
      <c r="C579" s="12">
        <f t="shared" si="143"/>
        <v>5</v>
      </c>
      <c r="D579" s="13">
        <v>7</v>
      </c>
      <c r="E579" s="13">
        <v>0</v>
      </c>
      <c r="F579" s="12">
        <f t="shared" si="144"/>
        <v>15</v>
      </c>
      <c r="H579" s="9">
        <v>5</v>
      </c>
      <c r="I579" s="9">
        <v>15</v>
      </c>
      <c r="K579" s="9" t="s">
        <v>390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403</v>
      </c>
      <c r="AA579" s="9">
        <v>15</v>
      </c>
      <c r="AC579" s="9">
        <v>44000</v>
      </c>
      <c r="AE579" s="56">
        <f t="shared" si="139"/>
        <v>9300</v>
      </c>
      <c r="AF579" s="10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527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115070016</v>
      </c>
      <c r="B580" s="13">
        <v>11</v>
      </c>
      <c r="C580" s="12">
        <f t="shared" si="143"/>
        <v>5</v>
      </c>
      <c r="D580" s="13">
        <v>7</v>
      </c>
      <c r="E580" s="13">
        <v>0</v>
      </c>
      <c r="F580" s="12">
        <f t="shared" si="144"/>
        <v>16</v>
      </c>
      <c r="H580" s="9">
        <v>5</v>
      </c>
      <c r="I580" s="9">
        <v>16</v>
      </c>
      <c r="K580" s="9" t="s">
        <v>390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403</v>
      </c>
      <c r="AA580" s="9">
        <v>16</v>
      </c>
      <c r="AC580" s="9">
        <v>56000</v>
      </c>
      <c r="AE580" s="56">
        <f t="shared" si="139"/>
        <v>11200</v>
      </c>
      <c r="AF580" s="10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115070017</v>
      </c>
      <c r="B581" s="13">
        <v>11</v>
      </c>
      <c r="C581" s="12">
        <f t="shared" si="143"/>
        <v>5</v>
      </c>
      <c r="D581" s="13">
        <v>7</v>
      </c>
      <c r="E581" s="13">
        <v>0</v>
      </c>
      <c r="F581" s="12">
        <f t="shared" si="144"/>
        <v>17</v>
      </c>
      <c r="H581" s="9">
        <v>5</v>
      </c>
      <c r="I581" s="9">
        <v>17</v>
      </c>
      <c r="K581" s="9" t="s">
        <v>390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403</v>
      </c>
      <c r="AA581" s="9">
        <v>17</v>
      </c>
      <c r="AC581" s="9">
        <v>68000</v>
      </c>
      <c r="AE581" s="56">
        <f t="shared" si="139"/>
        <v>13600</v>
      </c>
      <c r="AF581" s="10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115070018</v>
      </c>
      <c r="B582" s="13">
        <v>11</v>
      </c>
      <c r="C582" s="12">
        <f t="shared" si="143"/>
        <v>5</v>
      </c>
      <c r="D582" s="13">
        <v>7</v>
      </c>
      <c r="E582" s="13">
        <v>0</v>
      </c>
      <c r="F582" s="12">
        <f t="shared" si="144"/>
        <v>18</v>
      </c>
      <c r="H582" s="9">
        <v>5</v>
      </c>
      <c r="I582" s="9">
        <v>18</v>
      </c>
      <c r="K582" s="9" t="s">
        <v>390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403</v>
      </c>
      <c r="AA582" s="9">
        <v>18</v>
      </c>
      <c r="AC582" s="9">
        <v>84000</v>
      </c>
      <c r="AE582" s="56">
        <f t="shared" ref="AE582:AE584" si="149">AK582*10+AM582+AR582+AW582+500*BB582+500*BG582+500*BL582</f>
        <v>16800</v>
      </c>
      <c r="AF582" s="10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115070019</v>
      </c>
      <c r="B583" s="13">
        <v>11</v>
      </c>
      <c r="C583" s="12">
        <f t="shared" si="143"/>
        <v>5</v>
      </c>
      <c r="D583" s="13">
        <v>7</v>
      </c>
      <c r="E583" s="13">
        <v>0</v>
      </c>
      <c r="F583" s="12">
        <f t="shared" si="144"/>
        <v>19</v>
      </c>
      <c r="H583" s="9">
        <v>5</v>
      </c>
      <c r="I583" s="9">
        <v>19</v>
      </c>
      <c r="K583" s="9" t="s">
        <v>390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403</v>
      </c>
      <c r="AA583" s="9">
        <v>19</v>
      </c>
      <c r="AC583" s="9">
        <v>100000</v>
      </c>
      <c r="AE583" s="56">
        <f t="shared" si="149"/>
        <v>20000</v>
      </c>
      <c r="AF583" s="10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115070020</v>
      </c>
      <c r="B584" s="13">
        <v>11</v>
      </c>
      <c r="C584" s="12">
        <f t="shared" si="143"/>
        <v>5</v>
      </c>
      <c r="D584" s="13">
        <v>7</v>
      </c>
      <c r="E584" s="13">
        <v>0</v>
      </c>
      <c r="F584" s="12">
        <f t="shared" si="144"/>
        <v>20</v>
      </c>
      <c r="H584" s="9">
        <v>5</v>
      </c>
      <c r="I584" s="9">
        <v>20</v>
      </c>
      <c r="K584" s="9" t="s">
        <v>390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403</v>
      </c>
      <c r="AA584" s="9">
        <v>20</v>
      </c>
      <c r="AC584" s="9">
        <v>120000</v>
      </c>
      <c r="AE584" s="56">
        <f t="shared" si="149"/>
        <v>24500</v>
      </c>
      <c r="AF584" s="10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527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57"/>
      <c r="AF585" s="17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topLeftCell="M1" zoomScale="90" zoomScaleNormal="90" workbookViewId="0">
      <selection activeCell="J22" sqref="J22:J3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536</v>
      </c>
      <c r="X3" s="56" t="s">
        <v>537</v>
      </c>
      <c r="Y3" s="56" t="s">
        <v>538</v>
      </c>
      <c r="Z3" s="60" t="s">
        <v>539</v>
      </c>
      <c r="AA3" s="71"/>
      <c r="AB3" s="56" t="s">
        <v>540</v>
      </c>
      <c r="AC3" s="56" t="s">
        <v>541</v>
      </c>
      <c r="AD3" s="56" t="s">
        <v>542</v>
      </c>
      <c r="AE3" s="60" t="s">
        <v>543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626</v>
      </c>
      <c r="T4" s="72" t="s">
        <v>87</v>
      </c>
      <c r="U4" s="90" t="s">
        <v>357</v>
      </c>
      <c r="V4" s="72" t="s">
        <v>444</v>
      </c>
      <c r="W4" s="58" t="s">
        <v>544</v>
      </c>
      <c r="X4" s="58" t="s">
        <v>545</v>
      </c>
      <c r="Y4" s="58" t="s">
        <v>546</v>
      </c>
      <c r="Z4" s="83" t="s">
        <v>547</v>
      </c>
      <c r="AA4" s="72" t="s">
        <v>454</v>
      </c>
      <c r="AB4" s="58" t="s">
        <v>548</v>
      </c>
      <c r="AC4" s="58" t="s">
        <v>549</v>
      </c>
      <c r="AD4" s="58" t="s">
        <v>550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490</v>
      </c>
      <c r="K8" s="39" t="s">
        <v>476</v>
      </c>
      <c r="L8" s="39" t="s">
        <v>491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596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489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564</v>
      </c>
      <c r="K17" s="36" t="s">
        <v>565</v>
      </c>
      <c r="L17" s="36" t="s">
        <v>566</v>
      </c>
      <c r="Q17" s="38" t="s">
        <v>436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419</v>
      </c>
      <c r="K18" s="36" t="s">
        <v>430</v>
      </c>
      <c r="Q18" s="38" t="s">
        <v>436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420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421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422</v>
      </c>
      <c r="K21" s="36" t="s">
        <v>430</v>
      </c>
      <c r="Q21" s="38" t="s">
        <v>436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496</v>
      </c>
      <c r="K22" s="36" t="s">
        <v>491</v>
      </c>
      <c r="Q22" s="38" t="s">
        <v>530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497</v>
      </c>
      <c r="K23" s="36" t="s">
        <v>491</v>
      </c>
      <c r="Q23" s="38" t="s">
        <v>530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498</v>
      </c>
      <c r="K24" s="36" t="s">
        <v>491</v>
      </c>
      <c r="Q24" s="38" t="s">
        <v>530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505</v>
      </c>
      <c r="K25" s="36" t="s">
        <v>491</v>
      </c>
      <c r="Q25" s="38" t="s">
        <v>530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499</v>
      </c>
      <c r="K26" s="36" t="s">
        <v>491</v>
      </c>
      <c r="Q26" s="38" t="s">
        <v>530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500</v>
      </c>
      <c r="K27" s="36" t="s">
        <v>491</v>
      </c>
      <c r="Q27" s="38" t="s">
        <v>530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501</v>
      </c>
      <c r="K28" s="36" t="s">
        <v>491</v>
      </c>
      <c r="Q28" s="38" t="s">
        <v>530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511</v>
      </c>
      <c r="K29" s="36" t="s">
        <v>491</v>
      </c>
      <c r="Q29" s="38" t="s">
        <v>530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515</v>
      </c>
      <c r="K30" s="36" t="s">
        <v>491</v>
      </c>
      <c r="Q30" s="38" t="s">
        <v>530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516</v>
      </c>
      <c r="K31" s="36" t="s">
        <v>491</v>
      </c>
      <c r="Q31" s="38" t="s">
        <v>530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521</v>
      </c>
      <c r="K32" s="36" t="s">
        <v>491</v>
      </c>
      <c r="Q32" s="38" t="s">
        <v>530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529</v>
      </c>
      <c r="K33" s="36" t="s">
        <v>491</v>
      </c>
      <c r="Q33" s="38" t="s">
        <v>530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523</v>
      </c>
      <c r="K34" s="36" t="s">
        <v>491</v>
      </c>
      <c r="Q34" s="38" t="s">
        <v>530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524</v>
      </c>
      <c r="K35" s="36" t="s">
        <v>491</v>
      </c>
      <c r="Q35" s="38" t="s">
        <v>530</v>
      </c>
      <c r="R35" s="93" t="s">
        <v>567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526</v>
      </c>
      <c r="K36" s="36" t="s">
        <v>491</v>
      </c>
      <c r="Q36" s="38" t="s">
        <v>530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553</v>
      </c>
      <c r="K37" s="36" t="s">
        <v>562</v>
      </c>
      <c r="Q37" s="38" t="s">
        <v>563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554</v>
      </c>
      <c r="K38" s="36" t="s">
        <v>562</v>
      </c>
      <c r="Q38" s="38" t="s">
        <v>563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555</v>
      </c>
      <c r="K39" s="36" t="s">
        <v>562</v>
      </c>
      <c r="Q39" s="38" t="s">
        <v>563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423</v>
      </c>
      <c r="K40" s="36" t="s">
        <v>430</v>
      </c>
      <c r="Q40" s="38" t="s">
        <v>436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424</v>
      </c>
      <c r="K41" s="36" t="s">
        <v>430</v>
      </c>
      <c r="Q41" s="38" t="s">
        <v>436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425</v>
      </c>
      <c r="K42" s="36" t="s">
        <v>430</v>
      </c>
      <c r="Q42" s="38" t="s">
        <v>436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426</v>
      </c>
      <c r="K43" s="36" t="s">
        <v>430</v>
      </c>
      <c r="Q43" s="38" t="s">
        <v>436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427</v>
      </c>
      <c r="K44" s="36" t="s">
        <v>430</v>
      </c>
      <c r="Q44" s="38" t="s">
        <v>436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428</v>
      </c>
      <c r="K45" s="36" t="s">
        <v>430</v>
      </c>
      <c r="Q45" s="38" t="s">
        <v>436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556</v>
      </c>
      <c r="K46" s="36" t="s">
        <v>430</v>
      </c>
      <c r="Q46" s="38" t="s">
        <v>436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557</v>
      </c>
      <c r="K47" s="36" t="s">
        <v>430</v>
      </c>
      <c r="Q47" s="38" t="s">
        <v>436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558</v>
      </c>
      <c r="K48" s="36" t="s">
        <v>430</v>
      </c>
      <c r="Q48" s="38" t="s">
        <v>436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559</v>
      </c>
      <c r="K49" s="36" t="s">
        <v>430</v>
      </c>
      <c r="Q49" s="38" t="s">
        <v>436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560</v>
      </c>
      <c r="K50" s="36" t="s">
        <v>430</v>
      </c>
      <c r="Q50" s="38" t="s">
        <v>436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561</v>
      </c>
      <c r="K51" s="36" t="s">
        <v>430</v>
      </c>
      <c r="Q51" s="38" t="s">
        <v>436</v>
      </c>
      <c r="S51" s="38">
        <v>1000</v>
      </c>
      <c r="AG51" s="35">
        <v>1</v>
      </c>
    </row>
    <row r="52" spans="1:33" x14ac:dyDescent="0.15">
      <c r="A52" s="34">
        <f t="shared" si="2"/>
        <v>215010001</v>
      </c>
      <c r="B52" s="36">
        <v>21</v>
      </c>
      <c r="C52" s="36">
        <v>5</v>
      </c>
      <c r="D52" s="36">
        <v>1</v>
      </c>
      <c r="E52" s="36">
        <v>0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432</v>
      </c>
      <c r="Q52" s="38" t="s">
        <v>436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411</v>
      </c>
      <c r="K53" s="36" t="s">
        <v>432</v>
      </c>
      <c r="Q53" s="38" t="s">
        <v>436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410</v>
      </c>
      <c r="K54" s="36" t="s">
        <v>431</v>
      </c>
      <c r="Q54" s="38" t="s">
        <v>436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413</v>
      </c>
      <c r="K55" s="36" t="s">
        <v>431</v>
      </c>
      <c r="Q55" s="38" t="s">
        <v>436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415</v>
      </c>
      <c r="K56" s="36" t="s">
        <v>431</v>
      </c>
      <c r="Q56" s="38" t="s">
        <v>436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417</v>
      </c>
      <c r="K57" s="36" t="s">
        <v>431</v>
      </c>
      <c r="Q57" s="38" t="s">
        <v>436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458</v>
      </c>
      <c r="K58" s="36" t="s">
        <v>431</v>
      </c>
      <c r="Q58" s="38" t="s">
        <v>436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494</v>
      </c>
      <c r="K59" s="36" t="s">
        <v>431</v>
      </c>
      <c r="Q59" s="38" t="s">
        <v>436</v>
      </c>
      <c r="S59" s="62">
        <v>10</v>
      </c>
      <c r="AG59" s="35">
        <v>1</v>
      </c>
    </row>
    <row r="60" spans="1:33" x14ac:dyDescent="0.15">
      <c r="G60" s="74"/>
      <c r="Q60" s="38" t="s">
        <v>436</v>
      </c>
      <c r="S60" s="62">
        <v>10</v>
      </c>
      <c r="AG60" s="35">
        <v>1</v>
      </c>
    </row>
    <row r="61" spans="1:33" x14ac:dyDescent="0.15">
      <c r="G61" s="74"/>
      <c r="Q61" s="38" t="s">
        <v>436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B1" sqref="AB1:AB104857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536</v>
      </c>
      <c r="X3" s="56" t="s">
        <v>537</v>
      </c>
      <c r="Y3" s="56" t="s">
        <v>538</v>
      </c>
      <c r="Z3" s="60" t="s">
        <v>539</v>
      </c>
      <c r="AA3" s="71"/>
      <c r="AB3" s="56" t="s">
        <v>540</v>
      </c>
      <c r="AC3" s="56" t="s">
        <v>541</v>
      </c>
      <c r="AD3" s="56" t="s">
        <v>542</v>
      </c>
      <c r="AE3" s="60" t="s">
        <v>543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535</v>
      </c>
      <c r="T4" s="72" t="s">
        <v>87</v>
      </c>
      <c r="U4" s="90" t="s">
        <v>357</v>
      </c>
      <c r="V4" s="72" t="s">
        <v>444</v>
      </c>
      <c r="W4" s="58" t="s">
        <v>544</v>
      </c>
      <c r="X4" s="58" t="s">
        <v>545</v>
      </c>
      <c r="Y4" s="58" t="s">
        <v>546</v>
      </c>
      <c r="Z4" s="83" t="s">
        <v>547</v>
      </c>
      <c r="AA4" s="72" t="s">
        <v>454</v>
      </c>
      <c r="AB4" s="58" t="s">
        <v>548</v>
      </c>
      <c r="AC4" s="58" t="s">
        <v>549</v>
      </c>
      <c r="AD4" s="58" t="s">
        <v>550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488</v>
      </c>
      <c r="K8" s="39" t="s">
        <v>433</v>
      </c>
      <c r="L8" s="39" t="s">
        <v>430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416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480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471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419</v>
      </c>
      <c r="K17" s="36" t="s">
        <v>430</v>
      </c>
      <c r="Q17" s="38" t="s">
        <v>436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420</v>
      </c>
      <c r="K18" s="36" t="s">
        <v>430</v>
      </c>
      <c r="Q18" s="38" t="s">
        <v>436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421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496</v>
      </c>
      <c r="K21" s="36" t="s">
        <v>430</v>
      </c>
      <c r="Q21" s="38" t="s">
        <v>530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497</v>
      </c>
      <c r="K22" s="36" t="s">
        <v>430</v>
      </c>
      <c r="Q22" s="38" t="s">
        <v>530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498</v>
      </c>
      <c r="K23" s="36" t="s">
        <v>430</v>
      </c>
      <c r="Q23" s="38" t="s">
        <v>530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505</v>
      </c>
      <c r="K24" s="36" t="s">
        <v>430</v>
      </c>
      <c r="Q24" s="38" t="s">
        <v>530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499</v>
      </c>
      <c r="K25" s="36" t="s">
        <v>430</v>
      </c>
      <c r="Q25" s="38" t="s">
        <v>530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500</v>
      </c>
      <c r="K26" s="36" t="s">
        <v>430</v>
      </c>
      <c r="Q26" s="38" t="s">
        <v>530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501</v>
      </c>
      <c r="K27" s="36" t="s">
        <v>430</v>
      </c>
      <c r="Q27" s="38" t="s">
        <v>530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510</v>
      </c>
      <c r="K28" s="36" t="s">
        <v>430</v>
      </c>
      <c r="Q28" s="38" t="s">
        <v>530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513</v>
      </c>
      <c r="K29" s="36" t="s">
        <v>430</v>
      </c>
      <c r="Q29" s="38" t="s">
        <v>530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514</v>
      </c>
      <c r="K30" s="36" t="s">
        <v>430</v>
      </c>
      <c r="Q30" s="38" t="s">
        <v>530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521</v>
      </c>
      <c r="K31" s="36" t="s">
        <v>430</v>
      </c>
      <c r="Q31" s="38" t="s">
        <v>530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528</v>
      </c>
      <c r="K32" s="36" t="s">
        <v>430</v>
      </c>
      <c r="Q32" s="38" t="s">
        <v>530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523</v>
      </c>
      <c r="K33" s="36" t="s">
        <v>430</v>
      </c>
      <c r="Q33" s="38" t="s">
        <v>530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524</v>
      </c>
      <c r="K34" s="36" t="s">
        <v>430</v>
      </c>
      <c r="Q34" s="38" t="s">
        <v>530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526</v>
      </c>
      <c r="K35" s="36" t="s">
        <v>430</v>
      </c>
      <c r="Q35" s="38" t="s">
        <v>530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423</v>
      </c>
      <c r="K36" s="36" t="s">
        <v>430</v>
      </c>
      <c r="Q36" s="38" t="s">
        <v>436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424</v>
      </c>
      <c r="K37" s="36" t="s">
        <v>430</v>
      </c>
      <c r="Q37" s="38" t="s">
        <v>436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425</v>
      </c>
      <c r="K38" s="36" t="s">
        <v>430</v>
      </c>
      <c r="Q38" s="38" t="s">
        <v>436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426</v>
      </c>
      <c r="K39" s="36" t="s">
        <v>430</v>
      </c>
      <c r="Q39" s="38" t="s">
        <v>436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427</v>
      </c>
      <c r="K40" s="36" t="s">
        <v>430</v>
      </c>
      <c r="Q40" s="38" t="s">
        <v>436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428</v>
      </c>
      <c r="K41" s="36" t="s">
        <v>430</v>
      </c>
      <c r="Q41" s="38" t="s">
        <v>436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409</v>
      </c>
      <c r="K42" s="36" t="s">
        <v>432</v>
      </c>
      <c r="Q42" s="38" t="s">
        <v>436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411</v>
      </c>
      <c r="K43" s="36" t="s">
        <v>432</v>
      </c>
      <c r="Q43" s="38" t="s">
        <v>436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410</v>
      </c>
      <c r="K44" s="36" t="s">
        <v>431</v>
      </c>
      <c r="Q44" s="38" t="s">
        <v>436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413</v>
      </c>
      <c r="K45" s="36" t="s">
        <v>431</v>
      </c>
      <c r="Q45" s="38" t="s">
        <v>436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415</v>
      </c>
      <c r="K46" s="36" t="s">
        <v>431</v>
      </c>
      <c r="Q46" s="38" t="s">
        <v>436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417</v>
      </c>
      <c r="K47" s="36" t="s">
        <v>431</v>
      </c>
      <c r="Q47" s="38" t="s">
        <v>436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458</v>
      </c>
      <c r="K48" s="36" t="s">
        <v>431</v>
      </c>
      <c r="Q48" s="38" t="s">
        <v>436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493</v>
      </c>
      <c r="K49" s="36" t="s">
        <v>431</v>
      </c>
      <c r="Q49" s="38" t="s">
        <v>436</v>
      </c>
      <c r="S49" s="62">
        <v>10</v>
      </c>
      <c r="AG49" s="35">
        <v>1</v>
      </c>
    </row>
    <row r="50" spans="1:33" x14ac:dyDescent="0.15">
      <c r="G50" s="74"/>
      <c r="Q50" s="38" t="s">
        <v>436</v>
      </c>
      <c r="S50" s="62">
        <v>10</v>
      </c>
      <c r="AG50" s="35">
        <v>1</v>
      </c>
    </row>
    <row r="51" spans="1:33" x14ac:dyDescent="0.15">
      <c r="G51" s="74"/>
      <c r="Q51" s="38" t="s">
        <v>436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K32" sqref="K32"/>
    </sheetView>
  </sheetViews>
  <sheetFormatPr defaultRowHeight="16.5" x14ac:dyDescent="0.15"/>
  <cols>
    <col min="1" max="2" width="11.25" style="56" bestFit="1" customWidth="1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627</v>
      </c>
      <c r="B3" s="56" t="s">
        <v>628</v>
      </c>
    </row>
    <row r="4" spans="1:2" ht="17.25" thickBot="1" x14ac:dyDescent="0.2">
      <c r="A4" s="58" t="s">
        <v>629</v>
      </c>
      <c r="B4" s="58" t="s">
        <v>630</v>
      </c>
    </row>
    <row r="5" spans="1:2" x14ac:dyDescent="0.15">
      <c r="A5" s="56">
        <v>1</v>
      </c>
    </row>
    <row r="6" spans="1:2" x14ac:dyDescent="0.15">
      <c r="A6" s="56">
        <v>2</v>
      </c>
    </row>
    <row r="7" spans="1:2" x14ac:dyDescent="0.15">
      <c r="A7" s="56">
        <v>3</v>
      </c>
    </row>
    <row r="8" spans="1:2" x14ac:dyDescent="0.15">
      <c r="A8" s="56">
        <v>4</v>
      </c>
    </row>
    <row r="9" spans="1:2" x14ac:dyDescent="0.15">
      <c r="A9" s="56">
        <v>5</v>
      </c>
    </row>
    <row r="10" spans="1:2" x14ac:dyDescent="0.15">
      <c r="A10" s="56">
        <v>6</v>
      </c>
    </row>
    <row r="11" spans="1:2" x14ac:dyDescent="0.15">
      <c r="A11" s="56">
        <v>7</v>
      </c>
    </row>
    <row r="12" spans="1:2" x14ac:dyDescent="0.15">
      <c r="A12" s="56">
        <v>8</v>
      </c>
    </row>
    <row r="13" spans="1:2" x14ac:dyDescent="0.15">
      <c r="A13" s="56">
        <v>9</v>
      </c>
    </row>
    <row r="14" spans="1:2" x14ac:dyDescent="0.15">
      <c r="A14" s="56">
        <v>10</v>
      </c>
    </row>
    <row r="15" spans="1:2" x14ac:dyDescent="0.15">
      <c r="A15" s="56">
        <v>11</v>
      </c>
    </row>
    <row r="16" spans="1:2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8" sqref="D8"/>
    </sheetView>
  </sheetViews>
  <sheetFormatPr defaultRowHeight="16.5" x14ac:dyDescent="0.15"/>
  <cols>
    <col min="1" max="2" width="11.25" style="56" bestFit="1" customWidth="1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633</v>
      </c>
      <c r="B3" s="56" t="s">
        <v>634</v>
      </c>
    </row>
    <row r="4" spans="1:2" ht="17.25" thickBot="1" x14ac:dyDescent="0.2">
      <c r="A4" s="58" t="s">
        <v>631</v>
      </c>
      <c r="B4" s="58" t="s">
        <v>632</v>
      </c>
    </row>
    <row r="5" spans="1:2" x14ac:dyDescent="0.15">
      <c r="A5" s="56">
        <v>1</v>
      </c>
    </row>
    <row r="6" spans="1:2" x14ac:dyDescent="0.15">
      <c r="A6" s="56">
        <v>2</v>
      </c>
    </row>
    <row r="7" spans="1:2" x14ac:dyDescent="0.15">
      <c r="A7" s="56">
        <v>3</v>
      </c>
    </row>
    <row r="8" spans="1:2" x14ac:dyDescent="0.15">
      <c r="A8" s="56">
        <v>4</v>
      </c>
    </row>
    <row r="9" spans="1:2" x14ac:dyDescent="0.15">
      <c r="A9" s="56">
        <v>5</v>
      </c>
    </row>
    <row r="10" spans="1:2" x14ac:dyDescent="0.15">
      <c r="A10" s="56">
        <v>6</v>
      </c>
    </row>
    <row r="11" spans="1:2" x14ac:dyDescent="0.15">
      <c r="A11" s="56">
        <v>7</v>
      </c>
    </row>
    <row r="12" spans="1:2" x14ac:dyDescent="0.15">
      <c r="A12" s="56">
        <v>8</v>
      </c>
    </row>
    <row r="13" spans="1:2" x14ac:dyDescent="0.15">
      <c r="A13" s="56">
        <v>9</v>
      </c>
    </row>
    <row r="14" spans="1:2" x14ac:dyDescent="0.15">
      <c r="A14" s="56">
        <v>10</v>
      </c>
    </row>
    <row r="15" spans="1:2" x14ac:dyDescent="0.15">
      <c r="A15" s="56">
        <v>11</v>
      </c>
    </row>
    <row r="16" spans="1:2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舰队构成规则</vt:lpstr>
      <vt:lpstr>静态数据ID规则</vt:lpstr>
      <vt:lpstr>命名说明</vt:lpstr>
      <vt:lpstr>BUILDING</vt:lpstr>
      <vt:lpstr>ITEM_RES</vt:lpstr>
      <vt:lpstr>EVENTS</vt:lpstr>
      <vt:lpstr>PLAYER_LEVEL</vt:lpstr>
      <vt:lpstr>MANOR_LEVEL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2018-08-17T13:44:18Z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